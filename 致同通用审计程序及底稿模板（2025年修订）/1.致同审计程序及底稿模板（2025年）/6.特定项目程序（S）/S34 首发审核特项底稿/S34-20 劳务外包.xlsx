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codeName="ThisWorkbook" defaultThemeVersion="124226"/>
  <xr:revisionPtr revIDLastSave="0" documentId="13_ncr:1_{A617553D-9DB3-4BE2-A179-ECB40785F7ED}" xr6:coauthVersionLast="47" xr6:coauthVersionMax="47" xr10:uidLastSave="{00000000-0000-0000-0000-000000000000}"/>
  <bookViews>
    <workbookView xWindow="-108" yWindow="-108" windowWidth="23256" windowHeight="12576" tabRatio="749" activeTab="1" xr2:uid="{00000000-000D-0000-FFFF-FFFF00000000}"/>
  </bookViews>
  <sheets>
    <sheet name="底稿目录" sheetId="27" r:id="rId1"/>
    <sheet name="S34-20程序表" sheetId="25" r:id="rId2"/>
    <sheet name="S34-20-1重要劳务外包公司分析" sheetId="26" r:id="rId3"/>
    <sheet name="GT_Custom" sheetId="7" state="hidden"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s>
  <definedNames>
    <definedName name="_">#REF!</definedName>
    <definedName name="___DAT1">#REF!</definedName>
    <definedName name="___DAT10">#REF!</definedName>
    <definedName name="___DAT11">#REF!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C161100">#REF!</definedName>
    <definedName name="__DAT1">#REF!</definedName>
    <definedName name="__DAT10">#REF!</definedName>
    <definedName name="__DAT11">#REF!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002存新">#REF!</definedName>
    <definedName name="_003新">#REF!</definedName>
    <definedName name="_01">#REF!</definedName>
    <definedName name="_011">#REF!</definedName>
    <definedName name="_012">#REF!</definedName>
    <definedName name="_013">#REF!</definedName>
    <definedName name="_014">#REF!</definedName>
    <definedName name="_015">#REF!</definedName>
    <definedName name="_016">#REF!</definedName>
    <definedName name="_01a">#REF!,#REF!,#REF!</definedName>
    <definedName name="_02">#REF!</definedName>
    <definedName name="_021">#REF!</definedName>
    <definedName name="_022">#REF!</definedName>
    <definedName name="_023">#REF!</definedName>
    <definedName name="_024">#REF!</definedName>
    <definedName name="_025">#REF!</definedName>
    <definedName name="_027">#REF!</definedName>
    <definedName name="_1">#REF!</definedName>
    <definedName name="_1_?">#REF!</definedName>
    <definedName name="_13102">#REF!</definedName>
    <definedName name="_13302">#REF!</definedName>
    <definedName name="_13398">#REF!</definedName>
    <definedName name="_18102">#REF!</definedName>
    <definedName name="_18198">#REF!</definedName>
    <definedName name="_2">#REF!</definedName>
    <definedName name="_2_??????">#REF!</definedName>
    <definedName name="_3查询_2001年4月余额表">#REF!</definedName>
    <definedName name="_412应收明细">#REF!</definedName>
    <definedName name="_99.dbf">[1]邻酮定乙酚发出测试!#REF!</definedName>
    <definedName name="_999年12月31日股份应收帐款.dbf">#REF!</definedName>
    <definedName name="_A1000">#REF!</definedName>
    <definedName name="_A1100">#REF!</definedName>
    <definedName name="_a1101">#REF!</definedName>
    <definedName name="_A1111">#REF!</definedName>
    <definedName name="_A1121">#REF!</definedName>
    <definedName name="_A1131">#REF!</definedName>
    <definedName name="_A1141">#REF!</definedName>
    <definedName name="_A1151">#REF!</definedName>
    <definedName name="_A1171">#REF!</definedName>
    <definedName name="_A1191">#REF!</definedName>
    <definedName name="_A1201">#REF!</definedName>
    <definedName name="_A1400">#REF!</definedName>
    <definedName name="_A1421">#REF!</definedName>
    <definedName name="_A1491">#REF!</definedName>
    <definedName name="_A1499">#REF!</definedName>
    <definedName name="_A1501">#REF!</definedName>
    <definedName name="_A1601">#REF!</definedName>
    <definedName name="_A160100">#REF!</definedName>
    <definedName name="_A1611">#REF!</definedName>
    <definedName name="_A1621">#REF!</definedName>
    <definedName name="_A1641">#REF!</definedName>
    <definedName name="_A1701">#REF!</definedName>
    <definedName name="_A1800">#REF!</definedName>
    <definedName name="_A1801">#REF!</definedName>
    <definedName name="_A1811">#REF!</definedName>
    <definedName name="_A1821">#REF!</definedName>
    <definedName name="_A1900">#REF!</definedName>
    <definedName name="_A1901">#REF!</definedName>
    <definedName name="_A1911">#REF!</definedName>
    <definedName name="_A1921">#REF!</definedName>
    <definedName name="_A1931">#REF!</definedName>
    <definedName name="_A1941">#REF!</definedName>
    <definedName name="_A1951">#REF!</definedName>
    <definedName name="_A2000">#REF!</definedName>
    <definedName name="_A2100">#REF!</definedName>
    <definedName name="_A2101">#REF!</definedName>
    <definedName name="_A2111">#REF!</definedName>
    <definedName name="_A2121">#REF!</definedName>
    <definedName name="_A2131">#REF!</definedName>
    <definedName name="_A2141">#REF!</definedName>
    <definedName name="_A2151">#REF!</definedName>
    <definedName name="_A2161">#REF!</definedName>
    <definedName name="_A2171">#REF!</definedName>
    <definedName name="_A2181">#REF!</definedName>
    <definedName name="_A2191">#REF!</definedName>
    <definedName name="_A2195">#REF!</definedName>
    <definedName name="_A2199">#REF!</definedName>
    <definedName name="_A2200">#REF!</definedName>
    <definedName name="_A2201">#REF!</definedName>
    <definedName name="_A2211">#REF!</definedName>
    <definedName name="_A2212">#REF!</definedName>
    <definedName name="_A2221">#REF!</definedName>
    <definedName name="_A2900">#REF!</definedName>
    <definedName name="_A2911">#REF!</definedName>
    <definedName name="_A2921">#REF!</definedName>
    <definedName name="_A2931">#REF!</definedName>
    <definedName name="_A2941">#REF!</definedName>
    <definedName name="_A2951">#REF!</definedName>
    <definedName name="_A3000">#REF!</definedName>
    <definedName name="_A3101">#REF!</definedName>
    <definedName name="_A310110">#REF!</definedName>
    <definedName name="_A310120">#REF!</definedName>
    <definedName name="_A3102">#REF!</definedName>
    <definedName name="_A3111">#REF!</definedName>
    <definedName name="_A3201">#REF!</definedName>
    <definedName name="_A3211">#REF!</definedName>
    <definedName name="_A3221">#REF!</definedName>
    <definedName name="_A3301">#REF!</definedName>
    <definedName name="_A3311">#REF!</definedName>
    <definedName name="_a4201">#REF!</definedName>
    <definedName name="_a5101">#REF!</definedName>
    <definedName name="_a510101">#REF!</definedName>
    <definedName name="_a5102">#REF!</definedName>
    <definedName name="_a510202">#REF!</definedName>
    <definedName name="_a5111">#REF!</definedName>
    <definedName name="_a5121">#REF!</definedName>
    <definedName name="_a512101">#REF!</definedName>
    <definedName name="_a5131">#REF!</definedName>
    <definedName name="_a5141">#REF!</definedName>
    <definedName name="_a5151">#REF!</definedName>
    <definedName name="_a5501">#REF!</definedName>
    <definedName name="_a5601">#REF!</definedName>
    <definedName name="_a5701">#REF!</definedName>
    <definedName name="_a5801">#REF!</definedName>
    <definedName name="_a5901">#REF!</definedName>
    <definedName name="_A6000">#REF!</definedName>
    <definedName name="_a7000">#REF!</definedName>
    <definedName name="_aar1">[2]AR!#REF!</definedName>
    <definedName name="_aar2">[2]AR!#REF!</definedName>
    <definedName name="_aar3">[2]AR!#REF!</definedName>
    <definedName name="_aar4">#REF!</definedName>
    <definedName name="_aar5">#REF!</definedName>
    <definedName name="_aar6">#REF!</definedName>
    <definedName name="_aar7">#REF!</definedName>
    <definedName name="_aar8">#REF!</definedName>
    <definedName name="_aar9">#REF!</definedName>
    <definedName name="_B1000">#REF!</definedName>
    <definedName name="_B1101">#REF!</definedName>
    <definedName name="_B1111">#REF!</definedName>
    <definedName name="_B1121">#REF!</definedName>
    <definedName name="_B1131">#REF!</definedName>
    <definedName name="_B1141">#REF!</definedName>
    <definedName name="_B1151">#REF!</definedName>
    <definedName name="_B1171">#REF!</definedName>
    <definedName name="_B1191">#REF!</definedName>
    <definedName name="_B1201">#REF!</definedName>
    <definedName name="_B1400">#REF!</definedName>
    <definedName name="_B1491">#REF!</definedName>
    <definedName name="_B1499">#REF!</definedName>
    <definedName name="_B1501">#REF!</definedName>
    <definedName name="_B1601">#REF!</definedName>
    <definedName name="_B160100">#REF!</definedName>
    <definedName name="_B1611">#REF!</definedName>
    <definedName name="_B1621">#REF!</definedName>
    <definedName name="_B1641">#REF!</definedName>
    <definedName name="_B1701">#REF!</definedName>
    <definedName name="_b1707">#REF!</definedName>
    <definedName name="_B1800">#REF!</definedName>
    <definedName name="_B1801">#REF!</definedName>
    <definedName name="_B1811">#REF!</definedName>
    <definedName name="_B1821">#REF!</definedName>
    <definedName name="_B1900">#REF!</definedName>
    <definedName name="_B1901">#REF!</definedName>
    <definedName name="_B1911">#REF!</definedName>
    <definedName name="_B1921">#REF!</definedName>
    <definedName name="_B1931">#REF!</definedName>
    <definedName name="_B1941">#REF!</definedName>
    <definedName name="_B1951">#REF!</definedName>
    <definedName name="_B2000">#REF!</definedName>
    <definedName name="_B2100">#REF!</definedName>
    <definedName name="_B2101">#REF!</definedName>
    <definedName name="_B2111">#REF!</definedName>
    <definedName name="_B2121">#REF!</definedName>
    <definedName name="_B2131">#REF!</definedName>
    <definedName name="_B2141">#REF!</definedName>
    <definedName name="_B2151">#REF!</definedName>
    <definedName name="_B2161">#REF!</definedName>
    <definedName name="_B2171">#REF!</definedName>
    <definedName name="_B2181">#REF!</definedName>
    <definedName name="_B2191">#REF!</definedName>
    <definedName name="_B2195">#REF!</definedName>
    <definedName name="_B2199">#REF!</definedName>
    <definedName name="_B2200">#REF!</definedName>
    <definedName name="_B2201">#REF!</definedName>
    <definedName name="_B2211">#REF!</definedName>
    <definedName name="_B2212">#REF!</definedName>
    <definedName name="_B2221">#REF!</definedName>
    <definedName name="_B2900">#REF!</definedName>
    <definedName name="_B2912">#REF!</definedName>
    <definedName name="_B2922">#REF!</definedName>
    <definedName name="_B2932">#REF!</definedName>
    <definedName name="_B2942">#REF!</definedName>
    <definedName name="_B2952">#REF!</definedName>
    <definedName name="_B3000">#REF!</definedName>
    <definedName name="_B3101">#REF!</definedName>
    <definedName name="_B310110">#REF!</definedName>
    <definedName name="_B310120">#REF!</definedName>
    <definedName name="_B3102">#REF!</definedName>
    <definedName name="_B3111">#REF!</definedName>
    <definedName name="_B3201">#REF!</definedName>
    <definedName name="_B3211">#REF!</definedName>
    <definedName name="_B3221">#REF!</definedName>
    <definedName name="_B3301">#REF!</definedName>
    <definedName name="_B3311">#REF!</definedName>
    <definedName name="_b4201">#REF!</definedName>
    <definedName name="_b5101">#REF!</definedName>
    <definedName name="_b510101">#REF!</definedName>
    <definedName name="_b510102">#REF!</definedName>
    <definedName name="_b5102">#REF!</definedName>
    <definedName name="_b5111">#REF!</definedName>
    <definedName name="_b5121">#REF!</definedName>
    <definedName name="_b512101">#REF!</definedName>
    <definedName name="_b5131">#REF!</definedName>
    <definedName name="_b5141">#REF!</definedName>
    <definedName name="_b5151">#REF!</definedName>
    <definedName name="_b5501">#REF!</definedName>
    <definedName name="_b5601">#REF!</definedName>
    <definedName name="_b5801">#REF!</definedName>
    <definedName name="_b5901">#REF!</definedName>
    <definedName name="_B6000">#REF!</definedName>
    <definedName name="_b7000">#REF!</definedName>
    <definedName name="_C160100">#REF!</definedName>
    <definedName name="_c161100">#REF!</definedName>
    <definedName name="_D170110">#REF!</definedName>
    <definedName name="_DAT1">#REF!</definedName>
    <definedName name="_DAT10">[3]original!#REF!</definedName>
    <definedName name="_DAT100">[3]original!#REF!</definedName>
    <definedName name="_DAT101">[3]original!#REF!</definedName>
    <definedName name="_DAT102">[3]original!#REF!</definedName>
    <definedName name="_DAT103">[3]original!#REF!</definedName>
    <definedName name="_DAT104">[3]original!#REF!</definedName>
    <definedName name="_DAT106">[3]original!#REF!</definedName>
    <definedName name="_DAT107">[3]original!#REF!</definedName>
    <definedName name="_DAT108">[3]original!#REF!</definedName>
    <definedName name="_DAT109">[3]original!#REF!</definedName>
    <definedName name="_DAT11">[3]original!#REF!</definedName>
    <definedName name="_DAT110">[3]original!#REF!</definedName>
    <definedName name="_DAT111">[3]original!#REF!</definedName>
    <definedName name="_DAT112">[3]original!#REF!</definedName>
    <definedName name="_DAT113">[3]original!#REF!</definedName>
    <definedName name="_DAT114">[3]original!#REF!</definedName>
    <definedName name="_DAT115">[3]original!#REF!</definedName>
    <definedName name="_DAT116">[3]original!#REF!</definedName>
    <definedName name="_DAT117">[3]original!#REF!</definedName>
    <definedName name="_DAT118">[3]original!#REF!</definedName>
    <definedName name="_DAT119">[3]original!#REF!</definedName>
    <definedName name="_DAT12">[3]original!#REF!</definedName>
    <definedName name="_DAT120">[3]original!#REF!</definedName>
    <definedName name="_DAT121">[3]original!#REF!</definedName>
    <definedName name="_DAT122">[3]original!#REF!</definedName>
    <definedName name="_DAT123">[3]original!#REF!</definedName>
    <definedName name="_DAT124">[3]original!#REF!</definedName>
    <definedName name="_DAT125">[3]original!#REF!</definedName>
    <definedName name="_DAT126">[3]original!#REF!</definedName>
    <definedName name="_DAT127">[3]original!#REF!</definedName>
    <definedName name="_DAT128">[3]original!#REF!</definedName>
    <definedName name="_DAT129">[3]original!#REF!</definedName>
    <definedName name="_DAT13">[3]original!#REF!</definedName>
    <definedName name="_DAT130">[3]original!#REF!</definedName>
    <definedName name="_DAT131">[3]original!#REF!</definedName>
    <definedName name="_DAT132">[3]original!#REF!</definedName>
    <definedName name="_DAT133">[3]original!#REF!</definedName>
    <definedName name="_DAT134">[3]original!#REF!</definedName>
    <definedName name="_DAT135">[3]original!#REF!</definedName>
    <definedName name="_DAT136">[3]original!#REF!</definedName>
    <definedName name="_DAT137">[3]original!#REF!</definedName>
    <definedName name="_DAT138">[3]original!#REF!</definedName>
    <definedName name="_DAT139">[3]original!#REF!</definedName>
    <definedName name="_DAT14">[3]original!#REF!</definedName>
    <definedName name="_DAT140">[3]original!#REF!</definedName>
    <definedName name="_DAT142">[3]original!#REF!</definedName>
    <definedName name="_DAT143">[3]original!#REF!</definedName>
    <definedName name="_DAT144">[3]original!#REF!</definedName>
    <definedName name="_DAT145">[3]original!#REF!</definedName>
    <definedName name="_DAT146">[3]original!#REF!</definedName>
    <definedName name="_DAT148">[3]original!#REF!</definedName>
    <definedName name="_DAT149">[3]original!#REF!</definedName>
    <definedName name="_DAT15">[3]original!#REF!</definedName>
    <definedName name="_DAT150">[3]original!#REF!</definedName>
    <definedName name="_DAT151">[3]original!#REF!</definedName>
    <definedName name="_DAT152">[3]original!#REF!</definedName>
    <definedName name="_DAT153">[3]original!#REF!</definedName>
    <definedName name="_DAT154">[3]original!#REF!</definedName>
    <definedName name="_DAT155">[3]original!#REF!</definedName>
    <definedName name="_DAT156">[3]original!#REF!</definedName>
    <definedName name="_DAT157">[3]original!#REF!</definedName>
    <definedName name="_DAT158">[3]original!#REF!</definedName>
    <definedName name="_DAT16">[3]original!#REF!</definedName>
    <definedName name="_DAT160">[3]original!#REF!</definedName>
    <definedName name="_DAT161">[3]original!#REF!</definedName>
    <definedName name="_DAT162">[3]original!#REF!</definedName>
    <definedName name="_DAT163">[3]original!#REF!</definedName>
    <definedName name="_DAT164">[3]original!#REF!</definedName>
    <definedName name="_DAT166">[3]original!#REF!</definedName>
    <definedName name="_DAT167">[3]original!#REF!</definedName>
    <definedName name="_DAT168">[3]original!#REF!</definedName>
    <definedName name="_DAT169">[3]original!#REF!</definedName>
    <definedName name="_DAT17">[3]original!#REF!</definedName>
    <definedName name="_DAT170">[3]original!#REF!</definedName>
    <definedName name="_DAT172">[3]original!#REF!</definedName>
    <definedName name="_DAT173">[3]original!#REF!</definedName>
    <definedName name="_DAT174">[3]original!#REF!</definedName>
    <definedName name="_DAT175">[3]original!#REF!</definedName>
    <definedName name="_DAT176">[3]original!#REF!</definedName>
    <definedName name="_DAT178">[3]original!#REF!</definedName>
    <definedName name="_DAT179">[3]original!#REF!</definedName>
    <definedName name="_DAT18">[3]original!#REF!</definedName>
    <definedName name="_DAT180">[3]original!#REF!</definedName>
    <definedName name="_DAT181">[3]original!#REF!</definedName>
    <definedName name="_DAT182">[3]original!#REF!</definedName>
    <definedName name="_DAT184">[3]original!#REF!</definedName>
    <definedName name="_DAT185">[3]original!#REF!</definedName>
    <definedName name="_DAT186">[3]original!#REF!</definedName>
    <definedName name="_DAT187">[3]original!#REF!</definedName>
    <definedName name="_DAT188">[3]original!#REF!</definedName>
    <definedName name="_DAT189">[3]original!#REF!</definedName>
    <definedName name="_DAT19">[3]original!#REF!</definedName>
    <definedName name="_DAT190">[3]original!#REF!</definedName>
    <definedName name="_DAT191">[3]original!#REF!</definedName>
    <definedName name="_DAT192">[3]original!#REF!</definedName>
    <definedName name="_DAT193">[3]original!#REF!</definedName>
    <definedName name="_DAT194">[3]original!#REF!</definedName>
    <definedName name="_DAT195">[3]original!#REF!</definedName>
    <definedName name="_DAT196">[3]original!#REF!</definedName>
    <definedName name="_DAT197">[3]original!#REF!</definedName>
    <definedName name="_DAT198">[3]original!#REF!</definedName>
    <definedName name="_DAT199">[3]original!#REF!</definedName>
    <definedName name="_DAT2">[3]original!#REF!</definedName>
    <definedName name="_DAT20">[3]original!#REF!</definedName>
    <definedName name="_DAT200">[3]original!#REF!</definedName>
    <definedName name="_DAT201">[3]original!#REF!</definedName>
    <definedName name="_DAT202">[3]original!#REF!</definedName>
    <definedName name="_DAT203">[3]original!#REF!</definedName>
    <definedName name="_DAT204">[3]original!#REF!</definedName>
    <definedName name="_DAT205">[3]original!#REF!</definedName>
    <definedName name="_DAT206">[3]original!#REF!</definedName>
    <definedName name="_DAT207">[3]original!#REF!</definedName>
    <definedName name="_DAT208">[3]original!#REF!</definedName>
    <definedName name="_DAT209">[3]original!#REF!</definedName>
    <definedName name="_DAT21">[3]original!#REF!</definedName>
    <definedName name="_DAT210">[3]original!#REF!</definedName>
    <definedName name="_DAT211">[3]original!#REF!</definedName>
    <definedName name="_DAT212">[3]original!#REF!</definedName>
    <definedName name="_DAT213">[3]original!#REF!</definedName>
    <definedName name="_DAT22">[3]original!#REF!</definedName>
    <definedName name="_DAT23">[3]original!#REF!</definedName>
    <definedName name="_DAT24">[3]original!#REF!</definedName>
    <definedName name="_DAT25">[3]original!#REF!</definedName>
    <definedName name="_DAT26">[3]original!#REF!</definedName>
    <definedName name="_DAT28">[3]original!#REF!</definedName>
    <definedName name="_DAT29">[3]original!#REF!</definedName>
    <definedName name="_DAT3">#REF!</definedName>
    <definedName name="_DAT30">[3]original!#REF!</definedName>
    <definedName name="_DAT31">[3]original!#REF!</definedName>
    <definedName name="_DAT32">[3]original!#REF!</definedName>
    <definedName name="_DAT33">[3]original!#REF!</definedName>
    <definedName name="_DAT34">[3]original!#REF!</definedName>
    <definedName name="_DAT35">[3]original!#REF!</definedName>
    <definedName name="_DAT36">[3]original!#REF!</definedName>
    <definedName name="_DAT37">[3]original!#REF!</definedName>
    <definedName name="_DAT38">[3]original!#REF!</definedName>
    <definedName name="_DAT39">[3]original!#REF!</definedName>
    <definedName name="_DAT4">[3]original!#REF!</definedName>
    <definedName name="_DAT40">[3]original!#REF!</definedName>
    <definedName name="_DAT41">[3]original!#REF!</definedName>
    <definedName name="_DAT42">[3]original!#REF!</definedName>
    <definedName name="_DAT43">[3]original!#REF!</definedName>
    <definedName name="_DAT44">[3]original!#REF!</definedName>
    <definedName name="_DAT46">[3]original!#REF!</definedName>
    <definedName name="_DAT47">[3]original!#REF!</definedName>
    <definedName name="_DAT48">[3]original!#REF!</definedName>
    <definedName name="_DAT49">[3]original!#REF!</definedName>
    <definedName name="_DAT5">[3]original!#REF!</definedName>
    <definedName name="_DAT50">[3]original!#REF!</definedName>
    <definedName name="_DAT51">[3]original!#REF!</definedName>
    <definedName name="_DAT52">[3]original!#REF!</definedName>
    <definedName name="_DAT53">[3]original!#REF!</definedName>
    <definedName name="_DAT54">[3]original!#REF!</definedName>
    <definedName name="_DAT55">[3]original!#REF!</definedName>
    <definedName name="_DAT56">[3]original!#REF!</definedName>
    <definedName name="_DAT57">[3]original!#REF!</definedName>
    <definedName name="_DAT58">[3]original!#REF!</definedName>
    <definedName name="_DAT59">[3]original!#REF!</definedName>
    <definedName name="_DAT6">[3]original!#REF!</definedName>
    <definedName name="_DAT60">[3]original!#REF!</definedName>
    <definedName name="_DAT61">[3]original!#REF!</definedName>
    <definedName name="_DAT62">[3]original!#REF!</definedName>
    <definedName name="_DAT63">[3]original!#REF!</definedName>
    <definedName name="_DAT64">[3]original!#REF!</definedName>
    <definedName name="_DAT65">[3]original!#REF!</definedName>
    <definedName name="_DAT66">[3]original!#REF!</definedName>
    <definedName name="_DAT67">[3]original!#REF!</definedName>
    <definedName name="_DAT68">[3]original!#REF!</definedName>
    <definedName name="_DAT69">[3]original!#REF!</definedName>
    <definedName name="_DAT7">[3]original!#REF!</definedName>
    <definedName name="_DAT70">[3]original!#REF!</definedName>
    <definedName name="_DAT71">[3]original!#REF!</definedName>
    <definedName name="_DAT72">[3]original!#REF!</definedName>
    <definedName name="_DAT73">[3]original!#REF!</definedName>
    <definedName name="_DAT74">[3]original!#REF!</definedName>
    <definedName name="_DAT76">[3]original!#REF!</definedName>
    <definedName name="_DAT77">[3]original!#REF!</definedName>
    <definedName name="_DAT78">[3]original!#REF!</definedName>
    <definedName name="_DAT79">[3]original!#REF!</definedName>
    <definedName name="_DAT8">[3]original!#REF!</definedName>
    <definedName name="_DAT80">[3]original!#REF!</definedName>
    <definedName name="_DAT81">[3]original!#REF!</definedName>
    <definedName name="_DAT82">[3]original!#REF!</definedName>
    <definedName name="_DAT83">[3]original!#REF!</definedName>
    <definedName name="_DAT84">[3]original!#REF!</definedName>
    <definedName name="_DAT85">[3]original!#REF!</definedName>
    <definedName name="_DAT86">[3]original!#REF!</definedName>
    <definedName name="_DAT87">[3]original!#REF!</definedName>
    <definedName name="_DAT88">[3]original!#REF!</definedName>
    <definedName name="_DAT89">[3]original!#REF!</definedName>
    <definedName name="_DAT9">#REF!</definedName>
    <definedName name="_DAT90">[3]original!#REF!</definedName>
    <definedName name="_DAT91">[3]original!#REF!</definedName>
    <definedName name="_DAT92">[3]original!#REF!</definedName>
    <definedName name="_DAT93">[3]original!#REF!</definedName>
    <definedName name="_DAT94">[3]original!#REF!</definedName>
    <definedName name="_DAT95">[3]original!#REF!</definedName>
    <definedName name="_DAT96">[3]original!#REF!</definedName>
    <definedName name="_DAT97">[3]original!#REF!</definedName>
    <definedName name="_DAT98">[3]original!#REF!</definedName>
    <definedName name="_DAT99">[3]original!#REF!</definedName>
    <definedName name="_F600001">#REF!</definedName>
    <definedName name="_F600002">#REF!</definedName>
    <definedName name="_F600003">#REF!</definedName>
    <definedName name="_F600004">#REF!</definedName>
    <definedName name="_F600005">#REF!</definedName>
    <definedName name="_F600006">#REF!</definedName>
    <definedName name="_F600007">#REF!</definedName>
    <definedName name="_F600008">#REF!</definedName>
    <definedName name="_F600009">#REF!</definedName>
    <definedName name="_F600010">#REF!</definedName>
    <definedName name="_hl1">#REF!</definedName>
    <definedName name="_hl2">#REF!</definedName>
    <definedName name="_hl3">#REF!</definedName>
    <definedName name="_hl4">#REF!</definedName>
    <definedName name="_hl5">#REF!</definedName>
    <definedName name="_hl6">#REF!</definedName>
    <definedName name="_USD09">'[4]P12 TB SZ'!$H$1:$H$65536</definedName>
    <definedName name="A">#REF!</definedName>
    <definedName name="a01a">#REF!</definedName>
    <definedName name="a02a">#REF!</definedName>
    <definedName name="A1141a">#REF!</definedName>
    <definedName name="A1501a">#REF!</definedName>
    <definedName name="A1701C">#REF!</definedName>
    <definedName name="AB">[5]sell!$A$1:$C$13</definedName>
    <definedName name="AB1447\">#REF!</definedName>
    <definedName name="AFSDGEGQ">#REF!</definedName>
    <definedName name="after_tax">#REF!</definedName>
    <definedName name="AFV" localSheetId="2" hidden="1">#REF!</definedName>
    <definedName name="AFV" hidden="1">#REF!</definedName>
    <definedName name="ar">#REF!</definedName>
    <definedName name="area1">[6]FS!$A$8:$O$92</definedName>
    <definedName name="area2">[6]FS!$A$95:$O$169</definedName>
    <definedName name="area3">[6]FS!$A$174:$K$273</definedName>
    <definedName name="AS2DocOpenMode" hidden="1">"AS2DocumentEdit"</definedName>
    <definedName name="ASDFA">#REF!</definedName>
    <definedName name="ASFDA">#REF!</definedName>
    <definedName name="a暗暗">[7]企业表一!$F$20</definedName>
    <definedName name="B1401a">#REF!</definedName>
    <definedName name="B1501a">#REF!</definedName>
    <definedName name="B1701C">#REF!</definedName>
    <definedName name="bahns">#REF!</definedName>
    <definedName name="bbkm">[8]W!$B$2:$B$65</definedName>
    <definedName name="bbxml">#REF!</definedName>
    <definedName name="before_tax">#REF!</definedName>
    <definedName name="border1">[6]FS!$A$1:$IV$7</definedName>
    <definedName name="border2">[6]FS!$A$1:$IV$7</definedName>
    <definedName name="border3">[6]FS!$A$1:$IV$7</definedName>
    <definedName name="bs" localSheetId="2" hidden="1">{#N/A,#N/A,FALSE,"BBPREP"}</definedName>
    <definedName name="bs" hidden="1">{#N/A,#N/A,FALSE,"BBPREP"}</definedName>
    <definedName name="bs_1" localSheetId="2" hidden="1">{#N/A,#N/A,FALSE,"BBPREP"}</definedName>
    <definedName name="bs_1" hidden="1">{#N/A,#N/A,FALSE,"BBPREP"}</definedName>
    <definedName name="C_301_年末余额">[9]C_301!$F$26</definedName>
    <definedName name="C_311_年末余额">[9]C_311!$K$14</definedName>
    <definedName name="C_318_年末余额">[9]C_318!$H$20</definedName>
    <definedName name="caiwufeiyong.dbf">#REF!</definedName>
    <definedName name="Capital_Reserves">#REF!</definedName>
    <definedName name="CarryKnown" localSheetId="2">#REF!</definedName>
    <definedName name="CarryKnown">#REF!</definedName>
    <definedName name="CarryKnownTable" localSheetId="2">#REF!</definedName>
    <definedName name="CarryKnownTable">#REF!</definedName>
    <definedName name="CarryLikely" localSheetId="2">#REF!</definedName>
    <definedName name="CarryLikely">#REF!</definedName>
    <definedName name="CarryLikelyTable" localSheetId="2">#REF!</definedName>
    <definedName name="CarryLikelyTable">#REF!</definedName>
    <definedName name="Carryover_Effect_of_Prior_Year" localSheetId="2">#REF!</definedName>
    <definedName name="Carryover_Effect_of_Prior_Year">#REF!</definedName>
    <definedName name="CarryoverTitle" localSheetId="2">#REF!</definedName>
    <definedName name="CarryoverTitle">#REF!</definedName>
    <definedName name="CC_Instruction" localSheetId="2">#REF!</definedName>
    <definedName name="CC_Instruction">#REF!</definedName>
    <definedName name="CCD" localSheetId="2" hidden="1">#REF!</definedName>
    <definedName name="CCD" hidden="1">#REF!</definedName>
    <definedName name="CDE" localSheetId="2" hidden="1">#REF!</definedName>
    <definedName name="CDE" hidden="1">#REF!</definedName>
    <definedName name="CE_CarryKnownProtection" localSheetId="2">#REF!</definedName>
    <definedName name="CE_CarryKnownProtection">#REF!</definedName>
    <definedName name="CE_CarryKnownTable" localSheetId="2">#REF!</definedName>
    <definedName name="CE_CarryKnownTable">#REF!</definedName>
    <definedName name="CE_CarryLikely1Protection" localSheetId="2">#REF!</definedName>
    <definedName name="CE_CarryLikely1Protection">#REF!</definedName>
    <definedName name="CE_CarryLikely1Table" localSheetId="2">#REF!</definedName>
    <definedName name="CE_CarryLikely1Table">#REF!</definedName>
    <definedName name="CE_CarryLikely2Protection" localSheetId="2">#REF!</definedName>
    <definedName name="CE_CarryLikely2Protection">#REF!</definedName>
    <definedName name="CE_CarryLikely2Table" localSheetId="2">#REF!</definedName>
    <definedName name="CE_CarryLikely2Table">#REF!</definedName>
    <definedName name="CE_CarryTaxable" localSheetId="2">#REF!</definedName>
    <definedName name="CE_CarryTaxable">#REF!</definedName>
    <definedName name="CE_Desc" localSheetId="2">#REF!</definedName>
    <definedName name="CE_Desc">#REF!</definedName>
    <definedName name="CE_Income" localSheetId="2">#REF!</definedName>
    <definedName name="CE_Income">#REF!</definedName>
    <definedName name="CE_KeepFormat" localSheetId="2">#REF!</definedName>
    <definedName name="CE_KeepFormat">#REF!</definedName>
    <definedName name="CE_KnownChange" localSheetId="2">#REF!</definedName>
    <definedName name="CE_KnownChange">#REF!</definedName>
    <definedName name="CE_KnownFormulaProtection" localSheetId="2">#REF!</definedName>
    <definedName name="CE_KnownFormulaProtection">#REF!</definedName>
    <definedName name="CE_KnownImpact" localSheetId="2">#REF!</definedName>
    <definedName name="CE_KnownImpact">#REF!</definedName>
    <definedName name="CE_Likely1Change" localSheetId="2">#REF!</definedName>
    <definedName name="CE_Likely1Change">#REF!</definedName>
    <definedName name="CE_Likely1FormulaProtection" localSheetId="2">#REF!</definedName>
    <definedName name="CE_Likely1FormulaProtection">#REF!</definedName>
    <definedName name="CE_Likely1Impact" localSheetId="2">#REF!</definedName>
    <definedName name="CE_Likely1Impact">#REF!</definedName>
    <definedName name="CE_Likely2Change" localSheetId="2">#REF!</definedName>
    <definedName name="CE_Likely2Change">#REF!</definedName>
    <definedName name="CE_Likely2FormulaProtection" localSheetId="2">#REF!</definedName>
    <definedName name="CE_Likely2FormulaProtection">#REF!</definedName>
    <definedName name="CE_Likely2Impact" localSheetId="2">#REF!</definedName>
    <definedName name="CE_Likely2Impact">#REF!</definedName>
    <definedName name="CE_SheetCorrect" localSheetId="2">#REF!</definedName>
    <definedName name="CE_SheetCorrect">#REF!</definedName>
    <definedName name="CE_StatementImpact" localSheetId="2">#REF!</definedName>
    <definedName name="CE_StatementImpact">#REF!</definedName>
    <definedName name="CE_TotalProtection" localSheetId="2">#REF!</definedName>
    <definedName name="CE_TotalProtection">#REF!</definedName>
    <definedName name="CE_WholeSheet" localSheetId="2">#REF!</definedName>
    <definedName name="CE_WholeSheet">#REF!</definedName>
    <definedName name="CE_XF1" localSheetId="2">#REF!</definedName>
    <definedName name="CE_XF1">#REF!</definedName>
    <definedName name="CE_XF1Rng1" localSheetId="2">#REF!</definedName>
    <definedName name="CE_XF1Rng1">#REF!</definedName>
    <definedName name="CE_XF1Rng2" localSheetId="2">#REF!</definedName>
    <definedName name="CE_XF1Rng2">#REF!</definedName>
    <definedName name="CE_XF2" localSheetId="2">#REF!</definedName>
    <definedName name="CE_XF2">#REF!</definedName>
    <definedName name="CE_XF2Rng1" localSheetId="2">#REF!</definedName>
    <definedName name="CE_XF2Rng1">#REF!</definedName>
    <definedName name="CE_XF2Rng2" localSheetId="2">#REF!</definedName>
    <definedName name="CE_XF2Rng2">#REF!</definedName>
    <definedName name="CE_XF3" localSheetId="2">#REF!</definedName>
    <definedName name="CE_XF3">#REF!</definedName>
    <definedName name="CE_XF3Rng1" localSheetId="2">#REF!</definedName>
    <definedName name="CE_XF3Rng1">#REF!</definedName>
    <definedName name="CE_XF3Rng2" localSheetId="2">#REF!</definedName>
    <definedName name="CE_XF3Rng2">#REF!</definedName>
    <definedName name="ChecklistQuestion1" localSheetId="2">#REF!</definedName>
    <definedName name="ChecklistQuestion1">#REF!</definedName>
    <definedName name="ChecklistQuestion2" localSheetId="2">#REF!</definedName>
    <definedName name="ChecklistQuestion2">#REF!</definedName>
    <definedName name="ChecklistQuestion3" localSheetId="2">#REF!</definedName>
    <definedName name="ChecklistQuestion3">#REF!</definedName>
    <definedName name="chmxb">#REF!</definedName>
    <definedName name="clah">#REF!</definedName>
    <definedName name="clz">#REF!</definedName>
    <definedName name="Conclusions1" localSheetId="2">#REF!</definedName>
    <definedName name="Conclusions1">#REF!</definedName>
    <definedName name="Conclusions2" localSheetId="2">#REF!</definedName>
    <definedName name="Conclusions2">#REF!</definedName>
    <definedName name="Conclusions3" localSheetId="2">#REF!</definedName>
    <definedName name="Conclusions3">#REF!</definedName>
    <definedName name="Conclusions4" localSheetId="2">#REF!</definedName>
    <definedName name="Conclusions4">#REF!</definedName>
    <definedName name="Control_BS">#REF!</definedName>
    <definedName name="Control_Net_Income">#REF!</definedName>
    <definedName name="CorrectKey" localSheetId="2">#REF!</definedName>
    <definedName name="CorrectKey">#REF!</definedName>
    <definedName name="cosco">#REF!</definedName>
    <definedName name="cost">#REF!</definedName>
    <definedName name="CountryFirstAccRec">#REF!</definedName>
    <definedName name="CountryFirstInt">#REF!</definedName>
    <definedName name="CountryFirstNetStock">#REF!</definedName>
    <definedName name="CountryFirstSal">#REF!</definedName>
    <definedName name="CountryFirstStock">#REF!</definedName>
    <definedName name="CountryFirstSup">#REF!</definedName>
    <definedName name="CountryLastAccRec">#REF!</definedName>
    <definedName name="CountryLastInt">#REF!</definedName>
    <definedName name="CountryLastNetStock">#REF!</definedName>
    <definedName name="CountryLastSal">#REF!</definedName>
    <definedName name="CountryLastStock">#REF!</definedName>
    <definedName name="CountryLastSup">#REF!</definedName>
    <definedName name="Current">#REF!</definedName>
    <definedName name="current_asset">#REF!</definedName>
    <definedName name="Current_Assets">#REF!</definedName>
    <definedName name="Current_Liabilities">#REF!</definedName>
    <definedName name="Current_Year_Known_and_Likely_Misstatements" localSheetId="2">#REF!</definedName>
    <definedName name="Current_Year_Known_and_Likely_Misstatements">#REF!</definedName>
    <definedName name="CY_all_Assets" localSheetId="2">#REF!</definedName>
    <definedName name="CY_all_Assets">#REF!</definedName>
    <definedName name="CY_all_Equity" localSheetId="2">#REF!</definedName>
    <definedName name="CY_all_Equity">#REF!</definedName>
    <definedName name="CY_all_Income" localSheetId="2">#REF!</definedName>
    <definedName name="CY_all_Income">#REF!</definedName>
    <definedName name="CY_all_Liabs" localSheetId="2">#REF!</definedName>
    <definedName name="CY_all_Liabs">#REF!</definedName>
    <definedName name="CY_all_RetEarn_bf" localSheetId="2">#REF!</definedName>
    <definedName name="CY_all_RetEarn_bf">#REF!</definedName>
    <definedName name="CY_knw_Assets" localSheetId="2">#REF!</definedName>
    <definedName name="CY_knw_Assets">#REF!</definedName>
    <definedName name="CY_knw_Equity" localSheetId="2">#REF!</definedName>
    <definedName name="CY_knw_Equity">#REF!</definedName>
    <definedName name="CY_knw_Income" localSheetId="2">#REF!</definedName>
    <definedName name="CY_knw_Income">#REF!</definedName>
    <definedName name="CY_knw_Liabs" localSheetId="2">#REF!</definedName>
    <definedName name="CY_knw_Liabs">#REF!</definedName>
    <definedName name="CY_knw_RetEarn_bf" localSheetId="2">#REF!</definedName>
    <definedName name="CY_knw_RetEarn_bf">#REF!</definedName>
    <definedName name="CY_lik_Assets" localSheetId="2">#REF!</definedName>
    <definedName name="CY_lik_Assets">#REF!</definedName>
    <definedName name="CY_lik_Assets_ex" localSheetId="2">#REF!</definedName>
    <definedName name="CY_lik_Assets_ex">#REF!</definedName>
    <definedName name="CY_lik_Assets_ext" localSheetId="2">#REF!</definedName>
    <definedName name="CY_lik_Assets_ext">#REF!</definedName>
    <definedName name="CY_lik_Equity" localSheetId="2">#REF!</definedName>
    <definedName name="CY_lik_Equity">#REF!</definedName>
    <definedName name="CY_lik_Equity_eX" localSheetId="2">#REF!</definedName>
    <definedName name="CY_lik_Equity_eX">#REF!</definedName>
    <definedName name="CY_lik_Equity_eXt" localSheetId="2">#REF!</definedName>
    <definedName name="CY_lik_Equity_eXt">#REF!</definedName>
    <definedName name="CY_lik_Income" localSheetId="2">#REF!</definedName>
    <definedName name="CY_lik_Income">#REF!</definedName>
    <definedName name="CY_lik_Income_Ex" localSheetId="2">#REF!</definedName>
    <definedName name="CY_lik_Income_Ex">#REF!</definedName>
    <definedName name="CY_lik_Income_Ext" localSheetId="2">#REF!</definedName>
    <definedName name="CY_lik_Income_Ext">#REF!</definedName>
    <definedName name="CY_lik_Liabs" localSheetId="2">#REF!</definedName>
    <definedName name="CY_lik_Liabs">#REF!</definedName>
    <definedName name="CY_lik_Liabs_EX" localSheetId="2">#REF!</definedName>
    <definedName name="CY_lik_Liabs_EX">#REF!</definedName>
    <definedName name="CY_lik_Liabs_EXt" localSheetId="2">#REF!</definedName>
    <definedName name="CY_lik_Liabs_EXt">#REF!</definedName>
    <definedName name="CY_lik_RetEarn_bf" localSheetId="2">#REF!</definedName>
    <definedName name="CY_lik_RetEarn_bf">#REF!</definedName>
    <definedName name="CY_tx_all_Equity" localSheetId="2">#REF!</definedName>
    <definedName name="CY_tx_all_Equity">#REF!</definedName>
    <definedName name="CY_tx_all_Income" localSheetId="2">#REF!</definedName>
    <definedName name="CY_tx_all_Income">#REF!</definedName>
    <definedName name="CY_tx_all_Liabs" localSheetId="2">#REF!</definedName>
    <definedName name="CY_tx_all_Liabs">#REF!</definedName>
    <definedName name="CY_tx_all_RetEarn_bf" localSheetId="2">#REF!</definedName>
    <definedName name="CY_tx_all_RetEarn_bf">#REF!</definedName>
    <definedName name="CY_tx_knw_Equity" localSheetId="2">#REF!</definedName>
    <definedName name="CY_tx_knw_Equity">#REF!</definedName>
    <definedName name="CY_tx_knw_Income" localSheetId="2">#REF!</definedName>
    <definedName name="CY_tx_knw_Income">#REF!</definedName>
    <definedName name="CY_tx_knw_Liabs" localSheetId="2">#REF!</definedName>
    <definedName name="CY_tx_knw_Liabs">#REF!</definedName>
    <definedName name="CY_tx_knw_RetEarn_bf" localSheetId="2">#REF!</definedName>
    <definedName name="CY_tx_knw_RetEarn_bf">#REF!</definedName>
    <definedName name="CY_tx_lik_Equity" localSheetId="2">#REF!</definedName>
    <definedName name="CY_tx_lik_Equity">#REF!</definedName>
    <definedName name="CY_tx_lik_Equity_ex" localSheetId="2">#REF!</definedName>
    <definedName name="CY_tx_lik_Equity_ex">#REF!</definedName>
    <definedName name="CY_tx_lik_Equity_ext" localSheetId="2">#REF!</definedName>
    <definedName name="CY_tx_lik_Equity_ext">#REF!</definedName>
    <definedName name="CY_tx_lik_Income" localSheetId="2">#REF!</definedName>
    <definedName name="CY_tx_lik_Income">#REF!</definedName>
    <definedName name="CY_tx_lik_Income_ex" localSheetId="2">#REF!</definedName>
    <definedName name="CY_tx_lik_Income_ex">#REF!</definedName>
    <definedName name="CY_tx_lik_Income_ext" localSheetId="2">#REF!</definedName>
    <definedName name="CY_tx_lik_Income_ext">#REF!</definedName>
    <definedName name="CY_tx_lik_Liabs" localSheetId="2">#REF!</definedName>
    <definedName name="CY_tx_lik_Liabs">#REF!</definedName>
    <definedName name="CY_tx_lik_Liabs_ex" localSheetId="2">#REF!</definedName>
    <definedName name="CY_tx_lik_Liabs_ex">#REF!</definedName>
    <definedName name="CY_tx_lik_Liabs_ext" localSheetId="2">#REF!</definedName>
    <definedName name="CY_tx_lik_Liabs_ext">#REF!</definedName>
    <definedName name="CY_tx_lik_RetEarn_bf" localSheetId="2">#REF!</definedName>
    <definedName name="CY_tx_lik_RetEarn_bf">#REF!</definedName>
    <definedName name="CY_tx_lik_RetEarn_bf_ex" localSheetId="2">#REF!</definedName>
    <definedName name="CY_tx_lik_RetEarn_bf_ex">#REF!</definedName>
    <definedName name="CY_tx_lik_RetEarn_bf_ext" localSheetId="2">#REF!</definedName>
    <definedName name="CY_tx_lik_RetEarn_bf_ext">#REF!</definedName>
    <definedName name="d">#REF!</definedName>
    <definedName name="DATA">#REF!</definedName>
    <definedName name="_xlnm.Database" localSheetId="2">[10]B!#REF!</definedName>
    <definedName name="_xlnm.Database">[10]B!#REF!</definedName>
    <definedName name="dddd">[11]B!#REF!</definedName>
    <definedName name="DEX" localSheetId="2" hidden="1">#REF!</definedName>
    <definedName name="DEX" hidden="1">#REF!</definedName>
    <definedName name="didi">#REF!</definedName>
    <definedName name="dmbtr">#REF!</definedName>
    <definedName name="E1888\">#REF!</definedName>
    <definedName name="EDC" localSheetId="2" hidden="1">#REF!</definedName>
    <definedName name="EDC" hidden="1">#REF!</definedName>
    <definedName name="ee">[12]B!#REF!</definedName>
    <definedName name="Effective_Tax_Rate" localSheetId="2">#REF!</definedName>
    <definedName name="Effective_Tax_Rate">#REF!</definedName>
    <definedName name="F">#REF!</definedName>
    <definedName name="FAD" localSheetId="2" hidden="1">[13]Breakdown!#REF!</definedName>
    <definedName name="FAD" hidden="1">[13]Breakdown!#REF!</definedName>
    <definedName name="FALD">#REF!</definedName>
    <definedName name="FASD" localSheetId="2" hidden="1">#REF!</definedName>
    <definedName name="FASD" hidden="1">#REF!</definedName>
    <definedName name="FEDC" localSheetId="2" hidden="1">'[14]2004'!#REF!</definedName>
    <definedName name="FEDC" hidden="1">'[14]2004'!#REF!</definedName>
    <definedName name="ffd">[7]企业表一!$E$20</definedName>
    <definedName name="Finance_costs">#REF!</definedName>
    <definedName name="firow">#REF!</definedName>
    <definedName name="Fixed_assests">#REF!</definedName>
    <definedName name="fixedassets">#REF!</definedName>
    <definedName name="fuck">[15]资产负债表!#REF!</definedName>
    <definedName name="gender">[16]Title!$A$2:$A$3</definedName>
    <definedName name="gugi">#REF!</definedName>
    <definedName name="hg">#REF!</definedName>
    <definedName name="hjl">#REF!</definedName>
    <definedName name="I">[5]fin!$A$1:$K$9</definedName>
    <definedName name="inventory">#REF!</definedName>
    <definedName name="io">#REF!</definedName>
    <definedName name="kk">[17]W!#REF!</definedName>
    <definedName name="klime">#REF!</definedName>
    <definedName name="Known" localSheetId="2">#REF!</definedName>
    <definedName name="Known">#REF!</definedName>
    <definedName name="KnownTable" localSheetId="2">#REF!</definedName>
    <definedName name="KnownTable">#REF!</definedName>
    <definedName name="KnownTitle" localSheetId="2">#REF!</definedName>
    <definedName name="KnownTitle">#REF!</definedName>
    <definedName name="KUM">#REF!</definedName>
    <definedName name="kunnr">#REF!</definedName>
    <definedName name="lalala">#REF!</definedName>
    <definedName name="liability">#REF!</definedName>
    <definedName name="Likely1" localSheetId="2">#REF!</definedName>
    <definedName name="Likely1">#REF!</definedName>
    <definedName name="Likely2" localSheetId="2">#REF!</definedName>
    <definedName name="Likely2">#REF!</definedName>
    <definedName name="LikelyTable1" localSheetId="2">#REF!</definedName>
    <definedName name="LikelyTable1">#REF!</definedName>
    <definedName name="LikelyTable2" localSheetId="2">#REF!</definedName>
    <definedName name="LikelyTable2">#REF!</definedName>
    <definedName name="LikelyTitle" localSheetId="2">#REF!</definedName>
    <definedName name="LikelyTitle">#REF!</definedName>
    <definedName name="long">#REF!</definedName>
    <definedName name="Long_term_investment">#REF!</definedName>
    <definedName name="MACRO09">'[4]P12 TB SZ'!$A$1:$A$65536</definedName>
    <definedName name="Materiality" localSheetId="2">#REF!</definedName>
    <definedName name="Materiality">#REF!</definedName>
    <definedName name="mfg">#REF!</definedName>
    <definedName name="miranda">#REF!</definedName>
    <definedName name="Monetary_Precision" localSheetId="2">#REF!</definedName>
    <definedName name="Monetary_Precision">#REF!</definedName>
    <definedName name="mxkm">[8]W!$D$2:$D$59</definedName>
    <definedName name="mxxml">#REF!</definedName>
    <definedName name="name">#REF!</definedName>
    <definedName name="name1">#REF!</definedName>
    <definedName name="Non_current_Assets">#REF!</definedName>
    <definedName name="Non_current_Liabilities">#REF!</definedName>
    <definedName name="OC_Instruction" localSheetId="2">#REF!</definedName>
    <definedName name="OC_Instruction">#REF!</definedName>
    <definedName name="Operating_expenses">#REF!</definedName>
    <definedName name="Other_assets">#REF!</definedName>
    <definedName name="Other_Reserves">#REF!</definedName>
    <definedName name="OtherConditions" localSheetId="2">#REF!</definedName>
    <definedName name="OtherConditions">#REF!</definedName>
    <definedName name="otherlia">'[18]other lia'!$A$1:$K$35</definedName>
    <definedName name="Owner_equity">#REF!</definedName>
    <definedName name="owners_equity">#REF!</definedName>
    <definedName name="PercAccRec">#REF!</definedName>
    <definedName name="PercInt">#REF!</definedName>
    <definedName name="PercNetStock">#REF!</definedName>
    <definedName name="PercSal">#REF!</definedName>
    <definedName name="PercStock">#REF!</definedName>
    <definedName name="PercSup">#REF!</definedName>
    <definedName name="pl">'[19]PRC-BS-SZ'!$A$1:$C$52</definedName>
    <definedName name="PRCGAAP">#REF!</definedName>
    <definedName name="PRCGAAP2">#REF!</definedName>
    <definedName name="Pre_tax_materiality" localSheetId="2">#REF!</definedName>
    <definedName name="Pre_tax_materiality">#REF!</definedName>
    <definedName name="Precision" localSheetId="2">#REF!</definedName>
    <definedName name="Precision">#REF!</definedName>
    <definedName name="preparment">[18]prepayment!$A$1:$K$11</definedName>
    <definedName name="prepay">#REF!</definedName>
    <definedName name="_xlnm.Print_Area" localSheetId="2">'S34-20-1重要劳务外包公司分析'!$A$1:$P$43</definedName>
    <definedName name="_xlnm.Print_Area" localSheetId="1">'S34-20程序表'!$A$1:$H$18</definedName>
    <definedName name="_xlnm.Print_Area">#REF!</definedName>
    <definedName name="Print_Area_MI" localSheetId="2">#REF!</definedName>
    <definedName name="Print_Area_MI">#REF!</definedName>
    <definedName name="print_area1" localSheetId="2">#REF!</definedName>
    <definedName name="print_area1">#REF!</definedName>
    <definedName name="Prior" localSheetId="2">#REF!</definedName>
    <definedName name="Prior">#REF!</definedName>
    <definedName name="PY_all_Equity" localSheetId="2">#REF!</definedName>
    <definedName name="PY_all_Equity">#REF!</definedName>
    <definedName name="PY_all_Income" localSheetId="2">#REF!</definedName>
    <definedName name="PY_all_Income">#REF!</definedName>
    <definedName name="PY_all_RetEarn" localSheetId="2">#REF!</definedName>
    <definedName name="PY_all_RetEarn">#REF!</definedName>
    <definedName name="PY_knw_Income" localSheetId="2">#REF!</definedName>
    <definedName name="PY_knw_Income">#REF!</definedName>
    <definedName name="PY_knw_RetEarn" localSheetId="2">#REF!</definedName>
    <definedName name="PY_knw_RetEarn">#REF!</definedName>
    <definedName name="PY_lik_Income" localSheetId="2">#REF!</definedName>
    <definedName name="PY_lik_Income">#REF!</definedName>
    <definedName name="PY_lik_RetEarn" localSheetId="2">#REF!</definedName>
    <definedName name="PY_lik_RetEarn">#REF!</definedName>
    <definedName name="PY_tot_knw_Xfoot" localSheetId="2">#REF!</definedName>
    <definedName name="PY_tot_knw_Xfoot">#REF!</definedName>
    <definedName name="PY_tot_lik_Xfoot" localSheetId="2">#REF!</definedName>
    <definedName name="PY_tot_lik_Xfoot">#REF!</definedName>
    <definedName name="PY_tx_all_Income" localSheetId="2">#REF!</definedName>
    <definedName name="PY_tx_all_Income">#REF!</definedName>
    <definedName name="PY_tx_all_RetEarn" localSheetId="2">#REF!</definedName>
    <definedName name="PY_tx_all_RetEarn">#REF!</definedName>
    <definedName name="PY_tx_knw_Income" localSheetId="2">#REF!</definedName>
    <definedName name="PY_tx_knw_Income">#REF!</definedName>
    <definedName name="PY_tx_knw_RetEarn" localSheetId="2">#REF!</definedName>
    <definedName name="PY_tx_knw_RetEarn">#REF!</definedName>
    <definedName name="PY_tx_lik_Income" localSheetId="2">#REF!</definedName>
    <definedName name="PY_tx_lik_Income">#REF!</definedName>
    <definedName name="PY_tx_lik_RetEarn" localSheetId="2">#REF!</definedName>
    <definedName name="PY_tx_lik_RetEarn">#REF!</definedName>
    <definedName name="q">#REF!</definedName>
    <definedName name="QC_Instruction" localSheetId="2">#REF!</definedName>
    <definedName name="QC_Instruction">#REF!</definedName>
    <definedName name="qcbbkm">[20]W!$E$2:$E$84</definedName>
    <definedName name="Qualitative1" localSheetId="2">#REF!</definedName>
    <definedName name="Qualitative1">#REF!</definedName>
    <definedName name="Qualitative2" localSheetId="2">#REF!</definedName>
    <definedName name="Qualitative2">#REF!</definedName>
    <definedName name="Qualitative3" localSheetId="2">#REF!</definedName>
    <definedName name="Qualitative3">#REF!</definedName>
    <definedName name="QualitativeTextBox" localSheetId="2">#REF!</definedName>
    <definedName name="QualitativeTextBox">#REF!</definedName>
    <definedName name="RATE1">#REF!</definedName>
    <definedName name="RATE2">#REF!</definedName>
    <definedName name="RATE3">#REF!</definedName>
    <definedName name="RATE4">#REF!</definedName>
    <definedName name="RATE5">#REF!</definedName>
    <definedName name="RATE6">#REF!</definedName>
    <definedName name="RATE9">#REF!</definedName>
    <definedName name="RD.CC">#REF!</definedName>
    <definedName name="RD.SC">#REF!</definedName>
    <definedName name="RDES" localSheetId="2" hidden="1">#REF!</definedName>
    <definedName name="RDES" hidden="1">#REF!</definedName>
    <definedName name="relaco">#REF!</definedName>
    <definedName name="relateco2">#REF!</definedName>
    <definedName name="RESERVE">#REF!</definedName>
    <definedName name="Retained_Earnings">#REF!</definedName>
    <definedName name="Revaluation_Reserves">#REF!</definedName>
    <definedName name="richard">#REF!</definedName>
    <definedName name="s">#REF!</definedName>
    <definedName name="sales">#REF!</definedName>
    <definedName name="SD">#REF!</definedName>
    <definedName name="sda">#REF!</definedName>
    <definedName name="SDF">#REF!</definedName>
    <definedName name="SDFA">#REF!</definedName>
    <definedName name="SDFSD">#REF!</definedName>
    <definedName name="sell">#REF!</definedName>
    <definedName name="SF">#REF!</definedName>
    <definedName name="Share_Capital">#REF!</definedName>
    <definedName name="Share_Premium">#REF!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3">#REF!</definedName>
    <definedName name="Sheet4">#REF!</definedName>
    <definedName name="Sheet5">#REF!</definedName>
    <definedName name="Sheet6">#REF!</definedName>
    <definedName name="Sheet7">#REF!</definedName>
    <definedName name="Sheet8">#REF!</definedName>
    <definedName name="Sheet9">#REF!</definedName>
    <definedName name="shengchanqi8">#REF!</definedName>
    <definedName name="shengchanqi9">#REF!</definedName>
    <definedName name="Short_term\">#REF!</definedName>
    <definedName name="Short_term_liability">#REF!</definedName>
    <definedName name="shuijingjifujia.dbf">#REF!</definedName>
    <definedName name="sj">[17]W!$B$2:$B$3</definedName>
    <definedName name="SM_CurrentYearHyplnk" localSheetId="2">#REF!</definedName>
    <definedName name="SM_CurrentYearHyplnk">#REF!</definedName>
    <definedName name="SM_PriorYearHyplnk" localSheetId="2">#REF!</definedName>
    <definedName name="SM_PriorYearHyplnk">#REF!</definedName>
    <definedName name="SM_WholeSheet" localSheetId="2">#REF!</definedName>
    <definedName name="SM_WholeSheet">#REF!</definedName>
    <definedName name="ss">#REF!</definedName>
    <definedName name="SummaryCOKnownProtection" localSheetId="2">#REF!</definedName>
    <definedName name="SummaryCOKnownProtection">#REF!</definedName>
    <definedName name="SummaryCOLikelyProtection" localSheetId="2">#REF!</definedName>
    <definedName name="SummaryCOLikelyProtection">#REF!</definedName>
    <definedName name="SummaryKnownProtection" localSheetId="2">#REF!</definedName>
    <definedName name="SummaryKnownProtection">#REF!</definedName>
    <definedName name="SummaryLikely1Protection" localSheetId="2">#REF!</definedName>
    <definedName name="SummaryLikely1Protection">#REF!</definedName>
    <definedName name="SummaryLikely2Protection" localSheetId="2">#REF!</definedName>
    <definedName name="SummaryLikely2Protection">#REF!</definedName>
    <definedName name="sy">#REF!</definedName>
    <definedName name="syh">[8]W!$A$2:$A$65</definedName>
    <definedName name="tax">#REF!</definedName>
    <definedName name="Tax_Effect_Income" localSheetId="2">#REF!</definedName>
    <definedName name="Tax_Effect_Income">#REF!</definedName>
    <definedName name="Tax_Effect_Liabs" localSheetId="2">#REF!</definedName>
    <definedName name="Tax_Effect_Liabs">#REF!</definedName>
    <definedName name="Tax_Effect_RetEarn" localSheetId="2">#REF!</definedName>
    <definedName name="Tax_Effect_RetEarn">#REF!</definedName>
    <definedName name="Tax_Rate" localSheetId="2">#REF!</definedName>
    <definedName name="Tax_Rate">#REF!</definedName>
    <definedName name="TEST0">#REF!</definedName>
    <definedName name="TEST1">#REF!</definedName>
    <definedName name="TESTHKEY">#REF!</definedName>
    <definedName name="TESTKEYS">#REF!</definedName>
    <definedName name="TESTVKEY">#REF!</definedName>
    <definedName name="TextRefCopy1">#REF!</definedName>
    <definedName name="TextRefCopyRangeCount" hidden="1">136</definedName>
    <definedName name="Threshold" localSheetId="2">#REF!</definedName>
    <definedName name="Threshold">#REF!</definedName>
    <definedName name="Threshold_for_Accumulating" localSheetId="2">#REF!</definedName>
    <definedName name="Threshold_for_Accumulating">#REF!</definedName>
    <definedName name="time">#REF!</definedName>
    <definedName name="Tot_knw_Xfoot" localSheetId="2">#REF!</definedName>
    <definedName name="Tot_knw_Xfoot">#REF!</definedName>
    <definedName name="Tot_lik_Xfoot" localSheetId="2">#REF!</definedName>
    <definedName name="Tot_lik_Xfoot">#REF!</definedName>
    <definedName name="Tot_lik_Xfoot_ex" localSheetId="2">#REF!</definedName>
    <definedName name="Tot_lik_Xfoot_ex">#REF!</definedName>
    <definedName name="Tot_lik_Xfoot_ext" localSheetId="2">#REF!</definedName>
    <definedName name="Tot_lik_Xfoot_ext">#REF!</definedName>
    <definedName name="Total_Assets">#REF!</definedName>
    <definedName name="TOTAL_KNOWN" localSheetId="2">#REF!</definedName>
    <definedName name="TOTAL_KNOWN">#REF!</definedName>
    <definedName name="Total_Liabilities">#REF!</definedName>
    <definedName name="TotalCarryOver" localSheetId="2">#REF!</definedName>
    <definedName name="TotalCarryOver">#REF!</definedName>
    <definedName name="TotalCurrentYear" localSheetId="2">#REF!</definedName>
    <definedName name="TotalCurrentYear">#REF!</definedName>
    <definedName name="TotalKnownCheck" localSheetId="2">#REF!</definedName>
    <definedName name="TotalKnownCheck">#REF!</definedName>
    <definedName name="TotBU">#REF!</definedName>
    <definedName name="UFPrn20020120153922">#REF!</definedName>
    <definedName name="UFPrn20020129135956">#REF!</definedName>
    <definedName name="UFPrn20020129140103">#REF!</definedName>
    <definedName name="UFPrn20020129140202">#REF!</definedName>
    <definedName name="UFPrn20020129140404">#REF!</definedName>
    <definedName name="UFPrn20020129140614">#REF!</definedName>
    <definedName name="UFPrn20020129140653">#REF!</definedName>
    <definedName name="UFPrn20020129140730">#REF!</definedName>
    <definedName name="UFPrn20020201152344">#REF!</definedName>
    <definedName name="UFPrn20020301105444">#REF!</definedName>
    <definedName name="UFPrn20020302105521">#REF!</definedName>
    <definedName name="UFPrn20020302105727">#REF!</definedName>
    <definedName name="UFPrn20020302141827">#REF!</definedName>
    <definedName name="UFPrn20020302141857">#REF!</definedName>
    <definedName name="UFPrn20020302141928">#REF!</definedName>
    <definedName name="UFPrn20020302142027">#REF!</definedName>
    <definedName name="UFPrn20020302142059">#REF!</definedName>
    <definedName name="UFPrn20020302142134">#REF!</definedName>
    <definedName name="UFPrn20020302142201">#REF!</definedName>
    <definedName name="UFPrn20020302142228">#REF!</definedName>
    <definedName name="UFPrn20020303093924">#REF!</definedName>
    <definedName name="UFPrn20020303094009">#REF!</definedName>
    <definedName name="UFPrn20020303094056">#REF!</definedName>
    <definedName name="UFPrn20020303094209">#REF!</definedName>
    <definedName name="UFPrn20020303094311">#REF!</definedName>
    <definedName name="UFPrn20020303094400">#REF!</definedName>
    <definedName name="UFPrn20020309161349">#REF!</definedName>
    <definedName name="UFPrn20020310141243">#REF!</definedName>
    <definedName name="UFPrn20020310141327">#REF!</definedName>
    <definedName name="UFPrn20020310141355">#REF!</definedName>
    <definedName name="UFPrn20020310141456">#REF!</definedName>
    <definedName name="UFPrn20020310141539">#REF!</definedName>
    <definedName name="UFPrn20020310141619">#REF!</definedName>
    <definedName name="UFPrn20020310141651">#REF!</definedName>
    <definedName name="UFPrn20020310142531">#REF!</definedName>
    <definedName name="UFPrn20020310142744">#REF!</definedName>
    <definedName name="UFPrn20020310142844">#REF!</definedName>
    <definedName name="UFPrn20020310143105">#REF!</definedName>
    <definedName name="UFPrn20020310143151">#REF!</definedName>
    <definedName name="UFPrn20020317170200">#REF!</definedName>
    <definedName name="UFPrn20020426154224">#REF!</definedName>
    <definedName name="UFPrn20020610092042">#REF!</definedName>
    <definedName name="UFPrn20020709085811">#REF!</definedName>
    <definedName name="UFPrn20020715153244">#REF!</definedName>
    <definedName name="UFPrn20020717133652">#REF!</definedName>
    <definedName name="UFPrn20020722143003">#REF!</definedName>
    <definedName name="UFPrn20021008134934">#REF!</definedName>
    <definedName name="UFPrn20030107130737">#REF!</definedName>
    <definedName name="UFPrn20030108134622">#REF!</definedName>
    <definedName name="UFPrn20030110164906">#REF!</definedName>
    <definedName name="UFPrn20030114114347">#REF!</definedName>
    <definedName name="UFPrn20030114121044">#REF!</definedName>
    <definedName name="UFPrn20030114121335">#REF!</definedName>
    <definedName name="UFPrn20030208161316">#REF!</definedName>
    <definedName name="UFPrn20030208161641">#REF!</definedName>
    <definedName name="UFPrn20030211171155">#REF!</definedName>
    <definedName name="UFPrn20030211171418">#REF!</definedName>
    <definedName name="UFPrn20030211172416">#REF!</definedName>
    <definedName name="UFPrn20030211172453">#REF!</definedName>
    <definedName name="UFPrn20030212192326">#REF!</definedName>
    <definedName name="UFPrn20030213110429">#REF!</definedName>
    <definedName name="UFPrn20030213110447">#REF!</definedName>
    <definedName name="UFPrn20030213110511">#REF!</definedName>
    <definedName name="UFPrn20030213110535">#REF!</definedName>
    <definedName name="UFPrn20030213110557">#REF!</definedName>
    <definedName name="UFPrn20030213110617">#REF!</definedName>
    <definedName name="UFPrn20030213110636">#REF!</definedName>
    <definedName name="UFPrn20030213110704">#REF!</definedName>
    <definedName name="UFPrn20030213110726">#REF!</definedName>
    <definedName name="UFPrn20030213110745">#REF!</definedName>
    <definedName name="UFPrn20030213110803">#REF!</definedName>
    <definedName name="UFPrn20030213110822">#REF!</definedName>
    <definedName name="UFPrn20030415145352">#REF!</definedName>
    <definedName name="UFPrn20030415145852">#REF!</definedName>
    <definedName name="UFPrn20030422113829">#REF!</definedName>
    <definedName name="UFPrn20030422114203">#REF!</definedName>
    <definedName name="UFPrn20030424105518">#REF!</definedName>
    <definedName name="UFPrn20031101102350">#REF!</definedName>
    <definedName name="UFPrn20031101102457">#REF!</definedName>
    <definedName name="UFPrn20031111093752">#REF!</definedName>
    <definedName name="UFPrn20031111093913">#REF!</definedName>
    <definedName name="UFPrn20031111102127">#REF!</definedName>
    <definedName name="UFPrn20031111102908">#REF!</definedName>
    <definedName name="UFPrn20031111112918">#REF!</definedName>
    <definedName name="UFPrn20031111182206">#REF!</definedName>
    <definedName name="UFPrn20031111182243">#REF!</definedName>
    <definedName name="UFPrn20031111182321">#REF!</definedName>
    <definedName name="UFPrn20031112084952">#REF!</definedName>
    <definedName name="UFPrn20031112085442">#REF!</definedName>
    <definedName name="UFPrn20031112172623">#REF!</definedName>
    <definedName name="UFPrn20031113083938">#REF!</definedName>
    <definedName name="UFPrn20031114182129">[21]UFPrn20031114182129!$A$1:$C$2619</definedName>
    <definedName name="UFPrn20031203194659" localSheetId="2">#REF!</definedName>
    <definedName name="UFPrn20031203194659">#REF!</definedName>
    <definedName name="UFPrn20031203195053">[22]UFPrn20031203195053!$E$6:$H$46</definedName>
    <definedName name="UFPrn20031230161818" localSheetId="2">#REF!</definedName>
    <definedName name="UFPrn20031230161818">#REF!</definedName>
    <definedName name="UFPrn20031230161854" localSheetId="2">#REF!</definedName>
    <definedName name="UFPrn20031230161854">#REF!</definedName>
    <definedName name="UFPrn20031230161930" localSheetId="2">#REF!</definedName>
    <definedName name="UFPrn20031230161930">#REF!</definedName>
    <definedName name="UFPrn20031230164858">#REF!</definedName>
    <definedName name="UFPrn20031230170410">#REF!</definedName>
    <definedName name="UFPrn20031230170535">#REF!</definedName>
    <definedName name="UFPrn20040105141413">#REF!</definedName>
    <definedName name="UFPrn20040107185142">[6]gl!$A$2:$K$242</definedName>
    <definedName name="UFPrn20040108140619" localSheetId="2">#REF!</definedName>
    <definedName name="UFPrn20040108140619">#REF!</definedName>
    <definedName name="UFPrn20040108140716" localSheetId="2">#REF!</definedName>
    <definedName name="UFPrn20040108140716">#REF!</definedName>
    <definedName name="UFPrn20040108161256">[6]Adm!$A$1:$F$46</definedName>
    <definedName name="UFPrn20040108161343">[6]sell!$A$1:$E$23</definedName>
    <definedName name="UFPrn20040108161418">[6]Fin!$A$1:$D$7</definedName>
    <definedName name="UFPrn20040108212803" localSheetId="2">#REF!</definedName>
    <definedName name="UFPrn20040108212803">#REF!</definedName>
    <definedName name="UFPrn20040108212855" localSheetId="2">#REF!</definedName>
    <definedName name="UFPrn20040108212855">#REF!</definedName>
    <definedName name="UFPrn20040206155313" localSheetId="2">#REF!</definedName>
    <definedName name="UFPrn20040206155313">#REF!</definedName>
    <definedName name="UFPrn20040206155410">#REF!</definedName>
    <definedName name="UFPrn20040206155453">#REF!</definedName>
    <definedName name="UFPrn20040206155542">#REF!</definedName>
    <definedName name="UFPrn20040206155736">#REF!</definedName>
    <definedName name="UFPrn20040206155841">#REF!</definedName>
    <definedName name="UFPrn20040206155907">#REF!</definedName>
    <definedName name="UFPrn20040211084218">#REF!</definedName>
    <definedName name="UFPrn20040303084601">#REF!</definedName>
    <definedName name="UFPrn20040323174131">#REF!</definedName>
    <definedName name="UFPrn20040405225024">#REF!</definedName>
    <definedName name="UFPrn20040422164214">#REF!</definedName>
    <definedName name="UFPrn20040505102210">'[18]related co'!$A$1:$I$10</definedName>
    <definedName name="UFPrn20040505104854">[18]adm!$A$1:$E$40</definedName>
    <definedName name="UFPrn20040505104922">[18]sel!$A$1:$F$21</definedName>
    <definedName name="UFPrn20040505155852">[18]AR!$A$1:$F$42</definedName>
    <definedName name="UFPrn20050119091029" localSheetId="2">#REF!</definedName>
    <definedName name="UFPrn20050119091029">#REF!</definedName>
    <definedName name="UFPrn20050119092447" localSheetId="2">#REF!</definedName>
    <definedName name="UFPrn20050119092447">#REF!</definedName>
    <definedName name="UFPrn20050321174253" localSheetId="2">#REF!</definedName>
    <definedName name="UFPrn20050321174253">#REF!</definedName>
    <definedName name="UFPrn20051027160140">#REF!</definedName>
    <definedName name="UFPrn20051027172739">#REF!</definedName>
    <definedName name="UFPrn20051103141418">#REF!</definedName>
    <definedName name="UFPrn20060721155740">#REF!</definedName>
    <definedName name="UFPrn20071205095615">#REF!</definedName>
    <definedName name="UFPrn20071205103259">#REF!</definedName>
    <definedName name="UFPrn20071205103331">#REF!</definedName>
    <definedName name="UFPrn20071205103404">#REF!</definedName>
    <definedName name="UFPrn20071205103449">#REF!</definedName>
    <definedName name="UFPrn20071205103544">#REF!</definedName>
    <definedName name="UFPrn20071205103726">#REF!</definedName>
    <definedName name="UFPrn20071205103910">#REF!</definedName>
    <definedName name="UFPrn20071205104255">#REF!</definedName>
    <definedName name="UFPrn20071205104641">#REF!</definedName>
    <definedName name="UFPrn20140208163509">#REF!</definedName>
    <definedName name="VFE" localSheetId="2" hidden="1">#REF!</definedName>
    <definedName name="VFE" hidden="1">#REF!</definedName>
    <definedName name="W">[23]Sheet1!$A$1:$L$6066</definedName>
    <definedName name="waers" localSheetId="2">#REF!</definedName>
    <definedName name="waers">#REF!</definedName>
    <definedName name="Work_Program_By_Area_List" localSheetId="2">#REF!</definedName>
    <definedName name="Work_Program_By_Area_List">#REF!</definedName>
    <definedName name="worksheet" localSheetId="2">#REF!</definedName>
    <definedName name="worksheet">#REF!</definedName>
    <definedName name="wrbtr">#REF!</definedName>
    <definedName name="wrn.Aging._.and._.Trend._.Analysis." localSheetId="2">{#N/A,#N/A,FALSE,"Aging Summary";#N/A,#N/A,FALSE,"Ratio Analysis";#N/A,#N/A,FALSE,"Test 120 Day Accts";#N/A,#N/A,FALSE,"Tickmarks"}</definedName>
    <definedName name="wrn.Aging._.and._.Trend._.Analysis.">{#N/A,#N/A,FALSE,"Aging Summary";#N/A,#N/A,FALSE,"Ratio Analysis";#N/A,#N/A,FALSE,"Test 120 Day Accts";#N/A,#N/A,FALSE,"Tickmarks"}</definedName>
    <definedName name="wrn.new" localSheetId="2">{#N/A,#N/A,FALSE,"Aging Summary";#N/A,#N/A,FALSE,"Ratio Analysis";#N/A,#N/A,FALSE,"Test 120 Day Accts";#N/A,#N/A,FALSE,"Tickmarks"}</definedName>
    <definedName name="wrn.new">{#N/A,#N/A,FALSE,"Aging Summary";#N/A,#N/A,FALSE,"Ratio Analysis";#N/A,#N/A,FALSE,"Test 120 Day Accts";#N/A,#N/A,FALSE,"Tickmarks"}</definedName>
    <definedName name="XAP" localSheetId="2" hidden="1">#REF!</definedName>
    <definedName name="XAP" hidden="1">#REF!</definedName>
    <definedName name="XAQ" localSheetId="2" hidden="1">#REF!</definedName>
    <definedName name="XAQ" hidden="1">#REF!</definedName>
    <definedName name="XCD" localSheetId="2" hidden="1">#REF!</definedName>
    <definedName name="XCD" hidden="1">#REF!</definedName>
    <definedName name="XREF_COLUMN_1" localSheetId="2" hidden="1">#REF!</definedName>
    <definedName name="XREF_COLUMN_1" hidden="1">#REF!</definedName>
    <definedName name="XREF_COLUMN_2" localSheetId="2" hidden="1">[13]Breakdown!#REF!</definedName>
    <definedName name="XREF_COLUMN_2" hidden="1">[13]Breakdown!#REF!</definedName>
    <definedName name="XREF_COLUMN_3" localSheetId="2" hidden="1">#REF!</definedName>
    <definedName name="XREF_COLUMN_3" hidden="1">#REF!</definedName>
    <definedName name="XREF_COLUMN_5" localSheetId="2" hidden="1">'[14]2004'!#REF!</definedName>
    <definedName name="XREF_COLUMN_5" hidden="1">'[14]2004'!#REF!</definedName>
    <definedName name="XRefActiveRow" localSheetId="2" hidden="1">#REF!</definedName>
    <definedName name="XRefActiveRow" hidden="1">#REF!</definedName>
    <definedName name="XRefColumnsCount" hidden="1">2</definedName>
    <definedName name="XRefCopy1" localSheetId="2" hidden="1">#REF!</definedName>
    <definedName name="XRefCopy1" hidden="1">#REF!</definedName>
    <definedName name="XRefCopy1Row" localSheetId="2" hidden="1">#REF!</definedName>
    <definedName name="XRefCopy1Row" hidden="1">#REF!</definedName>
    <definedName name="XRefCopy2Row" localSheetId="2" hidden="1">#REF!</definedName>
    <definedName name="XRefCopy2Row" hidden="1">#REF!</definedName>
    <definedName name="XRefCopyRangeCount" hidden="1">2</definedName>
    <definedName name="XRefPaste1" localSheetId="2" hidden="1">#REF!</definedName>
    <definedName name="XRefPaste1" hidden="1">#REF!</definedName>
    <definedName name="XRefPaste1Row" localSheetId="2" hidden="1">#REF!</definedName>
    <definedName name="XRefPaste1Row" hidden="1">#REF!</definedName>
    <definedName name="XRefPaste2" localSheetId="2" hidden="1">#REF!</definedName>
    <definedName name="XRefPaste2" hidden="1">#REF!</definedName>
    <definedName name="XRefPaste2Row" localSheetId="2" hidden="1">#REF!</definedName>
    <definedName name="XRefPaste2Row" hidden="1">#REF!</definedName>
    <definedName name="XRefPaste3" localSheetId="2" hidden="1">#REF!</definedName>
    <definedName name="XRefPaste3" hidden="1">#REF!</definedName>
    <definedName name="XRefPaste3Row" localSheetId="2" hidden="1">#REF!</definedName>
    <definedName name="XRefPaste3Row" hidden="1">#REF!</definedName>
    <definedName name="XRefPasteRangeCount" hidden="1">2</definedName>
    <definedName name="XVC">#REF!</definedName>
    <definedName name="yingfugongzi.dbf">#REF!</definedName>
    <definedName name="yinghsou__">#REF!</definedName>
    <definedName name="yinghsou_jinhengsheng">#REF!</definedName>
    <definedName name="yinghsou_shui">#REF!</definedName>
    <definedName name="yingshou_">#REF!</definedName>
    <definedName name="yingshou___">#REF!</definedName>
    <definedName name="yingshou_hengji">#REF!</definedName>
    <definedName name="yingshou_qingdao">#REF!</definedName>
    <definedName name="yingshou_qita">#REF!</definedName>
    <definedName name="yingshou_shantou">#REF!</definedName>
    <definedName name="yushou_01">#REF!</definedName>
    <definedName name="yushou_1">#REF!</definedName>
    <definedName name="yushou_25">#REF!</definedName>
    <definedName name="yushou_qita">#REF!</definedName>
    <definedName name="Z_47D4C474_81EA_4562_A03B_66488F80C527_.wvu.FilterData" hidden="1">#REF!</definedName>
    <definedName name="Z_85E7D15F_9559_4B54_A2EE_DCCECE011EC4_.wvu.Cols" hidden="1">#REF!</definedName>
    <definedName name="zhb">[24]完!$C$2:$C$133</definedName>
    <definedName name="zhb1">[25]W!$C$2:$C$133</definedName>
    <definedName name="zhb3">[26]完!$C$2:$C$133</definedName>
    <definedName name="zhb4">[27]完!$C$2:$C$133</definedName>
    <definedName name="zhkm" localSheetId="2">#REF!</definedName>
    <definedName name="zhkm">#REF!</definedName>
    <definedName name="zhxmb">[28]完!$D$2:$D$133</definedName>
    <definedName name="ztag1" localSheetId="2">#REF!</definedName>
    <definedName name="ztag1">#REF!</definedName>
    <definedName name="啊" localSheetId="2">#REF!</definedName>
    <definedName name="啊">#REF!</definedName>
    <definedName name="暗暗审">'[7]M-5A'!$B$10</definedName>
    <definedName name="半成品" localSheetId="2">#REF!</definedName>
    <definedName name="半成品">#REF!</definedName>
    <definedName name="包装物" localSheetId="2">#REF!</definedName>
    <definedName name="包装物">#REF!</definedName>
    <definedName name="报表项目" localSheetId="2">[17]W!#REF!</definedName>
    <definedName name="报表项目">[17]W!#REF!</definedName>
    <definedName name="北船">[29]资产负债表!$A$3</definedName>
    <definedName name="本年减少的固定资产原价" localSheetId="2">#REF!</definedName>
    <definedName name="本年减少的固定资产原价">#REF!</definedName>
    <definedName name="本年增加的固定资产累计折旧" localSheetId="2">#REF!</definedName>
    <definedName name="本年增加的固定资产累计折旧">#REF!</definedName>
    <definedName name="本年增加的固定资产原价" localSheetId="2">#REF!</definedName>
    <definedName name="本年增加的固定资产原价">#REF!</definedName>
    <definedName name="本年折旧额">#REF!</definedName>
    <definedName name="本年折旧率">#REF!</definedName>
    <definedName name="本循环科目" localSheetId="2" hidden="1">[30]索引!$D$15:$D$76</definedName>
    <definedName name="本循环科目" hidden="1">[30]索引!$D$15:$D$76</definedName>
    <definedName name="币种" localSheetId="2">#REF!</definedName>
    <definedName name="币种">#REF!</definedName>
    <definedName name="编制">[31]表头!$B$3</definedName>
    <definedName name="编制单位">[32]选择报表!$A$1</definedName>
    <definedName name="查询10" localSheetId="2">#REF!</definedName>
    <definedName name="查询10">#REF!</definedName>
    <definedName name="产成品" localSheetId="2">#REF!</definedName>
    <definedName name="产成品">#REF!</definedName>
    <definedName name="超能大将军USB" localSheetId="2">#REF!</definedName>
    <definedName name="超能大将军USB">#REF!</definedName>
    <definedName name="存放部门_单位">#REF!</definedName>
    <definedName name="存货93期初" localSheetId="2">[33]企业表一!$C$7</definedName>
    <definedName name="存货93期初">[33]企业表一!$C$7</definedName>
    <definedName name="存货93期末" localSheetId="2">[33]企业表一!$D$7</definedName>
    <definedName name="存货93期末">[33]企业表一!$D$7</definedName>
    <definedName name="存货94期初" localSheetId="2">[33]企业表一!$E$7</definedName>
    <definedName name="存货94期初">[33]企业表一!$E$7</definedName>
    <definedName name="存货94期末" localSheetId="2">[33]企业表一!$F$7</definedName>
    <definedName name="存货94期末">[33]企业表一!$F$7</definedName>
    <definedName name="存货95期初" localSheetId="2">[33]企业表一!$G$7</definedName>
    <definedName name="存货95期初">[33]企业表一!$G$7</definedName>
    <definedName name="存货95期末" localSheetId="2">[33]企业表一!$H$7</definedName>
    <definedName name="存货95期末">[33]企业表一!$H$7</definedName>
    <definedName name="存货表" localSheetId="2">#REF!</definedName>
    <definedName name="存货表">#REF!</definedName>
    <definedName name="存货明细" localSheetId="2">#REF!</definedName>
    <definedName name="存货明细">#REF!</definedName>
    <definedName name="大" localSheetId="2">[17]W!#REF!</definedName>
    <definedName name="大">[17]W!#REF!</definedName>
    <definedName name="大多数">[34]XL4Poppy!$A$15</definedName>
    <definedName name="大司马USB" localSheetId="2">#REF!</definedName>
    <definedName name="大司马USB">#REF!</definedName>
    <definedName name="的217" localSheetId="2">#REF!</definedName>
    <definedName name="的217">#REF!</definedName>
    <definedName name="低耗品" localSheetId="2">#REF!</definedName>
    <definedName name="低耗品">#REF!</definedName>
    <definedName name="底稿目录" hidden="1">#REF!</definedName>
    <definedName name="调后合计">#REF!</definedName>
    <definedName name="调整后账面值">#REF!</definedName>
    <definedName name="儿女">#REF!</definedName>
    <definedName name="二类">#REF!</definedName>
    <definedName name="发出商品">#REF!</definedName>
    <definedName name="分录20">[35]差异调整97!$I$1:$N$65536</definedName>
    <definedName name="分录21">[35]差异调整95!$I$1:$N$65536</definedName>
    <definedName name="分录22">[35]差异调整96!$I$1:$N$65536</definedName>
    <definedName name="分录23">[35]差异调整97!$I$1:$N$65536</definedName>
    <definedName name="分录95" localSheetId="2">#REF!</definedName>
    <definedName name="分录95">#REF!</definedName>
    <definedName name="分录96" localSheetId="2">#REF!</definedName>
    <definedName name="分录96">#REF!</definedName>
    <definedName name="分录97">[36]差异调整97!$I$1:$N$65536</definedName>
    <definedName name="负债合计93期末" localSheetId="2">[33]企业表一!$D$17</definedName>
    <definedName name="负债合计93期末">[33]企业表一!$D$17</definedName>
    <definedName name="负债合计94期末" localSheetId="2">[33]企业表一!$F$17</definedName>
    <definedName name="负债合计94期末">[33]企业表一!$F$17</definedName>
    <definedName name="负债合计95期末" localSheetId="2">[33]企业表一!$H$17</definedName>
    <definedName name="负债合计95期末">[33]企业表一!$H$17</definedName>
    <definedName name="附注" localSheetId="2">#REF!</definedName>
    <definedName name="附注">#REF!</definedName>
    <definedName name="复核">[31]表头!$B$4</definedName>
    <definedName name="固定资产">[37]XL4Poppy!$A$15</definedName>
    <definedName name="固定资产原价年初数" localSheetId="2">#REF!</definedName>
    <definedName name="固定资产原价年初数">#REF!</definedName>
    <definedName name="固定资产原价年末数" localSheetId="2">#REF!</definedName>
    <definedName name="固定资产原价年末数">#REF!</definedName>
    <definedName name="固定资产原值表" localSheetId="2">#REF!</definedName>
    <definedName name="固定资产原值表">#REF!</definedName>
    <definedName name="固定资产增减">[7]企业表一!$C$7</definedName>
    <definedName name="固定资产增减2">[7]企业表一!$D$7</definedName>
    <definedName name="哈哈">[38]Sheet1!$A$1:$G$40</definedName>
    <definedName name="核对内容">[17]W!#REF!</definedName>
    <definedName name="核对内容说明">[17]W!#REF!</definedName>
    <definedName name="核算项目明细表">#REF!</definedName>
    <definedName name="汇率">#REF!</definedName>
    <definedName name="汇率2">#REF!</definedName>
    <definedName name="货币资金">[17]W!#REF!</definedName>
    <definedName name="截止">[31]表头!$B$2</definedName>
    <definedName name="净_利_润93" localSheetId="2">'[33]M-5C'!$B$24</definedName>
    <definedName name="净_利_润93">'[33]M-5C'!$B$24</definedName>
    <definedName name="净_利_润94" localSheetId="2">'[33]M-5C'!$D$24</definedName>
    <definedName name="净_利_润94">'[33]M-5C'!$D$24</definedName>
    <definedName name="净_利_润95" localSheetId="2">'[33]M-5C'!$F$24</definedName>
    <definedName name="净_利_润95">'[33]M-5C'!$F$24</definedName>
    <definedName name="净资产合计93期初" localSheetId="2">[33]企业表一!$C$20</definedName>
    <definedName name="净资产合计93期初">[33]企业表一!$C$20</definedName>
    <definedName name="净资产合计93期末" localSheetId="2">[33]企业表一!$D$20</definedName>
    <definedName name="净资产合计93期末">[33]企业表一!$D$20</definedName>
    <definedName name="净资产合计94期初" localSheetId="2">[33]企业表一!$E$20</definedName>
    <definedName name="净资产合计94期初">[33]企业表一!$E$20</definedName>
    <definedName name="净资产合计94期末" localSheetId="2">[33]企业表一!$F$20</definedName>
    <definedName name="净资产合计94期末">[33]企业表一!$F$20</definedName>
    <definedName name="净资产合计95期初" localSheetId="2">[33]企业表一!$G$20</definedName>
    <definedName name="净资产合计95期初">[33]企业表一!$G$20</definedName>
    <definedName name="净资产合计95期末" localSheetId="2">[33]企业表一!$H$20</definedName>
    <definedName name="净资产合计95期末">[33]企业表一!$H$20</definedName>
    <definedName name="科目余额表" localSheetId="2">#REF!</definedName>
    <definedName name="科目余额表">#REF!</definedName>
    <definedName name="客户">[31]表头!$B$1</definedName>
    <definedName name="累计折旧年初数" localSheetId="2">#REF!</definedName>
    <definedName name="累计折旧年初数">#REF!</definedName>
    <definedName name="累计折旧年末数" localSheetId="2">#REF!</definedName>
    <definedName name="累计折旧年末数">#REF!</definedName>
    <definedName name="利_润_总_额93" localSheetId="2">'[33]M-5A'!$B$10</definedName>
    <definedName name="利_润_总_额93">'[33]M-5A'!$B$10</definedName>
    <definedName name="利_润_总_额94" localSheetId="2">'[33]M-5A'!$C$10</definedName>
    <definedName name="利_润_总_额94">'[33]M-5A'!$C$10</definedName>
    <definedName name="利_润_总_额95" localSheetId="2">'[33]M-5A'!$D$10</definedName>
    <definedName name="利_润_总_额95">'[33]M-5A'!$D$10</definedName>
    <definedName name="利润表" localSheetId="2">#REF!</definedName>
    <definedName name="利润表">#REF!</definedName>
    <definedName name="利润分配表" localSheetId="2">#REF!</definedName>
    <definedName name="利润分配表">#REF!</definedName>
    <definedName name="流_动_资_产93" localSheetId="2">'[33]M-5A'!$B$15</definedName>
    <definedName name="流_动_资_产93">'[33]M-5A'!$B$15</definedName>
    <definedName name="流_动_资_产94" localSheetId="2">'[33]M-5A'!$C$15</definedName>
    <definedName name="流_动_资_产94">'[33]M-5A'!$C$15</definedName>
    <definedName name="流_动_资_产95" localSheetId="2">'[33]M-5A'!$D$15</definedName>
    <definedName name="流_动_资_产95">'[33]M-5A'!$D$15</definedName>
    <definedName name="流动负债93期末" localSheetId="2">[33]企业表一!$D$15</definedName>
    <definedName name="流动负债93期末">[33]企业表一!$D$15</definedName>
    <definedName name="流动负债94期末" localSheetId="2">[33]企业表一!$F$15</definedName>
    <definedName name="流动负债94期末">[33]企业表一!$F$15</definedName>
    <definedName name="流动负债95期末" localSheetId="2">[33]企业表一!$H$15</definedName>
    <definedName name="流动负债95期末">[33]企业表一!$H$15</definedName>
    <definedName name="名篇通秀才5.0" localSheetId="2">#REF!</definedName>
    <definedName name="名篇通秀才5.0">#REF!</definedName>
    <definedName name="明细分类账" localSheetId="2">#REF!</definedName>
    <definedName name="明细分类账">#REF!</definedName>
    <definedName name="明细科" localSheetId="2">[17]W!#REF!</definedName>
    <definedName name="明细科">[17]W!#REF!</definedName>
    <definedName name="明细科目" localSheetId="2">[17]W!#REF!</definedName>
    <definedName name="明细科目">[17]W!#REF!</definedName>
    <definedName name="年初短期投资" localSheetId="2">#REF!</definedName>
    <definedName name="年初短期投资">#REF!</definedName>
    <definedName name="年初合计" localSheetId="2">#REF!</definedName>
    <definedName name="年初合计">#REF!</definedName>
    <definedName name="年初货币资金">#REF!</definedName>
    <definedName name="年初应收票据">#REF!</definedName>
    <definedName name="年末合计">#REF!</definedName>
    <definedName name="年末合计1">#REF!</definedName>
    <definedName name="年末合计3">#REF!</definedName>
    <definedName name="年末余额4">#REF!</definedName>
    <definedName name="年末余额5">#REF!</definedName>
    <definedName name="评估基准日汇率">#REF!</definedName>
    <definedName name="评估价值">#REF!</definedName>
    <definedName name="期初负债权益">#REF!</definedName>
    <definedName name="期初资产">#REF!</definedName>
    <definedName name="其他业务">#REF!</definedName>
    <definedName name="其他业务利润">#REF!</definedName>
    <definedName name="其他业务利润审定表">#REF!</definedName>
    <definedName name="日期1">[31]表头!$B$5</definedName>
    <definedName name="日期2">[31]表头!$B$6</definedName>
    <definedName name="三类" localSheetId="2">#REF!</definedName>
    <definedName name="三类">#REF!</definedName>
    <definedName name="沈玉环" localSheetId="2">#REF!</definedName>
    <definedName name="沈玉环">#REF!</definedName>
    <definedName name="审计结论">[17]W!$A$2:$A$7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500">[39]资产负债表!#REF!</definedName>
    <definedName name="生产期6" localSheetId="2">#REF!</definedName>
    <definedName name="生产期6">#REF!</definedName>
    <definedName name="生产期7" localSheetId="2">#REF!</definedName>
    <definedName name="生产期7">#REF!</definedName>
    <definedName name="生产期8" localSheetId="2">#REF!</definedName>
    <definedName name="生产期8">#REF!</definedName>
    <definedName name="生产期9">#REF!</definedName>
    <definedName name="事实上" localSheetId="2">[12]B!#REF!</definedName>
    <definedName name="事实上">[12]B!#REF!</definedName>
    <definedName name="收入">#REF!</definedName>
    <definedName name="四类">#REF!</definedName>
    <definedName name="速_动_资_产93" localSheetId="2">'[33]M-5A'!$B$14</definedName>
    <definedName name="速_动_资_产93">'[33]M-5A'!$B$14</definedName>
    <definedName name="速_动_资_产94" localSheetId="2">'[33]M-5A'!$C$14</definedName>
    <definedName name="速_动_资_产94">'[33]M-5A'!$C$14</definedName>
    <definedName name="速_动_资_产95" localSheetId="2">'[33]M-5A'!$D$14</definedName>
    <definedName name="速_动_资_产95">'[33]M-5A'!$D$14</definedName>
    <definedName name="损益调整表" localSheetId="2">#REF!</definedName>
    <definedName name="损益调整表">#REF!</definedName>
    <definedName name="索引号">[17]W!#REF!</definedName>
    <definedName name="挑战者">#REF!</definedName>
    <definedName name="外币账面金额">#REF!</definedName>
    <definedName name="委托加工">#REF!</definedName>
    <definedName name="辖区">#REF!</definedName>
    <definedName name="新公司附注">#REF!</definedName>
    <definedName name="新目录" hidden="1">#REF!</definedName>
    <definedName name="新替代测试">[40]B!#REF!</definedName>
    <definedName name="新替代测试2">[41]企业表一!$C$7</definedName>
    <definedName name="序号" localSheetId="2">#REF!</definedName>
    <definedName name="序号">#REF!</definedName>
    <definedName name="一类" localSheetId="2">#REF!</definedName>
    <definedName name="一类">#REF!</definedName>
    <definedName name="应会" localSheetId="2">#REF!</definedName>
    <definedName name="应会">#REF!</definedName>
    <definedName name="应交税金">#REF!</definedName>
    <definedName name="应收明细">#REF!</definedName>
    <definedName name="应收票据审定表">[42]B!#REF!</definedName>
    <definedName name="应收帐款93期初" localSheetId="2">[33]企业表一!$C$6</definedName>
    <definedName name="应收帐款93期初">[33]企业表一!$C$6</definedName>
    <definedName name="应收帐款93期末" localSheetId="2">[33]企业表一!$D$6</definedName>
    <definedName name="应收帐款93期末">[33]企业表一!$D$6</definedName>
    <definedName name="应收帐款94期初" localSheetId="2">[33]企业表一!$E$6</definedName>
    <definedName name="应收帐款94期初">[33]企业表一!$E$6</definedName>
    <definedName name="应收帐款94期末" localSheetId="2">[33]企业表一!$F$6</definedName>
    <definedName name="应收帐款94期末">[33]企业表一!$F$6</definedName>
    <definedName name="应收帐款95期初" localSheetId="2">[33]企业表一!$G$6</definedName>
    <definedName name="应收帐款95期初">[33]企业表一!$G$6</definedName>
    <definedName name="应收帐款95期末" localSheetId="2">[33]企业表一!$H$6</definedName>
    <definedName name="应收帐款95期末">[33]企业表一!$H$6</definedName>
    <definedName name="应收账款审定表">[42]B!#REF!</definedName>
    <definedName name="预收客户" localSheetId="2">#REF!</definedName>
    <definedName name="预收客户">#REF!</definedName>
    <definedName name="原材料" localSheetId="2">#REF!</definedName>
    <definedName name="原材料">#REF!</definedName>
    <definedName name="在途材料" localSheetId="2">#REF!</definedName>
    <definedName name="在途材料">#REF!</definedName>
    <definedName name="增值率">#REF!</definedName>
    <definedName name="帐务_科目_50305至50305_期间_1至本月_栏目_借方发生额">16645.6</definedName>
    <definedName name="帐务_科目_50306至50306_期间_1至本月_栏目_借方发生额">0</definedName>
    <definedName name="帐务_科目_50309至50309_期间_1至本月_栏目_借方发生额">0</definedName>
    <definedName name="帐务_科目_50310至50310_期间_1至本月_栏目_借方发生额">0</definedName>
    <definedName name="帐务_科目_52103至52103_期间_1至本月_栏目_借方发生额">0</definedName>
    <definedName name="帐务_科目_52104至52104_期间_1至本月_栏目_借方发生额">1000</definedName>
    <definedName name="帐务_科目_52106至52109_期间_1至本月_栏目_借方发生额">0</definedName>
    <definedName name="帐务_科目_52120至52120_期间_1至本月_栏目_借方发生额">0</definedName>
    <definedName name="帐务_科目_52123至52123_期间_1至本月_栏目_借方发生额">15000</definedName>
    <definedName name="帐务_科目_52125至52125_期间_1至本月_栏目_借方发生额">18843</definedName>
    <definedName name="帐务_科目_52126至52126_期间_1至本月_栏目_借方发生额">0</definedName>
    <definedName name="帐务_科目_52128至52128_期间_1至本月_栏目_借方发生额">0</definedName>
    <definedName name="账面价值">#REF!</definedName>
    <definedName name="中书令USB">#REF!</definedName>
    <definedName name="主营业务成本">#REF!</definedName>
    <definedName name="资产负债表">#REF!</definedName>
    <definedName name="资产合计93期初" localSheetId="2">[33]企业表一!$C$14</definedName>
    <definedName name="资产合计93期初">[33]企业表一!$C$14</definedName>
    <definedName name="资产合计93期末" localSheetId="2">[33]企业表一!$D$14</definedName>
    <definedName name="资产合计93期末">[33]企业表一!$D$14</definedName>
    <definedName name="资产合计94期初" localSheetId="2">[33]企业表一!$E$14</definedName>
    <definedName name="资产合计94期初">[33]企业表一!$E$14</definedName>
    <definedName name="资产合计94期末" localSheetId="2">[33]企业表一!$F$14</definedName>
    <definedName name="资产合计94期末">[33]企业表一!$F$14</definedName>
    <definedName name="资产合计95期初" localSheetId="2">[33]企业表一!$G$14</definedName>
    <definedName name="资产合计95期初">[33]企业表一!$G$14</definedName>
    <definedName name="资产合计95期末" localSheetId="2">[33]企业表一!$H$14</definedName>
    <definedName name="资产合计95期末">[33]企业表一!$H$14</definedName>
    <definedName name="资产卡片查询2001年4月" localSheetId="2">#REF!</definedName>
    <definedName name="资产卡片查询2001年4月">#REF!</definedName>
    <definedName name="전" localSheetId="2">#REF!</definedName>
    <definedName name="전">#REF!</definedName>
    <definedName name="주택사업본부" localSheetId="2">#REF!</definedName>
    <definedName name="주택사업본부">#REF!</definedName>
    <definedName name="철구사업본부">#REF!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26" l="1"/>
  <c r="I3" i="26"/>
  <c r="E4" i="26"/>
  <c r="E3" i="26"/>
  <c r="A4" i="26"/>
  <c r="A3" i="26"/>
  <c r="F4" i="25"/>
  <c r="F3" i="25"/>
  <c r="D4" i="25"/>
  <c r="D3" i="25"/>
  <c r="A4" i="25"/>
  <c r="A3" i="25"/>
  <c r="D4" i="27"/>
  <c r="I37" i="26"/>
  <c r="E37" i="26"/>
  <c r="I36" i="26"/>
  <c r="E36" i="26"/>
  <c r="I35" i="26"/>
  <c r="E35" i="26"/>
  <c r="E31" i="26"/>
  <c r="D31" i="26"/>
  <c r="C31" i="26"/>
  <c r="E21" i="26"/>
  <c r="C21" i="26"/>
  <c r="F20" i="26"/>
  <c r="D20" i="26"/>
  <c r="F19" i="26"/>
  <c r="D19" i="26"/>
  <c r="F18" i="26"/>
  <c r="D18" i="26"/>
  <c r="F17" i="26"/>
  <c r="D17" i="26"/>
  <c r="F16" i="26"/>
  <c r="D16" i="26"/>
  <c r="J35" i="26" l="1"/>
  <c r="J37" i="26"/>
  <c r="J36" i="26"/>
  <c r="F21" i="26"/>
  <c r="D21" i="26"/>
</calcChain>
</file>

<file path=xl/sharedStrings.xml><?xml version="1.0" encoding="utf-8"?>
<sst xmlns="http://schemas.openxmlformats.org/spreadsheetml/2006/main" count="120" uniqueCount="104">
  <si>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</si>
  <si>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</si>
  <si>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</si>
  <si>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</si>
  <si>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</si>
  <si>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</si>
  <si>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</si>
  <si>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</si>
  <si>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</si>
  <si>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</si>
  <si>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</si>
  <si>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</si>
  <si>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</si>
  <si>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</si>
  <si>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</si>
  <si>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</si>
  <si>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</si>
  <si>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</si>
  <si>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</si>
  <si>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</si>
  <si>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</si>
  <si>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</si>
  <si>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t>序号</t>
    <phoneticPr fontId="3" type="noConversion"/>
  </si>
  <si>
    <t>程序</t>
    <phoneticPr fontId="3" type="noConversion"/>
  </si>
  <si>
    <t>取得证据、凭证</t>
  </si>
  <si>
    <t>取得证据、凭证索引号</t>
  </si>
  <si>
    <t>2</t>
    <phoneticPr fontId="3" type="noConversion"/>
  </si>
  <si>
    <r>
      <rPr>
        <sz val="10"/>
        <rFont val="宋体"/>
        <family val="3"/>
        <charset val="134"/>
      </rPr>
      <t>（</t>
    </r>
    <r>
      <rPr>
        <sz val="10"/>
        <rFont val="Arial Narrow"/>
        <family val="2"/>
      </rPr>
      <t>1</t>
    </r>
    <r>
      <rPr>
        <sz val="10"/>
        <rFont val="宋体"/>
        <family val="3"/>
        <charset val="134"/>
      </rPr>
      <t>）</t>
    </r>
    <phoneticPr fontId="3" type="noConversion"/>
  </si>
  <si>
    <t>1</t>
    <phoneticPr fontId="3" type="noConversion"/>
  </si>
  <si>
    <t>审计程序索引</t>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</si>
  <si>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3" type="noConversion"/>
  </si>
  <si>
    <r>
      <rPr>
        <sz val="10"/>
        <rFont val="宋体"/>
        <family val="3"/>
        <charset val="134"/>
      </rPr>
      <t>索引号：</t>
    </r>
    <r>
      <rPr>
        <sz val="10"/>
        <rFont val="Arial Narrow"/>
        <family val="2"/>
      </rPr>
      <t xml:space="preserve"> S34-20</t>
    </r>
    <phoneticPr fontId="3" type="noConversion"/>
  </si>
  <si>
    <t>致同会计师事务所</t>
    <phoneticPr fontId="3" type="noConversion"/>
  </si>
  <si>
    <t>重要劳务外包公司结构分析</t>
    <phoneticPr fontId="3" type="noConversion"/>
  </si>
  <si>
    <t>索引号：</t>
    <phoneticPr fontId="3" type="noConversion"/>
  </si>
  <si>
    <t>页  次：</t>
    <phoneticPr fontId="3" type="noConversion"/>
  </si>
  <si>
    <r>
      <rPr>
        <b/>
        <sz val="10"/>
        <color indexed="8"/>
        <rFont val="宋体"/>
        <family val="3"/>
        <charset val="134"/>
      </rPr>
      <t>一、审计目标：</t>
    </r>
    <phoneticPr fontId="3" type="noConversion"/>
  </si>
  <si>
    <r>
      <t>1</t>
    </r>
    <r>
      <rPr>
        <sz val="10"/>
        <color indexed="8"/>
        <rFont val="宋体"/>
        <family val="3"/>
        <charset val="134"/>
      </rPr>
      <t>、分析劳务外包的合理性及价格公允性；</t>
    </r>
    <phoneticPr fontId="3" type="noConversion"/>
  </si>
  <si>
    <t>二、审计过程：</t>
    <phoneticPr fontId="3" type="noConversion"/>
  </si>
  <si>
    <r>
      <t>1</t>
    </r>
    <r>
      <rPr>
        <sz val="10"/>
        <color indexed="8"/>
        <rFont val="宋体"/>
        <family val="3"/>
        <charset val="134"/>
      </rPr>
      <t>、获取主要劳务外包公司的合同，查看劳务外包公司为被审计单位提供劳务的具体情况；</t>
    </r>
    <phoneticPr fontId="3" type="noConversion"/>
  </si>
  <si>
    <t>被审计单位劳务外包公司选择标准及方式</t>
    <phoneticPr fontId="3" type="noConversion"/>
  </si>
  <si>
    <t>描述选择劳务外包公司的标准和具体方式</t>
    <phoneticPr fontId="3" type="noConversion"/>
  </si>
  <si>
    <t>本年（期）总外包金额</t>
    <phoneticPr fontId="3" type="noConversion"/>
  </si>
  <si>
    <r>
      <rPr>
        <b/>
        <sz val="10"/>
        <color indexed="8"/>
        <rFont val="宋体"/>
        <family val="3"/>
        <charset val="134"/>
      </rPr>
      <t>序号</t>
    </r>
    <phoneticPr fontId="3" type="noConversion"/>
  </si>
  <si>
    <t>本年（期）大额劳务外包公司名称</t>
    <phoneticPr fontId="3" type="noConversion"/>
  </si>
  <si>
    <t>外包金额</t>
    <phoneticPr fontId="3" type="noConversion"/>
  </si>
  <si>
    <t>占比</t>
    <phoneticPr fontId="3" type="noConversion"/>
  </si>
  <si>
    <t>人工成本</t>
    <phoneticPr fontId="3" type="noConversion"/>
  </si>
  <si>
    <t>上期排名</t>
    <phoneticPr fontId="3" type="noConversion"/>
  </si>
  <si>
    <t>合作年限</t>
    <phoneticPr fontId="3" type="noConversion"/>
  </si>
  <si>
    <t>合同主要条款</t>
    <phoneticPr fontId="3" type="noConversion"/>
  </si>
  <si>
    <t>合同执行情况</t>
    <phoneticPr fontId="3" type="noConversion"/>
  </si>
  <si>
    <t>是否关联方</t>
    <phoneticPr fontId="3" type="noConversion"/>
  </si>
  <si>
    <t>注册资本</t>
    <phoneticPr fontId="3" type="noConversion"/>
  </si>
  <si>
    <t>是否有相关资质</t>
    <phoneticPr fontId="3" type="noConversion"/>
  </si>
  <si>
    <t>劳务外包金额</t>
    <phoneticPr fontId="3" type="noConversion"/>
  </si>
  <si>
    <t>信用期</t>
    <phoneticPr fontId="3" type="noConversion"/>
  </si>
  <si>
    <t>支付方式</t>
    <phoneticPr fontId="3" type="noConversion"/>
  </si>
  <si>
    <t>其他</t>
    <phoneticPr fontId="3" type="noConversion"/>
  </si>
  <si>
    <r>
      <t>XX</t>
    </r>
    <r>
      <rPr>
        <sz val="10"/>
        <color indexed="8"/>
        <rFont val="宋体"/>
        <family val="3"/>
        <charset val="134"/>
      </rPr>
      <t>劳务有限责任公司</t>
    </r>
    <phoneticPr fontId="3" type="noConversion"/>
  </si>
  <si>
    <r>
      <rPr>
        <b/>
        <sz val="10"/>
        <color indexed="8"/>
        <rFont val="宋体"/>
        <family val="3"/>
        <charset val="134"/>
      </rPr>
      <t>合</t>
    </r>
    <r>
      <rPr>
        <b/>
        <sz val="10"/>
        <color indexed="8"/>
        <rFont val="Arial Narrow"/>
        <family val="2"/>
      </rPr>
      <t xml:space="preserve">  </t>
    </r>
    <r>
      <rPr>
        <b/>
        <sz val="10"/>
        <color indexed="8"/>
        <rFont val="宋体"/>
        <family val="3"/>
        <charset val="134"/>
      </rPr>
      <t>计</t>
    </r>
    <phoneticPr fontId="3" type="noConversion"/>
  </si>
  <si>
    <r>
      <t>2</t>
    </r>
    <r>
      <rPr>
        <sz val="10"/>
        <color indexed="8"/>
        <rFont val="宋体"/>
        <family val="3"/>
        <charset val="134"/>
      </rPr>
      <t>、对比重要劳务外包公司提供的劳务数量及费用变动是否与发行人经营业绩相匹配</t>
    </r>
    <phoneticPr fontId="3" type="noConversion"/>
  </si>
  <si>
    <t>月份</t>
    <phoneticPr fontId="3" type="noConversion"/>
  </si>
  <si>
    <t>劳务外包人数</t>
    <phoneticPr fontId="3" type="noConversion"/>
  </si>
  <si>
    <t>销售收入</t>
    <phoneticPr fontId="3" type="noConversion"/>
  </si>
  <si>
    <r>
      <t>XX</t>
    </r>
    <r>
      <rPr>
        <sz val="10"/>
        <color indexed="8"/>
        <rFont val="宋体"/>
        <family val="3"/>
        <charset val="134"/>
      </rPr>
      <t>劳务有限公司</t>
    </r>
    <phoneticPr fontId="3" type="noConversion"/>
  </si>
  <si>
    <t>合计</t>
    <phoneticPr fontId="3" type="noConversion"/>
  </si>
  <si>
    <r>
      <t>3</t>
    </r>
    <r>
      <rPr>
        <sz val="10"/>
        <color indexed="8"/>
        <rFont val="宋体"/>
        <family val="3"/>
        <charset val="134"/>
      </rPr>
      <t>、与其他劳务外包公司的相同服务的人工单价进行对比，查看价格是否公允。</t>
    </r>
    <phoneticPr fontId="3" type="noConversion"/>
  </si>
  <si>
    <t>可比劳务公司名称</t>
    <phoneticPr fontId="3" type="noConversion"/>
  </si>
  <si>
    <t>价格差异</t>
    <phoneticPr fontId="3" type="noConversion"/>
  </si>
  <si>
    <t>劳务外包服务内容</t>
    <phoneticPr fontId="3" type="noConversion"/>
  </si>
  <si>
    <t>劳务外包单价</t>
    <phoneticPr fontId="3" type="noConversion"/>
  </si>
  <si>
    <t>三、审计说明：</t>
    <phoneticPr fontId="3" type="noConversion"/>
  </si>
  <si>
    <t>四、审计结论：</t>
    <phoneticPr fontId="3" type="noConversion"/>
  </si>
  <si>
    <t>S34-20-1</t>
    <phoneticPr fontId="3" type="noConversion"/>
  </si>
  <si>
    <t>A7-2</t>
    <phoneticPr fontId="3" type="noConversion"/>
  </si>
  <si>
    <r>
      <t>二、已执行的审计程序</t>
    </r>
    <r>
      <rPr>
        <b/>
        <sz val="10"/>
        <color rgb="FF0000FF"/>
        <rFont val="宋体"/>
        <family val="3"/>
        <charset val="134"/>
      </rPr>
      <t>【项目小组应根据被审计单位实际情况修改、增减上述核查程序；修改、设计核查底稿】</t>
    </r>
    <phoneticPr fontId="3" type="noConversion"/>
  </si>
  <si>
    <t>检查劳务外包占其当期人工费用的比例，当比例较高时执行下列程序</t>
    <phoneticPr fontId="3" type="noConversion"/>
  </si>
  <si>
    <r>
      <t>《上交所业务指南第</t>
    </r>
    <r>
      <rPr>
        <b/>
        <sz val="10"/>
        <color rgb="FF0000FF"/>
        <rFont val="Arial Narrow"/>
        <family val="2"/>
      </rPr>
      <t>4</t>
    </r>
    <r>
      <rPr>
        <b/>
        <sz val="10"/>
        <color rgb="FF0000FF"/>
        <rFont val="宋体"/>
        <family val="3"/>
        <charset val="134"/>
      </rPr>
      <t>号</t>
    </r>
    <r>
      <rPr>
        <b/>
        <sz val="10"/>
        <color rgb="FF0000FF"/>
        <rFont val="Arial Narrow"/>
        <family val="2"/>
      </rPr>
      <t>-</t>
    </r>
    <r>
      <rPr>
        <b/>
        <sz val="10"/>
        <color rgb="FF0000FF"/>
        <rFont val="宋体"/>
        <family val="3"/>
        <charset val="134"/>
      </rPr>
      <t>第</t>
    </r>
    <r>
      <rPr>
        <b/>
        <sz val="10"/>
        <color rgb="FF0000FF"/>
        <rFont val="Arial Narrow"/>
        <family val="2"/>
      </rPr>
      <t>1</t>
    </r>
    <r>
      <rPr>
        <b/>
        <sz val="10"/>
        <color rgb="FF0000FF"/>
        <rFont val="宋体"/>
        <family val="3"/>
        <charset val="134"/>
      </rPr>
      <t>号》</t>
    </r>
    <r>
      <rPr>
        <b/>
        <sz val="10"/>
        <color rgb="FF0000FF"/>
        <rFont val="Arial Narrow"/>
        <family val="2"/>
      </rPr>
      <t>3-22</t>
    </r>
    <r>
      <rPr>
        <b/>
        <sz val="10"/>
        <color rgb="FF0000FF"/>
        <rFont val="宋体"/>
        <family val="3"/>
        <charset val="134"/>
      </rPr>
      <t>劳务外包</t>
    </r>
    <phoneticPr fontId="3" type="noConversion"/>
  </si>
  <si>
    <t xml:space="preserve">如发行人存在将较多劳务活动交由专门劳务外包公司实施的情况，中介机构应当就以下事项进行核查、充分论证并发表明确意见：
申报会计师应当核查主要劳务公司的构成及变动情况，劳务外包合同的主要内容，劳务数量及费用变动是否与发行人经营业绩相匹配，劳务费用定价是否公允，是否存在跨期核算情形。
</t>
    <phoneticPr fontId="3" type="noConversion"/>
  </si>
  <si>
    <t>针对证监会、沪深两交所首次公开发行、北交所公开发行并上市监管法规的核查程序—劳务外包</t>
    <phoneticPr fontId="3" type="noConversion"/>
  </si>
  <si>
    <t>提示：【使用时，请删除本段提示文字】
1、本核查程序表针对《上交所业务指南第4号-第1号》“3-22劳务外包”、《深交所业务指南3号》“27-2是否存在最近一个会计年度及最近一期劳务外包占比较高的情形”的要求厘定。
2、沪、深交易所针对劳务外包的核查要求存在个别差异，具体可见法规具体内容。
3、本核查程序表仅列示需完成的核查程序，取得的审计证据、凭证及其索引号，审计底稿的索引号。具体审计底稿索引至计划阶段、特项程序及各业务循环底稿，有些核查事项不能直接根据已有的各业务循环底稿等达到监管要求（例如监管要求回复数据一般为合并数据，实质性程序底稿可能为单体数据），建议参考相关实质性程序底稿中的内容在此文件中增加相应底稿，并同步修改索引号。
4、本程序表应根据被审计单位的实际情况进行适当的增删修改，以反映实际执行的审计工作情况。</t>
    <phoneticPr fontId="3" type="noConversion"/>
  </si>
  <si>
    <t>取得劳务外包合同，核查发行人劳务外包人数、与发行人合作的劳务外包公司的基本情况，检查劳务公司的构成及变动情况。</t>
    <phoneticPr fontId="3" type="noConversion"/>
  </si>
  <si>
    <t>（2）</t>
    <phoneticPr fontId="3" type="noConversion"/>
  </si>
  <si>
    <t>（3）</t>
    <phoneticPr fontId="3" type="noConversion"/>
  </si>
  <si>
    <t>检查劳务外包公司的结算单据及支付凭证，就资产负债表日前后记录的劳务费用，选取样本，检查相关合同、协议及其他支持性文 件，以评价是否存在跨期核算情形。</t>
    <phoneticPr fontId="3" type="noConversion"/>
  </si>
  <si>
    <t>检查劳务外包合同的主要内容，并分析劳务数量及费用变动是否与发行人经营业绩相匹配以及劳务费用定价是否公允。</t>
    <phoneticPr fontId="3" type="noConversion"/>
  </si>
  <si>
    <t>对于劳务公司与发行人构成关联方的情况，检查财务报表附注中对相关关联方关系和关联交易的披露是否充分、恰当。</t>
    <phoneticPr fontId="3" type="noConversion"/>
  </si>
  <si>
    <t>底稿开列时，可先在以下单元格填写有关内容，以便其他底稿引用有关数据：</t>
    <phoneticPr fontId="3" type="noConversion"/>
  </si>
  <si>
    <t>被审计单位：ABC公司</t>
  </si>
  <si>
    <t>内容</t>
  </si>
  <si>
    <t>索引号</t>
    <phoneticPr fontId="3" type="noConversion"/>
  </si>
  <si>
    <t>编制人：张三</t>
  </si>
  <si>
    <t>程序表</t>
    <phoneticPr fontId="3" type="noConversion"/>
  </si>
  <si>
    <t>编制日期：2025.X.X</t>
    <phoneticPr fontId="3" type="noConversion"/>
  </si>
  <si>
    <t>复核人：李四</t>
  </si>
  <si>
    <t>复核日期：2025.X.X</t>
    <phoneticPr fontId="3" type="noConversion"/>
  </si>
  <si>
    <t>会计期间：202X年度</t>
    <phoneticPr fontId="3" type="noConversion"/>
  </si>
  <si>
    <t>S34-20</t>
    <phoneticPr fontId="3" type="noConversion"/>
  </si>
  <si>
    <t>重要劳务外包公司分析</t>
  </si>
  <si>
    <t>根据《上海证券交易所发行上市审核业务指南第4号——常见问题的信息披露和核查要求自查表 第1号首次公开发行》（以下简称上交所业务指南第4号-第1号）、《深圳证券交易所股票发行上市审核业务指南第3号——首次公开发行审核关注要点》（以下简称深交所业务指南3号）的要求，严格遵守现行各项执业准则和信息披露规范要求，勤勉尽责，审慎执业，就《上交所业务指南第4号-第1号》、《深交所业务指南3号》中提出的与注册会计师相关的问题进行逐项检查，核对已执行的审计程序和获取的审计证据是否已满足IPO申报财务报表审计中对劳务外包的核查要求。</t>
    <phoneticPr fontId="3" type="noConversion"/>
  </si>
  <si>
    <t>《深交所业务指南3号》“27-2是否存在最近一个会计年度及最近一期劳务外包占比较高的情形”</t>
  </si>
  <si>
    <t>保荐人应当核查下列事项并 发表明确意见：（1）劳务外包金额较大的原 因、是否符合行业经营特点；（2）获取报告期各期劳务外 包金额及占当期营业成本比例、 劳务外包人数及占当期发行人员 工人数比例；（3）劳务公司的经营是否合法合规，是否专门或主要为发行 人服务，与发行人是否存在关联关系；（4）劳务公司是否存在较大变动，劳务费用定价是否公允，是否存在跨期核算情形，劳务数量及费用变动是否与发行人经营业绩相匹配。</t>
    <phoneticPr fontId="3" type="noConversion"/>
  </si>
  <si>
    <r>
      <t>核查方式</t>
    </r>
    <r>
      <rPr>
        <b/>
        <sz val="10"/>
        <color rgb="FF0000FF"/>
        <rFont val="宋体"/>
        <family val="3"/>
        <charset val="134"/>
      </rPr>
      <t>注</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</si>
</sst>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90">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b/>
      <sz val="10"/>
      <color indexed="8"/>
      <name val="宋体"/>
      <family val="3"/>
      <charset val="134"/>
    </font>
    <font>
      <b/>
      <sz val="10"/>
      <color indexed="8"/>
      <name val="Arial Narrow"/>
      <family val="2"/>
    </font>
    <font>
      <b/>
      <sz val="12"/>
      <color indexed="8"/>
      <name val="宋体"/>
      <family val="3"/>
      <charset val="134"/>
    </font>
    <font>
      <b/>
      <sz val="12"/>
      <color indexed="8"/>
      <name val="Arial Narrow"/>
      <family val="2"/>
    </font>
    <font>
      <sz val="10"/>
      <color indexed="8"/>
      <name val="宋体"/>
      <family val="3"/>
      <charset val="134"/>
    </font>
    <font>
      <sz val="10"/>
      <color indexed="8"/>
      <name val="Arial Narrow"/>
      <family val="2"/>
    </font>
    <font>
      <b/>
      <sz val="10"/>
      <color rgb="FF000000"/>
      <name val="宋体"/>
      <family val="3"/>
      <charset val="134"/>
    </font>
    <font>
      <sz val="10"/>
      <color rgb="FF3333FF"/>
      <name val="宋体"/>
      <family val="2"/>
      <charset val="134"/>
    </font>
    <font>
      <sz val="10"/>
      <color rgb="FF3333FF"/>
      <name val="Arial Narrow"/>
      <family val="2"/>
    </font>
    <font>
      <b/>
      <u val="singleAccounting"/>
      <sz val="10"/>
      <color indexed="8"/>
      <name val="Arial Narrow"/>
      <family val="2"/>
    </font>
    <font>
      <sz val="10"/>
      <color rgb="FFFF0000"/>
      <name val="宋体"/>
      <family val="3"/>
      <charset val="134"/>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8"/>
      <name val="Century Schoolbook"/>
      <family val="1"/>
    </font>
    <font>
      <u/>
      <sz val="10"/>
      <color indexed="12"/>
      <name val="宋体"/>
      <family val="3"/>
      <charset val="134"/>
    </font>
    <font>
      <sz val="12"/>
      <name val="Times New Roman"/>
      <family val="1"/>
    </font>
    <font>
      <sz val="11"/>
      <name val="蹈框"/>
      <charset val="134"/>
    </font>
    <font>
      <sz val="11"/>
      <name val="ＭＳ Ｐゴシック"/>
      <family val="2"/>
    </font>
    <font>
      <sz val="12"/>
      <name val="바탕체"/>
      <family val="3"/>
    </font>
    <font>
      <u/>
      <sz val="12"/>
      <color theme="10"/>
      <name val="宋体"/>
      <family val="3"/>
      <charset val="134"/>
    </font>
    <font>
      <sz val="10"/>
      <name val="宋体"/>
      <family val="3"/>
      <charset val="134"/>
      <scheme val="minor"/>
    </font>
    <font>
      <sz val="10"/>
      <color indexed="8"/>
      <name val="宋体"/>
      <family val="3"/>
      <charset val="134"/>
      <scheme val="minor"/>
    </font>
    <font>
      <b/>
      <sz val="14"/>
      <color indexed="8"/>
      <name val="宋体"/>
      <family val="3"/>
      <charset val="134"/>
    </font>
    <font>
      <b/>
      <sz val="14"/>
      <color indexed="8"/>
      <name val="Arial Narrow"/>
      <family val="2"/>
    </font>
    <font>
      <u/>
      <sz val="10"/>
      <color theme="10"/>
      <name val="宋体"/>
      <family val="3"/>
      <charset val="134"/>
    </font>
  </fonts>
  <fills count="3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rgb="FFFFFF9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14"/>
        <bgColor indexed="64"/>
      </patternFill>
    </fill>
  </fills>
  <borders count="31">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86">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2" fillId="0" borderId="0">
      <alignment vertical="center"/>
    </xf>
    <xf numFmtId="0" fontId="1" fillId="0" borderId="0">
      <alignment vertical="center"/>
    </xf>
    <xf numFmtId="0" fontId="11" fillId="0" borderId="0">
      <alignment vertical="center"/>
    </xf>
    <xf numFmtId="0" fontId="11" fillId="0" borderId="0">
      <alignment vertical="center"/>
    </xf>
    <xf numFmtId="43" fontId="11" fillId="0" borderId="0" applyFont="0" applyFill="0" applyBorder="0" applyAlignment="0" applyProtection="0"/>
    <xf numFmtId="9" fontId="11" fillId="0" borderId="0" applyFont="0" applyFill="0" applyBorder="0" applyAlignment="0" applyProtection="0"/>
    <xf numFmtId="43" fontId="11" fillId="0" borderId="0" applyFont="0" applyFill="0" applyBorder="0" applyAlignment="0" applyProtection="0">
      <alignment vertical="center"/>
    </xf>
    <xf numFmtId="9" fontId="11" fillId="0" borderId="0" applyFont="0" applyFill="0" applyBorder="0" applyAlignment="0" applyProtection="0">
      <alignment vertical="center"/>
    </xf>
    <xf numFmtId="0" fontId="34" fillId="0" borderId="0"/>
    <xf numFmtId="0" fontId="34" fillId="0" borderId="0"/>
    <xf numFmtId="0" fontId="34" fillId="0" borderId="0"/>
    <xf numFmtId="0" fontId="34" fillId="0" borderId="0"/>
    <xf numFmtId="49" fontId="10" fillId="0" borderId="0" applyProtection="0">
      <alignment horizontal="left"/>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xf>
    <xf numFmtId="0" fontId="35" fillId="0" borderId="0">
      <alignment vertical="top"/>
    </xf>
    <xf numFmtId="0" fontId="35" fillId="0" borderId="0">
      <alignment vertical="top"/>
      <protection locked="0"/>
    </xf>
    <xf numFmtId="0" fontId="35" fillId="0" borderId="0">
      <alignment vertical="top"/>
    </xf>
    <xf numFmtId="0" fontId="35" fillId="0" borderId="0">
      <alignment vertical="top"/>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xf>
    <xf numFmtId="0" fontId="35" fillId="0" borderId="0">
      <alignment vertical="top"/>
    </xf>
    <xf numFmtId="0" fontId="35" fillId="0" borderId="0">
      <alignment vertical="top"/>
      <protection locked="0"/>
    </xf>
    <xf numFmtId="0" fontId="35" fillId="0" borderId="0">
      <alignment vertical="top"/>
    </xf>
    <xf numFmtId="0" fontId="35" fillId="0" borderId="0">
      <alignment vertical="top"/>
    </xf>
    <xf numFmtId="0" fontId="35" fillId="0" borderId="0">
      <alignment vertical="top"/>
    </xf>
    <xf numFmtId="0" fontId="35" fillId="0" borderId="0">
      <alignment vertical="top"/>
      <protection locked="0"/>
    </xf>
    <xf numFmtId="0" fontId="35" fillId="0" borderId="0">
      <alignment vertical="top"/>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protection locked="0"/>
    </xf>
    <xf numFmtId="0" fontId="35" fillId="0" borderId="0">
      <alignment vertical="top"/>
      <protection locked="0"/>
    </xf>
    <xf numFmtId="0" fontId="35" fillId="0" borderId="0">
      <alignment vertical="top"/>
    </xf>
    <xf numFmtId="0" fontId="35" fillId="0" borderId="0">
      <alignment vertical="top"/>
      <protection locked="0"/>
    </xf>
    <xf numFmtId="177" fontId="10" fillId="0" borderId="0" applyFill="0" applyBorder="0" applyProtection="0">
      <alignment horizontal="right"/>
    </xf>
    <xf numFmtId="178" fontId="10" fillId="0" borderId="0" applyFill="0" applyBorder="0" applyProtection="0">
      <alignment horizontal="right"/>
    </xf>
    <xf numFmtId="179" fontId="36" fillId="0" borderId="0" applyFill="0" applyBorder="0" applyProtection="0">
      <alignment horizontal="center"/>
    </xf>
    <xf numFmtId="180" fontId="36" fillId="0" borderId="0" applyFill="0" applyBorder="0" applyProtection="0">
      <alignment horizontal="center"/>
    </xf>
    <xf numFmtId="181" fontId="37" fillId="0" borderId="0" applyFill="0" applyBorder="0" applyProtection="0">
      <alignment horizontal="right"/>
    </xf>
    <xf numFmtId="182" fontId="10" fillId="0" borderId="0" applyFill="0" applyBorder="0" applyProtection="0">
      <alignment horizontal="right"/>
    </xf>
    <xf numFmtId="183" fontId="10" fillId="0" borderId="0" applyFill="0" applyBorder="0" applyProtection="0">
      <alignment horizontal="right"/>
    </xf>
    <xf numFmtId="184" fontId="10" fillId="0" borderId="0" applyFill="0" applyBorder="0" applyProtection="0">
      <alignment horizontal="right"/>
    </xf>
    <xf numFmtId="185" fontId="10" fillId="0" borderId="0" applyFill="0" applyBorder="0" applyProtection="0">
      <alignment horizontal="right"/>
    </xf>
    <xf numFmtId="186" fontId="38" fillId="0" borderId="0" applyFont="0" applyFill="0" applyBorder="0" applyAlignment="0" applyProtection="0"/>
    <xf numFmtId="187" fontId="38" fillId="0" borderId="0" applyFont="0" applyFill="0" applyBorder="0" applyAlignment="0" applyProtection="0"/>
    <xf numFmtId="10" fontId="38" fillId="0" borderId="0" applyFont="0" applyFill="0" applyBorder="0" applyAlignment="0" applyProtection="0"/>
    <xf numFmtId="0" fontId="39" fillId="6" borderId="0" applyNumberFormat="0" applyBorder="0" applyAlignment="0" applyProtection="0"/>
    <xf numFmtId="0" fontId="39" fillId="7" borderId="0" applyNumberFormat="0" applyBorder="0" applyAlignment="0" applyProtection="0"/>
    <xf numFmtId="0" fontId="39" fillId="8" borderId="0" applyNumberFormat="0" applyBorder="0" applyAlignment="0" applyProtection="0"/>
    <xf numFmtId="0" fontId="39" fillId="9" borderId="0" applyNumberFormat="0" applyBorder="0" applyAlignment="0" applyProtection="0"/>
    <xf numFmtId="0" fontId="39" fillId="10" borderId="0" applyNumberFormat="0" applyBorder="0" applyAlignment="0" applyProtection="0"/>
    <xf numFmtId="0" fontId="39" fillId="11" borderId="0" applyNumberFormat="0" applyBorder="0" applyAlignment="0" applyProtection="0"/>
    <xf numFmtId="0" fontId="39" fillId="12" borderId="0" applyNumberFormat="0" applyBorder="0" applyAlignment="0" applyProtection="0"/>
    <xf numFmtId="0" fontId="39" fillId="13" borderId="0" applyNumberFormat="0" applyBorder="0" applyAlignment="0" applyProtection="0"/>
    <xf numFmtId="0" fontId="39" fillId="14" borderId="0" applyNumberFormat="0" applyBorder="0" applyAlignment="0" applyProtection="0"/>
    <xf numFmtId="0" fontId="39" fillId="9" borderId="0" applyNumberFormat="0" applyBorder="0" applyAlignment="0" applyProtection="0"/>
    <xf numFmtId="0" fontId="39" fillId="12" borderId="0" applyNumberFormat="0" applyBorder="0" applyAlignment="0" applyProtection="0"/>
    <xf numFmtId="0" fontId="39" fillId="15" borderId="0" applyNumberFormat="0" applyBorder="0" applyAlignment="0" applyProtection="0"/>
    <xf numFmtId="0" fontId="40" fillId="16"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40" fillId="19" borderId="0" applyNumberFormat="0" applyBorder="0" applyAlignment="0" applyProtection="0"/>
    <xf numFmtId="0" fontId="40" fillId="20" borderId="0" applyNumberFormat="0" applyBorder="0" applyAlignment="0" applyProtection="0"/>
    <xf numFmtId="0" fontId="40" fillId="21" borderId="0" applyNumberFormat="0" applyBorder="0" applyAlignment="0" applyProtection="0"/>
    <xf numFmtId="0" fontId="40" fillId="22"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40" fillId="23" borderId="0" applyNumberFormat="0" applyBorder="0" applyAlignment="0" applyProtection="0"/>
    <xf numFmtId="0" fontId="41" fillId="7" borderId="0" applyNumberFormat="0" applyBorder="0" applyAlignment="0" applyProtection="0"/>
    <xf numFmtId="3" fontId="42" fillId="0" borderId="0"/>
    <xf numFmtId="188" fontId="43" fillId="0" borderId="15" applyAlignment="0" applyProtection="0"/>
    <xf numFmtId="189" fontId="35" fillId="0" borderId="0" applyFill="0" applyBorder="0" applyAlignment="0"/>
    <xf numFmtId="0" fontId="44" fillId="24" borderId="16" applyNumberFormat="0" applyAlignment="0" applyProtection="0"/>
    <xf numFmtId="0" fontId="45" fillId="25" borderId="17" applyNumberFormat="0" applyAlignment="0" applyProtection="0"/>
    <xf numFmtId="0" fontId="46" fillId="0" borderId="18" applyNumberFormat="0" applyFill="0" applyProtection="0">
      <alignment horizontal="center"/>
    </xf>
    <xf numFmtId="0" fontId="47" fillId="0" borderId="19">
      <alignment horizontal="center"/>
    </xf>
    <xf numFmtId="190" fontId="34" fillId="0" borderId="0"/>
    <xf numFmtId="190" fontId="34" fillId="0" borderId="0"/>
    <xf numFmtId="190" fontId="34" fillId="0" borderId="0"/>
    <xf numFmtId="190" fontId="34" fillId="0" borderId="0"/>
    <xf numFmtId="190" fontId="34" fillId="0" borderId="0"/>
    <xf numFmtId="190" fontId="34" fillId="0" borderId="0"/>
    <xf numFmtId="190" fontId="34" fillId="0" borderId="0"/>
    <xf numFmtId="190" fontId="34" fillId="0" borderId="0"/>
    <xf numFmtId="38" fontId="48" fillId="0" borderId="0" applyFont="0" applyFill="0" applyBorder="0" applyAlignment="0" applyProtection="0"/>
    <xf numFmtId="37" fontId="38" fillId="0" borderId="0" applyFont="0" applyFill="0" applyBorder="0" applyAlignment="0" applyProtection="0"/>
    <xf numFmtId="191" fontId="38" fillId="0" borderId="0" applyFont="0" applyFill="0" applyBorder="0" applyAlignment="0" applyProtection="0"/>
    <xf numFmtId="39" fontId="38" fillId="0" borderId="0" applyFont="0" applyFill="0" applyBorder="0" applyAlignment="0" applyProtection="0"/>
    <xf numFmtId="40" fontId="48" fillId="0" borderId="0" applyFont="0" applyFill="0" applyBorder="0" applyAlignment="0" applyProtection="0"/>
    <xf numFmtId="192" fontId="11" fillId="0" borderId="0" applyFont="0" applyFill="0" applyBorder="0" applyAlignment="0" applyProtection="0"/>
    <xf numFmtId="188" fontId="38" fillId="0" borderId="0" applyFont="0" applyFill="0" applyBorder="0" applyAlignment="0" applyProtection="0"/>
    <xf numFmtId="193" fontId="38" fillId="0" borderId="0" applyFont="0" applyFill="0" applyBorder="0" applyAlignment="0" applyProtection="0"/>
    <xf numFmtId="194" fontId="11" fillId="0" borderId="0" applyFont="0" applyFill="0" applyBorder="0" applyAlignment="0" applyProtection="0"/>
    <xf numFmtId="41" fontId="34" fillId="0" borderId="0" applyFont="0" applyFill="0" applyBorder="0" applyAlignment="0" applyProtection="0"/>
    <xf numFmtId="43" fontId="34" fillId="0" borderId="0" applyFont="0" applyFill="0" applyBorder="0" applyAlignment="0" applyProtection="0"/>
    <xf numFmtId="0" fontId="49" fillId="0" borderId="0">
      <alignment horizontal="left"/>
    </xf>
    <xf numFmtId="0" fontId="50" fillId="26" borderId="20"/>
    <xf numFmtId="176" fontId="10" fillId="0" borderId="0" applyFont="0" applyFill="0" applyBorder="0" applyAlignment="0" applyProtection="0"/>
    <xf numFmtId="0" fontId="51" fillId="0" borderId="0" applyNumberFormat="0" applyFill="0" applyBorder="0" applyAlignment="0" applyProtection="0"/>
    <xf numFmtId="176" fontId="52" fillId="0" borderId="0" applyNumberFormat="0" applyFill="0" applyBorder="0" applyAlignment="0" applyProtection="0">
      <alignment vertical="top"/>
      <protection locked="0"/>
    </xf>
    <xf numFmtId="0" fontId="53" fillId="8" borderId="0" applyNumberFormat="0" applyBorder="0" applyAlignment="0" applyProtection="0"/>
    <xf numFmtId="38" fontId="50" fillId="27" borderId="0" applyNumberFormat="0" applyBorder="0" applyAlignment="0" applyProtection="0"/>
    <xf numFmtId="0" fontId="54" fillId="0" borderId="21" applyNumberFormat="0" applyAlignment="0" applyProtection="0">
      <alignment horizontal="left" vertical="center"/>
    </xf>
    <xf numFmtId="0" fontId="54" fillId="0" borderId="22">
      <alignment horizontal="left" vertical="center"/>
    </xf>
    <xf numFmtId="14" fontId="55" fillId="28" borderId="23">
      <alignment horizontal="center" vertical="center" wrapText="1"/>
    </xf>
    <xf numFmtId="0" fontId="56" fillId="0" borderId="24" applyNumberFormat="0" applyFill="0" applyAlignment="0" applyProtection="0"/>
    <xf numFmtId="0" fontId="57" fillId="0" borderId="25" applyNumberFormat="0" applyFill="0" applyAlignment="0" applyProtection="0"/>
    <xf numFmtId="0" fontId="58" fillId="0" borderId="26" applyNumberFormat="0" applyFill="0" applyAlignment="0" applyProtection="0"/>
    <xf numFmtId="0" fontId="58" fillId="0" borderId="0" applyNumberFormat="0" applyFill="0" applyBorder="0" applyAlignment="0" applyProtection="0"/>
    <xf numFmtId="176" fontId="59" fillId="0" borderId="0" applyNumberFormat="0" applyFill="0" applyBorder="0" applyAlignment="0" applyProtection="0">
      <alignment vertical="top"/>
      <protection locked="0"/>
    </xf>
    <xf numFmtId="0" fontId="60" fillId="11" borderId="16" applyNumberFormat="0" applyAlignment="0" applyProtection="0"/>
    <xf numFmtId="10" fontId="50" fillId="29" borderId="20" applyNumberFormat="0" applyBorder="0" applyAlignment="0" applyProtection="0"/>
    <xf numFmtId="0" fontId="10" fillId="0" borderId="0" applyNumberFormat="0" applyFont="0" applyFill="0" applyBorder="0" applyProtection="0">
      <alignment horizontal="left" vertical="center"/>
    </xf>
    <xf numFmtId="0" fontId="61" fillId="0" borderId="27" applyNumberFormat="0" applyFill="0" applyAlignment="0" applyProtection="0"/>
    <xf numFmtId="41" fontId="34" fillId="0" borderId="0" applyFont="0" applyFill="0" applyBorder="0" applyAlignment="0" applyProtection="0"/>
    <xf numFmtId="43" fontId="34" fillId="0" borderId="0" applyFont="0" applyFill="0" applyBorder="0" applyAlignment="0" applyProtection="0"/>
    <xf numFmtId="195" fontId="11" fillId="0" borderId="0" applyFont="0" applyFill="0" applyBorder="0" applyAlignment="0" applyProtection="0"/>
    <xf numFmtId="196" fontId="11" fillId="0" borderId="0" applyFont="0" applyFill="0" applyBorder="0" applyAlignment="0" applyProtection="0"/>
    <xf numFmtId="197" fontId="34" fillId="0" borderId="0" applyFont="0" applyFill="0" applyBorder="0" applyAlignment="0" applyProtection="0"/>
    <xf numFmtId="198" fontId="34" fillId="0" borderId="0" applyFont="0" applyFill="0" applyBorder="0" applyAlignment="0" applyProtection="0"/>
    <xf numFmtId="199" fontId="34" fillId="0" borderId="0" applyFont="0" applyFill="0" applyBorder="0" applyAlignment="0" applyProtection="0"/>
    <xf numFmtId="200" fontId="11" fillId="0" borderId="0" applyFont="0" applyFill="0" applyBorder="0" applyAlignment="0" applyProtection="0"/>
    <xf numFmtId="0" fontId="62" fillId="30" borderId="0" applyNumberFormat="0" applyBorder="0" applyAlignment="0" applyProtection="0"/>
    <xf numFmtId="37" fontId="63" fillId="0" borderId="0"/>
    <xf numFmtId="176" fontId="64" fillId="0" borderId="0"/>
    <xf numFmtId="201" fontId="11" fillId="0" borderId="0"/>
    <xf numFmtId="0" fontId="48" fillId="0" borderId="0"/>
    <xf numFmtId="0" fontId="65" fillId="0" borderId="0"/>
    <xf numFmtId="0" fontId="34" fillId="31" borderId="28" applyNumberFormat="0" applyFont="0" applyAlignment="0" applyProtection="0"/>
    <xf numFmtId="0" fontId="66" fillId="24" borderId="29" applyNumberFormat="0" applyAlignment="0" applyProtection="0"/>
    <xf numFmtId="202" fontId="34" fillId="0" borderId="0" applyFont="0" applyFill="0" applyBorder="0" applyAlignment="0" applyProtection="0"/>
    <xf numFmtId="10" fontId="34" fillId="0" borderId="0" applyFont="0" applyFill="0" applyBorder="0" applyAlignment="0" applyProtection="0"/>
    <xf numFmtId="0" fontId="50" fillId="27" borderId="20"/>
    <xf numFmtId="4" fontId="49" fillId="0" borderId="0">
      <alignment horizontal="right"/>
    </xf>
    <xf numFmtId="3" fontId="67" fillId="0" borderId="0"/>
    <xf numFmtId="4" fontId="68" fillId="0" borderId="0">
      <alignment horizontal="right"/>
    </xf>
    <xf numFmtId="0" fontId="69" fillId="0" borderId="0">
      <alignment horizontal="left"/>
    </xf>
    <xf numFmtId="0" fontId="70" fillId="0" borderId="20">
      <alignment horizontal="center"/>
    </xf>
    <xf numFmtId="0" fontId="70" fillId="0" borderId="0">
      <alignment horizontal="center" vertical="center"/>
    </xf>
    <xf numFmtId="0" fontId="71" fillId="32" borderId="0" applyNumberFormat="0" applyFill="0">
      <alignment horizontal="left" vertical="center"/>
    </xf>
    <xf numFmtId="0" fontId="72" fillId="0" borderId="0" applyFill="0" applyBorder="0" applyProtection="0">
      <alignment horizontal="left" vertical="top"/>
    </xf>
    <xf numFmtId="0" fontId="73" fillId="0" borderId="0">
      <alignment horizontal="center"/>
    </xf>
    <xf numFmtId="0" fontId="74" fillId="0" borderId="30" applyNumberFormat="0" applyFill="0" applyAlignment="0" applyProtection="0"/>
    <xf numFmtId="0" fontId="75" fillId="0" borderId="0" applyNumberFormat="0" applyFill="0" applyBorder="0" applyAlignment="0" applyProtection="0"/>
    <xf numFmtId="0" fontId="76" fillId="0" borderId="0" applyNumberFormat="0" applyFont="0" applyFill="0" applyBorder="0" applyProtection="0">
      <alignment horizontal="center" vertical="center" wrapText="1"/>
    </xf>
    <xf numFmtId="9" fontId="77" fillId="0" borderId="0" applyFont="0" applyFill="0" applyBorder="0" applyAlignment="0" applyProtection="0"/>
    <xf numFmtId="4" fontId="78" fillId="0" borderId="0">
      <alignment horizontal="right"/>
    </xf>
    <xf numFmtId="0" fontId="79" fillId="0" borderId="0" applyNumberFormat="0" applyFill="0" applyBorder="0" applyAlignment="0" applyProtection="0">
      <alignment vertical="top"/>
      <protection locked="0"/>
    </xf>
    <xf numFmtId="176" fontId="12" fillId="0" borderId="0" applyNumberFormat="0" applyFill="0" applyBorder="0" applyAlignment="0" applyProtection="0">
      <alignment vertical="top"/>
      <protection locked="0"/>
    </xf>
    <xf numFmtId="0" fontId="43" fillId="0" borderId="0" applyNumberFormat="0" applyFill="0" applyBorder="0" applyAlignment="0" applyProtection="0"/>
    <xf numFmtId="4" fontId="76" fillId="0" borderId="0" applyFont="0" applyFill="0" applyBorder="0" applyAlignment="0" applyProtection="0"/>
    <xf numFmtId="41" fontId="34" fillId="0" borderId="0" applyFont="0" applyFill="0" applyBorder="0" applyAlignment="0" applyProtection="0"/>
    <xf numFmtId="203" fontId="80" fillId="0" borderId="0" applyFont="0" applyFill="0" applyBorder="0" applyAlignment="0" applyProtection="0"/>
    <xf numFmtId="8" fontId="11" fillId="0" borderId="0" applyFont="0" applyFill="0" applyBorder="0" applyAlignment="0" applyProtection="0"/>
    <xf numFmtId="204" fontId="80" fillId="0" borderId="0" applyFont="0" applyFill="0" applyBorder="0" applyAlignment="0" applyProtection="0"/>
    <xf numFmtId="205" fontId="80" fillId="0" borderId="0" applyFont="0" applyFill="0" applyBorder="0" applyAlignment="0" applyProtection="0"/>
    <xf numFmtId="0" fontId="10" fillId="0" borderId="0"/>
    <xf numFmtId="41" fontId="10" fillId="0" borderId="0" applyFont="0" applyFill="0" applyBorder="0" applyAlignment="0" applyProtection="0"/>
    <xf numFmtId="43" fontId="10"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81" fillId="0" borderId="0"/>
    <xf numFmtId="198" fontId="34" fillId="0" borderId="0" applyFont="0" applyFill="0" applyBorder="0" applyAlignment="0" applyProtection="0"/>
    <xf numFmtId="206" fontId="76" fillId="0" borderId="0" applyFont="0" applyFill="0" applyBorder="0" applyAlignment="0" applyProtection="0"/>
    <xf numFmtId="176" fontId="35" fillId="0" borderId="0">
      <alignment vertical="top"/>
    </xf>
    <xf numFmtId="38" fontId="82" fillId="0" borderId="0" applyFont="0" applyFill="0" applyBorder="0" applyAlignment="0" applyProtection="0"/>
    <xf numFmtId="40" fontId="82" fillId="0" borderId="0" applyFont="0" applyFill="0" applyBorder="0" applyAlignment="0" applyProtection="0"/>
    <xf numFmtId="0" fontId="82" fillId="0" borderId="0" applyFont="0" applyFill="0" applyBorder="0" applyAlignment="0" applyProtection="0"/>
    <xf numFmtId="0" fontId="82" fillId="0" borderId="0" applyFont="0" applyFill="0" applyBorder="0" applyAlignment="0" applyProtection="0"/>
    <xf numFmtId="0" fontId="83" fillId="0" borderId="0"/>
    <xf numFmtId="0" fontId="84" fillId="0" borderId="0" applyNumberFormat="0" applyFill="0" applyBorder="0" applyAlignment="0" applyProtection="0">
      <protection locked="0"/>
    </xf>
  </cellStyleXfs>
  <cellXfs count="137">
    <xf numFmtId="0" fontId="0" fillId="0" borderId="0" xfId="0">
      <protection locked="0"/>
    </xf>
    <xf numFmtId="0" fontId="13" fillId="0" borderId="6" xfId="0" applyFont="1" applyBorder="1" applyAlignment="1">
      <alignment horizontal="center" vertical="center" wrapText="1"/>
      <protection locked="0"/>
    </xf>
    <xf numFmtId="0" fontId="16" fillId="0" borderId="0" xfId="0" applyFont="1" applyAlignment="1">
      <alignment vertical="center"/>
      <protection locked="0"/>
    </xf>
    <xf numFmtId="0" fontId="18" fillId="0" borderId="0" xfId="0" applyFont="1" applyAlignment="1">
      <alignment horizontal="left" vertical="center"/>
      <protection locked="0"/>
    </xf>
    <xf numFmtId="49" fontId="18" fillId="0" borderId="0" xfId="0" applyNumberFormat="1" applyFont="1" applyAlignment="1">
      <alignment horizontal="left" vertical="center" wrapText="1"/>
      <protection locked="0"/>
    </xf>
    <xf numFmtId="0" fontId="18" fillId="0" borderId="0" xfId="0" applyFont="1" applyAlignment="1">
      <alignment horizontal="center" vertical="center"/>
      <protection locked="0"/>
    </xf>
    <xf numFmtId="0" fontId="18" fillId="0" borderId="0" xfId="0" applyFont="1" applyAlignment="1">
      <alignment vertical="center"/>
      <protection locked="0"/>
    </xf>
    <xf numFmtId="0" fontId="13" fillId="0" borderId="1" xfId="0" applyFont="1" applyBorder="1" applyAlignment="1">
      <alignment horizontal="left" vertical="center"/>
      <protection locked="0"/>
    </xf>
    <xf numFmtId="0" fontId="13" fillId="0" borderId="2" xfId="0" applyFont="1" applyBorder="1" applyAlignment="1">
      <alignment horizontal="left" vertical="center"/>
      <protection locked="0"/>
    </xf>
    <xf numFmtId="0" fontId="13" fillId="0" borderId="2" xfId="0" applyFont="1" applyBorder="1" applyAlignment="1">
      <alignment horizontal="left" vertical="center" wrapText="1"/>
      <protection locked="0"/>
    </xf>
    <xf numFmtId="49" fontId="13" fillId="0" borderId="2" xfId="0" applyNumberFormat="1" applyFont="1" applyBorder="1" applyAlignment="1">
      <alignment horizontal="left" vertical="center" wrapText="1"/>
      <protection locked="0"/>
    </xf>
    <xf numFmtId="0" fontId="13" fillId="0" borderId="2" xfId="0" applyFont="1" applyBorder="1" applyAlignment="1">
      <alignment vertical="center"/>
      <protection locked="0"/>
    </xf>
    <xf numFmtId="0" fontId="13" fillId="0" borderId="3" xfId="0" applyFont="1" applyBorder="1" applyAlignment="1">
      <alignment horizontal="center" vertical="center"/>
      <protection locked="0"/>
    </xf>
    <xf numFmtId="0" fontId="13" fillId="0" borderId="0" xfId="0" applyFont="1" applyAlignment="1">
      <alignment vertical="center"/>
      <protection locked="0"/>
    </xf>
    <xf numFmtId="0" fontId="18" fillId="0" borderId="4" xfId="0" applyFont="1" applyBorder="1" applyAlignment="1">
      <alignment horizontal="left" vertical="center"/>
      <protection locked="0"/>
    </xf>
    <xf numFmtId="0" fontId="18" fillId="0" borderId="11" xfId="0" applyFont="1" applyBorder="1" applyAlignment="1">
      <alignment horizontal="left" vertical="center"/>
      <protection locked="0"/>
    </xf>
    <xf numFmtId="0" fontId="13" fillId="0" borderId="8" xfId="0" applyFont="1" applyBorder="1" applyAlignment="1">
      <alignment vertical="center"/>
      <protection locked="0"/>
    </xf>
    <xf numFmtId="0" fontId="13" fillId="0" borderId="5" xfId="0" applyFont="1" applyBorder="1" applyAlignment="1">
      <alignment horizontal="left" vertical="center"/>
      <protection locked="0"/>
    </xf>
    <xf numFmtId="0" fontId="13" fillId="0" borderId="0" xfId="0" applyFont="1" applyAlignment="1">
      <alignment horizontal="center" vertical="center"/>
      <protection locked="0"/>
    </xf>
    <xf numFmtId="0" fontId="18" fillId="0" borderId="6" xfId="0" applyFont="1" applyBorder="1" applyAlignment="1">
      <alignment horizontal="center" vertical="center" wrapText="1"/>
      <protection locked="0"/>
    </xf>
    <xf numFmtId="0" fontId="20" fillId="0" borderId="6" xfId="0" applyFont="1" applyBorder="1" applyAlignment="1">
      <alignment horizontal="center" vertical="center" wrapText="1"/>
      <protection locked="0"/>
    </xf>
    <xf numFmtId="0" fontId="18" fillId="0" borderId="7" xfId="0" applyFont="1" applyBorder="1" applyAlignment="1">
      <alignment horizontal="center" vertical="center"/>
      <protection locked="0"/>
    </xf>
    <xf numFmtId="0" fontId="13" fillId="2" borderId="0" xfId="0" applyFont="1" applyFill="1" applyAlignment="1">
      <alignment vertical="center"/>
      <protection locked="0"/>
    </xf>
    <xf numFmtId="0" fontId="21" fillId="0" borderId="0" xfId="0" applyFont="1" applyAlignment="1">
      <alignment horizontal="left" vertical="center"/>
      <protection locked="0"/>
    </xf>
    <xf numFmtId="0" fontId="19" fillId="0" borderId="0" xfId="0" applyFont="1" applyAlignment="1">
      <alignment horizontal="left" vertical="center"/>
      <protection locked="0"/>
    </xf>
    <xf numFmtId="0" fontId="22" fillId="0" borderId="0" xfId="0" applyFont="1" applyAlignment="1">
      <alignment horizontal="left" vertical="center"/>
      <protection locked="0"/>
    </xf>
    <xf numFmtId="0" fontId="22" fillId="0" borderId="0" xfId="0" applyFont="1" applyAlignment="1">
      <alignment horizontal="left" vertical="center" wrapText="1"/>
      <protection locked="0"/>
    </xf>
    <xf numFmtId="49" fontId="22" fillId="0" borderId="0" xfId="0" applyNumberFormat="1" applyFont="1" applyAlignment="1">
      <alignment horizontal="left" vertical="center" wrapText="1"/>
      <protection locked="0"/>
    </xf>
    <xf numFmtId="0" fontId="22" fillId="0" borderId="0" xfId="0" applyFont="1" applyAlignment="1">
      <alignment vertical="center"/>
      <protection locked="0"/>
    </xf>
    <xf numFmtId="0" fontId="22" fillId="0" borderId="0" xfId="0" applyFont="1" applyAlignment="1">
      <alignment horizontal="center" vertical="center"/>
      <protection locked="0"/>
    </xf>
    <xf numFmtId="0" fontId="5" fillId="0" borderId="7" xfId="0" applyFont="1" applyBorder="1" applyAlignment="1">
      <alignment vertical="center"/>
      <protection locked="0"/>
    </xf>
    <xf numFmtId="49" fontId="19" fillId="0" borderId="5" xfId="0" applyNumberFormat="1" applyFont="1" applyBorder="1" applyAlignment="1">
      <alignment horizontal="left" vertical="center" wrapText="1"/>
      <protection locked="0"/>
    </xf>
    <xf numFmtId="49" fontId="18" fillId="0" borderId="7" xfId="0" applyNumberFormat="1" applyFont="1" applyBorder="1" applyAlignment="1">
      <alignment horizontal="center" vertical="center"/>
      <protection locked="0"/>
    </xf>
    <xf numFmtId="49" fontId="18" fillId="0" borderId="6" xfId="0" applyNumberFormat="1" applyFont="1" applyBorder="1" applyAlignment="1">
      <alignment horizontal="center" vertical="center" wrapText="1"/>
      <protection locked="0"/>
    </xf>
    <xf numFmtId="0" fontId="5" fillId="0" borderId="5" xfId="6" applyFont="1" applyBorder="1" applyAlignment="1">
      <alignment horizontal="center" vertical="center"/>
    </xf>
    <xf numFmtId="49" fontId="13" fillId="0" borderId="5" xfId="0" applyNumberFormat="1" applyFont="1" applyBorder="1" applyAlignment="1">
      <alignment horizontal="center" vertical="center" wrapText="1"/>
      <protection locked="0"/>
    </xf>
    <xf numFmtId="0" fontId="13" fillId="0" borderId="5" xfId="0" applyFont="1" applyBorder="1" applyAlignment="1">
      <alignment horizontal="center" vertical="center" wrapText="1"/>
      <protection locked="0"/>
    </xf>
    <xf numFmtId="49" fontId="18" fillId="0" borderId="6" xfId="0" applyNumberFormat="1" applyFont="1" applyBorder="1" applyAlignment="1">
      <alignment horizontal="left" vertical="center" wrapText="1"/>
      <protection locked="0"/>
    </xf>
    <xf numFmtId="0" fontId="18" fillId="0" borderId="6" xfId="0" applyFont="1" applyBorder="1" applyAlignment="1">
      <alignment horizontal="left" vertical="center" wrapText="1"/>
      <protection locked="0"/>
    </xf>
    <xf numFmtId="0" fontId="19" fillId="0" borderId="5" xfId="0" applyFont="1" applyBorder="1" applyAlignment="1">
      <alignment horizontal="left" vertical="center" wrapText="1"/>
      <protection locked="0"/>
    </xf>
    <xf numFmtId="0" fontId="18" fillId="0" borderId="0" xfId="0" applyFont="1" applyAlignment="1">
      <alignment horizontal="left" vertical="center" wrapText="1"/>
      <protection locked="0"/>
    </xf>
    <xf numFmtId="0" fontId="13" fillId="3" borderId="0" xfId="0" applyFont="1" applyFill="1" applyAlignment="1">
      <alignment vertical="center"/>
      <protection locked="0"/>
    </xf>
    <xf numFmtId="49" fontId="13" fillId="0" borderId="7" xfId="0" applyNumberFormat="1" applyFont="1" applyBorder="1" applyAlignment="1">
      <alignment horizontal="center" vertical="center"/>
      <protection locked="0"/>
    </xf>
    <xf numFmtId="49" fontId="21" fillId="0" borderId="5" xfId="0" applyNumberFormat="1" applyFont="1" applyBorder="1" applyAlignment="1">
      <alignment horizontal="left" vertical="center" wrapText="1"/>
      <protection locked="0"/>
    </xf>
    <xf numFmtId="0" fontId="21" fillId="0" borderId="5" xfId="0" applyFont="1" applyBorder="1" applyAlignment="1">
      <alignment horizontal="left" vertical="center" wrapText="1"/>
      <protection locked="0"/>
    </xf>
    <xf numFmtId="0" fontId="14" fillId="0" borderId="6" xfId="0" applyFont="1" applyBorder="1" applyAlignment="1">
      <alignment horizontal="center" vertical="center" wrapText="1"/>
      <protection locked="0"/>
    </xf>
    <xf numFmtId="0" fontId="5" fillId="0" borderId="7" xfId="5" applyFont="1" applyBorder="1" applyAlignment="1" applyProtection="1">
      <alignment horizontal="center" vertical="center" wrapText="1"/>
      <protection locked="0"/>
    </xf>
    <xf numFmtId="0" fontId="24" fillId="0" borderId="0" xfId="7" applyFont="1" applyAlignment="1">
      <alignment vertical="center" wrapText="1"/>
    </xf>
    <xf numFmtId="0" fontId="18" fillId="0" borderId="0" xfId="3" applyFont="1">
      <protection locked="0"/>
    </xf>
    <xf numFmtId="0" fontId="26" fillId="0" borderId="0" xfId="7" applyFont="1" applyAlignment="1">
      <alignment vertical="center" wrapText="1"/>
    </xf>
    <xf numFmtId="0" fontId="22" fillId="0" borderId="0" xfId="3" applyFont="1">
      <protection locked="0"/>
    </xf>
    <xf numFmtId="0" fontId="27" fillId="0" borderId="0" xfId="3" applyFont="1" applyAlignment="1">
      <alignment horizontal="right" vertical="center"/>
      <protection locked="0"/>
    </xf>
    <xf numFmtId="0" fontId="24" fillId="0" borderId="0" xfId="3" applyFont="1" applyAlignment="1" applyProtection="1">
      <alignment vertical="center"/>
    </xf>
    <xf numFmtId="0" fontId="28" fillId="0" borderId="0" xfId="3" applyFont="1" applyAlignment="1" applyProtection="1">
      <alignment vertical="center"/>
    </xf>
    <xf numFmtId="0" fontId="23" fillId="0" borderId="0" xfId="3" applyFont="1" applyAlignment="1" applyProtection="1">
      <alignment vertical="center"/>
    </xf>
    <xf numFmtId="0" fontId="29" fillId="0" borderId="0" xfId="3" applyFont="1" applyAlignment="1" applyProtection="1">
      <alignment vertical="center"/>
    </xf>
    <xf numFmtId="43" fontId="32" fillId="0" borderId="6" xfId="8" applyFont="1" applyBorder="1" applyAlignment="1" applyProtection="1">
      <alignment vertical="center"/>
    </xf>
    <xf numFmtId="43" fontId="32" fillId="0" borderId="6" xfId="8" applyFont="1" applyBorder="1" applyAlignment="1" applyProtection="1">
      <alignment vertical="center" shrinkToFit="1"/>
    </xf>
    <xf numFmtId="43" fontId="32" fillId="0" borderId="0" xfId="8" applyFont="1" applyBorder="1" applyAlignment="1" applyProtection="1">
      <alignment vertical="center" shrinkToFit="1"/>
    </xf>
    <xf numFmtId="0" fontId="23" fillId="4" borderId="6" xfId="3" applyFont="1" applyFill="1" applyBorder="1" applyAlignment="1" applyProtection="1">
      <alignment horizontal="center" vertical="center" wrapText="1"/>
    </xf>
    <xf numFmtId="0" fontId="28" fillId="0" borderId="6" xfId="3" applyFont="1" applyBorder="1" applyAlignment="1" applyProtection="1">
      <alignment horizontal="center" vertical="center"/>
    </xf>
    <xf numFmtId="0" fontId="28" fillId="0" borderId="6" xfId="3" applyFont="1" applyBorder="1" applyAlignment="1" applyProtection="1">
      <alignment vertical="center"/>
    </xf>
    <xf numFmtId="43" fontId="28" fillId="0" borderId="6" xfId="8" applyFont="1" applyBorder="1" applyAlignment="1" applyProtection="1">
      <alignment vertical="center"/>
    </xf>
    <xf numFmtId="10" fontId="28" fillId="5" borderId="6" xfId="8" applyNumberFormat="1" applyFont="1" applyFill="1" applyBorder="1" applyAlignment="1" applyProtection="1">
      <alignment vertical="center" shrinkToFit="1"/>
    </xf>
    <xf numFmtId="10" fontId="28" fillId="5" borderId="6" xfId="9" applyNumberFormat="1" applyFont="1" applyFill="1" applyBorder="1" applyAlignment="1" applyProtection="1">
      <alignment vertical="center" shrinkToFit="1"/>
    </xf>
    <xf numFmtId="0" fontId="24" fillId="0" borderId="6" xfId="3" applyFont="1" applyBorder="1" applyAlignment="1" applyProtection="1">
      <alignment horizontal="center" vertical="center"/>
    </xf>
    <xf numFmtId="0" fontId="24" fillId="0" borderId="6" xfId="3" applyFont="1" applyBorder="1" applyAlignment="1" applyProtection="1">
      <alignment vertical="center"/>
    </xf>
    <xf numFmtId="43" fontId="24" fillId="5" borderId="6" xfId="8" applyFont="1" applyFill="1" applyBorder="1" applyAlignment="1" applyProtection="1">
      <alignment vertical="center"/>
    </xf>
    <xf numFmtId="10" fontId="24" fillId="5" borderId="6" xfId="8" applyNumberFormat="1" applyFont="1" applyFill="1" applyBorder="1" applyAlignment="1" applyProtection="1">
      <alignment vertical="center" shrinkToFit="1"/>
    </xf>
    <xf numFmtId="0" fontId="13" fillId="0" borderId="0" xfId="3" applyFont="1">
      <protection locked="0"/>
    </xf>
    <xf numFmtId="0" fontId="23" fillId="4" borderId="9" xfId="3" applyFont="1" applyFill="1" applyBorder="1" applyAlignment="1" applyProtection="1">
      <alignment horizontal="center" vertical="center" wrapText="1"/>
    </xf>
    <xf numFmtId="0" fontId="24" fillId="0" borderId="2" xfId="3" applyFont="1" applyBorder="1" applyAlignment="1" applyProtection="1">
      <alignment vertical="center"/>
    </xf>
    <xf numFmtId="0" fontId="28" fillId="0" borderId="2" xfId="3" applyFont="1" applyBorder="1" applyAlignment="1" applyProtection="1">
      <alignment vertical="center"/>
    </xf>
    <xf numFmtId="0" fontId="24" fillId="0" borderId="2" xfId="3" applyFont="1" applyBorder="1" applyAlignment="1" applyProtection="1">
      <alignment horizontal="center" vertical="center"/>
    </xf>
    <xf numFmtId="0" fontId="23" fillId="0" borderId="2" xfId="3" applyFont="1" applyBorder="1" applyAlignment="1" applyProtection="1">
      <alignment horizontal="center" vertical="center"/>
    </xf>
    <xf numFmtId="43" fontId="24" fillId="0" borderId="2" xfId="10" applyFont="1" applyBorder="1" applyAlignment="1" applyProtection="1">
      <alignment vertical="center"/>
    </xf>
    <xf numFmtId="0" fontId="23" fillId="4" borderId="2" xfId="3" applyFont="1" applyFill="1" applyBorder="1" applyAlignment="1" applyProtection="1">
      <alignment horizontal="center" vertical="center" wrapText="1"/>
    </xf>
    <xf numFmtId="9" fontId="28" fillId="0" borderId="2" xfId="11" applyFont="1" applyBorder="1" applyAlignment="1" applyProtection="1">
      <alignment vertical="center"/>
    </xf>
    <xf numFmtId="0" fontId="23" fillId="0" borderId="2" xfId="3" applyFont="1" applyBorder="1" applyAlignment="1" applyProtection="1">
      <alignment vertical="center"/>
    </xf>
    <xf numFmtId="0" fontId="28" fillId="0" borderId="0" xfId="3" applyFont="1" applyAlignment="1" applyProtection="1">
      <alignment horizontal="center" vertical="center"/>
    </xf>
    <xf numFmtId="0" fontId="33" fillId="0" borderId="0" xfId="3" applyFont="1" applyAlignment="1" applyProtection="1">
      <alignment vertical="center"/>
    </xf>
    <xf numFmtId="0" fontId="8" fillId="0" borderId="7" xfId="0" applyFont="1" applyBorder="1" applyAlignment="1">
      <alignment horizontal="left" vertical="center" wrapText="1"/>
      <protection locked="0"/>
    </xf>
    <xf numFmtId="49" fontId="4" fillId="0" borderId="7" xfId="0" applyNumberFormat="1" applyFont="1" applyBorder="1" applyAlignment="1">
      <alignment horizontal="center" vertical="center"/>
      <protection locked="0"/>
    </xf>
    <xf numFmtId="0" fontId="6" fillId="0" borderId="0" xfId="0" applyFont="1" applyAlignment="1">
      <alignment vertical="center"/>
      <protection locked="0"/>
    </xf>
    <xf numFmtId="0" fontId="4" fillId="33" borderId="0" xfId="0" applyFont="1" applyFill="1" applyAlignment="1">
      <alignment horizontal="justify" vertical="center" wrapText="1"/>
      <protection locked="0"/>
    </xf>
    <xf numFmtId="0" fontId="85" fillId="0" borderId="0" xfId="3" applyFont="1" applyAlignment="1">
      <alignment horizontal="left" vertical="center"/>
      <protection locked="0"/>
    </xf>
    <xf numFmtId="0" fontId="85" fillId="0" borderId="0" xfId="3" applyFont="1" applyAlignment="1">
      <alignment horizontal="center" vertical="center" wrapText="1"/>
      <protection locked="0"/>
    </xf>
    <xf numFmtId="0" fontId="85" fillId="0" borderId="0" xfId="3" applyFont="1" applyAlignment="1">
      <alignment horizontal="left" vertical="center" wrapText="1"/>
      <protection locked="0"/>
    </xf>
    <xf numFmtId="0" fontId="86" fillId="0" borderId="0" xfId="3" applyFont="1" applyAlignment="1">
      <alignment horizontal="right" vertical="center"/>
      <protection locked="0"/>
    </xf>
    <xf numFmtId="0" fontId="85" fillId="0" borderId="0" xfId="3" applyFont="1">
      <protection locked="0"/>
    </xf>
    <xf numFmtId="0" fontId="86" fillId="0" borderId="0" xfId="3" applyFont="1" applyAlignment="1">
      <alignment vertical="center"/>
      <protection locked="0"/>
    </xf>
    <xf numFmtId="0" fontId="85" fillId="0" borderId="0" xfId="0" applyFont="1" applyAlignment="1">
      <alignment horizontal="left" vertical="center"/>
      <protection locked="0"/>
    </xf>
    <xf numFmtId="0" fontId="85" fillId="0" borderId="0" xfId="0" applyFont="1" applyAlignment="1">
      <alignment horizontal="center" vertical="center" wrapText="1"/>
      <protection locked="0"/>
    </xf>
    <xf numFmtId="0" fontId="85" fillId="0" borderId="0" xfId="0" applyFont="1" applyAlignment="1">
      <alignment horizontal="left" vertical="center" wrapText="1"/>
      <protection locked="0"/>
    </xf>
    <xf numFmtId="49" fontId="85" fillId="0" borderId="0" xfId="0" applyNumberFormat="1" applyFont="1" applyAlignment="1">
      <alignment horizontal="left" vertical="center" wrapText="1"/>
      <protection locked="0"/>
    </xf>
    <xf numFmtId="0" fontId="5" fillId="0" borderId="6" xfId="5" applyFont="1" applyBorder="1" applyAlignment="1" applyProtection="1">
      <alignment horizontal="center" vertical="center" wrapText="1"/>
      <protection locked="0"/>
    </xf>
    <xf numFmtId="0" fontId="4" fillId="0" borderId="0" xfId="0" applyFont="1" applyAlignment="1">
      <alignment horizontal="center" vertical="center"/>
      <protection locked="0"/>
    </xf>
    <xf numFmtId="0" fontId="34" fillId="0" borderId="20" xfId="0" applyFont="1" applyBorder="1" applyAlignment="1">
      <alignment horizontal="center" vertical="center" wrapText="1"/>
      <protection locked="0"/>
    </xf>
    <xf numFmtId="0" fontId="89" fillId="0" borderId="20" xfId="185" applyFont="1" applyBorder="1" applyAlignment="1" applyProtection="1">
      <alignment vertical="center"/>
      <protection locked="0"/>
    </xf>
    <xf numFmtId="0" fontId="4" fillId="0" borderId="20" xfId="0" applyFont="1" applyBorder="1" applyAlignment="1">
      <alignment vertical="center"/>
      <protection locked="0"/>
    </xf>
    <xf numFmtId="0" fontId="9" fillId="0" borderId="8" xfId="0" applyFont="1" applyBorder="1" applyAlignment="1">
      <alignment horizontal="left" vertical="top" wrapText="1"/>
      <protection locked="0"/>
    </xf>
    <xf numFmtId="0" fontId="9" fillId="0" borderId="5" xfId="0" applyFont="1" applyBorder="1" applyAlignment="1">
      <alignment horizontal="left" vertical="top" wrapText="1"/>
      <protection locked="0"/>
    </xf>
    <xf numFmtId="0" fontId="4" fillId="0" borderId="8" xfId="0" applyFont="1" applyBorder="1" applyAlignment="1">
      <alignment horizontal="left" vertical="center" wrapText="1"/>
      <protection locked="0"/>
    </xf>
    <xf numFmtId="0" fontId="18" fillId="0" borderId="8" xfId="0" applyFont="1" applyBorder="1" applyAlignment="1">
      <alignment horizontal="left" vertical="center" wrapText="1"/>
      <protection locked="0"/>
    </xf>
    <xf numFmtId="0" fontId="18" fillId="0" borderId="5" xfId="0" applyFont="1" applyBorder="1" applyAlignment="1">
      <alignment horizontal="left" vertical="center" wrapText="1"/>
      <protection locked="0"/>
    </xf>
    <xf numFmtId="0" fontId="5" fillId="0" borderId="8" xfId="0" applyFont="1" applyBorder="1" applyAlignment="1">
      <alignment horizontal="left" vertical="center" wrapText="1"/>
      <protection locked="0"/>
    </xf>
    <xf numFmtId="0" fontId="13" fillId="0" borderId="8" xfId="0" applyFont="1" applyBorder="1" applyAlignment="1">
      <alignment horizontal="left" vertical="center" wrapText="1"/>
      <protection locked="0"/>
    </xf>
    <xf numFmtId="0" fontId="13" fillId="0" borderId="5" xfId="0" applyFont="1" applyBorder="1" applyAlignment="1">
      <alignment horizontal="left" vertical="center" wrapText="1"/>
      <protection locked="0"/>
    </xf>
    <xf numFmtId="0" fontId="15"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7"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8" fillId="0" borderId="0" xfId="0" applyFont="1" applyAlignment="1">
      <alignment horizontal="left" vertical="center" wrapText="1"/>
      <protection locked="0"/>
    </xf>
    <xf numFmtId="0" fontId="18" fillId="0" borderId="10" xfId="0" applyFont="1" applyBorder="1" applyAlignment="1">
      <alignment horizontal="left" vertical="center" wrapText="1"/>
      <protection locked="0"/>
    </xf>
    <xf numFmtId="0" fontId="9" fillId="0" borderId="12" xfId="0" applyFont="1" applyBorder="1" applyAlignment="1">
      <alignment horizontal="left" vertical="center" wrapText="1"/>
      <protection locked="0"/>
    </xf>
    <xf numFmtId="0" fontId="19" fillId="0" borderId="12" xfId="0" applyFont="1" applyBorder="1" applyAlignment="1">
      <alignment horizontal="left" vertical="center" wrapText="1"/>
      <protection locked="0"/>
    </xf>
    <xf numFmtId="0" fontId="19" fillId="0" borderId="13" xfId="0" applyFont="1" applyBorder="1" applyAlignment="1">
      <alignment horizontal="left" vertical="center" wrapText="1"/>
      <protection locked="0"/>
    </xf>
    <xf numFmtId="0" fontId="5" fillId="0" borderId="7" xfId="6" applyFont="1" applyBorder="1" applyAlignment="1">
      <alignment horizontal="center" vertical="center"/>
    </xf>
    <xf numFmtId="0" fontId="13" fillId="0" borderId="8" xfId="6" applyFont="1" applyBorder="1" applyAlignment="1">
      <alignment horizontal="center" vertical="center"/>
    </xf>
    <xf numFmtId="0" fontId="13" fillId="0" borderId="5" xfId="6" applyFont="1" applyBorder="1" applyAlignment="1">
      <alignment horizontal="center" vertical="center"/>
    </xf>
    <xf numFmtId="0" fontId="24" fillId="4" borderId="9" xfId="3" applyFont="1" applyFill="1" applyBorder="1" applyAlignment="1" applyProtection="1">
      <alignment horizontal="center" vertical="center" wrapText="1"/>
    </xf>
    <xf numFmtId="0" fontId="24" fillId="4" borderId="14" xfId="3" applyFont="1" applyFill="1" applyBorder="1" applyAlignment="1" applyProtection="1">
      <alignment horizontal="center" vertical="center" wrapText="1"/>
    </xf>
    <xf numFmtId="0" fontId="23" fillId="4" borderId="9" xfId="3" applyFont="1" applyFill="1" applyBorder="1" applyAlignment="1" applyProtection="1">
      <alignment horizontal="center" vertical="center" wrapText="1"/>
    </xf>
    <xf numFmtId="0" fontId="23" fillId="4" borderId="7" xfId="3" applyFont="1" applyFill="1" applyBorder="1" applyAlignment="1" applyProtection="1">
      <alignment horizontal="center" vertical="center" wrapText="1"/>
    </xf>
    <xf numFmtId="0" fontId="23" fillId="4" borderId="8" xfId="3" applyFont="1" applyFill="1" applyBorder="1" applyAlignment="1" applyProtection="1">
      <alignment horizontal="center" vertical="center" wrapText="1"/>
    </xf>
    <xf numFmtId="0" fontId="23" fillId="4" borderId="5" xfId="3" applyFont="1" applyFill="1" applyBorder="1" applyAlignment="1" applyProtection="1">
      <alignment horizontal="center" vertical="center" wrapText="1"/>
    </xf>
    <xf numFmtId="0" fontId="23" fillId="4" borderId="1" xfId="3" applyFont="1" applyFill="1" applyBorder="1" applyAlignment="1" applyProtection="1">
      <alignment horizontal="center" vertical="center" wrapText="1"/>
    </xf>
    <xf numFmtId="0" fontId="23" fillId="4" borderId="2" xfId="3" applyFont="1" applyFill="1" applyBorder="1" applyAlignment="1" applyProtection="1">
      <alignment horizontal="center" vertical="center" wrapText="1"/>
    </xf>
    <xf numFmtId="0" fontId="23" fillId="4" borderId="3" xfId="3" applyFont="1" applyFill="1" applyBorder="1" applyAlignment="1" applyProtection="1">
      <alignment horizontal="center" vertical="center" wrapText="1"/>
    </xf>
    <xf numFmtId="0" fontId="25" fillId="0" borderId="0" xfId="7" applyFont="1" applyAlignment="1">
      <alignment horizontal="center" vertical="center" wrapText="1"/>
    </xf>
    <xf numFmtId="0" fontId="87" fillId="0" borderId="0" xfId="7" applyFont="1" applyAlignment="1">
      <alignment horizontal="center" vertical="center" wrapText="1"/>
    </xf>
    <xf numFmtId="0" fontId="88" fillId="0" borderId="0" xfId="7" applyFont="1" applyAlignment="1">
      <alignment horizontal="center" vertical="center" wrapText="1"/>
    </xf>
    <xf numFmtId="0" fontId="30" fillId="0" borderId="0" xfId="3" applyFont="1" applyAlignment="1" applyProtection="1">
      <alignment horizontal="left" vertical="top"/>
    </xf>
    <xf numFmtId="0" fontId="31" fillId="0" borderId="0" xfId="3" applyFont="1" applyAlignment="1" applyProtection="1">
      <alignment horizontal="left" vertical="top"/>
    </xf>
    <xf numFmtId="0" fontId="23" fillId="4" borderId="7" xfId="3" applyFont="1" applyFill="1" applyBorder="1" applyAlignment="1" applyProtection="1">
      <alignment horizontal="center" vertical="center"/>
    </xf>
    <xf numFmtId="0" fontId="23" fillId="4" borderId="5" xfId="3" applyFont="1" applyFill="1" applyBorder="1" applyAlignment="1" applyProtection="1">
      <alignment horizontal="center" vertical="center"/>
    </xf>
    <xf numFmtId="0" fontId="23" fillId="4" borderId="8" xfId="3" applyFont="1" applyFill="1" applyBorder="1" applyAlignment="1" applyProtection="1">
      <alignment horizontal="center" vertical="center"/>
    </xf>
  </cellXfs>
  <cellStyles count="186">
    <cellStyle name="?" xfId="12" xr:uid="{00000000-0005-0000-0000-000000000000}"/>
    <cellStyle name="?餡_x000c_k" xfId="13" xr:uid="{00000000-0005-0000-0000-000001000000}"/>
    <cellStyle name="?餡_x000c_k?_x000d_^" xfId="14" xr:uid="{00000000-0005-0000-0000-000002000000}"/>
    <cellStyle name="?餡_x000c_k?_x000d_^黇_x0001_??_x0007__x0001__x0001_" xfId="15" xr:uid="{00000000-0005-0000-0000-000003000000}"/>
    <cellStyle name="@_text" xfId="16" xr:uid="{00000000-0005-0000-0000-000004000000}"/>
    <cellStyle name="_2005审计报表及附注-中国建材股份模板（房屋）" xfId="17" xr:uid="{00000000-0005-0000-0000-000005000000}"/>
    <cellStyle name="_2006年年报审计PBC表-XXX" xfId="18" xr:uid="{00000000-0005-0000-0000-000006000000}"/>
    <cellStyle name="_2006年年报审计填报资料" xfId="19" xr:uid="{00000000-0005-0000-0000-000007000000}"/>
    <cellStyle name="_Book1" xfId="20" xr:uid="{00000000-0005-0000-0000-000008000000}"/>
    <cellStyle name="_PBC审核提示" xfId="21" xr:uid="{00000000-0005-0000-0000-000009000000}"/>
    <cellStyle name="_宝丽华房地产20051231" xfId="22" xr:uid="{00000000-0005-0000-0000-00000A000000}"/>
    <cellStyle name="_保证金-企业填写部分" xfId="23" xr:uid="{00000000-0005-0000-0000-00000B000000}"/>
    <cellStyle name="_北新房屋2004年审-刘" xfId="24" xr:uid="{00000000-0005-0000-0000-00000C000000}"/>
    <cellStyle name="_北新股份2005年审工作底稿" xfId="25" xr:uid="{00000000-0005-0000-0000-00000D000000}"/>
    <cellStyle name="_北新建材关连交易基础表051230（10－12月版）更新稿" xfId="26" xr:uid="{00000000-0005-0000-0000-00000E000000}"/>
    <cellStyle name="_北新建材-会计报表附注模版" xfId="27" xr:uid="{00000000-0005-0000-0000-00000F000000}"/>
    <cellStyle name="_北新龙之星2004年审工作底稿" xfId="28" xr:uid="{00000000-0005-0000-0000-000010000000}"/>
    <cellStyle name="_北新物流2005底稿-刘" xfId="29" xr:uid="{00000000-0005-0000-0000-000011000000}"/>
    <cellStyle name="_北新置换memo" xfId="30" xr:uid="{00000000-0005-0000-0000-000012000000}"/>
    <cellStyle name="_存货结转测试" xfId="31" xr:uid="{00000000-0005-0000-0000-000013000000}"/>
    <cellStyle name="_存货数量与明细05.12" xfId="32" xr:uid="{00000000-0005-0000-0000-000014000000}"/>
    <cellStyle name="_动力厂2004年审工作底稿-刘" xfId="33" xr:uid="{00000000-0005-0000-0000-000015000000}"/>
    <cellStyle name="_分工" xfId="34" xr:uid="{00000000-0005-0000-0000-000016000000}"/>
    <cellStyle name="_工程施工项目现场审计提示" xfId="35" xr:uid="{00000000-0005-0000-0000-000017000000}"/>
    <cellStyle name="_关联交易" xfId="36" xr:uid="{00000000-0005-0000-0000-000018000000}"/>
    <cellStyle name="_关联交易、往来统计表" xfId="37" xr:uid="{00000000-0005-0000-0000-000019000000}"/>
    <cellStyle name="_建造合同-宜万指（正式版）" xfId="38" xr:uid="{00000000-0005-0000-0000-00001A000000}"/>
    <cellStyle name="_科目核对表" xfId="39" xr:uid="{00000000-0005-0000-0000-00001B000000}"/>
    <cellStyle name="_母PL" xfId="40" xr:uid="{00000000-0005-0000-0000-00001C000000}"/>
    <cellStyle name="_人员分工备忘录" xfId="41" xr:uid="{00000000-0005-0000-0000-00001D000000}"/>
    <cellStyle name="_审计所需资料清单－子公司" xfId="42" xr:uid="{00000000-0005-0000-0000-00001E000000}"/>
    <cellStyle name="_一公司建造合同前5名" xfId="43" xr:uid="{00000000-0005-0000-0000-00001F000000}"/>
    <cellStyle name="_一公司－刘丰收" xfId="44" xr:uid="{00000000-0005-0000-0000-000020000000}"/>
    <cellStyle name="_长期借款－江阴" xfId="45" xr:uid="{00000000-0005-0000-0000-000021000000}"/>
    <cellStyle name="_子公司审计提示模版-Liufs" xfId="46" xr:uid="{00000000-0005-0000-0000-000022000000}"/>
    <cellStyle name="{Comma [0]}" xfId="47" xr:uid="{00000000-0005-0000-0000-000023000000}"/>
    <cellStyle name="{Comma}" xfId="48" xr:uid="{00000000-0005-0000-0000-000024000000}"/>
    <cellStyle name="{Date}" xfId="49" xr:uid="{00000000-0005-0000-0000-000025000000}"/>
    <cellStyle name="{Month}" xfId="50" xr:uid="{00000000-0005-0000-0000-000026000000}"/>
    <cellStyle name="{Percent}" xfId="51" xr:uid="{00000000-0005-0000-0000-000027000000}"/>
    <cellStyle name="{Thousand [0]}" xfId="52" xr:uid="{00000000-0005-0000-0000-000028000000}"/>
    <cellStyle name="{Thousand}" xfId="53" xr:uid="{00000000-0005-0000-0000-000029000000}"/>
    <cellStyle name="{Z'0000(1 dec)}" xfId="54" xr:uid="{00000000-0005-0000-0000-00002A000000}"/>
    <cellStyle name="{Z'0000(4 dec)}" xfId="55" xr:uid="{00000000-0005-0000-0000-00002B000000}"/>
    <cellStyle name="0%" xfId="56" xr:uid="{00000000-0005-0000-0000-00002C000000}"/>
    <cellStyle name="0.0%" xfId="57" xr:uid="{00000000-0005-0000-0000-00002D000000}"/>
    <cellStyle name="0.00%" xfId="58" xr:uid="{00000000-0005-0000-0000-00002E000000}"/>
    <cellStyle name="20% - Accent1" xfId="59" xr:uid="{00000000-0005-0000-0000-00002F000000}"/>
    <cellStyle name="20% - Accent2" xfId="60" xr:uid="{00000000-0005-0000-0000-000030000000}"/>
    <cellStyle name="20% - Accent3" xfId="61" xr:uid="{00000000-0005-0000-0000-000031000000}"/>
    <cellStyle name="20% - Accent4" xfId="62" xr:uid="{00000000-0005-0000-0000-000032000000}"/>
    <cellStyle name="20% - Accent5" xfId="63" xr:uid="{00000000-0005-0000-0000-000033000000}"/>
    <cellStyle name="20% - Accent6" xfId="64" xr:uid="{00000000-0005-0000-0000-000034000000}"/>
    <cellStyle name="40% - Accent1" xfId="65" xr:uid="{00000000-0005-0000-0000-000035000000}"/>
    <cellStyle name="40% - Accent2" xfId="66" xr:uid="{00000000-0005-0000-0000-000036000000}"/>
    <cellStyle name="40% - Accent3" xfId="67" xr:uid="{00000000-0005-0000-0000-000037000000}"/>
    <cellStyle name="40% - Accent4" xfId="68" xr:uid="{00000000-0005-0000-0000-000038000000}"/>
    <cellStyle name="40% - Accent5" xfId="69" xr:uid="{00000000-0005-0000-0000-000039000000}"/>
    <cellStyle name="40% - Accent6" xfId="70" xr:uid="{00000000-0005-0000-0000-00003A000000}"/>
    <cellStyle name="60% - Accent1" xfId="71" xr:uid="{00000000-0005-0000-0000-00003B000000}"/>
    <cellStyle name="60% - Accent2" xfId="72" xr:uid="{00000000-0005-0000-0000-00003C000000}"/>
    <cellStyle name="60% - Accent3" xfId="73" xr:uid="{00000000-0005-0000-0000-00003D000000}"/>
    <cellStyle name="60% - Accent4" xfId="74" xr:uid="{00000000-0005-0000-0000-00003E000000}"/>
    <cellStyle name="60% - Accent5" xfId="75" xr:uid="{00000000-0005-0000-0000-00003F000000}"/>
    <cellStyle name="60% - Accent6" xfId="76" xr:uid="{00000000-0005-0000-0000-000040000000}"/>
    <cellStyle name="Accent1" xfId="77" xr:uid="{00000000-0005-0000-0000-000041000000}"/>
    <cellStyle name="Accent2" xfId="78" xr:uid="{00000000-0005-0000-0000-000042000000}"/>
    <cellStyle name="Accent3" xfId="79" xr:uid="{00000000-0005-0000-0000-000043000000}"/>
    <cellStyle name="Accent4" xfId="80" xr:uid="{00000000-0005-0000-0000-000044000000}"/>
    <cellStyle name="Accent5" xfId="81" xr:uid="{00000000-0005-0000-0000-000045000000}"/>
    <cellStyle name="Accent6" xfId="82" xr:uid="{00000000-0005-0000-0000-000046000000}"/>
    <cellStyle name="Bad" xfId="83" xr:uid="{00000000-0005-0000-0000-000047000000}"/>
    <cellStyle name="Black" xfId="84" xr:uid="{00000000-0005-0000-0000-000048000000}"/>
    <cellStyle name="Border" xfId="85" xr:uid="{00000000-0005-0000-0000-000049000000}"/>
    <cellStyle name="Calc Currency (0)" xfId="86" xr:uid="{00000000-0005-0000-0000-00004A000000}"/>
    <cellStyle name="Calculation" xfId="87" xr:uid="{00000000-0005-0000-0000-00004B000000}"/>
    <cellStyle name="Check Cell" xfId="88" xr:uid="{00000000-0005-0000-0000-00004C000000}"/>
    <cellStyle name="Col Heads" xfId="89" xr:uid="{00000000-0005-0000-0000-00004D000000}"/>
    <cellStyle name="Column_Title" xfId="90" xr:uid="{00000000-0005-0000-0000-00004E000000}"/>
    <cellStyle name="Comma  - Style1" xfId="91" xr:uid="{00000000-0005-0000-0000-00004F000000}"/>
    <cellStyle name="Comma  - Style2" xfId="92" xr:uid="{00000000-0005-0000-0000-000050000000}"/>
    <cellStyle name="Comma  - Style3" xfId="93" xr:uid="{00000000-0005-0000-0000-000051000000}"/>
    <cellStyle name="Comma  - Style4" xfId="94" xr:uid="{00000000-0005-0000-0000-000052000000}"/>
    <cellStyle name="Comma  - Style5" xfId="95" xr:uid="{00000000-0005-0000-0000-000053000000}"/>
    <cellStyle name="Comma  - Style6" xfId="96" xr:uid="{00000000-0005-0000-0000-000054000000}"/>
    <cellStyle name="Comma  - Style7" xfId="97" xr:uid="{00000000-0005-0000-0000-000055000000}"/>
    <cellStyle name="Comma  - Style8" xfId="98" xr:uid="{00000000-0005-0000-0000-000056000000}"/>
    <cellStyle name="Comma [0]_ rislugp" xfId="99" xr:uid="{00000000-0005-0000-0000-000057000000}"/>
    <cellStyle name="Comma,0" xfId="100" xr:uid="{00000000-0005-0000-0000-000058000000}"/>
    <cellStyle name="Comma,1" xfId="101" xr:uid="{00000000-0005-0000-0000-000059000000}"/>
    <cellStyle name="Comma,2" xfId="102" xr:uid="{00000000-0005-0000-0000-00005A000000}"/>
    <cellStyle name="Comma_ rislugp" xfId="103" xr:uid="{00000000-0005-0000-0000-00005B000000}"/>
    <cellStyle name="Currency [0]_ rislugp" xfId="104" xr:uid="{00000000-0005-0000-0000-00005C000000}"/>
    <cellStyle name="Currency,0" xfId="105" xr:uid="{00000000-0005-0000-0000-00005D000000}"/>
    <cellStyle name="Currency,2" xfId="106" xr:uid="{00000000-0005-0000-0000-00005E000000}"/>
    <cellStyle name="Currency_ rislugp" xfId="107" xr:uid="{00000000-0005-0000-0000-00005F000000}"/>
    <cellStyle name="Dezimal [0]_laroux" xfId="108" xr:uid="{00000000-0005-0000-0000-000060000000}"/>
    <cellStyle name="Dezimal_laroux" xfId="109" xr:uid="{00000000-0005-0000-0000-000061000000}"/>
    <cellStyle name="entry" xfId="110" xr:uid="{00000000-0005-0000-0000-000062000000}"/>
    <cellStyle name="entry box" xfId="111" xr:uid="{00000000-0005-0000-0000-000063000000}"/>
    <cellStyle name="Euro" xfId="112" xr:uid="{00000000-0005-0000-0000-000064000000}"/>
    <cellStyle name="Explanatory Text" xfId="113" xr:uid="{00000000-0005-0000-0000-000065000000}"/>
    <cellStyle name="Followed Hyperlink_AheadBehind.xls Chart 23" xfId="114" xr:uid="{00000000-0005-0000-0000-000066000000}"/>
    <cellStyle name="Good" xfId="115" xr:uid="{00000000-0005-0000-0000-000067000000}"/>
    <cellStyle name="Grey" xfId="116" xr:uid="{00000000-0005-0000-0000-000068000000}"/>
    <cellStyle name="Header1" xfId="117" xr:uid="{00000000-0005-0000-0000-000069000000}"/>
    <cellStyle name="Header2" xfId="118" xr:uid="{00000000-0005-0000-0000-00006A000000}"/>
    <cellStyle name="Heading" xfId="119" xr:uid="{00000000-0005-0000-0000-00006B000000}"/>
    <cellStyle name="Heading 1" xfId="120" xr:uid="{00000000-0005-0000-0000-00006C000000}"/>
    <cellStyle name="Heading 2" xfId="121" xr:uid="{00000000-0005-0000-0000-00006D000000}"/>
    <cellStyle name="Heading 3" xfId="122" xr:uid="{00000000-0005-0000-0000-00006E000000}"/>
    <cellStyle name="Heading 4" xfId="123" xr:uid="{00000000-0005-0000-0000-00006F000000}"/>
    <cellStyle name="Hyperlink_AheadBehind.xls Chart 23" xfId="124" xr:uid="{00000000-0005-0000-0000-000070000000}"/>
    <cellStyle name="Input" xfId="125" xr:uid="{00000000-0005-0000-0000-000071000000}"/>
    <cellStyle name="Input [yellow]" xfId="126" xr:uid="{00000000-0005-0000-0000-000072000000}"/>
    <cellStyle name="left" xfId="127" xr:uid="{00000000-0005-0000-0000-000073000000}"/>
    <cellStyle name="Linked Cell" xfId="128" xr:uid="{00000000-0005-0000-0000-000074000000}"/>
    <cellStyle name="Millares [0]_laroux" xfId="129" xr:uid="{00000000-0005-0000-0000-000075000000}"/>
    <cellStyle name="Millares_laroux" xfId="130" xr:uid="{00000000-0005-0000-0000-000076000000}"/>
    <cellStyle name="Milliers [0]_laroux" xfId="131" xr:uid="{00000000-0005-0000-0000-000077000000}"/>
    <cellStyle name="Milliers_laroux" xfId="132" xr:uid="{00000000-0005-0000-0000-000078000000}"/>
    <cellStyle name="Moneda [0]_laroux" xfId="133" xr:uid="{00000000-0005-0000-0000-000079000000}"/>
    <cellStyle name="Moneda_laroux" xfId="134" xr:uid="{00000000-0005-0000-0000-00007A000000}"/>
    <cellStyle name="Mon閠aire [0]_laroux" xfId="135" xr:uid="{00000000-0005-0000-0000-00007B000000}"/>
    <cellStyle name="Mon閠aire_laroux" xfId="136" xr:uid="{00000000-0005-0000-0000-00007C000000}"/>
    <cellStyle name="Neutral" xfId="137" xr:uid="{00000000-0005-0000-0000-00007D000000}"/>
    <cellStyle name="no dec" xfId="138" xr:uid="{00000000-0005-0000-0000-00007E000000}"/>
    <cellStyle name="Non défini" xfId="139" xr:uid="{00000000-0005-0000-0000-00007F000000}"/>
    <cellStyle name="Normal - Style1" xfId="140" xr:uid="{00000000-0005-0000-0000-000080000000}"/>
    <cellStyle name="Normal_ rislugp" xfId="141" xr:uid="{00000000-0005-0000-0000-000081000000}"/>
    <cellStyle name="Normalny_Arkusz1" xfId="142" xr:uid="{00000000-0005-0000-0000-000082000000}"/>
    <cellStyle name="Note" xfId="143" xr:uid="{00000000-0005-0000-0000-000083000000}"/>
    <cellStyle name="Output" xfId="144" xr:uid="{00000000-0005-0000-0000-000084000000}"/>
    <cellStyle name="Percent (0)" xfId="145" xr:uid="{00000000-0005-0000-0000-000085000000}"/>
    <cellStyle name="Percent [2]" xfId="146" xr:uid="{00000000-0005-0000-0000-000086000000}"/>
    <cellStyle name="Prefilled" xfId="147" xr:uid="{00000000-0005-0000-0000-000087000000}"/>
    <cellStyle name="price" xfId="148" xr:uid="{00000000-0005-0000-0000-000088000000}"/>
    <cellStyle name="Red" xfId="149" xr:uid="{00000000-0005-0000-0000-000089000000}"/>
    <cellStyle name="revised" xfId="150" xr:uid="{00000000-0005-0000-0000-00008A000000}"/>
    <cellStyle name="section" xfId="151" xr:uid="{00000000-0005-0000-0000-00008B000000}"/>
    <cellStyle name="style" xfId="152" xr:uid="{00000000-0005-0000-0000-00008C000000}"/>
    <cellStyle name="style1" xfId="153" xr:uid="{00000000-0005-0000-0000-00008D000000}"/>
    <cellStyle name="style2" xfId="154" xr:uid="{00000000-0005-0000-0000-00008E000000}"/>
    <cellStyle name="Tickmark" xfId="155" xr:uid="{00000000-0005-0000-0000-00008F000000}"/>
    <cellStyle name="title" xfId="156" xr:uid="{00000000-0005-0000-0000-000090000000}"/>
    <cellStyle name="Total" xfId="157" xr:uid="{00000000-0005-0000-0000-000091000000}"/>
    <cellStyle name="Warning Text" xfId="158" xr:uid="{00000000-0005-0000-0000-000092000000}"/>
    <cellStyle name="wrap" xfId="159" xr:uid="{00000000-0005-0000-0000-000093000000}"/>
    <cellStyle name="パーセント_laroux" xfId="160" xr:uid="{00000000-0005-0000-0000-000094000000}"/>
    <cellStyle name="百分比 2" xfId="9" xr:uid="{00000000-0005-0000-0000-000095000000}"/>
    <cellStyle name="百分比 3" xfId="11" xr:uid="{00000000-0005-0000-0000-000096000000}"/>
    <cellStyle name="標準_１１月価格表" xfId="161" xr:uid="{00000000-0005-0000-0000-000097000000}"/>
    <cellStyle name="常规" xfId="0" builtinId="0"/>
    <cellStyle name="常规 10" xfId="5" xr:uid="{00000000-0005-0000-0000-000099000000}"/>
    <cellStyle name="常规 2" xfId="4" xr:uid="{00000000-0005-0000-0000-00009A000000}"/>
    <cellStyle name="常规 2 2" xfId="3" xr:uid="{00000000-0005-0000-0000-00009B000000}"/>
    <cellStyle name="常规 3" xfId="1" xr:uid="{00000000-0005-0000-0000-00009C000000}"/>
    <cellStyle name="常规_Book1" xfId="7" xr:uid="{00000000-0005-0000-0000-00009D000000}"/>
    <cellStyle name="常规_制造费用" xfId="6" xr:uid="{00000000-0005-0000-0000-00009E000000}"/>
    <cellStyle name="超级链接_B4-1审计项目工时预算与控制表(集团)" xfId="162" xr:uid="{00000000-0005-0000-0000-00009F000000}"/>
    <cellStyle name="超链接" xfId="185" builtinId="8"/>
    <cellStyle name="超链接 2" xfId="163" xr:uid="{00000000-0005-0000-0000-0000A0000000}"/>
    <cellStyle name="超链接 2 2" xfId="2" xr:uid="{00000000-0005-0000-0000-0000A1000000}"/>
    <cellStyle name="分级显示行_1_4附件二凯旋评估表" xfId="164" xr:uid="{00000000-0005-0000-0000-0000A2000000}"/>
    <cellStyle name="桁区切り [0.00]_１１月価格表" xfId="165" xr:uid="{00000000-0005-0000-0000-0000A3000000}"/>
    <cellStyle name="桁区切り_１１月価格表" xfId="166" xr:uid="{00000000-0005-0000-0000-0000A4000000}"/>
    <cellStyle name="霓付 [0]_97MBO" xfId="167" xr:uid="{00000000-0005-0000-0000-0000A5000000}"/>
    <cellStyle name="霓付_97MBO" xfId="168" xr:uid="{00000000-0005-0000-0000-0000A6000000}"/>
    <cellStyle name="烹拳 [0]_97MBO" xfId="169" xr:uid="{00000000-0005-0000-0000-0000A7000000}"/>
    <cellStyle name="烹拳_97MBO" xfId="170" xr:uid="{00000000-0005-0000-0000-0000A8000000}"/>
    <cellStyle name="普通_ 白土" xfId="171" xr:uid="{00000000-0005-0000-0000-0000A9000000}"/>
    <cellStyle name="千分位[0]_ 白土" xfId="172" xr:uid="{00000000-0005-0000-0000-0000AA000000}"/>
    <cellStyle name="千分位_ 白土" xfId="173" xr:uid="{00000000-0005-0000-0000-0000AB000000}"/>
    <cellStyle name="千位[0]_97汇总" xfId="174" xr:uid="{00000000-0005-0000-0000-0000AC000000}"/>
    <cellStyle name="千位_97汇总" xfId="175" xr:uid="{00000000-0005-0000-0000-0000AD000000}"/>
    <cellStyle name="千位分隔 2" xfId="8" xr:uid="{00000000-0005-0000-0000-0000AE000000}"/>
    <cellStyle name="千位分隔 3" xfId="10" xr:uid="{00000000-0005-0000-0000-0000AF000000}"/>
    <cellStyle name="钎霖_laroux" xfId="176" xr:uid="{00000000-0005-0000-0000-0000B0000000}"/>
    <cellStyle name="通貨 [0.00]_１１月価格表" xfId="177" xr:uid="{00000000-0005-0000-0000-0000B1000000}"/>
    <cellStyle name="通貨_１１月価格表" xfId="178" xr:uid="{00000000-0005-0000-0000-0000B2000000}"/>
    <cellStyle name="样式 1" xfId="179" xr:uid="{00000000-0005-0000-0000-0000B3000000}"/>
    <cellStyle name="콤마 [0]_BOILER-CO1" xfId="180" xr:uid="{00000000-0005-0000-0000-0000B4000000}"/>
    <cellStyle name="콤마_BOILER-CO1" xfId="181" xr:uid="{00000000-0005-0000-0000-0000B5000000}"/>
    <cellStyle name="통화 [0]_BOILER-CO1" xfId="182" xr:uid="{00000000-0005-0000-0000-0000B6000000}"/>
    <cellStyle name="통화_BOILER-CO1" xfId="183" xr:uid="{00000000-0005-0000-0000-0000B7000000}"/>
    <cellStyle name="표준_0N-HANDLING " xfId="184" xr:uid="{00000000-0005-0000-0000-0000B8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externalLink" Target="externalLinks/externalLink35.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42" Type="http://schemas.openxmlformats.org/officeDocument/2006/relationships/externalLink" Target="externalLinks/externalLink38.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12.xml"/><Relationship Id="rId29" Type="http://schemas.openxmlformats.org/officeDocument/2006/relationships/externalLink" Target="externalLinks/externalLink25.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externalLink" Target="externalLinks/externalLink33.xml"/><Relationship Id="rId40" Type="http://schemas.openxmlformats.org/officeDocument/2006/relationships/externalLink" Target="externalLinks/externalLink36.xml"/><Relationship Id="rId45" Type="http://schemas.openxmlformats.org/officeDocument/2006/relationships/externalLink" Target="externalLinks/externalLink41.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49"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4" Type="http://schemas.openxmlformats.org/officeDocument/2006/relationships/externalLink" Target="externalLinks/externalLink40.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43" Type="http://schemas.openxmlformats.org/officeDocument/2006/relationships/externalLink" Target="externalLinks/externalLink39.xml"/><Relationship Id="rId48" Type="http://schemas.openxmlformats.org/officeDocument/2006/relationships/styles" Target="styles.xml"/><Relationship Id="rId8" Type="http://schemas.openxmlformats.org/officeDocument/2006/relationships/externalLink" Target="externalLinks/externalLink4.xml"/><Relationship Id="rId3" Type="http://schemas.openxmlformats.org/officeDocument/2006/relationships/worksheet" Target="worksheets/sheet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externalLink" Target="externalLinks/externalLink34.xml"/><Relationship Id="rId46" Type="http://schemas.openxmlformats.org/officeDocument/2006/relationships/externalLink" Target="externalLinks/externalLink42.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1" Type="http://schemas.openxmlformats.org/officeDocument/2006/relationships/worksheet" Target="worksheets/sheet1.xml"/><Relationship Id="rId6"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Documents%20and%20Settings/Administrator/&#26700;&#38754;/&#27801;&#38534;&#36798;200310/&#27743;&#38517;&#20892;&#21270;/2003&#24180;1-10&#26376;&#27743;&#38517;&#24213;&#312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shafsr03\AUDIT03\KPMG%20User%20Settings\Temp\SBCL%20BS%20Breakdown%202004%20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KPMG%20User%20Settings/Desktop/&#32929;&#20221;/HO%20wp/COSCO-tianjin/COSCO%20Tianjin%20Joincheer%20etc/REVIEWED%20PBC%2006Apr/Eliz/200406&#26410;&#23436;&#33322;&#27425;&#26126;&#32454;%20updated%20ou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34913;&#38451;&#38050;&#31649;/Consol%20Disclosure/&#21326;&#33777;&#31649;&#32447;&#25259;&#38706;&#27719;&#24635;/&#38468;&#27880;/Solectron%20hardclose/2003%20HC/B/2002%20Final/STSZ/A%20section/Information/62N%20Expected%20full%20year%20for%20audito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My%20Documents\HYERION200401\Hyperion%20report%20Jan%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34913;&#38451;&#38050;&#31649;/Consol%20Disclosure/&#21326;&#33777;&#31649;&#32447;&#25259;&#38706;&#27719;&#24635;/&#38468;&#27880;/My%20Documents/HYERION200401/Hyperion%20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32508;&#21512;&#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eknds11\VOL1\Documents%20and%20Settings\yvonne%20zhang\Desktop\COSfre\2000&#20013;&#36135;&#20844;&#21496;(&#27491;&#2433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Kitty\my%20documents\WINDOWS\Desktop\&#37329;&#33391;&#20975;&#20844;&#25991;&#21253;\&#31243;&#24207;&#20462;&#25913;\EXCEL\&#23457;&#26680;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24352;&#32418;&#26757;\&#23457;&#35745;&#25991;&#20214;&#21035;&#21024;\Program%20Files\Microsoft%20Office\Templates\&#30005;&#23376;&#34920;&#26684;&#27169;&#26495;\&#24037;&#19994;&#20225;&#19994;&#36130;&#21153;&#25253;&#34920;.xlt"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erver\Office\1.&#21271;&#20140;&#20013;&#36828;&#29289;&#27969;&#26085;&#24120;&#31649;&#29702;\F.&#36164;&#26412;&#36816;&#20316;&#25253;&#36865;&#26448;&#26009;\&#25151;&#25913;&#36164;&#26009;&#25253;&#36865;\007.&#21776;&#23665;&#22806;&#20195;&#25151;&#25913;&#25968;&#25454;&#3492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9(&#20116;)&#36135;&#24065;&#36164;&#37329;&#19982;&#20854;&#20182;&#29305;&#27530;&#20107;&#39033;&#3186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34913;&#38451;&#38050;&#31649;/Consol%20Disclosure/&#21326;&#33777;&#31649;&#32447;&#25259;&#38706;&#27719;&#24635;/&#38468;&#27880;/Rebecca/month%20end/200404/Hyperion%20report%20April%2004-coso.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34913;&#38451;&#38050;&#31649;/Consol%20Disclosure/&#21326;&#33777;&#31649;&#32447;&#25259;&#38706;&#27719;&#24635;/&#38468;&#27880;/DOCUME~1/clerk/LOCALS~1/Temp/notesFFF692/PRC/Combination%20FS%20Apr.%200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3&#39318;&#3492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Becker\Month%20end%20report\sales%20report\Sales%20Analysis%20by%20Custom%20Sort(YT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Becker\Month%20end%20report\Hyperion%20report\Hyperion%20Reporting%20SZ%20Nov%202003%20JACK.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24352;&#32418;&#26757;\&#23457;&#35745;&#25991;&#20214;&#21035;&#21024;\windows\TEMP\&#20013;&#40065;&#26126;&#32454;&#24080;j.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0108;)&#36141;&#36135;&#19982;&#20184;&#27454;&#24490;&#29615;&#3186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7(&#19977;)&#29983;&#20135;&#24490;&#29615;&#3186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77;)&#29983;&#20135;&#24490;&#29615;&#3186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2235;)&#31609;&#36164;&#19982;&#25237;&#36164;&#24490;&#29615;&#3186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68;)&#38144;&#21806;&#19982;&#25910;&#27454;&#24490;&#29615;&#3186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23457;&#35745;/2005&#24180;&#23457;&#35745;/0412&#32654;&#32599;/0412&#22823;&#33647;&#21378;/0412&#25253;&#34920;/WIN98/&#21271;&#33337;&#25253;&#34920;991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24037;&#20316;/10&#24180;&#24037;&#20316;/&#27468;&#21326;/&#40718;&#35270;/&#21152;&#24037;&#36134;-&#40718;&#3527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23457;&#35745;/2005&#24180;&#23457;&#35745;/0412&#32654;&#32599;/0412&#22823;&#33647;&#21378;/0412&#25253;&#34920;/WIN98/&#25253;&#34920;98.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Zqh003\d\&#35774;&#22791;\&#21407;&#22987;\814\13%20&#38081;&#36335;&#37197;&#2021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20013;&#36731;/9804/&#27719;&#24635;/&#25253;&#34920;/&#21512;&#24182;&#25253;&#34920;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20013;&#36731;/9804/&#27719;&#24635;/&#25253;&#34920;/&#23425;&#27874;&#26607;&#26519;&#25253;&#3492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24037;&#20316;&#24213;&#31295;/eims/&#25253;&#34920;&#22791;&#20221;/2001&#24180;&#19978;&#24066;&#25253;&#34920;/&#22266;&#23450;&#36164;&#20135;&#36164;&#26009;.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24352;&#32418;&#26757;\&#23457;&#35745;&#25991;&#20214;&#21035;&#21024;\WANGYCH\&#27801;&#38534;&#36798;02\02&#26412;&#37096;-LI-03-2.23\&#33258;&#33829;.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Program%20Files\Microsoft%20Office\Templates\&#30005;&#23376;&#34920;&#26684;&#27169;&#26495;\&#24037;&#19994;&#20225;&#19994;&#36130;&#21153;&#25253;&#34920;.xlt"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27861;&#35268;&#19982;&#24213;&#31295;/&#25191;&#19994;&#35268;&#31243;/&#25191;&#19994;&#35268;&#31243;/006&#24180;&#25253;&#23457;&#35745;&#24037;&#20316;&#24213;&#31295;&#26679;&#26412;/&#25972;&#29702;&#25490;&#24207;&#21518;&#24037;&#20316;&#24213;&#31295;/&#36890;&#29992;&#24037;&#20316;&#24213;&#31295;/&#25191;&#19994;&#35268;&#31243;/&#38144;&#21806;&#19982;&#25910;&#27454;&#24490;&#29615;/EXCEL/&#23457;&#2668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27861;&#35268;&#19982;&#24213;&#31295;/&#25191;&#19994;&#35268;&#31243;/&#25191;&#19994;&#35268;&#31243;/006&#24180;&#25253;&#23457;&#35745;&#24037;&#20316;&#24213;&#31295;&#26679;&#26412;/&#25972;&#29702;&#25490;&#24207;&#21518;&#24037;&#20316;&#24213;&#31295;/&#36890;&#29992;&#24037;&#20316;&#24213;&#31295;/&#25191;&#19994;&#35268;&#31243;/&#38144;&#21806;&#19982;&#25910;&#27454;&#24490;&#29615;/&#20998;&#26512;&#3492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2013/&#23457;&#35745;/&#24180;&#32456;&#30424;&#28857;/DOCUME~1/ADMINI~1/LOCALS~1/Temp/&#23457;&#35745;/&#22826;&#21407;&#30707;&#21270;&#24037;&#36152;/&#22522;&#30784;&#34920;/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料"/>
      <sheetName val="审计标记"/>
      <sheetName val="减值准备明细表"/>
      <sheetName val="货币资金导引"/>
      <sheetName val="银行存款明细表"/>
      <sheetName val="其他货币资金"/>
      <sheetName val="应收票据"/>
      <sheetName val="应收票据抽凭"/>
      <sheetName val="0310存货"/>
      <sheetName val="原材料"/>
      <sheetName val="邻酮定乙酚发出测试"/>
      <sheetName val="呋喃酚发出测试"/>
      <sheetName val="包装物及低值易耗品余额表"/>
      <sheetName val="材料采购"/>
      <sheetName val="采购业务测试"/>
      <sheetName val="材料成本差异余额表"/>
      <sheetName val="产成品"/>
      <sheetName val="97%异丙威发出测试"/>
      <sheetName val="97%克百威发出测试1"/>
      <sheetName val="3%克敌颗粒剂发出测试"/>
      <sheetName val="0112存货跌价"/>
      <sheetName val="有发出商品跌价测算"/>
      <sheetName val="无发出商品、原材料跌价准备明细"/>
      <sheetName val="异丙威成本分析"/>
      <sheetName val="异酯单位成本分析"/>
      <sheetName val="0310成本"/>
      <sheetName val="2003-10 产品销售成本利润明细表"/>
      <sheetName val="基本生产成本"/>
      <sheetName val="制造费用"/>
      <sheetName val="成本倒轧"/>
      <sheetName val="待摊"/>
      <sheetName val="待摊抽凭"/>
      <sheetName val="固定资产"/>
      <sheetName val="固资抽凭"/>
      <sheetName val="在建工程"/>
      <sheetName val="在建抽凭"/>
      <sheetName val="无形资产 "/>
      <sheetName val="短期借款"/>
      <sheetName val="短期借款抽凭"/>
      <sheetName val="应付工资"/>
      <sheetName val="工资分析"/>
      <sheetName val="应付工资抽凭"/>
      <sheetName val="应付福利费"/>
      <sheetName val="福利费抽凭"/>
      <sheetName val="应交税金审定表"/>
      <sheetName val="应交增值税审定表"/>
      <sheetName val="应交增值税审定表 (2)"/>
      <sheetName val="其他应交款审定表"/>
      <sheetName val="预提费用审定表"/>
      <sheetName val="预提抽凭"/>
      <sheetName val="长期借款"/>
      <sheetName val="主营业务收入"/>
      <sheetName val="应付账款"/>
      <sheetName val="应收账款"/>
      <sheetName val="销售毛利分析"/>
      <sheetName val="主营业务税金及附加审定表"/>
      <sheetName val="其他业务利润审定表"/>
      <sheetName val="其他利润抽凭"/>
      <sheetName val="收入抽凭"/>
      <sheetName val="营业费用审定表"/>
      <sheetName val="营业费用明细表"/>
      <sheetName val="营业抽凭"/>
      <sheetName val="管理费用审定表"/>
      <sheetName val="管理费用明细表"/>
      <sheetName val="管费抽凭"/>
      <sheetName val="财务费用审定表"/>
      <sheetName val="营业外收入审定表"/>
      <sheetName val="营业外支出审定表"/>
      <sheetName val="营支抽凭"/>
      <sheetName val="关联往来"/>
      <sheetName val="account receivable"/>
      <sheetName val="account receivable test"/>
      <sheetName val="advanced account"/>
      <sheetName val="冬储基金"/>
      <sheetName val="other receivable"/>
      <sheetName val="other receivable test"/>
      <sheetName val="prepayment"/>
      <sheetName val="account payable"/>
      <sheetName val="account payable test"/>
      <sheetName val="other payable"/>
      <sheetName val="other payable test"/>
      <sheetName val="客户提供关联"/>
      <sheetName val="关联销售（客户提供）"/>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Bank"/>
      <sheetName val="Notes Rec"/>
      <sheetName val="AR"/>
      <sheetName val="AR Provision"/>
      <sheetName val="Intercom Rec-BCTL"/>
      <sheetName val="Rec-HH"/>
      <sheetName val="Paid in advance"/>
      <sheetName val="OR"/>
      <sheetName val="Prepay"/>
      <sheetName val="Stock"/>
      <sheetName val="FA Summary"/>
      <sheetName val="CIP"/>
      <sheetName val="loans"/>
      <sheetName val="AP"/>
      <sheetName val="Intercom DSB"/>
      <sheetName val="Intercom BCL"/>
      <sheetName val="Intercom EB"/>
      <sheetName val="Intercom HH"/>
      <sheetName val="Accrued Payroll"/>
      <sheetName val="Tax Payable"/>
      <sheetName val="OP"/>
      <sheetName val="Accrual"/>
      <sheetName val="FA addition"/>
      <sheetName val="FA reduction"/>
      <sheetName val="PL on FA dispos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sheetName val="amended"/>
      <sheetName val="Sheet1"/>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ping"/>
      <sheetName val="marco"/>
      <sheetName val="Perior"/>
      <sheetName val="Current"/>
      <sheetName val="Macro 1"/>
      <sheetName val="P12 TB SZ"/>
      <sheetName val="Income Statement"/>
      <sheetName val="P12 TB HK"/>
      <sheetName val="Sales"/>
    </sheetNames>
    <sheetDataSet>
      <sheetData sheetId="0"/>
      <sheetData sheetId="1"/>
      <sheetData sheetId="2"/>
      <sheetData sheetId="3"/>
      <sheetData sheetId="4"/>
      <sheetData sheetId="5" refreshError="1">
        <row r="1">
          <cell r="A1" t="str">
            <v>Macro</v>
          </cell>
          <cell r="H1" t="str">
            <v>USD</v>
          </cell>
        </row>
        <row r="2">
          <cell r="A2" t="str">
            <v>CASH</v>
          </cell>
          <cell r="H2">
            <v>36754.8753</v>
          </cell>
        </row>
        <row r="3">
          <cell r="A3" t="str">
            <v>CASH</v>
          </cell>
          <cell r="H3">
            <v>68493.967850000001</v>
          </cell>
        </row>
        <row r="4">
          <cell r="A4" t="str">
            <v>CASH</v>
          </cell>
          <cell r="H4">
            <v>-7751.4427100000003</v>
          </cell>
        </row>
        <row r="5">
          <cell r="A5" t="str">
            <v>CASH</v>
          </cell>
          <cell r="H5">
            <v>1.21726</v>
          </cell>
        </row>
        <row r="6">
          <cell r="A6" t="str">
            <v>CASH</v>
          </cell>
          <cell r="H6">
            <v>131734.73764000001</v>
          </cell>
        </row>
        <row r="7">
          <cell r="A7" t="str">
            <v>CASH</v>
          </cell>
          <cell r="H7">
            <v>12696.279529999998</v>
          </cell>
        </row>
        <row r="8">
          <cell r="A8" t="str">
            <v>AR</v>
          </cell>
          <cell r="H8">
            <v>90603.020090000005</v>
          </cell>
        </row>
        <row r="9">
          <cell r="A9" t="str">
            <v>AR</v>
          </cell>
          <cell r="H9">
            <v>-31499.760600000001</v>
          </cell>
        </row>
        <row r="10">
          <cell r="A10" t="str">
            <v>AR</v>
          </cell>
          <cell r="H10">
            <v>130166.31990999999</v>
          </cell>
        </row>
        <row r="11">
          <cell r="A11" t="str">
            <v>AR</v>
          </cell>
          <cell r="H11">
            <v>908356.33030999999</v>
          </cell>
        </row>
        <row r="12">
          <cell r="A12" t="str">
            <v>AR</v>
          </cell>
          <cell r="H12">
            <v>977998.53128999996</v>
          </cell>
        </row>
        <row r="13">
          <cell r="A13" t="str">
            <v>AR</v>
          </cell>
          <cell r="H13">
            <v>107173.9592</v>
          </cell>
        </row>
        <row r="14">
          <cell r="A14" t="str">
            <v>AR</v>
          </cell>
          <cell r="H14">
            <v>2489069.8746099998</v>
          </cell>
        </row>
        <row r="15">
          <cell r="A15" t="str">
            <v>AR</v>
          </cell>
          <cell r="H15">
            <v>210634.85311</v>
          </cell>
        </row>
        <row r="16">
          <cell r="A16" t="str">
            <v>AR</v>
          </cell>
          <cell r="H16">
            <v>22466.05185</v>
          </cell>
        </row>
        <row r="17">
          <cell r="A17" t="str">
            <v>IAR</v>
          </cell>
          <cell r="H17">
            <v>29280009.950509999</v>
          </cell>
        </row>
        <row r="18">
          <cell r="A18" t="str">
            <v>AR</v>
          </cell>
          <cell r="H18">
            <v>185793.38975999999</v>
          </cell>
        </row>
        <row r="19">
          <cell r="A19" t="str">
            <v>IAR</v>
          </cell>
          <cell r="H19">
            <v>2437112.3451399999</v>
          </cell>
        </row>
        <row r="20">
          <cell r="A20" t="str">
            <v>IAR</v>
          </cell>
          <cell r="H20">
            <v>2043.8702900000001</v>
          </cell>
        </row>
        <row r="21">
          <cell r="A21" t="str">
            <v>IAR</v>
          </cell>
          <cell r="H21">
            <v>3606.5695599999999</v>
          </cell>
        </row>
        <row r="22">
          <cell r="A22" t="str">
            <v>IAR</v>
          </cell>
          <cell r="H22">
            <v>8041.9237799999992</v>
          </cell>
        </row>
        <row r="23">
          <cell r="A23" t="str">
            <v>IAR</v>
          </cell>
          <cell r="H23">
            <v>575.59337000000005</v>
          </cell>
        </row>
        <row r="24">
          <cell r="A24" t="str">
            <v>IAR</v>
          </cell>
          <cell r="H24">
            <v>9232641.2599299997</v>
          </cell>
        </row>
        <row r="25">
          <cell r="A25" t="str">
            <v>IAR</v>
          </cell>
          <cell r="H25">
            <v>450958.39931999997</v>
          </cell>
        </row>
        <row r="26">
          <cell r="A26" t="str">
            <v>IAR</v>
          </cell>
          <cell r="H26">
            <v>384.61301999999995</v>
          </cell>
        </row>
        <row r="27">
          <cell r="A27" t="str">
            <v>IAR</v>
          </cell>
          <cell r="H27">
            <v>98680.843359999999</v>
          </cell>
        </row>
        <row r="28">
          <cell r="A28" t="str">
            <v>IAR</v>
          </cell>
          <cell r="H28">
            <v>-3564.6999300000002</v>
          </cell>
        </row>
        <row r="29">
          <cell r="A29" t="str">
            <v>RMI</v>
          </cell>
          <cell r="H29">
            <v>255.91983999999999</v>
          </cell>
        </row>
        <row r="30">
          <cell r="A30" t="str">
            <v>RMI</v>
          </cell>
          <cell r="H30">
            <v>14704.69198</v>
          </cell>
        </row>
        <row r="31">
          <cell r="A31" t="str">
            <v>RMI</v>
          </cell>
          <cell r="H31">
            <v>303298.71737000003</v>
          </cell>
        </row>
        <row r="32">
          <cell r="A32" t="str">
            <v>RMI</v>
          </cell>
          <cell r="H32">
            <v>2.6002899999999998</v>
          </cell>
        </row>
        <row r="33">
          <cell r="A33" t="str">
            <v>RMI</v>
          </cell>
          <cell r="H33">
            <v>135.93382</v>
          </cell>
        </row>
        <row r="34">
          <cell r="A34" t="str">
            <v>RMI</v>
          </cell>
          <cell r="H34">
            <v>69118.492409999992</v>
          </cell>
        </row>
        <row r="35">
          <cell r="A35" t="str">
            <v>RMI</v>
          </cell>
          <cell r="H35">
            <v>-696.44695999999999</v>
          </cell>
        </row>
        <row r="36">
          <cell r="A36" t="str">
            <v>RMI</v>
          </cell>
          <cell r="H36">
            <v>391496.53696999996</v>
          </cell>
        </row>
        <row r="37">
          <cell r="A37" t="str">
            <v>RMI</v>
          </cell>
          <cell r="H37">
            <v>862.30044999999996</v>
          </cell>
        </row>
        <row r="38">
          <cell r="A38" t="str">
            <v>RMI</v>
          </cell>
          <cell r="H38">
            <v>207.44361000000001</v>
          </cell>
        </row>
        <row r="39">
          <cell r="A39" t="str">
            <v>RMI</v>
          </cell>
          <cell r="H39">
            <v>403.42489</v>
          </cell>
        </row>
        <row r="40">
          <cell r="A40" t="str">
            <v>RMI</v>
          </cell>
          <cell r="H40">
            <v>701.89196000000004</v>
          </cell>
        </row>
        <row r="41">
          <cell r="A41" t="str">
            <v>RMI</v>
          </cell>
          <cell r="H41">
            <v>3.2440099999999998</v>
          </cell>
        </row>
        <row r="42">
          <cell r="A42" t="str">
            <v>RMI</v>
          </cell>
          <cell r="H42">
            <v>1381295.98651</v>
          </cell>
        </row>
        <row r="43">
          <cell r="A43" t="str">
            <v>RMI</v>
          </cell>
          <cell r="H43">
            <v>298145.96020000003</v>
          </cell>
        </row>
        <row r="44">
          <cell r="A44" t="str">
            <v>RMI</v>
          </cell>
          <cell r="H44">
            <v>2991428.0623699999</v>
          </cell>
        </row>
        <row r="45">
          <cell r="A45" t="str">
            <v>RMI</v>
          </cell>
          <cell r="H45">
            <v>88314.708019999991</v>
          </cell>
        </row>
        <row r="46">
          <cell r="A46" t="str">
            <v>RMI</v>
          </cell>
          <cell r="H46">
            <v>55965.263640000005</v>
          </cell>
        </row>
        <row r="47">
          <cell r="A47" t="str">
            <v>RMI</v>
          </cell>
          <cell r="H47">
            <v>-0.11978999999999999</v>
          </cell>
        </row>
        <row r="48">
          <cell r="A48" t="str">
            <v>RMI</v>
          </cell>
          <cell r="H48">
            <v>-3.6299999999999995E-3</v>
          </cell>
        </row>
        <row r="49">
          <cell r="A49" t="str">
            <v>RMI</v>
          </cell>
          <cell r="H49">
            <v>1.2099999999999999E-3</v>
          </cell>
        </row>
        <row r="50">
          <cell r="A50" t="str">
            <v>RMI</v>
          </cell>
          <cell r="H50">
            <v>-1099.0938200000001</v>
          </cell>
        </row>
        <row r="51">
          <cell r="A51" t="str">
            <v>RMI</v>
          </cell>
          <cell r="H51">
            <v>1391303.9751600001</v>
          </cell>
        </row>
        <row r="52">
          <cell r="A52" t="str">
            <v>RMI</v>
          </cell>
          <cell r="H52">
            <v>14096.53025</v>
          </cell>
        </row>
        <row r="53">
          <cell r="A53" t="str">
            <v>RMI</v>
          </cell>
          <cell r="H53">
            <v>448179.46492</v>
          </cell>
        </row>
        <row r="54">
          <cell r="A54" t="str">
            <v>RMI</v>
          </cell>
          <cell r="H54">
            <v>18238.651859999998</v>
          </cell>
        </row>
        <row r="55">
          <cell r="A55" t="str">
            <v>RMI</v>
          </cell>
          <cell r="H55">
            <v>2114.8137999999999</v>
          </cell>
        </row>
        <row r="56">
          <cell r="A56" t="str">
            <v>RMI</v>
          </cell>
          <cell r="H56">
            <v>3.1883500000000002</v>
          </cell>
        </row>
        <row r="57">
          <cell r="A57" t="str">
            <v>RMI</v>
          </cell>
          <cell r="H57">
            <v>13250.09895</v>
          </cell>
        </row>
        <row r="58">
          <cell r="A58" t="str">
            <v>RMI</v>
          </cell>
          <cell r="H58">
            <v>-21.79936</v>
          </cell>
        </row>
        <row r="59">
          <cell r="A59" t="str">
            <v>RMI</v>
          </cell>
          <cell r="H59">
            <v>186155.959</v>
          </cell>
        </row>
        <row r="60">
          <cell r="A60" t="str">
            <v>RMI</v>
          </cell>
          <cell r="H60">
            <v>16110.86565</v>
          </cell>
        </row>
        <row r="61">
          <cell r="A61" t="str">
            <v>RMI</v>
          </cell>
          <cell r="H61">
            <v>78388.633949999989</v>
          </cell>
        </row>
        <row r="62">
          <cell r="A62" t="str">
            <v>RMI</v>
          </cell>
          <cell r="H62">
            <v>3641.8628399999998</v>
          </cell>
        </row>
        <row r="63">
          <cell r="A63" t="str">
            <v>RMI</v>
          </cell>
          <cell r="H63">
            <v>1060.4476300000001</v>
          </cell>
        </row>
        <row r="64">
          <cell r="A64" t="str">
            <v>RMI</v>
          </cell>
          <cell r="H64">
            <v>89924.206460000001</v>
          </cell>
        </row>
        <row r="65">
          <cell r="A65" t="str">
            <v>RMI</v>
          </cell>
          <cell r="H65">
            <v>3981.3198699999998</v>
          </cell>
        </row>
        <row r="66">
          <cell r="A66" t="str">
            <v>RMI</v>
          </cell>
          <cell r="H66">
            <v>62.92</v>
          </cell>
        </row>
        <row r="67">
          <cell r="A67" t="str">
            <v>WIP</v>
          </cell>
          <cell r="H67">
            <v>4874.6132599999992</v>
          </cell>
        </row>
        <row r="68">
          <cell r="A68" t="str">
            <v>WIP</v>
          </cell>
          <cell r="H68">
            <v>1313.1670200000001</v>
          </cell>
        </row>
        <row r="69">
          <cell r="A69" t="str">
            <v>WIP</v>
          </cell>
          <cell r="H69">
            <v>885.75387999999998</v>
          </cell>
        </row>
        <row r="70">
          <cell r="A70" t="str">
            <v>WIP</v>
          </cell>
          <cell r="H70">
            <v>6859.2830899999999</v>
          </cell>
        </row>
        <row r="71">
          <cell r="A71" t="str">
            <v>WIP</v>
          </cell>
          <cell r="H71">
            <v>418.15180000000004</v>
          </cell>
        </row>
        <row r="72">
          <cell r="A72" t="str">
            <v>WIP</v>
          </cell>
          <cell r="H72">
            <v>13014.09087</v>
          </cell>
        </row>
        <row r="73">
          <cell r="A73" t="str">
            <v>WIP</v>
          </cell>
          <cell r="H73">
            <v>822236.17629999993</v>
          </cell>
        </row>
        <row r="74">
          <cell r="A74" t="str">
            <v>WIP</v>
          </cell>
          <cell r="H74">
            <v>87761.34113999999</v>
          </cell>
        </row>
        <row r="75">
          <cell r="A75" t="str">
            <v>WIP</v>
          </cell>
          <cell r="H75">
            <v>267447.32245000004</v>
          </cell>
        </row>
        <row r="76">
          <cell r="A76" t="str">
            <v>WIP</v>
          </cell>
          <cell r="H76">
            <v>296.20799999999997</v>
          </cell>
        </row>
        <row r="77">
          <cell r="A77" t="str">
            <v>WIP</v>
          </cell>
          <cell r="H77">
            <v>1601.04054</v>
          </cell>
        </row>
        <row r="78">
          <cell r="A78" t="str">
            <v>WIP</v>
          </cell>
          <cell r="H78">
            <v>1105.2745</v>
          </cell>
        </row>
        <row r="79">
          <cell r="A79" t="str">
            <v>WIP</v>
          </cell>
          <cell r="H79">
            <v>1439685.6630199999</v>
          </cell>
        </row>
        <row r="80">
          <cell r="A80" t="str">
            <v>WIP</v>
          </cell>
          <cell r="H80">
            <v>9536.7105899999988</v>
          </cell>
        </row>
        <row r="81">
          <cell r="A81" t="str">
            <v>WIP</v>
          </cell>
          <cell r="H81">
            <v>-212153.50717</v>
          </cell>
        </row>
        <row r="82">
          <cell r="A82" t="str">
            <v>WIP</v>
          </cell>
          <cell r="H82">
            <v>67082.24390999999</v>
          </cell>
        </row>
        <row r="83">
          <cell r="A83" t="str">
            <v>WIP</v>
          </cell>
          <cell r="H83">
            <v>562.76010999999994</v>
          </cell>
        </row>
        <row r="84">
          <cell r="A84" t="str">
            <v>FG</v>
          </cell>
          <cell r="H84">
            <v>-6.3682300000000005</v>
          </cell>
        </row>
        <row r="85">
          <cell r="A85" t="str">
            <v>FG</v>
          </cell>
          <cell r="H85">
            <v>677420.91515999998</v>
          </cell>
        </row>
        <row r="86">
          <cell r="A86" t="str">
            <v>FG</v>
          </cell>
          <cell r="H86">
            <v>6014.5941899999998</v>
          </cell>
        </row>
        <row r="87">
          <cell r="A87" t="str">
            <v>FG</v>
          </cell>
          <cell r="H87">
            <v>129012.45302000002</v>
          </cell>
        </row>
        <row r="88">
          <cell r="A88" t="str">
            <v>FG</v>
          </cell>
          <cell r="H88">
            <v>2.4199999999999998E-3</v>
          </cell>
        </row>
        <row r="89">
          <cell r="A89" t="str">
            <v>FG</v>
          </cell>
          <cell r="H89">
            <v>-70938.989440000005</v>
          </cell>
        </row>
        <row r="90">
          <cell r="A90" t="str">
            <v>FG</v>
          </cell>
          <cell r="H90">
            <v>2692134.3953899997</v>
          </cell>
        </row>
        <row r="91">
          <cell r="A91" t="str">
            <v>FG</v>
          </cell>
          <cell r="H91">
            <v>7779.3186900000001</v>
          </cell>
        </row>
        <row r="92">
          <cell r="A92" t="str">
            <v>FG</v>
          </cell>
          <cell r="H92">
            <v>7.2599999999999991E-3</v>
          </cell>
        </row>
        <row r="93">
          <cell r="A93" t="str">
            <v>RMI</v>
          </cell>
          <cell r="H93">
            <v>13195.555779999999</v>
          </cell>
        </row>
        <row r="94">
          <cell r="A94" t="str">
            <v>RMI</v>
          </cell>
          <cell r="H94">
            <v>59296.477129999999</v>
          </cell>
        </row>
        <row r="95">
          <cell r="A95" t="str">
            <v>RRMI</v>
          </cell>
          <cell r="H95">
            <v>-333.46390000000002</v>
          </cell>
        </row>
        <row r="96">
          <cell r="A96" t="str">
            <v>RRMI</v>
          </cell>
          <cell r="H96">
            <v>2922.15</v>
          </cell>
        </row>
        <row r="97">
          <cell r="A97" t="str">
            <v>RRMI</v>
          </cell>
          <cell r="H97">
            <v>455.91710999999998</v>
          </cell>
        </row>
        <row r="98">
          <cell r="A98" t="str">
            <v>RRMI</v>
          </cell>
          <cell r="H98">
            <v>-137372.19297999999</v>
          </cell>
        </row>
        <row r="99">
          <cell r="A99" t="str">
            <v>RRMI</v>
          </cell>
          <cell r="H99">
            <v>-25642.392599999999</v>
          </cell>
        </row>
        <row r="100">
          <cell r="A100" t="str">
            <v>RRMI</v>
          </cell>
          <cell r="H100">
            <v>3757.8389200000001</v>
          </cell>
        </row>
        <row r="101">
          <cell r="A101" t="str">
            <v>RRMI</v>
          </cell>
          <cell r="H101">
            <v>249.70043999999999</v>
          </cell>
        </row>
        <row r="102">
          <cell r="A102" t="str">
            <v>RRMI</v>
          </cell>
          <cell r="H102">
            <v>-1.2099999999999999E-3</v>
          </cell>
        </row>
        <row r="103">
          <cell r="A103" t="str">
            <v>RRMI</v>
          </cell>
          <cell r="H103">
            <v>15192.797509999999</v>
          </cell>
        </row>
        <row r="104">
          <cell r="A104" t="str">
            <v>RRMI</v>
          </cell>
          <cell r="H104">
            <v>-350.94598000000002</v>
          </cell>
        </row>
        <row r="105">
          <cell r="A105" t="str">
            <v>PREPAID</v>
          </cell>
          <cell r="H105">
            <v>2255.319</v>
          </cell>
        </row>
        <row r="106">
          <cell r="A106" t="str">
            <v>PREPAID</v>
          </cell>
          <cell r="H106">
            <v>30665.945970000001</v>
          </cell>
        </row>
        <row r="107">
          <cell r="A107" t="str">
            <v>PREPAID</v>
          </cell>
          <cell r="H107">
            <v>704316.06068999995</v>
          </cell>
        </row>
        <row r="108">
          <cell r="A108" t="str">
            <v>PREPAID</v>
          </cell>
          <cell r="H108">
            <v>2647.9639999999999</v>
          </cell>
        </row>
        <row r="109">
          <cell r="A109" t="str">
            <v>PREPAID</v>
          </cell>
          <cell r="H109">
            <v>235950</v>
          </cell>
        </row>
        <row r="110">
          <cell r="A110" t="str">
            <v>PREPAID</v>
          </cell>
          <cell r="H110">
            <v>1936</v>
          </cell>
        </row>
        <row r="111">
          <cell r="A111" t="str">
            <v>PREPAID</v>
          </cell>
          <cell r="H111">
            <v>44071.009619999997</v>
          </cell>
        </row>
        <row r="112">
          <cell r="A112" t="str">
            <v>PREPAID</v>
          </cell>
          <cell r="H112">
            <v>12208.30831</v>
          </cell>
        </row>
        <row r="113">
          <cell r="A113" t="str">
            <v>PREPAID</v>
          </cell>
          <cell r="H113">
            <v>773.48523999999998</v>
          </cell>
        </row>
        <row r="114">
          <cell r="A114" t="str">
            <v>PREPAID</v>
          </cell>
          <cell r="H114">
            <v>16422.12</v>
          </cell>
        </row>
        <row r="115">
          <cell r="A115" t="str">
            <v>PREPAID</v>
          </cell>
          <cell r="H115">
            <v>-110608.72691</v>
          </cell>
        </row>
        <row r="116">
          <cell r="A116" t="str">
            <v>PREPAID</v>
          </cell>
          <cell r="H116">
            <v>767242.10222</v>
          </cell>
        </row>
        <row r="117">
          <cell r="A117" t="str">
            <v>PREPAID</v>
          </cell>
          <cell r="H117">
            <v>6555.2379199999996</v>
          </cell>
        </row>
        <row r="118">
          <cell r="A118" t="str">
            <v>PREPAID</v>
          </cell>
          <cell r="H118">
            <v>88187.112309999997</v>
          </cell>
        </row>
        <row r="119">
          <cell r="A119" t="str">
            <v>PREPAID</v>
          </cell>
          <cell r="H119">
            <v>-21686.228629999998</v>
          </cell>
        </row>
        <row r="120">
          <cell r="A120" t="str">
            <v>PREPAID</v>
          </cell>
          <cell r="H120">
            <v>-302568.17624</v>
          </cell>
        </row>
        <row r="121">
          <cell r="A121" t="str">
            <v>PREPAID</v>
          </cell>
          <cell r="H121">
            <v>599.04679999999996</v>
          </cell>
        </row>
        <row r="122">
          <cell r="A122" t="str">
            <v>PREPAID</v>
          </cell>
          <cell r="H122">
            <v>7753.2020499999999</v>
          </cell>
        </row>
        <row r="123">
          <cell r="A123" t="str">
            <v>PREPAID</v>
          </cell>
          <cell r="H123">
            <v>5592.0004799999997</v>
          </cell>
        </row>
        <row r="124">
          <cell r="A124" t="str">
            <v>PREPAID</v>
          </cell>
          <cell r="H124">
            <v>4546.9380000000001</v>
          </cell>
        </row>
        <row r="125">
          <cell r="A125" t="str">
            <v>PREPAID</v>
          </cell>
          <cell r="H125">
            <v>-449149.22668000002</v>
          </cell>
        </row>
        <row r="126">
          <cell r="A126" t="str">
            <v>PREPAID</v>
          </cell>
          <cell r="H126">
            <v>450419.07448999997</v>
          </cell>
        </row>
        <row r="127">
          <cell r="A127" t="str">
            <v>PREPAID</v>
          </cell>
          <cell r="H127">
            <v>55653.302649999998</v>
          </cell>
        </row>
        <row r="128">
          <cell r="A128" t="str">
            <v>PREPAID</v>
          </cell>
          <cell r="H128">
            <v>-197729.30408</v>
          </cell>
        </row>
        <row r="129">
          <cell r="A129" t="str">
            <v>PREPAID</v>
          </cell>
          <cell r="H129">
            <v>738917.29691999988</v>
          </cell>
        </row>
        <row r="130">
          <cell r="A130" t="str">
            <v>PREPAID</v>
          </cell>
          <cell r="H130">
            <v>480759.43124000001</v>
          </cell>
        </row>
        <row r="131">
          <cell r="A131" t="str">
            <v>PREPAID</v>
          </cell>
          <cell r="H131">
            <v>-31988.367069999997</v>
          </cell>
        </row>
        <row r="132">
          <cell r="A132" t="str">
            <v>PREPAID</v>
          </cell>
          <cell r="H132">
            <v>21024.718000000001</v>
          </cell>
        </row>
        <row r="133">
          <cell r="A133" t="str">
            <v>LAND</v>
          </cell>
          <cell r="H133">
            <v>2093873.95019</v>
          </cell>
        </row>
        <row r="134">
          <cell r="A134" t="str">
            <v>BUILD</v>
          </cell>
          <cell r="H134">
            <v>15297691.570259999</v>
          </cell>
        </row>
        <row r="135">
          <cell r="A135" t="str">
            <v>OTHFA</v>
          </cell>
          <cell r="H135">
            <v>1458661.7554299999</v>
          </cell>
        </row>
        <row r="136">
          <cell r="A136" t="str">
            <v>MACHINE</v>
          </cell>
          <cell r="H136">
            <v>529.79607999999996</v>
          </cell>
        </row>
        <row r="137">
          <cell r="A137" t="str">
            <v>MACHINE</v>
          </cell>
          <cell r="H137">
            <v>2542079.91653</v>
          </cell>
        </row>
        <row r="138">
          <cell r="A138" t="str">
            <v>MACHINE</v>
          </cell>
          <cell r="H138">
            <v>445729.21007999999</v>
          </cell>
        </row>
        <row r="139">
          <cell r="A139" t="str">
            <v>MACHINE</v>
          </cell>
          <cell r="H139">
            <v>8484540.6776899993</v>
          </cell>
        </row>
        <row r="140">
          <cell r="A140" t="str">
            <v>MACHINE</v>
          </cell>
          <cell r="H140">
            <v>54998.999989999997</v>
          </cell>
        </row>
        <row r="141">
          <cell r="A141" t="str">
            <v>MV</v>
          </cell>
          <cell r="H141">
            <v>3600.0137799999998</v>
          </cell>
        </row>
        <row r="142">
          <cell r="A142" t="str">
            <v>OE</v>
          </cell>
          <cell r="H142">
            <v>6906.0749999999998</v>
          </cell>
        </row>
        <row r="143">
          <cell r="A143" t="str">
            <v>OE</v>
          </cell>
          <cell r="H143">
            <v>2601.2700999999997</v>
          </cell>
        </row>
        <row r="144">
          <cell r="A144" t="str">
            <v>OE</v>
          </cell>
          <cell r="H144">
            <v>4999.9995099999996</v>
          </cell>
        </row>
        <row r="145">
          <cell r="A145" t="str">
            <v>COMHARD</v>
          </cell>
          <cell r="H145">
            <v>587321.21756000002</v>
          </cell>
        </row>
        <row r="146">
          <cell r="A146" t="str">
            <v>COMHARD</v>
          </cell>
          <cell r="H146">
            <v>16825.83166</v>
          </cell>
        </row>
        <row r="147">
          <cell r="A147" t="str">
            <v>COMSOFT</v>
          </cell>
          <cell r="H147">
            <v>36895.335729999999</v>
          </cell>
        </row>
        <row r="148">
          <cell r="A148" t="str">
            <v>OE</v>
          </cell>
          <cell r="H148">
            <v>142500.37989000001</v>
          </cell>
        </row>
        <row r="149">
          <cell r="A149" t="str">
            <v>OE</v>
          </cell>
          <cell r="H149">
            <v>2609.5997399999997</v>
          </cell>
        </row>
        <row r="150">
          <cell r="A150" t="str">
            <v>OTHFA</v>
          </cell>
          <cell r="H150">
            <v>8229.4519999999993</v>
          </cell>
        </row>
        <row r="151">
          <cell r="A151" t="str">
            <v>Asset Res</v>
          </cell>
          <cell r="H151">
            <v>-1964256.67625</v>
          </cell>
        </row>
        <row r="152">
          <cell r="A152" t="str">
            <v>MACHINE</v>
          </cell>
          <cell r="H152">
            <v>2310.0001099999999</v>
          </cell>
        </row>
        <row r="153">
          <cell r="A153" t="str">
            <v>DEPLAND</v>
          </cell>
          <cell r="H153">
            <v>-115385.38583</v>
          </cell>
        </row>
        <row r="154">
          <cell r="A154" t="str">
            <v>DEPBUID</v>
          </cell>
          <cell r="H154">
            <v>-849871.75833999994</v>
          </cell>
        </row>
        <row r="155">
          <cell r="A155" t="str">
            <v>DEPLEASEHOLD</v>
          </cell>
          <cell r="H155">
            <v>-260633.22680999996</v>
          </cell>
        </row>
        <row r="156">
          <cell r="A156" t="str">
            <v>DEPMACH</v>
          </cell>
          <cell r="H156">
            <v>-1131050.9182499999</v>
          </cell>
        </row>
        <row r="157">
          <cell r="A157" t="str">
            <v>DEPMV</v>
          </cell>
          <cell r="H157">
            <v>-1242.8611799999999</v>
          </cell>
        </row>
        <row r="158">
          <cell r="A158" t="str">
            <v>DEPOE</v>
          </cell>
          <cell r="H158">
            <v>-2205.7029499999999</v>
          </cell>
        </row>
        <row r="159">
          <cell r="A159" t="str">
            <v>DEPOE</v>
          </cell>
          <cell r="H159">
            <v>-5816.2025899999999</v>
          </cell>
        </row>
        <row r="160">
          <cell r="A160" t="str">
            <v>DEPCOMHARD</v>
          </cell>
          <cell r="H160">
            <v>-7629.3016799999996</v>
          </cell>
        </row>
        <row r="161">
          <cell r="A161" t="str">
            <v>DEPCOMSOF</v>
          </cell>
          <cell r="H161">
            <v>-5130.9650699999993</v>
          </cell>
        </row>
        <row r="162">
          <cell r="A162" t="str">
            <v>DEPMACH</v>
          </cell>
          <cell r="H162">
            <v>-17358.378070000002</v>
          </cell>
        </row>
        <row r="163">
          <cell r="A163" t="str">
            <v>DEPMACH</v>
          </cell>
          <cell r="H163">
            <v>-118050.39026</v>
          </cell>
        </row>
        <row r="164">
          <cell r="A164" t="str">
            <v>DEPMACH</v>
          </cell>
          <cell r="H164">
            <v>-468.55676999999997</v>
          </cell>
        </row>
        <row r="165">
          <cell r="A165" t="str">
            <v>DEPMACH</v>
          </cell>
          <cell r="H165">
            <v>-555883.77075000003</v>
          </cell>
        </row>
        <row r="166">
          <cell r="A166" t="str">
            <v>DEPCOMSOF</v>
          </cell>
          <cell r="H166">
            <v>-94844.096709999998</v>
          </cell>
        </row>
        <row r="167">
          <cell r="A167" t="str">
            <v>DEPOE</v>
          </cell>
          <cell r="H167">
            <v>-44502.736409999998</v>
          </cell>
        </row>
        <row r="168">
          <cell r="A168" t="str">
            <v>DEPOE</v>
          </cell>
          <cell r="H168">
            <v>-2608.49017</v>
          </cell>
        </row>
        <row r="169">
          <cell r="A169" t="str">
            <v>DEPOE</v>
          </cell>
          <cell r="H169">
            <v>-733.33260000000007</v>
          </cell>
        </row>
        <row r="170">
          <cell r="A170" t="str">
            <v>DEPOE</v>
          </cell>
          <cell r="H170">
            <v>-629.17217000000005</v>
          </cell>
        </row>
        <row r="171">
          <cell r="A171" t="str">
            <v>AP</v>
          </cell>
          <cell r="H171">
            <v>-9981.3383999999987</v>
          </cell>
        </row>
        <row r="172">
          <cell r="A172" t="str">
            <v>AP</v>
          </cell>
          <cell r="H172">
            <v>71116.427469999995</v>
          </cell>
        </row>
        <row r="173">
          <cell r="A173" t="str">
            <v>AP</v>
          </cell>
          <cell r="H173">
            <v>216222.16363</v>
          </cell>
        </row>
        <row r="174">
          <cell r="A174" t="str">
            <v>AP</v>
          </cell>
          <cell r="H174">
            <v>5107.9399799999992</v>
          </cell>
        </row>
        <row r="175">
          <cell r="A175" t="str">
            <v>AP</v>
          </cell>
          <cell r="H175">
            <v>1063.4157599999999</v>
          </cell>
        </row>
        <row r="176">
          <cell r="A176" t="str">
            <v>AP</v>
          </cell>
          <cell r="H176">
            <v>12186.81871</v>
          </cell>
        </row>
        <row r="177">
          <cell r="A177" t="str">
            <v>AP</v>
          </cell>
          <cell r="H177">
            <v>-27995.45782</v>
          </cell>
        </row>
        <row r="178">
          <cell r="A178" t="str">
            <v>AP</v>
          </cell>
          <cell r="H178">
            <v>-2135.2809499999998</v>
          </cell>
        </row>
        <row r="179">
          <cell r="A179" t="str">
            <v>AP</v>
          </cell>
          <cell r="H179">
            <v>-124.88046999999999</v>
          </cell>
        </row>
        <row r="180">
          <cell r="A180" t="str">
            <v>AP</v>
          </cell>
          <cell r="H180">
            <v>-273.99239999999998</v>
          </cell>
        </row>
        <row r="181">
          <cell r="A181" t="str">
            <v>AP</v>
          </cell>
          <cell r="H181">
            <v>-309.16226</v>
          </cell>
        </row>
        <row r="182">
          <cell r="A182" t="str">
            <v>AP</v>
          </cell>
          <cell r="H182">
            <v>-51847.849020000001</v>
          </cell>
        </row>
        <row r="183">
          <cell r="A183" t="str">
            <v>AP</v>
          </cell>
          <cell r="H183">
            <v>-15969.200059999997</v>
          </cell>
        </row>
        <row r="184">
          <cell r="A184" t="str">
            <v>AP</v>
          </cell>
          <cell r="H184">
            <v>-6022.3660200000004</v>
          </cell>
        </row>
        <row r="185">
          <cell r="A185" t="str">
            <v>AP</v>
          </cell>
          <cell r="H185">
            <v>-560.00009999999997</v>
          </cell>
        </row>
        <row r="186">
          <cell r="A186" t="str">
            <v>AP</v>
          </cell>
          <cell r="H186">
            <v>-35614.371650000001</v>
          </cell>
        </row>
        <row r="187">
          <cell r="A187" t="str">
            <v>AP</v>
          </cell>
          <cell r="H187">
            <v>-13476.773089999999</v>
          </cell>
        </row>
        <row r="188">
          <cell r="A188" t="str">
            <v>AP</v>
          </cell>
          <cell r="H188">
            <v>15530.301600000001</v>
          </cell>
        </row>
        <row r="189">
          <cell r="A189" t="str">
            <v>AP</v>
          </cell>
          <cell r="H189">
            <v>-341512.15087000001</v>
          </cell>
        </row>
        <row r="190">
          <cell r="A190" t="str">
            <v>AP</v>
          </cell>
          <cell r="H190">
            <v>625943.83918000001</v>
          </cell>
        </row>
        <row r="191">
          <cell r="A191" t="str">
            <v>AP</v>
          </cell>
          <cell r="H191">
            <v>-7495.8302100000001</v>
          </cell>
        </row>
        <row r="192">
          <cell r="A192" t="str">
            <v>AP</v>
          </cell>
          <cell r="H192">
            <v>91998.995880000002</v>
          </cell>
        </row>
        <row r="193">
          <cell r="A193" t="str">
            <v>AP</v>
          </cell>
          <cell r="H193">
            <v>939240.86035999993</v>
          </cell>
        </row>
        <row r="194">
          <cell r="A194" t="str">
            <v>AP</v>
          </cell>
          <cell r="H194">
            <v>-72974.478059999994</v>
          </cell>
        </row>
        <row r="195">
          <cell r="A195" t="str">
            <v>AP</v>
          </cell>
          <cell r="H195">
            <v>8914.1317099999997</v>
          </cell>
        </row>
        <row r="196">
          <cell r="A196" t="str">
            <v>AP</v>
          </cell>
          <cell r="H196">
            <v>3613.8005199999998</v>
          </cell>
        </row>
        <row r="197">
          <cell r="A197" t="str">
            <v>ACCREXP</v>
          </cell>
          <cell r="H197">
            <v>297770.28424000001</v>
          </cell>
        </row>
        <row r="198">
          <cell r="A198" t="str">
            <v>ACCREXP</v>
          </cell>
          <cell r="H198">
            <v>8826.8725599999998</v>
          </cell>
        </row>
        <row r="199">
          <cell r="A199" t="str">
            <v>AP</v>
          </cell>
          <cell r="H199">
            <v>50335.852380000004</v>
          </cell>
        </row>
        <row r="200">
          <cell r="A200" t="str">
            <v>OCL</v>
          </cell>
          <cell r="H200">
            <v>7062.7336999999998</v>
          </cell>
        </row>
        <row r="201">
          <cell r="A201" t="str">
            <v>ACCREXP</v>
          </cell>
          <cell r="H201">
            <v>2426.6997699999997</v>
          </cell>
        </row>
        <row r="202">
          <cell r="A202" t="str">
            <v>IAP</v>
          </cell>
          <cell r="H202">
            <v>1004311.1961300001</v>
          </cell>
        </row>
        <row r="203">
          <cell r="A203" t="str">
            <v>IAP</v>
          </cell>
          <cell r="H203">
            <v>600.00027999999998</v>
          </cell>
        </row>
        <row r="204">
          <cell r="A204" t="str">
            <v>IAP</v>
          </cell>
          <cell r="H204">
            <v>771135.60875999997</v>
          </cell>
        </row>
        <row r="205">
          <cell r="A205" t="str">
            <v>IAP</v>
          </cell>
          <cell r="H205">
            <v>2039.1549199999999</v>
          </cell>
        </row>
        <row r="206">
          <cell r="A206" t="str">
            <v>IAP</v>
          </cell>
          <cell r="H206">
            <v>224.99949999999998</v>
          </cell>
        </row>
        <row r="207">
          <cell r="A207" t="str">
            <v>IAP</v>
          </cell>
          <cell r="H207">
            <v>1233072.94429</v>
          </cell>
        </row>
        <row r="208">
          <cell r="A208" t="str">
            <v>IAP</v>
          </cell>
          <cell r="H208">
            <v>97836.782449999984</v>
          </cell>
        </row>
        <row r="209">
          <cell r="A209" t="str">
            <v>IAP</v>
          </cell>
          <cell r="H209">
            <v>-4.8399999999999997E-3</v>
          </cell>
        </row>
        <row r="210">
          <cell r="A210" t="str">
            <v>IAP</v>
          </cell>
          <cell r="H210">
            <v>41530553.943340003</v>
          </cell>
        </row>
        <row r="211">
          <cell r="A211" t="str">
            <v>IAP</v>
          </cell>
          <cell r="H211">
            <v>177323.88585999998</v>
          </cell>
        </row>
        <row r="212">
          <cell r="A212" t="str">
            <v>IAP</v>
          </cell>
          <cell r="H212">
            <v>38793788.840729997</v>
          </cell>
        </row>
        <row r="213">
          <cell r="A213" t="str">
            <v>IAP</v>
          </cell>
          <cell r="H213">
            <v>622683.11181999999</v>
          </cell>
        </row>
        <row r="214">
          <cell r="A214" t="str">
            <v>EMPCOMP</v>
          </cell>
          <cell r="H214">
            <v>-24618.282479999998</v>
          </cell>
        </row>
        <row r="215">
          <cell r="A215" t="str">
            <v>EMPCOMP</v>
          </cell>
          <cell r="H215">
            <v>128670.28074999999</v>
          </cell>
        </row>
        <row r="216">
          <cell r="A216" t="str">
            <v>EMPCOMP</v>
          </cell>
          <cell r="H216">
            <v>4484.9654300000002</v>
          </cell>
        </row>
        <row r="217">
          <cell r="A217" t="str">
            <v>EMPCOMP</v>
          </cell>
          <cell r="H217">
            <v>878.53744000000006</v>
          </cell>
        </row>
        <row r="218">
          <cell r="A218" t="str">
            <v>EMPCOMP</v>
          </cell>
          <cell r="H218">
            <v>-34883.089999999997</v>
          </cell>
        </row>
        <row r="219">
          <cell r="A219" t="str">
            <v>EMPCOMP</v>
          </cell>
          <cell r="H219">
            <v>81695.718829999998</v>
          </cell>
        </row>
        <row r="220">
          <cell r="A220" t="str">
            <v>EMPCOMP</v>
          </cell>
          <cell r="H220">
            <v>27545.241019999998</v>
          </cell>
        </row>
        <row r="221">
          <cell r="A221" t="str">
            <v>EMPCOMP</v>
          </cell>
          <cell r="H221">
            <v>5245.6198300000005</v>
          </cell>
        </row>
        <row r="222">
          <cell r="A222" t="str">
            <v>EMPCOMP</v>
          </cell>
          <cell r="H222">
            <v>30000.000690000001</v>
          </cell>
        </row>
        <row r="223">
          <cell r="A223" t="str">
            <v>EMPCOMP</v>
          </cell>
          <cell r="H223">
            <v>19577.599139999998</v>
          </cell>
        </row>
        <row r="224">
          <cell r="A224" t="str">
            <v>EMPCOMP</v>
          </cell>
          <cell r="H224">
            <v>195248.90450999999</v>
          </cell>
        </row>
        <row r="225">
          <cell r="A225" t="str">
            <v>ACCREXP</v>
          </cell>
          <cell r="H225">
            <v>17645.121450000002</v>
          </cell>
        </row>
        <row r="226">
          <cell r="A226" t="str">
            <v>ACCREXP</v>
          </cell>
          <cell r="H226">
            <v>15291.001109999999</v>
          </cell>
        </row>
        <row r="227">
          <cell r="A227" t="str">
            <v>ACCREXP</v>
          </cell>
          <cell r="H227">
            <v>18250.69499</v>
          </cell>
        </row>
        <row r="228">
          <cell r="A228" t="str">
            <v>ACCREXP</v>
          </cell>
          <cell r="H228">
            <v>48400</v>
          </cell>
        </row>
        <row r="229">
          <cell r="A229" t="str">
            <v>ACCREXP</v>
          </cell>
          <cell r="H229">
            <v>-202829.01605999999</v>
          </cell>
        </row>
        <row r="230">
          <cell r="A230" t="str">
            <v>ACCREXP</v>
          </cell>
          <cell r="H230">
            <v>-150.00006999999999</v>
          </cell>
        </row>
        <row r="231">
          <cell r="A231" t="str">
            <v>ACCREXP</v>
          </cell>
          <cell r="H231">
            <v>37754.482920000002</v>
          </cell>
        </row>
        <row r="232">
          <cell r="A232" t="str">
            <v>IAP</v>
          </cell>
          <cell r="H232">
            <v>115018.72194999999</v>
          </cell>
        </row>
        <row r="233">
          <cell r="A233" t="str">
            <v>IAP</v>
          </cell>
          <cell r="H233">
            <v>52501.999219999998</v>
          </cell>
        </row>
        <row r="234">
          <cell r="A234" t="str">
            <v>SHARE</v>
          </cell>
          <cell r="H234">
            <v>4509149.0018299995</v>
          </cell>
        </row>
        <row r="235">
          <cell r="A235" t="str">
            <v>SHARE</v>
          </cell>
          <cell r="H235">
            <v>358929.99922999996</v>
          </cell>
        </row>
        <row r="236">
          <cell r="A236" t="str">
            <v>RE</v>
          </cell>
          <cell r="H236">
            <v>-2165752.3122399999</v>
          </cell>
        </row>
        <row r="237">
          <cell r="A237" t="str">
            <v>RE</v>
          </cell>
          <cell r="H237">
            <v>-73791.294609999997</v>
          </cell>
        </row>
        <row r="238">
          <cell r="A238" t="str">
            <v>OTHMATREV</v>
          </cell>
          <cell r="H238">
            <v>-692626.99968000001</v>
          </cell>
        </row>
        <row r="239">
          <cell r="A239" t="str">
            <v>OTHMATREV</v>
          </cell>
          <cell r="H239">
            <v>-1667.5893299999998</v>
          </cell>
        </row>
        <row r="240">
          <cell r="A240" t="str">
            <v>OTHMATREV</v>
          </cell>
          <cell r="H240">
            <v>98408.408230000001</v>
          </cell>
        </row>
        <row r="241">
          <cell r="A241" t="str">
            <v>LABREV1</v>
          </cell>
          <cell r="H241">
            <v>41695.264159999999</v>
          </cell>
        </row>
        <row r="242">
          <cell r="A242" t="str">
            <v>LABREV1</v>
          </cell>
          <cell r="H242">
            <v>72474.714179999995</v>
          </cell>
        </row>
        <row r="243">
          <cell r="A243" t="str">
            <v>OTHMATREV</v>
          </cell>
          <cell r="H243">
            <v>14274.70638</v>
          </cell>
        </row>
        <row r="244">
          <cell r="A244" t="str">
            <v>LABREV1</v>
          </cell>
          <cell r="H244">
            <v>11324.990160000001</v>
          </cell>
        </row>
        <row r="245">
          <cell r="A245" t="str">
            <v>LABREV1</v>
          </cell>
          <cell r="H245">
            <v>663.98870999999997</v>
          </cell>
        </row>
        <row r="246">
          <cell r="A246" t="str">
            <v>LABREV1</v>
          </cell>
          <cell r="H246">
            <v>3303.3834899999997</v>
          </cell>
        </row>
        <row r="247">
          <cell r="A247" t="str">
            <v>QUOMAT</v>
          </cell>
          <cell r="H247">
            <v>0.34969</v>
          </cell>
        </row>
        <row r="248">
          <cell r="A248" t="str">
            <v>QUOMAT1</v>
          </cell>
          <cell r="H248">
            <v>1270329.5351999998</v>
          </cell>
        </row>
        <row r="249">
          <cell r="A249" t="str">
            <v>QUOMAT1</v>
          </cell>
          <cell r="H249">
            <v>8708507.3313699998</v>
          </cell>
        </row>
        <row r="250">
          <cell r="A250" t="str">
            <v>QUOMAT</v>
          </cell>
          <cell r="H250">
            <v>-9.6799999999999994E-3</v>
          </cell>
        </row>
        <row r="251">
          <cell r="A251" t="str">
            <v>QUOMAT1</v>
          </cell>
          <cell r="H251">
            <v>41523.14892</v>
          </cell>
        </row>
        <row r="252">
          <cell r="A252" t="str">
            <v>QUOMAT1</v>
          </cell>
          <cell r="H252">
            <v>123555.00090999999</v>
          </cell>
        </row>
        <row r="253">
          <cell r="A253" t="str">
            <v>QUOMAT</v>
          </cell>
          <cell r="H253">
            <v>-16885.998909999998</v>
          </cell>
        </row>
        <row r="254">
          <cell r="A254" t="str">
            <v>QUOMAT1</v>
          </cell>
          <cell r="H254">
            <v>194888.04136999999</v>
          </cell>
        </row>
        <row r="255">
          <cell r="A255" t="str">
            <v>MATREV1</v>
          </cell>
          <cell r="H255">
            <v>13467.591609999999</v>
          </cell>
        </row>
        <row r="256">
          <cell r="A256" t="str">
            <v>MATREV1</v>
          </cell>
          <cell r="H256">
            <v>91314.352469999998</v>
          </cell>
        </row>
        <row r="257">
          <cell r="A257" t="str">
            <v>LABREV</v>
          </cell>
          <cell r="H257">
            <v>1810276.07651</v>
          </cell>
        </row>
        <row r="258">
          <cell r="A258" t="str">
            <v>LABREV</v>
          </cell>
          <cell r="H258">
            <v>376479.64320999995</v>
          </cell>
        </row>
        <row r="259">
          <cell r="A259" t="str">
            <v>LABREV</v>
          </cell>
          <cell r="H259">
            <v>954675.13393999997</v>
          </cell>
        </row>
        <row r="260">
          <cell r="A260" t="str">
            <v>LABREV</v>
          </cell>
          <cell r="H260">
            <v>482421.40737999999</v>
          </cell>
        </row>
        <row r="261">
          <cell r="A261" t="str">
            <v>LABREV</v>
          </cell>
          <cell r="H261">
            <v>36416.25922</v>
          </cell>
        </row>
        <row r="262">
          <cell r="A262" t="str">
            <v>LABREV</v>
          </cell>
          <cell r="H262">
            <v>26616.999200000002</v>
          </cell>
        </row>
        <row r="263">
          <cell r="A263" t="str">
            <v>LABREV</v>
          </cell>
          <cell r="H263">
            <v>149479.80025</v>
          </cell>
        </row>
        <row r="264">
          <cell r="A264" t="str">
            <v>LABREV</v>
          </cell>
          <cell r="H264">
            <v>18799.999899999999</v>
          </cell>
        </row>
        <row r="265">
          <cell r="A265" t="str">
            <v>LABREV</v>
          </cell>
          <cell r="H265">
            <v>65879.998800000001</v>
          </cell>
        </row>
        <row r="266">
          <cell r="A266" t="str">
            <v>LABREV1</v>
          </cell>
          <cell r="H266">
            <v>20945.429120000001</v>
          </cell>
        </row>
        <row r="267">
          <cell r="A267" t="str">
            <v>LABREV</v>
          </cell>
          <cell r="H267">
            <v>55371.550519999997</v>
          </cell>
        </row>
        <row r="268">
          <cell r="A268" t="str">
            <v>LABREV</v>
          </cell>
          <cell r="H268">
            <v>90193.29230999999</v>
          </cell>
        </row>
        <row r="269">
          <cell r="A269" t="str">
            <v>LABREV</v>
          </cell>
          <cell r="H269">
            <v>16368.348809999998</v>
          </cell>
        </row>
        <row r="270">
          <cell r="A270" t="str">
            <v>LABREV</v>
          </cell>
          <cell r="H270">
            <v>55930.500339999999</v>
          </cell>
        </row>
        <row r="271">
          <cell r="A271" t="str">
            <v>LABREV</v>
          </cell>
          <cell r="H271">
            <v>3447.9434000000001</v>
          </cell>
        </row>
        <row r="272">
          <cell r="A272" t="str">
            <v>LABREV</v>
          </cell>
          <cell r="H272">
            <v>1196.9997599999999</v>
          </cell>
        </row>
        <row r="273">
          <cell r="A273" t="str">
            <v>LABREV</v>
          </cell>
          <cell r="H273">
            <v>8923.1268500000006</v>
          </cell>
        </row>
        <row r="274">
          <cell r="A274" t="str">
            <v>LABREV1</v>
          </cell>
          <cell r="H274">
            <v>855.88018999999997</v>
          </cell>
        </row>
        <row r="275">
          <cell r="A275" t="str">
            <v>LABREV</v>
          </cell>
          <cell r="H275">
            <v>841176.23006999993</v>
          </cell>
        </row>
        <row r="276">
          <cell r="A276" t="str">
            <v>LABREV</v>
          </cell>
          <cell r="H276">
            <v>21933.859970000001</v>
          </cell>
        </row>
        <row r="277">
          <cell r="A277" t="str">
            <v>LABREV</v>
          </cell>
          <cell r="H277">
            <v>103939.74657</v>
          </cell>
        </row>
        <row r="278">
          <cell r="A278" t="str">
            <v>LABREV</v>
          </cell>
          <cell r="H278">
            <v>34435.728799999997</v>
          </cell>
        </row>
        <row r="279">
          <cell r="A279" t="str">
            <v>LABREV</v>
          </cell>
          <cell r="H279">
            <v>7078.2979299999997</v>
          </cell>
        </row>
        <row r="280">
          <cell r="A280" t="str">
            <v>LABREV</v>
          </cell>
          <cell r="H280">
            <v>2420</v>
          </cell>
        </row>
        <row r="281">
          <cell r="A281" t="str">
            <v>LABREV</v>
          </cell>
          <cell r="H281">
            <v>17250.079440000001</v>
          </cell>
        </row>
        <row r="282">
          <cell r="A282" t="str">
            <v>LABREV</v>
          </cell>
          <cell r="H282">
            <v>4828.0004300000001</v>
          </cell>
        </row>
        <row r="283">
          <cell r="A283" t="str">
            <v>LABREV</v>
          </cell>
          <cell r="H283">
            <v>6839.9993199999999</v>
          </cell>
        </row>
        <row r="284">
          <cell r="A284" t="str">
            <v>LABREV1</v>
          </cell>
          <cell r="H284">
            <v>-19.51004</v>
          </cell>
        </row>
        <row r="285">
          <cell r="A285" t="str">
            <v>QUOMAT</v>
          </cell>
          <cell r="H285">
            <v>41302304.486189999</v>
          </cell>
        </row>
        <row r="286">
          <cell r="A286" t="str">
            <v>QUOMAT</v>
          </cell>
          <cell r="H286">
            <v>1956312.99116</v>
          </cell>
        </row>
        <row r="287">
          <cell r="A287" t="str">
            <v>QUOMAT</v>
          </cell>
          <cell r="H287">
            <v>19336746.414810002</v>
          </cell>
        </row>
        <row r="288">
          <cell r="A288" t="str">
            <v>QUOMAT</v>
          </cell>
          <cell r="H288">
            <v>4998618.4305199999</v>
          </cell>
        </row>
        <row r="289">
          <cell r="A289" t="str">
            <v>QUOMAT</v>
          </cell>
          <cell r="H289">
            <v>198234.08098999999</v>
          </cell>
        </row>
        <row r="290">
          <cell r="A290" t="str">
            <v>QUOMAT</v>
          </cell>
          <cell r="H290">
            <v>387325.00146999996</v>
          </cell>
        </row>
        <row r="291">
          <cell r="A291" t="str">
            <v>QUOMAT</v>
          </cell>
          <cell r="H291">
            <v>2847183.5787999998</v>
          </cell>
        </row>
        <row r="292">
          <cell r="A292" t="str">
            <v>QUOMAT</v>
          </cell>
          <cell r="H292">
            <v>183656.04212999999</v>
          </cell>
        </row>
        <row r="293">
          <cell r="A293" t="str">
            <v>QUOMAT</v>
          </cell>
          <cell r="H293">
            <v>1429970.8029199999</v>
          </cell>
        </row>
        <row r="294">
          <cell r="A294" t="str">
            <v>QUOMAT1</v>
          </cell>
          <cell r="H294">
            <v>11998426.376969999</v>
          </cell>
        </row>
        <row r="295">
          <cell r="A295" t="str">
            <v>QUOMAT1</v>
          </cell>
          <cell r="H295">
            <v>10974110.64288</v>
          </cell>
        </row>
        <row r="296">
          <cell r="A296" t="str">
            <v>MATREV</v>
          </cell>
          <cell r="H296">
            <v>240464.17119999998</v>
          </cell>
        </row>
        <row r="297">
          <cell r="A297" t="str">
            <v>MATREV</v>
          </cell>
          <cell r="H297">
            <v>200666.23543999999</v>
          </cell>
        </row>
        <row r="298">
          <cell r="A298" t="str">
            <v>MATREV</v>
          </cell>
          <cell r="H298">
            <v>1438761.8969899998</v>
          </cell>
        </row>
        <row r="299">
          <cell r="A299" t="str">
            <v>MATREV</v>
          </cell>
          <cell r="H299">
            <v>261629.05922999998</v>
          </cell>
        </row>
        <row r="300">
          <cell r="A300" t="str">
            <v>MATREV</v>
          </cell>
          <cell r="H300">
            <v>21608.239289999998</v>
          </cell>
        </row>
        <row r="301">
          <cell r="A301" t="str">
            <v>MATREV</v>
          </cell>
          <cell r="H301">
            <v>13556.000259999999</v>
          </cell>
        </row>
        <row r="302">
          <cell r="A302" t="str">
            <v>MATREV</v>
          </cell>
          <cell r="H302">
            <v>84030.891780000005</v>
          </cell>
        </row>
        <row r="303">
          <cell r="A303" t="str">
            <v>MATREV</v>
          </cell>
          <cell r="H303">
            <v>239.99744999999999</v>
          </cell>
        </row>
        <row r="304">
          <cell r="A304" t="str">
            <v>MATREV</v>
          </cell>
          <cell r="H304">
            <v>153.99912</v>
          </cell>
        </row>
        <row r="305">
          <cell r="A305" t="str">
            <v>MATREV1</v>
          </cell>
          <cell r="H305">
            <v>11375.629870000001</v>
          </cell>
        </row>
        <row r="306">
          <cell r="A306" t="str">
            <v>MATREV</v>
          </cell>
          <cell r="H306">
            <v>848599.68533999997</v>
          </cell>
        </row>
        <row r="307">
          <cell r="A307" t="str">
            <v>MATREV</v>
          </cell>
          <cell r="H307">
            <v>35.509869999999999</v>
          </cell>
        </row>
        <row r="308">
          <cell r="A308" t="str">
            <v>MATREV</v>
          </cell>
          <cell r="H308">
            <v>12373.180490000001</v>
          </cell>
        </row>
        <row r="309">
          <cell r="A309" t="str">
            <v>MATREV</v>
          </cell>
          <cell r="H309">
            <v>4250.0003699999997</v>
          </cell>
        </row>
        <row r="310">
          <cell r="A310" t="str">
            <v>MATREV1</v>
          </cell>
          <cell r="H310">
            <v>4096.3908700000002</v>
          </cell>
        </row>
        <row r="311">
          <cell r="A311" t="str">
            <v>OTHEXP</v>
          </cell>
          <cell r="H311">
            <v>-699.99951999999996</v>
          </cell>
        </row>
        <row r="312">
          <cell r="A312" t="str">
            <v>OTHEXP</v>
          </cell>
          <cell r="H312">
            <v>38429.350740000002</v>
          </cell>
        </row>
        <row r="313">
          <cell r="A313" t="str">
            <v>OTHEXP</v>
          </cell>
          <cell r="H313">
            <v>1283.2013699999998</v>
          </cell>
        </row>
        <row r="314">
          <cell r="A314" t="str">
            <v>DMCOST</v>
          </cell>
          <cell r="H314">
            <v>-739420.99934999994</v>
          </cell>
        </row>
        <row r="315">
          <cell r="A315" t="str">
            <v>DMCOST</v>
          </cell>
          <cell r="H315">
            <v>291299.43050999998</v>
          </cell>
        </row>
        <row r="316">
          <cell r="A316" t="str">
            <v>DMCOST</v>
          </cell>
          <cell r="H316">
            <v>229919.18939000001</v>
          </cell>
        </row>
        <row r="317">
          <cell r="A317" t="str">
            <v>DMCOST1</v>
          </cell>
          <cell r="H317">
            <v>1340120.76462</v>
          </cell>
        </row>
        <row r="318">
          <cell r="A318" t="str">
            <v>DMCOST</v>
          </cell>
          <cell r="H318">
            <v>1291676.7847499999</v>
          </cell>
        </row>
        <row r="319">
          <cell r="A319" t="str">
            <v>DMCOST1</v>
          </cell>
          <cell r="H319">
            <v>8872960.3867299985</v>
          </cell>
        </row>
        <row r="320">
          <cell r="A320" t="str">
            <v>DMCOST1</v>
          </cell>
          <cell r="H320">
            <v>41523.14892</v>
          </cell>
        </row>
        <row r="321">
          <cell r="A321" t="str">
            <v>DMCOST1</v>
          </cell>
          <cell r="H321">
            <v>123555.00090999999</v>
          </cell>
        </row>
        <row r="322">
          <cell r="A322" t="str">
            <v>DMCOST</v>
          </cell>
          <cell r="H322">
            <v>56094.835279999999</v>
          </cell>
        </row>
        <row r="323">
          <cell r="A323" t="str">
            <v>DMCOST1</v>
          </cell>
          <cell r="H323">
            <v>194888.04136999999</v>
          </cell>
        </row>
        <row r="324">
          <cell r="A324" t="str">
            <v>DMCOST</v>
          </cell>
          <cell r="H324">
            <v>40680537.957840003</v>
          </cell>
        </row>
        <row r="325">
          <cell r="A325" t="str">
            <v>DMCOST1</v>
          </cell>
          <cell r="H325">
            <v>12035680.19698</v>
          </cell>
        </row>
        <row r="326">
          <cell r="A326" t="str">
            <v>DMCOST</v>
          </cell>
          <cell r="H326">
            <v>1697234.82247</v>
          </cell>
        </row>
        <row r="327">
          <cell r="A327" t="str">
            <v>DMCOST</v>
          </cell>
          <cell r="H327">
            <v>16717857.883540001</v>
          </cell>
        </row>
        <row r="328">
          <cell r="A328" t="str">
            <v>DMCOST</v>
          </cell>
          <cell r="H328">
            <v>4784474.2192500001</v>
          </cell>
        </row>
        <row r="329">
          <cell r="A329" t="str">
            <v>DMCOST</v>
          </cell>
          <cell r="H329">
            <v>174530.91303999998</v>
          </cell>
        </row>
        <row r="330">
          <cell r="A330" t="str">
            <v>DMCOST</v>
          </cell>
          <cell r="H330">
            <v>14274.70638</v>
          </cell>
        </row>
        <row r="331">
          <cell r="A331" t="str">
            <v>DMCOST</v>
          </cell>
          <cell r="H331">
            <v>30410.468989999998</v>
          </cell>
        </row>
        <row r="332">
          <cell r="A332" t="str">
            <v>DMCOST</v>
          </cell>
          <cell r="H332">
            <v>3376540.5364899999</v>
          </cell>
        </row>
        <row r="333">
          <cell r="A333" t="str">
            <v>DMCOST</v>
          </cell>
          <cell r="H333">
            <v>127060.40115999999</v>
          </cell>
        </row>
        <row r="334">
          <cell r="A334" t="str">
            <v>DMCOST</v>
          </cell>
          <cell r="H334">
            <v>1457401.3867599999</v>
          </cell>
        </row>
        <row r="335">
          <cell r="A335" t="str">
            <v>DMCOST1</v>
          </cell>
          <cell r="H335">
            <v>10974110.64288</v>
          </cell>
        </row>
        <row r="336">
          <cell r="A336" t="str">
            <v>DMCOST</v>
          </cell>
          <cell r="H336">
            <v>-130000.00056999999</v>
          </cell>
        </row>
        <row r="337">
          <cell r="A337" t="str">
            <v>DMCOST</v>
          </cell>
          <cell r="H337">
            <v>82275.752900000007</v>
          </cell>
        </row>
        <row r="338">
          <cell r="A338" t="str">
            <v>DMCOST</v>
          </cell>
          <cell r="H338">
            <v>-527.22482999999988</v>
          </cell>
        </row>
        <row r="339">
          <cell r="A339" t="str">
            <v>SCRAP</v>
          </cell>
          <cell r="H339">
            <v>6010.4644600000001</v>
          </cell>
        </row>
        <row r="340">
          <cell r="A340" t="str">
            <v>SCRAP</v>
          </cell>
          <cell r="H340">
            <v>-195254.70767</v>
          </cell>
        </row>
        <row r="341">
          <cell r="A341" t="str">
            <v>OTHEXP</v>
          </cell>
          <cell r="H341">
            <v>6874.2519999999995</v>
          </cell>
        </row>
        <row r="342">
          <cell r="A342" t="str">
            <v>SCRAP</v>
          </cell>
          <cell r="H342">
            <v>-3.6299999999999995E-3</v>
          </cell>
        </row>
        <row r="343">
          <cell r="A343" t="str">
            <v>SCRAP</v>
          </cell>
          <cell r="H343">
            <v>-18693.106080000001</v>
          </cell>
        </row>
        <row r="344">
          <cell r="A344" t="str">
            <v>SCRAP</v>
          </cell>
          <cell r="H344">
            <v>1.3309999999999999E-2</v>
          </cell>
        </row>
        <row r="345">
          <cell r="A345" t="str">
            <v>SCRAP</v>
          </cell>
          <cell r="H345">
            <v>0.65339999999999998</v>
          </cell>
        </row>
        <row r="346">
          <cell r="A346" t="str">
            <v>SCRAP</v>
          </cell>
          <cell r="H346">
            <v>4.4552199999999997</v>
          </cell>
        </row>
        <row r="347">
          <cell r="A347" t="str">
            <v>OTHEXP</v>
          </cell>
          <cell r="H347">
            <v>34.981100000000005</v>
          </cell>
        </row>
        <row r="348">
          <cell r="A348" t="str">
            <v>OTHEXP</v>
          </cell>
          <cell r="H348">
            <v>3366.0009899999995</v>
          </cell>
        </row>
        <row r="349">
          <cell r="A349" t="str">
            <v>SCRAP</v>
          </cell>
          <cell r="H349">
            <v>-536812.81070999999</v>
          </cell>
        </row>
        <row r="350">
          <cell r="A350" t="str">
            <v>SCRAP</v>
          </cell>
          <cell r="H350">
            <v>465.88146</v>
          </cell>
        </row>
        <row r="351">
          <cell r="A351" t="str">
            <v>SCRAP</v>
          </cell>
          <cell r="H351">
            <v>2.76485</v>
          </cell>
        </row>
        <row r="352">
          <cell r="A352" t="str">
            <v>OTHEXP</v>
          </cell>
          <cell r="H352">
            <v>136.73846999999998</v>
          </cell>
        </row>
        <row r="353">
          <cell r="A353" t="str">
            <v>OTHEXP</v>
          </cell>
          <cell r="H353">
            <v>10192.817360000001</v>
          </cell>
        </row>
        <row r="354">
          <cell r="A354" t="str">
            <v>SCRAP</v>
          </cell>
          <cell r="H354">
            <v>190.09825999999998</v>
          </cell>
        </row>
        <row r="355">
          <cell r="A355" t="str">
            <v>OTHEXP</v>
          </cell>
          <cell r="H355">
            <v>5479.28172</v>
          </cell>
        </row>
        <row r="356">
          <cell r="A356" t="str">
            <v>SCRAP</v>
          </cell>
          <cell r="H356">
            <v>841.65785000000005</v>
          </cell>
        </row>
        <row r="357">
          <cell r="A357" t="str">
            <v>OTHEXP</v>
          </cell>
          <cell r="H357">
            <v>280.16098</v>
          </cell>
        </row>
        <row r="358">
          <cell r="A358" t="str">
            <v>SCRAP</v>
          </cell>
          <cell r="H358">
            <v>43701.566369999993</v>
          </cell>
        </row>
        <row r="359">
          <cell r="A359" t="str">
            <v>SCRAP</v>
          </cell>
          <cell r="H359">
            <v>7574.5975800000006</v>
          </cell>
        </row>
        <row r="360">
          <cell r="A360" t="str">
            <v>SCRAP</v>
          </cell>
          <cell r="H360">
            <v>8548.6669399999992</v>
          </cell>
        </row>
        <row r="361">
          <cell r="A361" t="str">
            <v>SCRAP</v>
          </cell>
          <cell r="H361">
            <v>95.246359999999996</v>
          </cell>
        </row>
        <row r="362">
          <cell r="A362" t="str">
            <v>SCRAP</v>
          </cell>
          <cell r="H362">
            <v>2418.4282099999996</v>
          </cell>
        </row>
        <row r="363">
          <cell r="A363" t="str">
            <v>SCRAP</v>
          </cell>
          <cell r="H363">
            <v>3.89378</v>
          </cell>
        </row>
        <row r="364">
          <cell r="A364" t="str">
            <v>SCRAP</v>
          </cell>
          <cell r="H364">
            <v>1938.7382299999999</v>
          </cell>
        </row>
        <row r="365">
          <cell r="A365" t="str">
            <v>OTHEXP</v>
          </cell>
          <cell r="H365">
            <v>6.3803299999999998</v>
          </cell>
        </row>
        <row r="366">
          <cell r="A366" t="str">
            <v>OTHEXP</v>
          </cell>
          <cell r="H366">
            <v>65.566270000000003</v>
          </cell>
        </row>
        <row r="367">
          <cell r="A367" t="str">
            <v>OTHEXP</v>
          </cell>
          <cell r="H367">
            <v>970.2627</v>
          </cell>
        </row>
        <row r="368">
          <cell r="A368" t="str">
            <v>OTHEXP</v>
          </cell>
          <cell r="H368">
            <v>-1420.0051799999999</v>
          </cell>
        </row>
        <row r="369">
          <cell r="A369" t="str">
            <v>OTHEXP</v>
          </cell>
          <cell r="H369">
            <v>15115.91411</v>
          </cell>
        </row>
        <row r="370">
          <cell r="A370" t="str">
            <v>CC</v>
          </cell>
          <cell r="H370">
            <v>38.099269999999997</v>
          </cell>
        </row>
        <row r="371">
          <cell r="A371" t="str">
            <v>OTHEXP</v>
          </cell>
          <cell r="H371">
            <v>-26.884989999999998</v>
          </cell>
        </row>
        <row r="372">
          <cell r="A372" t="str">
            <v>CC</v>
          </cell>
          <cell r="H372">
            <v>20175.418999999998</v>
          </cell>
        </row>
        <row r="373">
          <cell r="A373" t="str">
            <v>OTHEXP</v>
          </cell>
          <cell r="H373">
            <v>-15012.241309999999</v>
          </cell>
        </row>
        <row r="374">
          <cell r="A374" t="str">
            <v>CC</v>
          </cell>
          <cell r="H374">
            <v>1.3309999999999999E-2</v>
          </cell>
        </row>
        <row r="375">
          <cell r="A375" t="str">
            <v>OTHEXP</v>
          </cell>
          <cell r="H375">
            <v>-268.44938999999999</v>
          </cell>
        </row>
        <row r="376">
          <cell r="A376" t="str">
            <v>CC</v>
          </cell>
          <cell r="H376">
            <v>7.1389999999999995E-2</v>
          </cell>
        </row>
        <row r="377">
          <cell r="A377" t="str">
            <v>OTHEXP</v>
          </cell>
          <cell r="H377">
            <v>1186.72081</v>
          </cell>
        </row>
        <row r="378">
          <cell r="A378" t="str">
            <v>SCRAP</v>
          </cell>
          <cell r="H378">
            <v>7.1801400000000006</v>
          </cell>
        </row>
        <row r="379">
          <cell r="A379" t="str">
            <v>OTHEXP</v>
          </cell>
          <cell r="H379">
            <v>2.7225000000000001</v>
          </cell>
        </row>
        <row r="380">
          <cell r="A380" t="str">
            <v>OTHEXP</v>
          </cell>
          <cell r="H380">
            <v>25905.444179999999</v>
          </cell>
        </row>
        <row r="381">
          <cell r="A381" t="str">
            <v>OTHEXP</v>
          </cell>
          <cell r="H381">
            <v>182.82979</v>
          </cell>
        </row>
        <row r="382">
          <cell r="A382" t="str">
            <v>OTHEXP</v>
          </cell>
          <cell r="H382">
            <v>134.57015000000001</v>
          </cell>
        </row>
        <row r="383">
          <cell r="A383" t="str">
            <v>OTHEXP</v>
          </cell>
          <cell r="H383">
            <v>2305.9054699999997</v>
          </cell>
        </row>
        <row r="384">
          <cell r="A384" t="str">
            <v>OTHEXP</v>
          </cell>
          <cell r="H384">
            <v>1443.98738</v>
          </cell>
        </row>
        <row r="385">
          <cell r="A385" t="str">
            <v>OTHEXP</v>
          </cell>
          <cell r="H385">
            <v>1.7000500000000001</v>
          </cell>
        </row>
        <row r="386">
          <cell r="A386" t="str">
            <v>OTHEXP</v>
          </cell>
          <cell r="H386">
            <v>2174.9749999999999</v>
          </cell>
        </row>
        <row r="387">
          <cell r="A387" t="str">
            <v>OTHEXP</v>
          </cell>
          <cell r="H387">
            <v>989.24396999999999</v>
          </cell>
        </row>
        <row r="388">
          <cell r="A388" t="str">
            <v>OTHEXP</v>
          </cell>
          <cell r="H388">
            <v>-2624.6170499999998</v>
          </cell>
        </row>
        <row r="389">
          <cell r="A389" t="str">
            <v>OTHEXP</v>
          </cell>
          <cell r="H389">
            <v>3711.7197699999997</v>
          </cell>
        </row>
        <row r="390">
          <cell r="A390" t="str">
            <v>OTHEXP</v>
          </cell>
          <cell r="H390">
            <v>30.25</v>
          </cell>
        </row>
        <row r="391">
          <cell r="A391" t="str">
            <v>OTHEXP</v>
          </cell>
          <cell r="H391">
            <v>46.200219999999995</v>
          </cell>
        </row>
        <row r="392">
          <cell r="A392" t="str">
            <v>OTHEXP</v>
          </cell>
          <cell r="H392">
            <v>65.943789999999993</v>
          </cell>
        </row>
        <row r="393">
          <cell r="A393" t="str">
            <v>OTHEXP</v>
          </cell>
          <cell r="H393">
            <v>56.80829</v>
          </cell>
        </row>
        <row r="394">
          <cell r="A394" t="str">
            <v>OTHEXP</v>
          </cell>
          <cell r="H394">
            <v>1109.9317899999999</v>
          </cell>
        </row>
        <row r="395">
          <cell r="A395" t="str">
            <v>OTHEXP</v>
          </cell>
          <cell r="H395">
            <v>3201.6926699999999</v>
          </cell>
        </row>
        <row r="396">
          <cell r="A396" t="str">
            <v>OTHEXP</v>
          </cell>
          <cell r="H396">
            <v>-10.11318</v>
          </cell>
        </row>
        <row r="397">
          <cell r="A397" t="str">
            <v>OTHEXP</v>
          </cell>
          <cell r="H397">
            <v>2082.70766</v>
          </cell>
        </row>
        <row r="398">
          <cell r="A398" t="str">
            <v>OTHEXP</v>
          </cell>
          <cell r="H398">
            <v>48.776310000000002</v>
          </cell>
        </row>
        <row r="399">
          <cell r="A399" t="str">
            <v>OTHEXP</v>
          </cell>
          <cell r="H399">
            <v>750.22298999999998</v>
          </cell>
        </row>
        <row r="400">
          <cell r="A400" t="str">
            <v>OTHEXP</v>
          </cell>
          <cell r="H400">
            <v>2495.0925999999999</v>
          </cell>
        </row>
        <row r="401">
          <cell r="A401" t="str">
            <v>OTHEXP</v>
          </cell>
          <cell r="H401">
            <v>11210.69356</v>
          </cell>
        </row>
        <row r="402">
          <cell r="A402" t="str">
            <v>OTHEXP</v>
          </cell>
          <cell r="H402">
            <v>1624.94893</v>
          </cell>
        </row>
        <row r="403">
          <cell r="A403" t="str">
            <v>OTHEXP</v>
          </cell>
          <cell r="H403">
            <v>4.21685</v>
          </cell>
        </row>
        <row r="404">
          <cell r="A404" t="str">
            <v>OTHEXP</v>
          </cell>
          <cell r="H404">
            <v>275.79408999999998</v>
          </cell>
        </row>
        <row r="405">
          <cell r="A405" t="str">
            <v>OTHEXP</v>
          </cell>
          <cell r="H405">
            <v>1154.6570200000001</v>
          </cell>
        </row>
        <row r="406">
          <cell r="A406" t="str">
            <v>OTHEXP</v>
          </cell>
          <cell r="H406">
            <v>10.291049999999998</v>
          </cell>
        </row>
        <row r="407">
          <cell r="A407" t="str">
            <v>OTHEXP</v>
          </cell>
          <cell r="H407">
            <v>1.4096500000000001</v>
          </cell>
        </row>
        <row r="408">
          <cell r="A408" t="str">
            <v>DMCOST</v>
          </cell>
          <cell r="H408">
            <v>11.000109999999999</v>
          </cell>
        </row>
        <row r="409">
          <cell r="A409" t="str">
            <v>DMCOST</v>
          </cell>
          <cell r="H409">
            <v>-1.2099999999999999E-3</v>
          </cell>
        </row>
        <row r="410">
          <cell r="A410" t="str">
            <v>DIRLAB</v>
          </cell>
          <cell r="H410">
            <v>26.135999999999999</v>
          </cell>
        </row>
        <row r="411">
          <cell r="A411" t="str">
            <v>DIRLAB</v>
          </cell>
          <cell r="H411">
            <v>14077.132739999999</v>
          </cell>
        </row>
        <row r="412">
          <cell r="A412" t="str">
            <v>DIRLAB</v>
          </cell>
          <cell r="H412">
            <v>41064.98242</v>
          </cell>
        </row>
        <row r="413">
          <cell r="A413" t="str">
            <v>DIRLAB</v>
          </cell>
          <cell r="H413">
            <v>129673.77005000001</v>
          </cell>
        </row>
        <row r="414">
          <cell r="A414" t="str">
            <v>DIRLAB</v>
          </cell>
          <cell r="H414">
            <v>17577.582879999998</v>
          </cell>
        </row>
        <row r="415">
          <cell r="A415" t="str">
            <v>DIRLAB</v>
          </cell>
          <cell r="H415">
            <v>1372.0262599999999</v>
          </cell>
        </row>
        <row r="416">
          <cell r="A416" t="str">
            <v>DIRLAB</v>
          </cell>
          <cell r="H416">
            <v>1605.1811599999999</v>
          </cell>
        </row>
        <row r="417">
          <cell r="A417" t="str">
            <v>DIRLAB</v>
          </cell>
          <cell r="H417">
            <v>20690.359909999999</v>
          </cell>
        </row>
        <row r="418">
          <cell r="A418" t="str">
            <v>DIRLAB</v>
          </cell>
          <cell r="H418">
            <v>-9476.3557899999996</v>
          </cell>
        </row>
        <row r="419">
          <cell r="A419" t="str">
            <v>G&amp;A</v>
          </cell>
          <cell r="H419">
            <v>1461.075</v>
          </cell>
        </row>
        <row r="420">
          <cell r="A420" t="str">
            <v>G&amp;A</v>
          </cell>
          <cell r="H420">
            <v>15177.44987</v>
          </cell>
        </row>
        <row r="421">
          <cell r="A421" t="str">
            <v>G&amp;A</v>
          </cell>
          <cell r="H421">
            <v>48164.116549999999</v>
          </cell>
        </row>
        <row r="422">
          <cell r="A422" t="str">
            <v>G&amp;A</v>
          </cell>
          <cell r="H422">
            <v>69009.225780000008</v>
          </cell>
        </row>
        <row r="423">
          <cell r="A423" t="str">
            <v>G&amp;A</v>
          </cell>
          <cell r="H423">
            <v>44417.908150000003</v>
          </cell>
        </row>
        <row r="424">
          <cell r="A424" t="str">
            <v>MMGT</v>
          </cell>
          <cell r="H424">
            <v>164764.97641999999</v>
          </cell>
        </row>
        <row r="425">
          <cell r="A425" t="str">
            <v>DUTY</v>
          </cell>
          <cell r="H425">
            <v>1464.31296</v>
          </cell>
        </row>
        <row r="426">
          <cell r="A426" t="str">
            <v>CSCM</v>
          </cell>
          <cell r="H426">
            <v>254.46299999999999</v>
          </cell>
        </row>
        <row r="427">
          <cell r="A427" t="str">
            <v>MSCCWHS</v>
          </cell>
          <cell r="H427">
            <v>24036.613700000002</v>
          </cell>
        </row>
        <row r="428">
          <cell r="A428" t="str">
            <v>INDLAB</v>
          </cell>
          <cell r="H428">
            <v>110496.45947999999</v>
          </cell>
        </row>
        <row r="429">
          <cell r="A429" t="str">
            <v>INDLAB</v>
          </cell>
          <cell r="H429">
            <v>71096.032919999998</v>
          </cell>
        </row>
        <row r="430">
          <cell r="A430" t="str">
            <v>INDLAB</v>
          </cell>
          <cell r="H430">
            <v>31634.005259999998</v>
          </cell>
        </row>
        <row r="431">
          <cell r="A431" t="str">
            <v>INDLAB</v>
          </cell>
          <cell r="H431">
            <v>52233.129959999998</v>
          </cell>
        </row>
        <row r="432">
          <cell r="A432" t="str">
            <v>sales exp</v>
          </cell>
          <cell r="H432">
            <v>70931.637480000005</v>
          </cell>
        </row>
        <row r="433">
          <cell r="A433" t="str">
            <v>G&amp;A</v>
          </cell>
          <cell r="H433">
            <v>37646.129839999994</v>
          </cell>
        </row>
        <row r="434">
          <cell r="A434" t="str">
            <v>INDLAB</v>
          </cell>
          <cell r="H434">
            <v>55.176000000000002</v>
          </cell>
        </row>
        <row r="435">
          <cell r="A435" t="str">
            <v>DIRLAB</v>
          </cell>
          <cell r="H435">
            <v>5405.5661</v>
          </cell>
        </row>
        <row r="436">
          <cell r="A436" t="str">
            <v>DIRLAB</v>
          </cell>
          <cell r="H436">
            <v>21266.315070000001</v>
          </cell>
        </row>
        <row r="437">
          <cell r="A437" t="str">
            <v>DIRLAB</v>
          </cell>
          <cell r="H437">
            <v>82537.139519999997</v>
          </cell>
        </row>
        <row r="438">
          <cell r="A438" t="str">
            <v>DIRLAB</v>
          </cell>
          <cell r="H438">
            <v>14158.631079999999</v>
          </cell>
        </row>
        <row r="439">
          <cell r="A439" t="str">
            <v>DIRLAB</v>
          </cell>
          <cell r="H439">
            <v>-3589.1419300000002</v>
          </cell>
        </row>
        <row r="440">
          <cell r="A440" t="str">
            <v>DIRLAB</v>
          </cell>
          <cell r="H440">
            <v>1270.04988</v>
          </cell>
        </row>
        <row r="441">
          <cell r="A441" t="str">
            <v>DIRLAB</v>
          </cell>
          <cell r="H441">
            <v>14658.858389999999</v>
          </cell>
        </row>
        <row r="442">
          <cell r="A442" t="str">
            <v>G&amp;A</v>
          </cell>
          <cell r="H442">
            <v>685.66344000000004</v>
          </cell>
        </row>
        <row r="443">
          <cell r="A443" t="str">
            <v>G&amp;A</v>
          </cell>
          <cell r="H443">
            <v>5933.5738000000001</v>
          </cell>
        </row>
        <row r="444">
          <cell r="A444" t="str">
            <v>G&amp;A</v>
          </cell>
          <cell r="H444">
            <v>18303.748649999998</v>
          </cell>
        </row>
        <row r="445">
          <cell r="A445" t="str">
            <v>G&amp;A</v>
          </cell>
          <cell r="H445">
            <v>94.911189999999991</v>
          </cell>
        </row>
        <row r="446">
          <cell r="A446" t="str">
            <v>MMGT</v>
          </cell>
          <cell r="H446">
            <v>5606.1562700000004</v>
          </cell>
        </row>
        <row r="447">
          <cell r="A447" t="str">
            <v>MSCCWHS</v>
          </cell>
          <cell r="H447">
            <v>86.153210000000001</v>
          </cell>
        </row>
        <row r="448">
          <cell r="A448" t="str">
            <v>MSCCWHS</v>
          </cell>
          <cell r="H448">
            <v>11243.267970000001</v>
          </cell>
        </row>
        <row r="449">
          <cell r="A449" t="str">
            <v>INDLAB</v>
          </cell>
          <cell r="H449">
            <v>8169.0959899999998</v>
          </cell>
        </row>
        <row r="450">
          <cell r="A450" t="str">
            <v>INDLAB</v>
          </cell>
          <cell r="H450">
            <v>2295.6531399999999</v>
          </cell>
        </row>
        <row r="451">
          <cell r="A451" t="str">
            <v>INDLAB</v>
          </cell>
          <cell r="H451">
            <v>11133.858560000001</v>
          </cell>
        </row>
        <row r="452">
          <cell r="A452" t="str">
            <v>INDLAB</v>
          </cell>
          <cell r="H452">
            <v>9217.7545899999986</v>
          </cell>
        </row>
        <row r="453">
          <cell r="A453" t="str">
            <v>INDLAB</v>
          </cell>
          <cell r="H453">
            <v>4745.92371</v>
          </cell>
        </row>
        <row r="454">
          <cell r="A454" t="str">
            <v>sales exp</v>
          </cell>
          <cell r="H454">
            <v>1288.8690099999999</v>
          </cell>
        </row>
        <row r="455">
          <cell r="A455" t="str">
            <v>G&amp;A</v>
          </cell>
          <cell r="H455">
            <v>13651.53823</v>
          </cell>
        </row>
        <row r="456">
          <cell r="A456" t="str">
            <v>G&amp;A</v>
          </cell>
          <cell r="H456">
            <v>16089.68823</v>
          </cell>
        </row>
        <row r="457">
          <cell r="A457" t="str">
            <v>G&amp;A</v>
          </cell>
          <cell r="H457">
            <v>10000.00023</v>
          </cell>
        </row>
        <row r="458">
          <cell r="A458" t="str">
            <v>BONUS</v>
          </cell>
          <cell r="H458">
            <v>387.61865999999998</v>
          </cell>
        </row>
        <row r="459">
          <cell r="A459" t="str">
            <v>BONUS</v>
          </cell>
          <cell r="H459">
            <v>784.80599999999993</v>
          </cell>
        </row>
        <row r="460">
          <cell r="A460" t="str">
            <v>BONUS</v>
          </cell>
          <cell r="H460">
            <v>4735.3676699999996</v>
          </cell>
        </row>
        <row r="461">
          <cell r="A461" t="str">
            <v>BONUS</v>
          </cell>
          <cell r="H461">
            <v>551.58091999999999</v>
          </cell>
        </row>
        <row r="462">
          <cell r="A462" t="str">
            <v>G&amp;A</v>
          </cell>
          <cell r="H462">
            <v>382.36</v>
          </cell>
        </row>
        <row r="463">
          <cell r="A463" t="str">
            <v>G&amp;A</v>
          </cell>
          <cell r="H463">
            <v>1727.2749999999999</v>
          </cell>
        </row>
        <row r="464">
          <cell r="A464" t="str">
            <v>G&amp;A</v>
          </cell>
          <cell r="H464">
            <v>2829.8899200000001</v>
          </cell>
        </row>
        <row r="465">
          <cell r="A465" t="str">
            <v>G&amp;A</v>
          </cell>
          <cell r="H465">
            <v>980.1</v>
          </cell>
        </row>
        <row r="466">
          <cell r="A466" t="str">
            <v>MMGT</v>
          </cell>
          <cell r="H466">
            <v>2753.9019199999998</v>
          </cell>
        </row>
        <row r="467">
          <cell r="A467" t="str">
            <v>DUTY</v>
          </cell>
          <cell r="H467">
            <v>1085.3699999999999</v>
          </cell>
        </row>
        <row r="468">
          <cell r="A468" t="str">
            <v>MSCCWHS</v>
          </cell>
          <cell r="H468">
            <v>669.15904</v>
          </cell>
        </row>
        <row r="469">
          <cell r="A469" t="str">
            <v>BONUS</v>
          </cell>
          <cell r="H469">
            <v>6964.5615600000001</v>
          </cell>
        </row>
        <row r="470">
          <cell r="A470" t="str">
            <v>BONUS</v>
          </cell>
          <cell r="H470">
            <v>2393.38</v>
          </cell>
        </row>
        <row r="471">
          <cell r="A471" t="str">
            <v>BONUS</v>
          </cell>
          <cell r="H471">
            <v>1354.4739999999999</v>
          </cell>
        </row>
        <row r="472">
          <cell r="A472" t="str">
            <v>BONUS</v>
          </cell>
          <cell r="H472">
            <v>3500.5783999999999</v>
          </cell>
        </row>
        <row r="473">
          <cell r="A473" t="str">
            <v>sales exp</v>
          </cell>
          <cell r="H473">
            <v>2117.5</v>
          </cell>
        </row>
        <row r="474">
          <cell r="A474" t="str">
            <v>G&amp;A</v>
          </cell>
          <cell r="H474">
            <v>110.23099999999999</v>
          </cell>
        </row>
        <row r="475">
          <cell r="A475" t="str">
            <v>DIRLAB</v>
          </cell>
          <cell r="H475">
            <v>4133.6649199999993</v>
          </cell>
        </row>
        <row r="476">
          <cell r="A476" t="str">
            <v>DIRLAB</v>
          </cell>
          <cell r="H476">
            <v>30962.042649999999</v>
          </cell>
        </row>
        <row r="477">
          <cell r="A477" t="str">
            <v>DIRLAB</v>
          </cell>
          <cell r="H477">
            <v>145182.02786999999</v>
          </cell>
        </row>
        <row r="478">
          <cell r="A478" t="str">
            <v>DIRLAB</v>
          </cell>
          <cell r="H478">
            <v>18598.456249999999</v>
          </cell>
        </row>
        <row r="479">
          <cell r="A479" t="str">
            <v>DIRLAB</v>
          </cell>
          <cell r="H479">
            <v>19452.641230000001</v>
          </cell>
        </row>
        <row r="480">
          <cell r="A480" t="str">
            <v>DIRLAB</v>
          </cell>
          <cell r="H480">
            <v>4711.5875399999995</v>
          </cell>
        </row>
        <row r="481">
          <cell r="A481" t="str">
            <v>DIRLAB</v>
          </cell>
          <cell r="H481">
            <v>19034.951649999999</v>
          </cell>
        </row>
        <row r="482">
          <cell r="A482" t="str">
            <v>G&amp;A</v>
          </cell>
          <cell r="H482">
            <v>-15.609</v>
          </cell>
        </row>
        <row r="483">
          <cell r="A483" t="str">
            <v>G&amp;A</v>
          </cell>
          <cell r="H483">
            <v>818.41737999999998</v>
          </cell>
        </row>
        <row r="484">
          <cell r="A484" t="str">
            <v>G&amp;A</v>
          </cell>
          <cell r="H484">
            <v>8060.8300299999992</v>
          </cell>
        </row>
        <row r="485">
          <cell r="A485" t="str">
            <v>G&amp;A</v>
          </cell>
          <cell r="H485">
            <v>18611.771090000002</v>
          </cell>
        </row>
        <row r="486">
          <cell r="A486" t="str">
            <v>G&amp;A</v>
          </cell>
          <cell r="H486">
            <v>2856.4748299999997</v>
          </cell>
        </row>
        <row r="487">
          <cell r="A487" t="str">
            <v>MMGT</v>
          </cell>
          <cell r="H487">
            <v>18939.56251</v>
          </cell>
        </row>
        <row r="488">
          <cell r="A488" t="str">
            <v>MSCCWHS</v>
          </cell>
          <cell r="H488">
            <v>-194.09851999999998</v>
          </cell>
        </row>
        <row r="489">
          <cell r="A489" t="str">
            <v>MSCCWHS</v>
          </cell>
          <cell r="H489">
            <v>8975.3613399999995</v>
          </cell>
        </row>
        <row r="490">
          <cell r="A490" t="str">
            <v>INDLAB</v>
          </cell>
          <cell r="H490">
            <v>13495.705959999999</v>
          </cell>
        </row>
        <row r="491">
          <cell r="A491" t="str">
            <v>INDLAB</v>
          </cell>
          <cell r="H491">
            <v>6768.1350000000002</v>
          </cell>
        </row>
        <row r="492">
          <cell r="A492" t="str">
            <v>INDLAB</v>
          </cell>
          <cell r="H492">
            <v>16663.700130000001</v>
          </cell>
        </row>
        <row r="493">
          <cell r="A493" t="str">
            <v>INDLAB</v>
          </cell>
          <cell r="H493">
            <v>8420.4868000000006</v>
          </cell>
        </row>
        <row r="494">
          <cell r="A494" t="str">
            <v>INDLAB</v>
          </cell>
          <cell r="H494">
            <v>11509.659149999999</v>
          </cell>
        </row>
        <row r="495">
          <cell r="A495" t="str">
            <v>sales exp</v>
          </cell>
          <cell r="H495">
            <v>3787.1995699999998</v>
          </cell>
        </row>
        <row r="496">
          <cell r="A496" t="str">
            <v>sales exp</v>
          </cell>
          <cell r="H496">
            <v>422.65299999999996</v>
          </cell>
        </row>
        <row r="497">
          <cell r="A497" t="str">
            <v>ADMIN</v>
          </cell>
          <cell r="H497">
            <v>-9847.1687599999987</v>
          </cell>
        </row>
        <row r="498">
          <cell r="A498" t="str">
            <v>ADMIN</v>
          </cell>
          <cell r="H498">
            <v>4908.2403700000004</v>
          </cell>
        </row>
        <row r="499">
          <cell r="A499" t="str">
            <v>G&amp;A</v>
          </cell>
          <cell r="H499">
            <v>1635.3016899999998</v>
          </cell>
        </row>
        <row r="500">
          <cell r="A500" t="str">
            <v>G&amp;A</v>
          </cell>
          <cell r="H500">
            <v>45420.838430000003</v>
          </cell>
        </row>
        <row r="501">
          <cell r="A501" t="str">
            <v>G&amp;A</v>
          </cell>
          <cell r="H501">
            <v>8131.8425099999995</v>
          </cell>
        </row>
        <row r="502">
          <cell r="A502" t="str">
            <v>G&amp;A</v>
          </cell>
          <cell r="H502">
            <v>6964.1356399999995</v>
          </cell>
        </row>
        <row r="503">
          <cell r="A503" t="str">
            <v>G&amp;A</v>
          </cell>
          <cell r="H503">
            <v>4633.0658000000003</v>
          </cell>
        </row>
        <row r="504">
          <cell r="A504" t="str">
            <v>MMGT</v>
          </cell>
          <cell r="H504">
            <v>42529.584569999999</v>
          </cell>
        </row>
        <row r="505">
          <cell r="A505" t="str">
            <v>DUTY</v>
          </cell>
          <cell r="H505">
            <v>2762.1516999999999</v>
          </cell>
        </row>
        <row r="506">
          <cell r="A506" t="str">
            <v>MSCCWHS</v>
          </cell>
          <cell r="H506">
            <v>718.53792999999996</v>
          </cell>
        </row>
        <row r="507">
          <cell r="A507" t="str">
            <v>OTHEXP</v>
          </cell>
          <cell r="H507">
            <v>15461.545769999999</v>
          </cell>
        </row>
        <row r="508">
          <cell r="A508" t="str">
            <v>OTHEXP</v>
          </cell>
          <cell r="H508">
            <v>23179.0262</v>
          </cell>
        </row>
        <row r="509">
          <cell r="A509" t="str">
            <v>OTHEXP</v>
          </cell>
          <cell r="H509">
            <v>7687.6599799999995</v>
          </cell>
        </row>
        <row r="510">
          <cell r="A510" t="str">
            <v>OTHEXP</v>
          </cell>
          <cell r="H510">
            <v>1662.903</v>
          </cell>
        </row>
        <row r="511">
          <cell r="A511" t="str">
            <v>OTHEXP</v>
          </cell>
          <cell r="H511">
            <v>8171.1021700000001</v>
          </cell>
        </row>
        <row r="512">
          <cell r="A512" t="str">
            <v>sales exp</v>
          </cell>
          <cell r="H512">
            <v>23201.550350000001</v>
          </cell>
        </row>
        <row r="513">
          <cell r="A513" t="str">
            <v>G&amp;A</v>
          </cell>
          <cell r="H513">
            <v>639013.90948999999</v>
          </cell>
        </row>
        <row r="514">
          <cell r="A514" t="str">
            <v>G&amp;A</v>
          </cell>
          <cell r="H514">
            <v>188398.46652000002</v>
          </cell>
        </row>
        <row r="515">
          <cell r="A515" t="str">
            <v>G&amp;A</v>
          </cell>
          <cell r="H515">
            <v>26184.929980000001</v>
          </cell>
        </row>
        <row r="516">
          <cell r="A516" t="str">
            <v>G&amp;A</v>
          </cell>
          <cell r="H516">
            <v>2909.9290000000001</v>
          </cell>
        </row>
        <row r="517">
          <cell r="A517" t="str">
            <v>G&amp;A</v>
          </cell>
          <cell r="H517">
            <v>734.13724999999999</v>
          </cell>
        </row>
        <row r="518">
          <cell r="A518" t="str">
            <v>G&amp;A</v>
          </cell>
          <cell r="H518">
            <v>2266.2089999999998</v>
          </cell>
        </row>
        <row r="519">
          <cell r="A519" t="str">
            <v>G&amp;A</v>
          </cell>
          <cell r="H519">
            <v>1424.2909999999999</v>
          </cell>
        </row>
        <row r="520">
          <cell r="A520" t="str">
            <v>G&amp;A</v>
          </cell>
          <cell r="H520">
            <v>187.30799999999999</v>
          </cell>
        </row>
        <row r="521">
          <cell r="A521" t="str">
            <v>MMGT</v>
          </cell>
          <cell r="H521">
            <v>2148.4760000000001</v>
          </cell>
        </row>
        <row r="522">
          <cell r="A522" t="str">
            <v>DUTY</v>
          </cell>
          <cell r="H522">
            <v>3038.0679999999998</v>
          </cell>
        </row>
        <row r="523">
          <cell r="A523" t="str">
            <v>EMPEXP</v>
          </cell>
          <cell r="H523">
            <v>1121.67</v>
          </cell>
        </row>
        <row r="524">
          <cell r="A524" t="str">
            <v>EMPEXP</v>
          </cell>
          <cell r="H524">
            <v>1311.49722</v>
          </cell>
        </row>
        <row r="525">
          <cell r="A525" t="str">
            <v>EMPEXP</v>
          </cell>
          <cell r="H525">
            <v>578.98500000000001</v>
          </cell>
        </row>
        <row r="526">
          <cell r="A526" t="str">
            <v>EMPEXP</v>
          </cell>
          <cell r="H526">
            <v>381.51299999999998</v>
          </cell>
        </row>
        <row r="527">
          <cell r="A527" t="str">
            <v>EMPEXP</v>
          </cell>
          <cell r="H527">
            <v>1881.671</v>
          </cell>
        </row>
        <row r="528">
          <cell r="A528" t="str">
            <v>sales exp</v>
          </cell>
          <cell r="H528">
            <v>1337.72397</v>
          </cell>
        </row>
        <row r="529">
          <cell r="A529" t="str">
            <v>G&amp;A</v>
          </cell>
          <cell r="H529">
            <v>38104.216480000003</v>
          </cell>
        </row>
        <row r="530">
          <cell r="A530" t="str">
            <v>G&amp;A</v>
          </cell>
          <cell r="H530">
            <v>20276.83394</v>
          </cell>
        </row>
        <row r="531">
          <cell r="A531" t="str">
            <v>G&amp;A</v>
          </cell>
          <cell r="H531">
            <v>1625.03</v>
          </cell>
        </row>
        <row r="532">
          <cell r="A532" t="str">
            <v>G&amp;A</v>
          </cell>
          <cell r="H532">
            <v>713.25628000000006</v>
          </cell>
        </row>
        <row r="533">
          <cell r="A533" t="str">
            <v>G&amp;A</v>
          </cell>
          <cell r="H533">
            <v>252.40600000000001</v>
          </cell>
        </row>
        <row r="534">
          <cell r="A534" t="str">
            <v>G&amp;A</v>
          </cell>
          <cell r="H534">
            <v>9411.6098999999995</v>
          </cell>
        </row>
        <row r="535">
          <cell r="A535" t="str">
            <v>G&amp;A</v>
          </cell>
          <cell r="H535">
            <v>75.503999999999991</v>
          </cell>
        </row>
        <row r="536">
          <cell r="A536" t="str">
            <v>MMGT</v>
          </cell>
          <cell r="H536">
            <v>741.73</v>
          </cell>
        </row>
        <row r="537">
          <cell r="A537" t="str">
            <v>DUTY</v>
          </cell>
          <cell r="H537">
            <v>187.54999999999998</v>
          </cell>
        </row>
        <row r="538">
          <cell r="A538" t="str">
            <v>MSCCWHS</v>
          </cell>
          <cell r="H538">
            <v>148.58799999999999</v>
          </cell>
        </row>
        <row r="539">
          <cell r="A539" t="str">
            <v>EMPEXP</v>
          </cell>
          <cell r="H539">
            <v>861.03599999999994</v>
          </cell>
        </row>
        <row r="540">
          <cell r="A540" t="str">
            <v>EMPEXP</v>
          </cell>
          <cell r="H540">
            <v>-1522.059</v>
          </cell>
        </row>
        <row r="541">
          <cell r="A541" t="str">
            <v>EMPEXP</v>
          </cell>
          <cell r="H541">
            <v>8767.4058999999997</v>
          </cell>
        </row>
        <row r="542">
          <cell r="A542" t="str">
            <v>EMPEXP</v>
          </cell>
          <cell r="H542">
            <v>331.78199999999998</v>
          </cell>
        </row>
        <row r="543">
          <cell r="A543" t="str">
            <v>EMPEXP</v>
          </cell>
          <cell r="H543">
            <v>984.51649999999995</v>
          </cell>
        </row>
        <row r="544">
          <cell r="A544" t="str">
            <v>EMPEXP</v>
          </cell>
          <cell r="H544">
            <v>1325.192</v>
          </cell>
        </row>
        <row r="545">
          <cell r="A545" t="str">
            <v>sales exp</v>
          </cell>
          <cell r="H545">
            <v>418.17599999999999</v>
          </cell>
        </row>
        <row r="546">
          <cell r="A546" t="str">
            <v>G&amp;A</v>
          </cell>
          <cell r="H546">
            <v>104.66499999999999</v>
          </cell>
        </row>
        <row r="547">
          <cell r="A547" t="str">
            <v>G&amp;A</v>
          </cell>
          <cell r="H547">
            <v>373.47859999999997</v>
          </cell>
        </row>
        <row r="548">
          <cell r="A548" t="str">
            <v>G&amp;A</v>
          </cell>
          <cell r="H548">
            <v>175.69200000000001</v>
          </cell>
        </row>
        <row r="549">
          <cell r="A549" t="str">
            <v>G&amp;A</v>
          </cell>
          <cell r="H549">
            <v>18.754999999999999</v>
          </cell>
        </row>
        <row r="550">
          <cell r="A550" t="str">
            <v>MATOTH</v>
          </cell>
          <cell r="H550">
            <v>139.029</v>
          </cell>
        </row>
        <row r="551">
          <cell r="A551" t="str">
            <v>duty</v>
          </cell>
          <cell r="H551">
            <v>422.16899999999998</v>
          </cell>
        </row>
        <row r="552">
          <cell r="A552" t="str">
            <v>EMPEXP</v>
          </cell>
          <cell r="H552">
            <v>72.841999999999999</v>
          </cell>
        </row>
        <row r="553">
          <cell r="A553" t="str">
            <v>EMPEXP</v>
          </cell>
          <cell r="H553">
            <v>246.35599999999999</v>
          </cell>
        </row>
        <row r="554">
          <cell r="A554" t="str">
            <v>EMPEXP</v>
          </cell>
          <cell r="H554">
            <v>41.744999999999997</v>
          </cell>
        </row>
        <row r="555">
          <cell r="A555" t="str">
            <v>EMPEXP</v>
          </cell>
          <cell r="H555">
            <v>0.60499999999999998</v>
          </cell>
        </row>
        <row r="556">
          <cell r="A556" t="str">
            <v>EMPEXP</v>
          </cell>
          <cell r="H556">
            <v>135.036</v>
          </cell>
        </row>
        <row r="557">
          <cell r="A557" t="str">
            <v>sales exp</v>
          </cell>
          <cell r="H557">
            <v>96.8</v>
          </cell>
        </row>
        <row r="558">
          <cell r="A558" t="str">
            <v>G&amp;A</v>
          </cell>
          <cell r="H558">
            <v>1810.9465</v>
          </cell>
        </row>
        <row r="559">
          <cell r="A559" t="str">
            <v>DUTY</v>
          </cell>
          <cell r="H559">
            <v>1570.8462</v>
          </cell>
        </row>
        <row r="560">
          <cell r="A560" t="str">
            <v>EMPEXP</v>
          </cell>
          <cell r="H560">
            <v>7999.9996999999994</v>
          </cell>
        </row>
        <row r="561">
          <cell r="A561" t="str">
            <v>EMPEXP</v>
          </cell>
          <cell r="H561">
            <v>1029.7874399999998</v>
          </cell>
        </row>
        <row r="562">
          <cell r="A562" t="str">
            <v>G&amp;A</v>
          </cell>
          <cell r="H562">
            <v>42118.485859999993</v>
          </cell>
        </row>
        <row r="563">
          <cell r="A563" t="str">
            <v>G&amp;A</v>
          </cell>
          <cell r="H563">
            <v>7369.8195999999998</v>
          </cell>
        </row>
        <row r="564">
          <cell r="A564" t="str">
            <v>G&amp;A</v>
          </cell>
          <cell r="H564">
            <v>4090.5259999999998</v>
          </cell>
        </row>
        <row r="565">
          <cell r="A565" t="str">
            <v>G&amp;A</v>
          </cell>
          <cell r="H565">
            <v>1518.066</v>
          </cell>
        </row>
        <row r="566">
          <cell r="A566" t="str">
            <v>G&amp;A</v>
          </cell>
          <cell r="H566">
            <v>14883</v>
          </cell>
        </row>
        <row r="567">
          <cell r="A567" t="str">
            <v>G&amp;A</v>
          </cell>
          <cell r="H567">
            <v>-646.14967999999999</v>
          </cell>
        </row>
        <row r="568">
          <cell r="A568" t="str">
            <v>G&amp;A</v>
          </cell>
          <cell r="H568">
            <v>942.10599999999999</v>
          </cell>
        </row>
        <row r="569">
          <cell r="A569" t="str">
            <v>G&amp;A</v>
          </cell>
          <cell r="H569">
            <v>3088.2829999999999</v>
          </cell>
        </row>
        <row r="570">
          <cell r="A570" t="str">
            <v>G&amp;A</v>
          </cell>
          <cell r="H570">
            <v>67.711600000000004</v>
          </cell>
        </row>
        <row r="571">
          <cell r="A571" t="str">
            <v>G&amp;A</v>
          </cell>
          <cell r="H571">
            <v>37590.510979999999</v>
          </cell>
        </row>
        <row r="572">
          <cell r="A572" t="str">
            <v>G&amp;A</v>
          </cell>
          <cell r="H572">
            <v>5327.7401100000006</v>
          </cell>
        </row>
        <row r="573">
          <cell r="A573" t="str">
            <v>G&amp;A</v>
          </cell>
          <cell r="H573">
            <v>1484.8393999999998</v>
          </cell>
        </row>
        <row r="574">
          <cell r="A574" t="str">
            <v>G&amp;A</v>
          </cell>
          <cell r="H574">
            <v>1671.6440399999999</v>
          </cell>
        </row>
        <row r="575">
          <cell r="A575" t="str">
            <v>MMGT</v>
          </cell>
          <cell r="H575">
            <v>8113.4674499999992</v>
          </cell>
        </row>
        <row r="576">
          <cell r="A576" t="str">
            <v>MSCCWHS</v>
          </cell>
          <cell r="H576">
            <v>476.37700000000001</v>
          </cell>
        </row>
        <row r="577">
          <cell r="A577" t="str">
            <v>G&amp;A</v>
          </cell>
          <cell r="H577">
            <v>1776.5498299999999</v>
          </cell>
        </row>
        <row r="578">
          <cell r="A578" t="str">
            <v>G&amp;A</v>
          </cell>
          <cell r="H578">
            <v>8935.6648700000005</v>
          </cell>
        </row>
        <row r="579">
          <cell r="A579" t="str">
            <v>G&amp;A</v>
          </cell>
          <cell r="H579">
            <v>552.25004999999999</v>
          </cell>
        </row>
        <row r="580">
          <cell r="A580" t="str">
            <v>G&amp;A</v>
          </cell>
          <cell r="H580">
            <v>843.97500000000002</v>
          </cell>
        </row>
        <row r="581">
          <cell r="A581" t="str">
            <v>G&amp;A</v>
          </cell>
          <cell r="H581">
            <v>4120.9211999999998</v>
          </cell>
        </row>
        <row r="582">
          <cell r="A582" t="str">
            <v>sales exp</v>
          </cell>
          <cell r="H582">
            <v>16816.707049999997</v>
          </cell>
        </row>
        <row r="583">
          <cell r="A583" t="str">
            <v>G&amp;A</v>
          </cell>
          <cell r="H583">
            <v>43.56</v>
          </cell>
        </row>
        <row r="584">
          <cell r="A584" t="str">
            <v>MMGT</v>
          </cell>
          <cell r="H584">
            <v>315.33326</v>
          </cell>
        </row>
        <row r="585">
          <cell r="A585" t="str">
            <v>G&amp;A</v>
          </cell>
          <cell r="H585">
            <v>24.2</v>
          </cell>
        </row>
        <row r="586">
          <cell r="A586" t="str">
            <v>G&amp;A</v>
          </cell>
          <cell r="H586">
            <v>2296.93453</v>
          </cell>
        </row>
        <row r="587">
          <cell r="A587" t="str">
            <v>G&amp;A</v>
          </cell>
          <cell r="H587">
            <v>1478.6926000000001</v>
          </cell>
        </row>
        <row r="588">
          <cell r="A588" t="str">
            <v>G&amp;A</v>
          </cell>
          <cell r="H588">
            <v>490.89699999999999</v>
          </cell>
        </row>
        <row r="589">
          <cell r="A589" t="str">
            <v>G&amp;A</v>
          </cell>
          <cell r="H589">
            <v>10110.433300000001</v>
          </cell>
        </row>
        <row r="590">
          <cell r="A590" t="str">
            <v>G&amp;A</v>
          </cell>
          <cell r="H590">
            <v>20.1828</v>
          </cell>
        </row>
        <row r="591">
          <cell r="A591" t="str">
            <v>MMGT</v>
          </cell>
          <cell r="H591">
            <v>431.90949999999998</v>
          </cell>
        </row>
        <row r="592">
          <cell r="A592" t="str">
            <v>ADMIN</v>
          </cell>
          <cell r="H592">
            <v>447.77259999999995</v>
          </cell>
        </row>
        <row r="593">
          <cell r="A593" t="str">
            <v>ADMIN</v>
          </cell>
          <cell r="H593">
            <v>103.21299999999999</v>
          </cell>
        </row>
        <row r="594">
          <cell r="A594" t="str">
            <v>ADMIN</v>
          </cell>
          <cell r="H594">
            <v>1715.4472499999999</v>
          </cell>
        </row>
        <row r="595">
          <cell r="A595" t="str">
            <v>ADMIN</v>
          </cell>
          <cell r="H595">
            <v>124.4485</v>
          </cell>
        </row>
        <row r="596">
          <cell r="A596" t="str">
            <v>ADMIN</v>
          </cell>
          <cell r="H596">
            <v>2364.8965999999996</v>
          </cell>
        </row>
        <row r="597">
          <cell r="A597" t="str">
            <v>sales exp</v>
          </cell>
          <cell r="H597">
            <v>233.59049999999999</v>
          </cell>
        </row>
        <row r="598">
          <cell r="A598" t="str">
            <v>ADMIN</v>
          </cell>
          <cell r="H598">
            <v>503.72057999999993</v>
          </cell>
        </row>
        <row r="599">
          <cell r="A599" t="str">
            <v>ADMIN</v>
          </cell>
          <cell r="H599">
            <v>177.23958999999999</v>
          </cell>
        </row>
        <row r="600">
          <cell r="A600" t="str">
            <v>G&amp;A</v>
          </cell>
          <cell r="H600">
            <v>181.5</v>
          </cell>
        </row>
        <row r="601">
          <cell r="A601" t="str">
            <v>G&amp;A</v>
          </cell>
          <cell r="H601">
            <v>222.27699999999999</v>
          </cell>
        </row>
        <row r="602">
          <cell r="A602" t="str">
            <v>G&amp;A</v>
          </cell>
          <cell r="H602">
            <v>3346.2550000000001</v>
          </cell>
        </row>
        <row r="603">
          <cell r="A603" t="str">
            <v>G&amp;A</v>
          </cell>
          <cell r="H603">
            <v>26484.294869999998</v>
          </cell>
        </row>
        <row r="604">
          <cell r="A604" t="str">
            <v>G&amp;A</v>
          </cell>
          <cell r="H604">
            <v>1010.35</v>
          </cell>
        </row>
        <row r="605">
          <cell r="A605" t="str">
            <v>MMGT</v>
          </cell>
          <cell r="H605">
            <v>12654.43773</v>
          </cell>
        </row>
        <row r="606">
          <cell r="A606" t="str">
            <v>MSCCWHS</v>
          </cell>
          <cell r="H606">
            <v>24.2</v>
          </cell>
        </row>
        <row r="607">
          <cell r="A607" t="str">
            <v>MSCCWHS</v>
          </cell>
          <cell r="H607">
            <v>21289.015879999999</v>
          </cell>
        </row>
        <row r="608">
          <cell r="A608" t="str">
            <v>ADMIN</v>
          </cell>
          <cell r="H608">
            <v>205.7</v>
          </cell>
        </row>
        <row r="609">
          <cell r="A609" t="str">
            <v>ADMIN</v>
          </cell>
          <cell r="H609">
            <v>1571.79</v>
          </cell>
        </row>
        <row r="610">
          <cell r="A610" t="str">
            <v>ADMIN</v>
          </cell>
          <cell r="H610">
            <v>18420.812519999999</v>
          </cell>
        </row>
        <row r="611">
          <cell r="A611" t="str">
            <v>ADMIN</v>
          </cell>
          <cell r="H611">
            <v>103.455</v>
          </cell>
        </row>
        <row r="612">
          <cell r="A612" t="str">
            <v>ADMIN</v>
          </cell>
          <cell r="H612">
            <v>7000.1319299999996</v>
          </cell>
        </row>
        <row r="613">
          <cell r="A613" t="str">
            <v>sales exp</v>
          </cell>
          <cell r="H613">
            <v>519.09</v>
          </cell>
        </row>
        <row r="614">
          <cell r="A614" t="str">
            <v>MMGT</v>
          </cell>
          <cell r="H614">
            <v>144.71600000000001</v>
          </cell>
        </row>
        <row r="615">
          <cell r="A615" t="str">
            <v>MMGT</v>
          </cell>
          <cell r="H615">
            <v>60.5</v>
          </cell>
        </row>
        <row r="616">
          <cell r="A616" t="str">
            <v>ADMIN</v>
          </cell>
          <cell r="H616">
            <v>190.70688999999999</v>
          </cell>
        </row>
        <row r="617">
          <cell r="A617" t="str">
            <v>MMGT</v>
          </cell>
          <cell r="H617">
            <v>666.62045999999998</v>
          </cell>
        </row>
        <row r="618">
          <cell r="A618" t="str">
            <v>G&amp;A</v>
          </cell>
          <cell r="H618">
            <v>10365.26535</v>
          </cell>
        </row>
        <row r="619">
          <cell r="A619" t="str">
            <v>G&amp;A</v>
          </cell>
          <cell r="H619">
            <v>290.39999999999998</v>
          </cell>
        </row>
        <row r="620">
          <cell r="A620" t="str">
            <v>G&amp;A</v>
          </cell>
          <cell r="H620">
            <v>917.28042999999991</v>
          </cell>
        </row>
        <row r="621">
          <cell r="A621" t="str">
            <v>G&amp;A</v>
          </cell>
          <cell r="H621">
            <v>284.28949999999998</v>
          </cell>
        </row>
        <row r="622">
          <cell r="A622" t="str">
            <v>ADMIN</v>
          </cell>
          <cell r="H622">
            <v>1344.3717099999999</v>
          </cell>
        </row>
        <row r="623">
          <cell r="A623" t="str">
            <v>G&amp;A</v>
          </cell>
          <cell r="H623">
            <v>224.57962999999998</v>
          </cell>
        </row>
        <row r="624">
          <cell r="A624" t="str">
            <v>G&amp;A</v>
          </cell>
          <cell r="H624">
            <v>-11353.024649999999</v>
          </cell>
        </row>
        <row r="625">
          <cell r="A625" t="str">
            <v>G&amp;A</v>
          </cell>
          <cell r="H625">
            <v>6505.5492700000004</v>
          </cell>
        </row>
        <row r="626">
          <cell r="A626" t="str">
            <v>G&amp;A</v>
          </cell>
          <cell r="H626">
            <v>3452.7495199999998</v>
          </cell>
        </row>
        <row r="627">
          <cell r="A627" t="str">
            <v>G&amp;A</v>
          </cell>
          <cell r="H627">
            <v>4114</v>
          </cell>
        </row>
        <row r="628">
          <cell r="A628" t="str">
            <v>G&amp;A</v>
          </cell>
          <cell r="H628">
            <v>50755.385999999999</v>
          </cell>
        </row>
        <row r="629">
          <cell r="A629" t="str">
            <v>ADMIN</v>
          </cell>
          <cell r="H629">
            <v>7984.068839999999</v>
          </cell>
        </row>
        <row r="630">
          <cell r="A630" t="str">
            <v>G&amp;A</v>
          </cell>
          <cell r="H630">
            <v>38.756300000000003</v>
          </cell>
        </row>
        <row r="631">
          <cell r="A631" t="str">
            <v>G&amp;A</v>
          </cell>
          <cell r="H631">
            <v>121</v>
          </cell>
        </row>
        <row r="632">
          <cell r="A632" t="str">
            <v>G&amp;A</v>
          </cell>
          <cell r="H632">
            <v>62.475930000000005</v>
          </cell>
        </row>
        <row r="633">
          <cell r="A633" t="str">
            <v>G&amp;A</v>
          </cell>
          <cell r="H633">
            <v>1796.0755999999999</v>
          </cell>
        </row>
        <row r="634">
          <cell r="A634" t="str">
            <v>G&amp;A</v>
          </cell>
          <cell r="H634">
            <v>12993.166339999998</v>
          </cell>
        </row>
        <row r="635">
          <cell r="A635" t="str">
            <v>G&amp;A</v>
          </cell>
          <cell r="H635">
            <v>49936.404759999998</v>
          </cell>
        </row>
        <row r="636">
          <cell r="A636" t="str">
            <v>G&amp;A</v>
          </cell>
          <cell r="H636">
            <v>1396.4682599999999</v>
          </cell>
        </row>
        <row r="637">
          <cell r="A637" t="str">
            <v>G&amp;A</v>
          </cell>
          <cell r="H637">
            <v>255.89080000000001</v>
          </cell>
        </row>
        <row r="638">
          <cell r="A638" t="str">
            <v>G&amp;A</v>
          </cell>
          <cell r="H638">
            <v>77.286330000000007</v>
          </cell>
        </row>
        <row r="639">
          <cell r="A639" t="str">
            <v>G&amp;A</v>
          </cell>
          <cell r="H639">
            <v>741.44322999999997</v>
          </cell>
        </row>
        <row r="640">
          <cell r="A640" t="str">
            <v>G&amp;A</v>
          </cell>
          <cell r="H640">
            <v>183.2182</v>
          </cell>
        </row>
        <row r="641">
          <cell r="A641" t="str">
            <v>MMGT</v>
          </cell>
          <cell r="H641">
            <v>1554.0671300000001</v>
          </cell>
        </row>
        <row r="642">
          <cell r="A642" t="str">
            <v>MSCCWHS</v>
          </cell>
          <cell r="H642">
            <v>860.53989999999988</v>
          </cell>
        </row>
        <row r="643">
          <cell r="A643" t="str">
            <v>MSCCWHS</v>
          </cell>
          <cell r="H643">
            <v>194.1687</v>
          </cell>
        </row>
        <row r="644">
          <cell r="A644" t="str">
            <v>ADMIN</v>
          </cell>
          <cell r="H644">
            <v>1995.2186099999999</v>
          </cell>
        </row>
        <row r="645">
          <cell r="A645" t="str">
            <v>ADMIN</v>
          </cell>
          <cell r="H645">
            <v>1205.11886</v>
          </cell>
        </row>
        <row r="646">
          <cell r="A646" t="str">
            <v>ADMIN</v>
          </cell>
          <cell r="H646">
            <v>2413.6402399999997</v>
          </cell>
        </row>
        <row r="647">
          <cell r="A647" t="str">
            <v>ADMIN</v>
          </cell>
          <cell r="H647">
            <v>542.25423999999998</v>
          </cell>
        </row>
        <row r="648">
          <cell r="A648" t="str">
            <v>ADMIN</v>
          </cell>
          <cell r="H648">
            <v>472.38400000000001</v>
          </cell>
        </row>
        <row r="649">
          <cell r="A649" t="str">
            <v>sales exp</v>
          </cell>
          <cell r="H649">
            <v>276.06149999999997</v>
          </cell>
        </row>
        <row r="650">
          <cell r="A650" t="str">
            <v>G&amp;A</v>
          </cell>
          <cell r="H650">
            <v>12614.340749999999</v>
          </cell>
        </row>
        <row r="651">
          <cell r="A651" t="str">
            <v>G&amp;A</v>
          </cell>
          <cell r="H651">
            <v>2063.8558600000001</v>
          </cell>
        </row>
        <row r="652">
          <cell r="A652" t="str">
            <v>G&amp;A</v>
          </cell>
          <cell r="H652">
            <v>213345.33538999999</v>
          </cell>
        </row>
        <row r="653">
          <cell r="A653" t="str">
            <v>G&amp;A</v>
          </cell>
          <cell r="H653">
            <v>241603.95127000002</v>
          </cell>
        </row>
        <row r="654">
          <cell r="A654" t="str">
            <v>G&amp;A</v>
          </cell>
          <cell r="H654">
            <v>3811.3221299999996</v>
          </cell>
        </row>
        <row r="655">
          <cell r="A655" t="str">
            <v>G&amp;A</v>
          </cell>
          <cell r="H655">
            <v>11474.793</v>
          </cell>
        </row>
        <row r="656">
          <cell r="A656" t="str">
            <v>G&amp;A</v>
          </cell>
          <cell r="H656">
            <v>2752.75</v>
          </cell>
        </row>
        <row r="657">
          <cell r="A657" t="str">
            <v>OPSUP</v>
          </cell>
          <cell r="H657">
            <v>19790.410309999999</v>
          </cell>
        </row>
        <row r="658">
          <cell r="A658" t="str">
            <v>OPSUP</v>
          </cell>
          <cell r="H658">
            <v>6076.2448999999997</v>
          </cell>
        </row>
        <row r="659">
          <cell r="A659" t="str">
            <v>G&amp;A</v>
          </cell>
          <cell r="H659">
            <v>1542.1994500000001</v>
          </cell>
        </row>
        <row r="660">
          <cell r="A660" t="str">
            <v>OPSUP</v>
          </cell>
          <cell r="H660">
            <v>9813.5961000000007</v>
          </cell>
        </row>
        <row r="661">
          <cell r="A661" t="str">
            <v>G&amp;A</v>
          </cell>
          <cell r="H661">
            <v>1060.2419299999999</v>
          </cell>
        </row>
        <row r="662">
          <cell r="A662" t="str">
            <v>OPSUP</v>
          </cell>
          <cell r="H662">
            <v>3760.0411199999999</v>
          </cell>
        </row>
        <row r="663">
          <cell r="A663" t="str">
            <v>G&amp;A</v>
          </cell>
          <cell r="H663">
            <v>2663.20516</v>
          </cell>
        </row>
        <row r="664">
          <cell r="A664" t="str">
            <v>OPSUP</v>
          </cell>
          <cell r="H664">
            <v>2149.8021599999997</v>
          </cell>
        </row>
        <row r="665">
          <cell r="A665" t="str">
            <v>OPSUP</v>
          </cell>
          <cell r="H665">
            <v>203.52321000000001</v>
          </cell>
        </row>
        <row r="666">
          <cell r="A666" t="str">
            <v>OPSUP</v>
          </cell>
          <cell r="H666">
            <v>633.26076</v>
          </cell>
        </row>
        <row r="667">
          <cell r="A667" t="str">
            <v>OPSUP</v>
          </cell>
          <cell r="H667">
            <v>8.3490000000000002</v>
          </cell>
        </row>
        <row r="668">
          <cell r="A668" t="str">
            <v>OPSUP</v>
          </cell>
          <cell r="H668">
            <v>106440.45478</v>
          </cell>
        </row>
        <row r="669">
          <cell r="A669" t="str">
            <v>OPSUP</v>
          </cell>
          <cell r="H669">
            <v>8386.268</v>
          </cell>
        </row>
        <row r="670">
          <cell r="A670" t="str">
            <v>G&amp;A</v>
          </cell>
          <cell r="H670">
            <v>613.76523999999995</v>
          </cell>
        </row>
        <row r="671">
          <cell r="A671" t="str">
            <v>OPSUP</v>
          </cell>
          <cell r="H671">
            <v>32388.708880000002</v>
          </cell>
        </row>
        <row r="672">
          <cell r="A672" t="str">
            <v>OPSUP</v>
          </cell>
          <cell r="H672">
            <v>98817.815360000008</v>
          </cell>
        </row>
        <row r="673">
          <cell r="A673" t="str">
            <v>OPSUP</v>
          </cell>
          <cell r="H673">
            <v>33884.397140000001</v>
          </cell>
        </row>
        <row r="674">
          <cell r="A674" t="str">
            <v>OPSUP</v>
          </cell>
          <cell r="H674">
            <v>3243.6155400000002</v>
          </cell>
        </row>
        <row r="675">
          <cell r="A675" t="str">
            <v>OPSUP</v>
          </cell>
          <cell r="H675">
            <v>5938.8905399999994</v>
          </cell>
        </row>
        <row r="676">
          <cell r="A676" t="str">
            <v>OPSUP</v>
          </cell>
          <cell r="H676">
            <v>720.32751999999994</v>
          </cell>
        </row>
        <row r="677">
          <cell r="A677" t="str">
            <v>OPSUP</v>
          </cell>
          <cell r="H677">
            <v>2852.8799199999999</v>
          </cell>
        </row>
        <row r="678">
          <cell r="A678" t="str">
            <v>OPSUP</v>
          </cell>
          <cell r="H678">
            <v>19291.746320000002</v>
          </cell>
        </row>
        <row r="679">
          <cell r="A679" t="str">
            <v>OPSUP</v>
          </cell>
          <cell r="H679">
            <v>2502.9951099999998</v>
          </cell>
        </row>
        <row r="680">
          <cell r="A680" t="str">
            <v>OPSUP</v>
          </cell>
          <cell r="H680">
            <v>8929.8133099999995</v>
          </cell>
        </row>
        <row r="681">
          <cell r="A681" t="str">
            <v>G&amp;A</v>
          </cell>
          <cell r="H681">
            <v>3949.93489</v>
          </cell>
        </row>
        <row r="682">
          <cell r="A682" t="str">
            <v>G&amp;A</v>
          </cell>
          <cell r="H682">
            <v>367.67785999999995</v>
          </cell>
        </row>
        <row r="683">
          <cell r="A683" t="str">
            <v>G&amp;A</v>
          </cell>
          <cell r="H683">
            <v>4834.3722899999993</v>
          </cell>
        </row>
        <row r="684">
          <cell r="A684" t="str">
            <v>G&amp;A</v>
          </cell>
          <cell r="H684">
            <v>479.95497</v>
          </cell>
        </row>
        <row r="685">
          <cell r="A685" t="str">
            <v>G&amp;A</v>
          </cell>
          <cell r="H685">
            <v>440.23550999999998</v>
          </cell>
        </row>
        <row r="686">
          <cell r="A686" t="str">
            <v>G&amp;A</v>
          </cell>
          <cell r="H686">
            <v>71.498899999999992</v>
          </cell>
        </row>
        <row r="687">
          <cell r="A687" t="str">
            <v>G&amp;A</v>
          </cell>
          <cell r="H687">
            <v>229.59508</v>
          </cell>
        </row>
        <row r="688">
          <cell r="A688" t="str">
            <v>G&amp;A</v>
          </cell>
          <cell r="H688">
            <v>23.231999999999999</v>
          </cell>
        </row>
        <row r="689">
          <cell r="A689" t="str">
            <v>G&amp;A</v>
          </cell>
          <cell r="H689">
            <v>1854.9542000000001</v>
          </cell>
        </row>
        <row r="690">
          <cell r="A690" t="str">
            <v>MMGT</v>
          </cell>
          <cell r="H690">
            <v>980.1</v>
          </cell>
        </row>
        <row r="691">
          <cell r="A691" t="str">
            <v>MSCCWHS</v>
          </cell>
          <cell r="H691">
            <v>31.46</v>
          </cell>
        </row>
        <row r="692">
          <cell r="A692" t="str">
            <v>MSCCWHS</v>
          </cell>
          <cell r="H692">
            <v>157.905</v>
          </cell>
        </row>
        <row r="693">
          <cell r="A693" t="str">
            <v>OPSUP</v>
          </cell>
          <cell r="H693">
            <v>35426.713960000001</v>
          </cell>
        </row>
        <row r="694">
          <cell r="A694" t="str">
            <v>OPSUP</v>
          </cell>
          <cell r="H694">
            <v>6926.5397299999995</v>
          </cell>
        </row>
        <row r="695">
          <cell r="A695" t="str">
            <v>OPSUP</v>
          </cell>
          <cell r="H695">
            <v>13630.302729999999</v>
          </cell>
        </row>
        <row r="696">
          <cell r="A696" t="str">
            <v>OPSUP</v>
          </cell>
          <cell r="H696">
            <v>3683.21459</v>
          </cell>
        </row>
        <row r="697">
          <cell r="A697" t="str">
            <v>OPSUP</v>
          </cell>
          <cell r="H697">
            <v>7039.7497499999999</v>
          </cell>
        </row>
        <row r="698">
          <cell r="A698" t="str">
            <v>OPSUP</v>
          </cell>
          <cell r="H698">
            <v>3985.8198600000005</v>
          </cell>
        </row>
        <row r="699">
          <cell r="A699" t="str">
            <v>OPSUP</v>
          </cell>
          <cell r="H699">
            <v>629.19999999999993</v>
          </cell>
        </row>
        <row r="700">
          <cell r="A700" t="str">
            <v>OPSUP</v>
          </cell>
          <cell r="H700">
            <v>792.55</v>
          </cell>
        </row>
        <row r="701">
          <cell r="A701" t="str">
            <v>OPSUP</v>
          </cell>
          <cell r="H701">
            <v>2445.7451700000001</v>
          </cell>
        </row>
        <row r="702">
          <cell r="A702" t="str">
            <v>OPSUP</v>
          </cell>
          <cell r="H702">
            <v>2274.7999999999997</v>
          </cell>
        </row>
        <row r="703">
          <cell r="A703" t="str">
            <v>G&amp;A</v>
          </cell>
          <cell r="H703">
            <v>137.94</v>
          </cell>
        </row>
        <row r="704">
          <cell r="A704" t="str">
            <v>G&amp;A</v>
          </cell>
          <cell r="H704">
            <v>796.2405</v>
          </cell>
        </row>
        <row r="705">
          <cell r="A705" t="str">
            <v>OPSUP</v>
          </cell>
          <cell r="H705">
            <v>1486.7269999999999</v>
          </cell>
        </row>
        <row r="706">
          <cell r="A706" t="str">
            <v>OPSUP</v>
          </cell>
          <cell r="H706">
            <v>741.44564999999989</v>
          </cell>
        </row>
        <row r="707">
          <cell r="A707" t="str">
            <v>OPSUP</v>
          </cell>
          <cell r="H707">
            <v>329.53140000000002</v>
          </cell>
        </row>
        <row r="708">
          <cell r="A708" t="str">
            <v>OPSUP</v>
          </cell>
          <cell r="H708">
            <v>314.08453999999995</v>
          </cell>
        </row>
        <row r="709">
          <cell r="A709" t="str">
            <v>OTHEXP</v>
          </cell>
          <cell r="H709">
            <v>-23079.999799999998</v>
          </cell>
        </row>
        <row r="710">
          <cell r="A710" t="str">
            <v>G&amp;A</v>
          </cell>
          <cell r="H710">
            <v>9346.9995299999991</v>
          </cell>
        </row>
        <row r="711">
          <cell r="A711" t="str">
            <v>OTHEXP</v>
          </cell>
          <cell r="H711">
            <v>3495.2059999999997</v>
          </cell>
        </row>
        <row r="712">
          <cell r="A712" t="str">
            <v>G&amp;A</v>
          </cell>
          <cell r="H712">
            <v>3730.7421800000002</v>
          </cell>
        </row>
        <row r="713">
          <cell r="A713" t="str">
            <v>OTHEXP</v>
          </cell>
          <cell r="H713">
            <v>120817.32266999999</v>
          </cell>
        </row>
        <row r="714">
          <cell r="A714" t="str">
            <v>OTHEXP</v>
          </cell>
          <cell r="H714">
            <v>1059.5280299999999</v>
          </cell>
        </row>
        <row r="715">
          <cell r="A715" t="str">
            <v>G&amp;A</v>
          </cell>
          <cell r="H715">
            <v>680.81376</v>
          </cell>
        </row>
        <row r="716">
          <cell r="A716" t="str">
            <v>OMAT</v>
          </cell>
          <cell r="H716">
            <v>2150.0744099999997</v>
          </cell>
        </row>
        <row r="717">
          <cell r="A717" t="str">
            <v>OPSUP</v>
          </cell>
          <cell r="H717">
            <v>1796.7386799999999</v>
          </cell>
        </row>
        <row r="718">
          <cell r="A718" t="str">
            <v>OMAT</v>
          </cell>
          <cell r="H718">
            <v>2800.6551099999997</v>
          </cell>
        </row>
        <row r="719">
          <cell r="A719" t="str">
            <v>OPSUP</v>
          </cell>
          <cell r="H719">
            <v>41596.326089999995</v>
          </cell>
        </row>
        <row r="720">
          <cell r="A720" t="str">
            <v>OMAT</v>
          </cell>
          <cell r="H720">
            <v>59.265799999999999</v>
          </cell>
        </row>
        <row r="721">
          <cell r="A721" t="str">
            <v>OPSUP</v>
          </cell>
          <cell r="H721">
            <v>1863.4822799999999</v>
          </cell>
        </row>
        <row r="722">
          <cell r="A722" t="str">
            <v>OPSUP</v>
          </cell>
          <cell r="H722">
            <v>6835.7328600000001</v>
          </cell>
        </row>
        <row r="723">
          <cell r="A723" t="str">
            <v>OMAT</v>
          </cell>
          <cell r="H723">
            <v>55.055</v>
          </cell>
        </row>
        <row r="724">
          <cell r="A724" t="str">
            <v>OPSUP</v>
          </cell>
          <cell r="H724">
            <v>59.29</v>
          </cell>
        </row>
        <row r="725">
          <cell r="A725" t="str">
            <v>OPSUP</v>
          </cell>
          <cell r="H725">
            <v>1121.8006800000001</v>
          </cell>
        </row>
        <row r="726">
          <cell r="A726" t="str">
            <v>OPSUP</v>
          </cell>
          <cell r="H726">
            <v>363.363</v>
          </cell>
        </row>
        <row r="727">
          <cell r="A727" t="str">
            <v>OPSUP</v>
          </cell>
          <cell r="H727">
            <v>4040.7768499999997</v>
          </cell>
        </row>
        <row r="728">
          <cell r="A728" t="str">
            <v>OPSUP</v>
          </cell>
          <cell r="H728">
            <v>108.27079999999999</v>
          </cell>
        </row>
        <row r="729">
          <cell r="A729" t="str">
            <v>OPSUP</v>
          </cell>
          <cell r="H729">
            <v>1511.4110000000001</v>
          </cell>
        </row>
        <row r="730">
          <cell r="A730" t="str">
            <v>OPSUP</v>
          </cell>
          <cell r="H730">
            <v>635.25</v>
          </cell>
        </row>
        <row r="731">
          <cell r="A731" t="str">
            <v>OPSUP</v>
          </cell>
          <cell r="H731">
            <v>3994.4761999999996</v>
          </cell>
        </row>
        <row r="732">
          <cell r="A732" t="str">
            <v>OPSUP</v>
          </cell>
          <cell r="H732">
            <v>197.76240000000001</v>
          </cell>
        </row>
        <row r="733">
          <cell r="A733" t="str">
            <v>OPSUP</v>
          </cell>
          <cell r="H733">
            <v>166.73195000000001</v>
          </cell>
        </row>
        <row r="734">
          <cell r="A734" t="str">
            <v>OPSUP</v>
          </cell>
          <cell r="H734">
            <v>122.21120999999999</v>
          </cell>
        </row>
        <row r="735">
          <cell r="A735" t="str">
            <v>OPSUP</v>
          </cell>
          <cell r="H735">
            <v>233.06657000000001</v>
          </cell>
        </row>
        <row r="736">
          <cell r="A736" t="str">
            <v>G&amp;A</v>
          </cell>
          <cell r="H736">
            <v>786.5</v>
          </cell>
        </row>
        <row r="737">
          <cell r="A737" t="str">
            <v>OPSUP</v>
          </cell>
          <cell r="H737">
            <v>3564.902</v>
          </cell>
        </row>
        <row r="738">
          <cell r="A738" t="str">
            <v>OPSUP</v>
          </cell>
          <cell r="H738">
            <v>13739.412060000001</v>
          </cell>
        </row>
        <row r="739">
          <cell r="A739" t="str">
            <v>OPSUP</v>
          </cell>
          <cell r="H739">
            <v>16676.515240000001</v>
          </cell>
        </row>
        <row r="740">
          <cell r="A740" t="str">
            <v>OPSUP</v>
          </cell>
          <cell r="H740">
            <v>36118.78314</v>
          </cell>
        </row>
        <row r="741">
          <cell r="A741" t="str">
            <v>OPSUP</v>
          </cell>
          <cell r="H741">
            <v>837.07799999999997</v>
          </cell>
        </row>
        <row r="742">
          <cell r="A742" t="str">
            <v>OPSUP</v>
          </cell>
          <cell r="H742">
            <v>2167.7634000000003</v>
          </cell>
        </row>
        <row r="743">
          <cell r="A743" t="str">
            <v>sales exp</v>
          </cell>
          <cell r="H743">
            <v>7970.0279999999993</v>
          </cell>
        </row>
        <row r="744">
          <cell r="A744" t="str">
            <v>OPSUP</v>
          </cell>
          <cell r="H744">
            <v>-25.620540000000002</v>
          </cell>
        </row>
        <row r="745">
          <cell r="A745" t="str">
            <v>OPSUP</v>
          </cell>
          <cell r="H745">
            <v>832.84299999999996</v>
          </cell>
        </row>
        <row r="746">
          <cell r="A746" t="str">
            <v>OPSUP</v>
          </cell>
          <cell r="H746">
            <v>56317.550299999995</v>
          </cell>
        </row>
        <row r="747">
          <cell r="A747" t="str">
            <v>OPSUP</v>
          </cell>
          <cell r="H747">
            <v>144.62766999999999</v>
          </cell>
        </row>
        <row r="748">
          <cell r="A748" t="str">
            <v>OPSUP</v>
          </cell>
          <cell r="H748">
            <v>1183.4526000000001</v>
          </cell>
        </row>
        <row r="749">
          <cell r="A749" t="str">
            <v>OPSUP</v>
          </cell>
          <cell r="H749">
            <v>830.423</v>
          </cell>
        </row>
        <row r="750">
          <cell r="A750" t="str">
            <v>OPSUP</v>
          </cell>
          <cell r="H750">
            <v>1435.2499699999998</v>
          </cell>
        </row>
        <row r="751">
          <cell r="A751" t="str">
            <v>OPSUP</v>
          </cell>
          <cell r="H751">
            <v>3400.1</v>
          </cell>
        </row>
        <row r="752">
          <cell r="A752" t="str">
            <v>OPSUP</v>
          </cell>
          <cell r="H752">
            <v>6986.1999900000001</v>
          </cell>
        </row>
        <row r="753">
          <cell r="A753" t="str">
            <v>OPSUP</v>
          </cell>
          <cell r="H753">
            <v>193.54796999999999</v>
          </cell>
        </row>
        <row r="754">
          <cell r="A754" t="str">
            <v>OPSUP</v>
          </cell>
          <cell r="H754">
            <v>32999.966999999997</v>
          </cell>
        </row>
        <row r="755">
          <cell r="A755" t="str">
            <v>OPSUP</v>
          </cell>
          <cell r="H755">
            <v>1089</v>
          </cell>
        </row>
        <row r="756">
          <cell r="A756" t="str">
            <v>EQUEXP</v>
          </cell>
          <cell r="H756">
            <v>33.879999999999995</v>
          </cell>
        </row>
        <row r="757">
          <cell r="A757" t="str">
            <v>G&amp;A</v>
          </cell>
          <cell r="H757">
            <v>546.79899999999998</v>
          </cell>
        </row>
        <row r="758">
          <cell r="A758" t="str">
            <v>G&amp;A</v>
          </cell>
          <cell r="H758">
            <v>91715.713099999994</v>
          </cell>
        </row>
        <row r="759">
          <cell r="A759" t="str">
            <v>EQUEXP</v>
          </cell>
          <cell r="H759">
            <v>48036.258269999998</v>
          </cell>
        </row>
        <row r="760">
          <cell r="A760" t="str">
            <v>EQUEXP</v>
          </cell>
          <cell r="H760">
            <v>1303.1578999999999</v>
          </cell>
        </row>
        <row r="761">
          <cell r="A761" t="str">
            <v>EQUEXP</v>
          </cell>
          <cell r="H761">
            <v>44624.922209999997</v>
          </cell>
        </row>
        <row r="762">
          <cell r="A762" t="str">
            <v>G&amp;A</v>
          </cell>
          <cell r="H762">
            <v>121</v>
          </cell>
        </row>
        <row r="763">
          <cell r="A763" t="str">
            <v>G&amp;A</v>
          </cell>
          <cell r="H763">
            <v>27121.000499999998</v>
          </cell>
        </row>
        <row r="764">
          <cell r="A764" t="str">
            <v>G&amp;A</v>
          </cell>
          <cell r="H764">
            <v>-4320.7260800000004</v>
          </cell>
        </row>
        <row r="765">
          <cell r="A765" t="str">
            <v>EQUEXP</v>
          </cell>
          <cell r="H765">
            <v>67774.503060000003</v>
          </cell>
        </row>
        <row r="766">
          <cell r="A766" t="str">
            <v>EQUEXP</v>
          </cell>
          <cell r="H766">
            <v>9175.7070899999981</v>
          </cell>
        </row>
        <row r="767">
          <cell r="A767" t="str">
            <v>EQUEXP</v>
          </cell>
          <cell r="H767">
            <v>30868.277330000001</v>
          </cell>
        </row>
        <row r="768">
          <cell r="A768" t="str">
            <v>EQUEXP</v>
          </cell>
          <cell r="H768">
            <v>1425.3799999999999</v>
          </cell>
        </row>
        <row r="769">
          <cell r="A769" t="str">
            <v>G&amp;A</v>
          </cell>
          <cell r="H769">
            <v>181.5</v>
          </cell>
        </row>
        <row r="770">
          <cell r="A770" t="str">
            <v>G&amp;A</v>
          </cell>
          <cell r="H770">
            <v>183.92</v>
          </cell>
        </row>
        <row r="771">
          <cell r="A771" t="str">
            <v>G&amp;A</v>
          </cell>
          <cell r="H771">
            <v>3448.0160000000001</v>
          </cell>
        </row>
        <row r="772">
          <cell r="A772" t="str">
            <v>G&amp;A</v>
          </cell>
          <cell r="H772">
            <v>16.939999999999998</v>
          </cell>
        </row>
        <row r="773">
          <cell r="A773" t="str">
            <v>MMGT</v>
          </cell>
          <cell r="H773">
            <v>687.28</v>
          </cell>
        </row>
        <row r="774">
          <cell r="A774" t="str">
            <v>MSCCWHS</v>
          </cell>
          <cell r="H774">
            <v>20.57</v>
          </cell>
        </row>
        <row r="775">
          <cell r="A775" t="str">
            <v>MSCCWHS</v>
          </cell>
          <cell r="H775">
            <v>761.81600000000003</v>
          </cell>
        </row>
        <row r="776">
          <cell r="A776" t="str">
            <v>EQUEXP</v>
          </cell>
          <cell r="H776">
            <v>85.789000000000001</v>
          </cell>
        </row>
        <row r="777">
          <cell r="A777" t="str">
            <v>EQUEXP</v>
          </cell>
          <cell r="H777">
            <v>402.93</v>
          </cell>
        </row>
        <row r="778">
          <cell r="A778" t="str">
            <v>EQUEXP</v>
          </cell>
          <cell r="H778">
            <v>70106.242030000009</v>
          </cell>
        </row>
        <row r="779">
          <cell r="A779" t="str">
            <v>EQUEXP</v>
          </cell>
          <cell r="H779">
            <v>5886.1660000000002</v>
          </cell>
        </row>
        <row r="780">
          <cell r="A780" t="str">
            <v>EQUEXP</v>
          </cell>
          <cell r="H780">
            <v>793.15499999999997</v>
          </cell>
        </row>
        <row r="781">
          <cell r="A781" t="str">
            <v>sales exp</v>
          </cell>
          <cell r="H781">
            <v>17465.381999999998</v>
          </cell>
        </row>
        <row r="782">
          <cell r="A782" t="str">
            <v>EQUEXP</v>
          </cell>
          <cell r="H782">
            <v>6443.8005499999999</v>
          </cell>
        </row>
        <row r="783">
          <cell r="A783" t="str">
            <v>EQUEXP</v>
          </cell>
          <cell r="H783">
            <v>1452</v>
          </cell>
        </row>
        <row r="784">
          <cell r="A784" t="str">
            <v>EQUEXP</v>
          </cell>
          <cell r="H784">
            <v>1456.84</v>
          </cell>
        </row>
        <row r="785">
          <cell r="A785" t="str">
            <v>EQUEXP</v>
          </cell>
          <cell r="H785">
            <v>17521.47034</v>
          </cell>
        </row>
        <row r="786">
          <cell r="A786" t="str">
            <v>EQUEXP</v>
          </cell>
          <cell r="H786">
            <v>3094.2737099999999</v>
          </cell>
        </row>
        <row r="787">
          <cell r="A787" t="str">
            <v>EQUEXP</v>
          </cell>
          <cell r="H787">
            <v>6645.32</v>
          </cell>
        </row>
        <row r="788">
          <cell r="A788" t="str">
            <v>G&amp;A</v>
          </cell>
          <cell r="H788">
            <v>847</v>
          </cell>
        </row>
        <row r="789">
          <cell r="A789" t="str">
            <v>G&amp;A</v>
          </cell>
          <cell r="H789">
            <v>9268.0869599999987</v>
          </cell>
        </row>
        <row r="790">
          <cell r="A790" t="str">
            <v>G&amp;A</v>
          </cell>
          <cell r="H790">
            <v>513436.12616999994</v>
          </cell>
        </row>
        <row r="791">
          <cell r="A791" t="str">
            <v>G&amp;A</v>
          </cell>
          <cell r="H791">
            <v>957.82026999999994</v>
          </cell>
        </row>
        <row r="792">
          <cell r="A792" t="str">
            <v>G&amp;A</v>
          </cell>
          <cell r="H792">
            <v>43237.682619999992</v>
          </cell>
        </row>
        <row r="793">
          <cell r="A793" t="str">
            <v>G&amp;A</v>
          </cell>
          <cell r="H793">
            <v>28659.254139999997</v>
          </cell>
        </row>
        <row r="794">
          <cell r="A794" t="str">
            <v>FAC</v>
          </cell>
          <cell r="H794">
            <v>36776.265680000004</v>
          </cell>
        </row>
        <row r="795">
          <cell r="A795" t="str">
            <v>G&amp;A</v>
          </cell>
          <cell r="H795">
            <v>49872.207000000002</v>
          </cell>
        </row>
        <row r="796">
          <cell r="A796" t="str">
            <v>G&amp;A</v>
          </cell>
          <cell r="H796">
            <v>23.594999999999999</v>
          </cell>
        </row>
        <row r="797">
          <cell r="A797" t="str">
            <v>G&amp;A</v>
          </cell>
          <cell r="H797">
            <v>-2725.1511099999998</v>
          </cell>
        </row>
        <row r="798">
          <cell r="A798" t="str">
            <v>G&amp;A</v>
          </cell>
          <cell r="H798">
            <v>97.475180000000009</v>
          </cell>
        </row>
        <row r="799">
          <cell r="A799" t="str">
            <v>DEP</v>
          </cell>
          <cell r="H799">
            <v>-782.87242000000003</v>
          </cell>
        </row>
        <row r="800">
          <cell r="A800" t="str">
            <v>DEP</v>
          </cell>
          <cell r="H800">
            <v>1000514.1846699999</v>
          </cell>
        </row>
        <row r="801">
          <cell r="A801" t="str">
            <v>DEP</v>
          </cell>
          <cell r="H801">
            <v>-106.75587999999999</v>
          </cell>
        </row>
        <row r="802">
          <cell r="A802" t="str">
            <v>DEP</v>
          </cell>
          <cell r="H802">
            <v>129951.22426</v>
          </cell>
        </row>
        <row r="803">
          <cell r="A803" t="str">
            <v>DEP</v>
          </cell>
          <cell r="H803">
            <v>-195.71870999999999</v>
          </cell>
        </row>
        <row r="804">
          <cell r="A804" t="str">
            <v>DEP</v>
          </cell>
          <cell r="H804">
            <v>236482.38789999997</v>
          </cell>
        </row>
        <row r="805">
          <cell r="A805" t="str">
            <v>DEP</v>
          </cell>
          <cell r="H805">
            <v>-693.90958999999998</v>
          </cell>
        </row>
        <row r="806">
          <cell r="A806" t="str">
            <v>DEP</v>
          </cell>
          <cell r="H806">
            <v>857946.2565299999</v>
          </cell>
        </row>
        <row r="807">
          <cell r="A807" t="str">
            <v>G&amp;A</v>
          </cell>
          <cell r="H807">
            <v>3502.9996099999998</v>
          </cell>
        </row>
        <row r="808">
          <cell r="A808" t="str">
            <v>IA</v>
          </cell>
          <cell r="H808">
            <v>-30121.643200000002</v>
          </cell>
        </row>
        <row r="809">
          <cell r="A809" t="str">
            <v>G&amp;A</v>
          </cell>
          <cell r="H809">
            <v>113114.9987</v>
          </cell>
        </row>
        <row r="810">
          <cell r="A810" t="str">
            <v>G&amp;A</v>
          </cell>
          <cell r="H810">
            <v>12052.499029999999</v>
          </cell>
        </row>
        <row r="811">
          <cell r="A811" t="str">
            <v>G&amp;A</v>
          </cell>
          <cell r="H811">
            <v>133117.50022999998</v>
          </cell>
        </row>
        <row r="812">
          <cell r="A812" t="str">
            <v>MMGT</v>
          </cell>
          <cell r="H812">
            <v>246159.49236999999</v>
          </cell>
        </row>
        <row r="813">
          <cell r="A813" t="str">
            <v>ALLOC-NON</v>
          </cell>
          <cell r="H813">
            <v>724018.00063999998</v>
          </cell>
        </row>
        <row r="814">
          <cell r="A814" t="str">
            <v>G&amp;A</v>
          </cell>
          <cell r="H814">
            <v>1682.626</v>
          </cell>
        </row>
        <row r="815">
          <cell r="A815" t="str">
            <v>G&amp;A</v>
          </cell>
          <cell r="H815">
            <v>-3024.395</v>
          </cell>
        </row>
        <row r="816">
          <cell r="A816" t="str">
            <v>G&amp;A</v>
          </cell>
          <cell r="H816">
            <v>-72.599999999999994</v>
          </cell>
        </row>
        <row r="817">
          <cell r="A817" t="str">
            <v>OTHINCOME</v>
          </cell>
          <cell r="H817">
            <v>-23300.033459999999</v>
          </cell>
        </row>
        <row r="818">
          <cell r="A818" t="str">
            <v>IMPAIRE</v>
          </cell>
          <cell r="H818">
            <v>107900.00034</v>
          </cell>
        </row>
        <row r="819">
          <cell r="A819" t="str">
            <v>G&amp;A</v>
          </cell>
          <cell r="H819">
            <v>-4638.9270399999996</v>
          </cell>
        </row>
        <row r="820">
          <cell r="A820" t="str">
            <v>duty</v>
          </cell>
          <cell r="H820">
            <v>16003.587049999998</v>
          </cell>
        </row>
        <row r="821">
          <cell r="A821" t="str">
            <v>FREIN</v>
          </cell>
          <cell r="H821">
            <v>516564.67313000001</v>
          </cell>
        </row>
        <row r="822">
          <cell r="A822" t="str">
            <v>FREIN</v>
          </cell>
          <cell r="H822">
            <v>549147.95847999991</v>
          </cell>
        </row>
        <row r="823">
          <cell r="A823" t="str">
            <v>FREIN</v>
          </cell>
          <cell r="H823">
            <v>407.18072999999998</v>
          </cell>
        </row>
        <row r="824">
          <cell r="A824" t="str">
            <v>FREOUT</v>
          </cell>
          <cell r="H824">
            <v>133234.16964000001</v>
          </cell>
        </row>
        <row r="825">
          <cell r="A825" t="str">
            <v>freout</v>
          </cell>
          <cell r="H825">
            <v>266560.70704999997</v>
          </cell>
        </row>
        <row r="826">
          <cell r="A826" t="str">
            <v>G&amp;A</v>
          </cell>
          <cell r="H826">
            <v>729.59974999999997</v>
          </cell>
        </row>
        <row r="827">
          <cell r="A827" t="str">
            <v>FAS</v>
          </cell>
          <cell r="H827">
            <v>499.85342000000003</v>
          </cell>
        </row>
        <row r="828">
          <cell r="A828" t="str">
            <v>G&amp;A</v>
          </cell>
          <cell r="H828">
            <v>-56554.696989999997</v>
          </cell>
        </row>
        <row r="829">
          <cell r="A829" t="str">
            <v>G&amp;A</v>
          </cell>
          <cell r="H829">
            <v>4353.7397199999996</v>
          </cell>
        </row>
        <row r="830">
          <cell r="A830" t="str">
            <v>G&amp;A</v>
          </cell>
          <cell r="H830">
            <v>40206.916969999998</v>
          </cell>
        </row>
        <row r="831">
          <cell r="A831" t="str">
            <v>G&amp;A</v>
          </cell>
          <cell r="H831">
            <v>201034.58485000001</v>
          </cell>
        </row>
        <row r="832">
          <cell r="A832" t="str">
            <v>INTINCOME</v>
          </cell>
          <cell r="H832">
            <v>19976.000110000001</v>
          </cell>
        </row>
        <row r="833">
          <cell r="A833" t="str">
            <v>INTINCOME</v>
          </cell>
          <cell r="H833">
            <v>-11265.58158</v>
          </cell>
        </row>
        <row r="834">
          <cell r="A834" t="str">
            <v>INTINCOME</v>
          </cell>
          <cell r="H834">
            <v>-21851.000379999998</v>
          </cell>
        </row>
        <row r="835">
          <cell r="A835" t="str">
            <v>INTINCOME</v>
          </cell>
          <cell r="H835">
            <v>-4804.9596099999999</v>
          </cell>
        </row>
        <row r="836">
          <cell r="A836" t="str">
            <v>INTINCOME</v>
          </cell>
          <cell r="H836">
            <v>-966.21041000000002</v>
          </cell>
        </row>
        <row r="837">
          <cell r="A837" t="str">
            <v>OEXP</v>
          </cell>
          <cell r="H837">
            <v>226.95607000000001</v>
          </cell>
        </row>
        <row r="838">
          <cell r="A838" t="str">
            <v>OEXP</v>
          </cell>
          <cell r="H838">
            <v>7101.6351999999997</v>
          </cell>
        </row>
        <row r="839">
          <cell r="A839" t="str">
            <v>OEXP</v>
          </cell>
          <cell r="H839">
            <v>98670.894739999989</v>
          </cell>
        </row>
        <row r="840">
          <cell r="A840" t="str">
            <v>OTHINCOME</v>
          </cell>
          <cell r="H840">
            <v>-11185.998670000001</v>
          </cell>
        </row>
        <row r="841">
          <cell r="A841" t="str">
            <v>OTHINCOME</v>
          </cell>
          <cell r="H841">
            <v>-3407.8972399999998</v>
          </cell>
        </row>
        <row r="842">
          <cell r="A842" t="str">
            <v>OTHINCOME</v>
          </cell>
          <cell r="H842">
            <v>-1821.57393</v>
          </cell>
        </row>
        <row r="843">
          <cell r="A843" t="str">
            <v>OTHINCOME</v>
          </cell>
          <cell r="H843">
            <v>-73757.333539999992</v>
          </cell>
        </row>
        <row r="844">
          <cell r="A844" t="str">
            <v>G&amp;A</v>
          </cell>
          <cell r="H844">
            <v>-1321.7398699999999</v>
          </cell>
        </row>
        <row r="845">
          <cell r="A845" t="str">
            <v>G&amp;A</v>
          </cell>
          <cell r="H845">
            <v>402.37460999999996</v>
          </cell>
        </row>
      </sheetData>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000"/>
      <sheetName val="FS"/>
      <sheetName val="PRC-BS"/>
      <sheetName val="PRC-PL"/>
      <sheetName val="ar"/>
      <sheetName val="ap"/>
      <sheetName val="relaco"/>
      <sheetName val="FA"/>
      <sheetName val="inventory"/>
      <sheetName val="prepay"/>
      <sheetName val="liability"/>
      <sheetName val="adm"/>
      <sheetName val="sell"/>
      <sheetName val="fin"/>
      <sheetName val="sales"/>
      <sheetName val="SELL-SC"/>
      <sheetName val="SELL-CC"/>
      <sheetName val="RD-SC"/>
      <sheetName val="RD-CC"/>
      <sheetName val="QC-SC"/>
      <sheetName val="QC-CC"/>
      <sheetName val="manu"/>
      <sheetName val="I"/>
      <sheetName val="EX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str">
            <v>科目编码</v>
          </cell>
          <cell r="B1" t="str">
            <v>科目名称</v>
          </cell>
          <cell r="C1" t="str">
            <v>本期发生借方</v>
          </cell>
        </row>
        <row r="2">
          <cell r="A2" t="str">
            <v>550110</v>
          </cell>
          <cell r="B2" t="str">
            <v xml:space="preserve">  工资及其它</v>
          </cell>
          <cell r="C2">
            <v>91748.99</v>
          </cell>
        </row>
        <row r="3">
          <cell r="A3" t="str">
            <v>550112</v>
          </cell>
          <cell r="B3" t="str">
            <v xml:space="preserve">  营业费用-样品及捐赠</v>
          </cell>
          <cell r="C3">
            <v>17793.97</v>
          </cell>
        </row>
        <row r="4">
          <cell r="A4" t="str">
            <v>550120</v>
          </cell>
          <cell r="B4" t="str">
            <v xml:space="preserve">  应酬费</v>
          </cell>
          <cell r="C4">
            <v>31377</v>
          </cell>
        </row>
        <row r="5">
          <cell r="A5" t="str">
            <v>550121</v>
          </cell>
          <cell r="B5" t="str">
            <v xml:space="preserve">  差旅费（国内）</v>
          </cell>
          <cell r="C5">
            <v>29318.240000000002</v>
          </cell>
        </row>
        <row r="6">
          <cell r="A6" t="str">
            <v>550124</v>
          </cell>
          <cell r="B6" t="str">
            <v xml:space="preserve">  员工电话费</v>
          </cell>
          <cell r="C6">
            <v>4821.2299999999996</v>
          </cell>
        </row>
        <row r="7">
          <cell r="A7" t="str">
            <v>550126</v>
          </cell>
          <cell r="B7" t="str">
            <v xml:space="preserve">  礼品</v>
          </cell>
          <cell r="C7">
            <v>11035.3</v>
          </cell>
        </row>
        <row r="8">
          <cell r="A8" t="str">
            <v>550127</v>
          </cell>
          <cell r="B8" t="str">
            <v xml:space="preserve">  空运费</v>
          </cell>
          <cell r="C8">
            <v>3679.86</v>
          </cell>
        </row>
        <row r="9">
          <cell r="A9" t="str">
            <v>550129</v>
          </cell>
          <cell r="B9" t="str">
            <v xml:space="preserve">  销售折扣-耐普罗</v>
          </cell>
          <cell r="C9">
            <v>1020.51</v>
          </cell>
        </row>
        <row r="10">
          <cell r="A10" t="str">
            <v>550131</v>
          </cell>
          <cell r="B10" t="str">
            <v xml:space="preserve">  销售佣金</v>
          </cell>
          <cell r="C10">
            <v>32394.87</v>
          </cell>
        </row>
        <row r="11">
          <cell r="A11" t="str">
            <v>550136</v>
          </cell>
          <cell r="B11" t="str">
            <v xml:space="preserve">  租金</v>
          </cell>
          <cell r="C11">
            <v>5000</v>
          </cell>
        </row>
        <row r="12">
          <cell r="A12" t="str">
            <v>550138</v>
          </cell>
          <cell r="B12" t="str">
            <v xml:space="preserve">  餐费</v>
          </cell>
          <cell r="C12">
            <v>2246</v>
          </cell>
        </row>
        <row r="13">
          <cell r="A13" t="str">
            <v>合计</v>
          </cell>
          <cell r="C13">
            <v>230435.97</v>
          </cell>
        </row>
      </sheetData>
      <sheetData sheetId="13"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月份：2004.01-2004.01</v>
          </cell>
          <cell r="C2" t="str">
            <v>5503</v>
          </cell>
          <cell r="D2" t="str">
            <v>财务费用</v>
          </cell>
          <cell r="F2">
            <v>0</v>
          </cell>
          <cell r="G2">
            <v>0</v>
          </cell>
          <cell r="H2">
            <v>49441.05</v>
          </cell>
          <cell r="I2">
            <v>49441.05</v>
          </cell>
          <cell r="J2">
            <v>0</v>
          </cell>
          <cell r="K2">
            <v>0</v>
          </cell>
        </row>
        <row r="3">
          <cell r="A3" t="str">
            <v>2004</v>
          </cell>
          <cell r="B3" t="str">
            <v>月份：2004.01-2004.01</v>
          </cell>
          <cell r="C3" t="str">
            <v>550310</v>
          </cell>
          <cell r="D3" t="str">
            <v xml:space="preserve">  利息收入</v>
          </cell>
          <cell r="F3">
            <v>0</v>
          </cell>
          <cell r="G3">
            <v>0</v>
          </cell>
          <cell r="H3">
            <v>-1119.02</v>
          </cell>
          <cell r="I3">
            <v>-1119.02</v>
          </cell>
          <cell r="J3">
            <v>0</v>
          </cell>
          <cell r="K3">
            <v>0</v>
          </cell>
        </row>
        <row r="4">
          <cell r="A4" t="str">
            <v>2004</v>
          </cell>
          <cell r="B4" t="str">
            <v>月份：2004.01-2004.01</v>
          </cell>
          <cell r="C4" t="str">
            <v>550320</v>
          </cell>
          <cell r="D4" t="str">
            <v xml:space="preserve">  利息费用</v>
          </cell>
          <cell r="F4">
            <v>0</v>
          </cell>
          <cell r="G4">
            <v>0</v>
          </cell>
          <cell r="H4">
            <v>36091.65</v>
          </cell>
          <cell r="I4">
            <v>36091.65</v>
          </cell>
          <cell r="J4">
            <v>0</v>
          </cell>
          <cell r="K4">
            <v>0</v>
          </cell>
        </row>
        <row r="5">
          <cell r="A5" t="str">
            <v>2004</v>
          </cell>
          <cell r="B5" t="str">
            <v>月份：2004.01-2004.01</v>
          </cell>
          <cell r="C5" t="str">
            <v>550330</v>
          </cell>
          <cell r="D5" t="str">
            <v xml:space="preserve">  汇兑损益</v>
          </cell>
          <cell r="F5">
            <v>0</v>
          </cell>
          <cell r="G5">
            <v>0</v>
          </cell>
          <cell r="H5">
            <v>10792.62</v>
          </cell>
          <cell r="I5">
            <v>10792.62</v>
          </cell>
          <cell r="J5">
            <v>0</v>
          </cell>
          <cell r="K5">
            <v>0</v>
          </cell>
        </row>
        <row r="6">
          <cell r="A6" t="str">
            <v>2004</v>
          </cell>
          <cell r="B6" t="str">
            <v>月份：2004.01-2004.01</v>
          </cell>
          <cell r="C6" t="str">
            <v>550340</v>
          </cell>
          <cell r="D6" t="str">
            <v xml:space="preserve">  银行手续费</v>
          </cell>
          <cell r="F6">
            <v>0</v>
          </cell>
          <cell r="G6">
            <v>0</v>
          </cell>
          <cell r="H6">
            <v>3504.1</v>
          </cell>
          <cell r="I6">
            <v>3504.1</v>
          </cell>
          <cell r="J6">
            <v>0</v>
          </cell>
          <cell r="K6">
            <v>0</v>
          </cell>
        </row>
        <row r="7">
          <cell r="A7" t="str">
            <v>2004</v>
          </cell>
          <cell r="B7" t="str">
            <v>月份：2004.01-2004.01</v>
          </cell>
          <cell r="C7" t="str">
            <v>550350</v>
          </cell>
          <cell r="D7" t="str">
            <v xml:space="preserve">  其它</v>
          </cell>
          <cell r="F7">
            <v>0</v>
          </cell>
          <cell r="G7">
            <v>0</v>
          </cell>
          <cell r="H7">
            <v>171.7</v>
          </cell>
          <cell r="I7">
            <v>171.7</v>
          </cell>
          <cell r="J7">
            <v>0</v>
          </cell>
          <cell r="K7">
            <v>0</v>
          </cell>
        </row>
        <row r="8">
          <cell r="A8" t="str">
            <v>2004</v>
          </cell>
          <cell r="B8" t="str">
            <v>月份：2004.01-2004.01</v>
          </cell>
          <cell r="C8" t="str">
            <v>损益小计</v>
          </cell>
          <cell r="F8">
            <v>0</v>
          </cell>
          <cell r="G8">
            <v>0</v>
          </cell>
          <cell r="H8">
            <v>49441.05</v>
          </cell>
          <cell r="I8">
            <v>49441.05</v>
          </cell>
          <cell r="J8">
            <v>0</v>
          </cell>
          <cell r="K8">
            <v>0</v>
          </cell>
        </row>
        <row r="9">
          <cell r="A9" t="str">
            <v>2004</v>
          </cell>
          <cell r="B9" t="str">
            <v>月份：2004.01-2004.01</v>
          </cell>
          <cell r="C9" t="str">
            <v>合计</v>
          </cell>
          <cell r="F9">
            <v>0</v>
          </cell>
          <cell r="G9">
            <v>0</v>
          </cell>
          <cell r="H9">
            <v>49441.05</v>
          </cell>
          <cell r="I9">
            <v>49441.05</v>
          </cell>
          <cell r="J9">
            <v>0</v>
          </cell>
          <cell r="K9">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000"/>
      <sheetName val="FS"/>
      <sheetName val="PRC BS"/>
      <sheetName val="PRC PL"/>
      <sheetName val="gl"/>
      <sheetName val="inventory"/>
      <sheetName val="FA"/>
      <sheetName val="I"/>
      <sheetName val="HC"/>
      <sheetName val="MANUFACTURING"/>
      <sheetName val="AR"/>
      <sheetName val="AP"/>
      <sheetName val="prepayment"/>
      <sheetName val="accrual"/>
      <sheetName val="Adm"/>
      <sheetName val="sell"/>
      <sheetName val="Fin"/>
      <sheetName val="sales"/>
      <sheetName val="EX (2)"/>
      <sheetName val="ccr&amp;d"/>
      <sheetName val="scr&amp;d"/>
      <sheetName val="ccqc"/>
      <sheetName val="scqc"/>
    </sheetNames>
    <sheetDataSet>
      <sheetData sheetId="0"/>
      <sheetData sheetId="1" refreshError="1">
        <row r="1">
          <cell r="A1" t="str">
            <v>Becker Industrial Coatings (Shenzhen) Limited</v>
          </cell>
        </row>
        <row r="2">
          <cell r="A2" t="str">
            <v>Spliting - Coil &amp; Plastic</v>
          </cell>
        </row>
        <row r="3">
          <cell r="A3" t="str">
            <v>For the period ended 31 Dec 2003</v>
          </cell>
        </row>
        <row r="4">
          <cell r="A4" t="str">
            <v>(in RMB)</v>
          </cell>
        </row>
        <row r="5">
          <cell r="D5" t="str">
            <v>Per UF</v>
          </cell>
          <cell r="I5" t="str">
            <v>Adjustment</v>
          </cell>
          <cell r="M5" t="str">
            <v>After Adjustment</v>
          </cell>
        </row>
        <row r="6">
          <cell r="D6" t="str">
            <v>ledger</v>
          </cell>
          <cell r="E6" t="str">
            <v>BICOSN</v>
          </cell>
          <cell r="F6" t="str">
            <v>BIPLSN</v>
          </cell>
          <cell r="G6" t="str">
            <v>Total</v>
          </cell>
          <cell r="I6" t="str">
            <v>BICOSN</v>
          </cell>
          <cell r="J6" t="str">
            <v>BIPLSN</v>
          </cell>
          <cell r="K6" t="str">
            <v>Total</v>
          </cell>
          <cell r="M6" t="str">
            <v>BICOSN</v>
          </cell>
          <cell r="N6" t="str">
            <v>BIPLSN</v>
          </cell>
          <cell r="O6" t="str">
            <v>Total</v>
          </cell>
        </row>
        <row r="8">
          <cell r="A8" t="str">
            <v>Balance Sheet</v>
          </cell>
        </row>
        <row r="10">
          <cell r="A10" t="str">
            <v>Cash and Bank</v>
          </cell>
          <cell r="B10" t="str">
            <v>CB</v>
          </cell>
          <cell r="D10">
            <v>6633106.6600000001</v>
          </cell>
          <cell r="E10">
            <v>6633106.6600000001</v>
          </cell>
          <cell r="G10">
            <v>6633106.6600000001</v>
          </cell>
          <cell r="K10">
            <v>0</v>
          </cell>
          <cell r="M10">
            <v>6633106.6600000001</v>
          </cell>
          <cell r="N10">
            <v>0</v>
          </cell>
          <cell r="O10">
            <v>6633106.6600000001</v>
          </cell>
        </row>
        <row r="11">
          <cell r="A11" t="str">
            <v>Bonds and other Securities</v>
          </cell>
          <cell r="B11" t="str">
            <v xml:space="preserve"> </v>
          </cell>
          <cell r="E11">
            <v>0</v>
          </cell>
          <cell r="G11">
            <v>0</v>
          </cell>
          <cell r="K11">
            <v>0</v>
          </cell>
          <cell r="M11">
            <v>0</v>
          </cell>
          <cell r="N11">
            <v>0</v>
          </cell>
          <cell r="O11">
            <v>0</v>
          </cell>
        </row>
        <row r="12">
          <cell r="A12" t="str">
            <v>Capital Stock and Participations</v>
          </cell>
          <cell r="B12" t="str">
            <v xml:space="preserve"> </v>
          </cell>
          <cell r="E12">
            <v>0</v>
          </cell>
          <cell r="G12">
            <v>0</v>
          </cell>
          <cell r="K12">
            <v>0</v>
          </cell>
          <cell r="M12">
            <v>0</v>
          </cell>
          <cell r="N12">
            <v>0</v>
          </cell>
          <cell r="O12">
            <v>0</v>
          </cell>
        </row>
        <row r="13">
          <cell r="A13" t="str">
            <v>Corporate account</v>
          </cell>
          <cell r="B13" t="str">
            <v xml:space="preserve"> </v>
          </cell>
          <cell r="E13">
            <v>0</v>
          </cell>
          <cell r="G13">
            <v>0</v>
          </cell>
          <cell r="K13">
            <v>0</v>
          </cell>
          <cell r="M13">
            <v>0</v>
          </cell>
          <cell r="N13">
            <v>0</v>
          </cell>
          <cell r="O13">
            <v>0</v>
          </cell>
        </row>
        <row r="14">
          <cell r="A14" t="str">
            <v>Accounts receivables trade, internal</v>
          </cell>
          <cell r="D14">
            <v>3746334.22</v>
          </cell>
          <cell r="E14">
            <v>3746334.22</v>
          </cell>
          <cell r="G14">
            <v>3746334.22</v>
          </cell>
          <cell r="K14">
            <v>0</v>
          </cell>
          <cell r="M14">
            <v>3746334.22</v>
          </cell>
          <cell r="N14">
            <v>0</v>
          </cell>
          <cell r="O14">
            <v>3746334.22</v>
          </cell>
        </row>
        <row r="15">
          <cell r="A15" t="str">
            <v>Royalties receivables, internal</v>
          </cell>
          <cell r="B15" t="str">
            <v>RRI</v>
          </cell>
          <cell r="E15">
            <v>0</v>
          </cell>
          <cell r="G15">
            <v>0</v>
          </cell>
          <cell r="K15">
            <v>0</v>
          </cell>
          <cell r="M15">
            <v>0</v>
          </cell>
          <cell r="N15">
            <v>0</v>
          </cell>
          <cell r="O15">
            <v>0</v>
          </cell>
        </row>
        <row r="16">
          <cell r="A16" t="str">
            <v>Other assets, internal</v>
          </cell>
          <cell r="B16" t="str">
            <v>OAI</v>
          </cell>
          <cell r="E16">
            <v>0</v>
          </cell>
          <cell r="G16">
            <v>0</v>
          </cell>
          <cell r="K16">
            <v>0</v>
          </cell>
          <cell r="M16">
            <v>0</v>
          </cell>
          <cell r="N16">
            <v>0</v>
          </cell>
          <cell r="O16">
            <v>0</v>
          </cell>
        </row>
        <row r="17">
          <cell r="A17" t="str">
            <v>Notes receivable, external</v>
          </cell>
          <cell r="B17" t="str">
            <v>NRE</v>
          </cell>
          <cell r="D17">
            <v>4108829.83</v>
          </cell>
          <cell r="E17">
            <v>4108829.83</v>
          </cell>
          <cell r="G17">
            <v>4108829.83</v>
          </cell>
          <cell r="K17">
            <v>0</v>
          </cell>
          <cell r="M17">
            <v>4108829.83</v>
          </cell>
          <cell r="N17">
            <v>0</v>
          </cell>
          <cell r="O17">
            <v>4108829.83</v>
          </cell>
        </row>
        <row r="18">
          <cell r="A18" t="str">
            <v>Accounts receivables trade, external</v>
          </cell>
          <cell r="D18">
            <v>14073464.359999999</v>
          </cell>
          <cell r="E18">
            <v>14073464.359999999</v>
          </cell>
          <cell r="G18">
            <v>14073464.359999999</v>
          </cell>
          <cell r="K18">
            <v>0</v>
          </cell>
          <cell r="M18">
            <v>14073464.359999999</v>
          </cell>
          <cell r="N18">
            <v>0</v>
          </cell>
          <cell r="O18">
            <v>14073464.359999999</v>
          </cell>
        </row>
        <row r="19">
          <cell r="A19" t="str">
            <v>Accounts receivables trade, assoc. comp.</v>
          </cell>
          <cell r="B19" t="str">
            <v>ARA</v>
          </cell>
          <cell r="E19">
            <v>0</v>
          </cell>
          <cell r="G19">
            <v>0</v>
          </cell>
          <cell r="K19">
            <v>0</v>
          </cell>
          <cell r="M19">
            <v>0</v>
          </cell>
          <cell r="N19">
            <v>0</v>
          </cell>
          <cell r="O19">
            <v>0</v>
          </cell>
        </row>
        <row r="20">
          <cell r="A20" t="str">
            <v>Less reserve for bad debt</v>
          </cell>
          <cell r="B20" t="str">
            <v>BD</v>
          </cell>
          <cell r="D20">
            <v>-725917.69</v>
          </cell>
          <cell r="E20">
            <v>-725917.69</v>
          </cell>
          <cell r="G20">
            <v>-725917.69</v>
          </cell>
          <cell r="K20">
            <v>0</v>
          </cell>
          <cell r="M20">
            <v>-725917.69</v>
          </cell>
          <cell r="N20">
            <v>0</v>
          </cell>
          <cell r="O20">
            <v>-725917.69</v>
          </cell>
        </row>
        <row r="21">
          <cell r="A21" t="str">
            <v>Prepaid expenses and accrued income</v>
          </cell>
          <cell r="B21" t="str">
            <v>PE</v>
          </cell>
          <cell r="D21">
            <v>566333.81000000006</v>
          </cell>
          <cell r="E21">
            <v>566333.81000000006</v>
          </cell>
          <cell r="G21">
            <v>566333.81000000006</v>
          </cell>
          <cell r="K21">
            <v>0</v>
          </cell>
          <cell r="M21">
            <v>566333.81000000006</v>
          </cell>
          <cell r="N21">
            <v>0</v>
          </cell>
          <cell r="O21">
            <v>566333.81000000006</v>
          </cell>
        </row>
        <row r="22">
          <cell r="A22" t="str">
            <v>Prepaid tax</v>
          </cell>
          <cell r="B22" t="str">
            <v>PT</v>
          </cell>
          <cell r="E22">
            <v>0</v>
          </cell>
          <cell r="G22">
            <v>0</v>
          </cell>
          <cell r="K22">
            <v>0</v>
          </cell>
          <cell r="M22">
            <v>0</v>
          </cell>
          <cell r="N22">
            <v>0</v>
          </cell>
          <cell r="O22">
            <v>0</v>
          </cell>
        </row>
        <row r="23">
          <cell r="A23" t="str">
            <v>Accrued interest income</v>
          </cell>
          <cell r="B23" t="str">
            <v>AII</v>
          </cell>
          <cell r="E23">
            <v>0</v>
          </cell>
          <cell r="G23">
            <v>0</v>
          </cell>
          <cell r="K23">
            <v>0</v>
          </cell>
          <cell r="M23">
            <v>0</v>
          </cell>
          <cell r="N23">
            <v>0</v>
          </cell>
          <cell r="O23">
            <v>0</v>
          </cell>
        </row>
        <row r="24">
          <cell r="A24" t="str">
            <v>Other receivables interets-bearing, external</v>
          </cell>
          <cell r="B24" t="str">
            <v>ORIE</v>
          </cell>
          <cell r="E24">
            <v>0</v>
          </cell>
          <cell r="G24">
            <v>0</v>
          </cell>
          <cell r="K24">
            <v>0</v>
          </cell>
          <cell r="M24">
            <v>0</v>
          </cell>
          <cell r="N24">
            <v>0</v>
          </cell>
          <cell r="O24">
            <v>0</v>
          </cell>
        </row>
        <row r="25">
          <cell r="A25" t="str">
            <v>Other receivables, external</v>
          </cell>
          <cell r="B25" t="str">
            <v>ORE</v>
          </cell>
          <cell r="D25">
            <v>565273.03</v>
          </cell>
          <cell r="E25">
            <v>565273.03</v>
          </cell>
          <cell r="G25">
            <v>565273.03</v>
          </cell>
          <cell r="K25">
            <v>0</v>
          </cell>
          <cell r="M25">
            <v>565273.03</v>
          </cell>
          <cell r="N25">
            <v>0</v>
          </cell>
          <cell r="O25">
            <v>565273.03</v>
          </cell>
        </row>
        <row r="26">
          <cell r="A26" t="str">
            <v>Oth financial receivables, assoc. comp.</v>
          </cell>
          <cell r="B26" t="str">
            <v>OFRA</v>
          </cell>
          <cell r="E26">
            <v>0</v>
          </cell>
          <cell r="G26">
            <v>0</v>
          </cell>
          <cell r="K26">
            <v>0</v>
          </cell>
          <cell r="M26">
            <v>0</v>
          </cell>
          <cell r="N26">
            <v>0</v>
          </cell>
          <cell r="O26">
            <v>0</v>
          </cell>
        </row>
        <row r="27">
          <cell r="A27" t="str">
            <v>Inventories</v>
          </cell>
          <cell r="D27">
            <v>18178454.680000003</v>
          </cell>
          <cell r="E27">
            <v>18178454.680000003</v>
          </cell>
          <cell r="G27">
            <v>18178454.680000003</v>
          </cell>
          <cell r="K27">
            <v>0</v>
          </cell>
          <cell r="M27">
            <v>18178454.680000003</v>
          </cell>
          <cell r="N27">
            <v>0</v>
          </cell>
          <cell r="O27">
            <v>18178454.680000003</v>
          </cell>
        </row>
        <row r="28">
          <cell r="A28" t="str">
            <v>Advances to Suppliers</v>
          </cell>
          <cell r="B28" t="str">
            <v>AS</v>
          </cell>
          <cell r="E28">
            <v>0</v>
          </cell>
          <cell r="G28">
            <v>0</v>
          </cell>
          <cell r="K28">
            <v>0</v>
          </cell>
          <cell r="M28">
            <v>0</v>
          </cell>
          <cell r="N28">
            <v>0</v>
          </cell>
          <cell r="O28">
            <v>0</v>
          </cell>
        </row>
        <row r="29">
          <cell r="A29" t="str">
            <v>TOTAL CURRENT ASSETS</v>
          </cell>
          <cell r="D29">
            <v>47145878.900000006</v>
          </cell>
          <cell r="E29">
            <v>47145878.900000006</v>
          </cell>
          <cell r="F29">
            <v>0</v>
          </cell>
          <cell r="G29">
            <v>47145878.900000006</v>
          </cell>
          <cell r="I29">
            <v>0</v>
          </cell>
          <cell r="J29">
            <v>0</v>
          </cell>
          <cell r="K29">
            <v>0</v>
          </cell>
          <cell r="M29">
            <v>47145878.900000006</v>
          </cell>
          <cell r="N29">
            <v>0</v>
          </cell>
          <cell r="O29">
            <v>47145878.900000006</v>
          </cell>
        </row>
        <row r="30">
          <cell r="A30" t="str">
            <v>BLOCKED ACCOUNTS</v>
          </cell>
          <cell r="B30" t="str">
            <v xml:space="preserve"> </v>
          </cell>
          <cell r="E30">
            <v>0</v>
          </cell>
          <cell r="F30">
            <v>0</v>
          </cell>
          <cell r="G30">
            <v>0</v>
          </cell>
          <cell r="I30">
            <v>0</v>
          </cell>
          <cell r="J30">
            <v>0</v>
          </cell>
          <cell r="K30">
            <v>0</v>
          </cell>
          <cell r="M30">
            <v>0</v>
          </cell>
          <cell r="N30">
            <v>0</v>
          </cell>
          <cell r="O30">
            <v>0</v>
          </cell>
        </row>
        <row r="31">
          <cell r="A31" t="str">
            <v>Capital stock and particip., internal</v>
          </cell>
          <cell r="B31" t="str">
            <v>CSI</v>
          </cell>
          <cell r="E31">
            <v>0</v>
          </cell>
          <cell r="G31">
            <v>0</v>
          </cell>
          <cell r="K31">
            <v>0</v>
          </cell>
          <cell r="M31">
            <v>0</v>
          </cell>
          <cell r="N31">
            <v>0</v>
          </cell>
          <cell r="O31">
            <v>0</v>
          </cell>
        </row>
        <row r="32">
          <cell r="A32" t="str">
            <v>Capital stock and particip., external</v>
          </cell>
          <cell r="B32" t="str">
            <v>CSE</v>
          </cell>
          <cell r="E32">
            <v>0</v>
          </cell>
          <cell r="G32">
            <v>0</v>
          </cell>
          <cell r="K32">
            <v>0</v>
          </cell>
          <cell r="M32">
            <v>0</v>
          </cell>
          <cell r="N32">
            <v>0</v>
          </cell>
          <cell r="O32">
            <v>0</v>
          </cell>
        </row>
        <row r="33">
          <cell r="A33" t="str">
            <v>Share associated companies</v>
          </cell>
          <cell r="B33" t="str">
            <v xml:space="preserve"> </v>
          </cell>
          <cell r="E33">
            <v>0</v>
          </cell>
          <cell r="G33">
            <v>0</v>
          </cell>
          <cell r="K33">
            <v>0</v>
          </cell>
          <cell r="M33">
            <v>0</v>
          </cell>
          <cell r="N33">
            <v>0</v>
          </cell>
          <cell r="O33">
            <v>0</v>
          </cell>
        </row>
        <row r="34">
          <cell r="A34" t="str">
            <v>Bonds and other securities</v>
          </cell>
          <cell r="B34" t="str">
            <v xml:space="preserve"> </v>
          </cell>
          <cell r="E34">
            <v>0</v>
          </cell>
          <cell r="G34">
            <v>0</v>
          </cell>
          <cell r="K34">
            <v>0</v>
          </cell>
          <cell r="M34">
            <v>0</v>
          </cell>
          <cell r="N34">
            <v>0</v>
          </cell>
          <cell r="O34">
            <v>0</v>
          </cell>
        </row>
        <row r="35">
          <cell r="A35" t="str">
            <v>Long term receivables, internal</v>
          </cell>
          <cell r="B35" t="str">
            <v>LTRI</v>
          </cell>
          <cell r="E35">
            <v>0</v>
          </cell>
          <cell r="G35">
            <v>0</v>
          </cell>
          <cell r="K35">
            <v>0</v>
          </cell>
          <cell r="M35">
            <v>0</v>
          </cell>
          <cell r="N35">
            <v>0</v>
          </cell>
          <cell r="O35">
            <v>0</v>
          </cell>
        </row>
        <row r="36">
          <cell r="A36" t="str">
            <v>Long term receivables, external</v>
          </cell>
          <cell r="B36" t="str">
            <v>LTRE</v>
          </cell>
          <cell r="E36">
            <v>0</v>
          </cell>
          <cell r="G36">
            <v>0</v>
          </cell>
          <cell r="K36">
            <v>0</v>
          </cell>
          <cell r="M36">
            <v>0</v>
          </cell>
          <cell r="N36">
            <v>0</v>
          </cell>
          <cell r="O36">
            <v>0</v>
          </cell>
        </row>
        <row r="37">
          <cell r="A37" t="str">
            <v>Long term receivables, assoc. comp.</v>
          </cell>
          <cell r="B37" t="str">
            <v>LTRA</v>
          </cell>
          <cell r="E37">
            <v>0</v>
          </cell>
          <cell r="G37">
            <v>0</v>
          </cell>
          <cell r="K37">
            <v>0</v>
          </cell>
          <cell r="M37">
            <v>0</v>
          </cell>
          <cell r="N37">
            <v>0</v>
          </cell>
          <cell r="O37">
            <v>0</v>
          </cell>
        </row>
        <row r="38">
          <cell r="A38" t="str">
            <v>Deferred tax asset</v>
          </cell>
          <cell r="B38" t="str">
            <v>DTA</v>
          </cell>
          <cell r="E38">
            <v>0</v>
          </cell>
          <cell r="G38">
            <v>0</v>
          </cell>
          <cell r="K38">
            <v>0</v>
          </cell>
          <cell r="M38">
            <v>0</v>
          </cell>
          <cell r="N38">
            <v>0</v>
          </cell>
          <cell r="O38">
            <v>0</v>
          </cell>
        </row>
        <row r="39">
          <cell r="A39" t="str">
            <v>Advances to suppliers</v>
          </cell>
          <cell r="B39" t="str">
            <v xml:space="preserve"> </v>
          </cell>
          <cell r="E39">
            <v>0</v>
          </cell>
          <cell r="G39">
            <v>0</v>
          </cell>
          <cell r="K39">
            <v>0</v>
          </cell>
          <cell r="M39">
            <v>0</v>
          </cell>
          <cell r="N39">
            <v>0</v>
          </cell>
          <cell r="O39">
            <v>0</v>
          </cell>
        </row>
        <row r="40">
          <cell r="A40" t="str">
            <v>Machinery</v>
          </cell>
          <cell r="B40" t="str">
            <v>MACH</v>
          </cell>
          <cell r="D40">
            <v>945582.59000000008</v>
          </cell>
          <cell r="E40">
            <v>945582.59000000008</v>
          </cell>
          <cell r="G40">
            <v>945582.59000000008</v>
          </cell>
          <cell r="K40">
            <v>0</v>
          </cell>
          <cell r="M40">
            <v>945582.59000000008</v>
          </cell>
          <cell r="N40">
            <v>0</v>
          </cell>
          <cell r="O40">
            <v>945582.59000000008</v>
          </cell>
        </row>
        <row r="41">
          <cell r="A41" t="str">
            <v>Equipment</v>
          </cell>
          <cell r="B41" t="str">
            <v>EQUIP</v>
          </cell>
          <cell r="D41">
            <v>779835.64</v>
          </cell>
          <cell r="E41">
            <v>779835.64</v>
          </cell>
          <cell r="G41">
            <v>779835.64</v>
          </cell>
          <cell r="K41">
            <v>0</v>
          </cell>
          <cell r="M41">
            <v>779835.64</v>
          </cell>
          <cell r="N41">
            <v>0</v>
          </cell>
          <cell r="O41">
            <v>779835.64</v>
          </cell>
        </row>
        <row r="42">
          <cell r="A42" t="str">
            <v>Buildings</v>
          </cell>
          <cell r="B42" t="str">
            <v>BLDG</v>
          </cell>
          <cell r="D42">
            <v>37070.509999999995</v>
          </cell>
          <cell r="E42">
            <v>37070.509999999995</v>
          </cell>
          <cell r="G42">
            <v>37070.509999999995</v>
          </cell>
          <cell r="K42">
            <v>0</v>
          </cell>
          <cell r="M42">
            <v>37070.509999999995</v>
          </cell>
          <cell r="N42">
            <v>0</v>
          </cell>
          <cell r="O42">
            <v>37070.509999999995</v>
          </cell>
        </row>
        <row r="43">
          <cell r="A43" t="str">
            <v>Land improvement</v>
          </cell>
          <cell r="B43" t="str">
            <v>LIMP</v>
          </cell>
          <cell r="E43">
            <v>0</v>
          </cell>
          <cell r="G43">
            <v>0</v>
          </cell>
          <cell r="K43">
            <v>0</v>
          </cell>
          <cell r="M43">
            <v>0</v>
          </cell>
          <cell r="N43">
            <v>0</v>
          </cell>
          <cell r="O43">
            <v>0</v>
          </cell>
        </row>
        <row r="44">
          <cell r="A44" t="str">
            <v>Land</v>
          </cell>
          <cell r="B44" t="str">
            <v>LAND</v>
          </cell>
          <cell r="E44">
            <v>0</v>
          </cell>
          <cell r="G44">
            <v>0</v>
          </cell>
          <cell r="K44">
            <v>0</v>
          </cell>
          <cell r="M44">
            <v>0</v>
          </cell>
          <cell r="N44">
            <v>0</v>
          </cell>
          <cell r="O44">
            <v>0</v>
          </cell>
        </row>
        <row r="45">
          <cell r="A45" t="str">
            <v>CIP: machinery and equipment</v>
          </cell>
          <cell r="B45" t="str">
            <v>CIPME</v>
          </cell>
          <cell r="E45">
            <v>0</v>
          </cell>
          <cell r="G45">
            <v>0</v>
          </cell>
          <cell r="I45">
            <v>8716597.2300000004</v>
          </cell>
          <cell r="K45">
            <v>8716597.2300000004</v>
          </cell>
          <cell r="M45">
            <v>8716597.2300000004</v>
          </cell>
          <cell r="N45">
            <v>0</v>
          </cell>
          <cell r="O45">
            <v>8716597.2300000004</v>
          </cell>
        </row>
        <row r="46">
          <cell r="A46" t="str">
            <v>CIP: buildings</v>
          </cell>
          <cell r="B46" t="str">
            <v>CIPB</v>
          </cell>
          <cell r="D46">
            <v>21115967.899999999</v>
          </cell>
          <cell r="E46">
            <v>21115967.899999999</v>
          </cell>
          <cell r="G46">
            <v>21115967.899999999</v>
          </cell>
          <cell r="K46">
            <v>0</v>
          </cell>
          <cell r="M46">
            <v>21115967.899999999</v>
          </cell>
          <cell r="N46">
            <v>0</v>
          </cell>
          <cell r="O46">
            <v>21115967.899999999</v>
          </cell>
        </row>
        <row r="47">
          <cell r="A47" t="str">
            <v>Patents, etc</v>
          </cell>
          <cell r="B47" t="str">
            <v xml:space="preserve"> </v>
          </cell>
          <cell r="E47">
            <v>0</v>
          </cell>
          <cell r="G47">
            <v>0</v>
          </cell>
          <cell r="K47">
            <v>0</v>
          </cell>
          <cell r="M47">
            <v>0</v>
          </cell>
          <cell r="N47">
            <v>0</v>
          </cell>
          <cell r="O47">
            <v>0</v>
          </cell>
        </row>
        <row r="48">
          <cell r="A48" t="str">
            <v>Goodwill</v>
          </cell>
          <cell r="B48" t="str">
            <v xml:space="preserve"> </v>
          </cell>
          <cell r="E48">
            <v>0</v>
          </cell>
          <cell r="G48">
            <v>0</v>
          </cell>
          <cell r="K48">
            <v>0</v>
          </cell>
          <cell r="M48">
            <v>0</v>
          </cell>
          <cell r="N48">
            <v>0</v>
          </cell>
          <cell r="O48">
            <v>0</v>
          </cell>
        </row>
        <row r="49">
          <cell r="A49" t="str">
            <v>TOTAL FIXED ASSETS</v>
          </cell>
          <cell r="D49">
            <v>22878456.639999997</v>
          </cell>
          <cell r="E49">
            <v>22878456.639999997</v>
          </cell>
          <cell r="F49">
            <v>0</v>
          </cell>
          <cell r="G49">
            <v>22878456.639999997</v>
          </cell>
          <cell r="I49">
            <v>8716597.2300000004</v>
          </cell>
          <cell r="J49">
            <v>0</v>
          </cell>
          <cell r="K49">
            <v>8716597.2300000004</v>
          </cell>
          <cell r="M49">
            <v>31595053.869999997</v>
          </cell>
          <cell r="N49">
            <v>0</v>
          </cell>
          <cell r="O49">
            <v>31595053.869999997</v>
          </cell>
        </row>
        <row r="50">
          <cell r="A50" t="str">
            <v>TOTAL ASSETS</v>
          </cell>
          <cell r="D50">
            <v>70024335.540000007</v>
          </cell>
          <cell r="E50">
            <v>70024335.540000007</v>
          </cell>
          <cell r="F50">
            <v>0</v>
          </cell>
          <cell r="G50">
            <v>70024335.540000007</v>
          </cell>
          <cell r="I50">
            <v>8716597.2300000004</v>
          </cell>
          <cell r="J50">
            <v>0</v>
          </cell>
          <cell r="K50">
            <v>8716597.2300000004</v>
          </cell>
          <cell r="M50">
            <v>78740932.770000011</v>
          </cell>
          <cell r="N50">
            <v>0</v>
          </cell>
          <cell r="O50">
            <v>78740932.770000011</v>
          </cell>
        </row>
        <row r="52">
          <cell r="A52" t="str">
            <v>Corporate account</v>
          </cell>
          <cell r="B52" t="str">
            <v xml:space="preserve"> </v>
          </cell>
          <cell r="E52">
            <v>0</v>
          </cell>
          <cell r="G52">
            <v>0</v>
          </cell>
          <cell r="K52">
            <v>0</v>
          </cell>
          <cell r="M52">
            <v>0</v>
          </cell>
          <cell r="N52">
            <v>0</v>
          </cell>
          <cell r="O52">
            <v>0</v>
          </cell>
        </row>
        <row r="53">
          <cell r="A53" t="str">
            <v>Accounts payables trade, internal</v>
          </cell>
          <cell r="D53">
            <v>6845311.379999999</v>
          </cell>
          <cell r="E53">
            <v>6845311.379999999</v>
          </cell>
          <cell r="G53">
            <v>6845311.379999999</v>
          </cell>
          <cell r="I53">
            <v>14829256.23</v>
          </cell>
          <cell r="K53">
            <v>14829256.23</v>
          </cell>
          <cell r="M53">
            <v>21674567.609999999</v>
          </cell>
          <cell r="N53">
            <v>0</v>
          </cell>
          <cell r="O53">
            <v>21674567.609999999</v>
          </cell>
        </row>
        <row r="54">
          <cell r="A54" t="str">
            <v>Royalties payables, internal</v>
          </cell>
          <cell r="B54" t="str">
            <v>RPI</v>
          </cell>
          <cell r="D54">
            <v>818360.7</v>
          </cell>
          <cell r="E54">
            <v>818360.7</v>
          </cell>
          <cell r="G54">
            <v>818360.7</v>
          </cell>
          <cell r="I54">
            <v>181659.32999999996</v>
          </cell>
          <cell r="K54">
            <v>181659.32999999996</v>
          </cell>
          <cell r="M54">
            <v>1000020.0299999999</v>
          </cell>
          <cell r="N54">
            <v>0</v>
          </cell>
          <cell r="O54">
            <v>1000020.0299999999</v>
          </cell>
        </row>
        <row r="55">
          <cell r="A55" t="str">
            <v>Other liabilities, internal</v>
          </cell>
          <cell r="B55" t="str">
            <v>OLI</v>
          </cell>
          <cell r="E55">
            <v>7643536.5042510703</v>
          </cell>
          <cell r="F55">
            <v>-7643536.5042510703</v>
          </cell>
          <cell r="G55">
            <v>0</v>
          </cell>
          <cell r="K55">
            <v>0</v>
          </cell>
          <cell r="M55">
            <v>7643536.5042510703</v>
          </cell>
          <cell r="N55">
            <v>-7643536.5042510703</v>
          </cell>
          <cell r="O55">
            <v>0</v>
          </cell>
        </row>
        <row r="56">
          <cell r="A56" t="str">
            <v>Notes payables, external</v>
          </cell>
          <cell r="B56" t="str">
            <v>NPE</v>
          </cell>
          <cell r="E56">
            <v>0</v>
          </cell>
          <cell r="G56">
            <v>0</v>
          </cell>
          <cell r="K56">
            <v>0</v>
          </cell>
          <cell r="M56">
            <v>0</v>
          </cell>
          <cell r="N56">
            <v>0</v>
          </cell>
          <cell r="O56">
            <v>0</v>
          </cell>
        </row>
        <row r="57">
          <cell r="A57" t="str">
            <v>Accounts payables trade, external</v>
          </cell>
          <cell r="D57">
            <v>17137856.23</v>
          </cell>
          <cell r="E57">
            <v>17137856.23</v>
          </cell>
          <cell r="G57">
            <v>17137856.23</v>
          </cell>
          <cell r="I57">
            <v>-15833276.560000001</v>
          </cell>
          <cell r="K57">
            <v>-15833276.560000001</v>
          </cell>
          <cell r="M57">
            <v>1304579.67</v>
          </cell>
          <cell r="N57">
            <v>0</v>
          </cell>
          <cell r="O57">
            <v>1304579.67</v>
          </cell>
        </row>
        <row r="58">
          <cell r="A58" t="str">
            <v>Accounts payables trade, assoc. comp.</v>
          </cell>
          <cell r="B58" t="str">
            <v>APA</v>
          </cell>
          <cell r="E58">
            <v>0</v>
          </cell>
          <cell r="G58">
            <v>0</v>
          </cell>
          <cell r="K58">
            <v>0</v>
          </cell>
          <cell r="M58">
            <v>0</v>
          </cell>
          <cell r="N58">
            <v>0</v>
          </cell>
          <cell r="O58">
            <v>0</v>
          </cell>
        </row>
        <row r="59">
          <cell r="A59" t="str">
            <v>Tax liability</v>
          </cell>
          <cell r="B59" t="str">
            <v>TL</v>
          </cell>
          <cell r="D59">
            <v>337138.46</v>
          </cell>
          <cell r="E59">
            <v>337138.46</v>
          </cell>
          <cell r="G59">
            <v>337138.46</v>
          </cell>
          <cell r="I59">
            <v>-26309.53</v>
          </cell>
          <cell r="K59">
            <v>-26309.53</v>
          </cell>
          <cell r="M59">
            <v>310828.93000000005</v>
          </cell>
          <cell r="N59">
            <v>0</v>
          </cell>
          <cell r="O59">
            <v>310828.93000000005</v>
          </cell>
        </row>
        <row r="60">
          <cell r="A60" t="str">
            <v>Accrued expense and deferred income</v>
          </cell>
          <cell r="B60" t="str">
            <v>AE</v>
          </cell>
          <cell r="D60">
            <v>10278090.379999999</v>
          </cell>
          <cell r="E60">
            <v>10278090.379999999</v>
          </cell>
          <cell r="G60">
            <v>10278090.379999999</v>
          </cell>
          <cell r="I60">
            <v>9534958.2300000004</v>
          </cell>
          <cell r="K60">
            <v>9534958.2300000004</v>
          </cell>
          <cell r="M60">
            <v>19813048.609999999</v>
          </cell>
          <cell r="N60">
            <v>0</v>
          </cell>
          <cell r="O60">
            <v>19813048.609999999</v>
          </cell>
        </row>
        <row r="61">
          <cell r="A61" t="str">
            <v>Accrued interest expense</v>
          </cell>
          <cell r="B61" t="str">
            <v>AIE</v>
          </cell>
          <cell r="E61">
            <v>0</v>
          </cell>
          <cell r="G61">
            <v>0</v>
          </cell>
          <cell r="K61">
            <v>0</v>
          </cell>
          <cell r="M61">
            <v>0</v>
          </cell>
          <cell r="N61">
            <v>0</v>
          </cell>
          <cell r="O61">
            <v>0</v>
          </cell>
        </row>
        <row r="62">
          <cell r="A62" t="str">
            <v>Bank loans</v>
          </cell>
          <cell r="B62" t="str">
            <v>BL</v>
          </cell>
          <cell r="D62">
            <v>2000000</v>
          </cell>
          <cell r="E62">
            <v>2000000</v>
          </cell>
          <cell r="G62">
            <v>2000000</v>
          </cell>
          <cell r="K62">
            <v>0</v>
          </cell>
          <cell r="M62">
            <v>2000000</v>
          </cell>
          <cell r="N62">
            <v>0</v>
          </cell>
          <cell r="O62">
            <v>2000000</v>
          </cell>
        </row>
        <row r="63">
          <cell r="A63" t="str">
            <v>Other loans interest-bearing</v>
          </cell>
          <cell r="B63" t="str">
            <v>OLIB</v>
          </cell>
          <cell r="E63">
            <v>0</v>
          </cell>
          <cell r="G63">
            <v>0</v>
          </cell>
          <cell r="K63">
            <v>0</v>
          </cell>
          <cell r="M63">
            <v>0</v>
          </cell>
          <cell r="N63">
            <v>0</v>
          </cell>
          <cell r="O63">
            <v>0</v>
          </cell>
        </row>
        <row r="64">
          <cell r="A64" t="str">
            <v>Other current liabilities interest-bearing, external</v>
          </cell>
          <cell r="B64" t="str">
            <v>OLIBE</v>
          </cell>
          <cell r="E64">
            <v>0</v>
          </cell>
          <cell r="G64">
            <v>0</v>
          </cell>
          <cell r="K64">
            <v>0</v>
          </cell>
          <cell r="M64">
            <v>0</v>
          </cell>
          <cell r="N64">
            <v>0</v>
          </cell>
          <cell r="O64">
            <v>0</v>
          </cell>
        </row>
        <row r="65">
          <cell r="A65" t="str">
            <v>Other current liabilities, external</v>
          </cell>
          <cell r="B65" t="str">
            <v>OLE</v>
          </cell>
          <cell r="E65">
            <v>0</v>
          </cell>
          <cell r="G65">
            <v>0</v>
          </cell>
          <cell r="I65">
            <v>30309.53</v>
          </cell>
          <cell r="K65">
            <v>30309.53</v>
          </cell>
          <cell r="M65">
            <v>30309.53</v>
          </cell>
          <cell r="N65">
            <v>0</v>
          </cell>
          <cell r="O65">
            <v>30309.53</v>
          </cell>
        </row>
        <row r="66">
          <cell r="A66" t="str">
            <v>Oth current financial liab, assoc. comp.</v>
          </cell>
          <cell r="B66" t="str">
            <v xml:space="preserve"> </v>
          </cell>
          <cell r="E66">
            <v>0</v>
          </cell>
          <cell r="G66">
            <v>0</v>
          </cell>
          <cell r="K66">
            <v>0</v>
          </cell>
          <cell r="M66">
            <v>0</v>
          </cell>
          <cell r="N66">
            <v>0</v>
          </cell>
          <cell r="O66">
            <v>0</v>
          </cell>
        </row>
        <row r="67">
          <cell r="A67" t="str">
            <v>Advances from customers</v>
          </cell>
          <cell r="B67" t="str">
            <v>AC</v>
          </cell>
          <cell r="D67">
            <v>78414.100000000006</v>
          </cell>
          <cell r="E67">
            <v>78414.100000000006</v>
          </cell>
          <cell r="G67">
            <v>78414.100000000006</v>
          </cell>
          <cell r="K67">
            <v>0</v>
          </cell>
          <cell r="M67">
            <v>78414.100000000006</v>
          </cell>
          <cell r="N67">
            <v>0</v>
          </cell>
          <cell r="O67">
            <v>78414.100000000006</v>
          </cell>
        </row>
        <row r="68">
          <cell r="A68" t="str">
            <v>TOTAL CURRENT LIABILITIES</v>
          </cell>
          <cell r="B68" t="str">
            <v xml:space="preserve"> </v>
          </cell>
          <cell r="D68">
            <v>37495171.25</v>
          </cell>
          <cell r="E68">
            <v>45138707.75425107</v>
          </cell>
          <cell r="F68">
            <v>-7643536.5042510703</v>
          </cell>
          <cell r="G68">
            <v>37495171.25</v>
          </cell>
          <cell r="I68">
            <v>8716597.2300000004</v>
          </cell>
          <cell r="J68">
            <v>0</v>
          </cell>
          <cell r="K68">
            <v>8716597.2300000004</v>
          </cell>
          <cell r="M68">
            <v>53855304.984251067</v>
          </cell>
          <cell r="N68">
            <v>-7643536.5042510703</v>
          </cell>
          <cell r="O68">
            <v>46211768.479999997</v>
          </cell>
        </row>
        <row r="69">
          <cell r="A69" t="str">
            <v>Long-term liabilities, internal</v>
          </cell>
          <cell r="B69" t="str">
            <v>LTLI</v>
          </cell>
          <cell r="E69">
            <v>0</v>
          </cell>
          <cell r="G69">
            <v>0</v>
          </cell>
          <cell r="K69">
            <v>0</v>
          </cell>
          <cell r="M69">
            <v>0</v>
          </cell>
          <cell r="N69">
            <v>0</v>
          </cell>
          <cell r="O69">
            <v>0</v>
          </cell>
        </row>
        <row r="70">
          <cell r="A70" t="str">
            <v>Bank overdraft facility</v>
          </cell>
          <cell r="B70" t="str">
            <v>BOD</v>
          </cell>
          <cell r="E70">
            <v>0</v>
          </cell>
          <cell r="G70">
            <v>0</v>
          </cell>
          <cell r="K70">
            <v>0</v>
          </cell>
          <cell r="M70">
            <v>0</v>
          </cell>
          <cell r="N70">
            <v>0</v>
          </cell>
          <cell r="O70">
            <v>0</v>
          </cell>
        </row>
        <row r="71">
          <cell r="A71" t="str">
            <v>Oth long term liabilities, external</v>
          </cell>
          <cell r="B71" t="str">
            <v>LTLE</v>
          </cell>
          <cell r="E71">
            <v>0</v>
          </cell>
          <cell r="G71">
            <v>0</v>
          </cell>
          <cell r="K71">
            <v>0</v>
          </cell>
          <cell r="M71">
            <v>0</v>
          </cell>
          <cell r="N71">
            <v>0</v>
          </cell>
          <cell r="O71">
            <v>0</v>
          </cell>
        </row>
        <row r="72">
          <cell r="A72" t="str">
            <v>Oth long term liabilities, assoc. comp.</v>
          </cell>
          <cell r="B72" t="str">
            <v>LTLA</v>
          </cell>
          <cell r="E72">
            <v>0</v>
          </cell>
          <cell r="G72">
            <v>0</v>
          </cell>
          <cell r="K72">
            <v>0</v>
          </cell>
          <cell r="M72">
            <v>0</v>
          </cell>
          <cell r="N72">
            <v>0</v>
          </cell>
          <cell r="O72">
            <v>0</v>
          </cell>
        </row>
        <row r="73">
          <cell r="A73" t="str">
            <v>Long term bankloans</v>
          </cell>
          <cell r="B73" t="str">
            <v>LTBL</v>
          </cell>
          <cell r="E73">
            <v>0</v>
          </cell>
          <cell r="G73">
            <v>0</v>
          </cell>
          <cell r="K73">
            <v>0</v>
          </cell>
          <cell r="M73">
            <v>0</v>
          </cell>
          <cell r="N73">
            <v>0</v>
          </cell>
          <cell r="O73">
            <v>0</v>
          </cell>
        </row>
        <row r="74">
          <cell r="A74" t="str">
            <v>Provision for pensions, PRI</v>
          </cell>
          <cell r="B74" t="str">
            <v>PRI</v>
          </cell>
          <cell r="E74">
            <v>0</v>
          </cell>
          <cell r="G74">
            <v>0</v>
          </cell>
          <cell r="K74">
            <v>0</v>
          </cell>
          <cell r="M74">
            <v>0</v>
          </cell>
          <cell r="N74">
            <v>0</v>
          </cell>
          <cell r="O74">
            <v>0</v>
          </cell>
        </row>
        <row r="75">
          <cell r="A75" t="str">
            <v>Provision for pensions, other</v>
          </cell>
          <cell r="B75" t="str">
            <v xml:space="preserve"> </v>
          </cell>
          <cell r="E75">
            <v>0</v>
          </cell>
          <cell r="G75">
            <v>0</v>
          </cell>
          <cell r="K75">
            <v>0</v>
          </cell>
          <cell r="M75">
            <v>0</v>
          </cell>
          <cell r="N75">
            <v>0</v>
          </cell>
          <cell r="O75">
            <v>0</v>
          </cell>
        </row>
        <row r="76">
          <cell r="A76" t="str">
            <v>Def tax liab in acq untaxed reserve</v>
          </cell>
          <cell r="B76" t="str">
            <v xml:space="preserve"> </v>
          </cell>
          <cell r="E76">
            <v>0</v>
          </cell>
          <cell r="G76">
            <v>0</v>
          </cell>
          <cell r="K76">
            <v>0</v>
          </cell>
          <cell r="M76">
            <v>0</v>
          </cell>
          <cell r="N76">
            <v>0</v>
          </cell>
          <cell r="O76">
            <v>0</v>
          </cell>
        </row>
        <row r="77">
          <cell r="A77" t="str">
            <v>Deferred tax liability</v>
          </cell>
          <cell r="B77" t="str">
            <v>DTL</v>
          </cell>
          <cell r="E77">
            <v>0</v>
          </cell>
          <cell r="G77">
            <v>0</v>
          </cell>
          <cell r="K77">
            <v>0</v>
          </cell>
          <cell r="M77">
            <v>0</v>
          </cell>
          <cell r="N77">
            <v>0</v>
          </cell>
          <cell r="O77">
            <v>0</v>
          </cell>
        </row>
        <row r="78">
          <cell r="A78" t="str">
            <v>TOTAL LONG TERM LIABILITIES</v>
          </cell>
          <cell r="B78" t="str">
            <v xml:space="preserve"> </v>
          </cell>
          <cell r="D78">
            <v>0</v>
          </cell>
          <cell r="E78">
            <v>0</v>
          </cell>
          <cell r="F78">
            <v>0</v>
          </cell>
          <cell r="G78">
            <v>0</v>
          </cell>
          <cell r="I78">
            <v>0</v>
          </cell>
          <cell r="J78">
            <v>0</v>
          </cell>
          <cell r="K78">
            <v>0</v>
          </cell>
          <cell r="M78">
            <v>0</v>
          </cell>
          <cell r="N78">
            <v>0</v>
          </cell>
          <cell r="O78">
            <v>0</v>
          </cell>
        </row>
        <row r="79">
          <cell r="A79" t="str">
            <v>TOTAL UNTAXED RESERVES</v>
          </cell>
          <cell r="B79" t="str">
            <v xml:space="preserve"> </v>
          </cell>
          <cell r="D79" t="e">
            <v>#REF!</v>
          </cell>
          <cell r="E79">
            <v>0</v>
          </cell>
          <cell r="F79">
            <v>0</v>
          </cell>
          <cell r="G79">
            <v>0</v>
          </cell>
          <cell r="I79">
            <v>0</v>
          </cell>
          <cell r="J79">
            <v>0</v>
          </cell>
          <cell r="K79">
            <v>0</v>
          </cell>
          <cell r="M79">
            <v>0</v>
          </cell>
          <cell r="N79">
            <v>0</v>
          </cell>
          <cell r="O79">
            <v>0</v>
          </cell>
        </row>
        <row r="80">
          <cell r="A80" t="str">
            <v>MINORITY INTEREST</v>
          </cell>
          <cell r="B80" t="str">
            <v xml:space="preserve"> </v>
          </cell>
          <cell r="D80" t="e">
            <v>#REF!</v>
          </cell>
          <cell r="E80">
            <v>0</v>
          </cell>
          <cell r="F80">
            <v>0</v>
          </cell>
          <cell r="G80">
            <v>0</v>
          </cell>
          <cell r="I80">
            <v>0</v>
          </cell>
          <cell r="J80">
            <v>0</v>
          </cell>
          <cell r="K80">
            <v>0</v>
          </cell>
          <cell r="M80">
            <v>0</v>
          </cell>
          <cell r="N80">
            <v>0</v>
          </cell>
          <cell r="O80">
            <v>0</v>
          </cell>
        </row>
        <row r="81">
          <cell r="B81" t="str">
            <v xml:space="preserve"> </v>
          </cell>
        </row>
        <row r="82">
          <cell r="A82" t="str">
            <v>Capital stock</v>
          </cell>
          <cell r="B82" t="str">
            <v>CAP</v>
          </cell>
          <cell r="D82">
            <v>15028985</v>
          </cell>
          <cell r="E82">
            <v>15028985</v>
          </cell>
          <cell r="G82">
            <v>15028985</v>
          </cell>
          <cell r="K82">
            <v>0</v>
          </cell>
          <cell r="M82">
            <v>15028985</v>
          </cell>
          <cell r="N82">
            <v>0</v>
          </cell>
          <cell r="O82">
            <v>15028985</v>
          </cell>
        </row>
        <row r="83">
          <cell r="A83" t="str">
            <v>Non distributable reserve</v>
          </cell>
          <cell r="B83" t="str">
            <v>NDR</v>
          </cell>
          <cell r="D83">
            <v>5947192.6900000004</v>
          </cell>
          <cell r="E83">
            <v>5947192.6900000004</v>
          </cell>
          <cell r="G83">
            <v>5947192.6900000004</v>
          </cell>
          <cell r="I83">
            <v>1161160.8234000001</v>
          </cell>
          <cell r="K83">
            <v>1161160.8234000001</v>
          </cell>
          <cell r="M83">
            <v>7108353.5134000005</v>
          </cell>
          <cell r="N83">
            <v>0</v>
          </cell>
          <cell r="O83">
            <v>7108353.5134000005</v>
          </cell>
        </row>
        <row r="84">
          <cell r="A84" t="str">
            <v>Equity reserve assoc. comp.</v>
          </cell>
          <cell r="B84" t="str">
            <v xml:space="preserve"> </v>
          </cell>
          <cell r="E84">
            <v>0</v>
          </cell>
          <cell r="G84">
            <v>0</v>
          </cell>
          <cell r="K84">
            <v>0</v>
          </cell>
          <cell r="M84">
            <v>0</v>
          </cell>
          <cell r="N84">
            <v>0</v>
          </cell>
          <cell r="O84">
            <v>0</v>
          </cell>
        </row>
        <row r="85">
          <cell r="A85" t="str">
            <v>Retained earnings</v>
          </cell>
          <cell r="B85" t="str">
            <v>RE</v>
          </cell>
          <cell r="E85">
            <v>0</v>
          </cell>
          <cell r="F85">
            <v>0</v>
          </cell>
          <cell r="G85">
            <v>0</v>
          </cell>
          <cell r="I85">
            <v>4893558.1854999997</v>
          </cell>
          <cell r="J85">
            <v>18251659.991099998</v>
          </cell>
          <cell r="K85">
            <v>23145218.176599998</v>
          </cell>
          <cell r="M85">
            <v>4893558.1854999997</v>
          </cell>
          <cell r="N85">
            <v>18251659.991099998</v>
          </cell>
          <cell r="O85">
            <v>23145218.176599998</v>
          </cell>
        </row>
        <row r="86">
          <cell r="A86" t="str">
            <v>Net income</v>
          </cell>
          <cell r="D86">
            <v>11784331.224000005</v>
          </cell>
          <cell r="E86">
            <v>4072335.0987594053</v>
          </cell>
          <cell r="F86">
            <v>7711996.1252406007</v>
          </cell>
          <cell r="G86">
            <v>11784331.224000007</v>
          </cell>
          <cell r="I86">
            <v>-6054719.0088999998</v>
          </cell>
          <cell r="J86">
            <v>-18251659.991099998</v>
          </cell>
          <cell r="K86">
            <v>-24306379</v>
          </cell>
          <cell r="M86">
            <v>-1982383.9101405945</v>
          </cell>
          <cell r="N86">
            <v>-10539663.865859397</v>
          </cell>
          <cell r="O86">
            <v>-12522047.775999991</v>
          </cell>
        </row>
        <row r="87">
          <cell r="A87" t="str">
            <v>Translation difference net income</v>
          </cell>
          <cell r="B87" t="str">
            <v xml:space="preserve"> </v>
          </cell>
          <cell r="G87">
            <v>0</v>
          </cell>
          <cell r="K87">
            <v>0</v>
          </cell>
          <cell r="M87">
            <v>0</v>
          </cell>
          <cell r="N87">
            <v>0</v>
          </cell>
          <cell r="O87">
            <v>0</v>
          </cell>
        </row>
        <row r="88">
          <cell r="A88" t="str">
            <v>TOTAL EQUITY</v>
          </cell>
          <cell r="B88" t="str">
            <v xml:space="preserve"> </v>
          </cell>
          <cell r="D88">
            <v>32760508.914000005</v>
          </cell>
          <cell r="E88">
            <v>25048512.788759407</v>
          </cell>
          <cell r="F88">
            <v>7711996.1252406007</v>
          </cell>
          <cell r="G88">
            <v>32760508.914000008</v>
          </cell>
          <cell r="I88">
            <v>0</v>
          </cell>
          <cell r="J88">
            <v>0</v>
          </cell>
          <cell r="K88">
            <v>0</v>
          </cell>
          <cell r="M88">
            <v>25048512.788759403</v>
          </cell>
          <cell r="N88">
            <v>7711996.1252406016</v>
          </cell>
          <cell r="O88">
            <v>32760508.914000005</v>
          </cell>
        </row>
        <row r="89">
          <cell r="B89" t="str">
            <v xml:space="preserve"> </v>
          </cell>
        </row>
        <row r="90">
          <cell r="A90" t="str">
            <v>TOTAL LIABILITIES AND EQUITY</v>
          </cell>
          <cell r="B90" t="str">
            <v xml:space="preserve"> </v>
          </cell>
          <cell r="D90">
            <v>70255680.164000005</v>
          </cell>
          <cell r="E90">
            <v>70187220.543010473</v>
          </cell>
          <cell r="F90">
            <v>68459.620989530347</v>
          </cell>
          <cell r="G90">
            <v>70255680.164000005</v>
          </cell>
          <cell r="I90">
            <v>8716597.2300000004</v>
          </cell>
          <cell r="J90">
            <v>0</v>
          </cell>
          <cell r="K90">
            <v>8716597.2300000004</v>
          </cell>
          <cell r="M90">
            <v>78903817.773010463</v>
          </cell>
          <cell r="N90">
            <v>68459.620989531279</v>
          </cell>
          <cell r="O90">
            <v>78972277.393999994</v>
          </cell>
        </row>
        <row r="92">
          <cell r="B92" t="str">
            <v>Check total</v>
          </cell>
          <cell r="D92">
            <v>231344.62399999797</v>
          </cell>
          <cell r="E92">
            <v>162885.00301046669</v>
          </cell>
          <cell r="F92">
            <v>68459.620989530347</v>
          </cell>
          <cell r="G92">
            <v>231344.62399999797</v>
          </cell>
          <cell r="I92">
            <v>0</v>
          </cell>
          <cell r="J92">
            <v>0</v>
          </cell>
          <cell r="K92">
            <v>0</v>
          </cell>
          <cell r="M92">
            <v>162885.00301045179</v>
          </cell>
          <cell r="N92">
            <v>68459.620989531279</v>
          </cell>
          <cell r="O92">
            <v>231344.62399998307</v>
          </cell>
        </row>
        <row r="95">
          <cell r="A95" t="str">
            <v>Profit &amp; Loss Account</v>
          </cell>
        </row>
        <row r="97">
          <cell r="A97" t="str">
            <v>Volumes External</v>
          </cell>
          <cell r="E97">
            <v>10986</v>
          </cell>
          <cell r="F97">
            <v>8721</v>
          </cell>
          <cell r="G97">
            <v>19707</v>
          </cell>
          <cell r="K97">
            <v>0</v>
          </cell>
          <cell r="M97">
            <v>10986</v>
          </cell>
          <cell r="N97">
            <v>8721</v>
          </cell>
          <cell r="O97">
            <v>19707</v>
          </cell>
        </row>
        <row r="98">
          <cell r="A98" t="str">
            <v>Volumes Internal</v>
          </cell>
          <cell r="E98">
            <v>54</v>
          </cell>
          <cell r="F98">
            <v>39</v>
          </cell>
          <cell r="G98">
            <v>93</v>
          </cell>
          <cell r="K98">
            <v>0</v>
          </cell>
          <cell r="M98">
            <v>54</v>
          </cell>
          <cell r="N98">
            <v>39</v>
          </cell>
          <cell r="O98">
            <v>93</v>
          </cell>
        </row>
        <row r="100">
          <cell r="A100" t="str">
            <v>VOLUMES TOTAL</v>
          </cell>
          <cell r="D100">
            <v>0</v>
          </cell>
          <cell r="E100">
            <v>11040</v>
          </cell>
          <cell r="F100">
            <v>8760</v>
          </cell>
          <cell r="G100">
            <v>19800</v>
          </cell>
          <cell r="I100">
            <v>0</v>
          </cell>
          <cell r="J100">
            <v>0</v>
          </cell>
          <cell r="K100">
            <v>0</v>
          </cell>
          <cell r="M100">
            <v>11040</v>
          </cell>
          <cell r="N100">
            <v>8760</v>
          </cell>
          <cell r="O100">
            <v>19800</v>
          </cell>
        </row>
        <row r="102">
          <cell r="A102" t="str">
            <v>Sales External</v>
          </cell>
          <cell r="B102" t="str">
            <v>SE</v>
          </cell>
          <cell r="D102">
            <v>1831245</v>
          </cell>
          <cell r="E102">
            <v>925163</v>
          </cell>
          <cell r="F102">
            <v>906082</v>
          </cell>
          <cell r="G102">
            <v>1831245</v>
          </cell>
          <cell r="K102">
            <v>0</v>
          </cell>
          <cell r="M102">
            <v>925163</v>
          </cell>
          <cell r="N102">
            <v>906082</v>
          </cell>
          <cell r="O102">
            <v>1831245</v>
          </cell>
        </row>
        <row r="103">
          <cell r="A103" t="str">
            <v>Sales Internal</v>
          </cell>
          <cell r="B103" t="str">
            <v>SI</v>
          </cell>
          <cell r="D103">
            <v>7546</v>
          </cell>
          <cell r="E103">
            <v>4670</v>
          </cell>
          <cell r="F103">
            <v>2876</v>
          </cell>
          <cell r="G103">
            <v>7546</v>
          </cell>
          <cell r="K103">
            <v>0</v>
          </cell>
          <cell r="M103">
            <v>4670</v>
          </cell>
          <cell r="N103">
            <v>2876</v>
          </cell>
          <cell r="O103">
            <v>7546</v>
          </cell>
        </row>
        <row r="105">
          <cell r="A105" t="str">
            <v>TOTAL SALES</v>
          </cell>
          <cell r="D105">
            <v>1838791</v>
          </cell>
          <cell r="E105">
            <v>929833</v>
          </cell>
          <cell r="F105">
            <v>908958</v>
          </cell>
          <cell r="G105">
            <v>1838791</v>
          </cell>
          <cell r="I105">
            <v>0</v>
          </cell>
          <cell r="J105">
            <v>0</v>
          </cell>
          <cell r="K105">
            <v>0</v>
          </cell>
          <cell r="M105">
            <v>929833</v>
          </cell>
          <cell r="N105">
            <v>908958</v>
          </cell>
          <cell r="O105">
            <v>1838791</v>
          </cell>
        </row>
        <row r="107">
          <cell r="A107" t="str">
            <v>Landed cost factory</v>
          </cell>
          <cell r="B107" t="str">
            <v>LCF</v>
          </cell>
          <cell r="D107">
            <v>35013972.523500003</v>
          </cell>
          <cell r="E107">
            <v>14335033.231000001</v>
          </cell>
          <cell r="F107">
            <v>20678939.2925</v>
          </cell>
          <cell r="G107">
            <v>35013972.523500003</v>
          </cell>
          <cell r="I107">
            <v>-1803370.9038</v>
          </cell>
          <cell r="J107">
            <v>-1732650.4761999999</v>
          </cell>
          <cell r="K107">
            <v>-3536021.38</v>
          </cell>
          <cell r="M107">
            <v>12531662.327200001</v>
          </cell>
          <cell r="N107">
            <v>18946288.816300001</v>
          </cell>
          <cell r="O107">
            <v>31477951.1435</v>
          </cell>
        </row>
        <row r="108">
          <cell r="A108" t="str">
            <v>Landed cost Internal</v>
          </cell>
          <cell r="B108" t="str">
            <v>LCI</v>
          </cell>
          <cell r="G108">
            <v>0</v>
          </cell>
          <cell r="K108">
            <v>0</v>
          </cell>
          <cell r="M108">
            <v>0</v>
          </cell>
          <cell r="N108">
            <v>0</v>
          </cell>
          <cell r="O108">
            <v>0</v>
          </cell>
        </row>
        <row r="110">
          <cell r="A110" t="str">
            <v>VALUE ADDED</v>
          </cell>
          <cell r="D110">
            <v>36852763.523500003</v>
          </cell>
          <cell r="E110">
            <v>15264866.231000001</v>
          </cell>
          <cell r="F110">
            <v>21587897.2925</v>
          </cell>
          <cell r="G110">
            <v>36852763.523500003</v>
          </cell>
          <cell r="I110">
            <v>-1803370.9038</v>
          </cell>
          <cell r="J110">
            <v>-1732650.4761999999</v>
          </cell>
          <cell r="K110">
            <v>-3536021.38</v>
          </cell>
          <cell r="M110">
            <v>13461495.327200001</v>
          </cell>
          <cell r="N110">
            <v>19855246.816300001</v>
          </cell>
          <cell r="O110">
            <v>33316742.1435</v>
          </cell>
        </row>
        <row r="112">
          <cell r="A112" t="str">
            <v>Manufacturing cost</v>
          </cell>
          <cell r="B112" t="str">
            <v>MC</v>
          </cell>
          <cell r="D112">
            <v>-1784013.5135000004</v>
          </cell>
          <cell r="E112">
            <v>-1080493.0221000002</v>
          </cell>
          <cell r="F112">
            <v>-703520.49140000006</v>
          </cell>
          <cell r="G112">
            <v>-1784013.5135000004</v>
          </cell>
          <cell r="K112">
            <v>0</v>
          </cell>
          <cell r="M112">
            <v>-1080493.0221000002</v>
          </cell>
          <cell r="N112">
            <v>-703520.49140000006</v>
          </cell>
          <cell r="O112">
            <v>-1784013.5135000004</v>
          </cell>
        </row>
        <row r="113">
          <cell r="A113" t="str">
            <v>Depreciation - Manufacturing</v>
          </cell>
          <cell r="B113" t="str">
            <v>DM</v>
          </cell>
          <cell r="D113">
            <v>-97849.25999999998</v>
          </cell>
          <cell r="E113">
            <v>-68972.040199999989</v>
          </cell>
          <cell r="F113">
            <v>-28877.219799999999</v>
          </cell>
          <cell r="G113">
            <v>-97849.25999999998</v>
          </cell>
          <cell r="K113">
            <v>0</v>
          </cell>
          <cell r="M113">
            <v>-68972.040199999989</v>
          </cell>
          <cell r="N113">
            <v>-28877.219799999999</v>
          </cell>
          <cell r="O113">
            <v>-97849.25999999998</v>
          </cell>
        </row>
        <row r="115">
          <cell r="A115" t="str">
            <v>GROSS PROFIT</v>
          </cell>
          <cell r="D115">
            <v>34970900.75</v>
          </cell>
          <cell r="E115">
            <v>14115401.1687</v>
          </cell>
          <cell r="F115">
            <v>20855499.581300002</v>
          </cell>
          <cell r="G115">
            <v>34970900.75</v>
          </cell>
          <cell r="I115">
            <v>-1803370.9038</v>
          </cell>
          <cell r="J115">
            <v>-1732650.4761999999</v>
          </cell>
          <cell r="K115">
            <v>-3536021.38</v>
          </cell>
          <cell r="M115">
            <v>12312030.264900001</v>
          </cell>
          <cell r="N115">
            <v>19122849.105100002</v>
          </cell>
          <cell r="O115">
            <v>31434879.369999997</v>
          </cell>
        </row>
        <row r="117">
          <cell r="A117" t="str">
            <v>Other oper. income, external</v>
          </cell>
          <cell r="B117" t="str">
            <v>OIE</v>
          </cell>
          <cell r="D117">
            <v>320372.57</v>
          </cell>
          <cell r="E117">
            <v>160186.285</v>
          </cell>
          <cell r="F117">
            <v>160186.285</v>
          </cell>
          <cell r="G117">
            <v>320372.57</v>
          </cell>
          <cell r="I117">
            <v>-160186.285</v>
          </cell>
          <cell r="J117">
            <v>-160186.285</v>
          </cell>
          <cell r="K117">
            <v>-320372.57</v>
          </cell>
          <cell r="M117">
            <v>0</v>
          </cell>
          <cell r="N117">
            <v>0</v>
          </cell>
          <cell r="O117">
            <v>0</v>
          </cell>
        </row>
        <row r="118">
          <cell r="A118" t="str">
            <v>Other oper. income, internal</v>
          </cell>
          <cell r="B118" t="str">
            <v>OII</v>
          </cell>
          <cell r="G118">
            <v>0</v>
          </cell>
          <cell r="I118">
            <v>-208569.81600000002</v>
          </cell>
          <cell r="J118">
            <v>-4009895.844</v>
          </cell>
          <cell r="K118">
            <v>-4218465.66</v>
          </cell>
          <cell r="M118">
            <v>-208569.81600000002</v>
          </cell>
          <cell r="N118">
            <v>-4009895.844</v>
          </cell>
          <cell r="O118">
            <v>-4218465.66</v>
          </cell>
        </row>
        <row r="120">
          <cell r="A120" t="str">
            <v>TRADING RESULT</v>
          </cell>
          <cell r="D120">
            <v>35291273.32</v>
          </cell>
          <cell r="E120">
            <v>14275587.4537</v>
          </cell>
          <cell r="F120">
            <v>21015685.866300002</v>
          </cell>
          <cell r="G120">
            <v>35291273.32</v>
          </cell>
          <cell r="I120">
            <v>-2172127.0047999998</v>
          </cell>
          <cell r="J120">
            <v>-5902732.6052000001</v>
          </cell>
          <cell r="K120">
            <v>-8074859.6099999994</v>
          </cell>
          <cell r="M120">
            <v>12103460.448900001</v>
          </cell>
          <cell r="N120">
            <v>15112953.261100002</v>
          </cell>
          <cell r="O120">
            <v>27216413.709999997</v>
          </cell>
        </row>
        <row r="122">
          <cell r="A122" t="str">
            <v>Selling expenses</v>
          </cell>
          <cell r="B122" t="str">
            <v>SEL</v>
          </cell>
          <cell r="D122">
            <v>-5395364.5899999989</v>
          </cell>
          <cell r="E122">
            <v>-3399079.6916999994</v>
          </cell>
          <cell r="F122">
            <v>-1996284.8982999995</v>
          </cell>
          <cell r="G122">
            <v>-5395364.5899999989</v>
          </cell>
          <cell r="I122">
            <v>69658.186499999996</v>
          </cell>
          <cell r="J122">
            <v>40910.363499999999</v>
          </cell>
          <cell r="K122">
            <v>110568.54999999999</v>
          </cell>
          <cell r="M122">
            <v>-3329421.5051999995</v>
          </cell>
          <cell r="N122">
            <v>-1955374.5347999996</v>
          </cell>
          <cell r="O122">
            <v>-5284796.0399999991</v>
          </cell>
        </row>
        <row r="123">
          <cell r="A123" t="str">
            <v>Depreciation - Selling</v>
          </cell>
          <cell r="B123" t="str">
            <v>DS</v>
          </cell>
          <cell r="D123">
            <v>110569</v>
          </cell>
          <cell r="E123">
            <v>69658.47</v>
          </cell>
          <cell r="F123">
            <v>40910.53</v>
          </cell>
          <cell r="G123">
            <v>110569</v>
          </cell>
          <cell r="K123">
            <v>0</v>
          </cell>
          <cell r="M123">
            <v>69658.47</v>
          </cell>
          <cell r="N123">
            <v>40910.53</v>
          </cell>
          <cell r="O123">
            <v>110569</v>
          </cell>
        </row>
        <row r="124">
          <cell r="A124" t="str">
            <v>Administrative expenses</v>
          </cell>
          <cell r="B124" t="str">
            <v>AE</v>
          </cell>
          <cell r="D124">
            <v>-14812688.929999998</v>
          </cell>
          <cell r="E124">
            <v>-5036314.2361999992</v>
          </cell>
          <cell r="F124">
            <v>-9776374.6937999986</v>
          </cell>
          <cell r="G124">
            <v>-14812688.929999998</v>
          </cell>
          <cell r="I124">
            <v>2090059.6783</v>
          </cell>
          <cell r="J124">
            <v>5849413.1017000005</v>
          </cell>
          <cell r="K124">
            <v>7939472.7800000003</v>
          </cell>
          <cell r="M124">
            <v>-2946254.5578999994</v>
          </cell>
          <cell r="N124">
            <v>-3926961.5920999981</v>
          </cell>
          <cell r="O124">
            <v>-6873216.1499999976</v>
          </cell>
        </row>
        <row r="125">
          <cell r="A125" t="str">
            <v>Depreciation - Administrative</v>
          </cell>
          <cell r="B125" t="str">
            <v>DA</v>
          </cell>
          <cell r="D125">
            <v>-292725.86000000004</v>
          </cell>
          <cell r="E125">
            <v>-99526.79240000002</v>
          </cell>
          <cell r="F125">
            <v>-193199.06760000001</v>
          </cell>
          <cell r="G125">
            <v>-292725.86000000004</v>
          </cell>
          <cell r="K125">
            <v>0</v>
          </cell>
          <cell r="M125">
            <v>-99526.79240000002</v>
          </cell>
          <cell r="N125">
            <v>-193199.06760000001</v>
          </cell>
          <cell r="O125">
            <v>-292725.86000000004</v>
          </cell>
        </row>
        <row r="126">
          <cell r="A126" t="str">
            <v>Research and development expenses</v>
          </cell>
          <cell r="B126" t="str">
            <v>RD</v>
          </cell>
          <cell r="D126">
            <v>-1413143.7</v>
          </cell>
          <cell r="E126">
            <v>-953933.53</v>
          </cell>
          <cell r="F126">
            <v>-459210.17</v>
          </cell>
          <cell r="G126">
            <v>-1413143.7</v>
          </cell>
          <cell r="K126">
            <v>-4239431.0999999996</v>
          </cell>
          <cell r="M126">
            <v>-953933.53</v>
          </cell>
          <cell r="N126">
            <v>-459210.17</v>
          </cell>
          <cell r="O126">
            <v>-1413143.7</v>
          </cell>
        </row>
        <row r="127">
          <cell r="A127" t="str">
            <v>Depreciation - Research and development</v>
          </cell>
          <cell r="B127" t="str">
            <v>DRD</v>
          </cell>
          <cell r="D127">
            <v>-237331.79</v>
          </cell>
          <cell r="E127">
            <v>-234050.65</v>
          </cell>
          <cell r="F127">
            <v>-3281.14</v>
          </cell>
          <cell r="G127">
            <v>-237331.79</v>
          </cell>
          <cell r="K127">
            <v>0</v>
          </cell>
          <cell r="M127">
            <v>-234050.65</v>
          </cell>
          <cell r="N127">
            <v>-3281.14</v>
          </cell>
          <cell r="O127">
            <v>-237331.79</v>
          </cell>
        </row>
        <row r="128">
          <cell r="A128" t="str">
            <v>Other operating expenses</v>
          </cell>
          <cell r="B128" t="str">
            <v>OOE</v>
          </cell>
          <cell r="E128">
            <v>0</v>
          </cell>
          <cell r="F128">
            <v>0</v>
          </cell>
          <cell r="G128">
            <v>0</v>
          </cell>
          <cell r="I128">
            <v>-78959.085000000006</v>
          </cell>
          <cell r="J128">
            <v>-78959.085000000006</v>
          </cell>
          <cell r="K128">
            <v>-157918.17000000001</v>
          </cell>
          <cell r="M128">
            <v>-78959.085000000006</v>
          </cell>
          <cell r="N128">
            <v>-78959.085000000006</v>
          </cell>
          <cell r="O128">
            <v>-157918.17000000001</v>
          </cell>
        </row>
        <row r="129">
          <cell r="A129" t="str">
            <v>Depreciation - Other</v>
          </cell>
          <cell r="B129" t="str">
            <v>DO</v>
          </cell>
          <cell r="G129">
            <v>0</v>
          </cell>
          <cell r="K129">
            <v>0</v>
          </cell>
          <cell r="M129">
            <v>0</v>
          </cell>
          <cell r="N129">
            <v>0</v>
          </cell>
          <cell r="O129">
            <v>0</v>
          </cell>
        </row>
        <row r="130">
          <cell r="A130" t="str">
            <v>Items affecting Comparability</v>
          </cell>
        </row>
        <row r="131">
          <cell r="A131" t="str">
            <v>PROFIT AFTER DEPRECIATION</v>
          </cell>
          <cell r="D131">
            <v>13250587.450000005</v>
          </cell>
          <cell r="E131">
            <v>4622341.0234000031</v>
          </cell>
          <cell r="F131">
            <v>8628246.4266000036</v>
          </cell>
          <cell r="G131">
            <v>13250587.450000005</v>
          </cell>
          <cell r="I131">
            <v>-91368.224999999904</v>
          </cell>
          <cell r="J131">
            <v>-91368.224999999671</v>
          </cell>
          <cell r="K131">
            <v>-4422167.5499999989</v>
          </cell>
          <cell r="M131">
            <v>4530972.7984000016</v>
          </cell>
          <cell r="N131">
            <v>8536878.2016000003</v>
          </cell>
          <cell r="O131">
            <v>13067851.000000002</v>
          </cell>
        </row>
        <row r="133">
          <cell r="A133" t="str">
            <v>Deprec. tangible assets until 9711</v>
          </cell>
          <cell r="G133">
            <v>0</v>
          </cell>
          <cell r="K133">
            <v>0</v>
          </cell>
          <cell r="M133">
            <v>0</v>
          </cell>
          <cell r="N133">
            <v>0</v>
          </cell>
          <cell r="O133">
            <v>0</v>
          </cell>
        </row>
        <row r="134">
          <cell r="A134" t="str">
            <v>Deprec. intangible assets until 9711</v>
          </cell>
          <cell r="G134">
            <v>0</v>
          </cell>
          <cell r="K134">
            <v>0</v>
          </cell>
          <cell r="M134">
            <v>0</v>
          </cell>
          <cell r="N134">
            <v>0</v>
          </cell>
          <cell r="O134">
            <v>0</v>
          </cell>
        </row>
        <row r="136">
          <cell r="A136" t="str">
            <v>PROFIT AFTER DEPRECIATION</v>
          </cell>
          <cell r="D136">
            <v>13250587.450000005</v>
          </cell>
          <cell r="E136">
            <v>4622341.0234000031</v>
          </cell>
          <cell r="F136">
            <v>8628246.4266000036</v>
          </cell>
          <cell r="G136">
            <v>13250587.450000005</v>
          </cell>
          <cell r="I136">
            <v>-91368.224999999904</v>
          </cell>
          <cell r="J136">
            <v>-91368.224999999671</v>
          </cell>
          <cell r="K136">
            <v>-4422167.5499999989</v>
          </cell>
          <cell r="M136">
            <v>4530972.7984000016</v>
          </cell>
          <cell r="N136">
            <v>8536878.2016000003</v>
          </cell>
          <cell r="O136">
            <v>13067851.000000002</v>
          </cell>
        </row>
        <row r="138">
          <cell r="A138" t="str">
            <v>Result associated companies</v>
          </cell>
          <cell r="G138">
            <v>0</v>
          </cell>
          <cell r="K138">
            <v>0</v>
          </cell>
          <cell r="M138">
            <v>0</v>
          </cell>
          <cell r="N138">
            <v>0</v>
          </cell>
          <cell r="O138">
            <v>0</v>
          </cell>
        </row>
        <row r="139">
          <cell r="A139" t="str">
            <v>Dividend income, external</v>
          </cell>
          <cell r="G139">
            <v>0</v>
          </cell>
          <cell r="K139">
            <v>0</v>
          </cell>
          <cell r="M139">
            <v>0</v>
          </cell>
          <cell r="N139">
            <v>0</v>
          </cell>
          <cell r="O139">
            <v>0</v>
          </cell>
        </row>
        <row r="140">
          <cell r="A140" t="str">
            <v>Dividend income, internal</v>
          </cell>
          <cell r="G140">
            <v>0</v>
          </cell>
          <cell r="I140">
            <v>-6054719.0088999998</v>
          </cell>
          <cell r="J140">
            <v>-18251659.991099998</v>
          </cell>
          <cell r="K140">
            <v>-24306379</v>
          </cell>
          <cell r="M140">
            <v>-6054719.0088999998</v>
          </cell>
          <cell r="N140">
            <v>-18251659.991099998</v>
          </cell>
          <cell r="O140">
            <v>-24306379</v>
          </cell>
        </row>
        <row r="141">
          <cell r="A141" t="str">
            <v>Interest income, external</v>
          </cell>
          <cell r="B141" t="str">
            <v>IIE</v>
          </cell>
          <cell r="D141">
            <v>106341.71</v>
          </cell>
          <cell r="E141">
            <v>53170.855000000003</v>
          </cell>
          <cell r="F141">
            <v>53170.855000000003</v>
          </cell>
          <cell r="G141">
            <v>106341.71</v>
          </cell>
          <cell r="K141">
            <v>0</v>
          </cell>
          <cell r="M141">
            <v>53170.855000000003</v>
          </cell>
          <cell r="N141">
            <v>53170.855000000003</v>
          </cell>
          <cell r="O141">
            <v>106341.71</v>
          </cell>
        </row>
        <row r="142">
          <cell r="A142" t="str">
            <v>Interest income, internal</v>
          </cell>
          <cell r="B142" t="str">
            <v>III</v>
          </cell>
          <cell r="G142">
            <v>0</v>
          </cell>
          <cell r="K142">
            <v>0</v>
          </cell>
          <cell r="M142">
            <v>0</v>
          </cell>
          <cell r="N142">
            <v>0</v>
          </cell>
          <cell r="O142">
            <v>0</v>
          </cell>
        </row>
        <row r="143">
          <cell r="A143" t="str">
            <v>Other financial income</v>
          </cell>
          <cell r="B143" t="str">
            <v>OFI</v>
          </cell>
          <cell r="G143">
            <v>0</v>
          </cell>
          <cell r="K143">
            <v>0</v>
          </cell>
          <cell r="M143">
            <v>0</v>
          </cell>
          <cell r="N143">
            <v>0</v>
          </cell>
          <cell r="O143">
            <v>0</v>
          </cell>
        </row>
        <row r="144">
          <cell r="A144" t="str">
            <v>Interest expense, external</v>
          </cell>
          <cell r="B144" t="str">
            <v>IEE</v>
          </cell>
          <cell r="D144">
            <v>-204051.81</v>
          </cell>
          <cell r="E144">
            <v>-102025.905</v>
          </cell>
          <cell r="F144">
            <v>-102025.905</v>
          </cell>
          <cell r="G144">
            <v>-204051.81</v>
          </cell>
          <cell r="K144">
            <v>0</v>
          </cell>
          <cell r="M144">
            <v>-102025.905</v>
          </cell>
          <cell r="N144">
            <v>-102025.905</v>
          </cell>
          <cell r="O144">
            <v>-204051.81</v>
          </cell>
        </row>
        <row r="145">
          <cell r="A145" t="str">
            <v>Interest expense, internal</v>
          </cell>
          <cell r="B145" t="str">
            <v>IEI</v>
          </cell>
          <cell r="E145">
            <v>0</v>
          </cell>
          <cell r="F145">
            <v>0</v>
          </cell>
          <cell r="G145">
            <v>0</v>
          </cell>
          <cell r="K145">
            <v>0</v>
          </cell>
          <cell r="M145">
            <v>0</v>
          </cell>
          <cell r="N145">
            <v>0</v>
          </cell>
          <cell r="O145">
            <v>0</v>
          </cell>
        </row>
        <row r="146">
          <cell r="A146" t="str">
            <v>Exchange difference internal</v>
          </cell>
          <cell r="B146" t="str">
            <v>EDI</v>
          </cell>
          <cell r="G146">
            <v>0</v>
          </cell>
          <cell r="K146">
            <v>0</v>
          </cell>
          <cell r="M146">
            <v>0</v>
          </cell>
          <cell r="N146">
            <v>0</v>
          </cell>
          <cell r="O146">
            <v>0</v>
          </cell>
        </row>
        <row r="147">
          <cell r="A147" t="str">
            <v>Other financial expenses</v>
          </cell>
          <cell r="B147" t="str">
            <v>OFE</v>
          </cell>
          <cell r="D147">
            <v>-182736.51</v>
          </cell>
          <cell r="E147">
            <v>-91368.255000000005</v>
          </cell>
          <cell r="F147">
            <v>-91368.255000000005</v>
          </cell>
          <cell r="G147">
            <v>-182736.51</v>
          </cell>
          <cell r="I147">
            <v>91368.225000000006</v>
          </cell>
          <cell r="J147">
            <v>91368.225000000006</v>
          </cell>
          <cell r="K147">
            <v>182736.45</v>
          </cell>
          <cell r="M147">
            <v>-2.9999999998835847E-2</v>
          </cell>
          <cell r="N147">
            <v>-2.9999999998835847E-2</v>
          </cell>
          <cell r="O147">
            <v>-5.9999999997671694E-2</v>
          </cell>
        </row>
        <row r="148">
          <cell r="A148" t="str">
            <v>Management Fee</v>
          </cell>
          <cell r="B148" t="str">
            <v>ME</v>
          </cell>
          <cell r="G148">
            <v>0</v>
          </cell>
          <cell r="K148">
            <v>0</v>
          </cell>
          <cell r="M148">
            <v>0</v>
          </cell>
          <cell r="N148">
            <v>0</v>
          </cell>
          <cell r="O148">
            <v>0</v>
          </cell>
        </row>
        <row r="149">
          <cell r="A149" t="str">
            <v>PROFIT AFTER FINANCIAL ITEMS</v>
          </cell>
          <cell r="D149">
            <v>12970140.840000005</v>
          </cell>
          <cell r="E149">
            <v>4482117.7184000034</v>
          </cell>
          <cell r="F149">
            <v>8488023.1216000039</v>
          </cell>
          <cell r="G149">
            <v>12970140.840000005</v>
          </cell>
          <cell r="I149">
            <v>-6054719.0088999998</v>
          </cell>
          <cell r="J149">
            <v>-18251659.991099998</v>
          </cell>
          <cell r="K149">
            <v>-28545810.099999998</v>
          </cell>
          <cell r="M149">
            <v>-1572601.2904999983</v>
          </cell>
          <cell r="N149">
            <v>-9763636.8694999963</v>
          </cell>
          <cell r="O149">
            <v>-11336238.159999998</v>
          </cell>
        </row>
        <row r="151">
          <cell r="A151" t="str">
            <v>Extraordinary income</v>
          </cell>
          <cell r="G151">
            <v>0</v>
          </cell>
          <cell r="K151">
            <v>0</v>
          </cell>
          <cell r="M151">
            <v>0</v>
          </cell>
          <cell r="N151">
            <v>0</v>
          </cell>
          <cell r="O151">
            <v>0</v>
          </cell>
        </row>
        <row r="152">
          <cell r="A152" t="str">
            <v>Extraordinary expense</v>
          </cell>
          <cell r="G152">
            <v>0</v>
          </cell>
          <cell r="K152">
            <v>0</v>
          </cell>
          <cell r="M152">
            <v>0</v>
          </cell>
          <cell r="N152">
            <v>0</v>
          </cell>
          <cell r="O152">
            <v>0</v>
          </cell>
        </row>
        <row r="154">
          <cell r="A154" t="str">
            <v>PROFIT BEFORE ALLOC. AND TAXES</v>
          </cell>
          <cell r="D154">
            <v>12970140.840000005</v>
          </cell>
          <cell r="E154">
            <v>4482117.7184000034</v>
          </cell>
          <cell r="F154">
            <v>8488023.1216000039</v>
          </cell>
          <cell r="G154">
            <v>12970140.840000005</v>
          </cell>
          <cell r="I154">
            <v>-6054719.0088999998</v>
          </cell>
          <cell r="J154">
            <v>-18251659.991099998</v>
          </cell>
          <cell r="K154">
            <v>-28545810.099999998</v>
          </cell>
          <cell r="M154">
            <v>-1572601.2904999983</v>
          </cell>
          <cell r="N154">
            <v>-9763636.8694999963</v>
          </cell>
          <cell r="O154">
            <v>-11336238.159999998</v>
          </cell>
        </row>
        <row r="156">
          <cell r="A156" t="str">
            <v>Change in untaxed reserves</v>
          </cell>
          <cell r="G156">
            <v>0</v>
          </cell>
          <cell r="K156">
            <v>0</v>
          </cell>
          <cell r="M156">
            <v>0</v>
          </cell>
          <cell r="N156">
            <v>0</v>
          </cell>
          <cell r="O156">
            <v>0</v>
          </cell>
        </row>
        <row r="157">
          <cell r="A157" t="str">
            <v>Group contribution</v>
          </cell>
          <cell r="G157">
            <v>0</v>
          </cell>
          <cell r="K157">
            <v>0</v>
          </cell>
          <cell r="M157">
            <v>0</v>
          </cell>
          <cell r="N157">
            <v>0</v>
          </cell>
          <cell r="O157">
            <v>0</v>
          </cell>
        </row>
        <row r="159">
          <cell r="A159" t="str">
            <v>INCOME BEFORE TAXES</v>
          </cell>
          <cell r="D159">
            <v>12970140.840000005</v>
          </cell>
          <cell r="E159">
            <v>4482117.7184000034</v>
          </cell>
          <cell r="F159">
            <v>8488023.1216000039</v>
          </cell>
          <cell r="G159">
            <v>12970140.840000005</v>
          </cell>
          <cell r="I159">
            <v>-6054719.0088999998</v>
          </cell>
          <cell r="J159">
            <v>-18251659.991099998</v>
          </cell>
          <cell r="K159">
            <v>-28545810.099999998</v>
          </cell>
          <cell r="M159">
            <v>-1572601.2904999983</v>
          </cell>
          <cell r="N159">
            <v>-9763636.8694999963</v>
          </cell>
          <cell r="O159">
            <v>-11336238.159999998</v>
          </cell>
        </row>
        <row r="161">
          <cell r="A161" t="str">
            <v>Taxes Paid</v>
          </cell>
          <cell r="B161" t="str">
            <v>TP</v>
          </cell>
          <cell r="D161">
            <v>-1185809.6160000006</v>
          </cell>
          <cell r="E161">
            <v>-409782.6196405979</v>
          </cell>
          <cell r="F161">
            <v>-776026.9963594029</v>
          </cell>
          <cell r="G161">
            <v>-1185809.6160000009</v>
          </cell>
          <cell r="K161">
            <v>0</v>
          </cell>
          <cell r="M161">
            <v>-409782.6196405979</v>
          </cell>
          <cell r="N161">
            <v>-776026.9963594029</v>
          </cell>
          <cell r="O161">
            <v>-1185809.6160000009</v>
          </cell>
        </row>
        <row r="162">
          <cell r="A162" t="str">
            <v>Taxes Deferred</v>
          </cell>
          <cell r="G162">
            <v>0</v>
          </cell>
          <cell r="K162">
            <v>0</v>
          </cell>
          <cell r="M162">
            <v>0</v>
          </cell>
          <cell r="N162">
            <v>0</v>
          </cell>
          <cell r="O162">
            <v>0</v>
          </cell>
        </row>
        <row r="164">
          <cell r="A164" t="str">
            <v>INCOME BEFORE MINORITY INTEREST</v>
          </cell>
          <cell r="D164">
            <v>11784331.224000005</v>
          </cell>
          <cell r="E164">
            <v>4072335.0987594053</v>
          </cell>
          <cell r="F164">
            <v>7711996.1252406007</v>
          </cell>
          <cell r="G164">
            <v>11784331.224000005</v>
          </cell>
          <cell r="I164">
            <v>-6054719.0088999998</v>
          </cell>
          <cell r="J164">
            <v>-18251659.991099998</v>
          </cell>
          <cell r="K164">
            <v>-28545810.099999998</v>
          </cell>
          <cell r="M164">
            <v>-1982383.9101405961</v>
          </cell>
          <cell r="N164">
            <v>-10539663.865859399</v>
          </cell>
          <cell r="O164">
            <v>-12522047.775999999</v>
          </cell>
        </row>
        <row r="166">
          <cell r="A166" t="str">
            <v>Minority Interest</v>
          </cell>
          <cell r="G166">
            <v>0</v>
          </cell>
          <cell r="K166">
            <v>0</v>
          </cell>
          <cell r="M166">
            <v>0</v>
          </cell>
          <cell r="N166">
            <v>0</v>
          </cell>
          <cell r="O166">
            <v>0</v>
          </cell>
        </row>
        <row r="168">
          <cell r="A168" t="str">
            <v>NET INCOME</v>
          </cell>
          <cell r="D168">
            <v>11784331.224000005</v>
          </cell>
          <cell r="E168">
            <v>4072335.0987594053</v>
          </cell>
          <cell r="F168">
            <v>7711996.1252406007</v>
          </cell>
          <cell r="G168">
            <v>11784331.224000005</v>
          </cell>
          <cell r="I168">
            <v>-6054719.0088999998</v>
          </cell>
          <cell r="J168">
            <v>-18251659.991099998</v>
          </cell>
          <cell r="K168">
            <v>-28545810.099999998</v>
          </cell>
          <cell r="M168">
            <v>-1982383.9101405961</v>
          </cell>
          <cell r="N168">
            <v>-10539663.865859399</v>
          </cell>
          <cell r="O168">
            <v>-12522047.775999999</v>
          </cell>
        </row>
        <row r="169">
          <cell r="O169">
            <v>0</v>
          </cell>
        </row>
        <row r="174">
          <cell r="A174" t="str">
            <v>Workings:-</v>
          </cell>
        </row>
        <row r="176">
          <cell r="A176" t="str">
            <v>Accounts receivables</v>
          </cell>
        </row>
        <row r="177">
          <cell r="A177" t="str">
            <v xml:space="preserve">  - internal (per Sch. AR03)</v>
          </cell>
          <cell r="D177">
            <v>3746334.22</v>
          </cell>
          <cell r="E177">
            <v>3746334.22</v>
          </cell>
        </row>
        <row r="178">
          <cell r="A178" t="str">
            <v xml:space="preserve">  - external (per Sch. AR03)</v>
          </cell>
          <cell r="D178">
            <v>14073464.359999999</v>
          </cell>
          <cell r="E178">
            <v>14073464.359999999</v>
          </cell>
        </row>
        <row r="180">
          <cell r="D180">
            <v>17819798.579999998</v>
          </cell>
          <cell r="E180">
            <v>17819798.579999998</v>
          </cell>
        </row>
        <row r="181">
          <cell r="A181" t="str">
            <v xml:space="preserve">  Per Sch. TB_BS03</v>
          </cell>
        </row>
        <row r="182">
          <cell r="A182" t="str">
            <v xml:space="preserve">  Accounts receivables</v>
          </cell>
        </row>
        <row r="183">
          <cell r="A183" t="str">
            <v xml:space="preserve">  - RMB</v>
          </cell>
          <cell r="B183" t="str">
            <v>ARI</v>
          </cell>
          <cell r="D183" t="e">
            <v>#REF!</v>
          </cell>
        </row>
        <row r="184">
          <cell r="A184" t="str">
            <v xml:space="preserve">  - HK$</v>
          </cell>
          <cell r="B184" t="str">
            <v>ARE</v>
          </cell>
          <cell r="D184">
            <v>-396977.8</v>
          </cell>
        </row>
        <row r="186">
          <cell r="D186" t="e">
            <v>#REF!</v>
          </cell>
        </row>
        <row r="188">
          <cell r="A188" t="str">
            <v xml:space="preserve">  Difference, treated as AP-external</v>
          </cell>
          <cell r="D188" t="e">
            <v>#REF!</v>
          </cell>
          <cell r="E188" t="e">
            <v>#REF!</v>
          </cell>
          <cell r="F188" t="str">
            <v>Move from AP</v>
          </cell>
          <cell r="G188" t="str">
            <v>(need to explain if material)</v>
          </cell>
        </row>
        <row r="191">
          <cell r="A191" t="str">
            <v>Accounts payables</v>
          </cell>
        </row>
        <row r="192">
          <cell r="A192" t="str">
            <v xml:space="preserve">  - internal (per Sch. AP03)</v>
          </cell>
          <cell r="D192">
            <v>6845311.379999999</v>
          </cell>
          <cell r="E192">
            <v>6845311.379999999</v>
          </cell>
        </row>
        <row r="193">
          <cell r="A193" t="str">
            <v xml:space="preserve">  - external (per Sch. AP03)</v>
          </cell>
          <cell r="D193">
            <v>17137856.23</v>
          </cell>
          <cell r="E193">
            <v>17137856.23</v>
          </cell>
        </row>
        <row r="195">
          <cell r="D195">
            <v>23983167.609999999</v>
          </cell>
          <cell r="E195">
            <v>23983167.609999999</v>
          </cell>
        </row>
        <row r="196">
          <cell r="A196" t="str">
            <v xml:space="preserve">  Per general ledger</v>
          </cell>
        </row>
        <row r="197">
          <cell r="A197" t="str">
            <v xml:space="preserve">  Accounts payables</v>
          </cell>
        </row>
        <row r="198">
          <cell r="A198" t="str">
            <v xml:space="preserve">  - RMB</v>
          </cell>
          <cell r="B198" t="str">
            <v>APE</v>
          </cell>
          <cell r="D198" t="e">
            <v>#REF!</v>
          </cell>
        </row>
        <row r="199">
          <cell r="A199" t="str">
            <v xml:space="preserve">  - HK$</v>
          </cell>
          <cell r="B199" t="str">
            <v>API</v>
          </cell>
          <cell r="D199">
            <v>0</v>
          </cell>
        </row>
        <row r="200">
          <cell r="A200" t="str">
            <v xml:space="preserve">  Interco balance</v>
          </cell>
        </row>
        <row r="201">
          <cell r="A201" t="str">
            <v xml:space="preserve">    BIC(China)</v>
          </cell>
          <cell r="B201" t="str">
            <v>BICC</v>
          </cell>
          <cell r="D201">
            <v>1769558.94</v>
          </cell>
        </row>
        <row r="202">
          <cell r="A202" t="str">
            <v xml:space="preserve">    BIC(Sweden)</v>
          </cell>
          <cell r="B202" t="str">
            <v>BIAB</v>
          </cell>
          <cell r="D202">
            <v>1001020.33</v>
          </cell>
        </row>
        <row r="203">
          <cell r="A203" t="str">
            <v xml:space="preserve">    BIC(HK)</v>
          </cell>
          <cell r="B203" t="str">
            <v>BICHK</v>
          </cell>
          <cell r="D203">
            <v>4373861.5999999996</v>
          </cell>
        </row>
        <row r="204">
          <cell r="A204" t="str">
            <v xml:space="preserve">    BIC(SH)</v>
          </cell>
          <cell r="B204" t="str">
            <v>BICSH</v>
          </cell>
          <cell r="D204">
            <v>-299129.49</v>
          </cell>
        </row>
        <row r="206">
          <cell r="D206">
            <v>6845311.379999999</v>
          </cell>
        </row>
        <row r="208">
          <cell r="A208" t="str">
            <v xml:space="preserve">  Difference, treated as AP-external</v>
          </cell>
          <cell r="D208">
            <v>-17137856.23</v>
          </cell>
          <cell r="E208">
            <v>-17137856.23</v>
          </cell>
          <cell r="F208" t="str">
            <v>Move to AR</v>
          </cell>
          <cell r="G208" t="str">
            <v>(need to explain if material)</v>
          </cell>
        </row>
        <row r="212">
          <cell r="A212" t="str">
            <v>Inventories</v>
          </cell>
        </row>
        <row r="213">
          <cell r="A213" t="str">
            <v xml:space="preserve">  Raw materials</v>
          </cell>
          <cell r="B213" t="str">
            <v>RW</v>
          </cell>
          <cell r="D213">
            <v>17062187.07</v>
          </cell>
        </row>
        <row r="214">
          <cell r="A214" t="str">
            <v xml:space="preserve">  Work in progress</v>
          </cell>
          <cell r="B214" t="str">
            <v>WIP</v>
          </cell>
          <cell r="D214">
            <v>1951126.42</v>
          </cell>
        </row>
        <row r="215">
          <cell r="A215" t="str">
            <v xml:space="preserve">  Finished goods</v>
          </cell>
          <cell r="B215" t="str">
            <v>FG</v>
          </cell>
          <cell r="D215">
            <v>3010631.8</v>
          </cell>
        </row>
        <row r="216">
          <cell r="A216" t="str">
            <v xml:space="preserve">  Less: Provision for obsolete stock</v>
          </cell>
          <cell r="B216" t="str">
            <v>OS</v>
          </cell>
          <cell r="D216">
            <v>-3845490.61</v>
          </cell>
        </row>
        <row r="218">
          <cell r="D218">
            <v>18178454.680000003</v>
          </cell>
        </row>
        <row r="221">
          <cell r="A221" t="str">
            <v>No. of sales invoice</v>
          </cell>
          <cell r="E221">
            <v>880</v>
          </cell>
          <cell r="F221">
            <v>1714</v>
          </cell>
          <cell r="G221">
            <v>2594</v>
          </cell>
        </row>
        <row r="223">
          <cell r="A223" t="str">
            <v>Sales</v>
          </cell>
        </row>
        <row r="224">
          <cell r="A224" t="str">
            <v xml:space="preserve">  External</v>
          </cell>
          <cell r="B224" t="str">
            <v>SE</v>
          </cell>
          <cell r="D224">
            <v>2952171.73</v>
          </cell>
          <cell r="E224">
            <v>925163</v>
          </cell>
          <cell r="F224">
            <v>2027008.73</v>
          </cell>
          <cell r="G224">
            <v>2952171.73</v>
          </cell>
        </row>
        <row r="225">
          <cell r="A225" t="str">
            <v xml:space="preserve">  Internal</v>
          </cell>
          <cell r="B225" t="str">
            <v>SI</v>
          </cell>
          <cell r="D225">
            <v>7546</v>
          </cell>
          <cell r="E225">
            <v>4670</v>
          </cell>
          <cell r="F225">
            <v>2876</v>
          </cell>
          <cell r="G225">
            <v>7546</v>
          </cell>
        </row>
        <row r="227">
          <cell r="D227">
            <v>2959717.73</v>
          </cell>
          <cell r="E227">
            <v>929833</v>
          </cell>
          <cell r="F227">
            <v>2029884.73</v>
          </cell>
          <cell r="G227">
            <v>2959717.73</v>
          </cell>
        </row>
        <row r="228">
          <cell r="A228" t="str">
            <v>Less: sales rebates</v>
          </cell>
          <cell r="B228" t="str">
            <v>SREBATE</v>
          </cell>
          <cell r="D228">
            <v>-1120926.73</v>
          </cell>
          <cell r="F228">
            <v>-1120926.73</v>
          </cell>
          <cell r="G228">
            <v>-1120926.73</v>
          </cell>
        </row>
        <row r="230">
          <cell r="D230">
            <v>1838791</v>
          </cell>
          <cell r="E230">
            <v>929833</v>
          </cell>
          <cell r="F230">
            <v>908958</v>
          </cell>
          <cell r="G230">
            <v>1838791</v>
          </cell>
        </row>
        <row r="233">
          <cell r="A233" t="str">
            <v>Manufacturing cost</v>
          </cell>
        </row>
        <row r="234">
          <cell r="A234" t="str">
            <v xml:space="preserve">  BICPS toll fee</v>
          </cell>
          <cell r="D234">
            <v>0</v>
          </cell>
          <cell r="E234">
            <v>0</v>
          </cell>
          <cell r="F234">
            <v>0</v>
          </cell>
          <cell r="G234">
            <v>0</v>
          </cell>
        </row>
        <row r="236">
          <cell r="A236" t="str">
            <v xml:space="preserve">  Add: QC expenses, shared equally</v>
          </cell>
          <cell r="D236">
            <v>295476.11000000004</v>
          </cell>
          <cell r="E236">
            <v>187370.58000000002</v>
          </cell>
          <cell r="F236">
            <v>108105.53000000001</v>
          </cell>
          <cell r="G236">
            <v>295476.11000000004</v>
          </cell>
        </row>
        <row r="237">
          <cell r="A237" t="str">
            <v xml:space="preserve">  Add: Mfg expenses</v>
          </cell>
          <cell r="D237">
            <v>1417654.6700000002</v>
          </cell>
          <cell r="E237">
            <v>893122.4421000001</v>
          </cell>
          <cell r="F237">
            <v>595414.96140000003</v>
          </cell>
          <cell r="G237">
            <v>1488537.4035</v>
          </cell>
        </row>
        <row r="240">
          <cell r="D240">
            <v>1713130.7800000003</v>
          </cell>
          <cell r="E240">
            <v>1080493.0221000002</v>
          </cell>
          <cell r="F240">
            <v>703520.49140000006</v>
          </cell>
          <cell r="G240">
            <v>1784013.5135000001</v>
          </cell>
        </row>
        <row r="243">
          <cell r="A243" t="str">
            <v>Gross profit</v>
          </cell>
        </row>
        <row r="244">
          <cell r="A244" t="str">
            <v xml:space="preserve">  Local GP before depreciation</v>
          </cell>
          <cell r="D244">
            <v>36781880.790000007</v>
          </cell>
          <cell r="E244">
            <v>15080571.123900002</v>
          </cell>
          <cell r="F244">
            <v>21701309.666100003</v>
          </cell>
          <cell r="G244">
            <v>36781880.790000007</v>
          </cell>
        </row>
        <row r="245">
          <cell r="A245" t="str">
            <v xml:space="preserve">  Less: QC/Mfg expense  (Booked in Admin in UF)</v>
          </cell>
          <cell r="D245">
            <v>-1713130.7800000003</v>
          </cell>
          <cell r="E245">
            <v>-896197.91500000004</v>
          </cell>
          <cell r="F245">
            <v>-816932.86500000022</v>
          </cell>
          <cell r="G245">
            <v>-1713130.7800000003</v>
          </cell>
        </row>
        <row r="246">
          <cell r="A246" t="str">
            <v xml:space="preserve">  Less :Qc/Mfg dep </v>
          </cell>
          <cell r="D246">
            <v>-97849.25999999998</v>
          </cell>
          <cell r="E246">
            <v>-68972.040199999989</v>
          </cell>
          <cell r="F246">
            <v>-28877.219799999999</v>
          </cell>
          <cell r="G246">
            <v>-97849.25999999998</v>
          </cell>
        </row>
        <row r="247">
          <cell r="A247" t="str">
            <v xml:space="preserve">  Less: Stock Loss</v>
          </cell>
          <cell r="B247" t="str">
            <v>SL</v>
          </cell>
          <cell r="G247">
            <v>0</v>
          </cell>
        </row>
        <row r="249">
          <cell r="A249" t="str">
            <v xml:space="preserve">  Local GP after Mfg + depreciation</v>
          </cell>
          <cell r="E249">
            <v>14115401.1687</v>
          </cell>
          <cell r="F249">
            <v>20855499.581300002</v>
          </cell>
          <cell r="G249">
            <v>34970900.750000007</v>
          </cell>
        </row>
        <row r="252">
          <cell r="A252" t="str">
            <v>Other operating income external</v>
          </cell>
        </row>
        <row r="253">
          <cell r="A253" t="str">
            <v xml:space="preserve">  Per UF, allocated using no. of sales</v>
          </cell>
          <cell r="B253" t="str">
            <v>OIE</v>
          </cell>
          <cell r="E253">
            <v>0</v>
          </cell>
          <cell r="F253">
            <v>0</v>
          </cell>
          <cell r="G253">
            <v>0</v>
          </cell>
        </row>
        <row r="256">
          <cell r="A256" t="str">
            <v>Depreciation - administrative</v>
          </cell>
        </row>
        <row r="257">
          <cell r="A257" t="str">
            <v xml:space="preserve">  Per UF, share equally</v>
          </cell>
          <cell r="B257" t="str">
            <v>DA</v>
          </cell>
          <cell r="D257">
            <v>-292725.86000000004</v>
          </cell>
          <cell r="E257">
            <v>-146363</v>
          </cell>
          <cell r="F257">
            <v>-146362.86000000004</v>
          </cell>
          <cell r="G257">
            <v>-292725.86000000004</v>
          </cell>
        </row>
        <row r="259">
          <cell r="A259" t="str">
            <v>Admin exp extract from UF</v>
          </cell>
          <cell r="B259" t="str">
            <v>AE</v>
          </cell>
          <cell r="D259" t="e">
            <v>#REF!</v>
          </cell>
          <cell r="E259" t="e">
            <v>#REF!</v>
          </cell>
          <cell r="F259" t="e">
            <v>#REF!</v>
          </cell>
          <cell r="G259" t="e">
            <v>#REF!</v>
          </cell>
        </row>
        <row r="260">
          <cell r="A260" t="str">
            <v>Less:  R&amp;D expense in admin</v>
          </cell>
          <cell r="D260" t="e">
            <v>#REF!</v>
          </cell>
          <cell r="E260" t="e">
            <v>#REF!</v>
          </cell>
          <cell r="F260" t="e">
            <v>#REF!</v>
          </cell>
          <cell r="G260" t="e">
            <v>#REF!</v>
          </cell>
        </row>
        <row r="261">
          <cell r="A261" t="str">
            <v>Less:  QC/Mfg expense in admin</v>
          </cell>
          <cell r="D261">
            <v>1713130.7800000003</v>
          </cell>
          <cell r="E261">
            <v>896197.91500000004</v>
          </cell>
          <cell r="F261">
            <v>816932.86500000022</v>
          </cell>
          <cell r="G261">
            <v>1713130.7800000003</v>
          </cell>
        </row>
        <row r="262">
          <cell r="A262" t="str">
            <v>Administrative expenses</v>
          </cell>
        </row>
        <row r="263">
          <cell r="A263" t="str">
            <v xml:space="preserve">  Per UF, allocated using no. of sales</v>
          </cell>
          <cell r="D263" t="e">
            <v>#REF!</v>
          </cell>
          <cell r="E263" t="e">
            <v>#REF!</v>
          </cell>
          <cell r="F263" t="e">
            <v>#REF!</v>
          </cell>
          <cell r="G263" t="e">
            <v>#REF!</v>
          </cell>
        </row>
        <row r="266">
          <cell r="A266" t="str">
            <v>Depreciation - selling</v>
          </cell>
        </row>
        <row r="267">
          <cell r="A267" t="str">
            <v xml:space="preserve">  Per UF, share equally</v>
          </cell>
          <cell r="B267" t="str">
            <v>DS</v>
          </cell>
          <cell r="D267" t="e">
            <v>#REF!</v>
          </cell>
          <cell r="E267" t="e">
            <v>#REF!</v>
          </cell>
          <cell r="F267" t="e">
            <v>#REF!</v>
          </cell>
          <cell r="G267" t="e">
            <v>#REF!</v>
          </cell>
        </row>
        <row r="270">
          <cell r="A270" t="str">
            <v>Depreciation - R&amp;D</v>
          </cell>
        </row>
        <row r="271">
          <cell r="A271" t="str">
            <v xml:space="preserve">  Per UF, share equally</v>
          </cell>
          <cell r="B271" t="str">
            <v>DRD</v>
          </cell>
          <cell r="D271" t="e">
            <v>#REF!</v>
          </cell>
          <cell r="E271" t="e">
            <v>#REF!</v>
          </cell>
          <cell r="F271" t="e">
            <v>#REF!</v>
          </cell>
          <cell r="G271" t="e">
            <v>#REF!</v>
          </cell>
        </row>
      </sheetData>
      <sheetData sheetId="2"/>
      <sheetData sheetId="3"/>
      <sheetData sheetId="4" refreshError="1">
        <row r="2">
          <cell r="A2" t="str">
            <v>会计年度</v>
          </cell>
          <cell r="B2" t="str">
            <v>会计期间</v>
          </cell>
          <cell r="C2" t="str">
            <v>科目编码</v>
          </cell>
          <cell r="D2" t="str">
            <v>科目名称</v>
          </cell>
          <cell r="E2" t="str">
            <v>外币名称</v>
          </cell>
          <cell r="F2" t="str">
            <v>期初借方</v>
          </cell>
          <cell r="G2" t="str">
            <v>期初贷方</v>
          </cell>
          <cell r="H2" t="str">
            <v>本期发生借方</v>
          </cell>
          <cell r="I2" t="str">
            <v>本期发生贷方</v>
          </cell>
          <cell r="J2" t="str">
            <v>期末借方</v>
          </cell>
          <cell r="K2" t="str">
            <v>期末贷方</v>
          </cell>
        </row>
        <row r="3">
          <cell r="A3" t="str">
            <v>2003</v>
          </cell>
          <cell r="B3" t="str">
            <v>月份：2003.01-2003.12</v>
          </cell>
          <cell r="C3" t="str">
            <v>1001</v>
          </cell>
          <cell r="D3" t="str">
            <v>现金</v>
          </cell>
          <cell r="F3">
            <v>20106.2</v>
          </cell>
          <cell r="G3">
            <v>0</v>
          </cell>
          <cell r="H3">
            <v>552944.15</v>
          </cell>
          <cell r="I3">
            <v>558356.35</v>
          </cell>
          <cell r="J3">
            <v>14694</v>
          </cell>
          <cell r="K3">
            <v>0</v>
          </cell>
        </row>
        <row r="4">
          <cell r="A4" t="str">
            <v>2003</v>
          </cell>
          <cell r="B4" t="str">
            <v>月份：2003.01-2003.12</v>
          </cell>
          <cell r="C4" t="str">
            <v>100110</v>
          </cell>
          <cell r="D4" t="str">
            <v xml:space="preserve">  人民币</v>
          </cell>
          <cell r="F4">
            <v>15000.39</v>
          </cell>
          <cell r="G4">
            <v>0</v>
          </cell>
          <cell r="H4">
            <v>552720.89</v>
          </cell>
          <cell r="I4">
            <v>553027.28</v>
          </cell>
          <cell r="J4">
            <v>14694</v>
          </cell>
          <cell r="K4">
            <v>0</v>
          </cell>
        </row>
        <row r="5">
          <cell r="A5" t="str">
            <v>2003</v>
          </cell>
          <cell r="B5" t="str">
            <v>月份：2003.01-2003.12</v>
          </cell>
          <cell r="C5" t="str">
            <v>100120</v>
          </cell>
          <cell r="D5" t="str">
            <v xml:space="preserve">  港币</v>
          </cell>
          <cell r="E5" t="str">
            <v>港币</v>
          </cell>
          <cell r="F5">
            <v>5105.8100000000004</v>
          </cell>
          <cell r="G5">
            <v>0</v>
          </cell>
          <cell r="H5">
            <v>223.26</v>
          </cell>
          <cell r="I5">
            <v>5329.07</v>
          </cell>
          <cell r="J5">
            <v>0</v>
          </cell>
          <cell r="K5">
            <v>0</v>
          </cell>
        </row>
        <row r="6">
          <cell r="A6" t="str">
            <v>2003</v>
          </cell>
          <cell r="B6" t="str">
            <v>月份：2003.01-2003.12</v>
          </cell>
          <cell r="C6" t="str">
            <v>1002</v>
          </cell>
          <cell r="D6" t="str">
            <v>银行存款</v>
          </cell>
          <cell r="F6">
            <v>13120406.57</v>
          </cell>
          <cell r="G6">
            <v>0</v>
          </cell>
          <cell r="H6">
            <v>124700556.83</v>
          </cell>
          <cell r="I6">
            <v>131202550.73999999</v>
          </cell>
          <cell r="J6">
            <v>6618412.6600000001</v>
          </cell>
          <cell r="K6">
            <v>0</v>
          </cell>
        </row>
        <row r="7">
          <cell r="A7" t="str">
            <v>2003</v>
          </cell>
          <cell r="B7" t="str">
            <v>月份：2003.01-2003.12</v>
          </cell>
          <cell r="C7" t="str">
            <v>100210</v>
          </cell>
          <cell r="D7" t="str">
            <v xml:space="preserve">  沙井中行（港币）</v>
          </cell>
          <cell r="E7" t="str">
            <v>港币</v>
          </cell>
          <cell r="F7">
            <v>1132993.83</v>
          </cell>
          <cell r="G7">
            <v>0</v>
          </cell>
          <cell r="H7">
            <v>3155656.06</v>
          </cell>
          <cell r="I7">
            <v>4044789.77</v>
          </cell>
          <cell r="J7">
            <v>243860.12</v>
          </cell>
          <cell r="K7">
            <v>0</v>
          </cell>
        </row>
        <row r="8">
          <cell r="A8" t="str">
            <v>2003</v>
          </cell>
          <cell r="B8" t="str">
            <v>月份：2003.01-2003.12</v>
          </cell>
          <cell r="C8" t="str">
            <v>100220</v>
          </cell>
          <cell r="D8" t="str">
            <v xml:space="preserve">  沙井中行（人民币）</v>
          </cell>
          <cell r="F8">
            <v>9263095.9299999997</v>
          </cell>
          <cell r="G8">
            <v>0</v>
          </cell>
          <cell r="H8">
            <v>107625222.41</v>
          </cell>
          <cell r="I8">
            <v>111592871.64</v>
          </cell>
          <cell r="J8">
            <v>5295446.7</v>
          </cell>
          <cell r="K8">
            <v>0</v>
          </cell>
        </row>
        <row r="9">
          <cell r="A9" t="str">
            <v>2003</v>
          </cell>
          <cell r="B9" t="str">
            <v>月份：2003.01-2003.12</v>
          </cell>
          <cell r="C9" t="str">
            <v>100230</v>
          </cell>
          <cell r="D9" t="str">
            <v xml:space="preserve">  沙井工商行（人民币）</v>
          </cell>
          <cell r="F9">
            <v>83811.16</v>
          </cell>
          <cell r="G9">
            <v>0</v>
          </cell>
          <cell r="H9">
            <v>3101334.22</v>
          </cell>
          <cell r="I9">
            <v>2841997.8</v>
          </cell>
          <cell r="J9">
            <v>343147.58</v>
          </cell>
          <cell r="K9">
            <v>0</v>
          </cell>
        </row>
        <row r="10">
          <cell r="A10" t="str">
            <v>2003</v>
          </cell>
          <cell r="B10" t="str">
            <v>月份：2003.01-2003.12</v>
          </cell>
          <cell r="C10" t="str">
            <v>100240</v>
          </cell>
          <cell r="D10" t="str">
            <v xml:space="preserve">  民生行（人民币）</v>
          </cell>
          <cell r="F10">
            <v>2438.9299999999998</v>
          </cell>
          <cell r="G10">
            <v>0</v>
          </cell>
          <cell r="H10">
            <v>22.32</v>
          </cell>
          <cell r="I10">
            <v>0</v>
          </cell>
          <cell r="J10">
            <v>2461.25</v>
          </cell>
          <cell r="K10">
            <v>0</v>
          </cell>
        </row>
        <row r="11">
          <cell r="A11" t="str">
            <v>2003</v>
          </cell>
          <cell r="B11" t="str">
            <v>月份：2003.01-2003.12</v>
          </cell>
          <cell r="C11" t="str">
            <v>100250</v>
          </cell>
          <cell r="D11" t="str">
            <v xml:space="preserve">  沙井信用社（人民币）</v>
          </cell>
          <cell r="F11">
            <v>140231.71</v>
          </cell>
          <cell r="G11">
            <v>0</v>
          </cell>
          <cell r="H11">
            <v>3801977.06</v>
          </cell>
          <cell r="I11">
            <v>3590591.53</v>
          </cell>
          <cell r="J11">
            <v>351617.24</v>
          </cell>
          <cell r="K11">
            <v>0</v>
          </cell>
        </row>
        <row r="12">
          <cell r="A12" t="str">
            <v>2003</v>
          </cell>
          <cell r="B12" t="str">
            <v>月份：2003.01-2003.12</v>
          </cell>
          <cell r="C12" t="str">
            <v>100260</v>
          </cell>
          <cell r="D12" t="str">
            <v xml:space="preserve">  沙井建行（人民币）</v>
          </cell>
          <cell r="F12">
            <v>2497835.0099999998</v>
          </cell>
          <cell r="G12">
            <v>0</v>
          </cell>
          <cell r="H12">
            <v>9776.7800000000007</v>
          </cell>
          <cell r="I12">
            <v>2500030</v>
          </cell>
          <cell r="J12">
            <v>7581.79</v>
          </cell>
          <cell r="K12">
            <v>0</v>
          </cell>
        </row>
        <row r="13">
          <cell r="A13" t="str">
            <v>2003</v>
          </cell>
          <cell r="B13" t="str">
            <v>月份：2003.01-2003.12</v>
          </cell>
          <cell r="C13" t="str">
            <v>100270</v>
          </cell>
          <cell r="D13" t="str">
            <v xml:space="preserve">  东亚银行（人民币）</v>
          </cell>
          <cell r="F13">
            <v>0</v>
          </cell>
          <cell r="G13">
            <v>0</v>
          </cell>
          <cell r="H13">
            <v>7006567.9800000004</v>
          </cell>
          <cell r="I13">
            <v>6632270</v>
          </cell>
          <cell r="J13">
            <v>374297.98</v>
          </cell>
          <cell r="K13">
            <v>0</v>
          </cell>
        </row>
        <row r="14">
          <cell r="A14" t="str">
            <v>2003</v>
          </cell>
          <cell r="B14" t="str">
            <v>月份：2003.01-2003.12</v>
          </cell>
          <cell r="C14" t="str">
            <v>1010</v>
          </cell>
          <cell r="D14" t="str">
            <v>货币换算</v>
          </cell>
          <cell r="F14">
            <v>0</v>
          </cell>
          <cell r="G14">
            <v>0</v>
          </cell>
          <cell r="H14">
            <v>28664932.050000001</v>
          </cell>
          <cell r="I14">
            <v>28664932.050000001</v>
          </cell>
          <cell r="J14">
            <v>0</v>
          </cell>
          <cell r="K14">
            <v>0</v>
          </cell>
        </row>
        <row r="15">
          <cell r="A15" t="str">
            <v>2003</v>
          </cell>
          <cell r="B15" t="str">
            <v>月份：2003.01-2003.12</v>
          </cell>
          <cell r="C15" t="str">
            <v>101010</v>
          </cell>
          <cell r="D15" t="str">
            <v xml:space="preserve">  港币</v>
          </cell>
          <cell r="E15" t="str">
            <v>港币</v>
          </cell>
          <cell r="F15">
            <v>0</v>
          </cell>
          <cell r="G15">
            <v>0</v>
          </cell>
          <cell r="H15">
            <v>28664932.050000001</v>
          </cell>
          <cell r="I15">
            <v>28664932.050000001</v>
          </cell>
          <cell r="J15">
            <v>0</v>
          </cell>
          <cell r="K15">
            <v>0</v>
          </cell>
        </row>
        <row r="16">
          <cell r="A16" t="str">
            <v>2003</v>
          </cell>
          <cell r="B16" t="str">
            <v>月份：2003.01-2003.12</v>
          </cell>
          <cell r="C16" t="str">
            <v>1111</v>
          </cell>
          <cell r="D16" t="str">
            <v>应收票据</v>
          </cell>
          <cell r="F16">
            <v>4169827.65</v>
          </cell>
          <cell r="G16">
            <v>0</v>
          </cell>
          <cell r="H16">
            <v>13785728.289999999</v>
          </cell>
          <cell r="I16">
            <v>13846726.109999999</v>
          </cell>
          <cell r="J16">
            <v>4108829.83</v>
          </cell>
          <cell r="K16">
            <v>0</v>
          </cell>
        </row>
        <row r="17">
          <cell r="A17" t="str">
            <v>2003</v>
          </cell>
          <cell r="B17" t="str">
            <v>月份：2003.01-2003.12</v>
          </cell>
          <cell r="C17" t="str">
            <v>1131</v>
          </cell>
          <cell r="D17" t="str">
            <v>应收账款</v>
          </cell>
          <cell r="F17">
            <v>30122205.5</v>
          </cell>
          <cell r="G17">
            <v>0</v>
          </cell>
          <cell r="H17">
            <v>98738355.290000007</v>
          </cell>
          <cell r="I17">
            <v>110643360.20999999</v>
          </cell>
          <cell r="J17">
            <v>18217200.579999998</v>
          </cell>
          <cell r="K17">
            <v>0</v>
          </cell>
        </row>
        <row r="18">
          <cell r="A18" t="str">
            <v>2003</v>
          </cell>
          <cell r="B18" t="str">
            <v>月份：2003.01-2003.12</v>
          </cell>
          <cell r="C18" t="str">
            <v>113110</v>
          </cell>
          <cell r="D18" t="str">
            <v xml:space="preserve">  应收帐款-人民币</v>
          </cell>
          <cell r="F18">
            <v>30017099.300000001</v>
          </cell>
          <cell r="G18">
            <v>0</v>
          </cell>
          <cell r="H18">
            <v>96285181.5</v>
          </cell>
          <cell r="I18">
            <v>108085080.22</v>
          </cell>
          <cell r="J18">
            <v>18217200.579999998</v>
          </cell>
          <cell r="K18">
            <v>0</v>
          </cell>
        </row>
        <row r="19">
          <cell r="A19" t="str">
            <v>2003</v>
          </cell>
          <cell r="B19" t="str">
            <v>月份：2003.01-2003.12</v>
          </cell>
          <cell r="C19" t="str">
            <v>113120</v>
          </cell>
          <cell r="D19" t="str">
            <v xml:space="preserve">  应收帐款-港币</v>
          </cell>
          <cell r="E19" t="str">
            <v>港币</v>
          </cell>
          <cell r="F19">
            <v>105106.2</v>
          </cell>
          <cell r="G19">
            <v>0</v>
          </cell>
          <cell r="H19">
            <v>2453173.79</v>
          </cell>
          <cell r="I19">
            <v>2558279.9900000002</v>
          </cell>
          <cell r="J19">
            <v>0</v>
          </cell>
          <cell r="K19">
            <v>0</v>
          </cell>
        </row>
        <row r="20">
          <cell r="A20" t="str">
            <v>2003</v>
          </cell>
          <cell r="B20" t="str">
            <v>月份：2003.01-2003.12</v>
          </cell>
          <cell r="C20" t="str">
            <v>1133</v>
          </cell>
          <cell r="D20" t="str">
            <v>其他应收款</v>
          </cell>
          <cell r="F20">
            <v>332203.31</v>
          </cell>
          <cell r="G20">
            <v>0</v>
          </cell>
          <cell r="H20">
            <v>2246970.15</v>
          </cell>
          <cell r="I20">
            <v>1680010.08</v>
          </cell>
          <cell r="J20">
            <v>899163.38</v>
          </cell>
          <cell r="K20">
            <v>0</v>
          </cell>
        </row>
        <row r="21">
          <cell r="A21" t="str">
            <v>2003</v>
          </cell>
          <cell r="B21" t="str">
            <v>月份：2003.01-2003.12</v>
          </cell>
          <cell r="C21" t="str">
            <v>113310</v>
          </cell>
          <cell r="D21" t="str">
            <v xml:space="preserve">  备用金</v>
          </cell>
          <cell r="F21">
            <v>65000</v>
          </cell>
          <cell r="G21">
            <v>0</v>
          </cell>
          <cell r="H21">
            <v>68200</v>
          </cell>
          <cell r="I21">
            <v>63302.74</v>
          </cell>
          <cell r="J21">
            <v>69897.259999999995</v>
          </cell>
          <cell r="K21">
            <v>0</v>
          </cell>
        </row>
        <row r="22">
          <cell r="A22" t="str">
            <v>2003</v>
          </cell>
          <cell r="B22" t="str">
            <v>月份：2003.01-2003.12</v>
          </cell>
          <cell r="C22" t="str">
            <v>113320</v>
          </cell>
          <cell r="D22" t="str">
            <v xml:space="preserve">  职工预借款</v>
          </cell>
          <cell r="F22">
            <v>74613</v>
          </cell>
          <cell r="G22">
            <v>0</v>
          </cell>
          <cell r="H22">
            <v>217149.69</v>
          </cell>
          <cell r="I22">
            <v>232659</v>
          </cell>
          <cell r="J22">
            <v>59103.69</v>
          </cell>
          <cell r="K22">
            <v>0</v>
          </cell>
        </row>
        <row r="23">
          <cell r="A23" t="str">
            <v>2003</v>
          </cell>
          <cell r="B23" t="str">
            <v>月份：2003.01-2003.12</v>
          </cell>
          <cell r="C23" t="str">
            <v>113330</v>
          </cell>
          <cell r="D23" t="str">
            <v xml:space="preserve">  住房押金</v>
          </cell>
          <cell r="F23">
            <v>173793.16</v>
          </cell>
          <cell r="G23">
            <v>0</v>
          </cell>
          <cell r="H23">
            <v>10500</v>
          </cell>
          <cell r="I23">
            <v>500</v>
          </cell>
          <cell r="J23">
            <v>183793.16</v>
          </cell>
          <cell r="K23">
            <v>0</v>
          </cell>
        </row>
        <row r="24">
          <cell r="A24" t="str">
            <v>2003</v>
          </cell>
          <cell r="B24" t="str">
            <v>月份：2003.01-2003.12</v>
          </cell>
          <cell r="C24" t="str">
            <v>113350</v>
          </cell>
          <cell r="D24" t="str">
            <v xml:space="preserve">  预付保险费</v>
          </cell>
          <cell r="F24">
            <v>0</v>
          </cell>
          <cell r="G24">
            <v>0</v>
          </cell>
          <cell r="H24">
            <v>120600</v>
          </cell>
          <cell r="I24">
            <v>120600</v>
          </cell>
          <cell r="J24">
            <v>0</v>
          </cell>
          <cell r="K24">
            <v>0</v>
          </cell>
        </row>
        <row r="25">
          <cell r="A25" t="str">
            <v>2003</v>
          </cell>
          <cell r="B25" t="str">
            <v>月份：2003.01-2003.12</v>
          </cell>
          <cell r="C25" t="str">
            <v>113360</v>
          </cell>
          <cell r="D25" t="str">
            <v xml:space="preserve">  其他</v>
          </cell>
          <cell r="F25">
            <v>6797.15</v>
          </cell>
          <cell r="G25">
            <v>0</v>
          </cell>
          <cell r="H25">
            <v>211697.96</v>
          </cell>
          <cell r="I25">
            <v>12948.34</v>
          </cell>
          <cell r="J25">
            <v>205546.77</v>
          </cell>
          <cell r="K25">
            <v>0</v>
          </cell>
        </row>
        <row r="26">
          <cell r="A26" t="str">
            <v>2003</v>
          </cell>
          <cell r="B26" t="str">
            <v>月份：2003.01-2003.12</v>
          </cell>
          <cell r="C26" t="str">
            <v>113370</v>
          </cell>
          <cell r="D26" t="str">
            <v xml:space="preserve">  飞机订票保证金</v>
          </cell>
          <cell r="F26">
            <v>10000</v>
          </cell>
          <cell r="G26">
            <v>0</v>
          </cell>
          <cell r="H26">
            <v>0</v>
          </cell>
          <cell r="I26">
            <v>0</v>
          </cell>
          <cell r="J26">
            <v>10000</v>
          </cell>
          <cell r="K26">
            <v>0</v>
          </cell>
        </row>
        <row r="27">
          <cell r="A27" t="str">
            <v>2003</v>
          </cell>
          <cell r="B27" t="str">
            <v>月份：2003.01-2003.12</v>
          </cell>
          <cell r="C27" t="str">
            <v>113380</v>
          </cell>
          <cell r="D27" t="str">
            <v xml:space="preserve">  手机漫游押金</v>
          </cell>
          <cell r="F27">
            <v>2000</v>
          </cell>
          <cell r="G27">
            <v>0</v>
          </cell>
          <cell r="H27">
            <v>0</v>
          </cell>
          <cell r="I27">
            <v>0</v>
          </cell>
          <cell r="J27">
            <v>2000</v>
          </cell>
          <cell r="K27">
            <v>0</v>
          </cell>
        </row>
        <row r="28">
          <cell r="A28" t="str">
            <v>2003</v>
          </cell>
          <cell r="B28" t="str">
            <v>月份：2003.01-2003.12</v>
          </cell>
          <cell r="C28" t="str">
            <v>113390</v>
          </cell>
          <cell r="D28" t="str">
            <v xml:space="preserve">  开办费</v>
          </cell>
          <cell r="F28">
            <v>0</v>
          </cell>
          <cell r="G28">
            <v>0</v>
          </cell>
          <cell r="H28">
            <v>1618822.5</v>
          </cell>
          <cell r="I28">
            <v>1250000</v>
          </cell>
          <cell r="J28">
            <v>368822.5</v>
          </cell>
          <cell r="K28">
            <v>0</v>
          </cell>
        </row>
        <row r="29">
          <cell r="A29" t="str">
            <v>2003</v>
          </cell>
          <cell r="B29" t="str">
            <v>月份：2003.01-2003.12</v>
          </cell>
          <cell r="C29" t="str">
            <v>1141</v>
          </cell>
          <cell r="D29" t="str">
            <v>坏账准备</v>
          </cell>
          <cell r="F29">
            <v>0</v>
          </cell>
          <cell r="G29">
            <v>836486.24</v>
          </cell>
          <cell r="H29">
            <v>0</v>
          </cell>
          <cell r="I29">
            <v>-110568.55</v>
          </cell>
          <cell r="J29">
            <v>0</v>
          </cell>
          <cell r="K29">
            <v>725917.69</v>
          </cell>
        </row>
        <row r="30">
          <cell r="A30" t="str">
            <v>2003</v>
          </cell>
          <cell r="B30" t="str">
            <v>月份：2003.01-2003.12</v>
          </cell>
          <cell r="C30" t="str">
            <v>1151</v>
          </cell>
          <cell r="D30" t="str">
            <v>预付账款</v>
          </cell>
          <cell r="F30">
            <v>0</v>
          </cell>
          <cell r="G30">
            <v>0</v>
          </cell>
          <cell r="H30">
            <v>194558.3</v>
          </cell>
          <cell r="I30">
            <v>194558.3</v>
          </cell>
          <cell r="J30">
            <v>0</v>
          </cell>
          <cell r="K30">
            <v>0</v>
          </cell>
        </row>
        <row r="31">
          <cell r="A31" t="str">
            <v>2003</v>
          </cell>
          <cell r="B31" t="str">
            <v>月份：2003.01-2003.12</v>
          </cell>
          <cell r="C31" t="str">
            <v>115130</v>
          </cell>
          <cell r="D31" t="str">
            <v xml:space="preserve">  其它</v>
          </cell>
          <cell r="F31">
            <v>0</v>
          </cell>
          <cell r="G31">
            <v>0</v>
          </cell>
          <cell r="H31">
            <v>194558.3</v>
          </cell>
          <cell r="I31">
            <v>194558.3</v>
          </cell>
          <cell r="J31">
            <v>0</v>
          </cell>
          <cell r="K31">
            <v>0</v>
          </cell>
        </row>
        <row r="32">
          <cell r="A32" t="str">
            <v>2003</v>
          </cell>
          <cell r="B32" t="str">
            <v>月份：2003.01-2003.12</v>
          </cell>
          <cell r="C32" t="str">
            <v>1201</v>
          </cell>
          <cell r="D32" t="str">
            <v>材料采购（用友）</v>
          </cell>
          <cell r="F32">
            <v>0</v>
          </cell>
          <cell r="G32">
            <v>225366.56</v>
          </cell>
          <cell r="H32">
            <v>35916490.259999998</v>
          </cell>
          <cell r="I32">
            <v>35756882.649999999</v>
          </cell>
          <cell r="J32">
            <v>0</v>
          </cell>
          <cell r="K32">
            <v>65758.95</v>
          </cell>
        </row>
        <row r="33">
          <cell r="A33" t="str">
            <v>2003</v>
          </cell>
          <cell r="B33" t="str">
            <v>月份：2003.01-2003.12</v>
          </cell>
          <cell r="C33" t="str">
            <v>1211</v>
          </cell>
          <cell r="D33" t="str">
            <v>原材料</v>
          </cell>
          <cell r="F33">
            <v>23201113.539999999</v>
          </cell>
          <cell r="G33">
            <v>0</v>
          </cell>
          <cell r="H33">
            <v>42641287.759999998</v>
          </cell>
          <cell r="I33">
            <v>50236753.140000001</v>
          </cell>
          <cell r="J33">
            <v>15605648.16</v>
          </cell>
          <cell r="K33">
            <v>0</v>
          </cell>
        </row>
        <row r="34">
          <cell r="A34" t="str">
            <v>2003</v>
          </cell>
          <cell r="B34" t="str">
            <v>月份：2003.01-2003.12</v>
          </cell>
          <cell r="C34" t="str">
            <v>121110</v>
          </cell>
          <cell r="D34" t="str">
            <v xml:space="preserve">  原材料</v>
          </cell>
          <cell r="F34">
            <v>23201113.539999999</v>
          </cell>
          <cell r="G34">
            <v>0</v>
          </cell>
          <cell r="H34">
            <v>42641287.759999998</v>
          </cell>
          <cell r="I34">
            <v>50236753.140000001</v>
          </cell>
          <cell r="J34">
            <v>15605648.16</v>
          </cell>
          <cell r="K34">
            <v>0</v>
          </cell>
        </row>
        <row r="35">
          <cell r="A35" t="str">
            <v>2003</v>
          </cell>
          <cell r="B35" t="str">
            <v>月份：2003.01-2003.12</v>
          </cell>
          <cell r="C35" t="str">
            <v>1221</v>
          </cell>
          <cell r="D35" t="str">
            <v>包装物</v>
          </cell>
          <cell r="F35">
            <v>99076.39</v>
          </cell>
          <cell r="G35">
            <v>0</v>
          </cell>
          <cell r="H35">
            <v>810915.18</v>
          </cell>
          <cell r="I35">
            <v>830205.55</v>
          </cell>
          <cell r="J35">
            <v>79786.02</v>
          </cell>
          <cell r="K35">
            <v>0</v>
          </cell>
        </row>
        <row r="36">
          <cell r="A36" t="str">
            <v>2003</v>
          </cell>
          <cell r="B36" t="str">
            <v>月份：2003.01-2003.12</v>
          </cell>
          <cell r="C36" t="str">
            <v>1241</v>
          </cell>
          <cell r="D36" t="str">
            <v>半成品</v>
          </cell>
          <cell r="F36">
            <v>1168115.1399999999</v>
          </cell>
          <cell r="G36">
            <v>0</v>
          </cell>
          <cell r="H36">
            <v>16985128.440000001</v>
          </cell>
          <cell r="I36">
            <v>16202117.16</v>
          </cell>
          <cell r="J36">
            <v>1951126.42</v>
          </cell>
          <cell r="K36">
            <v>0</v>
          </cell>
        </row>
        <row r="37">
          <cell r="A37" t="str">
            <v>2003</v>
          </cell>
          <cell r="B37" t="str">
            <v>月份：2003.01-2003.12</v>
          </cell>
          <cell r="C37" t="str">
            <v>1243</v>
          </cell>
          <cell r="D37" t="str">
            <v>库存商品</v>
          </cell>
          <cell r="F37">
            <v>2826585</v>
          </cell>
          <cell r="G37">
            <v>0</v>
          </cell>
          <cell r="H37">
            <v>51183687.909999996</v>
          </cell>
          <cell r="I37">
            <v>50999641.109999999</v>
          </cell>
          <cell r="J37">
            <v>3010631.8</v>
          </cell>
          <cell r="K37">
            <v>0</v>
          </cell>
        </row>
        <row r="38">
          <cell r="A38" t="str">
            <v>2003</v>
          </cell>
          <cell r="B38" t="str">
            <v>月份：2003.01-2003.12</v>
          </cell>
          <cell r="C38" t="str">
            <v>124320</v>
          </cell>
          <cell r="D38" t="str">
            <v xml:space="preserve">  委托加工</v>
          </cell>
          <cell r="F38">
            <v>2170721.75</v>
          </cell>
          <cell r="G38">
            <v>0</v>
          </cell>
          <cell r="H38">
            <v>48523696.359999999</v>
          </cell>
          <cell r="I38">
            <v>48315929.079999998</v>
          </cell>
          <cell r="J38">
            <v>2378489.0299999998</v>
          </cell>
          <cell r="K38">
            <v>0</v>
          </cell>
        </row>
        <row r="39">
          <cell r="A39" t="str">
            <v>2003</v>
          </cell>
          <cell r="B39" t="str">
            <v>月份：2003.01-2003.12</v>
          </cell>
          <cell r="C39" t="str">
            <v>124340</v>
          </cell>
          <cell r="D39" t="str">
            <v xml:space="preserve">  坏货</v>
          </cell>
          <cell r="F39">
            <v>655863.25</v>
          </cell>
          <cell r="G39">
            <v>0</v>
          </cell>
          <cell r="H39">
            <v>540997.4</v>
          </cell>
          <cell r="I39">
            <v>576440.16</v>
          </cell>
          <cell r="J39">
            <v>620420.49</v>
          </cell>
          <cell r="K39">
            <v>0</v>
          </cell>
        </row>
        <row r="40">
          <cell r="A40" t="str">
            <v>2003</v>
          </cell>
          <cell r="B40" t="str">
            <v>月份：2003.01-2003.12</v>
          </cell>
          <cell r="C40" t="str">
            <v>124350</v>
          </cell>
          <cell r="D40" t="str">
            <v xml:space="preserve">  成品-改制</v>
          </cell>
          <cell r="F40">
            <v>0</v>
          </cell>
          <cell r="G40">
            <v>0</v>
          </cell>
          <cell r="H40">
            <v>2118994.15</v>
          </cell>
          <cell r="I40">
            <v>2107271.87</v>
          </cell>
          <cell r="J40">
            <v>11722.28</v>
          </cell>
          <cell r="K40">
            <v>0</v>
          </cell>
        </row>
        <row r="41">
          <cell r="A41" t="str">
            <v>2003</v>
          </cell>
          <cell r="B41" t="str">
            <v>月份：2003.01-2003.12</v>
          </cell>
          <cell r="C41" t="str">
            <v>1251</v>
          </cell>
          <cell r="D41" t="str">
            <v>委托加工物资</v>
          </cell>
          <cell r="F41">
            <v>1125748.3999999999</v>
          </cell>
          <cell r="G41">
            <v>0</v>
          </cell>
          <cell r="H41">
            <v>43918186.509999998</v>
          </cell>
          <cell r="I41">
            <v>43667182.020000003</v>
          </cell>
          <cell r="J41">
            <v>1376752.89</v>
          </cell>
          <cell r="K41">
            <v>0</v>
          </cell>
        </row>
        <row r="42">
          <cell r="A42" t="str">
            <v>2003</v>
          </cell>
          <cell r="B42" t="str">
            <v>月份：2003.01-2003.12</v>
          </cell>
          <cell r="C42" t="str">
            <v>125110</v>
          </cell>
          <cell r="D42" t="str">
            <v xml:space="preserve">  委加工-原材料</v>
          </cell>
          <cell r="F42">
            <v>1119118.25</v>
          </cell>
          <cell r="G42">
            <v>0</v>
          </cell>
          <cell r="H42">
            <v>43140193.75</v>
          </cell>
          <cell r="I42">
            <v>42890741.259999998</v>
          </cell>
          <cell r="J42">
            <v>1368570.74</v>
          </cell>
          <cell r="K42">
            <v>0</v>
          </cell>
        </row>
        <row r="43">
          <cell r="A43" t="str">
            <v>2003</v>
          </cell>
          <cell r="B43" t="str">
            <v>月份：2003.01-2003.12</v>
          </cell>
          <cell r="C43" t="str">
            <v>125120</v>
          </cell>
          <cell r="D43" t="str">
            <v xml:space="preserve">  委加工-包装材料</v>
          </cell>
          <cell r="F43">
            <v>6630.15</v>
          </cell>
          <cell r="G43">
            <v>0</v>
          </cell>
          <cell r="H43">
            <v>777992.76</v>
          </cell>
          <cell r="I43">
            <v>776440.76</v>
          </cell>
          <cell r="J43">
            <v>8182.15</v>
          </cell>
          <cell r="K43">
            <v>0</v>
          </cell>
        </row>
        <row r="44">
          <cell r="A44" t="str">
            <v>2003</v>
          </cell>
          <cell r="B44" t="str">
            <v>月份：2003.01-2003.12</v>
          </cell>
          <cell r="C44" t="str">
            <v>1281</v>
          </cell>
          <cell r="D44" t="str">
            <v>存货跌价准备</v>
          </cell>
          <cell r="F44">
            <v>0</v>
          </cell>
          <cell r="G44">
            <v>2178193.52</v>
          </cell>
          <cell r="H44">
            <v>1370081.68</v>
          </cell>
          <cell r="I44">
            <v>3037378.77</v>
          </cell>
          <cell r="J44">
            <v>0</v>
          </cell>
          <cell r="K44">
            <v>3845490.61</v>
          </cell>
        </row>
        <row r="45">
          <cell r="A45" t="str">
            <v>2003</v>
          </cell>
          <cell r="B45" t="str">
            <v>月份：2003.01-2003.12</v>
          </cell>
          <cell r="C45" t="str">
            <v>1301</v>
          </cell>
          <cell r="D45" t="str">
            <v>待摊费用</v>
          </cell>
          <cell r="F45">
            <v>0.25</v>
          </cell>
          <cell r="G45">
            <v>0</v>
          </cell>
          <cell r="H45">
            <v>953497.71</v>
          </cell>
          <cell r="I45">
            <v>721054.5</v>
          </cell>
          <cell r="J45">
            <v>232443.46</v>
          </cell>
          <cell r="K45">
            <v>0</v>
          </cell>
        </row>
        <row r="46">
          <cell r="A46" t="str">
            <v>2003</v>
          </cell>
          <cell r="B46" t="str">
            <v>月份：2003.01-2003.12</v>
          </cell>
          <cell r="C46" t="str">
            <v>130110</v>
          </cell>
          <cell r="D46" t="str">
            <v xml:space="preserve">  待摊费用-技术转让费</v>
          </cell>
          <cell r="E46" t="str">
            <v>港币</v>
          </cell>
          <cell r="F46">
            <v>0.25</v>
          </cell>
          <cell r="G46">
            <v>0</v>
          </cell>
          <cell r="H46">
            <v>331744.51</v>
          </cell>
          <cell r="I46">
            <v>331744.76</v>
          </cell>
          <cell r="J46">
            <v>0</v>
          </cell>
          <cell r="K46">
            <v>0</v>
          </cell>
        </row>
        <row r="47">
          <cell r="A47" t="str">
            <v>2003</v>
          </cell>
          <cell r="B47" t="str">
            <v>月份：2003.01-2003.12</v>
          </cell>
          <cell r="C47" t="str">
            <v>130111</v>
          </cell>
          <cell r="D47" t="str">
            <v xml:space="preserve">  待摊费用-预付保险费</v>
          </cell>
          <cell r="F47">
            <v>0</v>
          </cell>
          <cell r="G47">
            <v>0</v>
          </cell>
          <cell r="H47">
            <v>247845.09</v>
          </cell>
          <cell r="I47">
            <v>247845.09</v>
          </cell>
          <cell r="J47">
            <v>0</v>
          </cell>
          <cell r="K47">
            <v>0</v>
          </cell>
        </row>
        <row r="48">
          <cell r="A48" t="str">
            <v>2003</v>
          </cell>
          <cell r="B48" t="str">
            <v>月份：2003.01-2003.12</v>
          </cell>
          <cell r="C48" t="str">
            <v>130113</v>
          </cell>
          <cell r="D48" t="str">
            <v xml:space="preserve">  专线使用费</v>
          </cell>
          <cell r="F48">
            <v>0</v>
          </cell>
          <cell r="G48">
            <v>0</v>
          </cell>
          <cell r="H48">
            <v>40816.85</v>
          </cell>
          <cell r="I48">
            <v>40816.85</v>
          </cell>
          <cell r="J48">
            <v>0</v>
          </cell>
          <cell r="K48">
            <v>0</v>
          </cell>
        </row>
        <row r="49">
          <cell r="A49" t="str">
            <v>2003</v>
          </cell>
          <cell r="B49" t="str">
            <v>月份：2003.01-2003.12</v>
          </cell>
          <cell r="C49" t="str">
            <v>130114</v>
          </cell>
          <cell r="D49" t="str">
            <v xml:space="preserve">  新办室装修</v>
          </cell>
          <cell r="F49">
            <v>0</v>
          </cell>
          <cell r="G49">
            <v>0</v>
          </cell>
          <cell r="H49">
            <v>39489.35</v>
          </cell>
          <cell r="I49">
            <v>39489.35</v>
          </cell>
          <cell r="J49">
            <v>0</v>
          </cell>
          <cell r="K49">
            <v>0</v>
          </cell>
        </row>
        <row r="50">
          <cell r="A50" t="str">
            <v>2003</v>
          </cell>
          <cell r="B50" t="str">
            <v>月份：2003.01-2003.12</v>
          </cell>
          <cell r="C50" t="str">
            <v>130115</v>
          </cell>
          <cell r="D50" t="str">
            <v xml:space="preserve">  用友软件维护费</v>
          </cell>
          <cell r="F50">
            <v>0</v>
          </cell>
          <cell r="G50">
            <v>0</v>
          </cell>
          <cell r="H50">
            <v>28875</v>
          </cell>
          <cell r="I50">
            <v>21656.25</v>
          </cell>
          <cell r="J50">
            <v>7218.75</v>
          </cell>
          <cell r="K50">
            <v>0</v>
          </cell>
        </row>
        <row r="51">
          <cell r="A51" t="str">
            <v>2003</v>
          </cell>
          <cell r="B51" t="str">
            <v>月份：2003.01-2003.12</v>
          </cell>
          <cell r="C51" t="str">
            <v>130116</v>
          </cell>
          <cell r="D51" t="str">
            <v xml:space="preserve">  软件</v>
          </cell>
          <cell r="F51">
            <v>0</v>
          </cell>
          <cell r="G51">
            <v>0</v>
          </cell>
          <cell r="H51">
            <v>189973.51</v>
          </cell>
          <cell r="I51">
            <v>31662.2</v>
          </cell>
          <cell r="J51">
            <v>158311.31</v>
          </cell>
          <cell r="K51">
            <v>0</v>
          </cell>
        </row>
        <row r="52">
          <cell r="A52" t="str">
            <v>2003</v>
          </cell>
          <cell r="B52" t="str">
            <v>月份：2003.01-2003.12</v>
          </cell>
          <cell r="C52" t="str">
            <v>130118</v>
          </cell>
          <cell r="D52" t="str">
            <v xml:space="preserve">  微软操作及办公软件</v>
          </cell>
          <cell r="F52">
            <v>0</v>
          </cell>
          <cell r="G52">
            <v>0</v>
          </cell>
          <cell r="H52">
            <v>47040</v>
          </cell>
          <cell r="I52">
            <v>7840</v>
          </cell>
          <cell r="J52">
            <v>39200</v>
          </cell>
          <cell r="K52">
            <v>0</v>
          </cell>
        </row>
        <row r="53">
          <cell r="A53" t="str">
            <v>2003</v>
          </cell>
          <cell r="B53" t="str">
            <v>月份：2003.01-2003.12</v>
          </cell>
          <cell r="C53" t="str">
            <v>130120</v>
          </cell>
          <cell r="D53" t="str">
            <v xml:space="preserve">  其它</v>
          </cell>
          <cell r="F53">
            <v>0</v>
          </cell>
          <cell r="G53">
            <v>0</v>
          </cell>
          <cell r="H53">
            <v>27713.4</v>
          </cell>
          <cell r="I53">
            <v>0</v>
          </cell>
          <cell r="J53">
            <v>27713.4</v>
          </cell>
          <cell r="K53">
            <v>0</v>
          </cell>
        </row>
        <row r="54">
          <cell r="A54" t="str">
            <v>2003</v>
          </cell>
          <cell r="B54" t="str">
            <v>月份：2003.01-2003.12</v>
          </cell>
          <cell r="C54" t="str">
            <v>1501</v>
          </cell>
          <cell r="D54" t="str">
            <v>固定资产</v>
          </cell>
          <cell r="F54">
            <v>2783869.69</v>
          </cell>
          <cell r="G54">
            <v>0</v>
          </cell>
          <cell r="H54">
            <v>535614.46</v>
          </cell>
          <cell r="I54">
            <v>102257.71</v>
          </cell>
          <cell r="J54">
            <v>3217226.44</v>
          </cell>
          <cell r="K54">
            <v>0</v>
          </cell>
        </row>
        <row r="55">
          <cell r="A55" t="str">
            <v>2003</v>
          </cell>
          <cell r="B55" t="str">
            <v>月份：2003.01-2003.12</v>
          </cell>
          <cell r="C55" t="str">
            <v>1502</v>
          </cell>
          <cell r="D55" t="str">
            <v>累计折旧</v>
          </cell>
          <cell r="F55">
            <v>0</v>
          </cell>
          <cell r="G55">
            <v>756257.85</v>
          </cell>
          <cell r="H55">
            <v>115446.03</v>
          </cell>
          <cell r="I55">
            <v>755304.21</v>
          </cell>
          <cell r="J55">
            <v>0</v>
          </cell>
          <cell r="K55">
            <v>1396116.03</v>
          </cell>
        </row>
        <row r="56">
          <cell r="A56" t="str">
            <v>2003</v>
          </cell>
          <cell r="B56" t="str">
            <v>月份：2003.01-2003.12</v>
          </cell>
          <cell r="C56" t="str">
            <v>1603</v>
          </cell>
          <cell r="D56" t="str">
            <v>在建工程</v>
          </cell>
          <cell r="F56">
            <v>3567000</v>
          </cell>
          <cell r="G56">
            <v>0</v>
          </cell>
          <cell r="H56">
            <v>18458777.899999999</v>
          </cell>
          <cell r="I56">
            <v>3663000</v>
          </cell>
          <cell r="J56">
            <v>18362777.899999999</v>
          </cell>
          <cell r="K56">
            <v>0</v>
          </cell>
        </row>
        <row r="57">
          <cell r="A57" t="str">
            <v>2003</v>
          </cell>
          <cell r="B57" t="str">
            <v>月份：2003.01-2003.12</v>
          </cell>
          <cell r="C57" t="str">
            <v>160340</v>
          </cell>
          <cell r="D57" t="str">
            <v xml:space="preserve">  项目预付</v>
          </cell>
          <cell r="F57">
            <v>3532000</v>
          </cell>
          <cell r="G57">
            <v>0</v>
          </cell>
          <cell r="H57">
            <v>96000</v>
          </cell>
          <cell r="I57">
            <v>3628000</v>
          </cell>
          <cell r="J57">
            <v>0</v>
          </cell>
          <cell r="K57">
            <v>0</v>
          </cell>
        </row>
        <row r="58">
          <cell r="A58" t="str">
            <v>2003</v>
          </cell>
          <cell r="B58" t="str">
            <v>月份：2003.01-2003.12</v>
          </cell>
          <cell r="C58" t="str">
            <v>160350</v>
          </cell>
          <cell r="D58" t="str">
            <v xml:space="preserve">  项目其它</v>
          </cell>
          <cell r="F58">
            <v>35000</v>
          </cell>
          <cell r="G58">
            <v>0</v>
          </cell>
          <cell r="H58">
            <v>18362777.899999999</v>
          </cell>
          <cell r="I58">
            <v>35000</v>
          </cell>
          <cell r="J58">
            <v>18362777.899999999</v>
          </cell>
          <cell r="K58">
            <v>0</v>
          </cell>
        </row>
        <row r="59">
          <cell r="A59" t="str">
            <v>2003</v>
          </cell>
          <cell r="B59" t="str">
            <v>月份：2003.01-2003.12</v>
          </cell>
          <cell r="C59" t="str">
            <v>1801</v>
          </cell>
          <cell r="D59" t="str">
            <v>无形资产</v>
          </cell>
          <cell r="F59">
            <v>2934970.07</v>
          </cell>
          <cell r="G59">
            <v>0</v>
          </cell>
          <cell r="H59">
            <v>135255.89000000001</v>
          </cell>
          <cell r="I59">
            <v>317035.96000000002</v>
          </cell>
          <cell r="J59">
            <v>2753190</v>
          </cell>
          <cell r="K59">
            <v>0</v>
          </cell>
        </row>
        <row r="60">
          <cell r="A60" t="str">
            <v>2003</v>
          </cell>
          <cell r="B60" t="str">
            <v>月份：2003.01-2003.12</v>
          </cell>
          <cell r="C60" t="str">
            <v>180110</v>
          </cell>
          <cell r="D60" t="str">
            <v xml:space="preserve">  土地使用权</v>
          </cell>
          <cell r="F60">
            <v>2748601.35</v>
          </cell>
          <cell r="G60">
            <v>0</v>
          </cell>
          <cell r="H60">
            <v>45886.52</v>
          </cell>
          <cell r="I60">
            <v>41297.870000000003</v>
          </cell>
          <cell r="J60">
            <v>2753190</v>
          </cell>
          <cell r="K60">
            <v>0</v>
          </cell>
        </row>
        <row r="61">
          <cell r="A61" t="str">
            <v>2003</v>
          </cell>
          <cell r="B61" t="str">
            <v>月份：2003.01-2003.12</v>
          </cell>
          <cell r="C61" t="str">
            <v>180120</v>
          </cell>
          <cell r="D61" t="str">
            <v xml:space="preserve">  软件</v>
          </cell>
          <cell r="F61">
            <v>186368.72</v>
          </cell>
          <cell r="G61">
            <v>0</v>
          </cell>
          <cell r="H61">
            <v>42329.37</v>
          </cell>
          <cell r="I61">
            <v>228698.09</v>
          </cell>
          <cell r="J61">
            <v>0</v>
          </cell>
          <cell r="K61">
            <v>0</v>
          </cell>
        </row>
        <row r="62">
          <cell r="A62" t="str">
            <v>2003</v>
          </cell>
          <cell r="B62" t="str">
            <v>月份：2003.01-2003.12</v>
          </cell>
          <cell r="C62" t="str">
            <v>180140</v>
          </cell>
          <cell r="D62" t="str">
            <v xml:space="preserve">  微软操作及办公软件</v>
          </cell>
          <cell r="F62">
            <v>0</v>
          </cell>
          <cell r="G62">
            <v>0</v>
          </cell>
          <cell r="H62">
            <v>47040</v>
          </cell>
          <cell r="I62">
            <v>47040</v>
          </cell>
          <cell r="J62">
            <v>0</v>
          </cell>
          <cell r="K62">
            <v>0</v>
          </cell>
        </row>
        <row r="63">
          <cell r="A63" t="str">
            <v>2003</v>
          </cell>
          <cell r="B63" t="str">
            <v>月份：2003.01-2003.12</v>
          </cell>
          <cell r="C63" t="str">
            <v>1901</v>
          </cell>
          <cell r="D63" t="str">
            <v>长期待摊费用</v>
          </cell>
          <cell r="F63">
            <v>37374.33</v>
          </cell>
          <cell r="G63">
            <v>0</v>
          </cell>
          <cell r="H63">
            <v>0</v>
          </cell>
          <cell r="I63">
            <v>37374.33</v>
          </cell>
          <cell r="J63">
            <v>0</v>
          </cell>
          <cell r="K63">
            <v>0</v>
          </cell>
        </row>
        <row r="64">
          <cell r="A64" t="str">
            <v>2003</v>
          </cell>
          <cell r="B64" t="str">
            <v>月份：2003.01-2003.12</v>
          </cell>
          <cell r="C64" t="str">
            <v>190110</v>
          </cell>
          <cell r="D64" t="str">
            <v xml:space="preserve">  装修及扩建LEASEHOLD</v>
          </cell>
          <cell r="F64">
            <v>37374.33</v>
          </cell>
          <cell r="G64">
            <v>0</v>
          </cell>
          <cell r="H64">
            <v>0</v>
          </cell>
          <cell r="I64">
            <v>37374.33</v>
          </cell>
          <cell r="J64">
            <v>0</v>
          </cell>
          <cell r="K64">
            <v>0</v>
          </cell>
        </row>
        <row r="65">
          <cell r="A65" t="str">
            <v>2003</v>
          </cell>
          <cell r="B65" t="str">
            <v>月份：2003.01-2003.12</v>
          </cell>
          <cell r="C65" t="str">
            <v>1911</v>
          </cell>
          <cell r="D65" t="str">
            <v>待处理财产损溢</v>
          </cell>
          <cell r="F65">
            <v>0</v>
          </cell>
          <cell r="G65">
            <v>0</v>
          </cell>
          <cell r="H65">
            <v>8507251.6699999999</v>
          </cell>
          <cell r="I65">
            <v>8507251.6699999999</v>
          </cell>
          <cell r="J65">
            <v>0</v>
          </cell>
          <cell r="K65">
            <v>0</v>
          </cell>
        </row>
        <row r="66">
          <cell r="A66" t="str">
            <v>2003</v>
          </cell>
          <cell r="B66" t="str">
            <v>月份：2003.01-2003.12</v>
          </cell>
          <cell r="C66" t="str">
            <v>191110</v>
          </cell>
          <cell r="D66" t="str">
            <v xml:space="preserve">  待处理流动资产损溢</v>
          </cell>
          <cell r="F66">
            <v>0</v>
          </cell>
          <cell r="G66">
            <v>0</v>
          </cell>
          <cell r="H66">
            <v>8507251.6699999999</v>
          </cell>
          <cell r="I66">
            <v>8507251.6699999999</v>
          </cell>
          <cell r="J66">
            <v>0</v>
          </cell>
          <cell r="K66">
            <v>0</v>
          </cell>
        </row>
        <row r="67">
          <cell r="A67" t="str">
            <v>2003</v>
          </cell>
          <cell r="B67" t="str">
            <v>月份：2003.01-2003.12</v>
          </cell>
          <cell r="C67" t="str">
            <v>1998</v>
          </cell>
          <cell r="D67" t="str">
            <v>Clear-Account-1</v>
          </cell>
          <cell r="E67" t="str">
            <v>港币</v>
          </cell>
          <cell r="F67">
            <v>0</v>
          </cell>
          <cell r="G67">
            <v>0</v>
          </cell>
          <cell r="H67">
            <v>11661124.630000001</v>
          </cell>
          <cell r="I67">
            <v>11661124.630000001</v>
          </cell>
          <cell r="J67">
            <v>0</v>
          </cell>
          <cell r="K67">
            <v>0</v>
          </cell>
        </row>
        <row r="68">
          <cell r="A68" t="str">
            <v>2003</v>
          </cell>
          <cell r="B68" t="str">
            <v>月份：2003.01-2003.12</v>
          </cell>
          <cell r="C68" t="str">
            <v>1999</v>
          </cell>
          <cell r="D68" t="str">
            <v>Clear-Account-2</v>
          </cell>
          <cell r="F68">
            <v>0</v>
          </cell>
          <cell r="G68">
            <v>0</v>
          </cell>
          <cell r="H68">
            <v>5208295.83</v>
          </cell>
          <cell r="I68">
            <v>5208295.83</v>
          </cell>
          <cell r="J68">
            <v>0</v>
          </cell>
          <cell r="K68">
            <v>0</v>
          </cell>
        </row>
        <row r="69">
          <cell r="A69" t="str">
            <v>2003</v>
          </cell>
          <cell r="B69" t="str">
            <v>月份：2003.01-2003.12</v>
          </cell>
          <cell r="C69" t="str">
            <v>资产小计</v>
          </cell>
          <cell r="F69">
            <v>85508602.040000007</v>
          </cell>
          <cell r="G69">
            <v>3996304.17</v>
          </cell>
          <cell r="H69">
            <v>507285086.92000002</v>
          </cell>
          <cell r="I69">
            <v>518382784.52999997</v>
          </cell>
          <cell r="J69">
            <v>76447883.540000007</v>
          </cell>
          <cell r="K69">
            <v>6033283.2800000003</v>
          </cell>
        </row>
        <row r="70">
          <cell r="A70" t="str">
            <v>2003</v>
          </cell>
          <cell r="B70" t="str">
            <v>月份：2003.01-2003.12</v>
          </cell>
          <cell r="D70" t="str">
            <v>港币</v>
          </cell>
          <cell r="F70">
            <v>0</v>
          </cell>
          <cell r="G70">
            <v>0</v>
          </cell>
          <cell r="H70">
            <v>0</v>
          </cell>
          <cell r="I70">
            <v>0</v>
          </cell>
          <cell r="J70">
            <v>0</v>
          </cell>
          <cell r="K70">
            <v>0</v>
          </cell>
        </row>
        <row r="71">
          <cell r="A71" t="str">
            <v>2003</v>
          </cell>
          <cell r="B71" t="str">
            <v>月份：2003.01-2003.12</v>
          </cell>
          <cell r="C71" t="str">
            <v>2101</v>
          </cell>
          <cell r="D71" t="str">
            <v>短期借款</v>
          </cell>
          <cell r="F71">
            <v>0</v>
          </cell>
          <cell r="G71">
            <v>0</v>
          </cell>
          <cell r="H71">
            <v>5000000</v>
          </cell>
          <cell r="I71">
            <v>7000000</v>
          </cell>
          <cell r="J71">
            <v>0</v>
          </cell>
          <cell r="K71">
            <v>2000000</v>
          </cell>
        </row>
        <row r="72">
          <cell r="A72" t="str">
            <v>2003</v>
          </cell>
          <cell r="B72" t="str">
            <v>月份：2003.01-2003.12</v>
          </cell>
          <cell r="C72" t="str">
            <v>210110</v>
          </cell>
          <cell r="D72" t="str">
            <v xml:space="preserve">  银行借款</v>
          </cell>
          <cell r="F72">
            <v>0</v>
          </cell>
          <cell r="G72">
            <v>0</v>
          </cell>
          <cell r="H72">
            <v>5000000</v>
          </cell>
          <cell r="I72">
            <v>7000000</v>
          </cell>
          <cell r="J72">
            <v>0</v>
          </cell>
          <cell r="K72">
            <v>2000000</v>
          </cell>
        </row>
        <row r="73">
          <cell r="A73" t="str">
            <v>2003</v>
          </cell>
          <cell r="B73" t="str">
            <v>月份：2003.01-2003.12</v>
          </cell>
          <cell r="C73" t="str">
            <v>2121</v>
          </cell>
          <cell r="D73" t="str">
            <v>应付账款</v>
          </cell>
          <cell r="F73">
            <v>0</v>
          </cell>
          <cell r="G73">
            <v>19267625.149999999</v>
          </cell>
          <cell r="H73">
            <v>40838341.219999999</v>
          </cell>
          <cell r="I73">
            <v>38642794.950000003</v>
          </cell>
          <cell r="J73">
            <v>0</v>
          </cell>
          <cell r="K73">
            <v>17072078.879999999</v>
          </cell>
        </row>
        <row r="74">
          <cell r="A74" t="str">
            <v>2003</v>
          </cell>
          <cell r="B74" t="str">
            <v>月份：2003.01-2003.12</v>
          </cell>
          <cell r="C74" t="str">
            <v>212110</v>
          </cell>
          <cell r="D74" t="str">
            <v xml:space="preserve">  人民币</v>
          </cell>
          <cell r="F74">
            <v>0</v>
          </cell>
          <cell r="G74">
            <v>2289522.86</v>
          </cell>
          <cell r="H74">
            <v>15769311.15</v>
          </cell>
          <cell r="I74">
            <v>16389519.609999999</v>
          </cell>
          <cell r="J74">
            <v>0</v>
          </cell>
          <cell r="K74">
            <v>2909731.32</v>
          </cell>
        </row>
        <row r="75">
          <cell r="A75" t="str">
            <v>2003</v>
          </cell>
          <cell r="B75" t="str">
            <v>月份：2003.01-2003.12</v>
          </cell>
          <cell r="C75" t="str">
            <v>212120</v>
          </cell>
          <cell r="D75" t="str">
            <v xml:space="preserve">  港币</v>
          </cell>
          <cell r="E75" t="str">
            <v>港币</v>
          </cell>
          <cell r="F75">
            <v>0</v>
          </cell>
          <cell r="G75">
            <v>16978102.289999999</v>
          </cell>
          <cell r="H75">
            <v>25069030.07</v>
          </cell>
          <cell r="I75">
            <v>22253275.34</v>
          </cell>
          <cell r="J75">
            <v>0</v>
          </cell>
          <cell r="K75">
            <v>14162347.560000001</v>
          </cell>
        </row>
        <row r="76">
          <cell r="A76" t="str">
            <v>2003</v>
          </cell>
          <cell r="B76" t="str">
            <v>月份：2003.01-2003.12</v>
          </cell>
          <cell r="C76" t="str">
            <v>2122</v>
          </cell>
          <cell r="D76" t="str">
            <v>相关公司往来</v>
          </cell>
          <cell r="F76">
            <v>0</v>
          </cell>
          <cell r="G76">
            <v>6357109.2400000002</v>
          </cell>
          <cell r="H76">
            <v>8509336.5099999998</v>
          </cell>
          <cell r="I76">
            <v>8997538.6500000004</v>
          </cell>
          <cell r="J76">
            <v>0</v>
          </cell>
          <cell r="K76">
            <v>6845311.3799999999</v>
          </cell>
        </row>
        <row r="77">
          <cell r="A77" t="str">
            <v>2003</v>
          </cell>
          <cell r="B77" t="str">
            <v>月份：2003.01-2003.12</v>
          </cell>
          <cell r="C77" t="str">
            <v>212210</v>
          </cell>
          <cell r="D77" t="str">
            <v xml:space="preserve">  贝格工业涂料（中国）有限公司</v>
          </cell>
          <cell r="E77" t="str">
            <v>港币</v>
          </cell>
          <cell r="F77">
            <v>0</v>
          </cell>
          <cell r="G77">
            <v>1438717.19</v>
          </cell>
          <cell r="H77">
            <v>126265.92</v>
          </cell>
          <cell r="I77">
            <v>457107.67</v>
          </cell>
          <cell r="J77">
            <v>0</v>
          </cell>
          <cell r="K77">
            <v>1769558.94</v>
          </cell>
        </row>
        <row r="78">
          <cell r="A78" t="str">
            <v>2003</v>
          </cell>
          <cell r="B78" t="str">
            <v>月份：2003.01-2003.12</v>
          </cell>
          <cell r="C78" t="str">
            <v>212220</v>
          </cell>
          <cell r="D78" t="str">
            <v xml:space="preserve">  贝格工业（瑞典）</v>
          </cell>
          <cell r="E78" t="str">
            <v>港币</v>
          </cell>
          <cell r="F78">
            <v>0</v>
          </cell>
          <cell r="G78">
            <v>2838724.01</v>
          </cell>
          <cell r="H78">
            <v>7865111.2300000004</v>
          </cell>
          <cell r="I78">
            <v>6027407.5499999998</v>
          </cell>
          <cell r="J78">
            <v>0</v>
          </cell>
          <cell r="K78">
            <v>1001020.33</v>
          </cell>
        </row>
        <row r="79">
          <cell r="A79" t="str">
            <v>2003</v>
          </cell>
          <cell r="B79" t="str">
            <v>月份：2003.01-2003.12</v>
          </cell>
          <cell r="C79" t="str">
            <v>212230</v>
          </cell>
          <cell r="D79" t="str">
            <v xml:space="preserve">  贝格工业涂料（香港）</v>
          </cell>
          <cell r="E79" t="str">
            <v>港币</v>
          </cell>
          <cell r="F79">
            <v>0</v>
          </cell>
          <cell r="G79">
            <v>2266173.94</v>
          </cell>
          <cell r="H79">
            <v>216261.85</v>
          </cell>
          <cell r="I79">
            <v>2323949.5099999998</v>
          </cell>
          <cell r="J79">
            <v>0</v>
          </cell>
          <cell r="K79">
            <v>4373861.5999999996</v>
          </cell>
        </row>
        <row r="80">
          <cell r="A80" t="str">
            <v>2003</v>
          </cell>
          <cell r="B80" t="str">
            <v>月份：2003.01-2003.12</v>
          </cell>
          <cell r="C80" t="str">
            <v>212240</v>
          </cell>
          <cell r="D80" t="str">
            <v xml:space="preserve">  贝格工业涂料（上海）</v>
          </cell>
          <cell r="F80">
            <v>186505.9</v>
          </cell>
          <cell r="G80">
            <v>0</v>
          </cell>
          <cell r="H80">
            <v>301697.51</v>
          </cell>
          <cell r="I80">
            <v>189073.92000000001</v>
          </cell>
          <cell r="J80">
            <v>299129.49</v>
          </cell>
          <cell r="K80">
            <v>0</v>
          </cell>
        </row>
        <row r="81">
          <cell r="A81" t="str">
            <v>2003</v>
          </cell>
          <cell r="B81" t="str">
            <v>月份：2003.01-2003.12</v>
          </cell>
          <cell r="C81" t="str">
            <v>2131</v>
          </cell>
          <cell r="D81" t="str">
            <v>预收账款</v>
          </cell>
          <cell r="F81">
            <v>0</v>
          </cell>
          <cell r="G81">
            <v>0</v>
          </cell>
          <cell r="H81">
            <v>0</v>
          </cell>
          <cell r="I81">
            <v>475815.1</v>
          </cell>
          <cell r="J81">
            <v>0</v>
          </cell>
          <cell r="K81">
            <v>475815.1</v>
          </cell>
        </row>
        <row r="82">
          <cell r="A82" t="str">
            <v>2003</v>
          </cell>
          <cell r="B82" t="str">
            <v>月份：2003.01-2003.12</v>
          </cell>
          <cell r="C82" t="str">
            <v>213110</v>
          </cell>
          <cell r="D82" t="str">
            <v xml:space="preserve">  人民币</v>
          </cell>
          <cell r="F82">
            <v>0</v>
          </cell>
          <cell r="G82">
            <v>0</v>
          </cell>
          <cell r="H82">
            <v>0</v>
          </cell>
          <cell r="I82">
            <v>79453.100000000006</v>
          </cell>
          <cell r="J82">
            <v>0</v>
          </cell>
          <cell r="K82">
            <v>79453.100000000006</v>
          </cell>
        </row>
        <row r="83">
          <cell r="A83" t="str">
            <v>2003</v>
          </cell>
          <cell r="B83" t="str">
            <v>月份：2003.01-2003.12</v>
          </cell>
          <cell r="C83" t="str">
            <v>213120</v>
          </cell>
          <cell r="D83" t="str">
            <v xml:space="preserve">  港币</v>
          </cell>
          <cell r="E83" t="str">
            <v>港币</v>
          </cell>
          <cell r="F83">
            <v>0</v>
          </cell>
          <cell r="G83">
            <v>0</v>
          </cell>
          <cell r="H83">
            <v>0</v>
          </cell>
          <cell r="I83">
            <v>396362</v>
          </cell>
          <cell r="J83">
            <v>0</v>
          </cell>
          <cell r="K83">
            <v>396362</v>
          </cell>
        </row>
        <row r="84">
          <cell r="A84" t="str">
            <v>2003</v>
          </cell>
          <cell r="B84" t="str">
            <v>月份：2003.01-2003.12</v>
          </cell>
          <cell r="C84" t="str">
            <v>2151</v>
          </cell>
          <cell r="D84" t="str">
            <v>应付工资</v>
          </cell>
          <cell r="F84">
            <v>0</v>
          </cell>
          <cell r="G84">
            <v>112037.85</v>
          </cell>
          <cell r="H84">
            <v>1446118.14</v>
          </cell>
          <cell r="I84">
            <v>1484080.29</v>
          </cell>
          <cell r="J84">
            <v>0</v>
          </cell>
          <cell r="K84">
            <v>150000</v>
          </cell>
        </row>
        <row r="85">
          <cell r="A85" t="str">
            <v>2003</v>
          </cell>
          <cell r="B85" t="str">
            <v>月份：2003.01-2003.12</v>
          </cell>
          <cell r="C85" t="str">
            <v>2171</v>
          </cell>
          <cell r="D85" t="str">
            <v>应交税金</v>
          </cell>
          <cell r="F85">
            <v>1915200.2</v>
          </cell>
          <cell r="G85">
            <v>0</v>
          </cell>
          <cell r="H85">
            <v>38766726.43</v>
          </cell>
          <cell r="I85">
            <v>40795697.310000002</v>
          </cell>
          <cell r="J85">
            <v>0</v>
          </cell>
          <cell r="K85">
            <v>113770.68</v>
          </cell>
        </row>
        <row r="86">
          <cell r="A86" t="str">
            <v>2003</v>
          </cell>
          <cell r="B86" t="str">
            <v>月份：2003.01-2003.12</v>
          </cell>
          <cell r="C86" t="str">
            <v>217110</v>
          </cell>
          <cell r="D86" t="str">
            <v xml:space="preserve">  应交增值税</v>
          </cell>
          <cell r="F86">
            <v>0</v>
          </cell>
          <cell r="G86">
            <v>0</v>
          </cell>
          <cell r="H86">
            <v>25681799.890000001</v>
          </cell>
          <cell r="I86">
            <v>25681799.890000001</v>
          </cell>
          <cell r="J86">
            <v>0</v>
          </cell>
          <cell r="K86">
            <v>0</v>
          </cell>
        </row>
        <row r="87">
          <cell r="A87" t="str">
            <v>2003</v>
          </cell>
          <cell r="B87" t="str">
            <v>月份：2003.01-2003.12</v>
          </cell>
          <cell r="C87" t="str">
            <v>217120</v>
          </cell>
          <cell r="D87" t="str">
            <v xml:space="preserve">  未交增值税</v>
          </cell>
          <cell r="F87">
            <v>2354950.2599999998</v>
          </cell>
          <cell r="G87">
            <v>0</v>
          </cell>
          <cell r="H87">
            <v>11652631.310000001</v>
          </cell>
          <cell r="I87">
            <v>14029168.58</v>
          </cell>
          <cell r="J87">
            <v>0</v>
          </cell>
          <cell r="K87">
            <v>21587.01</v>
          </cell>
        </row>
        <row r="88">
          <cell r="A88" t="str">
            <v>2003</v>
          </cell>
          <cell r="B88" t="str">
            <v>月份：2003.01-2003.12</v>
          </cell>
          <cell r="C88" t="str">
            <v>217140</v>
          </cell>
          <cell r="D88" t="str">
            <v xml:space="preserve">  应交企业所得税</v>
          </cell>
          <cell r="F88">
            <v>0</v>
          </cell>
          <cell r="G88">
            <v>439750.06</v>
          </cell>
          <cell r="H88">
            <v>1314730.75</v>
          </cell>
          <cell r="I88">
            <v>962441.84</v>
          </cell>
          <cell r="J88">
            <v>0</v>
          </cell>
          <cell r="K88">
            <v>87461.15</v>
          </cell>
        </row>
        <row r="89">
          <cell r="A89" t="str">
            <v>2003</v>
          </cell>
          <cell r="B89" t="str">
            <v>月份：2003.01-2003.12</v>
          </cell>
          <cell r="C89" t="str">
            <v>217150</v>
          </cell>
          <cell r="D89" t="str">
            <v xml:space="preserve">  应交城市维护建设税</v>
          </cell>
          <cell r="F89">
            <v>0</v>
          </cell>
          <cell r="G89">
            <v>0</v>
          </cell>
          <cell r="H89">
            <v>71811.199999999997</v>
          </cell>
          <cell r="I89">
            <v>71811.199999999997</v>
          </cell>
          <cell r="J89">
            <v>0</v>
          </cell>
          <cell r="K89">
            <v>0</v>
          </cell>
        </row>
        <row r="90">
          <cell r="A90" t="str">
            <v>2003</v>
          </cell>
          <cell r="B90" t="str">
            <v>月份：2003.01-2003.12</v>
          </cell>
          <cell r="C90" t="str">
            <v>217180</v>
          </cell>
          <cell r="D90" t="str">
            <v xml:space="preserve">  应交个人所得税</v>
          </cell>
          <cell r="F90">
            <v>0</v>
          </cell>
          <cell r="G90">
            <v>0</v>
          </cell>
          <cell r="H90">
            <v>45753.279999999999</v>
          </cell>
          <cell r="I90">
            <v>50475.8</v>
          </cell>
          <cell r="J90">
            <v>0</v>
          </cell>
          <cell r="K90">
            <v>4722.5200000000004</v>
          </cell>
        </row>
        <row r="91">
          <cell r="A91" t="str">
            <v>2003</v>
          </cell>
          <cell r="B91" t="str">
            <v>月份：2003.01-2003.12</v>
          </cell>
          <cell r="C91" t="str">
            <v>2181</v>
          </cell>
          <cell r="D91" t="str">
            <v>其他应付款</v>
          </cell>
          <cell r="F91">
            <v>0</v>
          </cell>
          <cell r="G91">
            <v>2987433.63</v>
          </cell>
          <cell r="H91">
            <v>8771322.7200000007</v>
          </cell>
          <cell r="I91">
            <v>9990996.5600000005</v>
          </cell>
          <cell r="J91">
            <v>0</v>
          </cell>
          <cell r="K91">
            <v>4207107.47</v>
          </cell>
        </row>
        <row r="92">
          <cell r="A92" t="str">
            <v>2003</v>
          </cell>
          <cell r="B92" t="str">
            <v>月份：2003.01-2003.12</v>
          </cell>
          <cell r="C92" t="str">
            <v>218110</v>
          </cell>
          <cell r="D92" t="str">
            <v xml:space="preserve">  中华制漆（深圳）有限公司-杂项</v>
          </cell>
          <cell r="F92">
            <v>0</v>
          </cell>
          <cell r="G92">
            <v>1193514</v>
          </cell>
          <cell r="H92">
            <v>3259432.38</v>
          </cell>
          <cell r="I92">
            <v>3961447.36</v>
          </cell>
          <cell r="J92">
            <v>0</v>
          </cell>
          <cell r="K92">
            <v>1895528.98</v>
          </cell>
        </row>
        <row r="93">
          <cell r="A93" t="str">
            <v>2003</v>
          </cell>
          <cell r="B93" t="str">
            <v>月份：2003.01-2003.12</v>
          </cell>
          <cell r="C93" t="str">
            <v>218120</v>
          </cell>
          <cell r="D93" t="str">
            <v xml:space="preserve">  中华制漆（深圳）有限公司-承包费</v>
          </cell>
          <cell r="F93">
            <v>0</v>
          </cell>
          <cell r="G93">
            <v>1260715.4099999999</v>
          </cell>
          <cell r="H93">
            <v>4025121.57</v>
          </cell>
          <cell r="I93">
            <v>4529764.22</v>
          </cell>
          <cell r="J93">
            <v>0</v>
          </cell>
          <cell r="K93">
            <v>1765358.06</v>
          </cell>
        </row>
        <row r="94">
          <cell r="A94" t="str">
            <v>2003</v>
          </cell>
          <cell r="B94" t="str">
            <v>月份：2003.01-2003.12</v>
          </cell>
          <cell r="C94" t="str">
            <v>218130</v>
          </cell>
          <cell r="D94" t="str">
            <v xml:space="preserve">  艾迪夫公司</v>
          </cell>
          <cell r="F94">
            <v>0</v>
          </cell>
          <cell r="G94">
            <v>9950</v>
          </cell>
          <cell r="H94">
            <v>9950</v>
          </cell>
          <cell r="I94">
            <v>0</v>
          </cell>
          <cell r="J94">
            <v>0</v>
          </cell>
          <cell r="K94">
            <v>0</v>
          </cell>
        </row>
        <row r="95">
          <cell r="A95" t="str">
            <v>2003</v>
          </cell>
          <cell r="B95" t="str">
            <v>月份：2003.01-2003.12</v>
          </cell>
          <cell r="C95" t="str">
            <v>218140</v>
          </cell>
          <cell r="D95" t="str">
            <v xml:space="preserve">  中华制漆（深圳）有限公司-特殊加工</v>
          </cell>
          <cell r="F95">
            <v>0</v>
          </cell>
          <cell r="G95">
            <v>0</v>
          </cell>
          <cell r="H95">
            <v>59615.51</v>
          </cell>
          <cell r="I95">
            <v>102085.04</v>
          </cell>
          <cell r="J95">
            <v>0</v>
          </cell>
          <cell r="K95">
            <v>42469.53</v>
          </cell>
        </row>
        <row r="96">
          <cell r="A96" t="str">
            <v>2003</v>
          </cell>
          <cell r="B96" t="str">
            <v>月份：2003.01-2003.12</v>
          </cell>
          <cell r="C96" t="str">
            <v>218170</v>
          </cell>
          <cell r="D96" t="str">
            <v xml:space="preserve">  扣缴税</v>
          </cell>
          <cell r="F96">
            <v>0</v>
          </cell>
          <cell r="G96">
            <v>312896.11</v>
          </cell>
          <cell r="H96">
            <v>846331.3</v>
          </cell>
          <cell r="I96">
            <v>644701.43000000005</v>
          </cell>
          <cell r="J96">
            <v>0</v>
          </cell>
          <cell r="K96">
            <v>111266.24000000001</v>
          </cell>
        </row>
        <row r="97">
          <cell r="A97" t="str">
            <v>2003</v>
          </cell>
          <cell r="B97" t="str">
            <v>月份：2003.01-2003.12</v>
          </cell>
          <cell r="C97" t="str">
            <v>218180</v>
          </cell>
          <cell r="D97" t="str">
            <v xml:space="preserve">  保险</v>
          </cell>
          <cell r="F97">
            <v>0</v>
          </cell>
          <cell r="G97">
            <v>0</v>
          </cell>
          <cell r="H97">
            <v>208095</v>
          </cell>
          <cell r="I97">
            <v>208095</v>
          </cell>
          <cell r="J97">
            <v>0</v>
          </cell>
          <cell r="K97">
            <v>0</v>
          </cell>
        </row>
        <row r="98">
          <cell r="A98" t="str">
            <v>2003</v>
          </cell>
          <cell r="B98" t="str">
            <v>月份：2003.01-2003.12</v>
          </cell>
          <cell r="C98" t="str">
            <v>218190</v>
          </cell>
          <cell r="D98" t="str">
            <v xml:space="preserve">  其它</v>
          </cell>
          <cell r="F98">
            <v>0</v>
          </cell>
          <cell r="G98">
            <v>210358.11</v>
          </cell>
          <cell r="H98">
            <v>362776.96</v>
          </cell>
          <cell r="I98">
            <v>544903.51</v>
          </cell>
          <cell r="J98">
            <v>0</v>
          </cell>
          <cell r="K98">
            <v>392484.66</v>
          </cell>
        </row>
        <row r="99">
          <cell r="A99" t="str">
            <v>2003</v>
          </cell>
          <cell r="B99" t="str">
            <v>月份：2003.01-2003.12</v>
          </cell>
          <cell r="C99" t="str">
            <v>2191</v>
          </cell>
          <cell r="D99" t="str">
            <v>预提费用</v>
          </cell>
          <cell r="F99">
            <v>0</v>
          </cell>
          <cell r="G99">
            <v>9421715.5</v>
          </cell>
          <cell r="H99">
            <v>17657697.600000001</v>
          </cell>
          <cell r="I99">
            <v>14940185.92</v>
          </cell>
          <cell r="J99">
            <v>0</v>
          </cell>
          <cell r="K99">
            <v>6704203.8200000003</v>
          </cell>
        </row>
        <row r="100">
          <cell r="A100" t="str">
            <v>2003</v>
          </cell>
          <cell r="B100" t="str">
            <v>月份：2003.01-2003.12</v>
          </cell>
          <cell r="C100" t="str">
            <v>219110</v>
          </cell>
          <cell r="D100" t="str">
            <v xml:space="preserve">  年终奖</v>
          </cell>
          <cell r="F100">
            <v>0</v>
          </cell>
          <cell r="G100">
            <v>548386.57999999996</v>
          </cell>
          <cell r="H100">
            <v>650028.34</v>
          </cell>
          <cell r="I100">
            <v>228780</v>
          </cell>
          <cell r="J100">
            <v>0</v>
          </cell>
          <cell r="K100">
            <v>127138.24000000001</v>
          </cell>
        </row>
        <row r="101">
          <cell r="A101" t="str">
            <v>2003</v>
          </cell>
          <cell r="B101" t="str">
            <v>月份：2003.01-2003.12</v>
          </cell>
          <cell r="C101" t="str">
            <v>219111</v>
          </cell>
          <cell r="D101" t="str">
            <v xml:space="preserve">  奖励金</v>
          </cell>
          <cell r="F101">
            <v>0</v>
          </cell>
          <cell r="G101">
            <v>240554.42</v>
          </cell>
          <cell r="H101">
            <v>190913.01</v>
          </cell>
          <cell r="I101">
            <v>476625</v>
          </cell>
          <cell r="J101">
            <v>0</v>
          </cell>
          <cell r="K101">
            <v>526266.41</v>
          </cell>
        </row>
        <row r="102">
          <cell r="A102" t="str">
            <v>2003</v>
          </cell>
          <cell r="B102" t="str">
            <v>月份：2003.01-2003.12</v>
          </cell>
          <cell r="C102" t="str">
            <v>219113</v>
          </cell>
          <cell r="D102" t="str">
            <v xml:space="preserve">  租金</v>
          </cell>
          <cell r="F102">
            <v>0</v>
          </cell>
          <cell r="G102">
            <v>0</v>
          </cell>
          <cell r="H102">
            <v>13000</v>
          </cell>
          <cell r="I102">
            <v>33500</v>
          </cell>
          <cell r="J102">
            <v>0</v>
          </cell>
          <cell r="K102">
            <v>20500</v>
          </cell>
        </row>
        <row r="103">
          <cell r="A103" t="str">
            <v>2003</v>
          </cell>
          <cell r="B103" t="str">
            <v>月份：2003.01-2003.12</v>
          </cell>
          <cell r="C103" t="str">
            <v>219114</v>
          </cell>
          <cell r="D103" t="str">
            <v xml:space="preserve">  人头费</v>
          </cell>
          <cell r="F103">
            <v>0</v>
          </cell>
          <cell r="G103">
            <v>18421.03</v>
          </cell>
          <cell r="H103">
            <v>0</v>
          </cell>
          <cell r="I103">
            <v>0</v>
          </cell>
          <cell r="J103">
            <v>0</v>
          </cell>
          <cell r="K103">
            <v>18421.03</v>
          </cell>
        </row>
        <row r="104">
          <cell r="A104" t="str">
            <v>2003</v>
          </cell>
          <cell r="B104" t="str">
            <v>月份：2003.01-2003.12</v>
          </cell>
          <cell r="C104" t="str">
            <v>219115</v>
          </cell>
          <cell r="D104" t="str">
            <v xml:space="preserve">  审计费</v>
          </cell>
          <cell r="F104">
            <v>0</v>
          </cell>
          <cell r="G104">
            <v>160522.43</v>
          </cell>
          <cell r="H104">
            <v>156713.48000000001</v>
          </cell>
          <cell r="I104">
            <v>182677</v>
          </cell>
          <cell r="J104">
            <v>0</v>
          </cell>
          <cell r="K104">
            <v>186485.95</v>
          </cell>
        </row>
        <row r="105">
          <cell r="A105" t="str">
            <v>2003</v>
          </cell>
          <cell r="B105" t="str">
            <v>月份：2003.01-2003.12</v>
          </cell>
          <cell r="C105" t="str">
            <v>219117</v>
          </cell>
          <cell r="D105" t="str">
            <v xml:space="preserve">  特许权使用费</v>
          </cell>
          <cell r="F105">
            <v>0</v>
          </cell>
          <cell r="G105">
            <v>2950250.8</v>
          </cell>
          <cell r="H105">
            <v>6019292.5599999996</v>
          </cell>
          <cell r="I105">
            <v>3887402.46</v>
          </cell>
          <cell r="J105">
            <v>0</v>
          </cell>
          <cell r="K105">
            <v>818360.7</v>
          </cell>
        </row>
        <row r="106">
          <cell r="A106" t="str">
            <v>2003</v>
          </cell>
          <cell r="B106" t="str">
            <v>月份：2003.01-2003.12</v>
          </cell>
          <cell r="C106" t="str">
            <v>219118</v>
          </cell>
          <cell r="D106" t="str">
            <v xml:space="preserve">  技术转让费</v>
          </cell>
          <cell r="F106">
            <v>0</v>
          </cell>
          <cell r="G106">
            <v>0</v>
          </cell>
          <cell r="H106">
            <v>331063.2</v>
          </cell>
          <cell r="I106">
            <v>331063.2</v>
          </cell>
          <cell r="J106">
            <v>0</v>
          </cell>
          <cell r="K106">
            <v>0</v>
          </cell>
        </row>
        <row r="107">
          <cell r="A107" t="str">
            <v>2003</v>
          </cell>
          <cell r="B107" t="str">
            <v>月份：2003.01-2003.12</v>
          </cell>
          <cell r="C107" t="str">
            <v>219121</v>
          </cell>
          <cell r="D107" t="str">
            <v xml:space="preserve">  销售佣金</v>
          </cell>
          <cell r="F107">
            <v>0</v>
          </cell>
          <cell r="G107">
            <v>0</v>
          </cell>
          <cell r="H107">
            <v>0</v>
          </cell>
          <cell r="I107">
            <v>1037212.21</v>
          </cell>
          <cell r="J107">
            <v>0</v>
          </cell>
          <cell r="K107">
            <v>1037212.21</v>
          </cell>
        </row>
        <row r="108">
          <cell r="A108" t="str">
            <v>2003</v>
          </cell>
          <cell r="B108" t="str">
            <v>月份：2003.01-2003.12</v>
          </cell>
          <cell r="C108" t="str">
            <v>219122</v>
          </cell>
          <cell r="D108" t="str">
            <v xml:space="preserve">  福利费（国内）</v>
          </cell>
          <cell r="F108">
            <v>0</v>
          </cell>
          <cell r="G108">
            <v>0</v>
          </cell>
          <cell r="H108">
            <v>0</v>
          </cell>
          <cell r="I108">
            <v>42040.67</v>
          </cell>
          <cell r="J108">
            <v>0</v>
          </cell>
          <cell r="K108">
            <v>42040.67</v>
          </cell>
        </row>
        <row r="109">
          <cell r="A109" t="str">
            <v>2003</v>
          </cell>
          <cell r="B109" t="str">
            <v>月份：2003.01-2003.12</v>
          </cell>
          <cell r="C109" t="str">
            <v>219123</v>
          </cell>
          <cell r="D109" t="str">
            <v xml:space="preserve">  津贴</v>
          </cell>
          <cell r="F109">
            <v>0</v>
          </cell>
          <cell r="G109">
            <v>16000</v>
          </cell>
          <cell r="H109">
            <v>190922.17</v>
          </cell>
          <cell r="I109">
            <v>198500.17</v>
          </cell>
          <cell r="J109">
            <v>0</v>
          </cell>
          <cell r="K109">
            <v>23578</v>
          </cell>
        </row>
        <row r="110">
          <cell r="A110" t="str">
            <v>2003</v>
          </cell>
          <cell r="B110" t="str">
            <v>月份：2003.01-2003.12</v>
          </cell>
          <cell r="C110" t="str">
            <v>219124</v>
          </cell>
          <cell r="D110" t="str">
            <v xml:space="preserve">  福利费（外籍）</v>
          </cell>
          <cell r="F110">
            <v>0</v>
          </cell>
          <cell r="G110">
            <v>61000</v>
          </cell>
          <cell r="H110">
            <v>344499.81</v>
          </cell>
          <cell r="I110">
            <v>309896.58</v>
          </cell>
          <cell r="J110">
            <v>0</v>
          </cell>
          <cell r="K110">
            <v>26396.77</v>
          </cell>
        </row>
        <row r="111">
          <cell r="A111" t="str">
            <v>2003</v>
          </cell>
          <cell r="B111" t="str">
            <v>月份：2003.01-2003.12</v>
          </cell>
          <cell r="C111" t="str">
            <v>219125</v>
          </cell>
          <cell r="D111" t="str">
            <v xml:space="preserve">  赔偿费</v>
          </cell>
          <cell r="F111">
            <v>0</v>
          </cell>
          <cell r="G111">
            <v>896900.14</v>
          </cell>
          <cell r="H111">
            <v>456679.44</v>
          </cell>
          <cell r="I111">
            <v>-177661.82</v>
          </cell>
          <cell r="J111">
            <v>0</v>
          </cell>
          <cell r="K111">
            <v>262558.88</v>
          </cell>
        </row>
        <row r="112">
          <cell r="A112" t="str">
            <v>2003</v>
          </cell>
          <cell r="B112" t="str">
            <v>月份：2003.01-2003.12</v>
          </cell>
          <cell r="C112" t="str">
            <v>219126</v>
          </cell>
          <cell r="D112" t="str">
            <v xml:space="preserve">  预提费用-折扣</v>
          </cell>
          <cell r="F112">
            <v>0</v>
          </cell>
          <cell r="G112">
            <v>100272.72</v>
          </cell>
          <cell r="H112">
            <v>1456187.17</v>
          </cell>
          <cell r="I112">
            <v>1598194.38</v>
          </cell>
          <cell r="J112">
            <v>0</v>
          </cell>
          <cell r="K112">
            <v>242279.93</v>
          </cell>
        </row>
        <row r="113">
          <cell r="A113" t="str">
            <v>2003</v>
          </cell>
          <cell r="B113" t="str">
            <v>月份：2003.01-2003.12</v>
          </cell>
          <cell r="C113" t="str">
            <v>219128</v>
          </cell>
          <cell r="D113" t="str">
            <v xml:space="preserve">  存货清理费用</v>
          </cell>
          <cell r="F113">
            <v>0</v>
          </cell>
          <cell r="G113">
            <v>34875.519999999997</v>
          </cell>
          <cell r="H113">
            <v>6000</v>
          </cell>
          <cell r="I113">
            <v>0</v>
          </cell>
          <cell r="J113">
            <v>0</v>
          </cell>
          <cell r="K113">
            <v>28875.52</v>
          </cell>
        </row>
        <row r="114">
          <cell r="A114" t="str">
            <v>2003</v>
          </cell>
          <cell r="B114" t="str">
            <v>月份：2003.01-2003.12</v>
          </cell>
          <cell r="C114" t="str">
            <v>219129</v>
          </cell>
          <cell r="D114" t="str">
            <v xml:space="preserve">  存货报废增值税</v>
          </cell>
          <cell r="F114">
            <v>0</v>
          </cell>
          <cell r="G114">
            <v>370293.51</v>
          </cell>
          <cell r="H114">
            <v>231851.24</v>
          </cell>
          <cell r="I114">
            <v>515293.84</v>
          </cell>
          <cell r="J114">
            <v>0</v>
          </cell>
          <cell r="K114">
            <v>653736.11</v>
          </cell>
        </row>
        <row r="115">
          <cell r="A115" t="str">
            <v>2003</v>
          </cell>
          <cell r="B115" t="str">
            <v>月份：2003.01-2003.12</v>
          </cell>
          <cell r="C115" t="str">
            <v>219130</v>
          </cell>
          <cell r="D115" t="str">
            <v xml:space="preserve">  关税</v>
          </cell>
          <cell r="F115">
            <v>0</v>
          </cell>
          <cell r="G115">
            <v>454238.35</v>
          </cell>
          <cell r="H115">
            <v>2207140.7400000002</v>
          </cell>
          <cell r="I115">
            <v>2100200.89</v>
          </cell>
          <cell r="J115">
            <v>0</v>
          </cell>
          <cell r="K115">
            <v>347298.5</v>
          </cell>
        </row>
        <row r="116">
          <cell r="A116" t="str">
            <v>2003</v>
          </cell>
          <cell r="B116" t="str">
            <v>月份：2003.01-2003.12</v>
          </cell>
          <cell r="C116" t="str">
            <v>219131</v>
          </cell>
          <cell r="D116" t="str">
            <v xml:space="preserve">  差旅费</v>
          </cell>
          <cell r="F116">
            <v>0</v>
          </cell>
          <cell r="G116">
            <v>50000</v>
          </cell>
          <cell r="H116">
            <v>0</v>
          </cell>
          <cell r="I116">
            <v>-24845</v>
          </cell>
          <cell r="J116">
            <v>0</v>
          </cell>
          <cell r="K116">
            <v>25155</v>
          </cell>
        </row>
        <row r="117">
          <cell r="A117" t="str">
            <v>2003</v>
          </cell>
          <cell r="B117" t="str">
            <v>月份：2003.01-2003.12</v>
          </cell>
          <cell r="C117" t="str">
            <v>219132</v>
          </cell>
          <cell r="D117" t="str">
            <v xml:space="preserve">  运输费</v>
          </cell>
          <cell r="F117">
            <v>0</v>
          </cell>
          <cell r="G117">
            <v>0</v>
          </cell>
          <cell r="H117">
            <v>87853.38</v>
          </cell>
          <cell r="I117">
            <v>248039.38</v>
          </cell>
          <cell r="J117">
            <v>0</v>
          </cell>
          <cell r="K117">
            <v>160186</v>
          </cell>
        </row>
        <row r="118">
          <cell r="A118" t="str">
            <v>2003</v>
          </cell>
          <cell r="B118" t="str">
            <v>月份：2003.01-2003.12</v>
          </cell>
          <cell r="C118" t="str">
            <v>219133</v>
          </cell>
          <cell r="D118" t="str">
            <v xml:space="preserve">  利息支出</v>
          </cell>
          <cell r="F118">
            <v>0</v>
          </cell>
          <cell r="G118">
            <v>0</v>
          </cell>
          <cell r="H118">
            <v>99260</v>
          </cell>
          <cell r="I118">
            <v>105980</v>
          </cell>
          <cell r="J118">
            <v>0</v>
          </cell>
          <cell r="K118">
            <v>6720</v>
          </cell>
        </row>
        <row r="119">
          <cell r="A119" t="str">
            <v>2003</v>
          </cell>
          <cell r="B119" t="str">
            <v>月份：2003.01-2003.12</v>
          </cell>
          <cell r="C119" t="str">
            <v>219134</v>
          </cell>
          <cell r="D119" t="str">
            <v xml:space="preserve">  顾问费</v>
          </cell>
          <cell r="F119">
            <v>0</v>
          </cell>
          <cell r="G119">
            <v>0</v>
          </cell>
          <cell r="H119">
            <v>0</v>
          </cell>
          <cell r="I119">
            <v>35000</v>
          </cell>
          <cell r="J119">
            <v>0</v>
          </cell>
          <cell r="K119">
            <v>35000</v>
          </cell>
        </row>
        <row r="120">
          <cell r="A120" t="str">
            <v>2003</v>
          </cell>
          <cell r="B120" t="str">
            <v>月份：2003.01-2003.12</v>
          </cell>
          <cell r="C120" t="str">
            <v>219135</v>
          </cell>
          <cell r="D120" t="str">
            <v xml:space="preserve">  工程</v>
          </cell>
          <cell r="F120">
            <v>0</v>
          </cell>
          <cell r="G120">
            <v>0</v>
          </cell>
          <cell r="H120">
            <v>1489972.1</v>
          </cell>
          <cell r="I120">
            <v>3598000</v>
          </cell>
          <cell r="J120">
            <v>0</v>
          </cell>
          <cell r="K120">
            <v>2108027.9</v>
          </cell>
        </row>
        <row r="121">
          <cell r="A121" t="str">
            <v>2003</v>
          </cell>
          <cell r="B121" t="str">
            <v>月份：2003.01-2003.12</v>
          </cell>
          <cell r="C121" t="str">
            <v>219137</v>
          </cell>
          <cell r="D121" t="str">
            <v xml:space="preserve">  应酬费</v>
          </cell>
          <cell r="F121">
            <v>0</v>
          </cell>
          <cell r="G121">
            <v>0</v>
          </cell>
          <cell r="H121">
            <v>0</v>
          </cell>
          <cell r="I121">
            <v>7966</v>
          </cell>
          <cell r="J121">
            <v>0</v>
          </cell>
          <cell r="K121">
            <v>7966</v>
          </cell>
        </row>
        <row r="122">
          <cell r="A122" t="str">
            <v>2003</v>
          </cell>
          <cell r="B122" t="str">
            <v>月份：2003.01-2003.12</v>
          </cell>
          <cell r="C122" t="str">
            <v>219150</v>
          </cell>
          <cell r="D122" t="str">
            <v xml:space="preserve">  其它</v>
          </cell>
          <cell r="F122">
            <v>0</v>
          </cell>
          <cell r="G122">
            <v>3520000</v>
          </cell>
          <cell r="H122">
            <v>3726320.96</v>
          </cell>
          <cell r="I122">
            <v>206320.96</v>
          </cell>
          <cell r="J122">
            <v>0</v>
          </cell>
          <cell r="K122">
            <v>0</v>
          </cell>
        </row>
        <row r="123">
          <cell r="A123" t="str">
            <v>2003</v>
          </cell>
          <cell r="B123" t="str">
            <v>月份：2003.01-2003.12</v>
          </cell>
          <cell r="C123" t="str">
            <v>负债小计</v>
          </cell>
          <cell r="F123">
            <v>1915200.2</v>
          </cell>
          <cell r="G123">
            <v>38145921.369999997</v>
          </cell>
          <cell r="H123">
            <v>120989542.62</v>
          </cell>
          <cell r="I123">
            <v>122327108.78</v>
          </cell>
          <cell r="J123">
            <v>0</v>
          </cell>
          <cell r="K123">
            <v>37568287.329999998</v>
          </cell>
        </row>
        <row r="124">
          <cell r="A124" t="str">
            <v>2003</v>
          </cell>
          <cell r="B124" t="str">
            <v>月份：2003.01-2003.12</v>
          </cell>
          <cell r="D124" t="str">
            <v>港币</v>
          </cell>
          <cell r="F124">
            <v>0</v>
          </cell>
          <cell r="G124">
            <v>0</v>
          </cell>
          <cell r="H124">
            <v>0</v>
          </cell>
          <cell r="I124">
            <v>0</v>
          </cell>
          <cell r="J124">
            <v>0</v>
          </cell>
          <cell r="K124">
            <v>0</v>
          </cell>
        </row>
        <row r="125">
          <cell r="A125" t="str">
            <v>2003</v>
          </cell>
          <cell r="B125" t="str">
            <v>月份：2003.01-2003.12</v>
          </cell>
          <cell r="C125" t="str">
            <v>3101</v>
          </cell>
          <cell r="D125" t="str">
            <v>实收资本</v>
          </cell>
          <cell r="E125" t="str">
            <v>港币</v>
          </cell>
          <cell r="F125">
            <v>0</v>
          </cell>
          <cell r="G125">
            <v>15028985</v>
          </cell>
          <cell r="H125">
            <v>0</v>
          </cell>
          <cell r="I125">
            <v>0</v>
          </cell>
          <cell r="J125">
            <v>0</v>
          </cell>
          <cell r="K125">
            <v>15028985</v>
          </cell>
        </row>
        <row r="126">
          <cell r="A126" t="str">
            <v>2003</v>
          </cell>
          <cell r="B126" t="str">
            <v>月份：2003.01-2003.12</v>
          </cell>
          <cell r="C126" t="str">
            <v>3121</v>
          </cell>
          <cell r="D126" t="str">
            <v>盈余公积</v>
          </cell>
          <cell r="F126">
            <v>0</v>
          </cell>
          <cell r="G126">
            <v>5947211.8700000001</v>
          </cell>
          <cell r="H126">
            <v>0</v>
          </cell>
          <cell r="I126">
            <v>1187011.6100000001</v>
          </cell>
          <cell r="J126">
            <v>0</v>
          </cell>
          <cell r="K126">
            <v>7134223.4800000004</v>
          </cell>
        </row>
        <row r="127">
          <cell r="A127" t="str">
            <v>2003</v>
          </cell>
          <cell r="B127" t="str">
            <v>月份：2003.01-2003.12</v>
          </cell>
          <cell r="C127" t="str">
            <v>3131</v>
          </cell>
          <cell r="D127" t="str">
            <v>本年利润</v>
          </cell>
          <cell r="F127">
            <v>0</v>
          </cell>
          <cell r="G127">
            <v>0</v>
          </cell>
          <cell r="H127">
            <v>11936112.24</v>
          </cell>
          <cell r="I127">
            <v>11936112.24</v>
          </cell>
          <cell r="J127">
            <v>0</v>
          </cell>
          <cell r="K127">
            <v>0</v>
          </cell>
        </row>
        <row r="128">
          <cell r="A128" t="str">
            <v>2003</v>
          </cell>
          <cell r="B128" t="str">
            <v>月份：2003.01-2003.12</v>
          </cell>
          <cell r="C128" t="str">
            <v>3141</v>
          </cell>
          <cell r="D128" t="str">
            <v>利润分配</v>
          </cell>
          <cell r="F128">
            <v>0</v>
          </cell>
          <cell r="G128">
            <v>24305379.829999998</v>
          </cell>
          <cell r="H128">
            <v>25492391.440000001</v>
          </cell>
          <cell r="I128">
            <v>11870116.060000001</v>
          </cell>
          <cell r="J128">
            <v>0</v>
          </cell>
          <cell r="K128">
            <v>10683104.449999999</v>
          </cell>
        </row>
        <row r="129">
          <cell r="A129" t="str">
            <v>2003</v>
          </cell>
          <cell r="B129" t="str">
            <v>月份：2003.01-2003.12</v>
          </cell>
          <cell r="C129" t="str">
            <v>314110</v>
          </cell>
          <cell r="D129" t="str">
            <v xml:space="preserve">  提取储备基金</v>
          </cell>
          <cell r="F129">
            <v>0</v>
          </cell>
          <cell r="G129">
            <v>0</v>
          </cell>
          <cell r="H129">
            <v>1187011.6100000001</v>
          </cell>
          <cell r="I129">
            <v>1187011.6100000001</v>
          </cell>
          <cell r="J129">
            <v>0</v>
          </cell>
          <cell r="K129">
            <v>0</v>
          </cell>
        </row>
        <row r="130">
          <cell r="A130" t="str">
            <v>2003</v>
          </cell>
          <cell r="B130" t="str">
            <v>月份：2003.01-2003.12</v>
          </cell>
          <cell r="C130" t="str">
            <v>314140</v>
          </cell>
          <cell r="D130" t="str">
            <v xml:space="preserve">  未分配利润</v>
          </cell>
          <cell r="F130">
            <v>0</v>
          </cell>
          <cell r="G130">
            <v>24305379.829999998</v>
          </cell>
          <cell r="H130">
            <v>24305379.829999998</v>
          </cell>
          <cell r="I130">
            <v>10683104.449999999</v>
          </cell>
          <cell r="J130">
            <v>0</v>
          </cell>
          <cell r="K130">
            <v>10683104.449999999</v>
          </cell>
        </row>
        <row r="131">
          <cell r="A131" t="str">
            <v>2003</v>
          </cell>
          <cell r="B131" t="str">
            <v>月份：2003.01-2003.12</v>
          </cell>
          <cell r="C131" t="str">
            <v>权益小计</v>
          </cell>
          <cell r="F131">
            <v>0</v>
          </cell>
          <cell r="G131">
            <v>45281576.700000003</v>
          </cell>
          <cell r="H131">
            <v>37428503.68</v>
          </cell>
          <cell r="I131">
            <v>24993239.91</v>
          </cell>
          <cell r="J131">
            <v>0</v>
          </cell>
          <cell r="K131">
            <v>32846312.93</v>
          </cell>
        </row>
        <row r="132">
          <cell r="A132" t="str">
            <v>2003</v>
          </cell>
          <cell r="B132" t="str">
            <v>月份：2003.01-2003.12</v>
          </cell>
          <cell r="D132" t="str">
            <v>港币</v>
          </cell>
          <cell r="F132">
            <v>0</v>
          </cell>
          <cell r="G132">
            <v>0</v>
          </cell>
          <cell r="H132">
            <v>0</v>
          </cell>
          <cell r="I132">
            <v>0</v>
          </cell>
          <cell r="J132">
            <v>0</v>
          </cell>
          <cell r="K132">
            <v>0</v>
          </cell>
        </row>
        <row r="133">
          <cell r="A133" t="str">
            <v>2003</v>
          </cell>
          <cell r="B133" t="str">
            <v>月份：2003.01-2003.12</v>
          </cell>
          <cell r="C133" t="str">
            <v>4101</v>
          </cell>
          <cell r="D133" t="str">
            <v>生产成本</v>
          </cell>
          <cell r="F133">
            <v>0</v>
          </cell>
          <cell r="G133">
            <v>0</v>
          </cell>
          <cell r="H133">
            <v>64027100.780000001</v>
          </cell>
          <cell r="I133">
            <v>64027100.780000001</v>
          </cell>
          <cell r="J133">
            <v>0</v>
          </cell>
          <cell r="K133">
            <v>0</v>
          </cell>
        </row>
        <row r="134">
          <cell r="A134" t="str">
            <v>2003</v>
          </cell>
          <cell r="B134" t="str">
            <v>月份：2003.01-2003.12</v>
          </cell>
          <cell r="C134" t="str">
            <v>410110</v>
          </cell>
          <cell r="D134" t="str">
            <v xml:space="preserve">  直接材料</v>
          </cell>
          <cell r="F134">
            <v>0</v>
          </cell>
          <cell r="G134">
            <v>0</v>
          </cell>
          <cell r="H134">
            <v>59761298.840000004</v>
          </cell>
          <cell r="I134">
            <v>16498322.439999999</v>
          </cell>
          <cell r="J134">
            <v>43262976.399999999</v>
          </cell>
          <cell r="K134">
            <v>0</v>
          </cell>
        </row>
        <row r="135">
          <cell r="A135" t="str">
            <v>2003</v>
          </cell>
          <cell r="B135" t="str">
            <v>月份：2003.01-2003.12</v>
          </cell>
          <cell r="C135" t="str">
            <v>410121</v>
          </cell>
          <cell r="D135" t="str">
            <v xml:space="preserve">  承包费用</v>
          </cell>
          <cell r="F135">
            <v>0</v>
          </cell>
          <cell r="G135">
            <v>0</v>
          </cell>
          <cell r="H135">
            <v>3925724.63</v>
          </cell>
          <cell r="I135">
            <v>0</v>
          </cell>
          <cell r="J135">
            <v>3925724.63</v>
          </cell>
          <cell r="K135">
            <v>0</v>
          </cell>
        </row>
        <row r="136">
          <cell r="A136" t="str">
            <v>2003</v>
          </cell>
          <cell r="B136" t="str">
            <v>月份：2003.01-2003.12</v>
          </cell>
          <cell r="C136" t="str">
            <v>410130</v>
          </cell>
          <cell r="D136" t="str">
            <v xml:space="preserve">  制造费用</v>
          </cell>
          <cell r="F136">
            <v>0</v>
          </cell>
          <cell r="G136">
            <v>0</v>
          </cell>
          <cell r="H136">
            <v>340077.31</v>
          </cell>
          <cell r="I136">
            <v>340077.31</v>
          </cell>
          <cell r="J136">
            <v>0</v>
          </cell>
          <cell r="K136">
            <v>0</v>
          </cell>
        </row>
        <row r="137">
          <cell r="A137" t="str">
            <v>2003</v>
          </cell>
          <cell r="B137" t="str">
            <v>月份：2003.01-2003.12</v>
          </cell>
          <cell r="C137" t="str">
            <v>410140</v>
          </cell>
          <cell r="D137" t="str">
            <v xml:space="preserve">  生产成本统制</v>
          </cell>
          <cell r="F137">
            <v>0</v>
          </cell>
          <cell r="G137">
            <v>0</v>
          </cell>
          <cell r="H137">
            <v>0</v>
          </cell>
          <cell r="I137">
            <v>47188701.030000001</v>
          </cell>
          <cell r="J137">
            <v>0</v>
          </cell>
          <cell r="K137">
            <v>47188701.030000001</v>
          </cell>
        </row>
        <row r="138">
          <cell r="A138" t="str">
            <v>2003</v>
          </cell>
          <cell r="B138" t="str">
            <v>月份：2003.01-2003.12</v>
          </cell>
          <cell r="C138" t="str">
            <v>成本小计</v>
          </cell>
          <cell r="F138">
            <v>0</v>
          </cell>
          <cell r="G138">
            <v>0</v>
          </cell>
          <cell r="H138">
            <v>64027100.780000001</v>
          </cell>
          <cell r="I138">
            <v>64027100.780000001</v>
          </cell>
          <cell r="J138">
            <v>0</v>
          </cell>
          <cell r="K138">
            <v>0</v>
          </cell>
        </row>
        <row r="139">
          <cell r="A139" t="str">
            <v>2003</v>
          </cell>
          <cell r="B139" t="str">
            <v>月份：2003.01-2003.12</v>
          </cell>
          <cell r="C139" t="str">
            <v>5101</v>
          </cell>
          <cell r="D139" t="str">
            <v>主营业务收入</v>
          </cell>
          <cell r="F139">
            <v>0</v>
          </cell>
          <cell r="G139">
            <v>0</v>
          </cell>
          <cell r="H139">
            <v>83097541.170000002</v>
          </cell>
          <cell r="I139">
            <v>83097541.170000002</v>
          </cell>
          <cell r="J139">
            <v>0</v>
          </cell>
          <cell r="K139">
            <v>0</v>
          </cell>
        </row>
        <row r="140">
          <cell r="A140" t="str">
            <v>2003</v>
          </cell>
          <cell r="B140" t="str">
            <v>月份：2003.01-2003.12</v>
          </cell>
          <cell r="C140" t="str">
            <v>510110</v>
          </cell>
          <cell r="D140" t="str">
            <v xml:space="preserve">  内销</v>
          </cell>
          <cell r="F140">
            <v>0</v>
          </cell>
          <cell r="G140">
            <v>0</v>
          </cell>
          <cell r="H140">
            <v>82348853.079999998</v>
          </cell>
          <cell r="I140">
            <v>82348853.079999998</v>
          </cell>
          <cell r="J140">
            <v>0</v>
          </cell>
          <cell r="K140">
            <v>0</v>
          </cell>
        </row>
        <row r="141">
          <cell r="A141" t="str">
            <v>2003</v>
          </cell>
          <cell r="B141" t="str">
            <v>月份：2003.01-2003.12</v>
          </cell>
          <cell r="C141" t="str">
            <v>510111</v>
          </cell>
          <cell r="D141" t="str">
            <v xml:space="preserve">  外销</v>
          </cell>
          <cell r="E141" t="str">
            <v>港币</v>
          </cell>
          <cell r="F141">
            <v>0</v>
          </cell>
          <cell r="G141">
            <v>0</v>
          </cell>
          <cell r="H141">
            <v>2452304.73</v>
          </cell>
          <cell r="I141">
            <v>2452304.73</v>
          </cell>
          <cell r="J141">
            <v>0</v>
          </cell>
          <cell r="K141">
            <v>0</v>
          </cell>
        </row>
        <row r="142">
          <cell r="A142" t="str">
            <v>2003</v>
          </cell>
          <cell r="B142" t="str">
            <v>月份：2003.01-2003.12</v>
          </cell>
          <cell r="C142" t="str">
            <v>510112</v>
          </cell>
          <cell r="D142" t="str">
            <v xml:space="preserve">  内销退回</v>
          </cell>
          <cell r="F142">
            <v>0</v>
          </cell>
          <cell r="G142">
            <v>0</v>
          </cell>
          <cell r="H142">
            <v>-582689.91</v>
          </cell>
          <cell r="I142">
            <v>-582689.91</v>
          </cell>
          <cell r="J142">
            <v>0</v>
          </cell>
          <cell r="K142">
            <v>0</v>
          </cell>
        </row>
        <row r="143">
          <cell r="A143" t="str">
            <v>2003</v>
          </cell>
          <cell r="B143" t="str">
            <v>月份：2003.01-2003.12</v>
          </cell>
          <cell r="C143" t="str">
            <v>510120</v>
          </cell>
          <cell r="D143" t="str">
            <v xml:space="preserve">  销售折扣与折让-内销</v>
          </cell>
          <cell r="F143">
            <v>0</v>
          </cell>
          <cell r="G143">
            <v>0</v>
          </cell>
          <cell r="H143">
            <v>-1120926.73</v>
          </cell>
          <cell r="I143">
            <v>-1120926.73</v>
          </cell>
          <cell r="J143">
            <v>0</v>
          </cell>
          <cell r="K143">
            <v>0</v>
          </cell>
        </row>
        <row r="144">
          <cell r="A144" t="str">
            <v>2003</v>
          </cell>
          <cell r="B144" t="str">
            <v>月份：2003.01-2003.12</v>
          </cell>
          <cell r="C144" t="str">
            <v>5102</v>
          </cell>
          <cell r="D144" t="str">
            <v>其他业务收入</v>
          </cell>
          <cell r="F144">
            <v>0</v>
          </cell>
          <cell r="G144">
            <v>0</v>
          </cell>
          <cell r="H144">
            <v>3084.11</v>
          </cell>
          <cell r="I144">
            <v>3084.11</v>
          </cell>
          <cell r="J144">
            <v>0</v>
          </cell>
          <cell r="K144">
            <v>0</v>
          </cell>
        </row>
        <row r="145">
          <cell r="A145" t="str">
            <v>2003</v>
          </cell>
          <cell r="B145" t="str">
            <v>月份：2003.01-2003.12</v>
          </cell>
          <cell r="C145" t="str">
            <v>5103</v>
          </cell>
          <cell r="D145" t="str">
            <v>补贴收入</v>
          </cell>
          <cell r="F145">
            <v>0</v>
          </cell>
          <cell r="G145">
            <v>0</v>
          </cell>
          <cell r="H145">
            <v>152656.87</v>
          </cell>
          <cell r="I145">
            <v>152656.87</v>
          </cell>
          <cell r="J145">
            <v>0</v>
          </cell>
          <cell r="K145">
            <v>0</v>
          </cell>
        </row>
        <row r="146">
          <cell r="A146" t="str">
            <v>2003</v>
          </cell>
          <cell r="B146" t="str">
            <v>月份：2003.01-2003.12</v>
          </cell>
          <cell r="C146" t="str">
            <v>5301</v>
          </cell>
          <cell r="D146" t="str">
            <v>营业外收入</v>
          </cell>
          <cell r="F146">
            <v>0</v>
          </cell>
          <cell r="G146">
            <v>0</v>
          </cell>
          <cell r="H146">
            <v>188499.37</v>
          </cell>
          <cell r="I146">
            <v>188499.37</v>
          </cell>
          <cell r="J146">
            <v>0</v>
          </cell>
          <cell r="K146">
            <v>0</v>
          </cell>
        </row>
        <row r="147">
          <cell r="A147" t="str">
            <v>2003</v>
          </cell>
          <cell r="B147" t="str">
            <v>月份：2003.01-2003.12</v>
          </cell>
          <cell r="C147" t="str">
            <v>530110</v>
          </cell>
          <cell r="D147" t="str">
            <v xml:space="preserve">  废品收入</v>
          </cell>
          <cell r="F147">
            <v>0</v>
          </cell>
          <cell r="G147">
            <v>0</v>
          </cell>
          <cell r="H147">
            <v>8481.3700000000008</v>
          </cell>
          <cell r="I147">
            <v>8481.3700000000008</v>
          </cell>
          <cell r="J147">
            <v>0</v>
          </cell>
          <cell r="K147">
            <v>0</v>
          </cell>
        </row>
        <row r="148">
          <cell r="A148" t="str">
            <v>2003</v>
          </cell>
          <cell r="B148" t="str">
            <v>月份：2003.01-2003.12</v>
          </cell>
          <cell r="C148" t="str">
            <v>530120</v>
          </cell>
          <cell r="D148" t="str">
            <v xml:space="preserve">  其他收入</v>
          </cell>
          <cell r="F148">
            <v>0</v>
          </cell>
          <cell r="G148">
            <v>0</v>
          </cell>
          <cell r="H148">
            <v>180018</v>
          </cell>
          <cell r="I148">
            <v>180018</v>
          </cell>
          <cell r="J148">
            <v>0</v>
          </cell>
          <cell r="K148">
            <v>0</v>
          </cell>
        </row>
        <row r="149">
          <cell r="A149" t="str">
            <v>2003</v>
          </cell>
          <cell r="B149" t="str">
            <v>月份：2003.01-2003.12</v>
          </cell>
          <cell r="C149" t="str">
            <v>5401</v>
          </cell>
          <cell r="D149" t="str">
            <v>主营业务成本</v>
          </cell>
          <cell r="F149">
            <v>0</v>
          </cell>
          <cell r="G149">
            <v>0</v>
          </cell>
          <cell r="H149">
            <v>46279754.780000001</v>
          </cell>
          <cell r="I149">
            <v>46279754.780000001</v>
          </cell>
          <cell r="J149">
            <v>0</v>
          </cell>
          <cell r="K149">
            <v>0</v>
          </cell>
        </row>
        <row r="150">
          <cell r="A150" t="str">
            <v>2003</v>
          </cell>
          <cell r="B150" t="str">
            <v>月份：2003.01-2003.12</v>
          </cell>
          <cell r="C150" t="str">
            <v>540110</v>
          </cell>
          <cell r="D150" t="str">
            <v xml:space="preserve">  主营业务成本-成品-内销</v>
          </cell>
          <cell r="F150">
            <v>0</v>
          </cell>
          <cell r="G150">
            <v>0</v>
          </cell>
          <cell r="H150">
            <v>43804251.469999999</v>
          </cell>
          <cell r="I150">
            <v>43804251.469999999</v>
          </cell>
          <cell r="J150">
            <v>0</v>
          </cell>
          <cell r="K150">
            <v>0</v>
          </cell>
        </row>
        <row r="151">
          <cell r="A151" t="str">
            <v>2003</v>
          </cell>
          <cell r="B151" t="str">
            <v>月份：2003.01-2003.12</v>
          </cell>
          <cell r="C151" t="str">
            <v>540111</v>
          </cell>
          <cell r="D151" t="str">
            <v xml:space="preserve">  主营业务成本-成品-外销</v>
          </cell>
          <cell r="F151">
            <v>0</v>
          </cell>
          <cell r="G151">
            <v>0</v>
          </cell>
          <cell r="H151">
            <v>2165587.25</v>
          </cell>
          <cell r="I151">
            <v>2165587.25</v>
          </cell>
          <cell r="J151">
            <v>0</v>
          </cell>
          <cell r="K151">
            <v>0</v>
          </cell>
        </row>
        <row r="152">
          <cell r="A152" t="str">
            <v>2003</v>
          </cell>
          <cell r="B152" t="str">
            <v>月份：2003.01-2003.12</v>
          </cell>
          <cell r="C152" t="str">
            <v>540112</v>
          </cell>
          <cell r="D152" t="str">
            <v xml:space="preserve">  主营业务成本-盘点调整</v>
          </cell>
          <cell r="F152">
            <v>0</v>
          </cell>
          <cell r="G152">
            <v>0</v>
          </cell>
          <cell r="H152">
            <v>56606.98</v>
          </cell>
          <cell r="I152">
            <v>56606.98</v>
          </cell>
          <cell r="J152">
            <v>0</v>
          </cell>
          <cell r="K152">
            <v>0</v>
          </cell>
        </row>
        <row r="153">
          <cell r="A153" t="str">
            <v>2003</v>
          </cell>
          <cell r="B153" t="str">
            <v>月份：2003.01-2003.12</v>
          </cell>
          <cell r="C153" t="str">
            <v>540113</v>
          </cell>
          <cell r="D153" t="str">
            <v xml:space="preserve">  主营业务成本-采购差异</v>
          </cell>
          <cell r="F153">
            <v>0</v>
          </cell>
          <cell r="G153">
            <v>0</v>
          </cell>
          <cell r="H153">
            <v>-10182.9</v>
          </cell>
          <cell r="I153">
            <v>-10182.9</v>
          </cell>
          <cell r="J153">
            <v>0</v>
          </cell>
          <cell r="K153">
            <v>0</v>
          </cell>
        </row>
        <row r="154">
          <cell r="A154" t="str">
            <v>2003</v>
          </cell>
          <cell r="B154" t="str">
            <v>月份：2003.01-2003.12</v>
          </cell>
          <cell r="C154" t="str">
            <v>540114</v>
          </cell>
          <cell r="D154" t="str">
            <v xml:space="preserve">  主营业务成本-承包费差异</v>
          </cell>
          <cell r="F154">
            <v>0</v>
          </cell>
          <cell r="G154">
            <v>0</v>
          </cell>
          <cell r="H154">
            <v>5960</v>
          </cell>
          <cell r="I154">
            <v>5960</v>
          </cell>
          <cell r="J154">
            <v>0</v>
          </cell>
          <cell r="K154">
            <v>0</v>
          </cell>
        </row>
        <row r="155">
          <cell r="A155" t="str">
            <v>2003</v>
          </cell>
          <cell r="B155" t="str">
            <v>月份：2003.01-2003.12</v>
          </cell>
          <cell r="C155" t="str">
            <v>540115</v>
          </cell>
          <cell r="D155" t="str">
            <v xml:space="preserve">  主营业务成本-生产损耗</v>
          </cell>
          <cell r="F155">
            <v>0</v>
          </cell>
          <cell r="G155">
            <v>0</v>
          </cell>
          <cell r="H155">
            <v>81015.05</v>
          </cell>
          <cell r="I155">
            <v>81015.05</v>
          </cell>
          <cell r="J155">
            <v>0</v>
          </cell>
          <cell r="K155">
            <v>0</v>
          </cell>
        </row>
        <row r="156">
          <cell r="A156" t="str">
            <v>2003</v>
          </cell>
          <cell r="B156" t="str">
            <v>月份：2003.01-2003.12</v>
          </cell>
          <cell r="C156" t="str">
            <v>540117</v>
          </cell>
          <cell r="D156" t="str">
            <v xml:space="preserve">  主营业务成本-进项税转出</v>
          </cell>
          <cell r="F156">
            <v>0</v>
          </cell>
          <cell r="G156">
            <v>0</v>
          </cell>
          <cell r="H156">
            <v>43527.74</v>
          </cell>
          <cell r="I156">
            <v>43527.74</v>
          </cell>
          <cell r="J156">
            <v>0</v>
          </cell>
          <cell r="K156">
            <v>0</v>
          </cell>
        </row>
        <row r="157">
          <cell r="A157" t="str">
            <v>2003</v>
          </cell>
          <cell r="B157" t="str">
            <v>月份：2003.01-2003.12</v>
          </cell>
          <cell r="C157" t="str">
            <v>540118</v>
          </cell>
          <cell r="D157" t="str">
            <v xml:space="preserve">  主营业务成本-成本差异</v>
          </cell>
          <cell r="F157">
            <v>0</v>
          </cell>
          <cell r="G157">
            <v>0</v>
          </cell>
          <cell r="H157">
            <v>85428.72</v>
          </cell>
          <cell r="I157">
            <v>85428.72</v>
          </cell>
          <cell r="J157">
            <v>0</v>
          </cell>
          <cell r="K157">
            <v>0</v>
          </cell>
        </row>
        <row r="158">
          <cell r="A158" t="str">
            <v>2003</v>
          </cell>
          <cell r="B158" t="str">
            <v>月份：2003.01-2003.12</v>
          </cell>
          <cell r="C158" t="str">
            <v>540119</v>
          </cell>
          <cell r="D158" t="str">
            <v xml:space="preserve">  主营业务成本-翻较耗用</v>
          </cell>
          <cell r="F158">
            <v>0</v>
          </cell>
          <cell r="G158">
            <v>0</v>
          </cell>
          <cell r="H158">
            <v>47560.47</v>
          </cell>
          <cell r="I158">
            <v>47560.47</v>
          </cell>
          <cell r="J158">
            <v>0</v>
          </cell>
          <cell r="K158">
            <v>0</v>
          </cell>
        </row>
        <row r="159">
          <cell r="A159" t="str">
            <v>2003</v>
          </cell>
          <cell r="B159" t="str">
            <v>月份：2003.01-2003.12</v>
          </cell>
          <cell r="C159" t="str">
            <v>5402</v>
          </cell>
          <cell r="D159" t="str">
            <v>主营业务税金及附加</v>
          </cell>
          <cell r="F159">
            <v>0</v>
          </cell>
          <cell r="G159">
            <v>0</v>
          </cell>
          <cell r="H159">
            <v>35905.599999999999</v>
          </cell>
          <cell r="I159">
            <v>35905.599999999999</v>
          </cell>
          <cell r="J159">
            <v>0</v>
          </cell>
          <cell r="K159">
            <v>0</v>
          </cell>
        </row>
        <row r="160">
          <cell r="A160" t="str">
            <v>2003</v>
          </cell>
          <cell r="B160" t="str">
            <v>月份：2003.01-2003.12</v>
          </cell>
          <cell r="C160" t="str">
            <v>540220</v>
          </cell>
          <cell r="D160" t="str">
            <v xml:space="preserve">  城市维护建设费</v>
          </cell>
          <cell r="F160">
            <v>0</v>
          </cell>
          <cell r="G160">
            <v>0</v>
          </cell>
          <cell r="H160">
            <v>35905.599999999999</v>
          </cell>
          <cell r="I160">
            <v>35905.599999999999</v>
          </cell>
          <cell r="J160">
            <v>0</v>
          </cell>
          <cell r="K160">
            <v>0</v>
          </cell>
        </row>
        <row r="161">
          <cell r="A161" t="str">
            <v>2003</v>
          </cell>
          <cell r="B161" t="str">
            <v>月份：2003.01-2003.12</v>
          </cell>
          <cell r="C161" t="str">
            <v>5405</v>
          </cell>
          <cell r="D161" t="str">
            <v>其他业务支出</v>
          </cell>
          <cell r="F161">
            <v>0</v>
          </cell>
          <cell r="G161">
            <v>0</v>
          </cell>
          <cell r="H161">
            <v>3084.11</v>
          </cell>
          <cell r="I161">
            <v>3084.11</v>
          </cell>
          <cell r="J161">
            <v>0</v>
          </cell>
          <cell r="K161">
            <v>0</v>
          </cell>
        </row>
        <row r="162">
          <cell r="A162" t="str">
            <v>2003</v>
          </cell>
          <cell r="B162" t="str">
            <v>月份：2003.01-2003.12</v>
          </cell>
          <cell r="C162" t="str">
            <v>5501</v>
          </cell>
          <cell r="D162" t="str">
            <v>营业费用</v>
          </cell>
          <cell r="F162">
            <v>0</v>
          </cell>
          <cell r="G162">
            <v>0</v>
          </cell>
          <cell r="H162">
            <v>5446957.4199999999</v>
          </cell>
          <cell r="I162">
            <v>5446957.4199999999</v>
          </cell>
          <cell r="J162">
            <v>0</v>
          </cell>
          <cell r="K162">
            <v>0</v>
          </cell>
        </row>
        <row r="163">
          <cell r="A163" t="str">
            <v>2003</v>
          </cell>
          <cell r="B163" t="str">
            <v>月份：2003.01-2003.12</v>
          </cell>
          <cell r="C163" t="str">
            <v>550110</v>
          </cell>
          <cell r="D163" t="str">
            <v xml:space="preserve">  工资及其它</v>
          </cell>
          <cell r="F163">
            <v>0</v>
          </cell>
          <cell r="G163">
            <v>0</v>
          </cell>
          <cell r="H163">
            <v>1205565.3400000001</v>
          </cell>
          <cell r="I163">
            <v>1205565.3400000001</v>
          </cell>
          <cell r="J163">
            <v>0</v>
          </cell>
          <cell r="K163">
            <v>0</v>
          </cell>
        </row>
        <row r="164">
          <cell r="A164" t="str">
            <v>2003</v>
          </cell>
          <cell r="B164" t="str">
            <v>月份：2003.01-2003.12</v>
          </cell>
          <cell r="C164" t="str">
            <v>550111</v>
          </cell>
          <cell r="D164" t="str">
            <v xml:space="preserve">  折旧-营业部门</v>
          </cell>
          <cell r="F164">
            <v>0</v>
          </cell>
          <cell r="G164">
            <v>0</v>
          </cell>
          <cell r="H164">
            <v>62153.94</v>
          </cell>
          <cell r="I164">
            <v>62153.94</v>
          </cell>
          <cell r="J164">
            <v>0</v>
          </cell>
          <cell r="K164">
            <v>0</v>
          </cell>
        </row>
        <row r="165">
          <cell r="A165" t="str">
            <v>2003</v>
          </cell>
          <cell r="B165" t="str">
            <v>月份：2003.01-2003.12</v>
          </cell>
          <cell r="C165" t="str">
            <v>550112</v>
          </cell>
          <cell r="D165" t="str">
            <v xml:space="preserve">  营业费用-样品及捐赠</v>
          </cell>
          <cell r="F165">
            <v>0</v>
          </cell>
          <cell r="G165">
            <v>0</v>
          </cell>
          <cell r="H165">
            <v>232234.52</v>
          </cell>
          <cell r="I165">
            <v>232234.52</v>
          </cell>
          <cell r="J165">
            <v>0</v>
          </cell>
          <cell r="K165">
            <v>0</v>
          </cell>
        </row>
        <row r="166">
          <cell r="A166" t="str">
            <v>2003</v>
          </cell>
          <cell r="B166" t="str">
            <v>月份：2003.01-2003.12</v>
          </cell>
          <cell r="C166" t="str">
            <v>550113</v>
          </cell>
          <cell r="D166" t="str">
            <v xml:space="preserve">  运输费</v>
          </cell>
          <cell r="F166">
            <v>0</v>
          </cell>
          <cell r="G166">
            <v>0</v>
          </cell>
          <cell r="H166">
            <v>1017800.26</v>
          </cell>
          <cell r="I166">
            <v>1017800.26</v>
          </cell>
          <cell r="J166">
            <v>0</v>
          </cell>
          <cell r="K166">
            <v>0</v>
          </cell>
        </row>
        <row r="167">
          <cell r="A167" t="str">
            <v>2003</v>
          </cell>
          <cell r="B167" t="str">
            <v>月份：2003.01-2003.12</v>
          </cell>
          <cell r="C167" t="str">
            <v>550114</v>
          </cell>
          <cell r="D167" t="str">
            <v xml:space="preserve">  广告费</v>
          </cell>
          <cell r="F167">
            <v>0</v>
          </cell>
          <cell r="G167">
            <v>0</v>
          </cell>
          <cell r="H167">
            <v>2000</v>
          </cell>
          <cell r="I167">
            <v>2000</v>
          </cell>
          <cell r="J167">
            <v>0</v>
          </cell>
          <cell r="K167">
            <v>0</v>
          </cell>
        </row>
        <row r="168">
          <cell r="A168" t="str">
            <v>2003</v>
          </cell>
          <cell r="B168" t="str">
            <v>月份：2003.01-2003.12</v>
          </cell>
          <cell r="C168" t="str">
            <v>550120</v>
          </cell>
          <cell r="D168" t="str">
            <v xml:space="preserve">  应酬费</v>
          </cell>
          <cell r="F168">
            <v>0</v>
          </cell>
          <cell r="G168">
            <v>0</v>
          </cell>
          <cell r="H168">
            <v>413146.31</v>
          </cell>
          <cell r="I168">
            <v>413146.31</v>
          </cell>
          <cell r="J168">
            <v>0</v>
          </cell>
          <cell r="K168">
            <v>0</v>
          </cell>
        </row>
        <row r="169">
          <cell r="A169" t="str">
            <v>2003</v>
          </cell>
          <cell r="B169" t="str">
            <v>月份：2003.01-2003.12</v>
          </cell>
          <cell r="C169" t="str">
            <v>550121</v>
          </cell>
          <cell r="D169" t="str">
            <v xml:space="preserve">  差旅费（国内）</v>
          </cell>
          <cell r="F169">
            <v>0</v>
          </cell>
          <cell r="G169">
            <v>0</v>
          </cell>
          <cell r="H169">
            <v>409922.98</v>
          </cell>
          <cell r="I169">
            <v>409922.98</v>
          </cell>
          <cell r="J169">
            <v>0</v>
          </cell>
          <cell r="K169">
            <v>0</v>
          </cell>
        </row>
        <row r="170">
          <cell r="A170" t="str">
            <v>2003</v>
          </cell>
          <cell r="B170" t="str">
            <v>月份：2003.01-2003.12</v>
          </cell>
          <cell r="C170" t="str">
            <v>550122</v>
          </cell>
          <cell r="D170" t="str">
            <v xml:space="preserve">  差旅费（国外）</v>
          </cell>
          <cell r="F170">
            <v>0</v>
          </cell>
          <cell r="G170">
            <v>0</v>
          </cell>
          <cell r="H170">
            <v>26708.07</v>
          </cell>
          <cell r="I170">
            <v>26708.07</v>
          </cell>
          <cell r="J170">
            <v>0</v>
          </cell>
          <cell r="K170">
            <v>0</v>
          </cell>
        </row>
        <row r="171">
          <cell r="A171" t="str">
            <v>2003</v>
          </cell>
          <cell r="B171" t="str">
            <v>月份：2003.01-2003.12</v>
          </cell>
          <cell r="C171" t="str">
            <v>550124</v>
          </cell>
          <cell r="D171" t="str">
            <v xml:space="preserve">  员工电话费</v>
          </cell>
          <cell r="F171">
            <v>0</v>
          </cell>
          <cell r="G171">
            <v>0</v>
          </cell>
          <cell r="H171">
            <v>159298.49</v>
          </cell>
          <cell r="I171">
            <v>159298.49</v>
          </cell>
          <cell r="J171">
            <v>0</v>
          </cell>
          <cell r="K171">
            <v>0</v>
          </cell>
        </row>
        <row r="172">
          <cell r="A172" t="str">
            <v>2003</v>
          </cell>
          <cell r="B172" t="str">
            <v>月份：2003.01-2003.12</v>
          </cell>
          <cell r="C172" t="str">
            <v>550125</v>
          </cell>
          <cell r="D172" t="str">
            <v xml:space="preserve">  个人其他费用</v>
          </cell>
          <cell r="F172">
            <v>0</v>
          </cell>
          <cell r="G172">
            <v>0</v>
          </cell>
          <cell r="H172">
            <v>4131.03</v>
          </cell>
          <cell r="I172">
            <v>4131.03</v>
          </cell>
          <cell r="J172">
            <v>0</v>
          </cell>
          <cell r="K172">
            <v>0</v>
          </cell>
        </row>
        <row r="173">
          <cell r="A173" t="str">
            <v>2003</v>
          </cell>
          <cell r="B173" t="str">
            <v>月份：2003.01-2003.12</v>
          </cell>
          <cell r="C173" t="str">
            <v>550126</v>
          </cell>
          <cell r="D173" t="str">
            <v xml:space="preserve">  礼品</v>
          </cell>
          <cell r="F173">
            <v>0</v>
          </cell>
          <cell r="G173">
            <v>0</v>
          </cell>
          <cell r="H173">
            <v>59108.800000000003</v>
          </cell>
          <cell r="I173">
            <v>59108.800000000003</v>
          </cell>
          <cell r="J173">
            <v>0</v>
          </cell>
          <cell r="K173">
            <v>0</v>
          </cell>
        </row>
        <row r="174">
          <cell r="A174" t="str">
            <v>2003</v>
          </cell>
          <cell r="B174" t="str">
            <v>月份：2003.01-2003.12</v>
          </cell>
          <cell r="C174" t="str">
            <v>550127</v>
          </cell>
          <cell r="D174" t="str">
            <v xml:space="preserve">  空运费</v>
          </cell>
          <cell r="F174">
            <v>0</v>
          </cell>
          <cell r="G174">
            <v>0</v>
          </cell>
          <cell r="H174">
            <v>372764.34</v>
          </cell>
          <cell r="I174">
            <v>372764.34</v>
          </cell>
          <cell r="J174">
            <v>0</v>
          </cell>
          <cell r="K174">
            <v>0</v>
          </cell>
        </row>
        <row r="175">
          <cell r="A175" t="str">
            <v>2003</v>
          </cell>
          <cell r="B175" t="str">
            <v>月份：2003.01-2003.12</v>
          </cell>
          <cell r="C175" t="str">
            <v>550129</v>
          </cell>
          <cell r="D175" t="str">
            <v xml:space="preserve">  销售折扣-耐普罗</v>
          </cell>
          <cell r="F175">
            <v>0</v>
          </cell>
          <cell r="G175">
            <v>0</v>
          </cell>
          <cell r="H175">
            <v>242279.74</v>
          </cell>
          <cell r="I175">
            <v>242279.74</v>
          </cell>
          <cell r="J175">
            <v>0</v>
          </cell>
          <cell r="K175">
            <v>0</v>
          </cell>
        </row>
        <row r="176">
          <cell r="A176" t="str">
            <v>2003</v>
          </cell>
          <cell r="B176" t="str">
            <v>月份：2003.01-2003.12</v>
          </cell>
          <cell r="C176" t="str">
            <v>550131</v>
          </cell>
          <cell r="D176" t="str">
            <v xml:space="preserve">  销售佣金</v>
          </cell>
          <cell r="F176">
            <v>0</v>
          </cell>
          <cell r="G176">
            <v>0</v>
          </cell>
          <cell r="H176">
            <v>1305220.8400000001</v>
          </cell>
          <cell r="I176">
            <v>1305220.8400000001</v>
          </cell>
          <cell r="J176">
            <v>0</v>
          </cell>
          <cell r="K176">
            <v>0</v>
          </cell>
        </row>
        <row r="177">
          <cell r="A177" t="str">
            <v>2003</v>
          </cell>
          <cell r="B177" t="str">
            <v>月份：2003.01-2003.12</v>
          </cell>
          <cell r="C177" t="str">
            <v>550132</v>
          </cell>
          <cell r="D177" t="str">
            <v xml:space="preserve">  安全保护费</v>
          </cell>
          <cell r="F177">
            <v>0</v>
          </cell>
          <cell r="G177">
            <v>0</v>
          </cell>
          <cell r="H177">
            <v>350</v>
          </cell>
          <cell r="I177">
            <v>350</v>
          </cell>
          <cell r="J177">
            <v>0</v>
          </cell>
          <cell r="K177">
            <v>0</v>
          </cell>
        </row>
        <row r="178">
          <cell r="A178" t="str">
            <v>2003</v>
          </cell>
          <cell r="B178" t="str">
            <v>月份：2003.01-2003.12</v>
          </cell>
          <cell r="C178" t="str">
            <v>550133</v>
          </cell>
          <cell r="D178" t="str">
            <v xml:space="preserve">  捐赠</v>
          </cell>
          <cell r="F178">
            <v>0</v>
          </cell>
          <cell r="G178">
            <v>0</v>
          </cell>
          <cell r="H178">
            <v>13300</v>
          </cell>
          <cell r="I178">
            <v>13300</v>
          </cell>
          <cell r="J178">
            <v>0</v>
          </cell>
          <cell r="K178">
            <v>0</v>
          </cell>
        </row>
        <row r="179">
          <cell r="A179" t="str">
            <v>2003</v>
          </cell>
          <cell r="B179" t="str">
            <v>月份：2003.01-2003.12</v>
          </cell>
          <cell r="C179" t="str">
            <v>550134</v>
          </cell>
          <cell r="D179" t="str">
            <v xml:space="preserve">  维修费</v>
          </cell>
          <cell r="F179">
            <v>0</v>
          </cell>
          <cell r="G179">
            <v>0</v>
          </cell>
          <cell r="H179">
            <v>90</v>
          </cell>
          <cell r="I179">
            <v>90</v>
          </cell>
          <cell r="J179">
            <v>0</v>
          </cell>
          <cell r="K179">
            <v>0</v>
          </cell>
        </row>
        <row r="180">
          <cell r="A180" t="str">
            <v>2003</v>
          </cell>
          <cell r="B180" t="str">
            <v>月份：2003.01-2003.12</v>
          </cell>
          <cell r="C180" t="str">
            <v>550135</v>
          </cell>
          <cell r="D180" t="str">
            <v xml:space="preserve">  物料消耗</v>
          </cell>
          <cell r="F180">
            <v>0</v>
          </cell>
          <cell r="G180">
            <v>0</v>
          </cell>
          <cell r="H180">
            <v>5994.37</v>
          </cell>
          <cell r="I180">
            <v>5994.37</v>
          </cell>
          <cell r="J180">
            <v>0</v>
          </cell>
          <cell r="K180">
            <v>0</v>
          </cell>
        </row>
        <row r="181">
          <cell r="A181" t="str">
            <v>2003</v>
          </cell>
          <cell r="B181" t="str">
            <v>月份：2003.01-2003.12</v>
          </cell>
          <cell r="C181" t="str">
            <v>550136</v>
          </cell>
          <cell r="D181" t="str">
            <v xml:space="preserve">  租金</v>
          </cell>
          <cell r="F181">
            <v>0</v>
          </cell>
          <cell r="G181">
            <v>0</v>
          </cell>
          <cell r="H181">
            <v>50976.3</v>
          </cell>
          <cell r="I181">
            <v>50976.3</v>
          </cell>
          <cell r="J181">
            <v>0</v>
          </cell>
          <cell r="K181">
            <v>0</v>
          </cell>
        </row>
        <row r="182">
          <cell r="A182" t="str">
            <v>2003</v>
          </cell>
          <cell r="B182" t="str">
            <v>月份：2003.01-2003.12</v>
          </cell>
          <cell r="C182" t="str">
            <v>550137</v>
          </cell>
          <cell r="D182" t="str">
            <v xml:space="preserve">  赔偿费</v>
          </cell>
          <cell r="F182">
            <v>0</v>
          </cell>
          <cell r="G182">
            <v>0</v>
          </cell>
          <cell r="H182">
            <v>-177661.82</v>
          </cell>
          <cell r="I182">
            <v>-177661.82</v>
          </cell>
          <cell r="J182">
            <v>0</v>
          </cell>
          <cell r="K182">
            <v>0</v>
          </cell>
        </row>
        <row r="183">
          <cell r="A183" t="str">
            <v>2003</v>
          </cell>
          <cell r="B183" t="str">
            <v>月份：2003.01-2003.12</v>
          </cell>
          <cell r="C183" t="str">
            <v>550138</v>
          </cell>
          <cell r="D183" t="str">
            <v xml:space="preserve">  餐费</v>
          </cell>
          <cell r="F183">
            <v>0</v>
          </cell>
          <cell r="G183">
            <v>0</v>
          </cell>
          <cell r="H183">
            <v>40567.910000000003</v>
          </cell>
          <cell r="I183">
            <v>40567.910000000003</v>
          </cell>
          <cell r="J183">
            <v>0</v>
          </cell>
          <cell r="K183">
            <v>0</v>
          </cell>
        </row>
        <row r="184">
          <cell r="A184" t="str">
            <v>2003</v>
          </cell>
          <cell r="B184" t="str">
            <v>月份：2003.01-2003.12</v>
          </cell>
          <cell r="C184" t="str">
            <v>550180</v>
          </cell>
          <cell r="D184" t="str">
            <v xml:space="preserve">  其它</v>
          </cell>
          <cell r="F184">
            <v>0</v>
          </cell>
          <cell r="G184">
            <v>0</v>
          </cell>
          <cell r="H184">
            <v>1006</v>
          </cell>
          <cell r="I184">
            <v>1006</v>
          </cell>
          <cell r="J184">
            <v>0</v>
          </cell>
          <cell r="K184">
            <v>0</v>
          </cell>
        </row>
        <row r="185">
          <cell r="A185" t="str">
            <v>2003</v>
          </cell>
          <cell r="B185" t="str">
            <v>月份：2003.01-2003.12</v>
          </cell>
          <cell r="C185" t="str">
            <v>5502</v>
          </cell>
          <cell r="D185" t="str">
            <v>管理费用</v>
          </cell>
          <cell r="F185">
            <v>0</v>
          </cell>
          <cell r="G185">
            <v>0</v>
          </cell>
          <cell r="H185">
            <v>18542291.43</v>
          </cell>
          <cell r="I185">
            <v>18542291.43</v>
          </cell>
          <cell r="J185">
            <v>0</v>
          </cell>
          <cell r="K185">
            <v>0</v>
          </cell>
        </row>
        <row r="186">
          <cell r="A186" t="str">
            <v>2003</v>
          </cell>
          <cell r="B186" t="str">
            <v>月份：2003.01-2003.12</v>
          </cell>
          <cell r="C186" t="str">
            <v>550210</v>
          </cell>
          <cell r="D186" t="str">
            <v xml:space="preserve">  工资及其它</v>
          </cell>
          <cell r="F186">
            <v>0</v>
          </cell>
          <cell r="G186">
            <v>0</v>
          </cell>
          <cell r="H186">
            <v>3366170.51</v>
          </cell>
          <cell r="I186">
            <v>3366170.51</v>
          </cell>
          <cell r="J186">
            <v>0</v>
          </cell>
          <cell r="K186">
            <v>0</v>
          </cell>
        </row>
        <row r="187">
          <cell r="A187" t="str">
            <v>2003</v>
          </cell>
          <cell r="B187" t="str">
            <v>月份：2003.01-2003.12</v>
          </cell>
          <cell r="C187" t="str">
            <v>550211</v>
          </cell>
          <cell r="D187" t="str">
            <v xml:space="preserve">  折旧-管理部门</v>
          </cell>
          <cell r="F187">
            <v>0</v>
          </cell>
          <cell r="G187">
            <v>0</v>
          </cell>
          <cell r="H187">
            <v>418370.65</v>
          </cell>
          <cell r="I187">
            <v>418370.65</v>
          </cell>
          <cell r="J187">
            <v>0</v>
          </cell>
          <cell r="K187">
            <v>0</v>
          </cell>
        </row>
        <row r="188">
          <cell r="A188" t="str">
            <v>2003</v>
          </cell>
          <cell r="B188" t="str">
            <v>月份：2003.01-2003.12</v>
          </cell>
          <cell r="C188" t="str">
            <v>550212</v>
          </cell>
          <cell r="D188" t="str">
            <v xml:space="preserve">  折旧-技术开发部门</v>
          </cell>
          <cell r="F188">
            <v>0</v>
          </cell>
          <cell r="G188">
            <v>0</v>
          </cell>
          <cell r="H188">
            <v>209536.26</v>
          </cell>
          <cell r="I188">
            <v>209536.26</v>
          </cell>
          <cell r="J188">
            <v>0</v>
          </cell>
          <cell r="K188">
            <v>0</v>
          </cell>
        </row>
        <row r="189">
          <cell r="A189" t="str">
            <v>2003</v>
          </cell>
          <cell r="B189" t="str">
            <v>月份：2003.01-2003.12</v>
          </cell>
          <cell r="C189" t="str">
            <v>550213</v>
          </cell>
          <cell r="D189" t="str">
            <v xml:space="preserve">  用车费用</v>
          </cell>
          <cell r="F189">
            <v>0</v>
          </cell>
          <cell r="G189">
            <v>0</v>
          </cell>
          <cell r="H189">
            <v>375957.99</v>
          </cell>
          <cell r="I189">
            <v>375957.99</v>
          </cell>
          <cell r="J189">
            <v>0</v>
          </cell>
          <cell r="K189">
            <v>0</v>
          </cell>
        </row>
        <row r="190">
          <cell r="A190" t="str">
            <v>2003</v>
          </cell>
          <cell r="B190" t="str">
            <v>月份：2003.01-2003.12</v>
          </cell>
          <cell r="C190" t="str">
            <v>550220</v>
          </cell>
          <cell r="D190" t="str">
            <v xml:space="preserve">  应酬费</v>
          </cell>
          <cell r="F190">
            <v>0</v>
          </cell>
          <cell r="G190">
            <v>0</v>
          </cell>
          <cell r="H190">
            <v>90359.44</v>
          </cell>
          <cell r="I190">
            <v>90359.44</v>
          </cell>
          <cell r="J190">
            <v>0</v>
          </cell>
          <cell r="K190">
            <v>0</v>
          </cell>
        </row>
        <row r="191">
          <cell r="A191" t="str">
            <v>2003</v>
          </cell>
          <cell r="B191" t="str">
            <v>月份：2003.01-2003.12</v>
          </cell>
          <cell r="C191" t="str">
            <v>550221</v>
          </cell>
          <cell r="D191" t="str">
            <v xml:space="preserve">  差旅费（国内）</v>
          </cell>
          <cell r="F191">
            <v>0</v>
          </cell>
          <cell r="G191">
            <v>0</v>
          </cell>
          <cell r="H191">
            <v>383362.36</v>
          </cell>
          <cell r="I191">
            <v>383362.36</v>
          </cell>
          <cell r="J191">
            <v>0</v>
          </cell>
          <cell r="K191">
            <v>0</v>
          </cell>
        </row>
        <row r="192">
          <cell r="A192" t="str">
            <v>2003</v>
          </cell>
          <cell r="B192" t="str">
            <v>月份：2003.01-2003.12</v>
          </cell>
          <cell r="C192" t="str">
            <v>550222</v>
          </cell>
          <cell r="D192" t="str">
            <v xml:space="preserve">  差旅费（国外）</v>
          </cell>
          <cell r="F192">
            <v>0</v>
          </cell>
          <cell r="G192">
            <v>0</v>
          </cell>
          <cell r="H192">
            <v>70677.58</v>
          </cell>
          <cell r="I192">
            <v>70677.58</v>
          </cell>
          <cell r="J192">
            <v>0</v>
          </cell>
          <cell r="K192">
            <v>0</v>
          </cell>
        </row>
        <row r="193">
          <cell r="A193" t="str">
            <v>2003</v>
          </cell>
          <cell r="B193" t="str">
            <v>月份：2003.01-2003.12</v>
          </cell>
          <cell r="C193" t="str">
            <v>550223</v>
          </cell>
          <cell r="D193" t="str">
            <v xml:space="preserve">  培训费</v>
          </cell>
          <cell r="F193">
            <v>0</v>
          </cell>
          <cell r="G193">
            <v>0</v>
          </cell>
          <cell r="H193">
            <v>22238.03</v>
          </cell>
          <cell r="I193">
            <v>22238.03</v>
          </cell>
          <cell r="J193">
            <v>0</v>
          </cell>
          <cell r="K193">
            <v>0</v>
          </cell>
        </row>
        <row r="194">
          <cell r="A194" t="str">
            <v>2003</v>
          </cell>
          <cell r="B194" t="str">
            <v>月份：2003.01-2003.12</v>
          </cell>
          <cell r="C194" t="str">
            <v>550224</v>
          </cell>
          <cell r="D194" t="str">
            <v xml:space="preserve">  员工电话费</v>
          </cell>
          <cell r="F194">
            <v>0</v>
          </cell>
          <cell r="G194">
            <v>0</v>
          </cell>
          <cell r="H194">
            <v>99826.880000000005</v>
          </cell>
          <cell r="I194">
            <v>99826.880000000005</v>
          </cell>
          <cell r="J194">
            <v>0</v>
          </cell>
          <cell r="K194">
            <v>0</v>
          </cell>
        </row>
        <row r="195">
          <cell r="A195" t="str">
            <v>2003</v>
          </cell>
          <cell r="B195" t="str">
            <v>月份：2003.01-2003.12</v>
          </cell>
          <cell r="C195" t="str">
            <v>550225</v>
          </cell>
          <cell r="D195" t="str">
            <v xml:space="preserve">  个人其他费用</v>
          </cell>
          <cell r="F195">
            <v>0</v>
          </cell>
          <cell r="G195">
            <v>0</v>
          </cell>
          <cell r="H195">
            <v>9446.34</v>
          </cell>
          <cell r="I195">
            <v>9446.34</v>
          </cell>
          <cell r="J195">
            <v>0</v>
          </cell>
          <cell r="K195">
            <v>0</v>
          </cell>
        </row>
        <row r="196">
          <cell r="A196" t="str">
            <v>2003</v>
          </cell>
          <cell r="B196" t="str">
            <v>月份：2003.01-2003.12</v>
          </cell>
          <cell r="C196" t="str">
            <v>550226</v>
          </cell>
          <cell r="D196" t="str">
            <v xml:space="preserve">  餐费</v>
          </cell>
          <cell r="F196">
            <v>0</v>
          </cell>
          <cell r="G196">
            <v>0</v>
          </cell>
          <cell r="H196">
            <v>193625.51</v>
          </cell>
          <cell r="I196">
            <v>193625.51</v>
          </cell>
          <cell r="J196">
            <v>0</v>
          </cell>
          <cell r="K196">
            <v>0</v>
          </cell>
        </row>
        <row r="197">
          <cell r="A197" t="str">
            <v>2003</v>
          </cell>
          <cell r="B197" t="str">
            <v>月份：2003.01-2003.12</v>
          </cell>
          <cell r="C197" t="str">
            <v>550227</v>
          </cell>
          <cell r="D197" t="str">
            <v xml:space="preserve">  礼品</v>
          </cell>
          <cell r="F197">
            <v>0</v>
          </cell>
          <cell r="G197">
            <v>0</v>
          </cell>
          <cell r="H197">
            <v>8137.69</v>
          </cell>
          <cell r="I197">
            <v>8137.69</v>
          </cell>
          <cell r="J197">
            <v>0</v>
          </cell>
          <cell r="K197">
            <v>0</v>
          </cell>
        </row>
        <row r="198">
          <cell r="A198" t="str">
            <v>2003</v>
          </cell>
          <cell r="B198" t="str">
            <v>月份：2003.01-2003.12</v>
          </cell>
          <cell r="C198" t="str">
            <v>550230</v>
          </cell>
          <cell r="D198" t="str">
            <v xml:space="preserve">  维修费</v>
          </cell>
          <cell r="F198">
            <v>0</v>
          </cell>
          <cell r="G198">
            <v>0</v>
          </cell>
          <cell r="H198">
            <v>8660</v>
          </cell>
          <cell r="I198">
            <v>8660</v>
          </cell>
          <cell r="J198">
            <v>0</v>
          </cell>
          <cell r="K198">
            <v>0</v>
          </cell>
        </row>
        <row r="199">
          <cell r="A199" t="str">
            <v>2003</v>
          </cell>
          <cell r="B199" t="str">
            <v>月份：2003.01-2003.12</v>
          </cell>
          <cell r="C199" t="str">
            <v>550231</v>
          </cell>
          <cell r="D199" t="str">
            <v xml:space="preserve">  电费</v>
          </cell>
          <cell r="F199">
            <v>0</v>
          </cell>
          <cell r="G199">
            <v>0</v>
          </cell>
          <cell r="H199">
            <v>29466.720000000001</v>
          </cell>
          <cell r="I199">
            <v>29466.720000000001</v>
          </cell>
          <cell r="J199">
            <v>0</v>
          </cell>
          <cell r="K199">
            <v>0</v>
          </cell>
        </row>
        <row r="200">
          <cell r="A200" t="str">
            <v>2003</v>
          </cell>
          <cell r="B200" t="str">
            <v>月份：2003.01-2003.12</v>
          </cell>
          <cell r="C200" t="str">
            <v>550232</v>
          </cell>
          <cell r="D200" t="str">
            <v xml:space="preserve">  水费</v>
          </cell>
          <cell r="F200">
            <v>0</v>
          </cell>
          <cell r="G200">
            <v>0</v>
          </cell>
          <cell r="H200">
            <v>12881.67</v>
          </cell>
          <cell r="I200">
            <v>12881.67</v>
          </cell>
          <cell r="J200">
            <v>0</v>
          </cell>
          <cell r="K200">
            <v>0</v>
          </cell>
        </row>
        <row r="201">
          <cell r="A201" t="str">
            <v>2003</v>
          </cell>
          <cell r="B201" t="str">
            <v>月份：2003.01-2003.12</v>
          </cell>
          <cell r="C201" t="str">
            <v>550233</v>
          </cell>
          <cell r="D201" t="str">
            <v xml:space="preserve">  租金</v>
          </cell>
          <cell r="F201">
            <v>0</v>
          </cell>
          <cell r="G201">
            <v>0</v>
          </cell>
          <cell r="H201">
            <v>934302.04</v>
          </cell>
          <cell r="I201">
            <v>934302.04</v>
          </cell>
          <cell r="J201">
            <v>0</v>
          </cell>
          <cell r="K201">
            <v>0</v>
          </cell>
        </row>
        <row r="202">
          <cell r="A202" t="str">
            <v>2003</v>
          </cell>
          <cell r="B202" t="str">
            <v>月份：2003.01-2003.12</v>
          </cell>
          <cell r="C202" t="str">
            <v>550234</v>
          </cell>
          <cell r="D202" t="str">
            <v xml:space="preserve">  文具印刷费</v>
          </cell>
          <cell r="F202">
            <v>0</v>
          </cell>
          <cell r="G202">
            <v>0</v>
          </cell>
          <cell r="H202">
            <v>38287.81</v>
          </cell>
          <cell r="I202">
            <v>38287.81</v>
          </cell>
          <cell r="J202">
            <v>0</v>
          </cell>
          <cell r="K202">
            <v>0</v>
          </cell>
        </row>
        <row r="203">
          <cell r="A203" t="str">
            <v>2003</v>
          </cell>
          <cell r="B203" t="str">
            <v>月份：2003.01-2003.12</v>
          </cell>
          <cell r="C203" t="str">
            <v>550235</v>
          </cell>
          <cell r="D203" t="str">
            <v xml:space="preserve">  电话及传真费</v>
          </cell>
          <cell r="F203">
            <v>0</v>
          </cell>
          <cell r="G203">
            <v>0</v>
          </cell>
          <cell r="H203">
            <v>123513.05</v>
          </cell>
          <cell r="I203">
            <v>123513.05</v>
          </cell>
          <cell r="J203">
            <v>0</v>
          </cell>
          <cell r="K203">
            <v>0</v>
          </cell>
        </row>
        <row r="204">
          <cell r="A204" t="str">
            <v>2003</v>
          </cell>
          <cell r="B204" t="str">
            <v>月份：2003.01-2003.12</v>
          </cell>
          <cell r="C204" t="str">
            <v>550236</v>
          </cell>
          <cell r="D204" t="str">
            <v xml:space="preserve">  邮递费</v>
          </cell>
          <cell r="F204">
            <v>0</v>
          </cell>
          <cell r="G204">
            <v>0</v>
          </cell>
          <cell r="H204">
            <v>64799.29</v>
          </cell>
          <cell r="I204">
            <v>64799.29</v>
          </cell>
          <cell r="J204">
            <v>0</v>
          </cell>
          <cell r="K204">
            <v>0</v>
          </cell>
        </row>
        <row r="205">
          <cell r="A205" t="str">
            <v>2003</v>
          </cell>
          <cell r="B205" t="str">
            <v>月份：2003.01-2003.12</v>
          </cell>
          <cell r="C205" t="str">
            <v>550237</v>
          </cell>
          <cell r="D205" t="str">
            <v xml:space="preserve">  物料消耗</v>
          </cell>
          <cell r="F205">
            <v>0</v>
          </cell>
          <cell r="G205">
            <v>0</v>
          </cell>
          <cell r="H205">
            <v>259591.49</v>
          </cell>
          <cell r="I205">
            <v>259591.49</v>
          </cell>
          <cell r="J205">
            <v>0</v>
          </cell>
          <cell r="K205">
            <v>0</v>
          </cell>
        </row>
        <row r="206">
          <cell r="A206" t="str">
            <v>2003</v>
          </cell>
          <cell r="B206" t="str">
            <v>月份：2003.01-2003.12</v>
          </cell>
          <cell r="C206" t="str">
            <v>550238</v>
          </cell>
          <cell r="D206" t="str">
            <v xml:space="preserve">  坏帐准备</v>
          </cell>
          <cell r="F206">
            <v>0</v>
          </cell>
          <cell r="G206">
            <v>0</v>
          </cell>
          <cell r="H206">
            <v>-110568.55</v>
          </cell>
          <cell r="I206">
            <v>-110568.55</v>
          </cell>
          <cell r="J206">
            <v>0</v>
          </cell>
          <cell r="K206">
            <v>0</v>
          </cell>
        </row>
        <row r="207">
          <cell r="A207" t="str">
            <v>2003</v>
          </cell>
          <cell r="B207" t="str">
            <v>月份：2003.01-2003.12</v>
          </cell>
          <cell r="C207" t="str">
            <v>550239</v>
          </cell>
          <cell r="D207" t="str">
            <v xml:space="preserve">  保险</v>
          </cell>
          <cell r="F207">
            <v>0</v>
          </cell>
          <cell r="G207">
            <v>0</v>
          </cell>
          <cell r="H207">
            <v>230840.9</v>
          </cell>
          <cell r="I207">
            <v>230840.9</v>
          </cell>
          <cell r="J207">
            <v>0</v>
          </cell>
          <cell r="K207">
            <v>0</v>
          </cell>
        </row>
        <row r="208">
          <cell r="A208" t="str">
            <v>2003</v>
          </cell>
          <cell r="B208" t="str">
            <v>月份：2003.01-2003.12</v>
          </cell>
          <cell r="C208" t="str">
            <v>550240</v>
          </cell>
          <cell r="D208" t="str">
            <v xml:space="preserve">  审计费</v>
          </cell>
          <cell r="F208">
            <v>0</v>
          </cell>
          <cell r="G208">
            <v>0</v>
          </cell>
          <cell r="H208">
            <v>185177</v>
          </cell>
          <cell r="I208">
            <v>185177</v>
          </cell>
          <cell r="J208">
            <v>0</v>
          </cell>
          <cell r="K208">
            <v>0</v>
          </cell>
        </row>
        <row r="209">
          <cell r="A209" t="str">
            <v>2003</v>
          </cell>
          <cell r="B209" t="str">
            <v>月份：2003.01-2003.12</v>
          </cell>
          <cell r="C209" t="str">
            <v>550241</v>
          </cell>
          <cell r="D209" t="str">
            <v xml:space="preserve">  诉讼费</v>
          </cell>
          <cell r="F209">
            <v>0</v>
          </cell>
          <cell r="G209">
            <v>0</v>
          </cell>
          <cell r="H209">
            <v>5500</v>
          </cell>
          <cell r="I209">
            <v>5500</v>
          </cell>
          <cell r="J209">
            <v>0</v>
          </cell>
          <cell r="K209">
            <v>0</v>
          </cell>
        </row>
        <row r="210">
          <cell r="A210" t="str">
            <v>2003</v>
          </cell>
          <cell r="B210" t="str">
            <v>月份：2003.01-2003.12</v>
          </cell>
          <cell r="C210" t="str">
            <v>550242</v>
          </cell>
          <cell r="D210" t="str">
            <v xml:space="preserve">  咨询费</v>
          </cell>
          <cell r="F210">
            <v>0</v>
          </cell>
          <cell r="G210">
            <v>0</v>
          </cell>
          <cell r="H210">
            <v>115421.26</v>
          </cell>
          <cell r="I210">
            <v>115421.26</v>
          </cell>
          <cell r="J210">
            <v>0</v>
          </cell>
          <cell r="K210">
            <v>0</v>
          </cell>
        </row>
        <row r="211">
          <cell r="A211" t="str">
            <v>2003</v>
          </cell>
          <cell r="B211" t="str">
            <v>月份：2003.01-2003.12</v>
          </cell>
          <cell r="C211" t="str">
            <v>550243</v>
          </cell>
          <cell r="D211" t="str">
            <v xml:space="preserve">  清洁费</v>
          </cell>
          <cell r="F211">
            <v>0</v>
          </cell>
          <cell r="G211">
            <v>0</v>
          </cell>
          <cell r="H211">
            <v>7534</v>
          </cell>
          <cell r="I211">
            <v>7534</v>
          </cell>
          <cell r="J211">
            <v>0</v>
          </cell>
          <cell r="K211">
            <v>0</v>
          </cell>
        </row>
        <row r="212">
          <cell r="A212" t="str">
            <v>2003</v>
          </cell>
          <cell r="B212" t="str">
            <v>月份：2003.01-2003.12</v>
          </cell>
          <cell r="C212" t="str">
            <v>550244</v>
          </cell>
          <cell r="D212" t="str">
            <v xml:space="preserve">  报关费</v>
          </cell>
          <cell r="F212">
            <v>0</v>
          </cell>
          <cell r="G212">
            <v>0</v>
          </cell>
          <cell r="H212">
            <v>103605</v>
          </cell>
          <cell r="I212">
            <v>103605</v>
          </cell>
          <cell r="J212">
            <v>0</v>
          </cell>
          <cell r="K212">
            <v>0</v>
          </cell>
        </row>
        <row r="213">
          <cell r="A213" t="str">
            <v>2003</v>
          </cell>
          <cell r="B213" t="str">
            <v>月份：2003.01-2003.12</v>
          </cell>
          <cell r="C213" t="str">
            <v>550245</v>
          </cell>
          <cell r="D213" t="str">
            <v xml:space="preserve">  广告费</v>
          </cell>
          <cell r="F213">
            <v>0</v>
          </cell>
          <cell r="G213">
            <v>0</v>
          </cell>
          <cell r="H213">
            <v>15000</v>
          </cell>
          <cell r="I213">
            <v>15000</v>
          </cell>
          <cell r="J213">
            <v>0</v>
          </cell>
          <cell r="K213">
            <v>0</v>
          </cell>
        </row>
        <row r="214">
          <cell r="A214" t="str">
            <v>2003</v>
          </cell>
          <cell r="B214" t="str">
            <v>月份：2003.01-2003.12</v>
          </cell>
          <cell r="C214" t="str">
            <v>550248</v>
          </cell>
          <cell r="D214" t="str">
            <v xml:space="preserve">  存货损失</v>
          </cell>
          <cell r="F214">
            <v>0</v>
          </cell>
          <cell r="G214">
            <v>0</v>
          </cell>
          <cell r="H214">
            <v>3536021.38</v>
          </cell>
          <cell r="I214">
            <v>3536021.38</v>
          </cell>
          <cell r="J214">
            <v>0</v>
          </cell>
          <cell r="K214">
            <v>0</v>
          </cell>
        </row>
        <row r="215">
          <cell r="A215" t="str">
            <v>2003</v>
          </cell>
          <cell r="B215" t="str">
            <v>月份：2003.01-2003.12</v>
          </cell>
          <cell r="C215" t="str">
            <v>550249</v>
          </cell>
          <cell r="D215" t="str">
            <v xml:space="preserve">  办证费</v>
          </cell>
          <cell r="F215">
            <v>0</v>
          </cell>
          <cell r="G215">
            <v>0</v>
          </cell>
          <cell r="H215">
            <v>5100.5</v>
          </cell>
          <cell r="I215">
            <v>5100.5</v>
          </cell>
          <cell r="J215">
            <v>0</v>
          </cell>
          <cell r="K215">
            <v>0</v>
          </cell>
        </row>
        <row r="216">
          <cell r="A216" t="str">
            <v>2003</v>
          </cell>
          <cell r="B216" t="str">
            <v>月份：2003.01-2003.12</v>
          </cell>
          <cell r="C216" t="str">
            <v>550251</v>
          </cell>
          <cell r="D216" t="str">
            <v xml:space="preserve">  报刊费</v>
          </cell>
          <cell r="F216">
            <v>0</v>
          </cell>
          <cell r="G216">
            <v>0</v>
          </cell>
          <cell r="H216">
            <v>17192.38</v>
          </cell>
          <cell r="I216">
            <v>17192.38</v>
          </cell>
          <cell r="J216">
            <v>0</v>
          </cell>
          <cell r="K216">
            <v>0</v>
          </cell>
        </row>
        <row r="217">
          <cell r="A217" t="str">
            <v>2003</v>
          </cell>
          <cell r="B217" t="str">
            <v>月份：2003.01-2003.12</v>
          </cell>
          <cell r="C217" t="str">
            <v>550252</v>
          </cell>
          <cell r="D217" t="str">
            <v xml:space="preserve">  特许权使用费</v>
          </cell>
          <cell r="F217">
            <v>0</v>
          </cell>
          <cell r="G217">
            <v>0</v>
          </cell>
          <cell r="H217">
            <v>3887402.46</v>
          </cell>
          <cell r="I217">
            <v>3887402.46</v>
          </cell>
          <cell r="J217">
            <v>0</v>
          </cell>
          <cell r="K217">
            <v>0</v>
          </cell>
        </row>
        <row r="218">
          <cell r="A218" t="str">
            <v>2003</v>
          </cell>
          <cell r="B218" t="str">
            <v>月份：2003.01-2003.12</v>
          </cell>
          <cell r="C218" t="str">
            <v>550253</v>
          </cell>
          <cell r="D218" t="str">
            <v xml:space="preserve">  技术转让费</v>
          </cell>
          <cell r="F218">
            <v>0</v>
          </cell>
          <cell r="G218">
            <v>0</v>
          </cell>
          <cell r="H218">
            <v>331163.88</v>
          </cell>
          <cell r="I218">
            <v>331163.88</v>
          </cell>
          <cell r="J218">
            <v>0</v>
          </cell>
          <cell r="K218">
            <v>0</v>
          </cell>
        </row>
        <row r="219">
          <cell r="A219" t="str">
            <v>2003</v>
          </cell>
          <cell r="B219" t="str">
            <v>月份：2003.01-2003.12</v>
          </cell>
          <cell r="C219" t="str">
            <v>550254</v>
          </cell>
          <cell r="D219" t="str">
            <v xml:space="preserve">  无形资产摊销</v>
          </cell>
          <cell r="F219">
            <v>0</v>
          </cell>
          <cell r="G219">
            <v>0</v>
          </cell>
          <cell r="H219">
            <v>34135.93</v>
          </cell>
          <cell r="I219">
            <v>34135.93</v>
          </cell>
          <cell r="J219">
            <v>0</v>
          </cell>
          <cell r="K219">
            <v>0</v>
          </cell>
        </row>
        <row r="220">
          <cell r="A220" t="str">
            <v>2003</v>
          </cell>
          <cell r="B220" t="str">
            <v>月份：2003.01-2003.12</v>
          </cell>
          <cell r="C220" t="str">
            <v>550255</v>
          </cell>
          <cell r="D220" t="str">
            <v xml:space="preserve">  管理费</v>
          </cell>
          <cell r="F220">
            <v>0</v>
          </cell>
          <cell r="G220">
            <v>0</v>
          </cell>
          <cell r="H220">
            <v>239</v>
          </cell>
          <cell r="I220">
            <v>239</v>
          </cell>
          <cell r="J220">
            <v>0</v>
          </cell>
          <cell r="K220">
            <v>0</v>
          </cell>
        </row>
        <row r="221">
          <cell r="A221" t="str">
            <v>2003</v>
          </cell>
          <cell r="B221" t="str">
            <v>月份：2003.01-2003.12</v>
          </cell>
          <cell r="C221" t="str">
            <v>550256</v>
          </cell>
          <cell r="D221" t="str">
            <v xml:space="preserve">  印花税</v>
          </cell>
          <cell r="F221">
            <v>0</v>
          </cell>
          <cell r="G221">
            <v>0</v>
          </cell>
          <cell r="H221">
            <v>28795.040000000001</v>
          </cell>
          <cell r="I221">
            <v>28795.040000000001</v>
          </cell>
          <cell r="J221">
            <v>0</v>
          </cell>
          <cell r="K221">
            <v>0</v>
          </cell>
        </row>
        <row r="222">
          <cell r="A222" t="str">
            <v>2003</v>
          </cell>
          <cell r="B222" t="str">
            <v>月份：2003.01-2003.12</v>
          </cell>
          <cell r="C222" t="str">
            <v>550257</v>
          </cell>
          <cell r="D222" t="str">
            <v xml:space="preserve">  招聘费</v>
          </cell>
          <cell r="F222">
            <v>0</v>
          </cell>
          <cell r="G222">
            <v>0</v>
          </cell>
          <cell r="H222">
            <v>115061</v>
          </cell>
          <cell r="I222">
            <v>115061</v>
          </cell>
          <cell r="J222">
            <v>0</v>
          </cell>
          <cell r="K222">
            <v>0</v>
          </cell>
        </row>
        <row r="223">
          <cell r="A223" t="str">
            <v>2003</v>
          </cell>
          <cell r="B223" t="str">
            <v>月份：2003.01-2003.12</v>
          </cell>
          <cell r="C223" t="str">
            <v>550260</v>
          </cell>
          <cell r="D223" t="str">
            <v xml:space="preserve">  CPS中央服务费</v>
          </cell>
          <cell r="F223">
            <v>0</v>
          </cell>
          <cell r="G223">
            <v>0</v>
          </cell>
          <cell r="H223">
            <v>2495744.41</v>
          </cell>
          <cell r="I223">
            <v>2495744.41</v>
          </cell>
          <cell r="J223">
            <v>0</v>
          </cell>
          <cell r="K223">
            <v>0</v>
          </cell>
        </row>
        <row r="224">
          <cell r="A224" t="str">
            <v>2003</v>
          </cell>
          <cell r="B224" t="str">
            <v>月份：2003.01-2003.12</v>
          </cell>
          <cell r="C224" t="str">
            <v>550261</v>
          </cell>
          <cell r="D224" t="str">
            <v xml:space="preserve">  劳动保护费</v>
          </cell>
          <cell r="F224">
            <v>0</v>
          </cell>
          <cell r="G224">
            <v>0</v>
          </cell>
          <cell r="H224">
            <v>42497.3</v>
          </cell>
          <cell r="I224">
            <v>42497.3</v>
          </cell>
          <cell r="J224">
            <v>0</v>
          </cell>
          <cell r="K224">
            <v>0</v>
          </cell>
        </row>
        <row r="225">
          <cell r="A225" t="str">
            <v>2003</v>
          </cell>
          <cell r="B225" t="str">
            <v>月份：2003.01-2003.12</v>
          </cell>
          <cell r="C225" t="str">
            <v>550263</v>
          </cell>
          <cell r="D225" t="str">
            <v xml:space="preserve">  数据通讯费</v>
          </cell>
          <cell r="F225">
            <v>0</v>
          </cell>
          <cell r="G225">
            <v>0</v>
          </cell>
          <cell r="H225">
            <v>159146.28</v>
          </cell>
          <cell r="I225">
            <v>159146.28</v>
          </cell>
          <cell r="J225">
            <v>0</v>
          </cell>
          <cell r="K225">
            <v>0</v>
          </cell>
        </row>
        <row r="226">
          <cell r="A226" t="str">
            <v>2003</v>
          </cell>
          <cell r="B226" t="str">
            <v>月份：2003.01-2003.12</v>
          </cell>
          <cell r="C226" t="str">
            <v>550264</v>
          </cell>
          <cell r="D226" t="str">
            <v xml:space="preserve">  软件维护费</v>
          </cell>
          <cell r="F226">
            <v>0</v>
          </cell>
          <cell r="G226">
            <v>0</v>
          </cell>
          <cell r="H226">
            <v>32592.25</v>
          </cell>
          <cell r="I226">
            <v>32592.25</v>
          </cell>
          <cell r="J226">
            <v>0</v>
          </cell>
          <cell r="K226">
            <v>0</v>
          </cell>
        </row>
        <row r="227">
          <cell r="A227" t="str">
            <v>2003</v>
          </cell>
          <cell r="B227" t="str">
            <v>月份：2003.01-2003.12</v>
          </cell>
          <cell r="C227" t="str">
            <v>550265</v>
          </cell>
          <cell r="D227" t="str">
            <v xml:space="preserve">  软件摊销</v>
          </cell>
          <cell r="F227">
            <v>0</v>
          </cell>
          <cell r="G227">
            <v>0</v>
          </cell>
          <cell r="H227">
            <v>39502.199999999997</v>
          </cell>
          <cell r="I227">
            <v>39502.199999999997</v>
          </cell>
          <cell r="J227">
            <v>0</v>
          </cell>
          <cell r="K227">
            <v>0</v>
          </cell>
        </row>
        <row r="228">
          <cell r="A228" t="str">
            <v>2003</v>
          </cell>
          <cell r="B228" t="str">
            <v>月份：2003.01-2003.12</v>
          </cell>
          <cell r="C228" t="str">
            <v>550270</v>
          </cell>
          <cell r="D228" t="str">
            <v xml:space="preserve">  研究开发费</v>
          </cell>
          <cell r="F228">
            <v>0</v>
          </cell>
          <cell r="G228">
            <v>0</v>
          </cell>
          <cell r="H228">
            <v>344525.46</v>
          </cell>
          <cell r="I228">
            <v>344525.46</v>
          </cell>
          <cell r="J228">
            <v>0</v>
          </cell>
          <cell r="K228">
            <v>0</v>
          </cell>
        </row>
        <row r="229">
          <cell r="A229" t="str">
            <v>2003</v>
          </cell>
          <cell r="B229" t="str">
            <v>月份：2003.01-2003.12</v>
          </cell>
          <cell r="C229" t="str">
            <v>550280</v>
          </cell>
          <cell r="D229" t="str">
            <v xml:space="preserve">  其它</v>
          </cell>
          <cell r="F229">
            <v>0</v>
          </cell>
          <cell r="G229">
            <v>0</v>
          </cell>
          <cell r="H229">
            <v>201451.04</v>
          </cell>
          <cell r="I229">
            <v>201451.04</v>
          </cell>
          <cell r="J229">
            <v>0</v>
          </cell>
          <cell r="K229">
            <v>0</v>
          </cell>
        </row>
        <row r="230">
          <cell r="A230" t="str">
            <v>2003</v>
          </cell>
          <cell r="B230" t="str">
            <v>月份：2003.01-2003.12</v>
          </cell>
          <cell r="C230" t="str">
            <v>5503</v>
          </cell>
          <cell r="D230" t="str">
            <v>财务费用</v>
          </cell>
          <cell r="F230">
            <v>0</v>
          </cell>
          <cell r="G230">
            <v>0</v>
          </cell>
          <cell r="H230">
            <v>280446.61</v>
          </cell>
          <cell r="I230">
            <v>280446.61</v>
          </cell>
          <cell r="J230">
            <v>0</v>
          </cell>
          <cell r="K230">
            <v>0</v>
          </cell>
        </row>
        <row r="231">
          <cell r="A231" t="str">
            <v>2003</v>
          </cell>
          <cell r="B231" t="str">
            <v>月份：2003.01-2003.12</v>
          </cell>
          <cell r="C231" t="str">
            <v>550310</v>
          </cell>
          <cell r="D231" t="str">
            <v xml:space="preserve">  利息收入</v>
          </cell>
          <cell r="F231">
            <v>0</v>
          </cell>
          <cell r="G231">
            <v>0</v>
          </cell>
          <cell r="H231">
            <v>-106341.71</v>
          </cell>
          <cell r="I231">
            <v>-106341.71</v>
          </cell>
          <cell r="J231">
            <v>0</v>
          </cell>
          <cell r="K231">
            <v>0</v>
          </cell>
        </row>
        <row r="232">
          <cell r="A232" t="str">
            <v>2003</v>
          </cell>
          <cell r="B232" t="str">
            <v>月份：2003.01-2003.12</v>
          </cell>
          <cell r="C232" t="str">
            <v>550320</v>
          </cell>
          <cell r="D232" t="str">
            <v xml:space="preserve">  利息费用</v>
          </cell>
          <cell r="F232">
            <v>0</v>
          </cell>
          <cell r="G232">
            <v>0</v>
          </cell>
          <cell r="H232">
            <v>204051.81</v>
          </cell>
          <cell r="I232">
            <v>204051.81</v>
          </cell>
          <cell r="J232">
            <v>0</v>
          </cell>
          <cell r="K232">
            <v>0</v>
          </cell>
        </row>
        <row r="233">
          <cell r="A233" t="str">
            <v>2003</v>
          </cell>
          <cell r="B233" t="str">
            <v>月份：2003.01-2003.12</v>
          </cell>
          <cell r="C233" t="str">
            <v>550330</v>
          </cell>
          <cell r="D233" t="str">
            <v xml:space="preserve">  汇兑损益</v>
          </cell>
          <cell r="F233">
            <v>0</v>
          </cell>
          <cell r="G233">
            <v>0</v>
          </cell>
          <cell r="H233">
            <v>157918.17000000001</v>
          </cell>
          <cell r="I233">
            <v>157918.17000000001</v>
          </cell>
          <cell r="J233">
            <v>0</v>
          </cell>
          <cell r="K233">
            <v>0</v>
          </cell>
        </row>
        <row r="234">
          <cell r="A234" t="str">
            <v>2003</v>
          </cell>
          <cell r="B234" t="str">
            <v>月份：2003.01-2003.12</v>
          </cell>
          <cell r="C234" t="str">
            <v>550340</v>
          </cell>
          <cell r="D234" t="str">
            <v xml:space="preserve">  银行手续费</v>
          </cell>
          <cell r="F234">
            <v>0</v>
          </cell>
          <cell r="G234">
            <v>0</v>
          </cell>
          <cell r="H234">
            <v>24628.28</v>
          </cell>
          <cell r="I234">
            <v>24628.28</v>
          </cell>
          <cell r="J234">
            <v>0</v>
          </cell>
          <cell r="K234">
            <v>0</v>
          </cell>
        </row>
        <row r="235">
          <cell r="A235" t="str">
            <v>2003</v>
          </cell>
          <cell r="B235" t="str">
            <v>月份：2003.01-2003.12</v>
          </cell>
          <cell r="C235" t="str">
            <v>550350</v>
          </cell>
          <cell r="D235" t="str">
            <v xml:space="preserve">  其它</v>
          </cell>
          <cell r="F235">
            <v>0</v>
          </cell>
          <cell r="G235">
            <v>0</v>
          </cell>
          <cell r="H235">
            <v>190.06</v>
          </cell>
          <cell r="I235">
            <v>190.06</v>
          </cell>
          <cell r="J235">
            <v>0</v>
          </cell>
          <cell r="K235">
            <v>0</v>
          </cell>
        </row>
        <row r="236">
          <cell r="A236" t="str">
            <v>2003</v>
          </cell>
          <cell r="B236" t="str">
            <v>月份：2003.01-2003.12</v>
          </cell>
          <cell r="C236" t="str">
            <v>5601</v>
          </cell>
          <cell r="D236" t="str">
            <v>营业外支出</v>
          </cell>
          <cell r="F236">
            <v>0</v>
          </cell>
          <cell r="G236">
            <v>0</v>
          </cell>
          <cell r="H236">
            <v>20783.669999999998</v>
          </cell>
          <cell r="I236">
            <v>20783.669999999998</v>
          </cell>
          <cell r="J236">
            <v>0</v>
          </cell>
          <cell r="K236">
            <v>0</v>
          </cell>
        </row>
        <row r="237">
          <cell r="A237" t="str">
            <v>2003</v>
          </cell>
          <cell r="B237" t="str">
            <v>月份：2003.01-2003.12</v>
          </cell>
          <cell r="C237" t="str">
            <v>560130</v>
          </cell>
          <cell r="D237" t="str">
            <v xml:space="preserve">  其它</v>
          </cell>
          <cell r="F237">
            <v>0</v>
          </cell>
          <cell r="G237">
            <v>0</v>
          </cell>
          <cell r="H237">
            <v>20783.669999999998</v>
          </cell>
          <cell r="I237">
            <v>20783.669999999998</v>
          </cell>
          <cell r="J237">
            <v>0</v>
          </cell>
          <cell r="K237">
            <v>0</v>
          </cell>
        </row>
        <row r="238">
          <cell r="A238" t="str">
            <v>2003</v>
          </cell>
          <cell r="B238" t="str">
            <v>月份：2003.01-2003.12</v>
          </cell>
          <cell r="C238" t="str">
            <v>5701</v>
          </cell>
          <cell r="D238" t="str">
            <v>所得税</v>
          </cell>
          <cell r="F238">
            <v>0</v>
          </cell>
          <cell r="G238">
            <v>0</v>
          </cell>
          <cell r="H238">
            <v>962441.84</v>
          </cell>
          <cell r="I238">
            <v>962441.84</v>
          </cell>
          <cell r="J238">
            <v>0</v>
          </cell>
          <cell r="K238">
            <v>0</v>
          </cell>
        </row>
        <row r="239">
          <cell r="A239" t="str">
            <v>2003</v>
          </cell>
          <cell r="B239" t="str">
            <v>月份：2003.01-2003.12</v>
          </cell>
          <cell r="C239" t="str">
            <v>损益小计</v>
          </cell>
          <cell r="F239">
            <v>0</v>
          </cell>
          <cell r="G239">
            <v>0</v>
          </cell>
          <cell r="H239">
            <v>155013446.97999999</v>
          </cell>
          <cell r="I239">
            <v>155013446.97999999</v>
          </cell>
          <cell r="J239">
            <v>0</v>
          </cell>
          <cell r="K239">
            <v>0</v>
          </cell>
        </row>
        <row r="240">
          <cell r="A240" t="str">
            <v>2003</v>
          </cell>
          <cell r="B240" t="str">
            <v>月份：2003.01-2003.12</v>
          </cell>
          <cell r="D240" t="str">
            <v>港币</v>
          </cell>
          <cell r="F240">
            <v>0</v>
          </cell>
          <cell r="G240">
            <v>0</v>
          </cell>
          <cell r="H240">
            <v>0</v>
          </cell>
          <cell r="I240">
            <v>0</v>
          </cell>
          <cell r="J240">
            <v>0</v>
          </cell>
          <cell r="K240">
            <v>0</v>
          </cell>
        </row>
        <row r="241">
          <cell r="A241" t="str">
            <v>2003</v>
          </cell>
          <cell r="B241" t="str">
            <v>月份：2003.01-2003.12</v>
          </cell>
          <cell r="C241" t="str">
            <v>合计</v>
          </cell>
          <cell r="F241">
            <v>87423802.239999995</v>
          </cell>
          <cell r="G241">
            <v>87423802.239999995</v>
          </cell>
          <cell r="H241">
            <v>884743680.98000002</v>
          </cell>
          <cell r="I241">
            <v>884743680.98000002</v>
          </cell>
          <cell r="J241">
            <v>76447883.540000007</v>
          </cell>
          <cell r="K241">
            <v>76447883.540000007</v>
          </cell>
        </row>
        <row r="242">
          <cell r="A242" t="str">
            <v>2003</v>
          </cell>
          <cell r="B242" t="str">
            <v>月份：2003.01-2003.12</v>
          </cell>
          <cell r="D242" t="str">
            <v>港币</v>
          </cell>
          <cell r="F242">
            <v>0</v>
          </cell>
          <cell r="G242">
            <v>0</v>
          </cell>
          <cell r="H242">
            <v>0</v>
          </cell>
          <cell r="I242">
            <v>0</v>
          </cell>
          <cell r="J242">
            <v>0</v>
          </cell>
          <cell r="K242">
            <v>0</v>
          </cell>
        </row>
      </sheetData>
      <sheetData sheetId="5"/>
      <sheetData sheetId="6"/>
      <sheetData sheetId="7"/>
      <sheetData sheetId="8"/>
      <sheetData sheetId="9"/>
      <sheetData sheetId="10"/>
      <sheetData sheetId="11"/>
      <sheetData sheetId="12"/>
      <sheetData sheetId="13"/>
      <sheetData sheetId="14" refreshError="1">
        <row r="1">
          <cell r="A1" t="str">
            <v>科目编码</v>
          </cell>
          <cell r="B1" t="str">
            <v>科目名称</v>
          </cell>
          <cell r="C1" t="str">
            <v>本期发生借方</v>
          </cell>
          <cell r="D1" t="str">
            <v>本期发生贷方</v>
          </cell>
          <cell r="E1" t="str">
            <v>ccrd</v>
          </cell>
          <cell r="F1" t="str">
            <v>scrd</v>
          </cell>
        </row>
        <row r="2">
          <cell r="A2" t="str">
            <v>550210101</v>
          </cell>
          <cell r="B2" t="str">
            <v xml:space="preserve">    薪资</v>
          </cell>
          <cell r="C2">
            <v>2149964.15</v>
          </cell>
          <cell r="D2">
            <v>2149964.15</v>
          </cell>
          <cell r="E2">
            <v>419213.71</v>
          </cell>
          <cell r="F2">
            <v>147301.84</v>
          </cell>
        </row>
        <row r="3">
          <cell r="A3" t="str">
            <v>550210102</v>
          </cell>
          <cell r="B3" t="str">
            <v xml:space="preserve">    加班费</v>
          </cell>
          <cell r="C3">
            <v>16330.84</v>
          </cell>
          <cell r="D3">
            <v>16330.84</v>
          </cell>
          <cell r="E3">
            <v>1466.51</v>
          </cell>
        </row>
        <row r="4">
          <cell r="A4" t="str">
            <v>550210103</v>
          </cell>
          <cell r="B4" t="str">
            <v xml:space="preserve">    年终奖</v>
          </cell>
          <cell r="C4">
            <v>154828.03</v>
          </cell>
          <cell r="D4">
            <v>154828.03</v>
          </cell>
          <cell r="E4">
            <v>29304.45</v>
          </cell>
          <cell r="F4">
            <v>8417.2000000000007</v>
          </cell>
        </row>
        <row r="5">
          <cell r="A5" t="str">
            <v>550210104</v>
          </cell>
          <cell r="B5" t="str">
            <v xml:space="preserve">    伙食补贴</v>
          </cell>
          <cell r="C5">
            <v>117474.54</v>
          </cell>
          <cell r="D5">
            <v>117474.54</v>
          </cell>
          <cell r="E5">
            <v>31116.62</v>
          </cell>
          <cell r="F5">
            <v>10688.69</v>
          </cell>
        </row>
        <row r="6">
          <cell r="A6" t="str">
            <v>550210105</v>
          </cell>
          <cell r="B6" t="str">
            <v xml:space="preserve">    福利费</v>
          </cell>
          <cell r="C6">
            <v>361558.75</v>
          </cell>
          <cell r="D6">
            <v>361558.75</v>
          </cell>
          <cell r="E6">
            <v>39648.730000000003</v>
          </cell>
          <cell r="F6">
            <v>800.05</v>
          </cell>
        </row>
        <row r="7">
          <cell r="A7" t="str">
            <v>550210106</v>
          </cell>
          <cell r="B7" t="str">
            <v xml:space="preserve">    养老金</v>
          </cell>
          <cell r="C7">
            <v>148289.56</v>
          </cell>
          <cell r="D7">
            <v>148289.56</v>
          </cell>
          <cell r="E7">
            <v>21056.5</v>
          </cell>
          <cell r="F7">
            <v>19566.27</v>
          </cell>
        </row>
        <row r="8">
          <cell r="A8" t="str">
            <v>550210107</v>
          </cell>
          <cell r="B8" t="str">
            <v xml:space="preserve">    失业保险金</v>
          </cell>
          <cell r="C8">
            <v>6636.43</v>
          </cell>
          <cell r="D8">
            <v>6636.43</v>
          </cell>
          <cell r="E8">
            <v>17.71</v>
          </cell>
          <cell r="F8">
            <v>1615.96</v>
          </cell>
        </row>
        <row r="9">
          <cell r="A9" t="str">
            <v>550210108</v>
          </cell>
          <cell r="B9" t="str">
            <v xml:space="preserve">    医疗保险</v>
          </cell>
          <cell r="C9">
            <v>30816.65</v>
          </cell>
          <cell r="D9">
            <v>30816.65</v>
          </cell>
          <cell r="E9">
            <v>2968.39</v>
          </cell>
          <cell r="F9">
            <v>5070.74</v>
          </cell>
        </row>
        <row r="10">
          <cell r="A10" t="str">
            <v>550210109</v>
          </cell>
          <cell r="B10" t="str">
            <v xml:space="preserve">    房屋保险</v>
          </cell>
          <cell r="C10">
            <v>27808.01</v>
          </cell>
          <cell r="D10">
            <v>27808.01</v>
          </cell>
          <cell r="F10">
            <v>5911.47</v>
          </cell>
        </row>
        <row r="11">
          <cell r="A11" t="str">
            <v>550210110</v>
          </cell>
          <cell r="B11" t="str">
            <v xml:space="preserve">    津贴</v>
          </cell>
          <cell r="C11">
            <v>41164.01</v>
          </cell>
          <cell r="D11">
            <v>41164.01</v>
          </cell>
          <cell r="E11">
            <v>9448.34</v>
          </cell>
          <cell r="F11">
            <v>2456.66</v>
          </cell>
        </row>
        <row r="12">
          <cell r="A12" t="str">
            <v>550210111</v>
          </cell>
          <cell r="B12" t="str">
            <v xml:space="preserve">    奖励金</v>
          </cell>
          <cell r="C12">
            <v>325077.09999999998</v>
          </cell>
          <cell r="D12">
            <v>325077.09999999998</v>
          </cell>
          <cell r="E12">
            <v>60071.3</v>
          </cell>
          <cell r="F12">
            <v>17556.400000000001</v>
          </cell>
        </row>
        <row r="13">
          <cell r="A13" t="str">
            <v>550210112</v>
          </cell>
          <cell r="B13" t="str">
            <v xml:space="preserve">    商业保险及其它</v>
          </cell>
          <cell r="C13">
            <v>10801.33</v>
          </cell>
          <cell r="D13">
            <v>10801.33</v>
          </cell>
          <cell r="F13">
            <v>3904.1</v>
          </cell>
        </row>
        <row r="14">
          <cell r="A14" t="str">
            <v>550213101</v>
          </cell>
          <cell r="B14" t="str">
            <v xml:space="preserve">    燃料</v>
          </cell>
          <cell r="C14">
            <v>79392.320000000007</v>
          </cell>
          <cell r="D14">
            <v>79392.320000000007</v>
          </cell>
          <cell r="E14">
            <v>340</v>
          </cell>
        </row>
        <row r="15">
          <cell r="A15" t="str">
            <v>550213102</v>
          </cell>
          <cell r="B15" t="str">
            <v xml:space="preserve">    维修保养费</v>
          </cell>
          <cell r="C15">
            <v>45362</v>
          </cell>
          <cell r="D15">
            <v>45362</v>
          </cell>
          <cell r="E15">
            <v>100</v>
          </cell>
        </row>
        <row r="16">
          <cell r="A16" t="str">
            <v>550213103</v>
          </cell>
          <cell r="B16" t="str">
            <v xml:space="preserve">    路桥费</v>
          </cell>
          <cell r="C16">
            <v>110609</v>
          </cell>
          <cell r="D16">
            <v>110609</v>
          </cell>
          <cell r="E16">
            <v>980</v>
          </cell>
        </row>
        <row r="17">
          <cell r="A17" t="str">
            <v>550213104</v>
          </cell>
          <cell r="B17" t="str">
            <v xml:space="preserve">    税费</v>
          </cell>
          <cell r="C17">
            <v>538.85</v>
          </cell>
          <cell r="D17">
            <v>538.85</v>
          </cell>
        </row>
        <row r="18">
          <cell r="A18" t="str">
            <v>550213106</v>
          </cell>
          <cell r="B18" t="str">
            <v xml:space="preserve">    其他</v>
          </cell>
          <cell r="C18">
            <v>27263.82</v>
          </cell>
          <cell r="D18">
            <v>27263.82</v>
          </cell>
        </row>
        <row r="19">
          <cell r="A19" t="str">
            <v>550213107</v>
          </cell>
          <cell r="B19" t="str">
            <v xml:space="preserve">    租车费用</v>
          </cell>
          <cell r="C19">
            <v>112792</v>
          </cell>
          <cell r="D19">
            <v>112792</v>
          </cell>
        </row>
        <row r="20">
          <cell r="A20" t="str">
            <v>550220</v>
          </cell>
          <cell r="B20" t="str">
            <v xml:space="preserve">  应酬费</v>
          </cell>
          <cell r="C20">
            <v>90359.44</v>
          </cell>
          <cell r="D20">
            <v>90359.44</v>
          </cell>
          <cell r="E20">
            <v>6947.23</v>
          </cell>
          <cell r="F20">
            <v>1460</v>
          </cell>
        </row>
        <row r="21">
          <cell r="A21" t="str">
            <v>550221</v>
          </cell>
          <cell r="B21" t="str">
            <v xml:space="preserve">  差旅费（国内）</v>
          </cell>
          <cell r="C21">
            <v>383362.36</v>
          </cell>
          <cell r="D21">
            <v>383362.36</v>
          </cell>
          <cell r="E21">
            <v>67659.14</v>
          </cell>
          <cell r="F21">
            <v>34310.769999999997</v>
          </cell>
        </row>
        <row r="22">
          <cell r="A22" t="str">
            <v>550222</v>
          </cell>
          <cell r="B22" t="str">
            <v xml:space="preserve">  差旅费（国外）</v>
          </cell>
          <cell r="C22">
            <v>70677.58</v>
          </cell>
          <cell r="D22">
            <v>70677.58</v>
          </cell>
          <cell r="E22">
            <v>36379.53</v>
          </cell>
        </row>
        <row r="23">
          <cell r="A23" t="str">
            <v>550223</v>
          </cell>
          <cell r="B23" t="str">
            <v xml:space="preserve">  培训费</v>
          </cell>
          <cell r="C23">
            <v>22238.03</v>
          </cell>
          <cell r="D23">
            <v>22238.03</v>
          </cell>
          <cell r="F23">
            <v>300</v>
          </cell>
        </row>
        <row r="24">
          <cell r="A24" t="str">
            <v>550224</v>
          </cell>
          <cell r="B24" t="str">
            <v xml:space="preserve">  员工电话费</v>
          </cell>
          <cell r="C24">
            <v>99826.880000000005</v>
          </cell>
          <cell r="D24">
            <v>99826.880000000005</v>
          </cell>
          <cell r="E24">
            <v>10785.89</v>
          </cell>
          <cell r="F24">
            <v>7269.03</v>
          </cell>
        </row>
        <row r="25">
          <cell r="A25" t="str">
            <v>550225</v>
          </cell>
          <cell r="B25" t="str">
            <v xml:space="preserve">  个人其他费用</v>
          </cell>
          <cell r="C25">
            <v>9446.34</v>
          </cell>
          <cell r="D25">
            <v>9446.34</v>
          </cell>
          <cell r="E25">
            <v>1046.0999999999999</v>
          </cell>
          <cell r="F25">
            <v>50</v>
          </cell>
        </row>
        <row r="26">
          <cell r="A26" t="str">
            <v>550226</v>
          </cell>
          <cell r="B26" t="str">
            <v xml:space="preserve">  餐费</v>
          </cell>
          <cell r="C26">
            <v>193625.51</v>
          </cell>
          <cell r="D26">
            <v>193625.51</v>
          </cell>
          <cell r="E26">
            <v>19317.63</v>
          </cell>
          <cell r="F26">
            <v>4224</v>
          </cell>
        </row>
        <row r="27">
          <cell r="A27" t="str">
            <v>550227</v>
          </cell>
          <cell r="B27" t="str">
            <v xml:space="preserve">  礼品</v>
          </cell>
          <cell r="C27">
            <v>8137.69</v>
          </cell>
          <cell r="D27">
            <v>8137.69</v>
          </cell>
        </row>
        <row r="28">
          <cell r="A28" t="str">
            <v>550230</v>
          </cell>
          <cell r="B28" t="str">
            <v xml:space="preserve">  维修费</v>
          </cell>
          <cell r="C28">
            <v>8660</v>
          </cell>
          <cell r="D28">
            <v>8660</v>
          </cell>
          <cell r="E28">
            <v>915</v>
          </cell>
          <cell r="F28">
            <v>785</v>
          </cell>
        </row>
        <row r="29">
          <cell r="A29" t="str">
            <v>550231</v>
          </cell>
          <cell r="B29" t="str">
            <v xml:space="preserve">  电费</v>
          </cell>
          <cell r="C29">
            <v>29466.720000000001</v>
          </cell>
          <cell r="D29">
            <v>29466.720000000001</v>
          </cell>
        </row>
        <row r="30">
          <cell r="A30" t="str">
            <v>550232</v>
          </cell>
          <cell r="B30" t="str">
            <v xml:space="preserve">  水费</v>
          </cell>
          <cell r="C30">
            <v>12881.67</v>
          </cell>
          <cell r="D30">
            <v>12881.67</v>
          </cell>
        </row>
        <row r="31">
          <cell r="A31" t="str">
            <v>550233</v>
          </cell>
          <cell r="B31" t="str">
            <v xml:space="preserve">  租金</v>
          </cell>
          <cell r="C31">
            <v>934302.04</v>
          </cell>
          <cell r="D31">
            <v>934302.04</v>
          </cell>
          <cell r="F31">
            <v>1200</v>
          </cell>
        </row>
        <row r="32">
          <cell r="A32" t="str">
            <v>550234</v>
          </cell>
          <cell r="B32" t="str">
            <v xml:space="preserve">  文具印刷费</v>
          </cell>
          <cell r="C32">
            <v>38287.81</v>
          </cell>
          <cell r="D32">
            <v>38287.81</v>
          </cell>
          <cell r="E32">
            <v>1374</v>
          </cell>
        </row>
        <row r="33">
          <cell r="A33" t="str">
            <v>550235</v>
          </cell>
          <cell r="B33" t="str">
            <v xml:space="preserve">  电话及传真费</v>
          </cell>
          <cell r="C33">
            <v>123513.05</v>
          </cell>
          <cell r="D33">
            <v>123513.05</v>
          </cell>
        </row>
        <row r="34">
          <cell r="A34" t="str">
            <v>550236</v>
          </cell>
          <cell r="B34" t="str">
            <v xml:space="preserve">  邮递费</v>
          </cell>
          <cell r="C34">
            <v>64799.29</v>
          </cell>
          <cell r="D34">
            <v>64799.29</v>
          </cell>
          <cell r="E34">
            <v>450.38</v>
          </cell>
          <cell r="F34">
            <v>2648.08</v>
          </cell>
        </row>
        <row r="35">
          <cell r="A35" t="str">
            <v>550237</v>
          </cell>
          <cell r="B35" t="str">
            <v xml:space="preserve">  物料消耗</v>
          </cell>
          <cell r="C35">
            <v>259591.49</v>
          </cell>
          <cell r="D35">
            <v>259591.49</v>
          </cell>
          <cell r="E35">
            <v>22636.93</v>
          </cell>
          <cell r="F35">
            <v>12208.23</v>
          </cell>
        </row>
        <row r="36">
          <cell r="A36" t="str">
            <v>550238</v>
          </cell>
          <cell r="B36" t="str">
            <v xml:space="preserve">  坏帐准备</v>
          </cell>
          <cell r="C36">
            <v>-110568.55</v>
          </cell>
          <cell r="D36">
            <v>-110568.55</v>
          </cell>
        </row>
        <row r="37">
          <cell r="A37" t="str">
            <v>550239</v>
          </cell>
          <cell r="B37" t="str">
            <v xml:space="preserve">  保险</v>
          </cell>
          <cell r="C37">
            <v>230840.9</v>
          </cell>
          <cell r="D37">
            <v>230840.9</v>
          </cell>
          <cell r="F37">
            <v>109.81</v>
          </cell>
        </row>
        <row r="38">
          <cell r="A38" t="str">
            <v>550240</v>
          </cell>
          <cell r="B38" t="str">
            <v xml:space="preserve">  审计费</v>
          </cell>
          <cell r="C38">
            <v>185177</v>
          </cell>
          <cell r="D38">
            <v>185177</v>
          </cell>
        </row>
        <row r="39">
          <cell r="A39" t="str">
            <v>550241</v>
          </cell>
          <cell r="B39" t="str">
            <v xml:space="preserve">  诉讼费</v>
          </cell>
          <cell r="C39">
            <v>5500</v>
          </cell>
          <cell r="D39">
            <v>5500</v>
          </cell>
        </row>
        <row r="40">
          <cell r="A40" t="str">
            <v>550242</v>
          </cell>
          <cell r="B40" t="str">
            <v xml:space="preserve">  咨询费</v>
          </cell>
          <cell r="C40">
            <v>115421.26</v>
          </cell>
          <cell r="D40">
            <v>115421.26</v>
          </cell>
        </row>
        <row r="41">
          <cell r="A41" t="str">
            <v>550243</v>
          </cell>
          <cell r="B41" t="str">
            <v xml:space="preserve">  清洁费</v>
          </cell>
          <cell r="C41">
            <v>7534</v>
          </cell>
          <cell r="D41">
            <v>7534</v>
          </cell>
        </row>
        <row r="42">
          <cell r="A42" t="str">
            <v>550244</v>
          </cell>
          <cell r="B42" t="str">
            <v xml:space="preserve">  报关费</v>
          </cell>
          <cell r="C42">
            <v>103605</v>
          </cell>
          <cell r="D42">
            <v>103605</v>
          </cell>
        </row>
        <row r="43">
          <cell r="A43" t="str">
            <v>550245</v>
          </cell>
          <cell r="B43" t="str">
            <v xml:space="preserve">  广告费</v>
          </cell>
          <cell r="C43">
            <v>15000</v>
          </cell>
          <cell r="D43">
            <v>15000</v>
          </cell>
        </row>
        <row r="44">
          <cell r="A44" t="str">
            <v>550248</v>
          </cell>
          <cell r="B44" t="str">
            <v xml:space="preserve">  存货损失</v>
          </cell>
          <cell r="C44">
            <v>3536021.38</v>
          </cell>
          <cell r="D44">
            <v>3536021.38</v>
          </cell>
        </row>
        <row r="45">
          <cell r="A45" t="str">
            <v>550249</v>
          </cell>
          <cell r="B45" t="str">
            <v xml:space="preserve">  办证费</v>
          </cell>
          <cell r="C45">
            <v>5100.5</v>
          </cell>
          <cell r="D45">
            <v>5100.5</v>
          </cell>
        </row>
        <row r="46">
          <cell r="A46" t="str">
            <v>550251</v>
          </cell>
          <cell r="B46" t="str">
            <v xml:space="preserve">  报刊费</v>
          </cell>
          <cell r="C46">
            <v>17192.38</v>
          </cell>
          <cell r="D46">
            <v>17192.38</v>
          </cell>
          <cell r="E46">
            <v>202</v>
          </cell>
        </row>
      </sheetData>
      <sheetData sheetId="15" refreshError="1">
        <row r="1">
          <cell r="A1" t="str">
            <v>会计年度</v>
          </cell>
          <cell r="B1" t="str">
            <v>会计期间</v>
          </cell>
          <cell r="C1" t="str">
            <v>科目编码</v>
          </cell>
          <cell r="D1" t="str">
            <v>科目名称</v>
          </cell>
          <cell r="E1" t="str">
            <v>本期发生借方</v>
          </cell>
        </row>
        <row r="2">
          <cell r="A2" t="str">
            <v>2003</v>
          </cell>
          <cell r="B2" t="str">
            <v>月份：2003.01-2003.12</v>
          </cell>
          <cell r="C2" t="str">
            <v>550110</v>
          </cell>
          <cell r="D2" t="str">
            <v xml:space="preserve">  工资及其它</v>
          </cell>
          <cell r="E2">
            <v>1216126.4500000002</v>
          </cell>
        </row>
        <row r="3">
          <cell r="A3" t="str">
            <v>2003</v>
          </cell>
          <cell r="B3" t="str">
            <v>月份：2003.01-2003.12</v>
          </cell>
          <cell r="C3" t="str">
            <v>550112</v>
          </cell>
          <cell r="D3" t="str">
            <v xml:space="preserve">  营业费用-样品及捐赠</v>
          </cell>
          <cell r="E3">
            <v>232234.52</v>
          </cell>
        </row>
        <row r="4">
          <cell r="A4" t="str">
            <v>2003</v>
          </cell>
          <cell r="B4" t="str">
            <v>月份：2003.01-2003.12</v>
          </cell>
          <cell r="C4" t="str">
            <v>550113</v>
          </cell>
          <cell r="D4" t="str">
            <v xml:space="preserve">  运输费</v>
          </cell>
          <cell r="E4">
            <v>1017800.26</v>
          </cell>
        </row>
        <row r="5">
          <cell r="A5" t="str">
            <v>2003</v>
          </cell>
          <cell r="B5" t="str">
            <v>月份：2003.01-2003.12</v>
          </cell>
          <cell r="C5" t="str">
            <v>550114</v>
          </cell>
          <cell r="D5" t="str">
            <v xml:space="preserve">  广告费</v>
          </cell>
          <cell r="E5">
            <v>2000</v>
          </cell>
        </row>
        <row r="6">
          <cell r="A6" t="str">
            <v>2003</v>
          </cell>
          <cell r="B6" t="str">
            <v>月份：2003.01-2003.12</v>
          </cell>
          <cell r="C6" t="str">
            <v>550120</v>
          </cell>
          <cell r="D6" t="str">
            <v xml:space="preserve">  应酬费</v>
          </cell>
          <cell r="E6">
            <v>413146.31</v>
          </cell>
        </row>
        <row r="7">
          <cell r="A7" t="str">
            <v>2003</v>
          </cell>
          <cell r="B7" t="str">
            <v>月份：2003.01-2003.12</v>
          </cell>
          <cell r="C7" t="str">
            <v>550121</v>
          </cell>
          <cell r="D7" t="str">
            <v xml:space="preserve">  差旅费（国内）</v>
          </cell>
          <cell r="E7">
            <v>409922.98</v>
          </cell>
        </row>
        <row r="8">
          <cell r="A8" t="str">
            <v>2003</v>
          </cell>
          <cell r="B8" t="str">
            <v>月份：2003.01-2003.12</v>
          </cell>
          <cell r="C8" t="str">
            <v>550122</v>
          </cell>
          <cell r="D8" t="str">
            <v xml:space="preserve">  差旅费（国外）</v>
          </cell>
          <cell r="E8">
            <v>26708.07</v>
          </cell>
        </row>
        <row r="9">
          <cell r="A9" t="str">
            <v>2003</v>
          </cell>
          <cell r="B9" t="str">
            <v>月份：2003.01-2003.12</v>
          </cell>
          <cell r="C9" t="str">
            <v>550124</v>
          </cell>
          <cell r="D9" t="str">
            <v xml:space="preserve">  员工电话费</v>
          </cell>
          <cell r="E9">
            <v>159298.49</v>
          </cell>
        </row>
        <row r="10">
          <cell r="A10" t="str">
            <v>2003</v>
          </cell>
          <cell r="B10" t="str">
            <v>月份：2003.01-2003.12</v>
          </cell>
          <cell r="C10" t="str">
            <v>550125</v>
          </cell>
          <cell r="D10" t="str">
            <v xml:space="preserve">  个人其他费用</v>
          </cell>
          <cell r="E10">
            <v>4131.03</v>
          </cell>
        </row>
        <row r="11">
          <cell r="A11" t="str">
            <v>2003</v>
          </cell>
          <cell r="B11" t="str">
            <v>月份：2003.01-2003.12</v>
          </cell>
          <cell r="C11" t="str">
            <v>550126</v>
          </cell>
          <cell r="D11" t="str">
            <v xml:space="preserve">  礼品</v>
          </cell>
          <cell r="E11">
            <v>59108.800000000003</v>
          </cell>
        </row>
        <row r="12">
          <cell r="A12" t="str">
            <v>2003</v>
          </cell>
          <cell r="B12" t="str">
            <v>月份：2003.01-2003.12</v>
          </cell>
          <cell r="C12" t="str">
            <v>550127</v>
          </cell>
          <cell r="D12" t="str">
            <v xml:space="preserve">  空运费</v>
          </cell>
          <cell r="E12">
            <v>372764.34</v>
          </cell>
        </row>
        <row r="13">
          <cell r="A13" t="str">
            <v>2003</v>
          </cell>
          <cell r="B13" t="str">
            <v>月份：2003.01-2003.12</v>
          </cell>
          <cell r="C13" t="str">
            <v>550129</v>
          </cell>
          <cell r="D13" t="str">
            <v xml:space="preserve">  销售折扣-耐普罗</v>
          </cell>
          <cell r="E13">
            <v>242279.74</v>
          </cell>
        </row>
        <row r="14">
          <cell r="A14" t="str">
            <v>2003</v>
          </cell>
          <cell r="B14" t="str">
            <v>月份：2003.01-2003.12</v>
          </cell>
          <cell r="C14" t="str">
            <v>550131</v>
          </cell>
          <cell r="D14" t="str">
            <v xml:space="preserve">  销售佣金</v>
          </cell>
          <cell r="E14">
            <v>1305220.8400000001</v>
          </cell>
        </row>
        <row r="15">
          <cell r="A15" t="str">
            <v>2003</v>
          </cell>
          <cell r="B15" t="str">
            <v>月份：2003.01-2003.12</v>
          </cell>
          <cell r="C15" t="str">
            <v>550132</v>
          </cell>
          <cell r="D15" t="str">
            <v xml:space="preserve">  安全保护费</v>
          </cell>
          <cell r="E15">
            <v>350</v>
          </cell>
        </row>
        <row r="16">
          <cell r="A16" t="str">
            <v>2003</v>
          </cell>
          <cell r="B16" t="str">
            <v>月份：2003.01-2003.12</v>
          </cell>
          <cell r="C16" t="str">
            <v>550133</v>
          </cell>
          <cell r="D16" t="str">
            <v xml:space="preserve">  捐赠</v>
          </cell>
          <cell r="E16">
            <v>13300</v>
          </cell>
        </row>
        <row r="17">
          <cell r="A17" t="str">
            <v>2003</v>
          </cell>
          <cell r="B17" t="str">
            <v>月份：2003.01-2003.12</v>
          </cell>
          <cell r="C17" t="str">
            <v>550134</v>
          </cell>
          <cell r="D17" t="str">
            <v xml:space="preserve">  维修费</v>
          </cell>
          <cell r="E17">
            <v>90</v>
          </cell>
        </row>
        <row r="18">
          <cell r="A18" t="str">
            <v>2003</v>
          </cell>
          <cell r="B18" t="str">
            <v>月份：2003.01-2003.12</v>
          </cell>
          <cell r="C18" t="str">
            <v>550135</v>
          </cell>
          <cell r="D18" t="str">
            <v xml:space="preserve">  物料消耗</v>
          </cell>
          <cell r="E18">
            <v>5994.37</v>
          </cell>
        </row>
        <row r="19">
          <cell r="A19" t="str">
            <v>2003</v>
          </cell>
          <cell r="B19" t="str">
            <v>月份：2003.01-2003.12</v>
          </cell>
          <cell r="C19" t="str">
            <v>550136</v>
          </cell>
          <cell r="D19" t="str">
            <v xml:space="preserve">  租金</v>
          </cell>
          <cell r="E19">
            <v>50976.3</v>
          </cell>
        </row>
        <row r="20">
          <cell r="A20" t="str">
            <v>2003</v>
          </cell>
          <cell r="B20" t="str">
            <v>月份：2003.01-2003.12</v>
          </cell>
          <cell r="C20" t="str">
            <v>550137</v>
          </cell>
          <cell r="D20" t="str">
            <v xml:space="preserve">  赔偿费</v>
          </cell>
          <cell r="E20">
            <v>-177661.82</v>
          </cell>
        </row>
        <row r="21">
          <cell r="A21" t="str">
            <v>2003</v>
          </cell>
          <cell r="B21" t="str">
            <v>月份：2003.01-2003.12</v>
          </cell>
          <cell r="C21" t="str">
            <v>550138</v>
          </cell>
          <cell r="D21" t="str">
            <v xml:space="preserve">  餐费</v>
          </cell>
          <cell r="E21">
            <v>40567.910000000003</v>
          </cell>
        </row>
        <row r="22">
          <cell r="A22" t="str">
            <v>2003</v>
          </cell>
          <cell r="B22" t="str">
            <v>月份：2003.01-2003.12</v>
          </cell>
          <cell r="C22" t="str">
            <v>550180</v>
          </cell>
          <cell r="D22" t="str">
            <v xml:space="preserve">  其它</v>
          </cell>
          <cell r="E22">
            <v>1006</v>
          </cell>
        </row>
        <row r="23">
          <cell r="A23" t="str">
            <v>2003</v>
          </cell>
          <cell r="B23" t="str">
            <v>月份：2003.01-2003.12</v>
          </cell>
          <cell r="C23" t="str">
            <v>损益小计</v>
          </cell>
          <cell r="E23">
            <v>5395364.5899999989</v>
          </cell>
        </row>
      </sheetData>
      <sheetData sheetId="16" refreshError="1">
        <row r="1">
          <cell r="A1" t="str">
            <v>科目编码</v>
          </cell>
          <cell r="B1" t="str">
            <v>科目名称</v>
          </cell>
          <cell r="C1" t="str">
            <v>本期发生借方</v>
          </cell>
          <cell r="D1" t="str">
            <v>本期发生贷方</v>
          </cell>
        </row>
        <row r="2">
          <cell r="A2" t="str">
            <v>550310</v>
          </cell>
          <cell r="B2" t="str">
            <v xml:space="preserve">  利息收入</v>
          </cell>
          <cell r="C2">
            <v>-106341.71</v>
          </cell>
          <cell r="D2">
            <v>-106341.71</v>
          </cell>
        </row>
        <row r="3">
          <cell r="A3" t="str">
            <v>550320</v>
          </cell>
          <cell r="B3" t="str">
            <v xml:space="preserve">  利息费用</v>
          </cell>
          <cell r="C3">
            <v>204051.81</v>
          </cell>
          <cell r="D3">
            <v>204051.81</v>
          </cell>
        </row>
        <row r="4">
          <cell r="A4" t="str">
            <v>550330</v>
          </cell>
          <cell r="B4" t="str">
            <v xml:space="preserve">  汇兑损益</v>
          </cell>
          <cell r="C4">
            <v>157918.17000000001</v>
          </cell>
          <cell r="D4">
            <v>157918.17000000001</v>
          </cell>
        </row>
        <row r="5">
          <cell r="A5" t="str">
            <v>550340</v>
          </cell>
          <cell r="B5" t="str">
            <v xml:space="preserve">  银行手续费</v>
          </cell>
          <cell r="C5">
            <v>24628.28</v>
          </cell>
          <cell r="D5">
            <v>24628.28</v>
          </cell>
        </row>
        <row r="6">
          <cell r="A6" t="str">
            <v>550350</v>
          </cell>
          <cell r="B6" t="str">
            <v xml:space="preserve">  其它</v>
          </cell>
          <cell r="C6">
            <v>190.06</v>
          </cell>
          <cell r="D6">
            <v>190.06</v>
          </cell>
        </row>
        <row r="7">
          <cell r="A7" t="str">
            <v>损益小计</v>
          </cell>
          <cell r="C7">
            <v>280446.61000000004</v>
          </cell>
          <cell r="D7">
            <v>280446.61000000004</v>
          </cell>
        </row>
      </sheetData>
      <sheetData sheetId="17"/>
      <sheetData sheetId="18"/>
      <sheetData sheetId="19"/>
      <sheetData sheetId="20"/>
      <sheetData sheetId="21"/>
      <sheetData sheetId="2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_x0000__x0000__x0000__x0000__x0000__x0000__x0000__x0000_"/>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7">
          <cell r="C7">
            <v>0</v>
          </cell>
          <cell r="D7">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资产负债表"/>
      <sheetName val="利润及利润分配表"/>
      <sheetName val="现金流量表"/>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4"/>
      <sheetName val="A_155"/>
      <sheetName val="A_156"/>
      <sheetName val="A_157"/>
      <sheetName val="A_161"/>
      <sheetName val="A_165"/>
      <sheetName val="A_166"/>
      <sheetName val="A_167"/>
      <sheetName val="A_169"/>
      <sheetName val="A_170"/>
      <sheetName val="A_171"/>
      <sheetName val="A_181"/>
      <sheetName val="A_182"/>
      <sheetName val="A_18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C_300"/>
      <sheetName val="C_301"/>
      <sheetName val="C_311"/>
      <sheetName val="C_313"/>
      <sheetName val="C_318"/>
      <sheetName val="C_322"/>
      <sheetName val="C_323"/>
      <sheetName val="I_501"/>
      <sheetName val="I_502"/>
      <sheetName val="I_503"/>
      <sheetName val="I_504"/>
      <sheetName val="I_510"/>
      <sheetName val="I_515"/>
      <sheetName val="I_520"/>
      <sheetName val="I_525"/>
      <sheetName val="I_530"/>
      <sheetName val="I_535"/>
      <sheetName val="I_536"/>
      <sheetName val="I_541"/>
      <sheetName val="I_545"/>
      <sheetName val="I_548"/>
      <sheetName val="I_570"/>
      <sheetName val="I_572"/>
      <sheetName val="I_574"/>
      <sheetName val="内部交易"/>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row r="26">
          <cell r="F26">
            <v>898850377.22000003</v>
          </cell>
        </row>
      </sheetData>
      <sheetData sheetId="54" refreshError="1">
        <row r="14">
          <cell r="K14">
            <v>93390990.280000001</v>
          </cell>
        </row>
      </sheetData>
      <sheetData sheetId="55"/>
      <sheetData sheetId="56" refreshError="1">
        <row r="20">
          <cell r="H20">
            <v>0</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 val="养路支出审定表"/>
      <sheetName val="养路支出明细表"/>
      <sheetName val="养路支出抽查表"/>
      <sheetName val="通用式抽查表"/>
      <sheetName val="借款工程支出审定表"/>
      <sheetName val="借款工程支出抽查表"/>
    </sheetNames>
    <sheetDataSet>
      <sheetData sheetId="0" refreshError="1"/>
      <sheetData sheetId="1" refreshError="1"/>
      <sheetData sheetId="2"/>
      <sheetData sheetId="3"/>
      <sheetData sheetId="4"/>
      <sheetData sheetId="5"/>
      <sheetData sheetId="6"/>
      <sheetData sheetId="7"/>
      <sheetData sheetId="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0__x0000__x000d_[分析表.XLS]G9-1_x0000__x0000_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000__x0000__x0000__x0000__x0"/>
      <sheetName val="其他科目_x0000__x0000_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0__x0000__x000a_[分析表.XLS]G9-1_x0000__x0000_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0__x0000__x000d_[分析表.X"/>
      <sheetName val="其他科目_x005f_x0000__x005f_x0000__"/>
      <sheetName val="其他科目_x0000__x0000_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_x0000__x0000__x0000__x0000__x0000__x0000__x0000__x0000__x0000__x0000__x0000__x0000__x0000__x0000__x0000__x0000__x0000__x0000_"/>
      <sheetName val="B_x0000__x0000__x0000_Ⴜ0Ӌ痨_x0002__x0000_郢ሃΨ_x0000_ଊ痨郢ሃ_x001c_绺"/>
      <sheetName val="B8_x0000__x0000_Ⴌ4Ӌ瘠_x0002__x0000_ඦΨ_x0000_ଊ瘠ඦ_x001c_绺"/>
      <sheetName val="H101(OK)"/>
      <sheetName val="A包装物"/>
      <sheetName val="C包装物"/>
      <sheetName val="材料明细账"/>
      <sheetName val="Be_x0000__x0000__x0000__x0000__x0000__x0000__x0000__x0000__x0000__x0000__x0000__x0000__x0000__x0000__x0000__x0000__x0000__x0000_"/>
      <sheetName val="Price List"/>
      <sheetName val="管理费用明细"/>
      <sheetName val="Bgሀြ0슌沅_x0000__x0000_舤殉腼殉ㅏ怆 ɂሀ"/>
      <sheetName val="Bgैာ4슌櫂_x0000__x0000_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x0000__x0000__"/>
      <sheetName val="_x005f_x005f_x005f_x0000__x005f"/>
      <sheetName val="其他科目_x005f_x005f_x005f_x005f_x0"/>
      <sheetName val="_x005f_x005f_x005f_x005f_"/>
      <sheetName val="_x0000__x0000_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x0000__x0000_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_x0000__x0000__x0000_h"/>
      <sheetName val="_x0002__x0000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_x0000_"/>
      <sheetName val="2010年台ᮀ"/>
      <sheetName val="2010年台厰"/>
      <sheetName val="2010年台"/>
      <sheetName val="其他科目_x000a__分析表_XLS_G9-1_x000a_"/>
      <sheetName val="固定资产类别年统计表 (2)"/>
      <sheetName val="补贴收入明细表"/>
      <sheetName val="CM_x0000_"/>
      <sheetName val="其他科目_x005f_x0000__x_x0000__x0000_髈↉ーɭ"/>
      <sheetName val="其他科目_x0000__x"/>
      <sheetName val="_x0000_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x0000__x0000__x0000__x0000__"/>
      <sheetName val="B_x0000__x0000__x0000_Ⴜ0Ӌ痨_x000"/>
      <sheetName val="B8_x0000__x0000_Ⴌ4Ӌ瘠_x0002__x00"/>
      <sheetName val="Be_x0000__x0000__x0000__x0000__"/>
      <sheetName val="Bgሀြ0슌沅_x0000__x0000_舤殉腼殉ㅏ怆 ɂሀ"/>
      <sheetName val="Bgैာ4슌櫂_x0000__x0000_舤槆腼槆ॽᔒ@Ʉ_x"/>
      <sheetName val="其他科目_x005f_x0000__x_x0000_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_x0000__x0000_[分析表.XLS]G9-1_x0000__x0000_[分"/>
      <sheetName val="其他科目_x0000__x0000__分析表.X"/>
      <sheetName val="其他科目_x0000__x0000_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0__x0000_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00__x0000__x00"/>
      <sheetName val="社保表"/>
      <sheetName val="COLODYQX"/>
      <sheetName val="2016年业务借款明细"/>
      <sheetName val="2016年现场借款明细"/>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产负债表"/>
      <sheetName val="损益表"/>
      <sheetName val="财务状况变动表"/>
      <sheetName val="利润分配表"/>
      <sheetName val="主营业务收支明细表"/>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唐山外代"/>
      <sheetName val="填报说明"/>
      <sheetName val="Title"/>
    </sheetNames>
    <sheetDataSet>
      <sheetData sheetId="0" refreshError="1"/>
      <sheetData sheetId="1" refreshError="1"/>
      <sheetData sheetId="2" refreshError="1">
        <row r="2">
          <cell r="A2" t="str">
            <v>男</v>
          </cell>
        </row>
        <row r="3">
          <cell r="A3" t="str">
            <v>女</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Sheet1"/>
      <sheetName val="A1"/>
      <sheetName val="A1-2"/>
      <sheetName val="A1-3"/>
      <sheetName val="A1-3-"/>
      <sheetName val="A1-4"/>
      <sheetName val="W"/>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 000"/>
      <sheetName val="FS"/>
      <sheetName val="PRC-BS-COSO"/>
      <sheetName val="PRC-PL-COSO"/>
      <sheetName val="AR"/>
      <sheetName val="AP"/>
      <sheetName val="related co"/>
      <sheetName val="inv"/>
      <sheetName val="prepayment"/>
      <sheetName val="OR"/>
      <sheetName val="other lia"/>
      <sheetName val="adm"/>
      <sheetName val="sel"/>
      <sheetName val="fin"/>
      <sheetName val="FA"/>
      <sheetName val="HC"/>
      <sheetName val="I"/>
      <sheetName val="sales"/>
      <sheetName val="EX (2)"/>
    </sheetNames>
    <sheetDataSet>
      <sheetData sheetId="0"/>
      <sheetData sheetId="1"/>
      <sheetData sheetId="2"/>
      <sheetData sheetId="3"/>
      <sheetData sheetId="4" refreshError="1">
        <row r="1">
          <cell r="A1" t="str">
            <v>编  号</v>
          </cell>
          <cell r="B1" t="str">
            <v>名    称</v>
          </cell>
          <cell r="C1" t="str">
            <v>本币</v>
          </cell>
          <cell r="D1" t="str">
            <v>本币_</v>
          </cell>
          <cell r="E1" t="str">
            <v>本币__</v>
          </cell>
          <cell r="F1" t="str">
            <v>本币___</v>
          </cell>
        </row>
        <row r="2">
          <cell r="A2" t="str">
            <v>GZCDE0001</v>
          </cell>
          <cell r="B2" t="str">
            <v>BICPS内销卷钢零售</v>
          </cell>
          <cell r="C2">
            <v>130000</v>
          </cell>
          <cell r="D2">
            <v>151906</v>
          </cell>
          <cell r="E2">
            <v>50756</v>
          </cell>
          <cell r="F2">
            <v>231148.85</v>
          </cell>
        </row>
        <row r="3">
          <cell r="A3" t="str">
            <v>GZCDE0005</v>
          </cell>
          <cell r="B3" t="str">
            <v>台州吉利装璜材料_x0000_</v>
          </cell>
          <cell r="C3">
            <v>1105796.3400000001</v>
          </cell>
          <cell r="D3">
            <v>102200</v>
          </cell>
          <cell r="E3">
            <v>153300</v>
          </cell>
          <cell r="F3">
            <v>1054696.3400000001</v>
          </cell>
        </row>
        <row r="4">
          <cell r="A4" t="str">
            <v>GZCDE0009</v>
          </cell>
          <cell r="B4" t="str">
            <v>西南铝业（集团）_x0000_</v>
          </cell>
          <cell r="C4">
            <v>1920152.21</v>
          </cell>
          <cell r="D4">
            <v>372881</v>
          </cell>
          <cell r="E4">
            <v>1421308</v>
          </cell>
          <cell r="F4">
            <v>871725.21</v>
          </cell>
        </row>
        <row r="5">
          <cell r="A5" t="str">
            <v>GZCDE0012</v>
          </cell>
          <cell r="B5" t="str">
            <v>佛山市顺德区高士_x0000_</v>
          </cell>
          <cell r="C5">
            <v>1469484.5</v>
          </cell>
          <cell r="D5">
            <v>358710</v>
          </cell>
          <cell r="E5">
            <v>500000</v>
          </cell>
          <cell r="F5">
            <v>1328194.5</v>
          </cell>
        </row>
        <row r="6">
          <cell r="A6" t="str">
            <v>GZCDE0013</v>
          </cell>
          <cell r="B6" t="str">
            <v>江西泓泰企业集团_x0000_</v>
          </cell>
          <cell r="C6">
            <v>149200</v>
          </cell>
          <cell r="D6">
            <v>76500</v>
          </cell>
          <cell r="E6">
            <v>30000</v>
          </cell>
          <cell r="F6">
            <v>195700</v>
          </cell>
        </row>
        <row r="7">
          <cell r="A7" t="str">
            <v>GZCDE0023</v>
          </cell>
          <cell r="B7" t="str">
            <v>浙江墙煌建材有限_x0000_</v>
          </cell>
          <cell r="C7">
            <v>-41481.1</v>
          </cell>
          <cell r="D7">
            <v>0</v>
          </cell>
          <cell r="E7">
            <v>0</v>
          </cell>
          <cell r="F7">
            <v>-41481.1</v>
          </cell>
        </row>
        <row r="8">
          <cell r="A8" t="str">
            <v>GZCDE0029</v>
          </cell>
          <cell r="B8" t="str">
            <v>珠海拾比佰彩图板_x0000_</v>
          </cell>
          <cell r="C8">
            <v>180720</v>
          </cell>
          <cell r="D8">
            <v>118200</v>
          </cell>
          <cell r="E8">
            <v>166000</v>
          </cell>
          <cell r="F8">
            <v>132920</v>
          </cell>
        </row>
        <row r="9">
          <cell r="A9" t="str">
            <v>GZCDE0030</v>
          </cell>
          <cell r="B9" t="str">
            <v>武汉钢铁股份有限_x0000_</v>
          </cell>
          <cell r="C9">
            <v>718000.2</v>
          </cell>
          <cell r="D9">
            <v>592257.6</v>
          </cell>
          <cell r="E9">
            <v>350802.6</v>
          </cell>
          <cell r="F9">
            <v>959455.2</v>
          </cell>
        </row>
        <row r="10">
          <cell r="A10" t="str">
            <v>GZCDE0043</v>
          </cell>
          <cell r="B10" t="str">
            <v>深圳粤源装饰工程_x0000_</v>
          </cell>
          <cell r="C10">
            <v>56800</v>
          </cell>
          <cell r="D10">
            <v>0</v>
          </cell>
          <cell r="E10">
            <v>0</v>
          </cell>
          <cell r="F10">
            <v>56800</v>
          </cell>
        </row>
        <row r="11">
          <cell r="A11" t="str">
            <v>GZCDE0044</v>
          </cell>
          <cell r="B11" t="str">
            <v>佛山市顺德区力同_x0000_</v>
          </cell>
          <cell r="C11">
            <v>2711063</v>
          </cell>
          <cell r="D11">
            <v>1278760</v>
          </cell>
          <cell r="E11">
            <v>1978238</v>
          </cell>
          <cell r="F11">
            <v>2011585</v>
          </cell>
        </row>
        <row r="12">
          <cell r="A12" t="str">
            <v>GZCDE0045</v>
          </cell>
          <cell r="B12" t="str">
            <v>青岛海尔零部件采_x0000_</v>
          </cell>
          <cell r="C12">
            <v>161410.62</v>
          </cell>
          <cell r="D12">
            <v>0</v>
          </cell>
          <cell r="E12">
            <v>0</v>
          </cell>
          <cell r="F12">
            <v>161410.62</v>
          </cell>
        </row>
        <row r="13">
          <cell r="A13" t="str">
            <v>GZCDE0046</v>
          </cell>
          <cell r="B13" t="str">
            <v>四会市征国装饰材_x0000_</v>
          </cell>
          <cell r="C13">
            <v>1127520.6100000001</v>
          </cell>
          <cell r="D13">
            <v>215180</v>
          </cell>
          <cell r="E13">
            <v>300000</v>
          </cell>
          <cell r="F13">
            <v>1042700.61</v>
          </cell>
        </row>
        <row r="14">
          <cell r="A14" t="str">
            <v>GZCDE0047</v>
          </cell>
          <cell r="B14" t="str">
            <v>武汉汉科彩色钢板_x0000_</v>
          </cell>
          <cell r="C14">
            <v>25080</v>
          </cell>
          <cell r="D14">
            <v>0</v>
          </cell>
          <cell r="E14">
            <v>0</v>
          </cell>
          <cell r="F14">
            <v>25080</v>
          </cell>
        </row>
        <row r="15">
          <cell r="A15" t="str">
            <v>GZCDE0049</v>
          </cell>
          <cell r="B15" t="str">
            <v>南海市松岗中天星_x0000_</v>
          </cell>
          <cell r="C15">
            <v>38940</v>
          </cell>
          <cell r="D15">
            <v>0</v>
          </cell>
          <cell r="E15">
            <v>0</v>
          </cell>
          <cell r="F15">
            <v>38940</v>
          </cell>
        </row>
        <row r="16">
          <cell r="A16" t="str">
            <v>GZCDE0050</v>
          </cell>
          <cell r="B16" t="str">
            <v>攀钢集团成都彩涂_x0000_</v>
          </cell>
          <cell r="C16">
            <v>69800</v>
          </cell>
          <cell r="D16">
            <v>152665.57999999999</v>
          </cell>
          <cell r="E16">
            <v>0</v>
          </cell>
          <cell r="F16">
            <v>222465.58</v>
          </cell>
        </row>
        <row r="17">
          <cell r="A17" t="str">
            <v>GZCDE0051</v>
          </cell>
          <cell r="B17" t="str">
            <v>湖南华天铝业有限_x0000_</v>
          </cell>
          <cell r="C17">
            <v>186200</v>
          </cell>
          <cell r="D17">
            <v>7900</v>
          </cell>
          <cell r="E17">
            <v>0</v>
          </cell>
          <cell r="F17">
            <v>194100</v>
          </cell>
        </row>
        <row r="18">
          <cell r="A18" t="str">
            <v>GZCDE0052</v>
          </cell>
          <cell r="B18" t="str">
            <v>重庆沃特美金属彩_x0000_</v>
          </cell>
          <cell r="C18">
            <v>0</v>
          </cell>
          <cell r="D18">
            <v>53300</v>
          </cell>
          <cell r="E18">
            <v>0</v>
          </cell>
          <cell r="F18">
            <v>53300</v>
          </cell>
        </row>
        <row r="19">
          <cell r="A19" t="str">
            <v>GZSDE0004</v>
          </cell>
          <cell r="B19" t="str">
            <v>耐普罗塑胶五金制_x0000_</v>
          </cell>
          <cell r="C19">
            <v>5550.71</v>
          </cell>
          <cell r="D19">
            <v>430424</v>
          </cell>
          <cell r="E19">
            <v>0</v>
          </cell>
          <cell r="F19">
            <v>435974.71</v>
          </cell>
        </row>
        <row r="20">
          <cell r="A20" t="str">
            <v>GZSDE0007</v>
          </cell>
          <cell r="B20" t="str">
            <v>深圳富泰宏精密工_x0000_</v>
          </cell>
          <cell r="C20">
            <v>1343225.29</v>
          </cell>
          <cell r="D20">
            <v>796360</v>
          </cell>
          <cell r="E20">
            <v>1049504.3999999999</v>
          </cell>
          <cell r="F20">
            <v>1090080.8899999999</v>
          </cell>
        </row>
        <row r="21">
          <cell r="A21" t="str">
            <v>GZSDE0008</v>
          </cell>
          <cell r="B21" t="str">
            <v>日新（天津）塑胶_x0000_</v>
          </cell>
          <cell r="C21">
            <v>-30312</v>
          </cell>
          <cell r="D21">
            <v>0</v>
          </cell>
          <cell r="E21">
            <v>0</v>
          </cell>
          <cell r="F21">
            <v>-30312</v>
          </cell>
        </row>
        <row r="22">
          <cell r="A22" t="str">
            <v>GZSDE0010</v>
          </cell>
          <cell r="B22" t="str">
            <v>富裕注塑制模（东_x0000_</v>
          </cell>
          <cell r="C22">
            <v>241467.4</v>
          </cell>
          <cell r="D22">
            <v>338120</v>
          </cell>
          <cell r="E22">
            <v>44700</v>
          </cell>
          <cell r="F22">
            <v>534887.4</v>
          </cell>
        </row>
        <row r="23">
          <cell r="A23" t="str">
            <v>GZSDE0011</v>
          </cell>
          <cell r="B23" t="str">
            <v>濠福涂装（惠州）_x0000_</v>
          </cell>
          <cell r="C23">
            <v>77600</v>
          </cell>
          <cell r="D23">
            <v>0</v>
          </cell>
          <cell r="E23">
            <v>0</v>
          </cell>
          <cell r="F23">
            <v>77600</v>
          </cell>
        </row>
        <row r="24">
          <cell r="A24" t="str">
            <v>GZSDE0013</v>
          </cell>
          <cell r="B24" t="str">
            <v>贝尔罗斯（广州）_x0000_</v>
          </cell>
          <cell r="C24">
            <v>438420.11</v>
          </cell>
          <cell r="D24">
            <v>478720</v>
          </cell>
          <cell r="E24">
            <v>227980</v>
          </cell>
          <cell r="F24">
            <v>689160.11</v>
          </cell>
        </row>
        <row r="25">
          <cell r="A25" t="str">
            <v>GZSDE0014</v>
          </cell>
          <cell r="B25" t="str">
            <v>广州耐普罗模具塑_x0000_</v>
          </cell>
          <cell r="C25">
            <v>0</v>
          </cell>
          <cell r="D25">
            <v>9360</v>
          </cell>
          <cell r="E25">
            <v>0</v>
          </cell>
          <cell r="F25">
            <v>9360</v>
          </cell>
        </row>
        <row r="26">
          <cell r="A26" t="str">
            <v>GZSDE0015</v>
          </cell>
          <cell r="B26" t="str">
            <v>惠州璇瑰模具注塑_x0000_</v>
          </cell>
          <cell r="C26">
            <v>258020</v>
          </cell>
          <cell r="D26">
            <v>225280</v>
          </cell>
          <cell r="E26">
            <v>0</v>
          </cell>
          <cell r="F26">
            <v>483300</v>
          </cell>
        </row>
        <row r="27">
          <cell r="A27" t="str">
            <v>GZSDE0017</v>
          </cell>
          <cell r="B27" t="str">
            <v>富士康精密组件（_x0000_</v>
          </cell>
          <cell r="C27">
            <v>31578.33</v>
          </cell>
          <cell r="D27">
            <v>0</v>
          </cell>
          <cell r="E27">
            <v>0</v>
          </cell>
          <cell r="F27">
            <v>31578.33</v>
          </cell>
        </row>
        <row r="28">
          <cell r="A28" t="str">
            <v>GZSDE0019</v>
          </cell>
          <cell r="B28" t="str">
            <v>艺模塑胶（深圳）_x0000_</v>
          </cell>
          <cell r="C28">
            <v>-6620</v>
          </cell>
          <cell r="D28">
            <v>0</v>
          </cell>
          <cell r="E28">
            <v>0</v>
          </cell>
          <cell r="F28">
            <v>-6620</v>
          </cell>
        </row>
        <row r="29">
          <cell r="A29" t="str">
            <v>GZSDE0020</v>
          </cell>
          <cell r="B29" t="str">
            <v>博士喷漆厂</v>
          </cell>
          <cell r="C29">
            <v>8200</v>
          </cell>
          <cell r="D29">
            <v>0</v>
          </cell>
          <cell r="E29">
            <v>0</v>
          </cell>
          <cell r="F29">
            <v>8200</v>
          </cell>
        </row>
        <row r="30">
          <cell r="A30" t="str">
            <v>GZSDE0021</v>
          </cell>
          <cell r="B30" t="str">
            <v>惠阳市格林塑胶电_x0000_</v>
          </cell>
          <cell r="C30">
            <v>86060</v>
          </cell>
          <cell r="D30">
            <v>0</v>
          </cell>
          <cell r="E30">
            <v>0</v>
          </cell>
          <cell r="F30">
            <v>86060</v>
          </cell>
        </row>
        <row r="31">
          <cell r="A31" t="str">
            <v>GZSDE0025</v>
          </cell>
          <cell r="B31" t="str">
            <v>东莞塘厦荣达塑胶_x0000_</v>
          </cell>
          <cell r="C31">
            <v>160</v>
          </cell>
          <cell r="D31">
            <v>0</v>
          </cell>
          <cell r="E31">
            <v>120</v>
          </cell>
          <cell r="F31">
            <v>40</v>
          </cell>
        </row>
        <row r="32">
          <cell r="A32" t="str">
            <v>GZSDE0028</v>
          </cell>
          <cell r="B32" t="str">
            <v>苏州技泰精密部件_x0000_</v>
          </cell>
          <cell r="C32">
            <v>5500</v>
          </cell>
          <cell r="D32">
            <v>0</v>
          </cell>
          <cell r="E32">
            <v>0</v>
          </cell>
          <cell r="F32">
            <v>5500</v>
          </cell>
        </row>
        <row r="33">
          <cell r="A33" t="str">
            <v>GZSDE0030</v>
          </cell>
          <cell r="B33" t="str">
            <v>深圳市宝安区西乡_x0000_</v>
          </cell>
          <cell r="C33">
            <v>22540</v>
          </cell>
          <cell r="D33">
            <v>0</v>
          </cell>
          <cell r="E33">
            <v>0</v>
          </cell>
          <cell r="F33">
            <v>22540</v>
          </cell>
        </row>
        <row r="34">
          <cell r="A34" t="str">
            <v>GZSDE0031</v>
          </cell>
          <cell r="B34" t="str">
            <v>比亚迪股份有限公_x0000_</v>
          </cell>
          <cell r="C34">
            <v>0</v>
          </cell>
          <cell r="D34">
            <v>12700</v>
          </cell>
          <cell r="E34">
            <v>0</v>
          </cell>
          <cell r="F34">
            <v>12700</v>
          </cell>
        </row>
        <row r="35">
          <cell r="A35" t="str">
            <v>GZSDE0034</v>
          </cell>
          <cell r="B35" t="str">
            <v>东莞长安权智电子_x0000_</v>
          </cell>
          <cell r="C35">
            <v>17092</v>
          </cell>
          <cell r="D35">
            <v>0</v>
          </cell>
          <cell r="E35">
            <v>0</v>
          </cell>
          <cell r="F35">
            <v>17092</v>
          </cell>
        </row>
        <row r="36">
          <cell r="A36" t="str">
            <v>GZSDE0037</v>
          </cell>
          <cell r="B36" t="str">
            <v>昌煜塑胶（东莞）_x0000_</v>
          </cell>
          <cell r="C36">
            <v>24364</v>
          </cell>
          <cell r="D36">
            <v>39332</v>
          </cell>
          <cell r="E36">
            <v>0</v>
          </cell>
          <cell r="F36">
            <v>63696</v>
          </cell>
        </row>
        <row r="37">
          <cell r="A37" t="str">
            <v>GZSDE0038</v>
          </cell>
          <cell r="B37" t="str">
            <v>埃梯梯科能（厦门_x0000_</v>
          </cell>
          <cell r="C37">
            <v>1848</v>
          </cell>
          <cell r="D37">
            <v>19160</v>
          </cell>
          <cell r="E37">
            <v>0</v>
          </cell>
          <cell r="F37">
            <v>21008</v>
          </cell>
        </row>
        <row r="38">
          <cell r="A38" t="str">
            <v>GZSDE0040</v>
          </cell>
          <cell r="B38" t="str">
            <v>深圳捷荣塑胶五金_x0000_</v>
          </cell>
          <cell r="C38">
            <v>1700</v>
          </cell>
          <cell r="D38">
            <v>-1700</v>
          </cell>
          <cell r="E38">
            <v>0</v>
          </cell>
          <cell r="F38">
            <v>0</v>
          </cell>
        </row>
        <row r="39">
          <cell r="A39" t="str">
            <v>GZSDE0041</v>
          </cell>
          <cell r="B39" t="str">
            <v>郭氏宏高电子塑胶_x0000_</v>
          </cell>
          <cell r="C39">
            <v>0</v>
          </cell>
          <cell r="D39">
            <v>1840</v>
          </cell>
          <cell r="E39">
            <v>0</v>
          </cell>
          <cell r="F39">
            <v>1840</v>
          </cell>
        </row>
        <row r="40">
          <cell r="A40" t="str">
            <v>GZSDE0042</v>
          </cell>
          <cell r="B40" t="str">
            <v>东莞怡高塑胶五金_x0000_</v>
          </cell>
          <cell r="C40">
            <v>0</v>
          </cell>
          <cell r="D40">
            <v>4524</v>
          </cell>
          <cell r="E40">
            <v>0</v>
          </cell>
          <cell r="F40">
            <v>4524</v>
          </cell>
        </row>
        <row r="42">
          <cell r="A42" t="str">
            <v xml:space="preserve"> 合计:</v>
          </cell>
          <cell r="C42">
            <v>14873209.57</v>
          </cell>
          <cell r="D42">
            <v>5890665.4400000004</v>
          </cell>
          <cell r="E42">
            <v>6272210.5800000001</v>
          </cell>
          <cell r="F42">
            <v>12096950.250000002</v>
          </cell>
        </row>
      </sheetData>
      <sheetData sheetId="5"/>
      <sheetData sheetId="6" refreshError="1">
        <row r="1">
          <cell r="A1" t="str">
            <v>科目编码</v>
          </cell>
          <cell r="B1" t="str">
            <v>科目名称</v>
          </cell>
          <cell r="C1" t="str">
            <v>外币名称</v>
          </cell>
          <cell r="D1" t="str">
            <v>期初借方</v>
          </cell>
          <cell r="E1" t="str">
            <v>期初贷方</v>
          </cell>
          <cell r="F1" t="str">
            <v>本期发生借方</v>
          </cell>
          <cell r="G1" t="str">
            <v>本期发生贷方</v>
          </cell>
          <cell r="H1" t="str">
            <v>期末借方</v>
          </cell>
          <cell r="I1" t="str">
            <v>期末贷方</v>
          </cell>
        </row>
        <row r="2">
          <cell r="A2" t="str">
            <v>2122</v>
          </cell>
          <cell r="B2" t="str">
            <v>相关公司往来</v>
          </cell>
          <cell r="D2">
            <v>0</v>
          </cell>
          <cell r="E2">
            <v>6291384.0599999996</v>
          </cell>
          <cell r="F2">
            <v>78909.05</v>
          </cell>
          <cell r="G2">
            <v>154014.14000000001</v>
          </cell>
          <cell r="H2">
            <v>0</v>
          </cell>
          <cell r="I2">
            <v>6366489.1500000004</v>
          </cell>
        </row>
        <row r="3">
          <cell r="A3" t="str">
            <v>212210</v>
          </cell>
          <cell r="B3" t="str">
            <v xml:space="preserve">  贝格工业涂料（中国）有限公司</v>
          </cell>
          <cell r="C3" t="str">
            <v>港币</v>
          </cell>
          <cell r="D3">
            <v>0</v>
          </cell>
          <cell r="E3">
            <v>1808023.01</v>
          </cell>
          <cell r="F3">
            <v>53377.32</v>
          </cell>
          <cell r="G3">
            <v>254.95</v>
          </cell>
          <cell r="H3">
            <v>0</v>
          </cell>
          <cell r="I3">
            <v>1754900.64</v>
          </cell>
        </row>
        <row r="4">
          <cell r="A4" t="str">
            <v>212220</v>
          </cell>
          <cell r="B4" t="str">
            <v xml:space="preserve">  贝格工业（瑞典）</v>
          </cell>
          <cell r="C4" t="str">
            <v>港币</v>
          </cell>
          <cell r="D4">
            <v>0</v>
          </cell>
          <cell r="E4">
            <v>0</v>
          </cell>
          <cell r="F4">
            <v>0</v>
          </cell>
          <cell r="G4">
            <v>0</v>
          </cell>
          <cell r="H4">
            <v>0</v>
          </cell>
          <cell r="I4">
            <v>0</v>
          </cell>
        </row>
        <row r="5">
          <cell r="A5" t="str">
            <v>212230</v>
          </cell>
          <cell r="B5" t="str">
            <v xml:space="preserve">  贝格工业涂料（香港）</v>
          </cell>
          <cell r="C5" t="str">
            <v>港币</v>
          </cell>
          <cell r="D5">
            <v>0</v>
          </cell>
          <cell r="E5">
            <v>4674161.5199999996</v>
          </cell>
          <cell r="F5">
            <v>14875.57</v>
          </cell>
          <cell r="G5">
            <v>110850.43</v>
          </cell>
          <cell r="H5">
            <v>0</v>
          </cell>
          <cell r="I5">
            <v>4770136.38</v>
          </cell>
        </row>
        <row r="6">
          <cell r="A6" t="str">
            <v>212240</v>
          </cell>
          <cell r="B6" t="str">
            <v xml:space="preserve">  贝格工业涂料（上海）</v>
          </cell>
          <cell r="D6">
            <v>190800.47</v>
          </cell>
          <cell r="E6">
            <v>0</v>
          </cell>
          <cell r="F6">
            <v>10656.16</v>
          </cell>
          <cell r="G6">
            <v>42908.76</v>
          </cell>
          <cell r="H6">
            <v>158547.87</v>
          </cell>
          <cell r="I6">
            <v>0</v>
          </cell>
        </row>
        <row r="7">
          <cell r="A7" t="str">
            <v>负债小计</v>
          </cell>
          <cell r="D7">
            <v>0</v>
          </cell>
          <cell r="E7">
            <v>6291384.0599999996</v>
          </cell>
          <cell r="F7">
            <v>78909.05</v>
          </cell>
          <cell r="G7">
            <v>154014.14000000001</v>
          </cell>
          <cell r="H7">
            <v>0</v>
          </cell>
          <cell r="I7">
            <v>6366489.1500000004</v>
          </cell>
        </row>
        <row r="8">
          <cell r="B8" t="str">
            <v>港币</v>
          </cell>
          <cell r="D8">
            <v>0</v>
          </cell>
          <cell r="E8">
            <v>0</v>
          </cell>
          <cell r="F8">
            <v>0</v>
          </cell>
          <cell r="G8">
            <v>0</v>
          </cell>
          <cell r="H8">
            <v>0</v>
          </cell>
          <cell r="I8">
            <v>0</v>
          </cell>
        </row>
        <row r="9">
          <cell r="A9" t="str">
            <v>合计</v>
          </cell>
          <cell r="D9">
            <v>0</v>
          </cell>
          <cell r="E9">
            <v>6291384.0599999996</v>
          </cell>
          <cell r="F9">
            <v>78909.05</v>
          </cell>
          <cell r="G9">
            <v>154014.14000000001</v>
          </cell>
          <cell r="H9">
            <v>0</v>
          </cell>
          <cell r="I9">
            <v>6366489.1500000004</v>
          </cell>
        </row>
        <row r="10">
          <cell r="B10" t="str">
            <v>港币</v>
          </cell>
          <cell r="D10">
            <v>0</v>
          </cell>
          <cell r="E10">
            <v>0</v>
          </cell>
          <cell r="F10">
            <v>0</v>
          </cell>
          <cell r="G10">
            <v>0</v>
          </cell>
          <cell r="H10">
            <v>0</v>
          </cell>
          <cell r="I10">
            <v>0</v>
          </cell>
        </row>
      </sheetData>
      <sheetData sheetId="7"/>
      <sheetData sheetId="8"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月份：2004.04-2004.04</v>
          </cell>
          <cell r="C2" t="str">
            <v>1301</v>
          </cell>
          <cell r="D2" t="str">
            <v>待摊费用</v>
          </cell>
          <cell r="F2">
            <v>484022.75</v>
          </cell>
          <cell r="G2">
            <v>0</v>
          </cell>
          <cell r="H2">
            <v>29170</v>
          </cell>
          <cell r="I2">
            <v>71991.009999999995</v>
          </cell>
          <cell r="J2">
            <v>441201.74</v>
          </cell>
          <cell r="K2">
            <v>0</v>
          </cell>
        </row>
        <row r="3">
          <cell r="A3" t="str">
            <v>2004</v>
          </cell>
          <cell r="B3" t="str">
            <v>月份：2004.04-2004.04</v>
          </cell>
          <cell r="C3" t="str">
            <v>130111</v>
          </cell>
          <cell r="D3" t="str">
            <v xml:space="preserve">  待摊费用-预付保险费</v>
          </cell>
          <cell r="F3">
            <v>160470.54</v>
          </cell>
          <cell r="G3">
            <v>0</v>
          </cell>
          <cell r="H3">
            <v>5670</v>
          </cell>
          <cell r="I3">
            <v>18460.05</v>
          </cell>
          <cell r="J3">
            <v>147680.49</v>
          </cell>
          <cell r="K3">
            <v>0</v>
          </cell>
        </row>
        <row r="4">
          <cell r="A4" t="str">
            <v>2004</v>
          </cell>
          <cell r="B4" t="str">
            <v>月份：2004.04-2004.04</v>
          </cell>
          <cell r="C4" t="str">
            <v>130115</v>
          </cell>
          <cell r="D4" t="str">
            <v xml:space="preserve">  用友软件维护费</v>
          </cell>
          <cell r="F4">
            <v>23000</v>
          </cell>
          <cell r="G4">
            <v>0</v>
          </cell>
          <cell r="H4">
            <v>0</v>
          </cell>
          <cell r="I4">
            <v>1917</v>
          </cell>
          <cell r="J4">
            <v>21083</v>
          </cell>
          <cell r="K4">
            <v>0</v>
          </cell>
        </row>
        <row r="5">
          <cell r="A5" t="str">
            <v>2004</v>
          </cell>
          <cell r="B5" t="str">
            <v>月份：2004.04-2004.04</v>
          </cell>
          <cell r="C5" t="str">
            <v>130116</v>
          </cell>
          <cell r="D5" t="str">
            <v xml:space="preserve">  软件</v>
          </cell>
          <cell r="F5">
            <v>110818.01</v>
          </cell>
          <cell r="G5">
            <v>0</v>
          </cell>
          <cell r="H5">
            <v>0</v>
          </cell>
          <cell r="I5">
            <v>15831.1</v>
          </cell>
          <cell r="J5">
            <v>94986.91</v>
          </cell>
          <cell r="K5">
            <v>0</v>
          </cell>
        </row>
        <row r="6">
          <cell r="A6" t="str">
            <v>2004</v>
          </cell>
          <cell r="B6" t="str">
            <v>月份：2004.04-2004.04</v>
          </cell>
          <cell r="C6" t="str">
            <v>130117</v>
          </cell>
          <cell r="D6" t="str">
            <v xml:space="preserve">  ISO费用</v>
          </cell>
          <cell r="F6">
            <v>45785.41</v>
          </cell>
          <cell r="G6">
            <v>0</v>
          </cell>
          <cell r="H6">
            <v>0</v>
          </cell>
          <cell r="I6">
            <v>15262</v>
          </cell>
          <cell r="J6">
            <v>30523.41</v>
          </cell>
          <cell r="K6">
            <v>0</v>
          </cell>
        </row>
        <row r="7">
          <cell r="A7" t="str">
            <v>2004</v>
          </cell>
          <cell r="B7" t="str">
            <v>月份：2004.04-2004.04</v>
          </cell>
          <cell r="C7" t="str">
            <v>130118</v>
          </cell>
          <cell r="D7" t="str">
            <v xml:space="preserve">  微软操作及办公软件</v>
          </cell>
          <cell r="F7">
            <v>91240</v>
          </cell>
          <cell r="G7">
            <v>0</v>
          </cell>
          <cell r="H7">
            <v>23500</v>
          </cell>
          <cell r="I7">
            <v>12331</v>
          </cell>
          <cell r="J7">
            <v>102409</v>
          </cell>
          <cell r="K7">
            <v>0</v>
          </cell>
        </row>
        <row r="8">
          <cell r="A8" t="str">
            <v>2004</v>
          </cell>
          <cell r="B8" t="str">
            <v>月份：2004.04-2004.04</v>
          </cell>
          <cell r="C8" t="str">
            <v>130119</v>
          </cell>
          <cell r="D8" t="str">
            <v xml:space="preserve">  停车费</v>
          </cell>
          <cell r="F8">
            <v>6000</v>
          </cell>
          <cell r="G8">
            <v>0</v>
          </cell>
          <cell r="H8">
            <v>0</v>
          </cell>
          <cell r="I8">
            <v>3000</v>
          </cell>
          <cell r="J8">
            <v>3000</v>
          </cell>
          <cell r="K8">
            <v>0</v>
          </cell>
        </row>
        <row r="9">
          <cell r="A9" t="str">
            <v>2004</v>
          </cell>
          <cell r="B9" t="str">
            <v>月份：2004.04-2004.04</v>
          </cell>
          <cell r="C9" t="str">
            <v>130121</v>
          </cell>
          <cell r="D9" t="str">
            <v xml:space="preserve">  LotusNote系统</v>
          </cell>
          <cell r="F9">
            <v>46708.79</v>
          </cell>
          <cell r="G9">
            <v>0</v>
          </cell>
          <cell r="H9">
            <v>0</v>
          </cell>
          <cell r="I9">
            <v>5189.8599999999997</v>
          </cell>
          <cell r="J9">
            <v>41518.93</v>
          </cell>
          <cell r="K9">
            <v>0</v>
          </cell>
        </row>
        <row r="10">
          <cell r="A10" t="str">
            <v>2004</v>
          </cell>
          <cell r="B10" t="str">
            <v>月份：2004.04-2004.04</v>
          </cell>
          <cell r="C10" t="str">
            <v>资产小计</v>
          </cell>
          <cell r="F10">
            <v>484022.75</v>
          </cell>
          <cell r="G10">
            <v>0</v>
          </cell>
          <cell r="H10">
            <v>29170</v>
          </cell>
          <cell r="I10">
            <v>71991.009999999995</v>
          </cell>
          <cell r="J10">
            <v>441201.74</v>
          </cell>
          <cell r="K10">
            <v>0</v>
          </cell>
        </row>
        <row r="11">
          <cell r="A11" t="str">
            <v>2004</v>
          </cell>
          <cell r="B11" t="str">
            <v>月份：2004.04-2004.04</v>
          </cell>
          <cell r="C11" t="str">
            <v>合计</v>
          </cell>
          <cell r="F11">
            <v>484022.75</v>
          </cell>
          <cell r="G11">
            <v>0</v>
          </cell>
          <cell r="H11">
            <v>29170</v>
          </cell>
          <cell r="I11">
            <v>71991.009999999995</v>
          </cell>
          <cell r="J11">
            <v>441201.74</v>
          </cell>
          <cell r="K11">
            <v>0</v>
          </cell>
        </row>
      </sheetData>
      <sheetData sheetId="9"/>
      <sheetData sheetId="10"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月份：2004.04-2004.04</v>
          </cell>
          <cell r="C2" t="str">
            <v>2151</v>
          </cell>
          <cell r="D2" t="str">
            <v>应付工资</v>
          </cell>
          <cell r="F2">
            <v>0</v>
          </cell>
          <cell r="G2">
            <v>170000</v>
          </cell>
          <cell r="H2">
            <v>201642.12</v>
          </cell>
          <cell r="I2">
            <v>233284.12</v>
          </cell>
          <cell r="J2">
            <v>0</v>
          </cell>
          <cell r="K2">
            <v>201642</v>
          </cell>
        </row>
        <row r="3">
          <cell r="A3" t="str">
            <v>2004</v>
          </cell>
          <cell r="B3" t="str">
            <v>月份：2004.04-2004.04</v>
          </cell>
          <cell r="C3" t="str">
            <v>2171</v>
          </cell>
          <cell r="D3" t="str">
            <v>应交税金</v>
          </cell>
          <cell r="F3">
            <v>160706.26</v>
          </cell>
          <cell r="G3">
            <v>0</v>
          </cell>
          <cell r="H3">
            <v>297439.03999999998</v>
          </cell>
          <cell r="I3">
            <v>857679.33</v>
          </cell>
          <cell r="J3">
            <v>0</v>
          </cell>
          <cell r="K3">
            <v>399534.03</v>
          </cell>
        </row>
        <row r="4">
          <cell r="A4" t="str">
            <v>2004</v>
          </cell>
          <cell r="B4" t="str">
            <v>月份：2004.04-2004.04</v>
          </cell>
          <cell r="C4" t="str">
            <v>217110</v>
          </cell>
          <cell r="D4" t="str">
            <v xml:space="preserve">  应交增值税</v>
          </cell>
          <cell r="F4">
            <v>200409.75</v>
          </cell>
          <cell r="G4">
            <v>0</v>
          </cell>
          <cell r="H4">
            <v>277262.7</v>
          </cell>
          <cell r="I4">
            <v>849491.49</v>
          </cell>
          <cell r="J4">
            <v>0</v>
          </cell>
          <cell r="K4">
            <v>371819.04</v>
          </cell>
        </row>
        <row r="5">
          <cell r="A5" t="str">
            <v>2004</v>
          </cell>
          <cell r="B5" t="str">
            <v>月份：2004.04-2004.04</v>
          </cell>
          <cell r="C5" t="str">
            <v>217120</v>
          </cell>
          <cell r="D5" t="str">
            <v xml:space="preserve">  未交增值税</v>
          </cell>
          <cell r="F5">
            <v>0</v>
          </cell>
          <cell r="G5">
            <v>21587.01</v>
          </cell>
          <cell r="H5">
            <v>0</v>
          </cell>
          <cell r="I5">
            <v>0</v>
          </cell>
          <cell r="J5">
            <v>0</v>
          </cell>
          <cell r="K5">
            <v>21587.01</v>
          </cell>
        </row>
        <row r="6">
          <cell r="A6" t="str">
            <v>2004</v>
          </cell>
          <cell r="B6" t="str">
            <v>月份：2004.04-2004.04</v>
          </cell>
          <cell r="C6" t="str">
            <v>217140</v>
          </cell>
          <cell r="D6" t="str">
            <v xml:space="preserve">  应交企业所得税</v>
          </cell>
          <cell r="F6">
            <v>0</v>
          </cell>
          <cell r="G6">
            <v>12761.96</v>
          </cell>
          <cell r="H6">
            <v>12761.5</v>
          </cell>
          <cell r="I6">
            <v>0</v>
          </cell>
          <cell r="J6">
            <v>0</v>
          </cell>
          <cell r="K6">
            <v>0.46</v>
          </cell>
        </row>
        <row r="7">
          <cell r="A7" t="str">
            <v>2004</v>
          </cell>
          <cell r="B7" t="str">
            <v>月份：2004.04-2004.04</v>
          </cell>
          <cell r="C7" t="str">
            <v>217150</v>
          </cell>
          <cell r="D7" t="str">
            <v xml:space="preserve">  应交城市维护建设税</v>
          </cell>
          <cell r="F7">
            <v>0</v>
          </cell>
          <cell r="G7">
            <v>0</v>
          </cell>
          <cell r="H7">
            <v>0</v>
          </cell>
          <cell r="I7">
            <v>0</v>
          </cell>
          <cell r="J7">
            <v>0</v>
          </cell>
          <cell r="K7">
            <v>0</v>
          </cell>
        </row>
        <row r="8">
          <cell r="A8" t="str">
            <v>2004</v>
          </cell>
          <cell r="B8" t="str">
            <v>月份：2004.04-2004.04</v>
          </cell>
          <cell r="C8" t="str">
            <v>217180</v>
          </cell>
          <cell r="D8" t="str">
            <v xml:space="preserve">  应交个人所得税</v>
          </cell>
          <cell r="F8">
            <v>0</v>
          </cell>
          <cell r="G8">
            <v>5354.52</v>
          </cell>
          <cell r="H8">
            <v>7414.84</v>
          </cell>
          <cell r="I8">
            <v>8187.84</v>
          </cell>
          <cell r="J8">
            <v>0</v>
          </cell>
          <cell r="K8">
            <v>6127.52</v>
          </cell>
        </row>
        <row r="9">
          <cell r="A9" t="str">
            <v>2004</v>
          </cell>
          <cell r="B9" t="str">
            <v>月份：2004.04-2004.04</v>
          </cell>
          <cell r="C9" t="str">
            <v>2181</v>
          </cell>
          <cell r="D9" t="str">
            <v>其他应付款</v>
          </cell>
          <cell r="F9">
            <v>0</v>
          </cell>
          <cell r="G9">
            <v>361203.26</v>
          </cell>
          <cell r="H9">
            <v>4207</v>
          </cell>
          <cell r="I9">
            <v>12980.37</v>
          </cell>
          <cell r="J9">
            <v>0</v>
          </cell>
          <cell r="K9">
            <v>369976.63</v>
          </cell>
        </row>
        <row r="10">
          <cell r="A10" t="str">
            <v>2004</v>
          </cell>
          <cell r="B10" t="str">
            <v>月份：2004.04-2004.04</v>
          </cell>
          <cell r="C10" t="str">
            <v>218110</v>
          </cell>
          <cell r="D10" t="str">
            <v xml:space="preserve">  中华制漆（深圳）有限公司-杂项</v>
          </cell>
          <cell r="F10">
            <v>0</v>
          </cell>
          <cell r="G10">
            <v>0</v>
          </cell>
          <cell r="H10">
            <v>0</v>
          </cell>
          <cell r="I10">
            <v>0</v>
          </cell>
          <cell r="J10">
            <v>0</v>
          </cell>
          <cell r="K10">
            <v>0</v>
          </cell>
        </row>
        <row r="11">
          <cell r="A11" t="str">
            <v>2004</v>
          </cell>
          <cell r="B11" t="str">
            <v>月份：2004.04-2004.04</v>
          </cell>
          <cell r="C11" t="str">
            <v>218120</v>
          </cell>
          <cell r="D11" t="str">
            <v xml:space="preserve">  中华制漆（深圳）有限公司-承包费</v>
          </cell>
          <cell r="F11">
            <v>0</v>
          </cell>
          <cell r="G11">
            <v>0</v>
          </cell>
          <cell r="H11">
            <v>0</v>
          </cell>
          <cell r="I11">
            <v>0</v>
          </cell>
          <cell r="J11">
            <v>0</v>
          </cell>
          <cell r="K11">
            <v>0</v>
          </cell>
        </row>
        <row r="12">
          <cell r="A12" t="str">
            <v>2004</v>
          </cell>
          <cell r="B12" t="str">
            <v>月份：2004.04-2004.04</v>
          </cell>
          <cell r="C12" t="str">
            <v>218140</v>
          </cell>
          <cell r="D12" t="str">
            <v xml:space="preserve">  中华制漆（深圳）有限公司-特殊加工</v>
          </cell>
          <cell r="F12">
            <v>0</v>
          </cell>
          <cell r="G12">
            <v>0</v>
          </cell>
          <cell r="H12">
            <v>0</v>
          </cell>
          <cell r="I12">
            <v>0</v>
          </cell>
          <cell r="J12">
            <v>0</v>
          </cell>
          <cell r="K12">
            <v>0</v>
          </cell>
        </row>
        <row r="13">
          <cell r="A13" t="str">
            <v>2004</v>
          </cell>
          <cell r="B13" t="str">
            <v>月份：2004.04-2004.04</v>
          </cell>
          <cell r="C13" t="str">
            <v>218170</v>
          </cell>
          <cell r="D13" t="str">
            <v xml:space="preserve">  扣缴税</v>
          </cell>
          <cell r="F13">
            <v>0</v>
          </cell>
          <cell r="G13">
            <v>0</v>
          </cell>
          <cell r="H13">
            <v>0</v>
          </cell>
          <cell r="I13">
            <v>0</v>
          </cell>
          <cell r="J13">
            <v>0</v>
          </cell>
          <cell r="K13">
            <v>0</v>
          </cell>
        </row>
        <row r="14">
          <cell r="A14" t="str">
            <v>2004</v>
          </cell>
          <cell r="B14" t="str">
            <v>月份：2004.04-2004.04</v>
          </cell>
          <cell r="C14" t="str">
            <v>218190</v>
          </cell>
          <cell r="D14" t="str">
            <v xml:space="preserve">  其它</v>
          </cell>
          <cell r="F14">
            <v>0</v>
          </cell>
          <cell r="G14">
            <v>361203.26</v>
          </cell>
          <cell r="H14">
            <v>4207</v>
          </cell>
          <cell r="I14">
            <v>12980.37</v>
          </cell>
          <cell r="J14">
            <v>0</v>
          </cell>
          <cell r="K14">
            <v>369976.63</v>
          </cell>
        </row>
        <row r="15">
          <cell r="A15" t="str">
            <v>2004</v>
          </cell>
          <cell r="B15" t="str">
            <v>月份：2004.04-2004.04</v>
          </cell>
          <cell r="C15" t="str">
            <v>2191</v>
          </cell>
          <cell r="D15" t="str">
            <v>预提费用</v>
          </cell>
          <cell r="F15">
            <v>0</v>
          </cell>
          <cell r="G15">
            <v>5813745.29</v>
          </cell>
          <cell r="H15">
            <v>180320.67</v>
          </cell>
          <cell r="I15">
            <v>555882.66</v>
          </cell>
          <cell r="J15">
            <v>0</v>
          </cell>
          <cell r="K15">
            <v>6189307.2800000003</v>
          </cell>
        </row>
        <row r="16">
          <cell r="A16" t="str">
            <v>2004</v>
          </cell>
          <cell r="B16" t="str">
            <v>月份：2004.04-2004.04</v>
          </cell>
          <cell r="C16" t="str">
            <v>219110</v>
          </cell>
          <cell r="D16" t="str">
            <v xml:space="preserve">  年终奖</v>
          </cell>
          <cell r="F16">
            <v>0</v>
          </cell>
          <cell r="G16">
            <v>80055.490000000005</v>
          </cell>
          <cell r="H16">
            <v>0</v>
          </cell>
          <cell r="I16">
            <v>19857</v>
          </cell>
          <cell r="J16">
            <v>0</v>
          </cell>
          <cell r="K16">
            <v>99912.49</v>
          </cell>
        </row>
        <row r="17">
          <cell r="A17" t="str">
            <v>2004</v>
          </cell>
          <cell r="B17" t="str">
            <v>月份：2004.04-2004.04</v>
          </cell>
          <cell r="C17" t="str">
            <v>219111</v>
          </cell>
          <cell r="D17" t="str">
            <v xml:space="preserve">  奖励金</v>
          </cell>
          <cell r="F17">
            <v>0</v>
          </cell>
          <cell r="G17">
            <v>605692.41</v>
          </cell>
          <cell r="H17">
            <v>60459.67</v>
          </cell>
          <cell r="I17">
            <v>39713</v>
          </cell>
          <cell r="J17">
            <v>0</v>
          </cell>
          <cell r="K17">
            <v>584945.74</v>
          </cell>
        </row>
        <row r="18">
          <cell r="A18" t="str">
            <v>2004</v>
          </cell>
          <cell r="B18" t="str">
            <v>月份：2004.04-2004.04</v>
          </cell>
          <cell r="C18" t="str">
            <v>219114</v>
          </cell>
          <cell r="D18" t="str">
            <v xml:space="preserve">  人头费</v>
          </cell>
          <cell r="F18">
            <v>0</v>
          </cell>
          <cell r="G18">
            <v>18421.03</v>
          </cell>
          <cell r="H18">
            <v>0</v>
          </cell>
          <cell r="I18">
            <v>0</v>
          </cell>
          <cell r="J18">
            <v>0</v>
          </cell>
          <cell r="K18">
            <v>18421.03</v>
          </cell>
        </row>
        <row r="19">
          <cell r="A19" t="str">
            <v>2004</v>
          </cell>
          <cell r="B19" t="str">
            <v>月份：2004.04-2004.04</v>
          </cell>
          <cell r="C19" t="str">
            <v>219115</v>
          </cell>
          <cell r="D19" t="str">
            <v xml:space="preserve">  审计费</v>
          </cell>
          <cell r="F19">
            <v>0</v>
          </cell>
          <cell r="G19">
            <v>233105.95</v>
          </cell>
          <cell r="H19">
            <v>0</v>
          </cell>
          <cell r="I19">
            <v>15540</v>
          </cell>
          <cell r="J19">
            <v>0</v>
          </cell>
          <cell r="K19">
            <v>248645.95</v>
          </cell>
        </row>
        <row r="20">
          <cell r="A20" t="str">
            <v>2004</v>
          </cell>
          <cell r="B20" t="str">
            <v>月份：2004.04-2004.04</v>
          </cell>
          <cell r="C20" t="str">
            <v>219117</v>
          </cell>
          <cell r="D20" t="str">
            <v xml:space="preserve">  特许权使用费</v>
          </cell>
          <cell r="F20">
            <v>0</v>
          </cell>
          <cell r="G20">
            <v>512015.84</v>
          </cell>
          <cell r="H20">
            <v>0</v>
          </cell>
          <cell r="I20">
            <v>234413.55</v>
          </cell>
          <cell r="J20">
            <v>0</v>
          </cell>
          <cell r="K20">
            <v>746429.39</v>
          </cell>
        </row>
        <row r="21">
          <cell r="A21" t="str">
            <v>2004</v>
          </cell>
          <cell r="B21" t="str">
            <v>月份：2004.04-2004.04</v>
          </cell>
          <cell r="C21" t="str">
            <v>219121</v>
          </cell>
          <cell r="D21" t="str">
            <v xml:space="preserve">  卷钢类销售折扣</v>
          </cell>
          <cell r="F21">
            <v>0</v>
          </cell>
          <cell r="G21">
            <v>853644.43</v>
          </cell>
          <cell r="H21">
            <v>0</v>
          </cell>
          <cell r="I21">
            <v>-83832.479999999996</v>
          </cell>
          <cell r="J21">
            <v>0</v>
          </cell>
          <cell r="K21">
            <v>769811.95</v>
          </cell>
        </row>
        <row r="22">
          <cell r="A22" t="str">
            <v>2004</v>
          </cell>
          <cell r="B22" t="str">
            <v>月份：2004.04-2004.04</v>
          </cell>
          <cell r="C22" t="str">
            <v>219122</v>
          </cell>
          <cell r="D22" t="str">
            <v xml:space="preserve">  福利费（国内）</v>
          </cell>
          <cell r="F22">
            <v>0</v>
          </cell>
          <cell r="G22">
            <v>64620.72</v>
          </cell>
          <cell r="H22">
            <v>30355.18</v>
          </cell>
          <cell r="I22">
            <v>27325.58</v>
          </cell>
          <cell r="J22">
            <v>0</v>
          </cell>
          <cell r="K22">
            <v>61591.12</v>
          </cell>
        </row>
        <row r="23">
          <cell r="A23" t="str">
            <v>2004</v>
          </cell>
          <cell r="B23" t="str">
            <v>月份：2004.04-2004.04</v>
          </cell>
          <cell r="C23" t="str">
            <v>219123</v>
          </cell>
          <cell r="D23" t="str">
            <v xml:space="preserve">  津贴</v>
          </cell>
          <cell r="F23">
            <v>0</v>
          </cell>
          <cell r="G23">
            <v>20699</v>
          </cell>
          <cell r="H23">
            <v>24810</v>
          </cell>
          <cell r="I23">
            <v>28199</v>
          </cell>
          <cell r="J23">
            <v>0</v>
          </cell>
          <cell r="K23">
            <v>24088</v>
          </cell>
        </row>
        <row r="24">
          <cell r="A24" t="str">
            <v>2004</v>
          </cell>
          <cell r="B24" t="str">
            <v>月份：2004.04-2004.04</v>
          </cell>
          <cell r="C24" t="str">
            <v>219124</v>
          </cell>
          <cell r="D24" t="str">
            <v xml:space="preserve">  福利费（外籍）</v>
          </cell>
          <cell r="F24">
            <v>0</v>
          </cell>
          <cell r="G24">
            <v>28677</v>
          </cell>
          <cell r="H24">
            <v>28595.02</v>
          </cell>
          <cell r="I24">
            <v>26313.02</v>
          </cell>
          <cell r="J24">
            <v>0</v>
          </cell>
          <cell r="K24">
            <v>26395</v>
          </cell>
        </row>
        <row r="25">
          <cell r="A25" t="str">
            <v>2004</v>
          </cell>
          <cell r="B25" t="str">
            <v>月份：2004.04-2004.04</v>
          </cell>
          <cell r="C25" t="str">
            <v>219125</v>
          </cell>
          <cell r="D25" t="str">
            <v xml:space="preserve">  赔偿费</v>
          </cell>
          <cell r="F25">
            <v>0</v>
          </cell>
          <cell r="G25">
            <v>182558.88</v>
          </cell>
          <cell r="H25">
            <v>0</v>
          </cell>
          <cell r="I25">
            <v>0</v>
          </cell>
          <cell r="J25">
            <v>0</v>
          </cell>
          <cell r="K25">
            <v>182558.88</v>
          </cell>
        </row>
        <row r="26">
          <cell r="A26" t="str">
            <v>2004</v>
          </cell>
          <cell r="B26" t="str">
            <v>月份：2004.04-2004.04</v>
          </cell>
          <cell r="C26" t="str">
            <v>219126</v>
          </cell>
          <cell r="D26" t="str">
            <v xml:space="preserve">  塑胶类销售折扣</v>
          </cell>
          <cell r="F26">
            <v>0</v>
          </cell>
          <cell r="G26">
            <v>17204.29</v>
          </cell>
          <cell r="H26">
            <v>728.21</v>
          </cell>
          <cell r="I26">
            <v>28191.279999999999</v>
          </cell>
          <cell r="J26">
            <v>0</v>
          </cell>
          <cell r="K26">
            <v>44667.360000000001</v>
          </cell>
        </row>
        <row r="27">
          <cell r="A27" t="str">
            <v>2004</v>
          </cell>
          <cell r="B27" t="str">
            <v>月份：2004.04-2004.04</v>
          </cell>
          <cell r="C27" t="str">
            <v>219128</v>
          </cell>
          <cell r="D27" t="str">
            <v xml:space="preserve">  存货清理费用</v>
          </cell>
          <cell r="F27">
            <v>0</v>
          </cell>
          <cell r="G27">
            <v>28875.52</v>
          </cell>
          <cell r="H27">
            <v>0</v>
          </cell>
          <cell r="I27">
            <v>0</v>
          </cell>
          <cell r="J27">
            <v>0</v>
          </cell>
          <cell r="K27">
            <v>28875.52</v>
          </cell>
        </row>
        <row r="28">
          <cell r="A28" t="str">
            <v>2004</v>
          </cell>
          <cell r="B28" t="str">
            <v>月份：2004.04-2004.04</v>
          </cell>
          <cell r="C28" t="str">
            <v>219129</v>
          </cell>
          <cell r="D28" t="str">
            <v xml:space="preserve">  存货报废增值税</v>
          </cell>
          <cell r="F28">
            <v>0</v>
          </cell>
          <cell r="G28">
            <v>653736.11</v>
          </cell>
          <cell r="H28">
            <v>0</v>
          </cell>
          <cell r="I28">
            <v>0</v>
          </cell>
          <cell r="J28">
            <v>0</v>
          </cell>
          <cell r="K28">
            <v>653736.11</v>
          </cell>
        </row>
        <row r="29">
          <cell r="A29" t="str">
            <v>2004</v>
          </cell>
          <cell r="B29" t="str">
            <v>月份：2004.04-2004.04</v>
          </cell>
          <cell r="C29" t="str">
            <v>219130</v>
          </cell>
          <cell r="D29" t="str">
            <v xml:space="preserve">  关税</v>
          </cell>
          <cell r="F29">
            <v>0</v>
          </cell>
          <cell r="G29">
            <v>332076.88</v>
          </cell>
          <cell r="H29">
            <v>13812.59</v>
          </cell>
          <cell r="I29">
            <v>156229.41</v>
          </cell>
          <cell r="J29">
            <v>0</v>
          </cell>
          <cell r="K29">
            <v>474493.7</v>
          </cell>
        </row>
        <row r="30">
          <cell r="A30" t="str">
            <v>2004</v>
          </cell>
          <cell r="B30" t="str">
            <v>月份：2004.04-2004.04</v>
          </cell>
          <cell r="C30" t="str">
            <v>219132</v>
          </cell>
          <cell r="D30" t="str">
            <v xml:space="preserve">  运输费</v>
          </cell>
          <cell r="F30">
            <v>0</v>
          </cell>
          <cell r="G30">
            <v>15253.84</v>
          </cell>
          <cell r="H30">
            <v>0</v>
          </cell>
          <cell r="I30">
            <v>66453.3</v>
          </cell>
          <cell r="J30">
            <v>0</v>
          </cell>
          <cell r="K30">
            <v>81707.14</v>
          </cell>
        </row>
        <row r="31">
          <cell r="A31" t="str">
            <v>2004</v>
          </cell>
          <cell r="B31" t="str">
            <v>月份：2004.04-2004.04</v>
          </cell>
          <cell r="C31" t="str">
            <v>219133</v>
          </cell>
          <cell r="D31" t="str">
            <v xml:space="preserve">  利息支出</v>
          </cell>
          <cell r="F31">
            <v>0</v>
          </cell>
          <cell r="G31">
            <v>24080</v>
          </cell>
          <cell r="H31">
            <v>21560</v>
          </cell>
          <cell r="I31">
            <v>-2520</v>
          </cell>
          <cell r="J31">
            <v>0</v>
          </cell>
          <cell r="K31">
            <v>0</v>
          </cell>
        </row>
        <row r="32">
          <cell r="A32" t="str">
            <v>2004</v>
          </cell>
          <cell r="B32" t="str">
            <v>月份：2004.04-2004.04</v>
          </cell>
          <cell r="C32" t="str">
            <v>219134</v>
          </cell>
          <cell r="D32" t="str">
            <v xml:space="preserve">  顾问费</v>
          </cell>
          <cell r="F32">
            <v>0</v>
          </cell>
          <cell r="G32">
            <v>35000</v>
          </cell>
          <cell r="H32">
            <v>0</v>
          </cell>
          <cell r="I32">
            <v>0</v>
          </cell>
          <cell r="J32">
            <v>0</v>
          </cell>
          <cell r="K32">
            <v>35000</v>
          </cell>
        </row>
        <row r="33">
          <cell r="A33" t="str">
            <v>2004</v>
          </cell>
          <cell r="B33" t="str">
            <v>月份：2004.04-2004.04</v>
          </cell>
          <cell r="C33" t="str">
            <v>219135</v>
          </cell>
          <cell r="D33" t="str">
            <v xml:space="preserve">  工程</v>
          </cell>
          <cell r="F33">
            <v>0</v>
          </cell>
          <cell r="G33">
            <v>2108027.9</v>
          </cell>
          <cell r="H33">
            <v>0</v>
          </cell>
          <cell r="I33">
            <v>0</v>
          </cell>
          <cell r="J33">
            <v>0</v>
          </cell>
          <cell r="K33">
            <v>2108027.9</v>
          </cell>
        </row>
        <row r="34">
          <cell r="A34" t="str">
            <v>2004</v>
          </cell>
          <cell r="B34" t="str">
            <v>月份：2004.04-2004.04</v>
          </cell>
          <cell r="C34" t="str">
            <v>负债小计</v>
          </cell>
          <cell r="F34">
            <v>160706.26</v>
          </cell>
          <cell r="G34">
            <v>6344948.5499999998</v>
          </cell>
          <cell r="H34">
            <v>683608.83</v>
          </cell>
          <cell r="I34">
            <v>1659826.48</v>
          </cell>
          <cell r="J34">
            <v>0</v>
          </cell>
          <cell r="K34">
            <v>7160459.9400000004</v>
          </cell>
        </row>
        <row r="35">
          <cell r="A35" t="str">
            <v>2004</v>
          </cell>
          <cell r="B35" t="str">
            <v>月份：2004.04-2004.04</v>
          </cell>
          <cell r="C35" t="str">
            <v>合计</v>
          </cell>
          <cell r="F35">
            <v>160706.26</v>
          </cell>
          <cell r="G35">
            <v>6344948.5499999998</v>
          </cell>
          <cell r="H35">
            <v>683608.83</v>
          </cell>
          <cell r="I35">
            <v>1659826.48</v>
          </cell>
          <cell r="J35">
            <v>0</v>
          </cell>
          <cell r="K35">
            <v>7160459.9400000004</v>
          </cell>
        </row>
      </sheetData>
      <sheetData sheetId="11" refreshError="1">
        <row r="1">
          <cell r="A1" t="str">
            <v>科目编码</v>
          </cell>
          <cell r="B1" t="str">
            <v>科目名称</v>
          </cell>
          <cell r="C1" t="str">
            <v>BIC SZ</v>
          </cell>
          <cell r="D1" t="str">
            <v>BIC GZ</v>
          </cell>
          <cell r="E1" t="str">
            <v>Consolidation</v>
          </cell>
        </row>
        <row r="2">
          <cell r="A2" t="str">
            <v>550210</v>
          </cell>
          <cell r="B2" t="str">
            <v>工资及其它</v>
          </cell>
          <cell r="C2">
            <v>1403893.15</v>
          </cell>
          <cell r="E2">
            <v>1403893.15</v>
          </cell>
        </row>
        <row r="3">
          <cell r="A3" t="str">
            <v>550213</v>
          </cell>
          <cell r="B3" t="str">
            <v>用车费用</v>
          </cell>
          <cell r="C3">
            <v>149987.1</v>
          </cell>
          <cell r="E3">
            <v>149987.1</v>
          </cell>
        </row>
        <row r="4">
          <cell r="A4" t="str">
            <v>550220</v>
          </cell>
          <cell r="B4" t="str">
            <v>应酬费</v>
          </cell>
          <cell r="C4">
            <v>3010.44</v>
          </cell>
          <cell r="D4">
            <v>2214</v>
          </cell>
          <cell r="E4">
            <v>5224.4400000000005</v>
          </cell>
        </row>
        <row r="5">
          <cell r="A5" t="str">
            <v>550221</v>
          </cell>
          <cell r="B5" t="str">
            <v>差旅费（国内）</v>
          </cell>
          <cell r="C5">
            <v>154785.10999999999</v>
          </cell>
          <cell r="D5">
            <v>4279</v>
          </cell>
          <cell r="E5">
            <v>159064.10999999999</v>
          </cell>
        </row>
        <row r="6">
          <cell r="A6" t="str">
            <v>550222</v>
          </cell>
          <cell r="B6" t="str">
            <v>差旅费（国外）</v>
          </cell>
          <cell r="C6">
            <v>16367.95</v>
          </cell>
          <cell r="E6">
            <v>16367.95</v>
          </cell>
        </row>
        <row r="7">
          <cell r="A7" t="str">
            <v>550223</v>
          </cell>
          <cell r="B7" t="str">
            <v>培训费</v>
          </cell>
          <cell r="C7">
            <v>600</v>
          </cell>
          <cell r="D7">
            <v>650</v>
          </cell>
          <cell r="E7">
            <v>1250</v>
          </cell>
        </row>
        <row r="8">
          <cell r="A8" t="str">
            <v>550224</v>
          </cell>
          <cell r="B8" t="str">
            <v>员工电话费</v>
          </cell>
          <cell r="C8">
            <v>40204.769999999997</v>
          </cell>
          <cell r="E8">
            <v>40204.769999999997</v>
          </cell>
        </row>
        <row r="9">
          <cell r="A9" t="str">
            <v>550225</v>
          </cell>
          <cell r="B9" t="str">
            <v>个人其他费用</v>
          </cell>
          <cell r="C9">
            <v>84.52</v>
          </cell>
          <cell r="E9">
            <v>84.52</v>
          </cell>
        </row>
        <row r="10">
          <cell r="A10" t="str">
            <v>550226</v>
          </cell>
          <cell r="B10" t="str">
            <v>餐费</v>
          </cell>
          <cell r="C10">
            <v>91758.7</v>
          </cell>
          <cell r="D10">
            <v>120</v>
          </cell>
          <cell r="E10">
            <v>91878.7</v>
          </cell>
        </row>
        <row r="11">
          <cell r="A11" t="str">
            <v>550227</v>
          </cell>
          <cell r="B11" t="str">
            <v>礼品</v>
          </cell>
          <cell r="C11">
            <v>5300</v>
          </cell>
          <cell r="E11">
            <v>5300</v>
          </cell>
        </row>
        <row r="12">
          <cell r="A12" t="str">
            <v>550230</v>
          </cell>
          <cell r="B12" t="str">
            <v>维修费</v>
          </cell>
          <cell r="C12">
            <v>200</v>
          </cell>
          <cell r="E12">
            <v>200</v>
          </cell>
        </row>
        <row r="13">
          <cell r="A13" t="str">
            <v>550231</v>
          </cell>
          <cell r="B13" t="str">
            <v>电费</v>
          </cell>
          <cell r="C13">
            <v>21689.599999999999</v>
          </cell>
          <cell r="E13">
            <v>21689.599999999999</v>
          </cell>
        </row>
        <row r="14">
          <cell r="A14" t="str">
            <v>550232</v>
          </cell>
          <cell r="B14" t="str">
            <v>水费</v>
          </cell>
          <cell r="C14">
            <v>3770.36</v>
          </cell>
          <cell r="E14">
            <v>3770.36</v>
          </cell>
        </row>
        <row r="15">
          <cell r="A15" t="str">
            <v>550233</v>
          </cell>
          <cell r="B15" t="str">
            <v>租金</v>
          </cell>
          <cell r="C15">
            <v>293451.2</v>
          </cell>
          <cell r="D15">
            <v>28444</v>
          </cell>
          <cell r="E15">
            <v>321895.2</v>
          </cell>
        </row>
        <row r="16">
          <cell r="A16" t="str">
            <v>550234</v>
          </cell>
          <cell r="B16" t="str">
            <v>文具印刷费</v>
          </cell>
          <cell r="C16">
            <v>6032.3</v>
          </cell>
          <cell r="D16">
            <v>93</v>
          </cell>
          <cell r="E16">
            <v>6125.3</v>
          </cell>
        </row>
        <row r="17">
          <cell r="A17" t="str">
            <v>550235</v>
          </cell>
          <cell r="B17" t="str">
            <v>电话及传真费</v>
          </cell>
          <cell r="C17">
            <v>40797.65</v>
          </cell>
          <cell r="D17">
            <v>37736</v>
          </cell>
          <cell r="E17">
            <v>78533.649999999994</v>
          </cell>
        </row>
        <row r="18">
          <cell r="A18" t="str">
            <v>550236</v>
          </cell>
          <cell r="B18" t="str">
            <v>邮递费</v>
          </cell>
          <cell r="C18">
            <v>29280.66</v>
          </cell>
          <cell r="D18">
            <v>240</v>
          </cell>
          <cell r="E18">
            <v>29520.66</v>
          </cell>
        </row>
        <row r="19">
          <cell r="A19" t="str">
            <v>550237</v>
          </cell>
          <cell r="B19" t="str">
            <v>物料消耗</v>
          </cell>
          <cell r="C19">
            <v>88354.25</v>
          </cell>
          <cell r="D19">
            <v>3000</v>
          </cell>
          <cell r="E19">
            <v>91354.25</v>
          </cell>
        </row>
        <row r="20">
          <cell r="A20" t="str">
            <v>550238</v>
          </cell>
          <cell r="B20" t="str">
            <v>坏帐准备</v>
          </cell>
          <cell r="C20">
            <v>-127335</v>
          </cell>
          <cell r="E20">
            <v>-127335</v>
          </cell>
        </row>
        <row r="21">
          <cell r="A21" t="str">
            <v>550239</v>
          </cell>
          <cell r="B21" t="str">
            <v>保险</v>
          </cell>
          <cell r="C21">
            <v>51106.65</v>
          </cell>
          <cell r="E21">
            <v>51106.65</v>
          </cell>
        </row>
        <row r="22">
          <cell r="A22" t="str">
            <v>550240</v>
          </cell>
          <cell r="B22" t="str">
            <v>审计费</v>
          </cell>
          <cell r="C22">
            <v>62160</v>
          </cell>
          <cell r="E22">
            <v>62160</v>
          </cell>
        </row>
        <row r="23">
          <cell r="A23" t="str">
            <v>550243</v>
          </cell>
          <cell r="B23" t="str">
            <v>清洁费</v>
          </cell>
          <cell r="C23">
            <v>2000</v>
          </cell>
          <cell r="E23">
            <v>2000</v>
          </cell>
        </row>
        <row r="24">
          <cell r="A24" t="str">
            <v>550244</v>
          </cell>
          <cell r="B24" t="str">
            <v>报关费</v>
          </cell>
          <cell r="C24">
            <v>21027</v>
          </cell>
          <cell r="D24">
            <v>1204</v>
          </cell>
          <cell r="E24">
            <v>22231</v>
          </cell>
        </row>
        <row r="25">
          <cell r="A25" t="str">
            <v>550248</v>
          </cell>
          <cell r="B25" t="str">
            <v>存货损失</v>
          </cell>
          <cell r="C25">
            <v>478513.02</v>
          </cell>
          <cell r="E25">
            <v>478513.02</v>
          </cell>
        </row>
        <row r="26">
          <cell r="A26" t="str">
            <v>550249</v>
          </cell>
          <cell r="B26" t="str">
            <v>办证费</v>
          </cell>
          <cell r="C26">
            <v>54116.5</v>
          </cell>
          <cell r="D26">
            <v>2000</v>
          </cell>
          <cell r="E26">
            <v>56116.5</v>
          </cell>
        </row>
        <row r="27">
          <cell r="A27" t="str">
            <v>550251</v>
          </cell>
          <cell r="B27" t="str">
            <v>报刊费</v>
          </cell>
          <cell r="C27">
            <v>562</v>
          </cell>
          <cell r="E27">
            <v>562</v>
          </cell>
        </row>
        <row r="28">
          <cell r="A28" t="str">
            <v>550255</v>
          </cell>
          <cell r="B28" t="str">
            <v>管理费</v>
          </cell>
          <cell r="C28">
            <v>8156.04</v>
          </cell>
          <cell r="E28">
            <v>8156.04</v>
          </cell>
        </row>
        <row r="29">
          <cell r="A29" t="str">
            <v>550256</v>
          </cell>
          <cell r="B29" t="str">
            <v>印花税</v>
          </cell>
          <cell r="C29">
            <v>8524.9699999999993</v>
          </cell>
          <cell r="E29">
            <v>8524.9699999999993</v>
          </cell>
        </row>
        <row r="30">
          <cell r="A30" t="str">
            <v>550257</v>
          </cell>
          <cell r="B30" t="str">
            <v>招聘费</v>
          </cell>
          <cell r="C30">
            <v>50740</v>
          </cell>
          <cell r="E30">
            <v>50740</v>
          </cell>
        </row>
        <row r="31">
          <cell r="A31" t="str">
            <v>550260</v>
          </cell>
          <cell r="B31" t="str">
            <v>CPS中央服务费</v>
          </cell>
          <cell r="C31">
            <v>472760.87</v>
          </cell>
          <cell r="E31">
            <v>472760.87</v>
          </cell>
        </row>
        <row r="32">
          <cell r="A32" t="str">
            <v>550261</v>
          </cell>
          <cell r="B32" t="str">
            <v>劳动保护费</v>
          </cell>
          <cell r="C32">
            <v>29263.599999999999</v>
          </cell>
          <cell r="E32">
            <v>29263.599999999999</v>
          </cell>
        </row>
        <row r="33">
          <cell r="A33" t="str">
            <v>550263</v>
          </cell>
          <cell r="B33" t="str">
            <v>数据通讯费</v>
          </cell>
          <cell r="C33">
            <v>44203.58</v>
          </cell>
          <cell r="E33">
            <v>44203.58</v>
          </cell>
        </row>
        <row r="34">
          <cell r="A34" t="str">
            <v>550264</v>
          </cell>
          <cell r="B34" t="str">
            <v>软件维护费</v>
          </cell>
          <cell r="C34">
            <v>9135.75</v>
          </cell>
          <cell r="E34">
            <v>9135.75</v>
          </cell>
        </row>
        <row r="35">
          <cell r="A35" t="str">
            <v>550265</v>
          </cell>
          <cell r="B35" t="str">
            <v>软件摊销</v>
          </cell>
          <cell r="C35">
            <v>93215.4</v>
          </cell>
          <cell r="E35">
            <v>93215.4</v>
          </cell>
        </row>
        <row r="36">
          <cell r="A36" t="str">
            <v>550266</v>
          </cell>
          <cell r="B36" t="str">
            <v>环保费</v>
          </cell>
          <cell r="C36">
            <v>5000</v>
          </cell>
          <cell r="E36">
            <v>5000</v>
          </cell>
        </row>
        <row r="37">
          <cell r="A37" t="str">
            <v>550270</v>
          </cell>
          <cell r="B37" t="str">
            <v>研究开发费</v>
          </cell>
          <cell r="C37">
            <v>158106.62</v>
          </cell>
          <cell r="E37">
            <v>158106.62</v>
          </cell>
        </row>
        <row r="38">
          <cell r="B38" t="str">
            <v>咨询费</v>
          </cell>
          <cell r="D38">
            <v>79650</v>
          </cell>
          <cell r="E38">
            <v>79650</v>
          </cell>
        </row>
        <row r="39">
          <cell r="A39" t="str">
            <v>550280</v>
          </cell>
          <cell r="B39" t="str">
            <v>其它</v>
          </cell>
          <cell r="C39">
            <v>34948.199999999997</v>
          </cell>
          <cell r="D39">
            <v>12835.75</v>
          </cell>
          <cell r="E39">
            <v>47783.95</v>
          </cell>
        </row>
        <row r="40">
          <cell r="A40" t="str">
            <v>合计</v>
          </cell>
          <cell r="C40">
            <v>3805772.9600000004</v>
          </cell>
          <cell r="D40">
            <v>172465.75</v>
          </cell>
          <cell r="E40">
            <v>3978238.7100000004</v>
          </cell>
        </row>
      </sheetData>
      <sheetData sheetId="12" refreshError="1">
        <row r="1">
          <cell r="A1" t="str">
            <v>会计年度</v>
          </cell>
          <cell r="B1" t="str">
            <v>会计期间</v>
          </cell>
          <cell r="C1" t="str">
            <v>科目编码</v>
          </cell>
          <cell r="D1" t="str">
            <v>科目名称</v>
          </cell>
          <cell r="E1" t="str">
            <v>本期发生借方</v>
          </cell>
          <cell r="F1" t="str">
            <v>本期发生贷方</v>
          </cell>
        </row>
        <row r="2">
          <cell r="A2" t="str">
            <v>2004</v>
          </cell>
          <cell r="B2" t="str">
            <v>月份：2004.01-2004.04</v>
          </cell>
          <cell r="C2" t="str">
            <v>550110</v>
          </cell>
          <cell r="D2" t="str">
            <v xml:space="preserve">  工资及其它</v>
          </cell>
          <cell r="E2">
            <v>416497</v>
          </cell>
          <cell r="F2">
            <v>416497</v>
          </cell>
        </row>
        <row r="4">
          <cell r="A4" t="str">
            <v>2004</v>
          </cell>
          <cell r="B4" t="str">
            <v>月份：2004.01-2004.04</v>
          </cell>
          <cell r="C4" t="str">
            <v>550112</v>
          </cell>
          <cell r="D4" t="str">
            <v xml:space="preserve">  营业费用-样品及捐赠</v>
          </cell>
          <cell r="E4">
            <v>55258.62</v>
          </cell>
          <cell r="F4">
            <v>55258.62</v>
          </cell>
        </row>
        <row r="5">
          <cell r="A5" t="str">
            <v>2004</v>
          </cell>
          <cell r="B5" t="str">
            <v>月份：2004.01-2004.04</v>
          </cell>
          <cell r="C5" t="str">
            <v>550113</v>
          </cell>
          <cell r="D5" t="str">
            <v xml:space="preserve">  运输费</v>
          </cell>
          <cell r="E5">
            <v>105667.67</v>
          </cell>
          <cell r="F5">
            <v>105667.67</v>
          </cell>
        </row>
        <row r="6">
          <cell r="A6" t="str">
            <v>2004</v>
          </cell>
          <cell r="B6" t="str">
            <v>月份：2004.01-2004.04</v>
          </cell>
          <cell r="C6" t="str">
            <v>550120</v>
          </cell>
          <cell r="D6" t="str">
            <v xml:space="preserve">  应酬费</v>
          </cell>
          <cell r="E6">
            <v>107749.22</v>
          </cell>
          <cell r="F6">
            <v>107749.22</v>
          </cell>
        </row>
        <row r="7">
          <cell r="A7" t="str">
            <v>2004</v>
          </cell>
          <cell r="B7" t="str">
            <v>月份：2004.01-2004.04</v>
          </cell>
          <cell r="C7" t="str">
            <v>550121</v>
          </cell>
          <cell r="D7" t="str">
            <v xml:space="preserve">  差旅费（国内）</v>
          </cell>
          <cell r="E7">
            <v>134086.69</v>
          </cell>
          <cell r="F7">
            <v>134086.69</v>
          </cell>
        </row>
        <row r="8">
          <cell r="A8" t="str">
            <v>2004</v>
          </cell>
          <cell r="B8" t="str">
            <v>月份：2004.01-2004.04</v>
          </cell>
          <cell r="C8" t="str">
            <v>550122</v>
          </cell>
          <cell r="D8" t="str">
            <v xml:space="preserve">  差旅费（国外）</v>
          </cell>
          <cell r="E8">
            <v>3361.72</v>
          </cell>
          <cell r="F8">
            <v>3361.72</v>
          </cell>
        </row>
        <row r="9">
          <cell r="A9" t="str">
            <v>2004</v>
          </cell>
          <cell r="B9" t="str">
            <v>月份：2004.01-2004.04</v>
          </cell>
          <cell r="C9" t="str">
            <v>550124</v>
          </cell>
          <cell r="D9" t="str">
            <v xml:space="preserve">  员工电话费</v>
          </cell>
          <cell r="E9">
            <v>35805.1</v>
          </cell>
          <cell r="F9">
            <v>35805.1</v>
          </cell>
        </row>
        <row r="10">
          <cell r="A10" t="str">
            <v>2004</v>
          </cell>
          <cell r="B10" t="str">
            <v>月份：2004.01-2004.04</v>
          </cell>
          <cell r="C10" t="str">
            <v>550126</v>
          </cell>
          <cell r="D10" t="str">
            <v xml:space="preserve">  礼品</v>
          </cell>
          <cell r="E10">
            <v>15173.27</v>
          </cell>
          <cell r="F10">
            <v>15173.27</v>
          </cell>
        </row>
        <row r="11">
          <cell r="A11" t="str">
            <v>2004</v>
          </cell>
          <cell r="B11" t="str">
            <v>月份：2004.01-2004.04</v>
          </cell>
          <cell r="C11" t="str">
            <v>550127</v>
          </cell>
          <cell r="D11" t="str">
            <v xml:space="preserve">  空运费</v>
          </cell>
          <cell r="E11">
            <v>18902.3</v>
          </cell>
          <cell r="F11">
            <v>18902.3</v>
          </cell>
        </row>
        <row r="12">
          <cell r="A12" t="str">
            <v>2004</v>
          </cell>
          <cell r="B12" t="str">
            <v>月份：2004.01-2004.04</v>
          </cell>
          <cell r="C12" t="str">
            <v>550129</v>
          </cell>
          <cell r="D12" t="str">
            <v xml:space="preserve">  销售折扣-耐普罗</v>
          </cell>
          <cell r="E12">
            <v>44667.17</v>
          </cell>
          <cell r="F12">
            <v>44667.17</v>
          </cell>
        </row>
        <row r="13">
          <cell r="A13" t="str">
            <v>2004</v>
          </cell>
          <cell r="B13" t="str">
            <v>月份：2004.01-2004.04</v>
          </cell>
          <cell r="C13" t="str">
            <v>550131</v>
          </cell>
          <cell r="D13" t="str">
            <v xml:space="preserve">  销售折扣-卷钢</v>
          </cell>
          <cell r="E13">
            <v>364810.68</v>
          </cell>
          <cell r="F13">
            <v>364810.68</v>
          </cell>
        </row>
        <row r="14">
          <cell r="A14" t="str">
            <v>2004</v>
          </cell>
          <cell r="B14" t="str">
            <v>月份：2004.01-2004.04</v>
          </cell>
          <cell r="C14" t="str">
            <v>550135</v>
          </cell>
          <cell r="D14" t="str">
            <v xml:space="preserve">  物料消耗</v>
          </cell>
          <cell r="E14">
            <v>667.4</v>
          </cell>
          <cell r="F14">
            <v>667.4</v>
          </cell>
        </row>
        <row r="15">
          <cell r="A15" t="str">
            <v>2004</v>
          </cell>
          <cell r="B15" t="str">
            <v>月份：2004.01-2004.04</v>
          </cell>
          <cell r="C15" t="str">
            <v>550136</v>
          </cell>
          <cell r="D15" t="str">
            <v xml:space="preserve">  租金</v>
          </cell>
          <cell r="E15">
            <v>17200</v>
          </cell>
          <cell r="F15">
            <v>17200</v>
          </cell>
        </row>
        <row r="16">
          <cell r="A16" t="str">
            <v>2004</v>
          </cell>
          <cell r="B16" t="str">
            <v>月份：2004.01-2004.04</v>
          </cell>
          <cell r="C16" t="str">
            <v>550137</v>
          </cell>
          <cell r="D16" t="str">
            <v xml:space="preserve">  赔偿费</v>
          </cell>
          <cell r="E16">
            <v>-45584.08</v>
          </cell>
          <cell r="F16">
            <v>-45584.08</v>
          </cell>
        </row>
        <row r="17">
          <cell r="A17" t="str">
            <v>2004</v>
          </cell>
          <cell r="B17" t="str">
            <v>月份：2004.01-2004.04</v>
          </cell>
          <cell r="C17" t="str">
            <v>550138</v>
          </cell>
          <cell r="D17" t="str">
            <v xml:space="preserve">  餐费</v>
          </cell>
          <cell r="E17">
            <v>21303.06</v>
          </cell>
          <cell r="F17">
            <v>21303.06</v>
          </cell>
        </row>
        <row r="18">
          <cell r="A18" t="str">
            <v>2004</v>
          </cell>
          <cell r="B18" t="str">
            <v>月份：2004.01-2004.04</v>
          </cell>
          <cell r="C18" t="str">
            <v>550139</v>
          </cell>
          <cell r="D18" t="str">
            <v xml:space="preserve">  特许权使用费</v>
          </cell>
          <cell r="E18">
            <v>746429.01</v>
          </cell>
          <cell r="F18">
            <v>746429.01</v>
          </cell>
        </row>
        <row r="19">
          <cell r="A19" t="str">
            <v>2004</v>
          </cell>
          <cell r="B19" t="str">
            <v>月份：2004.01-2004.04</v>
          </cell>
          <cell r="C19" t="str">
            <v>550140</v>
          </cell>
          <cell r="D19" t="str">
            <v xml:space="preserve">  冲减上年折让</v>
          </cell>
          <cell r="E19">
            <v>-874490.68</v>
          </cell>
          <cell r="F19">
            <v>-874490.68</v>
          </cell>
        </row>
        <row r="20">
          <cell r="A20" t="str">
            <v>2004</v>
          </cell>
          <cell r="B20" t="str">
            <v>月份：2004.01-2004.04</v>
          </cell>
          <cell r="C20" t="str">
            <v>550180</v>
          </cell>
          <cell r="D20" t="str">
            <v xml:space="preserve">  其它</v>
          </cell>
          <cell r="E20">
            <v>460</v>
          </cell>
          <cell r="F20">
            <v>460</v>
          </cell>
        </row>
        <row r="21">
          <cell r="A21" t="str">
            <v>2004</v>
          </cell>
          <cell r="B21" t="str">
            <v>月份：2004.01-2004.04</v>
          </cell>
          <cell r="C21" t="str">
            <v>合计</v>
          </cell>
          <cell r="E21">
            <v>1167964.1499999999</v>
          </cell>
          <cell r="F21">
            <v>1167964.1499999999</v>
          </cell>
        </row>
      </sheetData>
      <sheetData sheetId="13"/>
      <sheetData sheetId="14"/>
      <sheetData sheetId="15"/>
      <sheetData sheetId="16"/>
      <sheetData sheetId="17"/>
      <sheetData sheetId="1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C-BS-COSO"/>
      <sheetName val="PRC-PL-COSO"/>
      <sheetName val="PRC-BS-SZ"/>
      <sheetName val="PRC-BS-GZ"/>
    </sheetNames>
    <sheetDataSet>
      <sheetData sheetId="0" refreshError="1"/>
      <sheetData sheetId="1" refreshError="1"/>
      <sheetData sheetId="2" refreshError="1">
        <row r="1">
          <cell r="A1" t="str">
            <v>资产负债表  BALANCE  SHEET</v>
          </cell>
        </row>
        <row r="2">
          <cell r="A2" t="str">
            <v>贝格工业涂料(深圳)有限公司</v>
          </cell>
        </row>
        <row r="3">
          <cell r="A3" t="str">
            <v>Becker Industrial Coatings ( Shenzhen ) Limited</v>
          </cell>
        </row>
        <row r="4">
          <cell r="A4" t="str">
            <v>币种 Currency In ： RMB</v>
          </cell>
        </row>
        <row r="5">
          <cell r="A5" t="str">
            <v>Date:2004/03/31</v>
          </cell>
        </row>
        <row r="7">
          <cell r="A7" t="str">
            <v>流动资产：CURRENT ASSETS</v>
          </cell>
          <cell r="B7" t="str">
            <v>Opening bal.</v>
          </cell>
          <cell r="C7">
            <v>38078</v>
          </cell>
        </row>
        <row r="8">
          <cell r="A8" t="str">
            <v>========================</v>
          </cell>
        </row>
        <row r="9">
          <cell r="A9" t="str">
            <v xml:space="preserve">  现金  Cash On Hand</v>
          </cell>
          <cell r="B9">
            <v>14694</v>
          </cell>
          <cell r="C9">
            <v>4555.2</v>
          </cell>
        </row>
        <row r="10">
          <cell r="A10" t="str">
            <v xml:space="preserve">  银行存款 Cash In Bank</v>
          </cell>
          <cell r="B10">
            <v>6618412.6600000001</v>
          </cell>
          <cell r="C10">
            <v>4569203.09</v>
          </cell>
        </row>
        <row r="11">
          <cell r="A11" t="str">
            <v xml:space="preserve">  应收票据 Notes Receivable</v>
          </cell>
          <cell r="B11">
            <v>4108829.83</v>
          </cell>
          <cell r="C11">
            <v>1421308</v>
          </cell>
        </row>
        <row r="12">
          <cell r="A12" t="str">
            <v xml:space="preserve">  应收账款 Accounts Receivable</v>
          </cell>
          <cell r="B12">
            <v>17741385.48</v>
          </cell>
          <cell r="C12">
            <v>14492515.279999999</v>
          </cell>
        </row>
        <row r="13">
          <cell r="A13" t="str">
            <v xml:space="preserve">  减:坏账准备Less:Provision for Bad Debts</v>
          </cell>
          <cell r="B13">
            <v>725917.69</v>
          </cell>
          <cell r="C13">
            <v>-598582.68999999994</v>
          </cell>
        </row>
        <row r="14">
          <cell r="A14" t="str">
            <v xml:space="preserve">  存货 Inventories</v>
          </cell>
          <cell r="B14">
            <v>22023945.289999999</v>
          </cell>
          <cell r="C14">
            <v>21863838.539999999</v>
          </cell>
        </row>
        <row r="15">
          <cell r="A15" t="str">
            <v xml:space="preserve">  减:存货准备Less:Stock Provision</v>
          </cell>
          <cell r="B15">
            <v>3845490.61</v>
          </cell>
          <cell r="C15">
            <v>-4054968.61</v>
          </cell>
        </row>
        <row r="16">
          <cell r="A16" t="str">
            <v xml:space="preserve">  其他应收款 Other Receivables</v>
          </cell>
          <cell r="B16">
            <v>1131606.8400000001</v>
          </cell>
          <cell r="C16">
            <v>1643131.05</v>
          </cell>
        </row>
        <row r="17">
          <cell r="A17" t="str">
            <v xml:space="preserve">  流动资产合计  Total Current Assets:</v>
          </cell>
          <cell r="B17">
            <v>47067465.799999997</v>
          </cell>
          <cell r="C17">
            <v>39340999.859999999</v>
          </cell>
        </row>
        <row r="18">
          <cell r="B18">
            <v>0</v>
          </cell>
        </row>
        <row r="19">
          <cell r="A19" t="str">
            <v xml:space="preserve">  固定资产 Fixed Assets</v>
          </cell>
          <cell r="B19">
            <v>3217226.44</v>
          </cell>
          <cell r="C19">
            <v>3278296.44</v>
          </cell>
        </row>
        <row r="20">
          <cell r="A20" t="str">
            <v xml:space="preserve">  减：累计折旧 Less: Accu.Depreciation</v>
          </cell>
          <cell r="B20">
            <v>1396116.03</v>
          </cell>
          <cell r="C20">
            <v>-1634611.94</v>
          </cell>
        </row>
        <row r="21">
          <cell r="A21" t="str">
            <v xml:space="preserve">  固定资产净值 Fixed Assets - Net Value</v>
          </cell>
          <cell r="B21">
            <v>1821110.41</v>
          </cell>
          <cell r="C21">
            <v>1643684.5</v>
          </cell>
        </row>
        <row r="22">
          <cell r="B22">
            <v>0</v>
          </cell>
        </row>
        <row r="23">
          <cell r="A23" t="str">
            <v xml:space="preserve">  在建工程 Construction In Progress</v>
          </cell>
          <cell r="B23">
            <v>18362777.899999999</v>
          </cell>
          <cell r="C23">
            <v>18362777.899999999</v>
          </cell>
        </row>
        <row r="24">
          <cell r="A24" t="str">
            <v xml:space="preserve">  长期待摊费用 Long-term Prepaid Exp.</v>
          </cell>
          <cell r="B24">
            <v>0</v>
          </cell>
          <cell r="C24">
            <v>0</v>
          </cell>
        </row>
        <row r="25">
          <cell r="A25" t="str">
            <v xml:space="preserve">  无形资产 Intangible Assets</v>
          </cell>
          <cell r="B25">
            <v>2753190</v>
          </cell>
          <cell r="C25">
            <v>2753190</v>
          </cell>
        </row>
        <row r="26">
          <cell r="A26" t="str">
            <v xml:space="preserve">  资产合计 Total Assets :</v>
          </cell>
          <cell r="B26">
            <v>70004544.109999999</v>
          </cell>
          <cell r="C26">
            <v>62100652.259999998</v>
          </cell>
        </row>
        <row r="29">
          <cell r="A29" t="str">
            <v>负债  LIABILITIES</v>
          </cell>
        </row>
        <row r="30">
          <cell r="A30" t="str">
            <v>=======================</v>
          </cell>
        </row>
        <row r="31">
          <cell r="A31" t="str">
            <v xml:space="preserve">  短期借款 Short - term Bank Loan</v>
          </cell>
          <cell r="B31">
            <v>2000000</v>
          </cell>
          <cell r="C31">
            <v>0</v>
          </cell>
        </row>
        <row r="32">
          <cell r="A32" t="str">
            <v xml:space="preserve">  应付账款 Accounts Payables</v>
          </cell>
          <cell r="B32">
            <v>17137837.829999998</v>
          </cell>
          <cell r="C32">
            <v>15823423.65</v>
          </cell>
        </row>
        <row r="33">
          <cell r="A33" t="str">
            <v xml:space="preserve">  应付相关公司款 Payables to Affiliates</v>
          </cell>
          <cell r="B33">
            <v>6845311.3799999999</v>
          </cell>
          <cell r="C33">
            <v>6366489.1500000004</v>
          </cell>
        </row>
        <row r="34">
          <cell r="A34" t="str">
            <v xml:space="preserve">  应付股利 Dividend Payables</v>
          </cell>
          <cell r="B34">
            <v>0</v>
          </cell>
          <cell r="C34">
            <v>0</v>
          </cell>
        </row>
        <row r="35">
          <cell r="A35" t="str">
            <v xml:space="preserve">  应交税金 Tax Payables</v>
          </cell>
          <cell r="B35">
            <v>337138.46</v>
          </cell>
          <cell r="C35">
            <v>399534.03</v>
          </cell>
        </row>
        <row r="36">
          <cell r="A36" t="str">
            <v xml:space="preserve">  应付工资 Accrued Payroll</v>
          </cell>
          <cell r="B36">
            <v>150000</v>
          </cell>
          <cell r="C36">
            <v>201642</v>
          </cell>
        </row>
        <row r="37">
          <cell r="A37" t="str">
            <v xml:space="preserve">  其他应付款 Other Payables</v>
          </cell>
          <cell r="B37">
            <v>4207107.47</v>
          </cell>
          <cell r="C37">
            <v>369976.63</v>
          </cell>
        </row>
        <row r="38">
          <cell r="A38" t="str">
            <v xml:space="preserve">  预提费用 Accrued Expenses</v>
          </cell>
          <cell r="B38">
            <v>6739343.9100000001</v>
          </cell>
          <cell r="C38">
            <v>6189307.2800000003</v>
          </cell>
        </row>
        <row r="39">
          <cell r="B39">
            <v>0</v>
          </cell>
        </row>
        <row r="40">
          <cell r="A40" t="str">
            <v xml:space="preserve">  负债合计  Total Liabilities:</v>
          </cell>
          <cell r="B40">
            <v>37416739.049999997</v>
          </cell>
          <cell r="C40">
            <v>29350372.740000002</v>
          </cell>
        </row>
        <row r="42">
          <cell r="A42" t="str">
            <v>所有者权益 OWNER'S EQUITY</v>
          </cell>
        </row>
        <row r="43">
          <cell r="A43" t="str">
            <v>=============================</v>
          </cell>
        </row>
        <row r="44">
          <cell r="A44" t="str">
            <v xml:space="preserve">  实收资本 Share Capital</v>
          </cell>
          <cell r="B44">
            <v>15028985</v>
          </cell>
          <cell r="C44">
            <v>15028985</v>
          </cell>
        </row>
        <row r="45">
          <cell r="A45" t="str">
            <v xml:space="preserve">  储备基金 Reserve Fund</v>
          </cell>
          <cell r="B45">
            <v>7108372.6900000004</v>
          </cell>
          <cell r="C45">
            <v>7108372.6900000004</v>
          </cell>
        </row>
        <row r="46">
          <cell r="A46" t="str">
            <v xml:space="preserve">  未分配利润 P&amp;L A/C B/F</v>
          </cell>
          <cell r="B46">
            <v>10450447.369999999</v>
          </cell>
          <cell r="C46">
            <v>10450447.369999999</v>
          </cell>
        </row>
        <row r="47">
          <cell r="A47" t="str">
            <v xml:space="preserve">  报表折算差额 Translation Difference</v>
          </cell>
          <cell r="B47">
            <v>0</v>
          </cell>
          <cell r="C47">
            <v>0</v>
          </cell>
        </row>
        <row r="48">
          <cell r="A48" t="str">
            <v xml:space="preserve">  本年利润 Current Year Profits</v>
          </cell>
          <cell r="B48">
            <v>0</v>
          </cell>
          <cell r="C48">
            <v>162474.46</v>
          </cell>
        </row>
        <row r="49">
          <cell r="B49">
            <v>0</v>
          </cell>
        </row>
        <row r="50">
          <cell r="A50" t="str">
            <v xml:space="preserve">  所有者权益合计 Total Owner's Equity:</v>
          </cell>
          <cell r="B50">
            <v>32587805.059999999</v>
          </cell>
          <cell r="C50">
            <v>32750279.520000003</v>
          </cell>
        </row>
        <row r="51">
          <cell r="B51">
            <v>0</v>
          </cell>
        </row>
        <row r="52">
          <cell r="A52" t="str">
            <v xml:space="preserve">  运用资本 Capital employed</v>
          </cell>
          <cell r="B52">
            <v>70004544.109999999</v>
          </cell>
          <cell r="C52">
            <v>62100652.260000005</v>
          </cell>
        </row>
      </sheetData>
      <sheetData sheetId="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Analysis"/>
      <sheetName val="sales"/>
      <sheetName val="Sheet1"/>
      <sheetName val="UFPrn20031114182129"/>
    </sheetNames>
    <sheetDataSet>
      <sheetData sheetId="0"/>
      <sheetData sheetId="1"/>
      <sheetData sheetId="2"/>
      <sheetData sheetId="3" refreshError="1">
        <row r="1">
          <cell r="A1" t="str">
            <v>月</v>
          </cell>
          <cell r="B1" t="str">
            <v>客户分类</v>
          </cell>
          <cell r="C1" t="str">
            <v>数量</v>
          </cell>
        </row>
        <row r="2">
          <cell r="A2" t="str">
            <v>01</v>
          </cell>
          <cell r="B2" t="str">
            <v>卷钢-国内外部</v>
          </cell>
          <cell r="C2">
            <v>400</v>
          </cell>
        </row>
        <row r="3">
          <cell r="A3" t="str">
            <v>01</v>
          </cell>
          <cell r="B3" t="str">
            <v>卷钢-国内外部</v>
          </cell>
          <cell r="C3">
            <v>600</v>
          </cell>
        </row>
        <row r="4">
          <cell r="A4" t="str">
            <v>01</v>
          </cell>
          <cell r="B4" t="str">
            <v>卷钢-国内外部</v>
          </cell>
          <cell r="C4">
            <v>40</v>
          </cell>
        </row>
        <row r="5">
          <cell r="A5" t="str">
            <v>01</v>
          </cell>
          <cell r="B5" t="str">
            <v>卷钢-国内外部</v>
          </cell>
          <cell r="C5">
            <v>400</v>
          </cell>
        </row>
        <row r="6">
          <cell r="A6" t="str">
            <v>01</v>
          </cell>
          <cell r="B6" t="str">
            <v>卷钢-国内外部</v>
          </cell>
          <cell r="C6">
            <v>1000</v>
          </cell>
        </row>
        <row r="7">
          <cell r="A7" t="str">
            <v>01</v>
          </cell>
          <cell r="B7" t="str">
            <v>卷钢-国内外部</v>
          </cell>
          <cell r="C7">
            <v>400</v>
          </cell>
        </row>
        <row r="8">
          <cell r="A8" t="str">
            <v>01</v>
          </cell>
          <cell r="B8" t="str">
            <v>卷钢-国内外部</v>
          </cell>
          <cell r="C8">
            <v>400</v>
          </cell>
        </row>
        <row r="9">
          <cell r="A9" t="str">
            <v>01</v>
          </cell>
          <cell r="B9" t="str">
            <v>卷钢-国内外部</v>
          </cell>
          <cell r="C9">
            <v>200</v>
          </cell>
        </row>
        <row r="10">
          <cell r="A10" t="str">
            <v>01</v>
          </cell>
          <cell r="B10" t="str">
            <v>卷钢-国内内部</v>
          </cell>
          <cell r="C10">
            <v>4600</v>
          </cell>
        </row>
        <row r="11">
          <cell r="A11" t="str">
            <v>01</v>
          </cell>
          <cell r="B11" t="str">
            <v>卷钢-国内内部</v>
          </cell>
          <cell r="C11">
            <v>3</v>
          </cell>
        </row>
        <row r="12">
          <cell r="A12" t="str">
            <v>01</v>
          </cell>
          <cell r="B12" t="str">
            <v>卷钢-国内外部</v>
          </cell>
          <cell r="C12">
            <v>1000</v>
          </cell>
        </row>
        <row r="13">
          <cell r="A13" t="str">
            <v>01</v>
          </cell>
          <cell r="B13" t="str">
            <v>卷钢-国内外部</v>
          </cell>
          <cell r="C13">
            <v>400</v>
          </cell>
        </row>
        <row r="14">
          <cell r="A14" t="str">
            <v>01</v>
          </cell>
          <cell r="B14" t="str">
            <v>卷钢-国内外部</v>
          </cell>
          <cell r="C14">
            <v>20</v>
          </cell>
        </row>
        <row r="15">
          <cell r="A15" t="str">
            <v>01</v>
          </cell>
          <cell r="B15" t="str">
            <v>卷钢-国内外部</v>
          </cell>
          <cell r="C15">
            <v>350</v>
          </cell>
        </row>
        <row r="16">
          <cell r="A16" t="str">
            <v>01</v>
          </cell>
          <cell r="B16" t="str">
            <v>卷钢-国内外部</v>
          </cell>
          <cell r="C16">
            <v>400</v>
          </cell>
        </row>
        <row r="17">
          <cell r="A17" t="str">
            <v>01</v>
          </cell>
          <cell r="B17" t="str">
            <v>卷钢-国内外部</v>
          </cell>
          <cell r="C17">
            <v>800</v>
          </cell>
        </row>
        <row r="18">
          <cell r="A18" t="str">
            <v>01</v>
          </cell>
          <cell r="B18" t="str">
            <v>卷钢-国内内部</v>
          </cell>
          <cell r="C18">
            <v>100</v>
          </cell>
        </row>
        <row r="19">
          <cell r="A19" t="str">
            <v>01</v>
          </cell>
          <cell r="B19" t="str">
            <v>卷钢-国内外部</v>
          </cell>
          <cell r="C19">
            <v>400</v>
          </cell>
        </row>
        <row r="20">
          <cell r="A20" t="str">
            <v>01</v>
          </cell>
          <cell r="B20" t="str">
            <v>卷钢-国内外部</v>
          </cell>
          <cell r="C20">
            <v>380</v>
          </cell>
        </row>
        <row r="21">
          <cell r="A21" t="str">
            <v>01</v>
          </cell>
          <cell r="B21" t="str">
            <v>卷钢-国内外部</v>
          </cell>
          <cell r="C21">
            <v>280</v>
          </cell>
        </row>
        <row r="22">
          <cell r="A22" t="str">
            <v>01</v>
          </cell>
          <cell r="B22" t="str">
            <v>卷钢-国内外部</v>
          </cell>
          <cell r="C22">
            <v>120</v>
          </cell>
        </row>
        <row r="23">
          <cell r="A23" t="str">
            <v>01</v>
          </cell>
          <cell r="B23" t="str">
            <v>卷钢-国内外部</v>
          </cell>
          <cell r="C23">
            <v>400</v>
          </cell>
        </row>
        <row r="24">
          <cell r="A24" t="str">
            <v>01</v>
          </cell>
          <cell r="B24" t="str">
            <v>卷钢-国内外部</v>
          </cell>
          <cell r="C24">
            <v>140</v>
          </cell>
        </row>
        <row r="25">
          <cell r="A25" t="str">
            <v>01</v>
          </cell>
          <cell r="B25" t="str">
            <v>卷钢-国内内部</v>
          </cell>
          <cell r="C25">
            <v>500</v>
          </cell>
        </row>
        <row r="26">
          <cell r="A26" t="str">
            <v>01</v>
          </cell>
          <cell r="B26" t="str">
            <v>卷钢-国内内部</v>
          </cell>
          <cell r="C26">
            <v>300</v>
          </cell>
        </row>
        <row r="27">
          <cell r="A27" t="str">
            <v>01</v>
          </cell>
          <cell r="B27" t="str">
            <v>卷钢-国内内部</v>
          </cell>
          <cell r="C27">
            <v>100</v>
          </cell>
        </row>
        <row r="28">
          <cell r="A28" t="str">
            <v>01</v>
          </cell>
          <cell r="B28" t="str">
            <v>卷钢-国内内部</v>
          </cell>
          <cell r="C28">
            <v>750</v>
          </cell>
        </row>
        <row r="29">
          <cell r="A29" t="str">
            <v>01</v>
          </cell>
          <cell r="B29" t="str">
            <v>卷钢-国内外部</v>
          </cell>
          <cell r="C29">
            <v>1000</v>
          </cell>
        </row>
        <row r="30">
          <cell r="A30" t="str">
            <v>01</v>
          </cell>
          <cell r="B30" t="str">
            <v>卷钢-国内外部</v>
          </cell>
          <cell r="C30">
            <v>100</v>
          </cell>
        </row>
        <row r="31">
          <cell r="A31" t="str">
            <v>01</v>
          </cell>
          <cell r="B31" t="str">
            <v>卷钢-国内外部</v>
          </cell>
          <cell r="C31">
            <v>220</v>
          </cell>
        </row>
        <row r="32">
          <cell r="A32" t="str">
            <v>01</v>
          </cell>
          <cell r="B32" t="str">
            <v>卷钢-国内外部</v>
          </cell>
          <cell r="C32">
            <v>360</v>
          </cell>
        </row>
        <row r="33">
          <cell r="A33" t="str">
            <v>01</v>
          </cell>
          <cell r="B33" t="str">
            <v>卷钢-国内外部</v>
          </cell>
          <cell r="C33">
            <v>40</v>
          </cell>
        </row>
        <row r="34">
          <cell r="A34" t="str">
            <v>01</v>
          </cell>
          <cell r="B34" t="str">
            <v>卷钢-国内外部</v>
          </cell>
          <cell r="C34">
            <v>160</v>
          </cell>
        </row>
        <row r="35">
          <cell r="A35" t="str">
            <v>01</v>
          </cell>
          <cell r="B35" t="str">
            <v>卷钢-国内外部</v>
          </cell>
          <cell r="C35">
            <v>220</v>
          </cell>
        </row>
        <row r="36">
          <cell r="A36" t="str">
            <v>01</v>
          </cell>
          <cell r="B36" t="str">
            <v>卷钢-国内外部</v>
          </cell>
          <cell r="C36">
            <v>1200</v>
          </cell>
        </row>
        <row r="37">
          <cell r="A37" t="str">
            <v>01</v>
          </cell>
          <cell r="B37" t="str">
            <v>卷钢-国内外部</v>
          </cell>
          <cell r="C37">
            <v>80</v>
          </cell>
        </row>
        <row r="38">
          <cell r="A38" t="str">
            <v>01</v>
          </cell>
          <cell r="B38" t="str">
            <v>卷钢-国内外部</v>
          </cell>
          <cell r="C38">
            <v>9900</v>
          </cell>
        </row>
        <row r="39">
          <cell r="A39" t="str">
            <v>01</v>
          </cell>
          <cell r="B39" t="str">
            <v>卷钢-国内外部</v>
          </cell>
          <cell r="C39">
            <v>150</v>
          </cell>
        </row>
        <row r="40">
          <cell r="A40" t="str">
            <v>01</v>
          </cell>
          <cell r="B40" t="str">
            <v>卷钢-国内外部</v>
          </cell>
          <cell r="C40">
            <v>150</v>
          </cell>
        </row>
        <row r="41">
          <cell r="A41" t="str">
            <v>01</v>
          </cell>
          <cell r="B41" t="str">
            <v>卷钢-国内外部</v>
          </cell>
          <cell r="C41">
            <v>2000</v>
          </cell>
        </row>
        <row r="42">
          <cell r="A42" t="str">
            <v>01</v>
          </cell>
          <cell r="B42" t="str">
            <v>卷钢-国内外部</v>
          </cell>
          <cell r="C42">
            <v>200</v>
          </cell>
        </row>
        <row r="43">
          <cell r="A43" t="str">
            <v>01</v>
          </cell>
          <cell r="B43" t="str">
            <v>卷钢-国内外部</v>
          </cell>
          <cell r="C43">
            <v>220</v>
          </cell>
        </row>
        <row r="44">
          <cell r="A44" t="str">
            <v>01</v>
          </cell>
          <cell r="B44" t="str">
            <v>卷钢-国内外部</v>
          </cell>
          <cell r="C44">
            <v>140</v>
          </cell>
        </row>
        <row r="45">
          <cell r="A45" t="str">
            <v>01</v>
          </cell>
          <cell r="B45" t="str">
            <v>卷钢-国内外部</v>
          </cell>
          <cell r="C45">
            <v>140</v>
          </cell>
        </row>
        <row r="46">
          <cell r="A46" t="str">
            <v>01</v>
          </cell>
          <cell r="B46" t="str">
            <v>卷钢-国内外部</v>
          </cell>
          <cell r="C46">
            <v>140</v>
          </cell>
        </row>
        <row r="47">
          <cell r="A47" t="str">
            <v>01</v>
          </cell>
          <cell r="B47" t="str">
            <v>卷钢-国内外部</v>
          </cell>
          <cell r="C47">
            <v>240</v>
          </cell>
        </row>
        <row r="48">
          <cell r="A48" t="str">
            <v>01</v>
          </cell>
          <cell r="B48" t="str">
            <v>卷钢-国内外部</v>
          </cell>
          <cell r="C48">
            <v>1000</v>
          </cell>
        </row>
        <row r="49">
          <cell r="A49" t="str">
            <v>01</v>
          </cell>
          <cell r="B49" t="str">
            <v>卷钢-国内内部</v>
          </cell>
          <cell r="C49">
            <v>1</v>
          </cell>
        </row>
        <row r="50">
          <cell r="A50" t="str">
            <v>01</v>
          </cell>
          <cell r="B50" t="str">
            <v>卷钢-国内外部</v>
          </cell>
          <cell r="C50">
            <v>200</v>
          </cell>
        </row>
        <row r="51">
          <cell r="A51" t="str">
            <v>01</v>
          </cell>
          <cell r="B51" t="str">
            <v>卷钢-国内外部</v>
          </cell>
          <cell r="C51">
            <v>220</v>
          </cell>
        </row>
        <row r="52">
          <cell r="A52" t="str">
            <v>01</v>
          </cell>
          <cell r="B52" t="str">
            <v>卷钢-国内内部</v>
          </cell>
          <cell r="C52">
            <v>3040</v>
          </cell>
        </row>
        <row r="53">
          <cell r="A53" t="str">
            <v>01</v>
          </cell>
          <cell r="B53" t="str">
            <v>卷钢-国内外部</v>
          </cell>
          <cell r="C53">
            <v>120</v>
          </cell>
        </row>
        <row r="54">
          <cell r="A54" t="str">
            <v>01</v>
          </cell>
          <cell r="B54" t="str">
            <v>卷钢-国内外部</v>
          </cell>
          <cell r="C54">
            <v>4000</v>
          </cell>
        </row>
        <row r="55">
          <cell r="A55" t="str">
            <v>01</v>
          </cell>
          <cell r="B55" t="str">
            <v>卷钢-国内外部</v>
          </cell>
          <cell r="C55">
            <v>1000</v>
          </cell>
        </row>
        <row r="56">
          <cell r="A56" t="str">
            <v>01</v>
          </cell>
          <cell r="B56" t="str">
            <v>卷钢-国内外部</v>
          </cell>
          <cell r="C56">
            <v>200</v>
          </cell>
        </row>
        <row r="57">
          <cell r="A57" t="str">
            <v>01</v>
          </cell>
          <cell r="B57" t="str">
            <v>卷钢-国内外部</v>
          </cell>
          <cell r="C57">
            <v>650</v>
          </cell>
        </row>
        <row r="58">
          <cell r="A58" t="str">
            <v>01</v>
          </cell>
          <cell r="B58" t="str">
            <v>卷钢-国内外部</v>
          </cell>
          <cell r="C58">
            <v>800</v>
          </cell>
        </row>
        <row r="59">
          <cell r="A59" t="str">
            <v>01</v>
          </cell>
          <cell r="B59" t="str">
            <v>卷钢-国内外部</v>
          </cell>
          <cell r="C59">
            <v>100</v>
          </cell>
        </row>
        <row r="60">
          <cell r="A60" t="str">
            <v>01</v>
          </cell>
          <cell r="B60" t="str">
            <v>卷钢-国内外部</v>
          </cell>
          <cell r="C60">
            <v>250</v>
          </cell>
        </row>
        <row r="61">
          <cell r="A61" t="str">
            <v>01</v>
          </cell>
          <cell r="B61" t="str">
            <v>卷钢-国内外部</v>
          </cell>
          <cell r="C61">
            <v>80</v>
          </cell>
        </row>
        <row r="62">
          <cell r="A62" t="str">
            <v>01</v>
          </cell>
          <cell r="B62" t="str">
            <v>卷钢-国内外部</v>
          </cell>
          <cell r="C62">
            <v>900</v>
          </cell>
        </row>
        <row r="63">
          <cell r="A63" t="str">
            <v>01</v>
          </cell>
          <cell r="B63" t="str">
            <v>卷钢-国内外部</v>
          </cell>
          <cell r="C63">
            <v>950</v>
          </cell>
        </row>
        <row r="64">
          <cell r="A64" t="str">
            <v>01</v>
          </cell>
          <cell r="B64" t="str">
            <v>卷钢-国内外部</v>
          </cell>
          <cell r="C64">
            <v>950</v>
          </cell>
        </row>
        <row r="65">
          <cell r="A65" t="str">
            <v>01</v>
          </cell>
          <cell r="B65" t="str">
            <v>卷钢-国内外部</v>
          </cell>
          <cell r="C65">
            <v>700</v>
          </cell>
        </row>
        <row r="66">
          <cell r="A66" t="str">
            <v>01</v>
          </cell>
          <cell r="B66" t="str">
            <v>卷钢-国内外部</v>
          </cell>
          <cell r="C66">
            <v>420</v>
          </cell>
        </row>
        <row r="67">
          <cell r="A67" t="str">
            <v>01</v>
          </cell>
          <cell r="B67" t="str">
            <v>卷钢-国内外部</v>
          </cell>
          <cell r="C67">
            <v>460</v>
          </cell>
        </row>
        <row r="68">
          <cell r="A68" t="str">
            <v>02</v>
          </cell>
          <cell r="B68" t="str">
            <v>卷钢-国内外部</v>
          </cell>
          <cell r="C68">
            <v>1000</v>
          </cell>
        </row>
        <row r="69">
          <cell r="A69" t="str">
            <v>02</v>
          </cell>
          <cell r="B69" t="str">
            <v>卷钢-国内外部</v>
          </cell>
          <cell r="C69">
            <v>1000</v>
          </cell>
        </row>
        <row r="70">
          <cell r="A70" t="str">
            <v>02</v>
          </cell>
          <cell r="B70" t="str">
            <v>卷钢-国内外部</v>
          </cell>
          <cell r="C70">
            <v>1600</v>
          </cell>
        </row>
        <row r="71">
          <cell r="A71" t="str">
            <v>02</v>
          </cell>
          <cell r="B71" t="str">
            <v>卷钢-国内外部</v>
          </cell>
          <cell r="C71">
            <v>400</v>
          </cell>
        </row>
        <row r="72">
          <cell r="A72" t="str">
            <v>02</v>
          </cell>
          <cell r="B72" t="str">
            <v>卷钢-国内外部</v>
          </cell>
          <cell r="C72">
            <v>100</v>
          </cell>
        </row>
        <row r="73">
          <cell r="A73" t="str">
            <v>02</v>
          </cell>
          <cell r="B73" t="str">
            <v>卷钢-国内外部</v>
          </cell>
          <cell r="C73">
            <v>180</v>
          </cell>
        </row>
        <row r="74">
          <cell r="A74" t="str">
            <v>02</v>
          </cell>
          <cell r="B74" t="str">
            <v>卷钢-国内外部</v>
          </cell>
          <cell r="C74">
            <v>480</v>
          </cell>
        </row>
        <row r="75">
          <cell r="A75" t="str">
            <v>02</v>
          </cell>
          <cell r="B75" t="str">
            <v>卷钢-国内外部</v>
          </cell>
          <cell r="C75">
            <v>420</v>
          </cell>
        </row>
        <row r="76">
          <cell r="A76" t="str">
            <v>02</v>
          </cell>
          <cell r="B76" t="str">
            <v>卷钢-国内外部</v>
          </cell>
          <cell r="C76">
            <v>1000</v>
          </cell>
        </row>
        <row r="77">
          <cell r="A77" t="str">
            <v>02</v>
          </cell>
          <cell r="B77" t="str">
            <v>卷钢-国内内部</v>
          </cell>
          <cell r="C77">
            <v>10</v>
          </cell>
        </row>
        <row r="78">
          <cell r="A78" t="str">
            <v>02</v>
          </cell>
          <cell r="B78" t="str">
            <v>卷钢-国内外部</v>
          </cell>
          <cell r="C78">
            <v>2000</v>
          </cell>
        </row>
        <row r="79">
          <cell r="A79" t="str">
            <v>02</v>
          </cell>
          <cell r="B79" t="str">
            <v>卷钢-国内外部</v>
          </cell>
          <cell r="C79">
            <v>1000</v>
          </cell>
        </row>
        <row r="80">
          <cell r="A80" t="str">
            <v>02</v>
          </cell>
          <cell r="B80" t="str">
            <v>卷钢-国内外部</v>
          </cell>
          <cell r="C80">
            <v>100</v>
          </cell>
        </row>
        <row r="81">
          <cell r="A81" t="str">
            <v>02</v>
          </cell>
          <cell r="B81" t="str">
            <v>卷钢-国内外部</v>
          </cell>
          <cell r="C81">
            <v>60</v>
          </cell>
        </row>
        <row r="82">
          <cell r="A82" t="str">
            <v>02</v>
          </cell>
          <cell r="B82" t="str">
            <v>卷钢-国内外部</v>
          </cell>
          <cell r="C82">
            <v>400</v>
          </cell>
        </row>
        <row r="83">
          <cell r="A83" t="str">
            <v>02</v>
          </cell>
          <cell r="B83" t="str">
            <v>卷钢-国内外部</v>
          </cell>
          <cell r="C83">
            <v>2200</v>
          </cell>
        </row>
        <row r="84">
          <cell r="A84" t="str">
            <v>02</v>
          </cell>
          <cell r="B84" t="str">
            <v>卷钢-国内外部</v>
          </cell>
          <cell r="C84">
            <v>60</v>
          </cell>
        </row>
        <row r="85">
          <cell r="A85" t="str">
            <v>02</v>
          </cell>
          <cell r="B85" t="str">
            <v>卷钢-国内外部</v>
          </cell>
          <cell r="C85">
            <v>20</v>
          </cell>
        </row>
        <row r="86">
          <cell r="A86" t="str">
            <v>02</v>
          </cell>
          <cell r="B86" t="str">
            <v>卷钢-国内外部</v>
          </cell>
          <cell r="C86">
            <v>60</v>
          </cell>
        </row>
        <row r="87">
          <cell r="A87" t="str">
            <v>02</v>
          </cell>
          <cell r="B87" t="str">
            <v>卷钢-国内外部</v>
          </cell>
          <cell r="C87">
            <v>300</v>
          </cell>
        </row>
        <row r="88">
          <cell r="A88" t="str">
            <v>02</v>
          </cell>
          <cell r="B88" t="str">
            <v>卷钢-国内外部</v>
          </cell>
          <cell r="C88">
            <v>1000</v>
          </cell>
        </row>
        <row r="89">
          <cell r="A89" t="str">
            <v>02</v>
          </cell>
          <cell r="B89" t="str">
            <v>卷钢-国内外部</v>
          </cell>
          <cell r="C89">
            <v>1000</v>
          </cell>
        </row>
        <row r="90">
          <cell r="A90" t="str">
            <v>02</v>
          </cell>
          <cell r="B90" t="str">
            <v>卷钢-国内外部</v>
          </cell>
          <cell r="C90">
            <v>5720</v>
          </cell>
        </row>
        <row r="91">
          <cell r="A91" t="str">
            <v>02</v>
          </cell>
          <cell r="B91" t="str">
            <v>卷钢-国内外部</v>
          </cell>
          <cell r="C91">
            <v>440</v>
          </cell>
        </row>
        <row r="92">
          <cell r="A92" t="str">
            <v>02</v>
          </cell>
          <cell r="B92" t="str">
            <v>卷钢-国内外部</v>
          </cell>
          <cell r="C92">
            <v>1000</v>
          </cell>
        </row>
        <row r="93">
          <cell r="A93" t="str">
            <v>02</v>
          </cell>
          <cell r="B93" t="str">
            <v>卷钢-国内外部</v>
          </cell>
          <cell r="C93">
            <v>1100</v>
          </cell>
        </row>
        <row r="94">
          <cell r="A94" t="str">
            <v>02</v>
          </cell>
          <cell r="B94" t="str">
            <v>卷钢-国内外部</v>
          </cell>
          <cell r="C94">
            <v>200</v>
          </cell>
        </row>
        <row r="95">
          <cell r="A95" t="str">
            <v>02</v>
          </cell>
          <cell r="B95" t="str">
            <v>卷钢-国内外部</v>
          </cell>
          <cell r="C95">
            <v>100</v>
          </cell>
        </row>
        <row r="96">
          <cell r="A96" t="str">
            <v>02</v>
          </cell>
          <cell r="B96" t="str">
            <v>卷钢-国内外部</v>
          </cell>
          <cell r="C96">
            <v>100</v>
          </cell>
        </row>
        <row r="97">
          <cell r="A97" t="str">
            <v>02</v>
          </cell>
          <cell r="B97" t="str">
            <v>卷钢-国内外部</v>
          </cell>
          <cell r="C97">
            <v>40</v>
          </cell>
        </row>
        <row r="98">
          <cell r="A98" t="str">
            <v>02</v>
          </cell>
          <cell r="B98" t="str">
            <v>卷钢-国内外部</v>
          </cell>
          <cell r="C98">
            <v>200</v>
          </cell>
        </row>
        <row r="99">
          <cell r="A99" t="str">
            <v>02</v>
          </cell>
          <cell r="B99" t="str">
            <v>卷钢-国内外部</v>
          </cell>
          <cell r="C99">
            <v>400</v>
          </cell>
        </row>
        <row r="100">
          <cell r="A100" t="str">
            <v>02</v>
          </cell>
          <cell r="B100" t="str">
            <v>卷钢-国内外部</v>
          </cell>
          <cell r="C100">
            <v>400</v>
          </cell>
        </row>
        <row r="101">
          <cell r="A101" t="str">
            <v>02</v>
          </cell>
          <cell r="B101" t="str">
            <v>卷钢-国内外部</v>
          </cell>
          <cell r="C101">
            <v>100</v>
          </cell>
        </row>
        <row r="102">
          <cell r="A102" t="str">
            <v>02</v>
          </cell>
          <cell r="B102" t="str">
            <v>卷钢-国内外部</v>
          </cell>
          <cell r="C102">
            <v>60</v>
          </cell>
        </row>
        <row r="103">
          <cell r="A103" t="str">
            <v>02</v>
          </cell>
          <cell r="B103" t="str">
            <v>卷钢-国内外部</v>
          </cell>
          <cell r="C103">
            <v>20</v>
          </cell>
        </row>
        <row r="104">
          <cell r="A104" t="str">
            <v>02</v>
          </cell>
          <cell r="B104" t="str">
            <v>卷钢-国内外部</v>
          </cell>
          <cell r="C104">
            <v>20</v>
          </cell>
        </row>
        <row r="105">
          <cell r="A105" t="str">
            <v>02</v>
          </cell>
          <cell r="B105" t="str">
            <v>卷钢-国内外部</v>
          </cell>
          <cell r="C105">
            <v>-393</v>
          </cell>
        </row>
        <row r="106">
          <cell r="A106" t="str">
            <v>02</v>
          </cell>
          <cell r="B106" t="str">
            <v>卷钢-国内外部</v>
          </cell>
          <cell r="C106">
            <v>-76</v>
          </cell>
        </row>
        <row r="107">
          <cell r="A107" t="str">
            <v>02</v>
          </cell>
          <cell r="B107" t="str">
            <v>卷钢-国内内部</v>
          </cell>
          <cell r="C107">
            <v>228</v>
          </cell>
        </row>
        <row r="108">
          <cell r="A108" t="str">
            <v>02</v>
          </cell>
          <cell r="B108" t="str">
            <v>卷钢-国内外部</v>
          </cell>
          <cell r="C108">
            <v>180</v>
          </cell>
        </row>
        <row r="109">
          <cell r="A109" t="str">
            <v>02</v>
          </cell>
          <cell r="B109" t="str">
            <v>卷钢-国内外部</v>
          </cell>
          <cell r="C109">
            <v>180</v>
          </cell>
        </row>
        <row r="110">
          <cell r="A110" t="str">
            <v>02</v>
          </cell>
          <cell r="B110" t="str">
            <v>卷钢-国内外部</v>
          </cell>
          <cell r="C110">
            <v>200</v>
          </cell>
        </row>
        <row r="111">
          <cell r="A111" t="str">
            <v>02</v>
          </cell>
          <cell r="B111" t="str">
            <v>卷钢-国内外部</v>
          </cell>
          <cell r="C111">
            <v>-120</v>
          </cell>
        </row>
        <row r="112">
          <cell r="A112" t="str">
            <v>02</v>
          </cell>
          <cell r="B112" t="str">
            <v>卷钢-国内外部</v>
          </cell>
          <cell r="C112">
            <v>100</v>
          </cell>
        </row>
        <row r="113">
          <cell r="A113" t="str">
            <v>02</v>
          </cell>
          <cell r="B113" t="str">
            <v>卷钢-国内外部</v>
          </cell>
          <cell r="C113">
            <v>400</v>
          </cell>
        </row>
        <row r="114">
          <cell r="A114" t="str">
            <v>02</v>
          </cell>
          <cell r="B114" t="str">
            <v>卷钢-国内外部</v>
          </cell>
          <cell r="C114">
            <v>1000</v>
          </cell>
        </row>
        <row r="115">
          <cell r="A115" t="str">
            <v>02</v>
          </cell>
          <cell r="B115" t="str">
            <v>卷钢-国内外部</v>
          </cell>
          <cell r="C115">
            <v>200</v>
          </cell>
        </row>
        <row r="116">
          <cell r="A116" t="str">
            <v>02</v>
          </cell>
          <cell r="B116" t="str">
            <v>卷钢-国内外部</v>
          </cell>
          <cell r="C116">
            <v>1000</v>
          </cell>
        </row>
        <row r="117">
          <cell r="A117" t="str">
            <v>02</v>
          </cell>
          <cell r="B117" t="str">
            <v>卷钢-国内外部</v>
          </cell>
          <cell r="C117">
            <v>-400</v>
          </cell>
        </row>
        <row r="118">
          <cell r="A118" t="str">
            <v>02</v>
          </cell>
          <cell r="B118" t="str">
            <v>卷钢-国内外部</v>
          </cell>
          <cell r="C118">
            <v>240</v>
          </cell>
        </row>
        <row r="119">
          <cell r="A119" t="str">
            <v>03</v>
          </cell>
          <cell r="B119" t="str">
            <v>卷钢-国内外部</v>
          </cell>
          <cell r="C119">
            <v>1000</v>
          </cell>
        </row>
        <row r="120">
          <cell r="A120" t="str">
            <v>03</v>
          </cell>
          <cell r="B120" t="str">
            <v>卷钢-国内内部</v>
          </cell>
          <cell r="C120">
            <v>212</v>
          </cell>
        </row>
        <row r="121">
          <cell r="A121" t="str">
            <v>03</v>
          </cell>
          <cell r="B121" t="str">
            <v>卷钢-国内内部</v>
          </cell>
          <cell r="C121">
            <v>100</v>
          </cell>
        </row>
        <row r="122">
          <cell r="A122" t="str">
            <v>03</v>
          </cell>
          <cell r="B122" t="str">
            <v>卷钢-国内外部</v>
          </cell>
          <cell r="C122">
            <v>350</v>
          </cell>
        </row>
        <row r="123">
          <cell r="A123" t="str">
            <v>03</v>
          </cell>
          <cell r="B123" t="str">
            <v>卷钢-国内外部</v>
          </cell>
          <cell r="C123">
            <v>200</v>
          </cell>
        </row>
        <row r="124">
          <cell r="A124" t="str">
            <v>03</v>
          </cell>
          <cell r="B124" t="str">
            <v>卷钢-国内外部</v>
          </cell>
          <cell r="C124">
            <v>400</v>
          </cell>
        </row>
        <row r="125">
          <cell r="A125" t="str">
            <v>03</v>
          </cell>
          <cell r="B125" t="str">
            <v>卷钢-国内外部</v>
          </cell>
          <cell r="C125">
            <v>200</v>
          </cell>
        </row>
        <row r="126">
          <cell r="A126" t="str">
            <v>03</v>
          </cell>
          <cell r="B126" t="str">
            <v>卷钢-国内内部</v>
          </cell>
          <cell r="C126">
            <v>1320</v>
          </cell>
        </row>
        <row r="127">
          <cell r="A127" t="str">
            <v>03</v>
          </cell>
          <cell r="B127" t="str">
            <v>卷钢-国内外部</v>
          </cell>
          <cell r="C127">
            <v>1180</v>
          </cell>
        </row>
        <row r="128">
          <cell r="A128" t="str">
            <v>03</v>
          </cell>
          <cell r="B128" t="str">
            <v>卷钢-国内外部</v>
          </cell>
          <cell r="C128">
            <v>160</v>
          </cell>
        </row>
        <row r="129">
          <cell r="A129" t="str">
            <v>03</v>
          </cell>
          <cell r="B129" t="str">
            <v>卷钢-国内外部</v>
          </cell>
          <cell r="C129">
            <v>400</v>
          </cell>
        </row>
        <row r="130">
          <cell r="A130" t="str">
            <v>03</v>
          </cell>
          <cell r="B130" t="str">
            <v>卷钢-国内外部</v>
          </cell>
          <cell r="C130">
            <v>400</v>
          </cell>
        </row>
        <row r="131">
          <cell r="A131" t="str">
            <v>03</v>
          </cell>
          <cell r="B131" t="str">
            <v>卷钢-国内外部</v>
          </cell>
          <cell r="C131">
            <v>150</v>
          </cell>
        </row>
        <row r="132">
          <cell r="A132" t="str">
            <v>03</v>
          </cell>
          <cell r="B132" t="str">
            <v>卷钢-国内外部</v>
          </cell>
          <cell r="C132">
            <v>260</v>
          </cell>
        </row>
        <row r="133">
          <cell r="A133" t="str">
            <v>03</v>
          </cell>
          <cell r="B133" t="str">
            <v>卷钢-国内外部</v>
          </cell>
          <cell r="C133">
            <v>1200</v>
          </cell>
        </row>
        <row r="134">
          <cell r="A134" t="str">
            <v>03</v>
          </cell>
          <cell r="B134" t="str">
            <v>卷钢-国内外部</v>
          </cell>
          <cell r="C134">
            <v>1000</v>
          </cell>
        </row>
        <row r="135">
          <cell r="A135" t="str">
            <v>03</v>
          </cell>
          <cell r="B135" t="str">
            <v>卷钢-国内外部</v>
          </cell>
          <cell r="C135">
            <v>2420</v>
          </cell>
        </row>
        <row r="136">
          <cell r="A136" t="str">
            <v>03</v>
          </cell>
          <cell r="B136" t="str">
            <v>卷钢-国内外部</v>
          </cell>
          <cell r="C136">
            <v>220</v>
          </cell>
        </row>
        <row r="137">
          <cell r="A137" t="str">
            <v>03</v>
          </cell>
          <cell r="B137" t="str">
            <v>卷钢-国内外部</v>
          </cell>
          <cell r="C137">
            <v>600</v>
          </cell>
        </row>
        <row r="138">
          <cell r="A138" t="str">
            <v>03</v>
          </cell>
          <cell r="B138" t="str">
            <v>卷钢-国内外部</v>
          </cell>
          <cell r="C138">
            <v>600</v>
          </cell>
        </row>
        <row r="139">
          <cell r="A139" t="str">
            <v>03</v>
          </cell>
          <cell r="B139" t="str">
            <v>卷钢-国内外部</v>
          </cell>
          <cell r="C139">
            <v>-240</v>
          </cell>
        </row>
        <row r="140">
          <cell r="A140" t="str">
            <v>03</v>
          </cell>
          <cell r="B140" t="str">
            <v>卷钢-国内外部</v>
          </cell>
          <cell r="C140">
            <v>600</v>
          </cell>
        </row>
        <row r="141">
          <cell r="A141" t="str">
            <v>03</v>
          </cell>
          <cell r="B141" t="str">
            <v>卷钢-国内外部</v>
          </cell>
          <cell r="C141">
            <v>1000</v>
          </cell>
        </row>
        <row r="142">
          <cell r="A142" t="str">
            <v>03</v>
          </cell>
          <cell r="B142" t="str">
            <v>卷钢-国内外部</v>
          </cell>
          <cell r="C142">
            <v>60</v>
          </cell>
        </row>
        <row r="143">
          <cell r="A143" t="str">
            <v>03</v>
          </cell>
          <cell r="B143" t="str">
            <v>卷钢-国内外部</v>
          </cell>
          <cell r="C143">
            <v>600</v>
          </cell>
        </row>
        <row r="144">
          <cell r="A144" t="str">
            <v>03</v>
          </cell>
          <cell r="B144" t="str">
            <v>卷钢-国内外部</v>
          </cell>
          <cell r="C144">
            <v>160</v>
          </cell>
        </row>
        <row r="145">
          <cell r="A145" t="str">
            <v>03</v>
          </cell>
          <cell r="B145" t="str">
            <v>卷钢-国内外部</v>
          </cell>
          <cell r="C145">
            <v>80</v>
          </cell>
        </row>
        <row r="146">
          <cell r="A146" t="str">
            <v>03</v>
          </cell>
          <cell r="B146" t="str">
            <v>卷钢-国内外部</v>
          </cell>
          <cell r="C146">
            <v>170</v>
          </cell>
        </row>
        <row r="147">
          <cell r="A147" t="str">
            <v>03</v>
          </cell>
          <cell r="B147" t="str">
            <v>卷钢-国内外部</v>
          </cell>
          <cell r="C147">
            <v>1000</v>
          </cell>
        </row>
        <row r="148">
          <cell r="A148" t="str">
            <v>03</v>
          </cell>
          <cell r="B148" t="str">
            <v>卷钢-国内外部</v>
          </cell>
          <cell r="C148">
            <v>1000</v>
          </cell>
        </row>
        <row r="149">
          <cell r="A149" t="str">
            <v>03</v>
          </cell>
          <cell r="B149" t="str">
            <v>卷钢-国内外部</v>
          </cell>
          <cell r="C149">
            <v>40</v>
          </cell>
        </row>
        <row r="150">
          <cell r="A150" t="str">
            <v>03</v>
          </cell>
          <cell r="B150" t="str">
            <v>卷钢-国内外部</v>
          </cell>
          <cell r="C150">
            <v>200</v>
          </cell>
        </row>
        <row r="151">
          <cell r="A151" t="str">
            <v>03</v>
          </cell>
          <cell r="B151" t="str">
            <v>卷钢-国内外部</v>
          </cell>
          <cell r="C151">
            <v>200</v>
          </cell>
        </row>
        <row r="152">
          <cell r="A152" t="str">
            <v>03</v>
          </cell>
          <cell r="B152" t="str">
            <v>卷钢-国内外部</v>
          </cell>
          <cell r="C152">
            <v>20</v>
          </cell>
        </row>
        <row r="153">
          <cell r="A153" t="str">
            <v>03</v>
          </cell>
          <cell r="B153" t="str">
            <v>卷钢-国内外部</v>
          </cell>
          <cell r="C153">
            <v>400</v>
          </cell>
        </row>
        <row r="154">
          <cell r="A154" t="str">
            <v>03</v>
          </cell>
          <cell r="B154" t="str">
            <v>卷钢-国内外部</v>
          </cell>
          <cell r="C154">
            <v>600</v>
          </cell>
        </row>
        <row r="155">
          <cell r="A155" t="str">
            <v>03</v>
          </cell>
          <cell r="B155" t="str">
            <v>卷钢-国内外部</v>
          </cell>
          <cell r="C155">
            <v>400</v>
          </cell>
        </row>
        <row r="156">
          <cell r="A156" t="str">
            <v>03</v>
          </cell>
          <cell r="B156" t="str">
            <v>卷钢-国内外部</v>
          </cell>
          <cell r="C156">
            <v>1000</v>
          </cell>
        </row>
        <row r="157">
          <cell r="A157" t="str">
            <v>03</v>
          </cell>
          <cell r="B157" t="str">
            <v>卷钢-国内外部</v>
          </cell>
          <cell r="C157">
            <v>6820</v>
          </cell>
        </row>
        <row r="158">
          <cell r="A158" t="str">
            <v>03</v>
          </cell>
          <cell r="B158" t="str">
            <v>卷钢-国内外部</v>
          </cell>
          <cell r="C158">
            <v>1400</v>
          </cell>
        </row>
        <row r="159">
          <cell r="A159" t="str">
            <v>03</v>
          </cell>
          <cell r="B159" t="str">
            <v>卷钢-国内外部</v>
          </cell>
          <cell r="C159">
            <v>140</v>
          </cell>
        </row>
        <row r="160">
          <cell r="A160" t="str">
            <v>03</v>
          </cell>
          <cell r="B160" t="str">
            <v>卷钢-国内外部</v>
          </cell>
          <cell r="C160">
            <v>0</v>
          </cell>
        </row>
        <row r="161">
          <cell r="A161" t="str">
            <v>03</v>
          </cell>
          <cell r="B161" t="str">
            <v>卷钢-国内外部</v>
          </cell>
          <cell r="C161">
            <v>1000</v>
          </cell>
        </row>
        <row r="162">
          <cell r="A162" t="str">
            <v>03</v>
          </cell>
          <cell r="B162" t="str">
            <v>卷钢-国内外部</v>
          </cell>
          <cell r="C162">
            <v>400</v>
          </cell>
        </row>
        <row r="163">
          <cell r="A163" t="str">
            <v>03</v>
          </cell>
          <cell r="B163" t="str">
            <v>卷钢-国内外部</v>
          </cell>
          <cell r="C163">
            <v>1400</v>
          </cell>
        </row>
        <row r="164">
          <cell r="A164" t="str">
            <v>03</v>
          </cell>
          <cell r="B164" t="str">
            <v>卷钢-国内外部</v>
          </cell>
          <cell r="C164">
            <v>400</v>
          </cell>
        </row>
        <row r="165">
          <cell r="A165" t="str">
            <v>03</v>
          </cell>
          <cell r="B165" t="str">
            <v>卷钢-国内外部</v>
          </cell>
          <cell r="C165">
            <v>150</v>
          </cell>
        </row>
        <row r="166">
          <cell r="A166" t="str">
            <v>03</v>
          </cell>
          <cell r="B166" t="str">
            <v>卷钢-国内外部</v>
          </cell>
          <cell r="C166">
            <v>80</v>
          </cell>
        </row>
        <row r="167">
          <cell r="A167" t="str">
            <v>03</v>
          </cell>
          <cell r="B167" t="str">
            <v>卷钢-国内外部</v>
          </cell>
          <cell r="C167">
            <v>350</v>
          </cell>
        </row>
        <row r="168">
          <cell r="A168" t="str">
            <v>03</v>
          </cell>
          <cell r="B168" t="str">
            <v>卷钢-国内外部</v>
          </cell>
          <cell r="C168">
            <v>-60</v>
          </cell>
        </row>
        <row r="169">
          <cell r="A169" t="str">
            <v>03</v>
          </cell>
          <cell r="B169" t="str">
            <v>卷钢-国内外部</v>
          </cell>
          <cell r="C169">
            <v>1000</v>
          </cell>
        </row>
        <row r="170">
          <cell r="A170" t="str">
            <v>03</v>
          </cell>
          <cell r="B170" t="str">
            <v>卷钢-国内外部</v>
          </cell>
          <cell r="C170">
            <v>800</v>
          </cell>
        </row>
        <row r="171">
          <cell r="A171" t="str">
            <v>03</v>
          </cell>
          <cell r="B171" t="str">
            <v>卷钢-国内外部</v>
          </cell>
          <cell r="C171">
            <v>200</v>
          </cell>
        </row>
        <row r="172">
          <cell r="A172" t="str">
            <v>04</v>
          </cell>
          <cell r="B172" t="str">
            <v>卷钢-国内外部</v>
          </cell>
          <cell r="C172">
            <v>-320</v>
          </cell>
        </row>
        <row r="173">
          <cell r="A173" t="str">
            <v>04</v>
          </cell>
          <cell r="B173" t="str">
            <v>卷钢-国内外部</v>
          </cell>
          <cell r="C173">
            <v>-260</v>
          </cell>
        </row>
        <row r="174">
          <cell r="A174" t="str">
            <v>04</v>
          </cell>
          <cell r="B174" t="str">
            <v>卷钢-国内外部</v>
          </cell>
          <cell r="C174">
            <v>-260</v>
          </cell>
        </row>
        <row r="175">
          <cell r="A175" t="str">
            <v>04</v>
          </cell>
          <cell r="B175" t="str">
            <v>卷钢-国内外部</v>
          </cell>
          <cell r="C175">
            <v>-300</v>
          </cell>
        </row>
        <row r="176">
          <cell r="A176" t="str">
            <v>04</v>
          </cell>
          <cell r="B176" t="str">
            <v>卷钢-国内外部</v>
          </cell>
          <cell r="C176">
            <v>-20</v>
          </cell>
        </row>
        <row r="177">
          <cell r="A177" t="str">
            <v>04</v>
          </cell>
          <cell r="B177" t="str">
            <v>卷钢-国内外部</v>
          </cell>
          <cell r="C177">
            <v>-40</v>
          </cell>
        </row>
        <row r="178">
          <cell r="A178" t="str">
            <v>04</v>
          </cell>
          <cell r="B178" t="str">
            <v>卷钢-国内外部</v>
          </cell>
          <cell r="C178">
            <v>-600</v>
          </cell>
        </row>
        <row r="179">
          <cell r="A179" t="str">
            <v>04</v>
          </cell>
          <cell r="B179" t="str">
            <v>卷钢-国内外部</v>
          </cell>
          <cell r="C179">
            <v>-260</v>
          </cell>
        </row>
        <row r="180">
          <cell r="A180" t="str">
            <v>04</v>
          </cell>
          <cell r="B180" t="str">
            <v>卷钢-国内外部</v>
          </cell>
          <cell r="C180">
            <v>-180</v>
          </cell>
        </row>
        <row r="181">
          <cell r="A181" t="str">
            <v>04</v>
          </cell>
          <cell r="B181" t="str">
            <v>卷钢-国内外部</v>
          </cell>
          <cell r="C181">
            <v>-100</v>
          </cell>
        </row>
        <row r="182">
          <cell r="A182" t="str">
            <v>04</v>
          </cell>
          <cell r="B182" t="str">
            <v>卷钢-国内外部</v>
          </cell>
          <cell r="C182">
            <v>-20</v>
          </cell>
        </row>
        <row r="183">
          <cell r="A183" t="str">
            <v>04</v>
          </cell>
          <cell r="B183" t="str">
            <v>卷钢-国内外部</v>
          </cell>
          <cell r="C183">
            <v>-340</v>
          </cell>
        </row>
        <row r="184">
          <cell r="A184" t="str">
            <v>04</v>
          </cell>
          <cell r="B184" t="str">
            <v>卷钢-国内外部</v>
          </cell>
          <cell r="C184">
            <v>-660</v>
          </cell>
        </row>
        <row r="185">
          <cell r="A185" t="str">
            <v>04</v>
          </cell>
          <cell r="B185" t="str">
            <v>卷钢-国内外部</v>
          </cell>
          <cell r="C185">
            <v>600</v>
          </cell>
        </row>
        <row r="186">
          <cell r="A186" t="str">
            <v>04</v>
          </cell>
          <cell r="B186" t="str">
            <v>卷钢-国内外部</v>
          </cell>
          <cell r="C186">
            <v>-500</v>
          </cell>
        </row>
        <row r="187">
          <cell r="A187" t="str">
            <v>04</v>
          </cell>
          <cell r="B187" t="str">
            <v>卷钢-国内外部</v>
          </cell>
          <cell r="C187">
            <v>-100</v>
          </cell>
        </row>
        <row r="188">
          <cell r="A188" t="str">
            <v>04</v>
          </cell>
          <cell r="B188" t="str">
            <v>卷钢-国内外部</v>
          </cell>
          <cell r="C188">
            <v>-500</v>
          </cell>
        </row>
        <row r="189">
          <cell r="A189" t="str">
            <v>04</v>
          </cell>
          <cell r="B189" t="str">
            <v>卷钢-国内外部</v>
          </cell>
          <cell r="C189">
            <v>-600</v>
          </cell>
        </row>
        <row r="190">
          <cell r="A190" t="str">
            <v>04</v>
          </cell>
          <cell r="B190" t="str">
            <v>卷钢-国内外部</v>
          </cell>
          <cell r="C190">
            <v>-80</v>
          </cell>
        </row>
        <row r="191">
          <cell r="A191" t="str">
            <v>04</v>
          </cell>
          <cell r="B191" t="str">
            <v>卷钢-国内外部</v>
          </cell>
          <cell r="C191">
            <v>200</v>
          </cell>
        </row>
        <row r="192">
          <cell r="A192" t="str">
            <v>04</v>
          </cell>
          <cell r="B192" t="str">
            <v>卷钢-国内外部</v>
          </cell>
          <cell r="C192">
            <v>600</v>
          </cell>
        </row>
        <row r="193">
          <cell r="A193" t="str">
            <v>04</v>
          </cell>
          <cell r="B193" t="str">
            <v>卷钢-国内外部</v>
          </cell>
          <cell r="C193">
            <v>800</v>
          </cell>
        </row>
        <row r="194">
          <cell r="A194" t="str">
            <v>04</v>
          </cell>
          <cell r="B194" t="str">
            <v>卷钢-国内外部</v>
          </cell>
          <cell r="C194">
            <v>200</v>
          </cell>
        </row>
        <row r="195">
          <cell r="A195" t="str">
            <v>04</v>
          </cell>
          <cell r="B195" t="str">
            <v>卷钢-国内外部</v>
          </cell>
          <cell r="C195">
            <v>400</v>
          </cell>
        </row>
        <row r="196">
          <cell r="A196" t="str">
            <v>04</v>
          </cell>
          <cell r="B196" t="str">
            <v>卷钢-国内外部</v>
          </cell>
          <cell r="C196">
            <v>200</v>
          </cell>
        </row>
        <row r="197">
          <cell r="A197" t="str">
            <v>04</v>
          </cell>
          <cell r="B197" t="str">
            <v>卷钢-国内内部</v>
          </cell>
          <cell r="C197">
            <v>20</v>
          </cell>
        </row>
        <row r="198">
          <cell r="A198" t="str">
            <v>04</v>
          </cell>
          <cell r="B198" t="str">
            <v>卷钢-国内外部</v>
          </cell>
          <cell r="C198">
            <v>200</v>
          </cell>
        </row>
        <row r="199">
          <cell r="A199" t="str">
            <v>04</v>
          </cell>
          <cell r="B199" t="str">
            <v>卷钢-国内外部</v>
          </cell>
          <cell r="C199">
            <v>200</v>
          </cell>
        </row>
        <row r="200">
          <cell r="A200" t="str">
            <v>04</v>
          </cell>
          <cell r="B200" t="str">
            <v>卷钢-国内外部</v>
          </cell>
          <cell r="C200">
            <v>360</v>
          </cell>
        </row>
        <row r="201">
          <cell r="A201" t="str">
            <v>04</v>
          </cell>
          <cell r="B201" t="str">
            <v>卷钢-国内外部</v>
          </cell>
          <cell r="C201">
            <v>120</v>
          </cell>
        </row>
        <row r="202">
          <cell r="A202" t="str">
            <v>04</v>
          </cell>
          <cell r="B202" t="str">
            <v>卷钢-国内外部</v>
          </cell>
          <cell r="C202">
            <v>520</v>
          </cell>
        </row>
        <row r="203">
          <cell r="A203" t="str">
            <v>04</v>
          </cell>
          <cell r="B203" t="str">
            <v>卷钢-国内外部</v>
          </cell>
          <cell r="C203">
            <v>200</v>
          </cell>
        </row>
        <row r="204">
          <cell r="A204" t="str">
            <v>04</v>
          </cell>
          <cell r="B204" t="str">
            <v>卷钢-国内外部</v>
          </cell>
          <cell r="C204">
            <v>200</v>
          </cell>
        </row>
        <row r="205">
          <cell r="A205" t="str">
            <v>04</v>
          </cell>
          <cell r="B205" t="str">
            <v>卷钢-国内外部</v>
          </cell>
          <cell r="C205">
            <v>400</v>
          </cell>
        </row>
        <row r="206">
          <cell r="A206" t="str">
            <v>04</v>
          </cell>
          <cell r="B206" t="str">
            <v>卷钢-国内外部</v>
          </cell>
          <cell r="C206">
            <v>600</v>
          </cell>
        </row>
        <row r="207">
          <cell r="A207" t="str">
            <v>04</v>
          </cell>
          <cell r="B207" t="str">
            <v>卷钢-国内外部</v>
          </cell>
          <cell r="C207">
            <v>200</v>
          </cell>
        </row>
        <row r="208">
          <cell r="A208" t="str">
            <v>04</v>
          </cell>
          <cell r="B208" t="str">
            <v>卷钢-国内外部</v>
          </cell>
          <cell r="C208">
            <v>100</v>
          </cell>
        </row>
        <row r="209">
          <cell r="A209" t="str">
            <v>04</v>
          </cell>
          <cell r="B209" t="str">
            <v>卷钢-国内外部</v>
          </cell>
          <cell r="C209">
            <v>100</v>
          </cell>
        </row>
        <row r="210">
          <cell r="A210" t="str">
            <v>04</v>
          </cell>
          <cell r="B210" t="str">
            <v>卷钢-国内外部</v>
          </cell>
          <cell r="C210">
            <v>140</v>
          </cell>
        </row>
        <row r="211">
          <cell r="A211" t="str">
            <v>04</v>
          </cell>
          <cell r="B211" t="str">
            <v>卷钢-国内内部</v>
          </cell>
          <cell r="C211">
            <v>500</v>
          </cell>
        </row>
        <row r="212">
          <cell r="A212" t="str">
            <v>04</v>
          </cell>
          <cell r="B212" t="str">
            <v>卷钢-国内外部</v>
          </cell>
          <cell r="C212">
            <v>2000</v>
          </cell>
        </row>
        <row r="213">
          <cell r="A213" t="str">
            <v>04</v>
          </cell>
          <cell r="B213" t="str">
            <v>卷钢-国内外部</v>
          </cell>
          <cell r="C213">
            <v>220</v>
          </cell>
        </row>
        <row r="214">
          <cell r="A214" t="str">
            <v>04</v>
          </cell>
          <cell r="B214" t="str">
            <v>卷钢-国内外部</v>
          </cell>
          <cell r="C214">
            <v>200</v>
          </cell>
        </row>
        <row r="215">
          <cell r="A215" t="str">
            <v>04</v>
          </cell>
          <cell r="B215" t="str">
            <v>卷钢-国内外部</v>
          </cell>
          <cell r="C215">
            <v>300</v>
          </cell>
        </row>
        <row r="216">
          <cell r="A216" t="str">
            <v>04</v>
          </cell>
          <cell r="B216" t="str">
            <v>卷钢-国内外部</v>
          </cell>
          <cell r="C216">
            <v>2600</v>
          </cell>
        </row>
        <row r="217">
          <cell r="A217" t="str">
            <v>04</v>
          </cell>
          <cell r="B217" t="str">
            <v>卷钢-国内外部</v>
          </cell>
          <cell r="C217">
            <v>150</v>
          </cell>
        </row>
        <row r="218">
          <cell r="A218" t="str">
            <v>04</v>
          </cell>
          <cell r="B218" t="str">
            <v>卷钢-国内外部</v>
          </cell>
          <cell r="C218">
            <v>400</v>
          </cell>
        </row>
        <row r="219">
          <cell r="A219" t="str">
            <v>04</v>
          </cell>
          <cell r="B219" t="str">
            <v>卷钢-国内外部</v>
          </cell>
          <cell r="C219">
            <v>400</v>
          </cell>
        </row>
        <row r="220">
          <cell r="A220" t="str">
            <v>04</v>
          </cell>
          <cell r="B220" t="str">
            <v>卷钢-国内外部</v>
          </cell>
          <cell r="C220">
            <v>1000</v>
          </cell>
        </row>
        <row r="221">
          <cell r="A221" t="str">
            <v>04</v>
          </cell>
          <cell r="B221" t="str">
            <v>卷钢-国内外部</v>
          </cell>
          <cell r="C221">
            <v>600</v>
          </cell>
        </row>
        <row r="222">
          <cell r="A222" t="str">
            <v>04</v>
          </cell>
          <cell r="B222" t="str">
            <v>卷钢-国内内部</v>
          </cell>
          <cell r="C222">
            <v>1200</v>
          </cell>
        </row>
        <row r="223">
          <cell r="A223" t="str">
            <v>04</v>
          </cell>
          <cell r="B223" t="str">
            <v>卷钢-国内外部</v>
          </cell>
          <cell r="C223">
            <v>1200</v>
          </cell>
        </row>
        <row r="224">
          <cell r="A224" t="str">
            <v>04</v>
          </cell>
          <cell r="B224" t="str">
            <v>卷钢-国内外部</v>
          </cell>
          <cell r="C224">
            <v>180</v>
          </cell>
        </row>
        <row r="225">
          <cell r="A225" t="str">
            <v>04</v>
          </cell>
          <cell r="B225" t="str">
            <v>卷钢-国内外部</v>
          </cell>
          <cell r="C225">
            <v>120</v>
          </cell>
        </row>
        <row r="226">
          <cell r="A226" t="str">
            <v>04</v>
          </cell>
          <cell r="B226" t="str">
            <v>卷钢-国内外部</v>
          </cell>
          <cell r="C226">
            <v>400</v>
          </cell>
        </row>
        <row r="227">
          <cell r="A227" t="str">
            <v>04</v>
          </cell>
          <cell r="B227" t="str">
            <v>卷钢-国内外部</v>
          </cell>
          <cell r="C227">
            <v>200</v>
          </cell>
        </row>
        <row r="228">
          <cell r="A228" t="str">
            <v>04</v>
          </cell>
          <cell r="B228" t="str">
            <v>卷钢-国内外部</v>
          </cell>
          <cell r="C228">
            <v>160</v>
          </cell>
        </row>
        <row r="229">
          <cell r="A229" t="str">
            <v>04</v>
          </cell>
          <cell r="B229" t="str">
            <v>卷钢-国内外部</v>
          </cell>
          <cell r="C229">
            <v>150</v>
          </cell>
        </row>
        <row r="230">
          <cell r="A230" t="str">
            <v>04</v>
          </cell>
          <cell r="B230" t="str">
            <v>卷钢-国内外部</v>
          </cell>
          <cell r="C230">
            <v>800</v>
          </cell>
        </row>
        <row r="231">
          <cell r="A231" t="str">
            <v>04</v>
          </cell>
          <cell r="B231" t="str">
            <v>卷钢-国内外部</v>
          </cell>
          <cell r="C231">
            <v>140</v>
          </cell>
        </row>
        <row r="232">
          <cell r="A232" t="str">
            <v>04</v>
          </cell>
          <cell r="B232" t="str">
            <v>卷钢-国内外部</v>
          </cell>
          <cell r="C232">
            <v>800</v>
          </cell>
        </row>
        <row r="233">
          <cell r="A233" t="str">
            <v>04</v>
          </cell>
          <cell r="B233" t="str">
            <v>卷钢-国内外部</v>
          </cell>
          <cell r="C233">
            <v>140</v>
          </cell>
        </row>
        <row r="234">
          <cell r="A234" t="str">
            <v>04</v>
          </cell>
          <cell r="B234" t="str">
            <v>卷钢-国内外部</v>
          </cell>
          <cell r="C234">
            <v>160</v>
          </cell>
        </row>
        <row r="235">
          <cell r="A235" t="str">
            <v>04</v>
          </cell>
          <cell r="B235" t="str">
            <v>卷钢-国内外部</v>
          </cell>
          <cell r="C235">
            <v>0</v>
          </cell>
        </row>
        <row r="236">
          <cell r="A236" t="str">
            <v>04</v>
          </cell>
          <cell r="B236" t="str">
            <v>卷钢-国内外部</v>
          </cell>
          <cell r="C236">
            <v>0</v>
          </cell>
        </row>
        <row r="237">
          <cell r="A237" t="str">
            <v>04</v>
          </cell>
          <cell r="B237" t="str">
            <v>卷钢-国内外部</v>
          </cell>
          <cell r="C237">
            <v>180</v>
          </cell>
        </row>
        <row r="238">
          <cell r="A238" t="str">
            <v>04</v>
          </cell>
          <cell r="B238" t="str">
            <v>卷钢-国内外部</v>
          </cell>
          <cell r="C238">
            <v>500</v>
          </cell>
        </row>
        <row r="239">
          <cell r="A239" t="str">
            <v>04</v>
          </cell>
          <cell r="B239" t="str">
            <v>卷钢-国内外部</v>
          </cell>
          <cell r="C239">
            <v>100</v>
          </cell>
        </row>
        <row r="240">
          <cell r="A240" t="str">
            <v>04</v>
          </cell>
          <cell r="B240" t="str">
            <v>卷钢-国内外部</v>
          </cell>
          <cell r="C240">
            <v>400</v>
          </cell>
        </row>
        <row r="241">
          <cell r="A241" t="str">
            <v>04</v>
          </cell>
          <cell r="B241" t="str">
            <v>卷钢-国内外部</v>
          </cell>
          <cell r="C241">
            <v>320</v>
          </cell>
        </row>
        <row r="242">
          <cell r="A242" t="str">
            <v>04</v>
          </cell>
          <cell r="B242" t="str">
            <v>卷钢-国内外部</v>
          </cell>
          <cell r="C242">
            <v>1000</v>
          </cell>
        </row>
        <row r="243">
          <cell r="A243" t="str">
            <v>04</v>
          </cell>
          <cell r="B243" t="str">
            <v>卷钢-国内外部</v>
          </cell>
          <cell r="C243">
            <v>7040</v>
          </cell>
        </row>
        <row r="244">
          <cell r="A244" t="str">
            <v>04</v>
          </cell>
          <cell r="B244" t="str">
            <v>卷钢-国内外部</v>
          </cell>
          <cell r="C244">
            <v>440</v>
          </cell>
        </row>
        <row r="245">
          <cell r="A245" t="str">
            <v>04</v>
          </cell>
          <cell r="B245" t="str">
            <v>卷钢-国内外部</v>
          </cell>
          <cell r="C245">
            <v>440</v>
          </cell>
        </row>
        <row r="246">
          <cell r="A246" t="str">
            <v>04</v>
          </cell>
          <cell r="B246" t="str">
            <v>卷钢-国内外部</v>
          </cell>
          <cell r="C246">
            <v>440</v>
          </cell>
        </row>
        <row r="247">
          <cell r="A247" t="str">
            <v>04</v>
          </cell>
          <cell r="B247" t="str">
            <v>卷钢-国内外部</v>
          </cell>
          <cell r="C247">
            <v>300</v>
          </cell>
        </row>
        <row r="248">
          <cell r="A248" t="str">
            <v>04</v>
          </cell>
          <cell r="B248" t="str">
            <v>卷钢-国内外部</v>
          </cell>
          <cell r="C248">
            <v>240</v>
          </cell>
        </row>
        <row r="249">
          <cell r="A249" t="str">
            <v>04</v>
          </cell>
          <cell r="B249" t="str">
            <v>卷钢-国内外部</v>
          </cell>
          <cell r="C249">
            <v>300</v>
          </cell>
        </row>
        <row r="250">
          <cell r="A250" t="str">
            <v>04</v>
          </cell>
          <cell r="B250" t="str">
            <v>卷钢-国内外部</v>
          </cell>
          <cell r="C250">
            <v>300</v>
          </cell>
        </row>
        <row r="251">
          <cell r="A251" t="str">
            <v>04</v>
          </cell>
          <cell r="B251" t="str">
            <v>卷钢-国内外部</v>
          </cell>
          <cell r="C251">
            <v>400</v>
          </cell>
        </row>
        <row r="252">
          <cell r="A252" t="str">
            <v>04</v>
          </cell>
          <cell r="B252" t="str">
            <v>卷钢-国内外部</v>
          </cell>
          <cell r="C252">
            <v>120</v>
          </cell>
        </row>
        <row r="253">
          <cell r="A253" t="str">
            <v>04</v>
          </cell>
          <cell r="B253" t="str">
            <v>卷钢-国内外部</v>
          </cell>
          <cell r="C253">
            <v>100</v>
          </cell>
        </row>
        <row r="254">
          <cell r="A254" t="str">
            <v>04</v>
          </cell>
          <cell r="B254" t="str">
            <v>卷钢-国内外部</v>
          </cell>
          <cell r="C254">
            <v>400</v>
          </cell>
        </row>
        <row r="255">
          <cell r="A255" t="str">
            <v>04</v>
          </cell>
          <cell r="B255" t="str">
            <v>卷钢-国内外部</v>
          </cell>
          <cell r="C255">
            <v>100</v>
          </cell>
        </row>
        <row r="256">
          <cell r="A256" t="str">
            <v>04</v>
          </cell>
          <cell r="B256" t="str">
            <v>卷钢-国内外部</v>
          </cell>
          <cell r="C256">
            <v>1000</v>
          </cell>
        </row>
        <row r="257">
          <cell r="A257" t="str">
            <v>04</v>
          </cell>
          <cell r="B257" t="str">
            <v>卷钢-国内外部</v>
          </cell>
          <cell r="C257">
            <v>80</v>
          </cell>
        </row>
        <row r="258">
          <cell r="A258" t="str">
            <v>04</v>
          </cell>
          <cell r="B258" t="str">
            <v>卷钢-国内外部</v>
          </cell>
          <cell r="C258">
            <v>500</v>
          </cell>
        </row>
        <row r="259">
          <cell r="A259" t="str">
            <v>04</v>
          </cell>
          <cell r="B259" t="str">
            <v>卷钢-国内外部</v>
          </cell>
          <cell r="C259">
            <v>150</v>
          </cell>
        </row>
        <row r="260">
          <cell r="A260" t="str">
            <v>04</v>
          </cell>
          <cell r="B260" t="str">
            <v>卷钢-国内外部</v>
          </cell>
          <cell r="C260">
            <v>140</v>
          </cell>
        </row>
        <row r="261">
          <cell r="A261" t="str">
            <v>04</v>
          </cell>
          <cell r="B261" t="str">
            <v>卷钢-国内外部</v>
          </cell>
          <cell r="C261">
            <v>80</v>
          </cell>
        </row>
        <row r="262">
          <cell r="A262" t="str">
            <v>04</v>
          </cell>
          <cell r="B262" t="str">
            <v>卷钢-国内外部</v>
          </cell>
          <cell r="C262">
            <v>120</v>
          </cell>
        </row>
        <row r="263">
          <cell r="A263" t="str">
            <v>04</v>
          </cell>
          <cell r="B263" t="str">
            <v>卷钢-国内外部</v>
          </cell>
          <cell r="C263">
            <v>100</v>
          </cell>
        </row>
        <row r="264">
          <cell r="A264" t="str">
            <v>04</v>
          </cell>
          <cell r="B264" t="str">
            <v>卷钢-国内外部</v>
          </cell>
          <cell r="C264">
            <v>100</v>
          </cell>
        </row>
        <row r="265">
          <cell r="A265" t="str">
            <v>04</v>
          </cell>
          <cell r="B265" t="str">
            <v>卷钢-国内内部</v>
          </cell>
          <cell r="C265">
            <v>100</v>
          </cell>
        </row>
        <row r="266">
          <cell r="A266" t="str">
            <v>04</v>
          </cell>
          <cell r="B266" t="str">
            <v>卷钢-国内外部</v>
          </cell>
          <cell r="C266">
            <v>440</v>
          </cell>
        </row>
        <row r="267">
          <cell r="A267" t="str">
            <v>04</v>
          </cell>
          <cell r="B267" t="str">
            <v>卷钢-国内外部</v>
          </cell>
          <cell r="C267">
            <v>400</v>
          </cell>
        </row>
        <row r="268">
          <cell r="A268" t="str">
            <v>04</v>
          </cell>
          <cell r="B268" t="str">
            <v>卷钢-国内外部</v>
          </cell>
          <cell r="C268">
            <v>600</v>
          </cell>
        </row>
        <row r="269">
          <cell r="A269" t="str">
            <v>04</v>
          </cell>
          <cell r="B269" t="str">
            <v>卷钢-国内外部</v>
          </cell>
          <cell r="C269">
            <v>400</v>
          </cell>
        </row>
        <row r="270">
          <cell r="A270" t="str">
            <v>04</v>
          </cell>
          <cell r="B270" t="str">
            <v>卷钢-国内外部</v>
          </cell>
          <cell r="C270">
            <v>300</v>
          </cell>
        </row>
        <row r="271">
          <cell r="A271" t="str">
            <v>04</v>
          </cell>
          <cell r="B271" t="str">
            <v>卷钢-国内外部</v>
          </cell>
          <cell r="C271">
            <v>220</v>
          </cell>
        </row>
        <row r="272">
          <cell r="A272" t="str">
            <v>04</v>
          </cell>
          <cell r="B272" t="str">
            <v>卷钢-国内外部</v>
          </cell>
          <cell r="C272">
            <v>200</v>
          </cell>
        </row>
        <row r="273">
          <cell r="A273" t="str">
            <v>04</v>
          </cell>
          <cell r="B273" t="str">
            <v>卷钢-国内外部</v>
          </cell>
          <cell r="C273">
            <v>150</v>
          </cell>
        </row>
        <row r="274">
          <cell r="A274" t="str">
            <v>04</v>
          </cell>
          <cell r="B274" t="str">
            <v>卷钢-国内外部</v>
          </cell>
          <cell r="C274">
            <v>380</v>
          </cell>
        </row>
        <row r="275">
          <cell r="A275" t="str">
            <v>04</v>
          </cell>
          <cell r="B275" t="str">
            <v>卷钢-国内外部</v>
          </cell>
          <cell r="C275">
            <v>80</v>
          </cell>
        </row>
        <row r="276">
          <cell r="A276" t="str">
            <v>04</v>
          </cell>
          <cell r="B276" t="str">
            <v>卷钢-国内外部</v>
          </cell>
          <cell r="C276">
            <v>300</v>
          </cell>
        </row>
        <row r="277">
          <cell r="A277" t="str">
            <v>04</v>
          </cell>
          <cell r="B277" t="str">
            <v>卷钢-国内外部</v>
          </cell>
          <cell r="C277">
            <v>400</v>
          </cell>
        </row>
        <row r="278">
          <cell r="A278" t="str">
            <v>04</v>
          </cell>
          <cell r="B278" t="str">
            <v>卷钢-国内外部</v>
          </cell>
          <cell r="C278">
            <v>900</v>
          </cell>
        </row>
        <row r="279">
          <cell r="A279" t="str">
            <v>04</v>
          </cell>
          <cell r="B279" t="str">
            <v>卷钢-国内外部</v>
          </cell>
          <cell r="C279">
            <v>900</v>
          </cell>
        </row>
        <row r="280">
          <cell r="A280" t="str">
            <v>04</v>
          </cell>
          <cell r="B280" t="str">
            <v>卷钢-国内外部</v>
          </cell>
          <cell r="C280">
            <v>80</v>
          </cell>
        </row>
        <row r="281">
          <cell r="A281" t="str">
            <v>04</v>
          </cell>
          <cell r="B281" t="str">
            <v>卷钢-国内外部</v>
          </cell>
          <cell r="C281">
            <v>140</v>
          </cell>
        </row>
        <row r="282">
          <cell r="A282" t="str">
            <v>04</v>
          </cell>
          <cell r="B282" t="str">
            <v>卷钢-国内外部</v>
          </cell>
          <cell r="C282">
            <v>300</v>
          </cell>
        </row>
        <row r="283">
          <cell r="A283" t="str">
            <v>05</v>
          </cell>
          <cell r="B283" t="str">
            <v>卷钢-国内外部</v>
          </cell>
          <cell r="C283">
            <v>200</v>
          </cell>
        </row>
        <row r="284">
          <cell r="A284" t="str">
            <v>05</v>
          </cell>
          <cell r="B284" t="str">
            <v>卷钢-国内外部</v>
          </cell>
          <cell r="C284">
            <v>840</v>
          </cell>
        </row>
        <row r="285">
          <cell r="A285" t="str">
            <v>05</v>
          </cell>
          <cell r="B285" t="str">
            <v>卷钢-国内内部</v>
          </cell>
          <cell r="C285">
            <v>20000</v>
          </cell>
        </row>
        <row r="286">
          <cell r="A286" t="str">
            <v>05</v>
          </cell>
          <cell r="B286" t="str">
            <v>卷钢-国内外部</v>
          </cell>
          <cell r="C286">
            <v>1000</v>
          </cell>
        </row>
        <row r="287">
          <cell r="A287" t="str">
            <v>05</v>
          </cell>
          <cell r="B287" t="str">
            <v>卷钢-国内外部</v>
          </cell>
          <cell r="C287">
            <v>1060</v>
          </cell>
        </row>
        <row r="288">
          <cell r="A288" t="str">
            <v>05</v>
          </cell>
          <cell r="B288" t="str">
            <v>卷钢-国内外部</v>
          </cell>
          <cell r="C288">
            <v>1000</v>
          </cell>
        </row>
        <row r="289">
          <cell r="A289" t="str">
            <v>05</v>
          </cell>
          <cell r="B289" t="str">
            <v>卷钢-国内外部</v>
          </cell>
          <cell r="C289">
            <v>400</v>
          </cell>
        </row>
        <row r="290">
          <cell r="A290" t="str">
            <v>05</v>
          </cell>
          <cell r="B290" t="str">
            <v>卷钢-国内外部</v>
          </cell>
          <cell r="C290">
            <v>200</v>
          </cell>
        </row>
        <row r="291">
          <cell r="A291" t="str">
            <v>05</v>
          </cell>
          <cell r="B291" t="str">
            <v>卷钢-国内外部</v>
          </cell>
          <cell r="C291">
            <v>500</v>
          </cell>
        </row>
        <row r="292">
          <cell r="A292" t="str">
            <v>05</v>
          </cell>
          <cell r="B292" t="str">
            <v>卷钢-国内外部</v>
          </cell>
          <cell r="C292">
            <v>170</v>
          </cell>
        </row>
        <row r="293">
          <cell r="A293" t="str">
            <v>05</v>
          </cell>
          <cell r="B293" t="str">
            <v>卷钢-国内外部</v>
          </cell>
          <cell r="C293">
            <v>800</v>
          </cell>
        </row>
        <row r="294">
          <cell r="A294" t="str">
            <v>05</v>
          </cell>
          <cell r="B294" t="str">
            <v>卷钢-国内外部</v>
          </cell>
          <cell r="C294">
            <v>240</v>
          </cell>
        </row>
        <row r="295">
          <cell r="A295" t="str">
            <v>05</v>
          </cell>
          <cell r="B295" t="str">
            <v>卷钢-国内外部</v>
          </cell>
          <cell r="C295">
            <v>200</v>
          </cell>
        </row>
        <row r="296">
          <cell r="A296" t="str">
            <v>05</v>
          </cell>
          <cell r="B296" t="str">
            <v>卷钢-国内外部</v>
          </cell>
          <cell r="C296">
            <v>170</v>
          </cell>
        </row>
        <row r="297">
          <cell r="A297" t="str">
            <v>05</v>
          </cell>
          <cell r="B297" t="str">
            <v>卷钢-国内外部</v>
          </cell>
          <cell r="C297">
            <v>800</v>
          </cell>
        </row>
        <row r="298">
          <cell r="A298" t="str">
            <v>05</v>
          </cell>
          <cell r="B298" t="str">
            <v>卷钢-国内外部</v>
          </cell>
          <cell r="C298">
            <v>220</v>
          </cell>
        </row>
        <row r="299">
          <cell r="A299" t="str">
            <v>05</v>
          </cell>
          <cell r="B299" t="str">
            <v>卷钢-国内外部</v>
          </cell>
          <cell r="C299">
            <v>80</v>
          </cell>
        </row>
        <row r="300">
          <cell r="A300" t="str">
            <v>05</v>
          </cell>
          <cell r="B300" t="str">
            <v>卷钢-国内内部</v>
          </cell>
          <cell r="C300">
            <v>200</v>
          </cell>
        </row>
        <row r="301">
          <cell r="A301" t="str">
            <v>05</v>
          </cell>
          <cell r="B301" t="str">
            <v>卷钢-国内外部</v>
          </cell>
          <cell r="C301">
            <v>60</v>
          </cell>
        </row>
        <row r="302">
          <cell r="A302" t="str">
            <v>05</v>
          </cell>
          <cell r="B302" t="str">
            <v>卷钢-国内外部</v>
          </cell>
          <cell r="C302">
            <v>200</v>
          </cell>
        </row>
        <row r="303">
          <cell r="A303" t="str">
            <v>05</v>
          </cell>
          <cell r="B303" t="str">
            <v>卷钢-国内外部</v>
          </cell>
          <cell r="C303">
            <v>20</v>
          </cell>
        </row>
        <row r="304">
          <cell r="A304" t="str">
            <v>05</v>
          </cell>
          <cell r="B304" t="str">
            <v>卷钢-国内外部</v>
          </cell>
          <cell r="C304">
            <v>120</v>
          </cell>
        </row>
        <row r="305">
          <cell r="A305" t="str">
            <v>05</v>
          </cell>
          <cell r="B305" t="str">
            <v>卷钢-国内外部</v>
          </cell>
          <cell r="C305">
            <v>300</v>
          </cell>
        </row>
        <row r="306">
          <cell r="A306" t="str">
            <v>05</v>
          </cell>
          <cell r="B306" t="str">
            <v>卷钢-国内外部</v>
          </cell>
          <cell r="C306">
            <v>80</v>
          </cell>
        </row>
        <row r="307">
          <cell r="A307" t="str">
            <v>05</v>
          </cell>
          <cell r="B307" t="str">
            <v>卷钢-国内外部</v>
          </cell>
          <cell r="C307">
            <v>200</v>
          </cell>
        </row>
        <row r="308">
          <cell r="A308" t="str">
            <v>05</v>
          </cell>
          <cell r="B308" t="str">
            <v>卷钢-国内外部</v>
          </cell>
          <cell r="C308">
            <v>200</v>
          </cell>
        </row>
        <row r="309">
          <cell r="A309" t="str">
            <v>05</v>
          </cell>
          <cell r="B309" t="str">
            <v>卷钢-国内外部</v>
          </cell>
          <cell r="C309">
            <v>1000</v>
          </cell>
        </row>
        <row r="310">
          <cell r="A310" t="str">
            <v>05</v>
          </cell>
          <cell r="B310" t="str">
            <v>卷钢-国内外部</v>
          </cell>
          <cell r="C310">
            <v>1100</v>
          </cell>
        </row>
        <row r="311">
          <cell r="A311" t="str">
            <v>05</v>
          </cell>
          <cell r="B311" t="str">
            <v>卷钢-国内外部</v>
          </cell>
          <cell r="C311">
            <v>1200</v>
          </cell>
        </row>
        <row r="312">
          <cell r="A312" t="str">
            <v>05</v>
          </cell>
          <cell r="B312" t="str">
            <v>卷钢-国内外部</v>
          </cell>
          <cell r="C312">
            <v>6160</v>
          </cell>
        </row>
        <row r="313">
          <cell r="A313" t="str">
            <v>05</v>
          </cell>
          <cell r="B313" t="str">
            <v>卷钢-国内外部</v>
          </cell>
          <cell r="C313">
            <v>200</v>
          </cell>
        </row>
        <row r="314">
          <cell r="A314" t="str">
            <v>05</v>
          </cell>
          <cell r="B314" t="str">
            <v>卷钢-国内外部</v>
          </cell>
          <cell r="C314">
            <v>350</v>
          </cell>
        </row>
        <row r="315">
          <cell r="A315" t="str">
            <v>05</v>
          </cell>
          <cell r="B315" t="str">
            <v>卷钢-国内外部</v>
          </cell>
          <cell r="C315">
            <v>240</v>
          </cell>
        </row>
        <row r="316">
          <cell r="A316" t="str">
            <v>05</v>
          </cell>
          <cell r="B316" t="str">
            <v>卷钢-国内外部</v>
          </cell>
          <cell r="C316">
            <v>80</v>
          </cell>
        </row>
        <row r="317">
          <cell r="A317" t="str">
            <v>05</v>
          </cell>
          <cell r="B317" t="str">
            <v>卷钢-国内外部</v>
          </cell>
          <cell r="C317">
            <v>-80</v>
          </cell>
        </row>
        <row r="318">
          <cell r="A318" t="str">
            <v>05</v>
          </cell>
          <cell r="B318" t="str">
            <v>卷钢-国内外部</v>
          </cell>
          <cell r="C318">
            <v>200</v>
          </cell>
        </row>
        <row r="319">
          <cell r="A319" t="str">
            <v>05</v>
          </cell>
          <cell r="B319" t="str">
            <v>卷钢-国内外部</v>
          </cell>
          <cell r="C319">
            <v>300</v>
          </cell>
        </row>
        <row r="320">
          <cell r="A320" t="str">
            <v>05</v>
          </cell>
          <cell r="B320" t="str">
            <v>卷钢-国内外部</v>
          </cell>
          <cell r="C320">
            <v>200</v>
          </cell>
        </row>
        <row r="321">
          <cell r="A321" t="str">
            <v>05</v>
          </cell>
          <cell r="B321" t="str">
            <v>卷钢-国内内部</v>
          </cell>
          <cell r="C321">
            <v>500</v>
          </cell>
        </row>
        <row r="322">
          <cell r="A322" t="str">
            <v>05</v>
          </cell>
          <cell r="B322" t="str">
            <v>卷钢-国内内部</v>
          </cell>
          <cell r="C322">
            <v>20</v>
          </cell>
        </row>
        <row r="323">
          <cell r="A323" t="str">
            <v>05</v>
          </cell>
          <cell r="B323" t="str">
            <v>卷钢-国内外部</v>
          </cell>
          <cell r="C323">
            <v>40</v>
          </cell>
        </row>
        <row r="324">
          <cell r="A324" t="str">
            <v>05</v>
          </cell>
          <cell r="B324" t="str">
            <v>卷钢-国内外部</v>
          </cell>
          <cell r="C324">
            <v>60</v>
          </cell>
        </row>
        <row r="325">
          <cell r="A325" t="str">
            <v>05</v>
          </cell>
          <cell r="B325" t="str">
            <v>卷钢-国内外部</v>
          </cell>
          <cell r="C325">
            <v>1000</v>
          </cell>
        </row>
        <row r="326">
          <cell r="A326" t="str">
            <v>05</v>
          </cell>
          <cell r="B326" t="str">
            <v>卷钢-国内外部</v>
          </cell>
          <cell r="C326">
            <v>100</v>
          </cell>
        </row>
        <row r="327">
          <cell r="A327" t="str">
            <v>05</v>
          </cell>
          <cell r="B327" t="str">
            <v>卷钢-国内外部</v>
          </cell>
          <cell r="C327">
            <v>600</v>
          </cell>
        </row>
        <row r="328">
          <cell r="A328" t="str">
            <v>05</v>
          </cell>
          <cell r="B328" t="str">
            <v>卷钢-国内外部</v>
          </cell>
          <cell r="C328">
            <v>400</v>
          </cell>
        </row>
        <row r="329">
          <cell r="A329" t="str">
            <v>05</v>
          </cell>
          <cell r="B329" t="str">
            <v>卷钢-国内外部</v>
          </cell>
          <cell r="C329">
            <v>400</v>
          </cell>
        </row>
        <row r="330">
          <cell r="A330" t="str">
            <v>05</v>
          </cell>
          <cell r="B330" t="str">
            <v>卷钢-国内外部</v>
          </cell>
          <cell r="C330">
            <v>400</v>
          </cell>
        </row>
        <row r="331">
          <cell r="A331" t="str">
            <v>05</v>
          </cell>
          <cell r="B331" t="str">
            <v>卷钢-国内外部</v>
          </cell>
          <cell r="C331">
            <v>1000</v>
          </cell>
        </row>
        <row r="332">
          <cell r="A332" t="str">
            <v>05</v>
          </cell>
          <cell r="B332" t="str">
            <v>卷钢-国内外部</v>
          </cell>
          <cell r="C332">
            <v>100</v>
          </cell>
        </row>
        <row r="333">
          <cell r="A333" t="str">
            <v>05</v>
          </cell>
          <cell r="B333" t="str">
            <v>卷钢-国内外部</v>
          </cell>
          <cell r="C333">
            <v>400</v>
          </cell>
        </row>
        <row r="334">
          <cell r="A334" t="str">
            <v>05</v>
          </cell>
          <cell r="B334" t="str">
            <v>卷钢-国内外部</v>
          </cell>
          <cell r="C334">
            <v>300</v>
          </cell>
        </row>
        <row r="335">
          <cell r="A335" t="str">
            <v>05</v>
          </cell>
          <cell r="B335" t="str">
            <v>卷钢-国内外部</v>
          </cell>
          <cell r="C335">
            <v>3000</v>
          </cell>
        </row>
        <row r="336">
          <cell r="A336" t="str">
            <v>05</v>
          </cell>
          <cell r="B336" t="str">
            <v>卷钢-国内外部</v>
          </cell>
          <cell r="C336">
            <v>600</v>
          </cell>
        </row>
        <row r="337">
          <cell r="A337" t="str">
            <v>05</v>
          </cell>
          <cell r="B337" t="str">
            <v>卷钢-国内外部</v>
          </cell>
          <cell r="C337">
            <v>120</v>
          </cell>
        </row>
        <row r="338">
          <cell r="A338" t="str">
            <v>05</v>
          </cell>
          <cell r="B338" t="str">
            <v>卷钢-国内外部</v>
          </cell>
          <cell r="C338">
            <v>100</v>
          </cell>
        </row>
        <row r="339">
          <cell r="A339" t="str">
            <v>05</v>
          </cell>
          <cell r="B339" t="str">
            <v>卷钢-国内外部</v>
          </cell>
          <cell r="C339">
            <v>150</v>
          </cell>
        </row>
        <row r="340">
          <cell r="A340" t="str">
            <v>05</v>
          </cell>
          <cell r="B340" t="str">
            <v>卷钢-国内外部</v>
          </cell>
          <cell r="C340">
            <v>1000</v>
          </cell>
        </row>
        <row r="341">
          <cell r="A341" t="str">
            <v>05</v>
          </cell>
          <cell r="B341" t="str">
            <v>卷钢-国内内部</v>
          </cell>
          <cell r="C341">
            <v>1300</v>
          </cell>
        </row>
        <row r="342">
          <cell r="A342" t="str">
            <v>05</v>
          </cell>
          <cell r="B342" t="str">
            <v>卷钢-国内内部</v>
          </cell>
          <cell r="C342">
            <v>20000</v>
          </cell>
        </row>
        <row r="343">
          <cell r="A343" t="str">
            <v>05</v>
          </cell>
          <cell r="B343" t="str">
            <v>卷钢-国内内部</v>
          </cell>
          <cell r="C343">
            <v>100</v>
          </cell>
        </row>
        <row r="344">
          <cell r="A344" t="str">
            <v>05</v>
          </cell>
          <cell r="B344" t="str">
            <v>卷钢-国内外部</v>
          </cell>
          <cell r="C344">
            <v>100</v>
          </cell>
        </row>
        <row r="345">
          <cell r="A345" t="str">
            <v>05</v>
          </cell>
          <cell r="B345" t="str">
            <v>卷钢-国内外部</v>
          </cell>
          <cell r="C345">
            <v>350</v>
          </cell>
        </row>
        <row r="346">
          <cell r="A346" t="str">
            <v>05</v>
          </cell>
          <cell r="B346" t="str">
            <v>卷钢-国内内部</v>
          </cell>
          <cell r="C346">
            <v>3000</v>
          </cell>
        </row>
        <row r="347">
          <cell r="A347" t="str">
            <v>05</v>
          </cell>
          <cell r="B347" t="str">
            <v>卷钢-国内外部</v>
          </cell>
          <cell r="C347">
            <v>4000</v>
          </cell>
        </row>
        <row r="348">
          <cell r="A348" t="str">
            <v>05</v>
          </cell>
          <cell r="B348" t="str">
            <v>卷钢-国内内部</v>
          </cell>
          <cell r="C348">
            <v>20</v>
          </cell>
        </row>
        <row r="349">
          <cell r="A349" t="str">
            <v>05</v>
          </cell>
          <cell r="B349" t="str">
            <v>卷钢-国内内部</v>
          </cell>
          <cell r="C349">
            <v>50</v>
          </cell>
        </row>
        <row r="350">
          <cell r="A350" t="str">
            <v>05</v>
          </cell>
          <cell r="B350" t="str">
            <v>卷钢-国内内部</v>
          </cell>
          <cell r="C350">
            <v>25</v>
          </cell>
        </row>
        <row r="351">
          <cell r="A351" t="str">
            <v>05</v>
          </cell>
          <cell r="B351" t="str">
            <v>卷钢-国内内部</v>
          </cell>
          <cell r="C351">
            <v>50</v>
          </cell>
        </row>
        <row r="352">
          <cell r="A352" t="str">
            <v>05</v>
          </cell>
          <cell r="B352" t="str">
            <v>卷钢-国内外部</v>
          </cell>
          <cell r="C352">
            <v>120</v>
          </cell>
        </row>
        <row r="353">
          <cell r="A353" t="str">
            <v>05</v>
          </cell>
          <cell r="B353" t="str">
            <v>卷钢-国内外部</v>
          </cell>
          <cell r="C353">
            <v>60</v>
          </cell>
        </row>
        <row r="354">
          <cell r="A354" t="str">
            <v>05</v>
          </cell>
          <cell r="B354" t="str">
            <v>卷钢-国内外部</v>
          </cell>
          <cell r="C354">
            <v>120</v>
          </cell>
        </row>
        <row r="355">
          <cell r="A355" t="str">
            <v>05</v>
          </cell>
          <cell r="B355" t="str">
            <v>卷钢-国内外部</v>
          </cell>
          <cell r="C355">
            <v>150</v>
          </cell>
        </row>
        <row r="356">
          <cell r="A356" t="str">
            <v>05</v>
          </cell>
          <cell r="B356" t="str">
            <v>卷钢-国内外部</v>
          </cell>
          <cell r="C356">
            <v>4400</v>
          </cell>
        </row>
        <row r="357">
          <cell r="A357" t="str">
            <v>05</v>
          </cell>
          <cell r="B357" t="str">
            <v>卷钢-国内外部</v>
          </cell>
          <cell r="C357">
            <v>80</v>
          </cell>
        </row>
        <row r="358">
          <cell r="A358" t="str">
            <v>05</v>
          </cell>
          <cell r="B358" t="str">
            <v>卷钢-国内外部</v>
          </cell>
          <cell r="C358">
            <v>5800</v>
          </cell>
        </row>
        <row r="359">
          <cell r="A359" t="str">
            <v>05</v>
          </cell>
          <cell r="B359" t="str">
            <v>卷钢-国内外部</v>
          </cell>
          <cell r="C359">
            <v>400</v>
          </cell>
        </row>
        <row r="360">
          <cell r="A360" t="str">
            <v>05</v>
          </cell>
          <cell r="B360" t="str">
            <v>卷钢-国内外部</v>
          </cell>
          <cell r="C360">
            <v>200</v>
          </cell>
        </row>
        <row r="361">
          <cell r="A361" t="str">
            <v>05</v>
          </cell>
          <cell r="B361" t="str">
            <v>卷钢-国内外部</v>
          </cell>
          <cell r="C361">
            <v>400</v>
          </cell>
        </row>
        <row r="362">
          <cell r="A362" t="str">
            <v>05</v>
          </cell>
          <cell r="B362" t="str">
            <v>卷钢-国内外部</v>
          </cell>
          <cell r="C362">
            <v>20</v>
          </cell>
        </row>
        <row r="363">
          <cell r="A363" t="str">
            <v>05</v>
          </cell>
          <cell r="B363" t="str">
            <v>卷钢-国内外部</v>
          </cell>
          <cell r="C363">
            <v>200</v>
          </cell>
        </row>
        <row r="364">
          <cell r="A364" t="str">
            <v>06</v>
          </cell>
          <cell r="B364" t="str">
            <v>卷钢-国内外部</v>
          </cell>
          <cell r="C364">
            <v>220</v>
          </cell>
        </row>
        <row r="365">
          <cell r="A365" t="str">
            <v>06</v>
          </cell>
          <cell r="B365" t="str">
            <v>卷钢-国内外部</v>
          </cell>
          <cell r="C365">
            <v>400</v>
          </cell>
        </row>
        <row r="366">
          <cell r="A366" t="str">
            <v>06</v>
          </cell>
          <cell r="B366" t="str">
            <v>卷钢-国内外部</v>
          </cell>
          <cell r="C366">
            <v>250</v>
          </cell>
        </row>
        <row r="367">
          <cell r="A367" t="str">
            <v>06</v>
          </cell>
          <cell r="B367" t="str">
            <v>卷钢-国内外部</v>
          </cell>
          <cell r="C367">
            <v>400</v>
          </cell>
        </row>
        <row r="368">
          <cell r="A368" t="str">
            <v>06</v>
          </cell>
          <cell r="B368" t="str">
            <v>卷钢-国内外部</v>
          </cell>
          <cell r="C368">
            <v>200</v>
          </cell>
        </row>
        <row r="369">
          <cell r="A369" t="str">
            <v>06</v>
          </cell>
          <cell r="B369" t="str">
            <v>卷钢-国内内部</v>
          </cell>
          <cell r="C369">
            <v>25</v>
          </cell>
        </row>
        <row r="370">
          <cell r="A370" t="str">
            <v>06</v>
          </cell>
          <cell r="B370" t="str">
            <v>卷钢-国内外部</v>
          </cell>
          <cell r="C370">
            <v>7040</v>
          </cell>
        </row>
        <row r="371">
          <cell r="A371" t="str">
            <v>06</v>
          </cell>
          <cell r="B371" t="str">
            <v>卷钢-国内外部</v>
          </cell>
          <cell r="C371">
            <v>880</v>
          </cell>
        </row>
        <row r="372">
          <cell r="A372" t="str">
            <v>06</v>
          </cell>
          <cell r="B372" t="str">
            <v>卷钢-国内外部</v>
          </cell>
          <cell r="C372">
            <v>800</v>
          </cell>
        </row>
        <row r="373">
          <cell r="A373" t="str">
            <v>06</v>
          </cell>
          <cell r="B373" t="str">
            <v>卷钢-国内外部</v>
          </cell>
          <cell r="C373">
            <v>140</v>
          </cell>
        </row>
        <row r="374">
          <cell r="A374" t="str">
            <v>06</v>
          </cell>
          <cell r="B374" t="str">
            <v>卷钢-国内外部</v>
          </cell>
          <cell r="C374">
            <v>150</v>
          </cell>
        </row>
        <row r="375">
          <cell r="A375" t="str">
            <v>06</v>
          </cell>
          <cell r="B375" t="str">
            <v>卷钢-国内外部</v>
          </cell>
          <cell r="C375">
            <v>400</v>
          </cell>
        </row>
        <row r="376">
          <cell r="A376" t="str">
            <v>06</v>
          </cell>
          <cell r="B376" t="str">
            <v>卷钢-国内外部</v>
          </cell>
          <cell r="C376">
            <v>600</v>
          </cell>
        </row>
        <row r="377">
          <cell r="A377" t="str">
            <v>06</v>
          </cell>
          <cell r="B377" t="str">
            <v>卷钢-国内外部</v>
          </cell>
          <cell r="C377">
            <v>500</v>
          </cell>
        </row>
        <row r="378">
          <cell r="A378" t="str">
            <v>06</v>
          </cell>
          <cell r="B378" t="str">
            <v>卷钢-国内外部</v>
          </cell>
          <cell r="C378">
            <v>40</v>
          </cell>
        </row>
        <row r="379">
          <cell r="A379" t="str">
            <v>06</v>
          </cell>
          <cell r="B379" t="str">
            <v>卷钢-国内外部</v>
          </cell>
          <cell r="C379">
            <v>600</v>
          </cell>
        </row>
        <row r="380">
          <cell r="A380" t="str">
            <v>06</v>
          </cell>
          <cell r="B380" t="str">
            <v>卷钢-国内外部</v>
          </cell>
          <cell r="C380">
            <v>200</v>
          </cell>
        </row>
        <row r="381">
          <cell r="A381" t="str">
            <v>06</v>
          </cell>
          <cell r="B381" t="str">
            <v>卷钢-国内外部</v>
          </cell>
          <cell r="C381">
            <v>60</v>
          </cell>
        </row>
        <row r="382">
          <cell r="A382" t="str">
            <v>06</v>
          </cell>
          <cell r="B382" t="str">
            <v>卷钢-国内外部</v>
          </cell>
          <cell r="C382">
            <v>400</v>
          </cell>
        </row>
        <row r="383">
          <cell r="A383" t="str">
            <v>06</v>
          </cell>
          <cell r="B383" t="str">
            <v>卷钢-国内外部</v>
          </cell>
          <cell r="C383">
            <v>540</v>
          </cell>
        </row>
        <row r="384">
          <cell r="A384" t="str">
            <v>06</v>
          </cell>
          <cell r="B384" t="str">
            <v>卷钢-国内内部</v>
          </cell>
          <cell r="C384">
            <v>25</v>
          </cell>
        </row>
        <row r="385">
          <cell r="A385" t="str">
            <v>06</v>
          </cell>
          <cell r="B385" t="str">
            <v>卷钢-国内内部</v>
          </cell>
          <cell r="C385">
            <v>25</v>
          </cell>
        </row>
        <row r="386">
          <cell r="A386" t="str">
            <v>06</v>
          </cell>
          <cell r="B386" t="str">
            <v>卷钢-国内内部</v>
          </cell>
          <cell r="C386">
            <v>20</v>
          </cell>
        </row>
        <row r="387">
          <cell r="A387" t="str">
            <v>06</v>
          </cell>
          <cell r="B387" t="str">
            <v>卷钢-国内内部</v>
          </cell>
          <cell r="C387">
            <v>600</v>
          </cell>
        </row>
        <row r="388">
          <cell r="A388" t="str">
            <v>06</v>
          </cell>
          <cell r="B388" t="str">
            <v>卷钢-国内外部</v>
          </cell>
          <cell r="C388">
            <v>800</v>
          </cell>
        </row>
        <row r="389">
          <cell r="A389" t="str">
            <v>06</v>
          </cell>
          <cell r="B389" t="str">
            <v>卷钢-国内外部</v>
          </cell>
          <cell r="C389">
            <v>400</v>
          </cell>
        </row>
        <row r="390">
          <cell r="A390" t="str">
            <v>06</v>
          </cell>
          <cell r="B390" t="str">
            <v>卷钢-国内外部</v>
          </cell>
          <cell r="C390">
            <v>-200</v>
          </cell>
        </row>
        <row r="391">
          <cell r="A391" t="str">
            <v>06</v>
          </cell>
          <cell r="B391" t="str">
            <v>卷钢-国内外部</v>
          </cell>
          <cell r="C391">
            <v>-200</v>
          </cell>
        </row>
        <row r="392">
          <cell r="A392" t="str">
            <v>06</v>
          </cell>
          <cell r="B392" t="str">
            <v>卷钢-国内外部</v>
          </cell>
          <cell r="C392">
            <v>400</v>
          </cell>
        </row>
        <row r="393">
          <cell r="A393" t="str">
            <v>06</v>
          </cell>
          <cell r="B393" t="str">
            <v>卷钢-国内外部</v>
          </cell>
          <cell r="C393">
            <v>-200</v>
          </cell>
        </row>
        <row r="394">
          <cell r="A394" t="str">
            <v>06</v>
          </cell>
          <cell r="B394" t="str">
            <v>卷钢-国内外部</v>
          </cell>
          <cell r="C394">
            <v>-140</v>
          </cell>
        </row>
        <row r="395">
          <cell r="A395" t="str">
            <v>06</v>
          </cell>
          <cell r="B395" t="str">
            <v>卷钢-国内外部</v>
          </cell>
          <cell r="C395">
            <v>80</v>
          </cell>
        </row>
        <row r="396">
          <cell r="A396" t="str">
            <v>06</v>
          </cell>
          <cell r="B396" t="str">
            <v>卷钢-国内外部</v>
          </cell>
          <cell r="C396">
            <v>400</v>
          </cell>
        </row>
        <row r="397">
          <cell r="A397" t="str">
            <v>06</v>
          </cell>
          <cell r="B397" t="str">
            <v>卷钢-国内外部</v>
          </cell>
          <cell r="C397">
            <v>120</v>
          </cell>
        </row>
        <row r="398">
          <cell r="A398" t="str">
            <v>06</v>
          </cell>
          <cell r="B398" t="str">
            <v>卷钢-国内外部</v>
          </cell>
          <cell r="C398">
            <v>200</v>
          </cell>
        </row>
        <row r="399">
          <cell r="A399" t="str">
            <v>06</v>
          </cell>
          <cell r="B399" t="str">
            <v>卷钢-国内外部</v>
          </cell>
          <cell r="C399">
            <v>180</v>
          </cell>
        </row>
        <row r="400">
          <cell r="A400" t="str">
            <v>06</v>
          </cell>
          <cell r="B400" t="str">
            <v>卷钢-国内外部</v>
          </cell>
          <cell r="C400">
            <v>1000</v>
          </cell>
        </row>
        <row r="401">
          <cell r="A401" t="str">
            <v>06</v>
          </cell>
          <cell r="B401" t="str">
            <v>卷钢-国内外部</v>
          </cell>
          <cell r="C401">
            <v>240</v>
          </cell>
        </row>
        <row r="402">
          <cell r="A402" t="str">
            <v>06</v>
          </cell>
          <cell r="B402" t="str">
            <v>卷钢-国内外部</v>
          </cell>
          <cell r="C402">
            <v>600</v>
          </cell>
        </row>
        <row r="403">
          <cell r="A403" t="str">
            <v>06</v>
          </cell>
          <cell r="B403" t="str">
            <v>卷钢-国内外部</v>
          </cell>
          <cell r="C403">
            <v>150</v>
          </cell>
        </row>
        <row r="404">
          <cell r="A404" t="str">
            <v>06</v>
          </cell>
          <cell r="B404" t="str">
            <v>卷钢-国内外部</v>
          </cell>
          <cell r="C404">
            <v>100</v>
          </cell>
        </row>
        <row r="405">
          <cell r="A405" t="str">
            <v>06</v>
          </cell>
          <cell r="B405" t="str">
            <v>卷钢-国内外部</v>
          </cell>
          <cell r="C405">
            <v>400</v>
          </cell>
        </row>
        <row r="406">
          <cell r="A406" t="str">
            <v>06</v>
          </cell>
          <cell r="B406" t="str">
            <v>卷钢-国内外部</v>
          </cell>
          <cell r="C406">
            <v>300</v>
          </cell>
        </row>
        <row r="407">
          <cell r="A407" t="str">
            <v>06</v>
          </cell>
          <cell r="B407" t="str">
            <v>卷钢-国内外部</v>
          </cell>
          <cell r="C407">
            <v>150</v>
          </cell>
        </row>
        <row r="408">
          <cell r="A408" t="str">
            <v>06</v>
          </cell>
          <cell r="B408" t="str">
            <v>卷钢-国内外部</v>
          </cell>
          <cell r="C408">
            <v>200</v>
          </cell>
        </row>
        <row r="409">
          <cell r="A409" t="str">
            <v>06</v>
          </cell>
          <cell r="B409" t="str">
            <v>卷钢-国内外部</v>
          </cell>
          <cell r="C409">
            <v>400</v>
          </cell>
        </row>
        <row r="410">
          <cell r="A410" t="str">
            <v>06</v>
          </cell>
          <cell r="B410" t="str">
            <v>卷钢-国内外部</v>
          </cell>
          <cell r="C410">
            <v>800</v>
          </cell>
        </row>
        <row r="411">
          <cell r="A411" t="str">
            <v>06</v>
          </cell>
          <cell r="B411" t="str">
            <v>卷钢-国内外部</v>
          </cell>
          <cell r="C411">
            <v>1000</v>
          </cell>
        </row>
        <row r="412">
          <cell r="A412" t="str">
            <v>06</v>
          </cell>
          <cell r="B412" t="str">
            <v>卷钢-国内外部</v>
          </cell>
          <cell r="C412">
            <v>600</v>
          </cell>
        </row>
        <row r="413">
          <cell r="A413" t="str">
            <v>06</v>
          </cell>
          <cell r="B413" t="str">
            <v>卷钢-国内外部</v>
          </cell>
          <cell r="C413">
            <v>280</v>
          </cell>
        </row>
        <row r="414">
          <cell r="A414" t="str">
            <v>06</v>
          </cell>
          <cell r="B414" t="str">
            <v>卷钢-国内外部</v>
          </cell>
          <cell r="C414">
            <v>1000</v>
          </cell>
        </row>
        <row r="415">
          <cell r="A415" t="str">
            <v>06</v>
          </cell>
          <cell r="B415" t="str">
            <v>卷钢-国内外部</v>
          </cell>
          <cell r="C415">
            <v>180</v>
          </cell>
        </row>
        <row r="416">
          <cell r="A416" t="str">
            <v>06</v>
          </cell>
          <cell r="B416" t="str">
            <v>卷钢-国内外部</v>
          </cell>
          <cell r="C416">
            <v>800</v>
          </cell>
        </row>
        <row r="417">
          <cell r="A417" t="str">
            <v>06</v>
          </cell>
          <cell r="B417" t="str">
            <v>卷钢-国内内部</v>
          </cell>
          <cell r="C417">
            <v>1020</v>
          </cell>
        </row>
        <row r="418">
          <cell r="A418" t="str">
            <v>06</v>
          </cell>
          <cell r="B418" t="str">
            <v>卷钢-国内外部</v>
          </cell>
          <cell r="C418">
            <v>80</v>
          </cell>
        </row>
        <row r="419">
          <cell r="A419" t="str">
            <v>06</v>
          </cell>
          <cell r="B419" t="str">
            <v>卷钢-国内外部</v>
          </cell>
          <cell r="C419">
            <v>600</v>
          </cell>
        </row>
        <row r="420">
          <cell r="A420" t="str">
            <v>06</v>
          </cell>
          <cell r="B420" t="str">
            <v>卷钢-国内外部</v>
          </cell>
          <cell r="C420">
            <v>40</v>
          </cell>
        </row>
        <row r="421">
          <cell r="A421" t="str">
            <v>06</v>
          </cell>
          <cell r="B421" t="str">
            <v>卷钢-国内外部</v>
          </cell>
          <cell r="C421">
            <v>440</v>
          </cell>
        </row>
        <row r="422">
          <cell r="A422" t="str">
            <v>06</v>
          </cell>
          <cell r="B422" t="str">
            <v>卷钢-国内外部</v>
          </cell>
          <cell r="C422">
            <v>220</v>
          </cell>
        </row>
        <row r="423">
          <cell r="A423" t="str">
            <v>06</v>
          </cell>
          <cell r="B423" t="str">
            <v>卷钢-国内外部</v>
          </cell>
          <cell r="C423">
            <v>200</v>
          </cell>
        </row>
        <row r="424">
          <cell r="A424" t="str">
            <v>06</v>
          </cell>
          <cell r="B424" t="str">
            <v>卷钢-国内外部</v>
          </cell>
          <cell r="C424">
            <v>400</v>
          </cell>
        </row>
        <row r="425">
          <cell r="A425" t="str">
            <v>06</v>
          </cell>
          <cell r="B425" t="str">
            <v>卷钢-国内外部</v>
          </cell>
          <cell r="C425">
            <v>1400</v>
          </cell>
        </row>
        <row r="426">
          <cell r="A426" t="str">
            <v>06</v>
          </cell>
          <cell r="B426" t="str">
            <v>卷钢-国内外部</v>
          </cell>
          <cell r="C426">
            <v>300</v>
          </cell>
        </row>
        <row r="427">
          <cell r="A427" t="str">
            <v>06</v>
          </cell>
          <cell r="B427" t="str">
            <v>卷钢-国内外部</v>
          </cell>
          <cell r="C427">
            <v>300</v>
          </cell>
        </row>
        <row r="428">
          <cell r="A428" t="str">
            <v>06</v>
          </cell>
          <cell r="B428" t="str">
            <v>卷钢-国内外部</v>
          </cell>
          <cell r="C428">
            <v>40</v>
          </cell>
        </row>
        <row r="429">
          <cell r="A429" t="str">
            <v>06</v>
          </cell>
          <cell r="B429" t="str">
            <v>卷钢-国内外部</v>
          </cell>
          <cell r="C429">
            <v>100</v>
          </cell>
        </row>
        <row r="430">
          <cell r="A430" t="str">
            <v>06</v>
          </cell>
          <cell r="B430" t="str">
            <v>卷钢-国内外部</v>
          </cell>
          <cell r="C430">
            <v>140</v>
          </cell>
        </row>
        <row r="431">
          <cell r="A431" t="str">
            <v>06</v>
          </cell>
          <cell r="B431" t="str">
            <v>卷钢-国内外部</v>
          </cell>
          <cell r="C431">
            <v>200</v>
          </cell>
        </row>
        <row r="432">
          <cell r="A432" t="str">
            <v>06</v>
          </cell>
          <cell r="B432" t="str">
            <v>卷钢-国内外部</v>
          </cell>
          <cell r="C432">
            <v>260</v>
          </cell>
        </row>
        <row r="433">
          <cell r="A433" t="str">
            <v>06</v>
          </cell>
          <cell r="B433" t="str">
            <v>卷钢-国内外部</v>
          </cell>
          <cell r="C433">
            <v>200</v>
          </cell>
        </row>
        <row r="434">
          <cell r="A434" t="str">
            <v>06</v>
          </cell>
          <cell r="B434" t="str">
            <v>卷钢-国内外部</v>
          </cell>
          <cell r="C434">
            <v>350</v>
          </cell>
        </row>
        <row r="435">
          <cell r="A435" t="str">
            <v>06</v>
          </cell>
          <cell r="B435" t="str">
            <v>卷钢-国内外部</v>
          </cell>
          <cell r="C435">
            <v>100</v>
          </cell>
        </row>
        <row r="436">
          <cell r="A436" t="str">
            <v>06</v>
          </cell>
          <cell r="B436" t="str">
            <v>卷钢-国内外部</v>
          </cell>
          <cell r="C436">
            <v>60</v>
          </cell>
        </row>
        <row r="437">
          <cell r="A437" t="str">
            <v>06</v>
          </cell>
          <cell r="B437" t="str">
            <v>卷钢-国内外部</v>
          </cell>
          <cell r="C437">
            <v>180</v>
          </cell>
        </row>
        <row r="438">
          <cell r="A438" t="str">
            <v>06</v>
          </cell>
          <cell r="B438" t="str">
            <v>卷钢-国内外部</v>
          </cell>
          <cell r="C438">
            <v>400</v>
          </cell>
        </row>
        <row r="439">
          <cell r="A439" t="str">
            <v>06</v>
          </cell>
          <cell r="B439" t="str">
            <v>卷钢-国内外部</v>
          </cell>
          <cell r="C439">
            <v>80</v>
          </cell>
        </row>
        <row r="440">
          <cell r="A440" t="str">
            <v>06</v>
          </cell>
          <cell r="B440" t="str">
            <v>卷钢-国内外部</v>
          </cell>
          <cell r="C440">
            <v>140</v>
          </cell>
        </row>
        <row r="441">
          <cell r="A441" t="str">
            <v>06</v>
          </cell>
          <cell r="B441" t="str">
            <v>卷钢-国内外部</v>
          </cell>
          <cell r="C441">
            <v>400</v>
          </cell>
        </row>
        <row r="442">
          <cell r="A442" t="str">
            <v>06</v>
          </cell>
          <cell r="B442" t="str">
            <v>卷钢-国内外部</v>
          </cell>
          <cell r="C442">
            <v>1000</v>
          </cell>
        </row>
        <row r="443">
          <cell r="A443" t="str">
            <v>06</v>
          </cell>
          <cell r="B443" t="str">
            <v>卷钢-国内外部</v>
          </cell>
          <cell r="C443">
            <v>4620</v>
          </cell>
        </row>
        <row r="444">
          <cell r="A444" t="str">
            <v>06</v>
          </cell>
          <cell r="B444" t="str">
            <v>卷钢-国内外部</v>
          </cell>
          <cell r="C444">
            <v>500</v>
          </cell>
        </row>
        <row r="445">
          <cell r="A445" t="str">
            <v>06</v>
          </cell>
          <cell r="B445" t="str">
            <v>卷钢-国内外部</v>
          </cell>
          <cell r="C445">
            <v>400</v>
          </cell>
        </row>
        <row r="446">
          <cell r="A446" t="str">
            <v>06</v>
          </cell>
          <cell r="B446" t="str">
            <v>卷钢-国内外部</v>
          </cell>
          <cell r="C446">
            <v>200</v>
          </cell>
        </row>
        <row r="447">
          <cell r="A447" t="str">
            <v>06</v>
          </cell>
          <cell r="B447" t="str">
            <v>卷钢-国内外部</v>
          </cell>
          <cell r="C447">
            <v>600</v>
          </cell>
        </row>
        <row r="448">
          <cell r="A448" t="str">
            <v>06</v>
          </cell>
          <cell r="B448" t="str">
            <v>卷钢-国内外部</v>
          </cell>
          <cell r="C448">
            <v>60</v>
          </cell>
        </row>
        <row r="449">
          <cell r="A449" t="str">
            <v>06</v>
          </cell>
          <cell r="B449" t="str">
            <v>卷钢-国内外部</v>
          </cell>
          <cell r="C449">
            <v>200</v>
          </cell>
        </row>
        <row r="450">
          <cell r="A450" t="str">
            <v>06</v>
          </cell>
          <cell r="B450" t="str">
            <v>卷钢-国内外部</v>
          </cell>
          <cell r="C450">
            <v>1000</v>
          </cell>
        </row>
        <row r="451">
          <cell r="A451" t="str">
            <v>06</v>
          </cell>
          <cell r="B451" t="str">
            <v>卷钢-国内外部</v>
          </cell>
          <cell r="C451">
            <v>240</v>
          </cell>
        </row>
        <row r="452">
          <cell r="A452" t="str">
            <v>06</v>
          </cell>
          <cell r="B452" t="str">
            <v>卷钢-国内外部</v>
          </cell>
          <cell r="C452">
            <v>100</v>
          </cell>
        </row>
        <row r="453">
          <cell r="A453" t="str">
            <v>06</v>
          </cell>
          <cell r="B453" t="str">
            <v>卷钢-国内外部</v>
          </cell>
          <cell r="C453">
            <v>0</v>
          </cell>
        </row>
        <row r="454">
          <cell r="A454" t="str">
            <v>06</v>
          </cell>
          <cell r="B454" t="str">
            <v>卷钢-国内外部</v>
          </cell>
          <cell r="C454">
            <v>1200</v>
          </cell>
        </row>
        <row r="455">
          <cell r="A455" t="str">
            <v>06</v>
          </cell>
          <cell r="B455" t="str">
            <v>卷钢-国内外部</v>
          </cell>
          <cell r="C455">
            <v>660</v>
          </cell>
        </row>
        <row r="456">
          <cell r="A456" t="str">
            <v>06</v>
          </cell>
          <cell r="B456" t="str">
            <v>卷钢-国内外部</v>
          </cell>
          <cell r="C456">
            <v>420</v>
          </cell>
        </row>
        <row r="457">
          <cell r="A457" t="str">
            <v>06</v>
          </cell>
          <cell r="B457" t="str">
            <v>卷钢-国内外部</v>
          </cell>
          <cell r="C457">
            <v>20</v>
          </cell>
        </row>
        <row r="458">
          <cell r="A458" t="str">
            <v>06</v>
          </cell>
          <cell r="B458" t="str">
            <v>卷钢-国内外部</v>
          </cell>
          <cell r="C458">
            <v>420</v>
          </cell>
        </row>
        <row r="459">
          <cell r="A459" t="str">
            <v>06</v>
          </cell>
          <cell r="B459" t="str">
            <v>卷钢-国内外部</v>
          </cell>
          <cell r="C459">
            <v>80</v>
          </cell>
        </row>
        <row r="460">
          <cell r="A460" t="str">
            <v>06</v>
          </cell>
          <cell r="B460" t="str">
            <v>卷钢-国内外部</v>
          </cell>
          <cell r="C460">
            <v>300</v>
          </cell>
        </row>
        <row r="461">
          <cell r="A461" t="str">
            <v>06</v>
          </cell>
          <cell r="B461" t="str">
            <v>卷钢-国内外部</v>
          </cell>
          <cell r="C461">
            <v>100</v>
          </cell>
        </row>
        <row r="462">
          <cell r="A462" t="str">
            <v>06</v>
          </cell>
          <cell r="B462" t="str">
            <v>卷钢-国内外部</v>
          </cell>
          <cell r="C462">
            <v>150</v>
          </cell>
        </row>
        <row r="463">
          <cell r="A463" t="str">
            <v>06</v>
          </cell>
          <cell r="B463" t="str">
            <v>卷钢-国内外部</v>
          </cell>
          <cell r="C463">
            <v>120</v>
          </cell>
        </row>
        <row r="464">
          <cell r="A464" t="str">
            <v>06</v>
          </cell>
          <cell r="B464" t="str">
            <v>卷钢-国内外部</v>
          </cell>
          <cell r="C464">
            <v>1200</v>
          </cell>
        </row>
        <row r="465">
          <cell r="A465" t="str">
            <v>06</v>
          </cell>
          <cell r="B465" t="str">
            <v>卷钢-国内外部</v>
          </cell>
          <cell r="C465">
            <v>750</v>
          </cell>
        </row>
        <row r="466">
          <cell r="A466" t="str">
            <v>06</v>
          </cell>
          <cell r="B466" t="str">
            <v>卷钢-国内外部</v>
          </cell>
          <cell r="C466">
            <v>1100</v>
          </cell>
        </row>
        <row r="467">
          <cell r="A467" t="str">
            <v>06</v>
          </cell>
          <cell r="B467" t="str">
            <v>卷钢-国内外部</v>
          </cell>
          <cell r="C467">
            <v>150</v>
          </cell>
        </row>
        <row r="468">
          <cell r="A468" t="str">
            <v>06</v>
          </cell>
          <cell r="B468" t="str">
            <v>卷钢-国内外部</v>
          </cell>
          <cell r="C468">
            <v>80</v>
          </cell>
        </row>
        <row r="469">
          <cell r="A469" t="str">
            <v>06</v>
          </cell>
          <cell r="B469" t="str">
            <v>卷钢-国内外部</v>
          </cell>
          <cell r="C469">
            <v>300</v>
          </cell>
        </row>
        <row r="470">
          <cell r="A470" t="str">
            <v>06</v>
          </cell>
          <cell r="B470" t="str">
            <v>卷钢-国内外部</v>
          </cell>
          <cell r="C470">
            <v>550</v>
          </cell>
        </row>
        <row r="471">
          <cell r="A471" t="str">
            <v>06</v>
          </cell>
          <cell r="B471" t="str">
            <v>卷钢-国内外部</v>
          </cell>
          <cell r="C471">
            <v>80</v>
          </cell>
        </row>
        <row r="472">
          <cell r="A472" t="str">
            <v>06</v>
          </cell>
          <cell r="B472" t="str">
            <v>卷钢-国内外部</v>
          </cell>
          <cell r="C472">
            <v>600</v>
          </cell>
        </row>
        <row r="473">
          <cell r="A473" t="str">
            <v>07</v>
          </cell>
          <cell r="B473" t="str">
            <v>卷钢-国内外部</v>
          </cell>
          <cell r="C473">
            <v>2000</v>
          </cell>
        </row>
        <row r="474">
          <cell r="A474" t="str">
            <v>07</v>
          </cell>
          <cell r="B474" t="str">
            <v>卷钢-国内外部</v>
          </cell>
          <cell r="C474">
            <v>40</v>
          </cell>
        </row>
        <row r="475">
          <cell r="A475" t="str">
            <v>07</v>
          </cell>
          <cell r="B475" t="str">
            <v>卷钢-国内外部</v>
          </cell>
          <cell r="C475">
            <v>180</v>
          </cell>
        </row>
        <row r="476">
          <cell r="A476" t="str">
            <v>07</v>
          </cell>
          <cell r="B476" t="str">
            <v>卷钢-国内外部</v>
          </cell>
          <cell r="C476">
            <v>600</v>
          </cell>
        </row>
        <row r="477">
          <cell r="A477" t="str">
            <v>07</v>
          </cell>
          <cell r="B477" t="str">
            <v>卷钢-国内外部</v>
          </cell>
          <cell r="C477">
            <v>80</v>
          </cell>
        </row>
        <row r="478">
          <cell r="A478" t="str">
            <v>07</v>
          </cell>
          <cell r="B478" t="str">
            <v>卷钢-国内外部</v>
          </cell>
          <cell r="C478">
            <v>900</v>
          </cell>
        </row>
        <row r="479">
          <cell r="A479" t="str">
            <v>07</v>
          </cell>
          <cell r="B479" t="str">
            <v>卷钢-国内外部</v>
          </cell>
          <cell r="C479">
            <v>54</v>
          </cell>
        </row>
        <row r="480">
          <cell r="A480" t="str">
            <v>07</v>
          </cell>
          <cell r="B480" t="str">
            <v>卷钢-国内外部</v>
          </cell>
          <cell r="C480">
            <v>400</v>
          </cell>
        </row>
        <row r="481">
          <cell r="A481" t="str">
            <v>07</v>
          </cell>
          <cell r="B481" t="str">
            <v>卷钢-国内内部</v>
          </cell>
          <cell r="C481">
            <v>358</v>
          </cell>
        </row>
        <row r="482">
          <cell r="A482" t="str">
            <v>07</v>
          </cell>
          <cell r="B482" t="str">
            <v>卷钢-国内内部</v>
          </cell>
          <cell r="C482">
            <v>25</v>
          </cell>
        </row>
        <row r="483">
          <cell r="A483" t="str">
            <v>07</v>
          </cell>
          <cell r="B483" t="str">
            <v>卷钢-国内内部</v>
          </cell>
          <cell r="C483">
            <v>20</v>
          </cell>
        </row>
        <row r="484">
          <cell r="A484" t="str">
            <v>07</v>
          </cell>
          <cell r="B484" t="str">
            <v>卷钢-国内内部</v>
          </cell>
          <cell r="C484">
            <v>20</v>
          </cell>
        </row>
        <row r="485">
          <cell r="A485" t="str">
            <v>07</v>
          </cell>
          <cell r="B485" t="str">
            <v>卷钢-国内内部</v>
          </cell>
          <cell r="C485">
            <v>20</v>
          </cell>
        </row>
        <row r="486">
          <cell r="A486" t="str">
            <v>07</v>
          </cell>
          <cell r="B486" t="str">
            <v>卷钢-国内内部</v>
          </cell>
          <cell r="C486">
            <v>25</v>
          </cell>
        </row>
        <row r="487">
          <cell r="A487" t="str">
            <v>07</v>
          </cell>
          <cell r="B487" t="str">
            <v>卷钢-国内外部</v>
          </cell>
          <cell r="C487">
            <v>600</v>
          </cell>
        </row>
        <row r="488">
          <cell r="A488" t="str">
            <v>07</v>
          </cell>
          <cell r="B488" t="str">
            <v>卷钢-国内外部</v>
          </cell>
          <cell r="C488">
            <v>300</v>
          </cell>
        </row>
        <row r="489">
          <cell r="A489" t="str">
            <v>07</v>
          </cell>
          <cell r="B489" t="str">
            <v>卷钢-国内外部</v>
          </cell>
          <cell r="C489">
            <v>300</v>
          </cell>
        </row>
        <row r="490">
          <cell r="A490" t="str">
            <v>07</v>
          </cell>
          <cell r="B490" t="str">
            <v>卷钢-国内外部</v>
          </cell>
          <cell r="C490">
            <v>600</v>
          </cell>
        </row>
        <row r="491">
          <cell r="A491" t="str">
            <v>07</v>
          </cell>
          <cell r="B491" t="str">
            <v>卷钢-国内外部</v>
          </cell>
          <cell r="C491">
            <v>240</v>
          </cell>
        </row>
        <row r="492">
          <cell r="A492" t="str">
            <v>07</v>
          </cell>
          <cell r="B492" t="str">
            <v>卷钢-国内外部</v>
          </cell>
          <cell r="C492">
            <v>980</v>
          </cell>
        </row>
        <row r="493">
          <cell r="A493" t="str">
            <v>07</v>
          </cell>
          <cell r="B493" t="str">
            <v>卷钢-国内外部</v>
          </cell>
          <cell r="C493">
            <v>400</v>
          </cell>
        </row>
        <row r="494">
          <cell r="A494" t="str">
            <v>07</v>
          </cell>
          <cell r="B494" t="str">
            <v>卷钢-国内外部</v>
          </cell>
          <cell r="C494">
            <v>80</v>
          </cell>
        </row>
        <row r="495">
          <cell r="A495" t="str">
            <v>07</v>
          </cell>
          <cell r="B495" t="str">
            <v>卷钢-国内外部</v>
          </cell>
          <cell r="C495">
            <v>300</v>
          </cell>
        </row>
        <row r="496">
          <cell r="A496" t="str">
            <v>07</v>
          </cell>
          <cell r="B496" t="str">
            <v>卷钢-国内外部</v>
          </cell>
          <cell r="C496">
            <v>400</v>
          </cell>
        </row>
        <row r="497">
          <cell r="A497" t="str">
            <v>07</v>
          </cell>
          <cell r="B497" t="str">
            <v>卷钢-国内外部</v>
          </cell>
          <cell r="C497">
            <v>280</v>
          </cell>
        </row>
        <row r="498">
          <cell r="A498" t="str">
            <v>07</v>
          </cell>
          <cell r="B498" t="str">
            <v>卷钢-国内外部</v>
          </cell>
          <cell r="C498">
            <v>160</v>
          </cell>
        </row>
        <row r="499">
          <cell r="A499" t="str">
            <v>07</v>
          </cell>
          <cell r="B499" t="str">
            <v>卷钢-国内内部</v>
          </cell>
          <cell r="C499">
            <v>1800</v>
          </cell>
        </row>
        <row r="500">
          <cell r="A500" t="str">
            <v>07</v>
          </cell>
          <cell r="B500" t="str">
            <v>卷钢-国内内部</v>
          </cell>
          <cell r="C500">
            <v>280</v>
          </cell>
        </row>
        <row r="501">
          <cell r="A501" t="str">
            <v>07</v>
          </cell>
          <cell r="B501" t="str">
            <v>卷钢-国内内部</v>
          </cell>
          <cell r="C501">
            <v>950</v>
          </cell>
        </row>
        <row r="502">
          <cell r="A502" t="str">
            <v>07</v>
          </cell>
          <cell r="B502" t="str">
            <v>卷钢-国内外部</v>
          </cell>
          <cell r="C502">
            <v>150</v>
          </cell>
        </row>
        <row r="503">
          <cell r="A503" t="str">
            <v>07</v>
          </cell>
          <cell r="B503" t="str">
            <v>卷钢-国内外部</v>
          </cell>
          <cell r="C503">
            <v>600</v>
          </cell>
        </row>
        <row r="504">
          <cell r="A504" t="str">
            <v>07</v>
          </cell>
          <cell r="B504" t="str">
            <v>卷钢-国内外部</v>
          </cell>
          <cell r="C504">
            <v>40</v>
          </cell>
        </row>
        <row r="505">
          <cell r="A505" t="str">
            <v>07</v>
          </cell>
          <cell r="B505" t="str">
            <v>卷钢-国内外部</v>
          </cell>
          <cell r="C505">
            <v>80</v>
          </cell>
        </row>
        <row r="506">
          <cell r="A506" t="str">
            <v>07</v>
          </cell>
          <cell r="B506" t="str">
            <v>卷钢-国内外部</v>
          </cell>
          <cell r="C506">
            <v>60</v>
          </cell>
        </row>
        <row r="507">
          <cell r="A507" t="str">
            <v>07</v>
          </cell>
          <cell r="B507" t="str">
            <v>卷钢-国内外部</v>
          </cell>
          <cell r="C507">
            <v>600</v>
          </cell>
        </row>
        <row r="508">
          <cell r="A508" t="str">
            <v>07</v>
          </cell>
          <cell r="B508" t="str">
            <v>卷钢-国内外部</v>
          </cell>
          <cell r="C508">
            <v>180</v>
          </cell>
        </row>
        <row r="509">
          <cell r="A509" t="str">
            <v>07</v>
          </cell>
          <cell r="B509" t="str">
            <v>卷钢-国内外部</v>
          </cell>
          <cell r="C509">
            <v>450</v>
          </cell>
        </row>
        <row r="510">
          <cell r="A510" t="str">
            <v>07</v>
          </cell>
          <cell r="B510" t="str">
            <v>卷钢-国内外部</v>
          </cell>
          <cell r="C510">
            <v>280</v>
          </cell>
        </row>
        <row r="511">
          <cell r="A511" t="str">
            <v>07</v>
          </cell>
          <cell r="B511" t="str">
            <v>卷钢-国内外部</v>
          </cell>
          <cell r="C511">
            <v>120</v>
          </cell>
        </row>
        <row r="512">
          <cell r="A512" t="str">
            <v>07</v>
          </cell>
          <cell r="B512" t="str">
            <v>卷钢-国内外部</v>
          </cell>
          <cell r="C512">
            <v>120</v>
          </cell>
        </row>
        <row r="513">
          <cell r="A513" t="str">
            <v>07</v>
          </cell>
          <cell r="B513" t="str">
            <v>卷钢-国内外部</v>
          </cell>
          <cell r="C513">
            <v>11000</v>
          </cell>
        </row>
        <row r="514">
          <cell r="A514" t="str">
            <v>07</v>
          </cell>
          <cell r="B514" t="str">
            <v>卷钢-国内外部</v>
          </cell>
          <cell r="C514">
            <v>400</v>
          </cell>
        </row>
        <row r="515">
          <cell r="A515" t="str">
            <v>07</v>
          </cell>
          <cell r="B515" t="str">
            <v>卷钢-国内外部</v>
          </cell>
          <cell r="C515">
            <v>180</v>
          </cell>
        </row>
        <row r="516">
          <cell r="A516" t="str">
            <v>07</v>
          </cell>
          <cell r="B516" t="str">
            <v>卷钢-国内外部</v>
          </cell>
          <cell r="C516">
            <v>500</v>
          </cell>
        </row>
        <row r="517">
          <cell r="A517" t="str">
            <v>07</v>
          </cell>
          <cell r="B517" t="str">
            <v>卷钢-国内外部</v>
          </cell>
          <cell r="C517">
            <v>20</v>
          </cell>
        </row>
        <row r="518">
          <cell r="A518" t="str">
            <v>07</v>
          </cell>
          <cell r="B518" t="str">
            <v>卷钢-国内外部</v>
          </cell>
          <cell r="C518">
            <v>1000</v>
          </cell>
        </row>
        <row r="519">
          <cell r="A519" t="str">
            <v>07</v>
          </cell>
          <cell r="B519" t="str">
            <v>卷钢-国内内部</v>
          </cell>
          <cell r="C519">
            <v>675</v>
          </cell>
        </row>
        <row r="520">
          <cell r="A520" t="str">
            <v>07</v>
          </cell>
          <cell r="B520" t="str">
            <v>卷钢-国内外部</v>
          </cell>
          <cell r="C520">
            <v>120</v>
          </cell>
        </row>
        <row r="521">
          <cell r="A521" t="str">
            <v>07</v>
          </cell>
          <cell r="B521" t="str">
            <v>卷钢-国内外部</v>
          </cell>
          <cell r="C521">
            <v>600</v>
          </cell>
        </row>
        <row r="522">
          <cell r="A522" t="str">
            <v>07</v>
          </cell>
          <cell r="B522" t="str">
            <v>卷钢-国内外部</v>
          </cell>
          <cell r="C522">
            <v>300</v>
          </cell>
        </row>
        <row r="523">
          <cell r="A523" t="str">
            <v>07</v>
          </cell>
          <cell r="B523" t="str">
            <v>卷钢-国内外部</v>
          </cell>
          <cell r="C523">
            <v>140</v>
          </cell>
        </row>
        <row r="524">
          <cell r="A524" t="str">
            <v>07</v>
          </cell>
          <cell r="B524" t="str">
            <v>卷钢-国内外部</v>
          </cell>
          <cell r="C524">
            <v>100</v>
          </cell>
        </row>
        <row r="525">
          <cell r="A525" t="str">
            <v>07</v>
          </cell>
          <cell r="B525" t="str">
            <v>卷钢-国内外部</v>
          </cell>
          <cell r="C525">
            <v>150</v>
          </cell>
        </row>
        <row r="526">
          <cell r="A526" t="str">
            <v>07</v>
          </cell>
          <cell r="B526" t="str">
            <v>卷钢-国内外部</v>
          </cell>
          <cell r="C526">
            <v>500</v>
          </cell>
        </row>
        <row r="527">
          <cell r="A527" t="str">
            <v>07</v>
          </cell>
          <cell r="B527" t="str">
            <v>卷钢-国内外部</v>
          </cell>
          <cell r="C527">
            <v>600</v>
          </cell>
        </row>
        <row r="528">
          <cell r="A528" t="str">
            <v>07</v>
          </cell>
          <cell r="B528" t="str">
            <v>卷钢-国内外部</v>
          </cell>
          <cell r="C528">
            <v>1000</v>
          </cell>
        </row>
        <row r="529">
          <cell r="A529" t="str">
            <v>07</v>
          </cell>
          <cell r="B529" t="str">
            <v>卷钢-国内外部</v>
          </cell>
          <cell r="C529">
            <v>600</v>
          </cell>
        </row>
        <row r="530">
          <cell r="A530" t="str">
            <v>07</v>
          </cell>
          <cell r="B530" t="str">
            <v>卷钢-国内外部</v>
          </cell>
          <cell r="C530">
            <v>1000</v>
          </cell>
        </row>
        <row r="531">
          <cell r="A531" t="str">
            <v>07</v>
          </cell>
          <cell r="B531" t="str">
            <v>卷钢-国内外部</v>
          </cell>
          <cell r="C531">
            <v>100</v>
          </cell>
        </row>
        <row r="532">
          <cell r="A532" t="str">
            <v>07</v>
          </cell>
          <cell r="B532" t="str">
            <v>卷钢-国内外部</v>
          </cell>
          <cell r="C532">
            <v>400</v>
          </cell>
        </row>
        <row r="533">
          <cell r="A533" t="str">
            <v>07</v>
          </cell>
          <cell r="B533" t="str">
            <v>卷钢-国内外部</v>
          </cell>
          <cell r="C533">
            <v>40</v>
          </cell>
        </row>
        <row r="534">
          <cell r="A534" t="str">
            <v>07</v>
          </cell>
          <cell r="B534" t="str">
            <v>卷钢-国内外部</v>
          </cell>
          <cell r="C534">
            <v>600</v>
          </cell>
        </row>
        <row r="535">
          <cell r="A535" t="str">
            <v>07</v>
          </cell>
          <cell r="B535" t="str">
            <v>卷钢-国内外部</v>
          </cell>
          <cell r="C535">
            <v>1000</v>
          </cell>
        </row>
        <row r="536">
          <cell r="A536" t="str">
            <v>07</v>
          </cell>
          <cell r="B536" t="str">
            <v>卷钢-国内外部</v>
          </cell>
          <cell r="C536">
            <v>600</v>
          </cell>
        </row>
        <row r="537">
          <cell r="A537" t="str">
            <v>07</v>
          </cell>
          <cell r="B537" t="str">
            <v>卷钢-国内外部</v>
          </cell>
          <cell r="C537">
            <v>1000</v>
          </cell>
        </row>
        <row r="538">
          <cell r="A538" t="str">
            <v>07</v>
          </cell>
          <cell r="B538" t="str">
            <v>卷钢-国内外部</v>
          </cell>
          <cell r="C538">
            <v>100</v>
          </cell>
        </row>
        <row r="539">
          <cell r="A539" t="str">
            <v>07</v>
          </cell>
          <cell r="B539" t="str">
            <v>卷钢-国内外部</v>
          </cell>
          <cell r="C539">
            <v>120</v>
          </cell>
        </row>
        <row r="540">
          <cell r="A540" t="str">
            <v>07</v>
          </cell>
          <cell r="B540" t="str">
            <v>卷钢-国内外部</v>
          </cell>
          <cell r="C540">
            <v>660</v>
          </cell>
        </row>
        <row r="541">
          <cell r="A541" t="str">
            <v>07</v>
          </cell>
          <cell r="B541" t="str">
            <v>卷钢-国内外部</v>
          </cell>
          <cell r="C541">
            <v>600</v>
          </cell>
        </row>
        <row r="542">
          <cell r="A542" t="str">
            <v>07</v>
          </cell>
          <cell r="B542" t="str">
            <v>卷钢-国内外部</v>
          </cell>
          <cell r="C542">
            <v>140</v>
          </cell>
        </row>
        <row r="543">
          <cell r="A543" t="str">
            <v>07</v>
          </cell>
          <cell r="B543" t="str">
            <v>卷钢-国内外部</v>
          </cell>
          <cell r="C543">
            <v>100</v>
          </cell>
        </row>
        <row r="544">
          <cell r="A544" t="str">
            <v>07</v>
          </cell>
          <cell r="B544" t="str">
            <v>卷钢-国内外部</v>
          </cell>
          <cell r="C544">
            <v>60</v>
          </cell>
        </row>
        <row r="545">
          <cell r="A545" t="str">
            <v>07</v>
          </cell>
          <cell r="B545" t="str">
            <v>卷钢-国内外部</v>
          </cell>
          <cell r="C545">
            <v>80</v>
          </cell>
        </row>
        <row r="546">
          <cell r="A546" t="str">
            <v>07</v>
          </cell>
          <cell r="B546" t="str">
            <v>卷钢-国内外部</v>
          </cell>
          <cell r="C546">
            <v>100</v>
          </cell>
        </row>
        <row r="547">
          <cell r="A547" t="str">
            <v>07</v>
          </cell>
          <cell r="B547" t="str">
            <v>卷钢-国内外部</v>
          </cell>
          <cell r="C547">
            <v>60</v>
          </cell>
        </row>
        <row r="548">
          <cell r="A548" t="str">
            <v>07</v>
          </cell>
          <cell r="B548" t="str">
            <v>卷钢-国内外部</v>
          </cell>
          <cell r="C548">
            <v>80</v>
          </cell>
        </row>
        <row r="549">
          <cell r="A549" t="str">
            <v>07</v>
          </cell>
          <cell r="B549" t="str">
            <v>卷钢-国内外部</v>
          </cell>
          <cell r="C549">
            <v>1000</v>
          </cell>
        </row>
        <row r="550">
          <cell r="A550" t="str">
            <v>07</v>
          </cell>
          <cell r="B550" t="str">
            <v>卷钢-国内外部</v>
          </cell>
          <cell r="C550">
            <v>400</v>
          </cell>
        </row>
        <row r="551">
          <cell r="A551" t="str">
            <v>07</v>
          </cell>
          <cell r="B551" t="str">
            <v>卷钢-国内外部</v>
          </cell>
          <cell r="C551">
            <v>120</v>
          </cell>
        </row>
        <row r="552">
          <cell r="A552" t="str">
            <v>07</v>
          </cell>
          <cell r="B552" t="str">
            <v>卷钢-国内外部</v>
          </cell>
          <cell r="C552">
            <v>150</v>
          </cell>
        </row>
        <row r="553">
          <cell r="A553" t="str">
            <v>07</v>
          </cell>
          <cell r="B553" t="str">
            <v>卷钢-国内内部</v>
          </cell>
          <cell r="C553">
            <v>50</v>
          </cell>
        </row>
        <row r="554">
          <cell r="A554" t="str">
            <v>07</v>
          </cell>
          <cell r="B554" t="str">
            <v>卷钢-国内内部</v>
          </cell>
          <cell r="C554">
            <v>20</v>
          </cell>
        </row>
        <row r="555">
          <cell r="A555" t="str">
            <v>07</v>
          </cell>
          <cell r="B555" t="str">
            <v>卷钢-国内内部</v>
          </cell>
          <cell r="C555">
            <v>3000</v>
          </cell>
        </row>
        <row r="556">
          <cell r="A556" t="str">
            <v>07</v>
          </cell>
          <cell r="B556" t="str">
            <v>卷钢-国内内部</v>
          </cell>
          <cell r="C556">
            <v>25</v>
          </cell>
        </row>
        <row r="557">
          <cell r="A557" t="str">
            <v>07</v>
          </cell>
          <cell r="B557" t="str">
            <v>卷钢-国内内部</v>
          </cell>
          <cell r="C557">
            <v>10000</v>
          </cell>
        </row>
        <row r="558">
          <cell r="A558" t="str">
            <v>07</v>
          </cell>
          <cell r="B558" t="str">
            <v>卷钢-国内内部</v>
          </cell>
          <cell r="C558">
            <v>20</v>
          </cell>
        </row>
        <row r="559">
          <cell r="A559" t="str">
            <v>07</v>
          </cell>
          <cell r="B559" t="str">
            <v>卷钢-国内外部</v>
          </cell>
          <cell r="C559">
            <v>160</v>
          </cell>
        </row>
        <row r="560">
          <cell r="A560" t="str">
            <v>07</v>
          </cell>
          <cell r="B560" t="str">
            <v>卷钢-国内外部</v>
          </cell>
          <cell r="C560">
            <v>400</v>
          </cell>
        </row>
        <row r="561">
          <cell r="A561" t="str">
            <v>07</v>
          </cell>
          <cell r="B561" t="str">
            <v>卷钢-国内外部</v>
          </cell>
          <cell r="C561">
            <v>80</v>
          </cell>
        </row>
        <row r="562">
          <cell r="A562" t="str">
            <v>07</v>
          </cell>
          <cell r="B562" t="str">
            <v>卷钢-国内外部</v>
          </cell>
          <cell r="C562">
            <v>320</v>
          </cell>
        </row>
        <row r="563">
          <cell r="A563" t="str">
            <v>07</v>
          </cell>
          <cell r="B563" t="str">
            <v>卷钢-国内外部</v>
          </cell>
          <cell r="C563">
            <v>200</v>
          </cell>
        </row>
        <row r="564">
          <cell r="A564" t="str">
            <v>07</v>
          </cell>
          <cell r="B564" t="str">
            <v>卷钢-国内外部</v>
          </cell>
          <cell r="C564">
            <v>200</v>
          </cell>
        </row>
        <row r="565">
          <cell r="A565" t="str">
            <v>07</v>
          </cell>
          <cell r="B565" t="str">
            <v>卷钢-国内外部</v>
          </cell>
          <cell r="C565">
            <v>1000</v>
          </cell>
        </row>
        <row r="566">
          <cell r="A566" t="str">
            <v>07</v>
          </cell>
          <cell r="B566" t="str">
            <v>卷钢-国内外部</v>
          </cell>
          <cell r="C566">
            <v>1000</v>
          </cell>
        </row>
        <row r="567">
          <cell r="A567" t="str">
            <v>07</v>
          </cell>
          <cell r="B567" t="str">
            <v>卷钢-国内外部</v>
          </cell>
          <cell r="C567">
            <v>200</v>
          </cell>
        </row>
        <row r="568">
          <cell r="A568" t="str">
            <v>07</v>
          </cell>
          <cell r="B568" t="str">
            <v>卷钢-国内外部</v>
          </cell>
          <cell r="C568">
            <v>400</v>
          </cell>
        </row>
        <row r="569">
          <cell r="A569" t="str">
            <v>07</v>
          </cell>
          <cell r="B569" t="str">
            <v>卷钢-国内外部</v>
          </cell>
          <cell r="C569">
            <v>160</v>
          </cell>
        </row>
        <row r="570">
          <cell r="A570" t="str">
            <v>07</v>
          </cell>
          <cell r="B570" t="str">
            <v>卷钢-国内内部</v>
          </cell>
          <cell r="C570">
            <v>4</v>
          </cell>
        </row>
        <row r="571">
          <cell r="A571" t="str">
            <v>07</v>
          </cell>
          <cell r="B571" t="str">
            <v>卷钢-国内外部</v>
          </cell>
          <cell r="C571">
            <v>660</v>
          </cell>
        </row>
        <row r="572">
          <cell r="A572" t="str">
            <v>07</v>
          </cell>
          <cell r="B572" t="str">
            <v>卷钢-国内外部</v>
          </cell>
          <cell r="C572">
            <v>60</v>
          </cell>
        </row>
        <row r="573">
          <cell r="A573" t="str">
            <v>07</v>
          </cell>
          <cell r="B573" t="str">
            <v>卷钢-国内外部</v>
          </cell>
          <cell r="C573">
            <v>430</v>
          </cell>
        </row>
        <row r="574">
          <cell r="A574" t="str">
            <v>07</v>
          </cell>
          <cell r="B574" t="str">
            <v>卷钢-国内外部</v>
          </cell>
          <cell r="C574">
            <v>100</v>
          </cell>
        </row>
        <row r="575">
          <cell r="A575" t="str">
            <v>07</v>
          </cell>
          <cell r="B575" t="str">
            <v>卷钢-国内外部</v>
          </cell>
          <cell r="C575">
            <v>60</v>
          </cell>
        </row>
        <row r="576">
          <cell r="A576" t="str">
            <v>07</v>
          </cell>
          <cell r="B576" t="str">
            <v>卷钢-国内外部</v>
          </cell>
          <cell r="C576">
            <v>2000</v>
          </cell>
        </row>
        <row r="577">
          <cell r="A577" t="str">
            <v>07</v>
          </cell>
          <cell r="B577" t="str">
            <v>卷钢-国内外部</v>
          </cell>
          <cell r="C577">
            <v>400</v>
          </cell>
        </row>
        <row r="578">
          <cell r="A578" t="str">
            <v>07</v>
          </cell>
          <cell r="B578" t="str">
            <v>卷钢-国内外部</v>
          </cell>
          <cell r="C578">
            <v>1200</v>
          </cell>
        </row>
        <row r="579">
          <cell r="A579" t="str">
            <v>07</v>
          </cell>
          <cell r="B579" t="str">
            <v>卷钢-国内外部</v>
          </cell>
          <cell r="C579">
            <v>600</v>
          </cell>
        </row>
        <row r="580">
          <cell r="A580" t="str">
            <v>07</v>
          </cell>
          <cell r="B580" t="str">
            <v>卷钢-国内外部</v>
          </cell>
          <cell r="C580">
            <v>1200</v>
          </cell>
        </row>
        <row r="581">
          <cell r="A581" t="str">
            <v>08</v>
          </cell>
          <cell r="B581" t="str">
            <v>卷钢-国内外部</v>
          </cell>
          <cell r="C581">
            <v>100</v>
          </cell>
        </row>
        <row r="582">
          <cell r="A582" t="str">
            <v>08</v>
          </cell>
          <cell r="B582" t="str">
            <v>卷钢-国内外部</v>
          </cell>
          <cell r="C582">
            <v>740</v>
          </cell>
        </row>
        <row r="583">
          <cell r="A583" t="str">
            <v>08</v>
          </cell>
          <cell r="B583" t="str">
            <v>卷钢-国内内部</v>
          </cell>
          <cell r="C583">
            <v>4</v>
          </cell>
        </row>
        <row r="584">
          <cell r="A584" t="str">
            <v>08</v>
          </cell>
          <cell r="B584" t="str">
            <v>卷钢-国内内部</v>
          </cell>
          <cell r="C584">
            <v>25</v>
          </cell>
        </row>
        <row r="585">
          <cell r="A585" t="str">
            <v>08</v>
          </cell>
          <cell r="B585" t="str">
            <v>卷钢-国内内部</v>
          </cell>
          <cell r="C585">
            <v>2</v>
          </cell>
        </row>
        <row r="586">
          <cell r="A586" t="str">
            <v>08</v>
          </cell>
          <cell r="B586" t="str">
            <v>卷钢-国内内部</v>
          </cell>
          <cell r="C586">
            <v>20</v>
          </cell>
        </row>
        <row r="587">
          <cell r="A587" t="str">
            <v>08</v>
          </cell>
          <cell r="B587" t="str">
            <v>卷钢-国内内部</v>
          </cell>
          <cell r="C587">
            <v>20</v>
          </cell>
        </row>
        <row r="588">
          <cell r="A588" t="str">
            <v>08</v>
          </cell>
          <cell r="B588" t="str">
            <v>卷钢-国内外部</v>
          </cell>
          <cell r="C588">
            <v>200</v>
          </cell>
        </row>
        <row r="589">
          <cell r="A589" t="str">
            <v>08</v>
          </cell>
          <cell r="B589" t="str">
            <v>卷钢-国内外部</v>
          </cell>
          <cell r="C589">
            <v>400</v>
          </cell>
        </row>
        <row r="590">
          <cell r="A590" t="str">
            <v>08</v>
          </cell>
          <cell r="B590" t="str">
            <v>卷钢-国内外部</v>
          </cell>
          <cell r="C590">
            <v>20</v>
          </cell>
        </row>
        <row r="591">
          <cell r="A591" t="str">
            <v>08</v>
          </cell>
          <cell r="B591" t="str">
            <v>卷钢-国内外部</v>
          </cell>
          <cell r="C591">
            <v>100</v>
          </cell>
        </row>
        <row r="592">
          <cell r="A592" t="str">
            <v>08</v>
          </cell>
          <cell r="B592" t="str">
            <v>卷钢-国内外部</v>
          </cell>
          <cell r="C592">
            <v>600</v>
          </cell>
        </row>
        <row r="593">
          <cell r="A593" t="str">
            <v>08</v>
          </cell>
          <cell r="B593" t="str">
            <v>卷钢-国内外部</v>
          </cell>
          <cell r="C593">
            <v>300</v>
          </cell>
        </row>
        <row r="594">
          <cell r="A594" t="str">
            <v>08</v>
          </cell>
          <cell r="B594" t="str">
            <v>卷钢-国内外部</v>
          </cell>
          <cell r="C594">
            <v>40</v>
          </cell>
        </row>
        <row r="595">
          <cell r="A595" t="str">
            <v>08</v>
          </cell>
          <cell r="B595" t="str">
            <v>卷钢-国内外部</v>
          </cell>
          <cell r="C595">
            <v>1000</v>
          </cell>
        </row>
        <row r="596">
          <cell r="A596" t="str">
            <v>08</v>
          </cell>
          <cell r="B596" t="str">
            <v>卷钢-国内外部</v>
          </cell>
          <cell r="C596">
            <v>400</v>
          </cell>
        </row>
        <row r="597">
          <cell r="A597" t="str">
            <v>08</v>
          </cell>
          <cell r="B597" t="str">
            <v>卷钢-国内外部</v>
          </cell>
          <cell r="C597">
            <v>80</v>
          </cell>
        </row>
        <row r="598">
          <cell r="A598" t="str">
            <v>08</v>
          </cell>
          <cell r="B598" t="str">
            <v>卷钢-国内外部</v>
          </cell>
          <cell r="C598">
            <v>720</v>
          </cell>
        </row>
        <row r="599">
          <cell r="A599" t="str">
            <v>08</v>
          </cell>
          <cell r="B599" t="str">
            <v>卷钢-国内外部</v>
          </cell>
          <cell r="C599">
            <v>80</v>
          </cell>
        </row>
        <row r="600">
          <cell r="A600" t="str">
            <v>08</v>
          </cell>
          <cell r="B600" t="str">
            <v>卷钢-国内外部</v>
          </cell>
          <cell r="C600">
            <v>600</v>
          </cell>
        </row>
        <row r="601">
          <cell r="A601" t="str">
            <v>08</v>
          </cell>
          <cell r="B601" t="str">
            <v>卷钢-国内外部</v>
          </cell>
          <cell r="C601">
            <v>100</v>
          </cell>
        </row>
        <row r="602">
          <cell r="A602" t="str">
            <v>08</v>
          </cell>
          <cell r="B602" t="str">
            <v>卷钢-国内外部</v>
          </cell>
          <cell r="C602">
            <v>600</v>
          </cell>
        </row>
        <row r="603">
          <cell r="A603" t="str">
            <v>08</v>
          </cell>
          <cell r="B603" t="str">
            <v>卷钢-国内外部</v>
          </cell>
          <cell r="C603">
            <v>200</v>
          </cell>
        </row>
        <row r="604">
          <cell r="A604" t="str">
            <v>08</v>
          </cell>
          <cell r="B604" t="str">
            <v>卷钢-国内外部</v>
          </cell>
          <cell r="C604">
            <v>160</v>
          </cell>
        </row>
        <row r="605">
          <cell r="A605" t="str">
            <v>08</v>
          </cell>
          <cell r="B605" t="str">
            <v>卷钢-国内外部</v>
          </cell>
          <cell r="C605">
            <v>40</v>
          </cell>
        </row>
        <row r="606">
          <cell r="A606" t="str">
            <v>08</v>
          </cell>
          <cell r="B606" t="str">
            <v>卷钢-国内外部</v>
          </cell>
          <cell r="C606">
            <v>80</v>
          </cell>
        </row>
        <row r="607">
          <cell r="A607" t="str">
            <v>08</v>
          </cell>
          <cell r="B607" t="str">
            <v>卷钢-国内外部</v>
          </cell>
          <cell r="C607">
            <v>150</v>
          </cell>
        </row>
        <row r="608">
          <cell r="A608" t="str">
            <v>08</v>
          </cell>
          <cell r="B608" t="str">
            <v>卷钢-国内外部</v>
          </cell>
          <cell r="C608">
            <v>80</v>
          </cell>
        </row>
        <row r="609">
          <cell r="A609" t="str">
            <v>08</v>
          </cell>
          <cell r="B609" t="str">
            <v>卷钢-国内外部</v>
          </cell>
          <cell r="C609">
            <v>100</v>
          </cell>
        </row>
        <row r="610">
          <cell r="A610" t="str">
            <v>08</v>
          </cell>
          <cell r="B610" t="str">
            <v>卷钢-国内外部</v>
          </cell>
          <cell r="C610">
            <v>770</v>
          </cell>
        </row>
        <row r="611">
          <cell r="A611" t="str">
            <v>08</v>
          </cell>
          <cell r="B611" t="str">
            <v>卷钢-国内外部</v>
          </cell>
          <cell r="C611">
            <v>1000</v>
          </cell>
        </row>
        <row r="612">
          <cell r="A612" t="str">
            <v>08</v>
          </cell>
          <cell r="B612" t="str">
            <v>卷钢-国内外部</v>
          </cell>
          <cell r="C612">
            <v>500</v>
          </cell>
        </row>
        <row r="613">
          <cell r="A613" t="str">
            <v>08</v>
          </cell>
          <cell r="B613" t="str">
            <v>卷钢-国内外部</v>
          </cell>
          <cell r="C613">
            <v>600</v>
          </cell>
        </row>
        <row r="614">
          <cell r="A614" t="str">
            <v>08</v>
          </cell>
          <cell r="B614" t="str">
            <v>卷钢-国内内部</v>
          </cell>
          <cell r="C614">
            <v>190</v>
          </cell>
        </row>
        <row r="615">
          <cell r="A615" t="str">
            <v>08</v>
          </cell>
          <cell r="B615" t="str">
            <v>卷钢-国内外部</v>
          </cell>
          <cell r="C615">
            <v>500</v>
          </cell>
        </row>
        <row r="616">
          <cell r="A616" t="str">
            <v>08</v>
          </cell>
          <cell r="B616" t="str">
            <v>卷钢-国内外部</v>
          </cell>
          <cell r="C616">
            <v>1000</v>
          </cell>
        </row>
        <row r="617">
          <cell r="A617" t="str">
            <v>08</v>
          </cell>
          <cell r="B617" t="str">
            <v>卷钢-国内外部</v>
          </cell>
          <cell r="C617">
            <v>1000</v>
          </cell>
        </row>
        <row r="618">
          <cell r="A618" t="str">
            <v>08</v>
          </cell>
          <cell r="B618" t="str">
            <v>卷钢-国内外部</v>
          </cell>
          <cell r="C618">
            <v>80</v>
          </cell>
        </row>
        <row r="619">
          <cell r="A619" t="str">
            <v>08</v>
          </cell>
          <cell r="B619" t="str">
            <v>卷钢-国内外部</v>
          </cell>
          <cell r="C619">
            <v>800</v>
          </cell>
        </row>
        <row r="620">
          <cell r="A620" t="str">
            <v>08</v>
          </cell>
          <cell r="B620" t="str">
            <v>卷钢-国内外部</v>
          </cell>
          <cell r="C620">
            <v>450</v>
          </cell>
        </row>
        <row r="621">
          <cell r="A621" t="str">
            <v>08</v>
          </cell>
          <cell r="B621" t="str">
            <v>卷钢-国内外部</v>
          </cell>
          <cell r="C621">
            <v>400</v>
          </cell>
        </row>
        <row r="622">
          <cell r="A622" t="str">
            <v>08</v>
          </cell>
          <cell r="B622" t="str">
            <v>卷钢-国内外部</v>
          </cell>
          <cell r="C622">
            <v>180</v>
          </cell>
        </row>
        <row r="623">
          <cell r="A623" t="str">
            <v>08</v>
          </cell>
          <cell r="B623" t="str">
            <v>卷钢-国内外部</v>
          </cell>
          <cell r="C623">
            <v>140</v>
          </cell>
        </row>
        <row r="624">
          <cell r="A624" t="str">
            <v>08</v>
          </cell>
          <cell r="B624" t="str">
            <v>卷钢-国内外部</v>
          </cell>
          <cell r="C624">
            <v>100</v>
          </cell>
        </row>
        <row r="625">
          <cell r="A625" t="str">
            <v>08</v>
          </cell>
          <cell r="B625" t="str">
            <v>卷钢-国内外部</v>
          </cell>
          <cell r="C625">
            <v>40</v>
          </cell>
        </row>
        <row r="626">
          <cell r="A626" t="str">
            <v>08</v>
          </cell>
          <cell r="B626" t="str">
            <v>卷钢-国内外部</v>
          </cell>
          <cell r="C626">
            <v>280</v>
          </cell>
        </row>
        <row r="627">
          <cell r="A627" t="str">
            <v>08</v>
          </cell>
          <cell r="B627" t="str">
            <v>卷钢-国内内部</v>
          </cell>
          <cell r="C627">
            <v>18.2</v>
          </cell>
        </row>
        <row r="628">
          <cell r="A628" t="str">
            <v>08</v>
          </cell>
          <cell r="B628" t="str">
            <v>卷钢-国内外部</v>
          </cell>
          <cell r="C628">
            <v>80</v>
          </cell>
        </row>
        <row r="629">
          <cell r="A629" t="str">
            <v>08</v>
          </cell>
          <cell r="B629" t="str">
            <v>卷钢-国内外部</v>
          </cell>
          <cell r="C629">
            <v>160</v>
          </cell>
        </row>
        <row r="630">
          <cell r="A630" t="str">
            <v>08</v>
          </cell>
          <cell r="B630" t="str">
            <v>卷钢-国内外部</v>
          </cell>
          <cell r="C630">
            <v>80</v>
          </cell>
        </row>
        <row r="631">
          <cell r="A631" t="str">
            <v>08</v>
          </cell>
          <cell r="B631" t="str">
            <v>卷钢-国内外部</v>
          </cell>
          <cell r="C631">
            <v>100</v>
          </cell>
        </row>
        <row r="632">
          <cell r="A632" t="str">
            <v>08</v>
          </cell>
          <cell r="B632" t="str">
            <v>卷钢-国内外部</v>
          </cell>
          <cell r="C632">
            <v>200</v>
          </cell>
        </row>
        <row r="633">
          <cell r="A633" t="str">
            <v>08</v>
          </cell>
          <cell r="B633" t="str">
            <v>卷钢-国内外部</v>
          </cell>
          <cell r="C633">
            <v>400</v>
          </cell>
        </row>
        <row r="634">
          <cell r="A634" t="str">
            <v>08</v>
          </cell>
          <cell r="B634" t="str">
            <v>卷钢-国内外部</v>
          </cell>
          <cell r="C634">
            <v>400</v>
          </cell>
        </row>
        <row r="635">
          <cell r="A635" t="str">
            <v>08</v>
          </cell>
          <cell r="B635" t="str">
            <v>卷钢-国内外部</v>
          </cell>
          <cell r="C635">
            <v>500</v>
          </cell>
        </row>
        <row r="636">
          <cell r="A636" t="str">
            <v>08</v>
          </cell>
          <cell r="B636" t="str">
            <v>卷钢-国内外部</v>
          </cell>
          <cell r="C636">
            <v>60</v>
          </cell>
        </row>
        <row r="637">
          <cell r="A637" t="str">
            <v>08</v>
          </cell>
          <cell r="B637" t="str">
            <v>卷钢-国内外部</v>
          </cell>
          <cell r="C637">
            <v>400</v>
          </cell>
        </row>
        <row r="638">
          <cell r="A638" t="str">
            <v>08</v>
          </cell>
          <cell r="B638" t="str">
            <v>卷钢-国内外部</v>
          </cell>
          <cell r="C638">
            <v>400</v>
          </cell>
        </row>
        <row r="639">
          <cell r="A639" t="str">
            <v>08</v>
          </cell>
          <cell r="B639" t="str">
            <v>卷钢-国内外部</v>
          </cell>
          <cell r="C639">
            <v>400</v>
          </cell>
        </row>
        <row r="640">
          <cell r="A640" t="str">
            <v>08</v>
          </cell>
          <cell r="B640" t="str">
            <v>卷钢-国内外部</v>
          </cell>
          <cell r="C640">
            <v>180</v>
          </cell>
        </row>
        <row r="641">
          <cell r="A641" t="str">
            <v>08</v>
          </cell>
          <cell r="B641" t="str">
            <v>卷钢-国内外部</v>
          </cell>
          <cell r="C641">
            <v>180</v>
          </cell>
        </row>
        <row r="642">
          <cell r="A642" t="str">
            <v>08</v>
          </cell>
          <cell r="B642" t="str">
            <v>卷钢-国内外部</v>
          </cell>
          <cell r="C642">
            <v>180</v>
          </cell>
        </row>
        <row r="643">
          <cell r="A643" t="str">
            <v>08</v>
          </cell>
          <cell r="B643" t="str">
            <v>卷钢-国内外部</v>
          </cell>
          <cell r="C643">
            <v>1000</v>
          </cell>
        </row>
        <row r="644">
          <cell r="A644" t="str">
            <v>08</v>
          </cell>
          <cell r="B644" t="str">
            <v>卷钢-国内外部</v>
          </cell>
          <cell r="C644">
            <v>60</v>
          </cell>
        </row>
        <row r="645">
          <cell r="A645" t="str">
            <v>08</v>
          </cell>
          <cell r="B645" t="str">
            <v>卷钢-国内外部</v>
          </cell>
          <cell r="C645">
            <v>320</v>
          </cell>
        </row>
        <row r="646">
          <cell r="A646" t="str">
            <v>08</v>
          </cell>
          <cell r="B646" t="str">
            <v>卷钢-国内外部</v>
          </cell>
          <cell r="C646">
            <v>40</v>
          </cell>
        </row>
        <row r="647">
          <cell r="A647" t="str">
            <v>08</v>
          </cell>
          <cell r="B647" t="str">
            <v>卷钢-国内外部</v>
          </cell>
          <cell r="C647">
            <v>40</v>
          </cell>
        </row>
        <row r="648">
          <cell r="A648" t="str">
            <v>08</v>
          </cell>
          <cell r="B648" t="str">
            <v>卷钢-国内外部</v>
          </cell>
          <cell r="C648">
            <v>40</v>
          </cell>
        </row>
        <row r="649">
          <cell r="A649" t="str">
            <v>08</v>
          </cell>
          <cell r="B649" t="str">
            <v>卷钢-国内外部</v>
          </cell>
          <cell r="C649">
            <v>60</v>
          </cell>
        </row>
        <row r="650">
          <cell r="A650" t="str">
            <v>08</v>
          </cell>
          <cell r="B650" t="str">
            <v>卷钢-国内外部</v>
          </cell>
          <cell r="C650">
            <v>190</v>
          </cell>
        </row>
        <row r="651">
          <cell r="A651" t="str">
            <v>08</v>
          </cell>
          <cell r="B651" t="str">
            <v>卷钢-国内外部</v>
          </cell>
          <cell r="C651">
            <v>1000</v>
          </cell>
        </row>
        <row r="652">
          <cell r="A652" t="str">
            <v>08</v>
          </cell>
          <cell r="B652" t="str">
            <v>卷钢-国内外部</v>
          </cell>
          <cell r="C652">
            <v>260</v>
          </cell>
        </row>
        <row r="653">
          <cell r="A653" t="str">
            <v>08</v>
          </cell>
          <cell r="B653" t="str">
            <v>卷钢-国内外部</v>
          </cell>
          <cell r="C653">
            <v>220</v>
          </cell>
        </row>
        <row r="654">
          <cell r="A654" t="str">
            <v>08</v>
          </cell>
          <cell r="B654" t="str">
            <v>卷钢-国内外部</v>
          </cell>
          <cell r="C654">
            <v>1000</v>
          </cell>
        </row>
        <row r="655">
          <cell r="A655" t="str">
            <v>08</v>
          </cell>
          <cell r="B655" t="str">
            <v>卷钢-国内外部</v>
          </cell>
          <cell r="C655">
            <v>300</v>
          </cell>
        </row>
        <row r="656">
          <cell r="A656" t="str">
            <v>08</v>
          </cell>
          <cell r="B656" t="str">
            <v>卷钢-国内内部</v>
          </cell>
          <cell r="C656">
            <v>1520</v>
          </cell>
        </row>
        <row r="657">
          <cell r="A657" t="str">
            <v>08</v>
          </cell>
          <cell r="B657" t="str">
            <v>卷钢-国内外部</v>
          </cell>
          <cell r="C657">
            <v>240</v>
          </cell>
        </row>
        <row r="658">
          <cell r="A658" t="str">
            <v>08</v>
          </cell>
          <cell r="B658" t="str">
            <v>卷钢-国内外部</v>
          </cell>
          <cell r="C658">
            <v>600</v>
          </cell>
        </row>
        <row r="659">
          <cell r="A659" t="str">
            <v>08</v>
          </cell>
          <cell r="B659" t="str">
            <v>卷钢-国内外部</v>
          </cell>
          <cell r="C659">
            <v>300</v>
          </cell>
        </row>
        <row r="660">
          <cell r="A660" t="str">
            <v>08</v>
          </cell>
          <cell r="B660" t="str">
            <v>卷钢-国内外部</v>
          </cell>
          <cell r="C660">
            <v>140</v>
          </cell>
        </row>
        <row r="661">
          <cell r="A661" t="str">
            <v>08</v>
          </cell>
          <cell r="B661" t="str">
            <v>卷钢-国内外部</v>
          </cell>
          <cell r="C661">
            <v>1200</v>
          </cell>
        </row>
        <row r="662">
          <cell r="A662" t="str">
            <v>08</v>
          </cell>
          <cell r="B662" t="str">
            <v>卷钢-国内外部</v>
          </cell>
          <cell r="C662">
            <v>350</v>
          </cell>
        </row>
        <row r="663">
          <cell r="A663" t="str">
            <v>08</v>
          </cell>
          <cell r="B663" t="str">
            <v>卷钢-国内外部</v>
          </cell>
          <cell r="C663">
            <v>300</v>
          </cell>
        </row>
        <row r="664">
          <cell r="A664" t="str">
            <v>08</v>
          </cell>
          <cell r="B664" t="str">
            <v>卷钢-国内外部</v>
          </cell>
          <cell r="C664">
            <v>1600</v>
          </cell>
        </row>
        <row r="665">
          <cell r="A665" t="str">
            <v>08</v>
          </cell>
          <cell r="B665" t="str">
            <v>卷钢-国内外部</v>
          </cell>
          <cell r="C665">
            <v>600</v>
          </cell>
        </row>
        <row r="666">
          <cell r="A666" t="str">
            <v>08</v>
          </cell>
          <cell r="B666" t="str">
            <v>卷钢-国内外部</v>
          </cell>
          <cell r="C666">
            <v>260</v>
          </cell>
        </row>
        <row r="667">
          <cell r="A667" t="str">
            <v>08</v>
          </cell>
          <cell r="B667" t="str">
            <v>卷钢-国内外部</v>
          </cell>
          <cell r="C667">
            <v>300</v>
          </cell>
        </row>
        <row r="668">
          <cell r="A668" t="str">
            <v>08</v>
          </cell>
          <cell r="B668" t="str">
            <v>卷钢-国内外部</v>
          </cell>
          <cell r="C668">
            <v>300</v>
          </cell>
        </row>
        <row r="669">
          <cell r="A669" t="str">
            <v>08</v>
          </cell>
          <cell r="B669" t="str">
            <v>卷钢-国内外部</v>
          </cell>
          <cell r="C669">
            <v>200</v>
          </cell>
        </row>
        <row r="670">
          <cell r="A670" t="str">
            <v>08</v>
          </cell>
          <cell r="B670" t="str">
            <v>卷钢-国内内部</v>
          </cell>
          <cell r="C670">
            <v>5</v>
          </cell>
        </row>
        <row r="671">
          <cell r="A671" t="str">
            <v>08</v>
          </cell>
          <cell r="B671" t="str">
            <v>卷钢-国内外部</v>
          </cell>
          <cell r="C671">
            <v>-400</v>
          </cell>
        </row>
        <row r="672">
          <cell r="A672" t="str">
            <v>08</v>
          </cell>
          <cell r="B672" t="str">
            <v>卷钢-国内外部</v>
          </cell>
          <cell r="C672">
            <v>180</v>
          </cell>
        </row>
        <row r="673">
          <cell r="A673" t="str">
            <v>08</v>
          </cell>
          <cell r="B673" t="str">
            <v>卷钢-国内外部</v>
          </cell>
          <cell r="C673">
            <v>1160</v>
          </cell>
        </row>
        <row r="674">
          <cell r="A674" t="str">
            <v>08</v>
          </cell>
          <cell r="B674" t="str">
            <v>卷钢-国内外部</v>
          </cell>
          <cell r="C674">
            <v>1000</v>
          </cell>
        </row>
        <row r="675">
          <cell r="A675" t="str">
            <v>08</v>
          </cell>
          <cell r="B675" t="str">
            <v>卷钢-国内外部</v>
          </cell>
          <cell r="C675">
            <v>1000</v>
          </cell>
        </row>
        <row r="676">
          <cell r="A676" t="str">
            <v>08</v>
          </cell>
          <cell r="B676" t="str">
            <v>卷钢-国内外部</v>
          </cell>
          <cell r="C676">
            <v>40</v>
          </cell>
        </row>
        <row r="677">
          <cell r="A677" t="str">
            <v>08</v>
          </cell>
          <cell r="B677" t="str">
            <v>卷钢-国内外部</v>
          </cell>
          <cell r="C677">
            <v>1600</v>
          </cell>
        </row>
        <row r="678">
          <cell r="A678" t="str">
            <v>08</v>
          </cell>
          <cell r="B678" t="str">
            <v>卷钢-国内外部</v>
          </cell>
          <cell r="C678">
            <v>1000</v>
          </cell>
        </row>
        <row r="679">
          <cell r="A679" t="str">
            <v>08</v>
          </cell>
          <cell r="B679" t="str">
            <v>卷钢-国内外部</v>
          </cell>
          <cell r="C679">
            <v>900</v>
          </cell>
        </row>
        <row r="680">
          <cell r="A680" t="str">
            <v>08</v>
          </cell>
          <cell r="B680" t="str">
            <v>卷钢-国内外部</v>
          </cell>
          <cell r="C680">
            <v>100</v>
          </cell>
        </row>
        <row r="681">
          <cell r="A681" t="str">
            <v>08</v>
          </cell>
          <cell r="B681" t="str">
            <v>卷钢-国内外部</v>
          </cell>
          <cell r="C681">
            <v>400</v>
          </cell>
        </row>
        <row r="682">
          <cell r="A682" t="str">
            <v>08</v>
          </cell>
          <cell r="B682" t="str">
            <v>卷钢-国内外部</v>
          </cell>
          <cell r="C682">
            <v>60</v>
          </cell>
        </row>
        <row r="683">
          <cell r="A683" t="str">
            <v>08</v>
          </cell>
          <cell r="B683" t="str">
            <v>卷钢-国内外部</v>
          </cell>
          <cell r="C683">
            <v>200</v>
          </cell>
        </row>
        <row r="684">
          <cell r="A684" t="str">
            <v>08</v>
          </cell>
          <cell r="B684" t="str">
            <v>卷钢-国内外部</v>
          </cell>
          <cell r="C684">
            <v>190</v>
          </cell>
        </row>
        <row r="685">
          <cell r="A685" t="str">
            <v>08</v>
          </cell>
          <cell r="B685" t="str">
            <v>卷钢-国内外部</v>
          </cell>
          <cell r="C685">
            <v>200</v>
          </cell>
        </row>
        <row r="686">
          <cell r="A686" t="str">
            <v>08</v>
          </cell>
          <cell r="B686" t="str">
            <v>卷钢-国内外部</v>
          </cell>
          <cell r="C686">
            <v>1600</v>
          </cell>
        </row>
        <row r="687">
          <cell r="A687" t="str">
            <v>08</v>
          </cell>
          <cell r="B687" t="str">
            <v>卷钢-国内外部</v>
          </cell>
          <cell r="C687">
            <v>2000</v>
          </cell>
        </row>
        <row r="688">
          <cell r="A688" t="str">
            <v>08</v>
          </cell>
          <cell r="B688" t="str">
            <v>卷钢-国内外部</v>
          </cell>
          <cell r="C688">
            <v>500</v>
          </cell>
        </row>
        <row r="689">
          <cell r="A689" t="str">
            <v>08</v>
          </cell>
          <cell r="B689" t="str">
            <v>卷钢-国内外部</v>
          </cell>
          <cell r="C689">
            <v>200</v>
          </cell>
        </row>
        <row r="690">
          <cell r="A690" t="str">
            <v>08</v>
          </cell>
          <cell r="B690" t="str">
            <v>卷钢-国内外部</v>
          </cell>
          <cell r="C690">
            <v>-160</v>
          </cell>
        </row>
        <row r="691">
          <cell r="A691" t="str">
            <v>08</v>
          </cell>
          <cell r="B691" t="str">
            <v>卷钢-国内外部</v>
          </cell>
          <cell r="C691">
            <v>500</v>
          </cell>
        </row>
        <row r="692">
          <cell r="A692" t="str">
            <v>08</v>
          </cell>
          <cell r="B692" t="str">
            <v>卷钢-国内外部</v>
          </cell>
          <cell r="C692">
            <v>-1600</v>
          </cell>
        </row>
        <row r="693">
          <cell r="A693" t="str">
            <v>08</v>
          </cell>
          <cell r="B693" t="str">
            <v>卷钢-国内外部</v>
          </cell>
          <cell r="C693">
            <v>600</v>
          </cell>
        </row>
        <row r="694">
          <cell r="A694" t="str">
            <v>08</v>
          </cell>
          <cell r="B694" t="str">
            <v>塑胶-国外内部</v>
          </cell>
          <cell r="C694">
            <v>10</v>
          </cell>
        </row>
        <row r="695">
          <cell r="A695" t="str">
            <v>09</v>
          </cell>
          <cell r="B695" t="str">
            <v>卷钢-国内内部</v>
          </cell>
          <cell r="C695">
            <v>16</v>
          </cell>
        </row>
        <row r="696">
          <cell r="A696" t="str">
            <v>09</v>
          </cell>
          <cell r="B696" t="str">
            <v>卷钢-国内内部</v>
          </cell>
          <cell r="C696">
            <v>20</v>
          </cell>
        </row>
        <row r="697">
          <cell r="A697" t="str">
            <v>09</v>
          </cell>
          <cell r="B697" t="str">
            <v>卷钢-国内内部</v>
          </cell>
          <cell r="C697">
            <v>1</v>
          </cell>
        </row>
        <row r="698">
          <cell r="A698" t="str">
            <v>09</v>
          </cell>
          <cell r="B698" t="str">
            <v>卷钢-国内外部</v>
          </cell>
          <cell r="C698">
            <v>7920</v>
          </cell>
        </row>
        <row r="699">
          <cell r="A699" t="str">
            <v>09</v>
          </cell>
          <cell r="B699" t="str">
            <v>卷钢-国内外部</v>
          </cell>
          <cell r="C699">
            <v>80</v>
          </cell>
        </row>
        <row r="700">
          <cell r="A700" t="str">
            <v>09</v>
          </cell>
          <cell r="B700" t="str">
            <v>卷钢-国内外部</v>
          </cell>
          <cell r="C700">
            <v>400</v>
          </cell>
        </row>
        <row r="701">
          <cell r="A701" t="str">
            <v>09</v>
          </cell>
          <cell r="B701" t="str">
            <v>卷钢-国内外部</v>
          </cell>
          <cell r="C701">
            <v>120</v>
          </cell>
        </row>
        <row r="702">
          <cell r="A702" t="str">
            <v>09</v>
          </cell>
          <cell r="B702" t="str">
            <v>卷钢-国内外部</v>
          </cell>
          <cell r="C702">
            <v>1800</v>
          </cell>
        </row>
        <row r="703">
          <cell r="A703" t="str">
            <v>09</v>
          </cell>
          <cell r="B703" t="str">
            <v>卷钢-国内外部</v>
          </cell>
          <cell r="C703">
            <v>2400</v>
          </cell>
        </row>
        <row r="704">
          <cell r="A704" t="str">
            <v>09</v>
          </cell>
          <cell r="B704" t="str">
            <v>卷钢-国内外部</v>
          </cell>
          <cell r="C704">
            <v>650</v>
          </cell>
        </row>
        <row r="705">
          <cell r="A705" t="str">
            <v>09</v>
          </cell>
          <cell r="B705" t="str">
            <v>卷钢-国内外部</v>
          </cell>
          <cell r="C705">
            <v>200</v>
          </cell>
        </row>
        <row r="706">
          <cell r="A706" t="str">
            <v>09</v>
          </cell>
          <cell r="B706" t="str">
            <v>卷钢-国内外部</v>
          </cell>
          <cell r="C706">
            <v>200</v>
          </cell>
        </row>
        <row r="707">
          <cell r="A707" t="str">
            <v>09</v>
          </cell>
          <cell r="B707" t="str">
            <v>卷钢-国内外部</v>
          </cell>
          <cell r="C707">
            <v>260</v>
          </cell>
        </row>
        <row r="708">
          <cell r="A708" t="str">
            <v>09</v>
          </cell>
          <cell r="B708" t="str">
            <v>卷钢-国内外部</v>
          </cell>
          <cell r="C708">
            <v>80</v>
          </cell>
        </row>
        <row r="709">
          <cell r="A709" t="str">
            <v>09</v>
          </cell>
          <cell r="B709" t="str">
            <v>卷钢-国内外部</v>
          </cell>
          <cell r="C709">
            <v>320</v>
          </cell>
        </row>
        <row r="710">
          <cell r="A710" t="str">
            <v>09</v>
          </cell>
          <cell r="B710" t="str">
            <v>卷钢-国内外部</v>
          </cell>
          <cell r="C710">
            <v>250</v>
          </cell>
        </row>
        <row r="711">
          <cell r="A711" t="str">
            <v>09</v>
          </cell>
          <cell r="B711" t="str">
            <v>卷钢-国内外部</v>
          </cell>
          <cell r="C711">
            <v>400</v>
          </cell>
        </row>
        <row r="712">
          <cell r="A712" t="str">
            <v>09</v>
          </cell>
          <cell r="B712" t="str">
            <v>卷钢-国内外部</v>
          </cell>
          <cell r="C712">
            <v>230</v>
          </cell>
        </row>
        <row r="713">
          <cell r="A713" t="str">
            <v>09</v>
          </cell>
          <cell r="B713" t="str">
            <v>卷钢-国内内部</v>
          </cell>
          <cell r="C713">
            <v>1900</v>
          </cell>
        </row>
        <row r="714">
          <cell r="A714" t="str">
            <v>09</v>
          </cell>
          <cell r="B714" t="str">
            <v>卷钢-国内外部</v>
          </cell>
          <cell r="C714">
            <v>400</v>
          </cell>
        </row>
        <row r="715">
          <cell r="A715" t="str">
            <v>09</v>
          </cell>
          <cell r="B715" t="str">
            <v>卷钢-国内外部</v>
          </cell>
          <cell r="C715">
            <v>60</v>
          </cell>
        </row>
        <row r="716">
          <cell r="A716" t="str">
            <v>09</v>
          </cell>
          <cell r="B716" t="str">
            <v>卷钢-国内外部</v>
          </cell>
          <cell r="C716">
            <v>600</v>
          </cell>
        </row>
        <row r="717">
          <cell r="A717" t="str">
            <v>09</v>
          </cell>
          <cell r="B717" t="str">
            <v>卷钢-国内外部</v>
          </cell>
          <cell r="C717">
            <v>600</v>
          </cell>
        </row>
        <row r="718">
          <cell r="A718" t="str">
            <v>09</v>
          </cell>
          <cell r="B718" t="str">
            <v>卷钢-国内外部</v>
          </cell>
          <cell r="C718">
            <v>1000</v>
          </cell>
        </row>
        <row r="719">
          <cell r="A719" t="str">
            <v>09</v>
          </cell>
          <cell r="B719" t="str">
            <v>卷钢-国内外部</v>
          </cell>
          <cell r="C719">
            <v>220</v>
          </cell>
        </row>
        <row r="720">
          <cell r="A720" t="str">
            <v>09</v>
          </cell>
          <cell r="B720" t="str">
            <v>卷钢-国内外部</v>
          </cell>
          <cell r="C720">
            <v>100</v>
          </cell>
        </row>
        <row r="721">
          <cell r="A721" t="str">
            <v>09</v>
          </cell>
          <cell r="B721" t="str">
            <v>卷钢-国内外部</v>
          </cell>
          <cell r="C721">
            <v>600</v>
          </cell>
        </row>
        <row r="722">
          <cell r="A722" t="str">
            <v>09</v>
          </cell>
          <cell r="B722" t="str">
            <v>卷钢-国内外部</v>
          </cell>
          <cell r="C722">
            <v>1000</v>
          </cell>
        </row>
        <row r="723">
          <cell r="A723" t="str">
            <v>09</v>
          </cell>
          <cell r="B723" t="str">
            <v>卷钢-国内外部</v>
          </cell>
          <cell r="C723">
            <v>300</v>
          </cell>
        </row>
        <row r="724">
          <cell r="A724" t="str">
            <v>09</v>
          </cell>
          <cell r="B724" t="str">
            <v>卷钢-国内外部</v>
          </cell>
          <cell r="C724">
            <v>380</v>
          </cell>
        </row>
        <row r="725">
          <cell r="A725" t="str">
            <v>09</v>
          </cell>
          <cell r="B725" t="str">
            <v>卷钢-国内外部</v>
          </cell>
          <cell r="C725">
            <v>120</v>
          </cell>
        </row>
        <row r="726">
          <cell r="A726" t="str">
            <v>09</v>
          </cell>
          <cell r="B726" t="str">
            <v>卷钢-国内外部</v>
          </cell>
          <cell r="C726">
            <v>800</v>
          </cell>
        </row>
        <row r="727">
          <cell r="A727" t="str">
            <v>09</v>
          </cell>
          <cell r="B727" t="str">
            <v>卷钢-国内外部</v>
          </cell>
          <cell r="C727">
            <v>100</v>
          </cell>
        </row>
        <row r="728">
          <cell r="A728" t="str">
            <v>09</v>
          </cell>
          <cell r="B728" t="str">
            <v>卷钢-国内外部</v>
          </cell>
          <cell r="C728">
            <v>820</v>
          </cell>
        </row>
        <row r="729">
          <cell r="A729" t="str">
            <v>09</v>
          </cell>
          <cell r="B729" t="str">
            <v>卷钢-国内外部</v>
          </cell>
          <cell r="C729">
            <v>1600</v>
          </cell>
        </row>
        <row r="730">
          <cell r="A730" t="str">
            <v>09</v>
          </cell>
          <cell r="B730" t="str">
            <v>卷钢-国内外部</v>
          </cell>
          <cell r="C730">
            <v>200</v>
          </cell>
        </row>
        <row r="731">
          <cell r="A731" t="str">
            <v>09</v>
          </cell>
          <cell r="B731" t="str">
            <v>卷钢-国内外部</v>
          </cell>
          <cell r="C731">
            <v>200</v>
          </cell>
        </row>
        <row r="732">
          <cell r="A732" t="str">
            <v>09</v>
          </cell>
          <cell r="B732" t="str">
            <v>卷钢-国内外部</v>
          </cell>
          <cell r="C732">
            <v>400</v>
          </cell>
        </row>
        <row r="733">
          <cell r="A733" t="str">
            <v>09</v>
          </cell>
          <cell r="B733" t="str">
            <v>卷钢-国内外部</v>
          </cell>
          <cell r="C733">
            <v>200</v>
          </cell>
        </row>
        <row r="734">
          <cell r="A734" t="str">
            <v>09</v>
          </cell>
          <cell r="B734" t="str">
            <v>卷钢-国内外部</v>
          </cell>
          <cell r="C734">
            <v>800</v>
          </cell>
        </row>
        <row r="735">
          <cell r="A735" t="str">
            <v>09</v>
          </cell>
          <cell r="B735" t="str">
            <v>卷钢-国内外部</v>
          </cell>
          <cell r="C735">
            <v>200</v>
          </cell>
        </row>
        <row r="736">
          <cell r="A736" t="str">
            <v>09</v>
          </cell>
          <cell r="B736" t="str">
            <v>卷钢-国内外部</v>
          </cell>
          <cell r="C736">
            <v>120</v>
          </cell>
        </row>
        <row r="737">
          <cell r="A737" t="str">
            <v>09</v>
          </cell>
          <cell r="B737" t="str">
            <v>卷钢-国内外部</v>
          </cell>
          <cell r="C737">
            <v>1000</v>
          </cell>
        </row>
        <row r="738">
          <cell r="A738" t="str">
            <v>09</v>
          </cell>
          <cell r="B738" t="str">
            <v>卷钢-国内外部</v>
          </cell>
          <cell r="C738">
            <v>1000</v>
          </cell>
        </row>
        <row r="739">
          <cell r="A739" t="str">
            <v>09</v>
          </cell>
          <cell r="B739" t="str">
            <v>卷钢-国内外部</v>
          </cell>
          <cell r="C739">
            <v>220</v>
          </cell>
        </row>
        <row r="740">
          <cell r="A740" t="str">
            <v>09</v>
          </cell>
          <cell r="B740" t="str">
            <v>卷钢-国内外部</v>
          </cell>
          <cell r="C740">
            <v>1540</v>
          </cell>
        </row>
        <row r="741">
          <cell r="A741" t="str">
            <v>09</v>
          </cell>
          <cell r="B741" t="str">
            <v>卷钢-国内外部</v>
          </cell>
          <cell r="C741">
            <v>400</v>
          </cell>
        </row>
        <row r="742">
          <cell r="A742" t="str">
            <v>09</v>
          </cell>
          <cell r="B742" t="str">
            <v>卷钢-国内外部</v>
          </cell>
          <cell r="C742">
            <v>500</v>
          </cell>
        </row>
        <row r="743">
          <cell r="A743" t="str">
            <v>09</v>
          </cell>
          <cell r="B743" t="str">
            <v>卷钢-国内外部</v>
          </cell>
          <cell r="C743">
            <v>260</v>
          </cell>
        </row>
        <row r="744">
          <cell r="A744" t="str">
            <v>09</v>
          </cell>
          <cell r="B744" t="str">
            <v>卷钢-国内内部</v>
          </cell>
          <cell r="C744">
            <v>20</v>
          </cell>
        </row>
        <row r="745">
          <cell r="A745" t="str">
            <v>09</v>
          </cell>
          <cell r="B745" t="str">
            <v>卷钢-国内内部</v>
          </cell>
          <cell r="C745">
            <v>300</v>
          </cell>
        </row>
        <row r="746">
          <cell r="A746" t="str">
            <v>09</v>
          </cell>
          <cell r="B746" t="str">
            <v>卷钢-国内外部</v>
          </cell>
          <cell r="C746">
            <v>0</v>
          </cell>
        </row>
        <row r="747">
          <cell r="A747" t="str">
            <v>09</v>
          </cell>
          <cell r="B747" t="str">
            <v>卷钢-国内外部</v>
          </cell>
          <cell r="C747">
            <v>120</v>
          </cell>
        </row>
        <row r="748">
          <cell r="A748" t="str">
            <v>09</v>
          </cell>
          <cell r="B748" t="str">
            <v>卷钢-国内外部</v>
          </cell>
          <cell r="C748">
            <v>600</v>
          </cell>
        </row>
        <row r="749">
          <cell r="A749" t="str">
            <v>09</v>
          </cell>
          <cell r="B749" t="str">
            <v>卷钢-国内外部</v>
          </cell>
          <cell r="C749">
            <v>400</v>
          </cell>
        </row>
        <row r="750">
          <cell r="A750" t="str">
            <v>09</v>
          </cell>
          <cell r="B750" t="str">
            <v>卷钢-国内外部</v>
          </cell>
          <cell r="C750">
            <v>200</v>
          </cell>
        </row>
        <row r="751">
          <cell r="A751" t="str">
            <v>09</v>
          </cell>
          <cell r="B751" t="str">
            <v>卷钢-国内外部</v>
          </cell>
          <cell r="C751">
            <v>60</v>
          </cell>
        </row>
        <row r="752">
          <cell r="A752" t="str">
            <v>09</v>
          </cell>
          <cell r="B752" t="str">
            <v>卷钢-国内外部</v>
          </cell>
          <cell r="C752">
            <v>80</v>
          </cell>
        </row>
        <row r="753">
          <cell r="A753" t="str">
            <v>09</v>
          </cell>
          <cell r="B753" t="str">
            <v>卷钢-国内外部</v>
          </cell>
          <cell r="C753">
            <v>600</v>
          </cell>
        </row>
        <row r="754">
          <cell r="A754" t="str">
            <v>09</v>
          </cell>
          <cell r="B754" t="str">
            <v>卷钢-国内外部</v>
          </cell>
          <cell r="C754">
            <v>800</v>
          </cell>
        </row>
        <row r="755">
          <cell r="A755" t="str">
            <v>09</v>
          </cell>
          <cell r="B755" t="str">
            <v>卷钢-国内外部</v>
          </cell>
          <cell r="C755">
            <v>1500</v>
          </cell>
        </row>
        <row r="756">
          <cell r="A756" t="str">
            <v>09</v>
          </cell>
          <cell r="B756" t="str">
            <v>卷钢-国内内部</v>
          </cell>
          <cell r="C756">
            <v>200</v>
          </cell>
        </row>
        <row r="757">
          <cell r="A757" t="str">
            <v>09</v>
          </cell>
          <cell r="B757" t="str">
            <v>卷钢-国内外部</v>
          </cell>
          <cell r="C757">
            <v>400</v>
          </cell>
        </row>
        <row r="758">
          <cell r="A758" t="str">
            <v>09</v>
          </cell>
          <cell r="B758" t="str">
            <v>卷钢-国内外部</v>
          </cell>
          <cell r="C758">
            <v>1000</v>
          </cell>
        </row>
        <row r="759">
          <cell r="A759" t="str">
            <v>09</v>
          </cell>
          <cell r="B759" t="str">
            <v>卷钢-国内外部</v>
          </cell>
          <cell r="C759">
            <v>3200</v>
          </cell>
        </row>
        <row r="760">
          <cell r="A760" t="str">
            <v>09</v>
          </cell>
          <cell r="B760" t="str">
            <v>卷钢-国内外部</v>
          </cell>
          <cell r="C760">
            <v>450</v>
          </cell>
        </row>
        <row r="761">
          <cell r="A761" t="str">
            <v>09</v>
          </cell>
          <cell r="B761" t="str">
            <v>卷钢-国内外部</v>
          </cell>
          <cell r="C761">
            <v>400</v>
          </cell>
        </row>
        <row r="762">
          <cell r="A762" t="str">
            <v>09</v>
          </cell>
          <cell r="B762" t="str">
            <v>卷钢-国内外部</v>
          </cell>
          <cell r="C762">
            <v>60</v>
          </cell>
        </row>
        <row r="763">
          <cell r="A763" t="str">
            <v>09</v>
          </cell>
          <cell r="B763" t="str">
            <v>卷钢-国内外部</v>
          </cell>
          <cell r="C763">
            <v>2500</v>
          </cell>
        </row>
        <row r="764">
          <cell r="A764" t="str">
            <v>09</v>
          </cell>
          <cell r="B764" t="str">
            <v>卷钢-国内外部</v>
          </cell>
          <cell r="C764">
            <v>200</v>
          </cell>
        </row>
        <row r="765">
          <cell r="A765" t="str">
            <v>09</v>
          </cell>
          <cell r="B765" t="str">
            <v>卷钢-国内外部</v>
          </cell>
          <cell r="C765">
            <v>60</v>
          </cell>
        </row>
        <row r="766">
          <cell r="A766" t="str">
            <v>09</v>
          </cell>
          <cell r="B766" t="str">
            <v>卷钢-国内外部</v>
          </cell>
          <cell r="C766">
            <v>80</v>
          </cell>
        </row>
        <row r="767">
          <cell r="A767" t="str">
            <v>09</v>
          </cell>
          <cell r="B767" t="str">
            <v>卷钢-国内外部</v>
          </cell>
          <cell r="C767">
            <v>600</v>
          </cell>
        </row>
        <row r="768">
          <cell r="A768" t="str">
            <v>09</v>
          </cell>
          <cell r="B768" t="str">
            <v>卷钢-国内外部</v>
          </cell>
          <cell r="C768">
            <v>180</v>
          </cell>
        </row>
        <row r="769">
          <cell r="A769" t="str">
            <v>09</v>
          </cell>
          <cell r="B769" t="str">
            <v>卷钢-国内外部</v>
          </cell>
          <cell r="C769">
            <v>180</v>
          </cell>
        </row>
        <row r="770">
          <cell r="A770" t="str">
            <v>09</v>
          </cell>
          <cell r="B770" t="str">
            <v>卷钢-国内外部</v>
          </cell>
          <cell r="C770">
            <v>280</v>
          </cell>
        </row>
        <row r="771">
          <cell r="A771" t="str">
            <v>09</v>
          </cell>
          <cell r="B771" t="str">
            <v>卷钢-国内外部</v>
          </cell>
          <cell r="C771">
            <v>60</v>
          </cell>
        </row>
        <row r="772">
          <cell r="A772" t="str">
            <v>09</v>
          </cell>
          <cell r="B772" t="str">
            <v>卷钢-国内外部</v>
          </cell>
          <cell r="C772">
            <v>80</v>
          </cell>
        </row>
        <row r="773">
          <cell r="A773" t="str">
            <v>09</v>
          </cell>
          <cell r="B773" t="str">
            <v>卷钢-国内外部</v>
          </cell>
          <cell r="C773">
            <v>-1500</v>
          </cell>
        </row>
        <row r="774">
          <cell r="A774" t="str">
            <v>09</v>
          </cell>
          <cell r="B774" t="str">
            <v>卷钢-国内外部</v>
          </cell>
          <cell r="C774">
            <v>1000</v>
          </cell>
        </row>
        <row r="775">
          <cell r="A775" t="str">
            <v>09</v>
          </cell>
          <cell r="B775" t="str">
            <v>卷钢-国内外部</v>
          </cell>
          <cell r="C775">
            <v>240</v>
          </cell>
        </row>
        <row r="776">
          <cell r="A776" t="str">
            <v>09</v>
          </cell>
          <cell r="B776" t="str">
            <v>卷钢-国内外部</v>
          </cell>
          <cell r="C776">
            <v>120</v>
          </cell>
        </row>
        <row r="777">
          <cell r="A777" t="str">
            <v>09</v>
          </cell>
          <cell r="B777" t="str">
            <v>卷钢-国内外部</v>
          </cell>
          <cell r="C777">
            <v>240</v>
          </cell>
        </row>
        <row r="778">
          <cell r="A778" t="str">
            <v>09</v>
          </cell>
          <cell r="B778" t="str">
            <v>卷钢-国内外部</v>
          </cell>
          <cell r="C778">
            <v>220</v>
          </cell>
        </row>
        <row r="779">
          <cell r="A779" t="str">
            <v>09</v>
          </cell>
          <cell r="B779" t="str">
            <v>卷钢-国内外部</v>
          </cell>
          <cell r="C779">
            <v>140</v>
          </cell>
        </row>
        <row r="780">
          <cell r="A780" t="str">
            <v>09</v>
          </cell>
          <cell r="B780" t="str">
            <v>卷钢-国内外部</v>
          </cell>
          <cell r="C780">
            <v>320</v>
          </cell>
        </row>
        <row r="781">
          <cell r="A781" t="str">
            <v>09</v>
          </cell>
          <cell r="B781" t="str">
            <v>卷钢-国内外部</v>
          </cell>
          <cell r="C781">
            <v>340</v>
          </cell>
        </row>
        <row r="782">
          <cell r="A782" t="str">
            <v>09</v>
          </cell>
          <cell r="B782" t="str">
            <v>卷钢-国内外部</v>
          </cell>
          <cell r="C782">
            <v>60</v>
          </cell>
        </row>
        <row r="783">
          <cell r="A783" t="str">
            <v>09</v>
          </cell>
          <cell r="B783" t="str">
            <v>卷钢-国内外部</v>
          </cell>
          <cell r="C783">
            <v>350</v>
          </cell>
        </row>
        <row r="784">
          <cell r="A784" t="str">
            <v>09</v>
          </cell>
          <cell r="B784" t="str">
            <v>卷钢-国内内部</v>
          </cell>
          <cell r="C784">
            <v>10</v>
          </cell>
        </row>
        <row r="785">
          <cell r="A785" t="str">
            <v>09</v>
          </cell>
          <cell r="B785" t="str">
            <v>卷钢-国内内部</v>
          </cell>
          <cell r="C785">
            <v>20</v>
          </cell>
        </row>
        <row r="786">
          <cell r="A786" t="str">
            <v>09</v>
          </cell>
          <cell r="B786" t="str">
            <v>卷钢-国内外部</v>
          </cell>
          <cell r="C786">
            <v>1000</v>
          </cell>
        </row>
        <row r="787">
          <cell r="A787" t="str">
            <v>09</v>
          </cell>
          <cell r="B787" t="str">
            <v>卷钢-国内外部</v>
          </cell>
          <cell r="C787">
            <v>0</v>
          </cell>
        </row>
        <row r="788">
          <cell r="A788" t="str">
            <v>09</v>
          </cell>
          <cell r="B788" t="str">
            <v>卷钢-国内外部</v>
          </cell>
          <cell r="C788">
            <v>450</v>
          </cell>
        </row>
        <row r="789">
          <cell r="A789" t="str">
            <v>09</v>
          </cell>
          <cell r="B789" t="str">
            <v>卷钢-国内外部</v>
          </cell>
          <cell r="C789">
            <v>120</v>
          </cell>
        </row>
        <row r="790">
          <cell r="A790" t="str">
            <v>09</v>
          </cell>
          <cell r="B790" t="str">
            <v>卷钢-国内外部</v>
          </cell>
          <cell r="C790">
            <v>1100</v>
          </cell>
        </row>
        <row r="791">
          <cell r="A791" t="str">
            <v>09</v>
          </cell>
          <cell r="B791" t="str">
            <v>卷钢-国内外部</v>
          </cell>
          <cell r="C791">
            <v>20</v>
          </cell>
        </row>
        <row r="792">
          <cell r="A792" t="str">
            <v>09</v>
          </cell>
          <cell r="B792" t="str">
            <v>卷钢-国内外部</v>
          </cell>
          <cell r="C792">
            <v>40</v>
          </cell>
        </row>
        <row r="793">
          <cell r="A793" t="str">
            <v>09</v>
          </cell>
          <cell r="B793" t="str">
            <v>卷钢-国内外部</v>
          </cell>
          <cell r="C793">
            <v>40</v>
          </cell>
        </row>
        <row r="794">
          <cell r="A794" t="str">
            <v>10</v>
          </cell>
          <cell r="B794" t="str">
            <v>卷钢-国内外部</v>
          </cell>
          <cell r="C794">
            <v>230</v>
          </cell>
        </row>
        <row r="795">
          <cell r="A795" t="str">
            <v>10</v>
          </cell>
          <cell r="B795" t="str">
            <v>卷钢-国内外部</v>
          </cell>
          <cell r="C795">
            <v>200</v>
          </cell>
        </row>
        <row r="796">
          <cell r="A796" t="str">
            <v>10</v>
          </cell>
          <cell r="B796" t="str">
            <v>卷钢-国内内部</v>
          </cell>
          <cell r="C796">
            <v>10</v>
          </cell>
        </row>
        <row r="797">
          <cell r="A797" t="str">
            <v>10</v>
          </cell>
          <cell r="B797" t="str">
            <v>卷钢-国内外部</v>
          </cell>
          <cell r="C797">
            <v>1400</v>
          </cell>
        </row>
        <row r="798">
          <cell r="A798" t="str">
            <v>10</v>
          </cell>
          <cell r="B798" t="str">
            <v>卷钢-国内外部</v>
          </cell>
          <cell r="C798">
            <v>12100</v>
          </cell>
        </row>
        <row r="799">
          <cell r="A799" t="str">
            <v>10</v>
          </cell>
          <cell r="B799" t="str">
            <v>卷钢-国内外部</v>
          </cell>
          <cell r="C799">
            <v>400</v>
          </cell>
        </row>
        <row r="800">
          <cell r="A800" t="str">
            <v>10</v>
          </cell>
          <cell r="B800" t="str">
            <v>卷钢-国内外部</v>
          </cell>
          <cell r="C800">
            <v>400</v>
          </cell>
        </row>
        <row r="801">
          <cell r="A801" t="str">
            <v>10</v>
          </cell>
          <cell r="B801" t="str">
            <v>卷钢-国内外部</v>
          </cell>
          <cell r="C801">
            <v>260</v>
          </cell>
        </row>
        <row r="802">
          <cell r="A802" t="str">
            <v>10</v>
          </cell>
          <cell r="B802" t="str">
            <v>卷钢-国内外部</v>
          </cell>
          <cell r="C802">
            <v>1500</v>
          </cell>
        </row>
        <row r="803">
          <cell r="A803" t="str">
            <v>10</v>
          </cell>
          <cell r="B803" t="str">
            <v>卷钢-国内外部</v>
          </cell>
          <cell r="C803">
            <v>150</v>
          </cell>
        </row>
        <row r="804">
          <cell r="A804" t="str">
            <v>10</v>
          </cell>
          <cell r="B804" t="str">
            <v>卷钢-国内外部</v>
          </cell>
          <cell r="C804">
            <v>320</v>
          </cell>
        </row>
        <row r="805">
          <cell r="A805" t="str">
            <v>10</v>
          </cell>
          <cell r="B805" t="str">
            <v>卷钢-国内外部</v>
          </cell>
          <cell r="C805">
            <v>140</v>
          </cell>
        </row>
        <row r="806">
          <cell r="A806" t="str">
            <v>10</v>
          </cell>
          <cell r="B806" t="str">
            <v>卷钢-国内外部</v>
          </cell>
          <cell r="C806">
            <v>4500</v>
          </cell>
        </row>
        <row r="807">
          <cell r="A807" t="str">
            <v>10</v>
          </cell>
          <cell r="B807" t="str">
            <v>卷钢-国内外部</v>
          </cell>
          <cell r="C807">
            <v>360</v>
          </cell>
        </row>
        <row r="808">
          <cell r="A808" t="str">
            <v>10</v>
          </cell>
          <cell r="B808" t="str">
            <v>卷钢-国内外部</v>
          </cell>
          <cell r="C808">
            <v>480</v>
          </cell>
        </row>
        <row r="809">
          <cell r="A809" t="str">
            <v>10</v>
          </cell>
          <cell r="B809" t="str">
            <v>卷钢-国内外部</v>
          </cell>
          <cell r="C809">
            <v>60</v>
          </cell>
        </row>
        <row r="810">
          <cell r="A810" t="str">
            <v>10</v>
          </cell>
          <cell r="B810" t="str">
            <v>卷钢-国内外部</v>
          </cell>
          <cell r="C810">
            <v>400</v>
          </cell>
        </row>
        <row r="811">
          <cell r="A811" t="str">
            <v>10</v>
          </cell>
          <cell r="B811" t="str">
            <v>卷钢-国内外部</v>
          </cell>
          <cell r="C811">
            <v>200</v>
          </cell>
        </row>
        <row r="812">
          <cell r="A812" t="str">
            <v>10</v>
          </cell>
          <cell r="B812" t="str">
            <v>卷钢-国内外部</v>
          </cell>
          <cell r="C812">
            <v>170</v>
          </cell>
        </row>
        <row r="813">
          <cell r="A813" t="str">
            <v>10</v>
          </cell>
          <cell r="B813" t="str">
            <v>卷钢-国内外部</v>
          </cell>
          <cell r="C813">
            <v>400</v>
          </cell>
        </row>
        <row r="814">
          <cell r="A814" t="str">
            <v>10</v>
          </cell>
          <cell r="B814" t="str">
            <v>卷钢-国内外部</v>
          </cell>
          <cell r="C814">
            <v>420</v>
          </cell>
        </row>
        <row r="815">
          <cell r="A815" t="str">
            <v>10</v>
          </cell>
          <cell r="B815" t="str">
            <v>卷钢-国内外部</v>
          </cell>
          <cell r="C815">
            <v>400</v>
          </cell>
        </row>
        <row r="816">
          <cell r="A816" t="str">
            <v>10</v>
          </cell>
          <cell r="B816" t="str">
            <v>卷钢-国内外部</v>
          </cell>
          <cell r="C816">
            <v>600</v>
          </cell>
        </row>
        <row r="817">
          <cell r="A817" t="str">
            <v>10</v>
          </cell>
          <cell r="B817" t="str">
            <v>卷钢-国内外部</v>
          </cell>
          <cell r="C817">
            <v>660</v>
          </cell>
        </row>
        <row r="818">
          <cell r="A818" t="str">
            <v>10</v>
          </cell>
          <cell r="B818" t="str">
            <v>卷钢-国内外部</v>
          </cell>
          <cell r="C818">
            <v>140</v>
          </cell>
        </row>
        <row r="819">
          <cell r="A819" t="str">
            <v>10</v>
          </cell>
          <cell r="B819" t="str">
            <v>卷钢-国内外部</v>
          </cell>
          <cell r="C819">
            <v>600</v>
          </cell>
        </row>
        <row r="820">
          <cell r="A820" t="str">
            <v>10</v>
          </cell>
          <cell r="B820" t="str">
            <v>卷钢-国内外部</v>
          </cell>
          <cell r="C820">
            <v>2000</v>
          </cell>
        </row>
        <row r="821">
          <cell r="A821" t="str">
            <v>10</v>
          </cell>
          <cell r="B821" t="str">
            <v>卷钢-国内内部</v>
          </cell>
          <cell r="C821">
            <v>1</v>
          </cell>
        </row>
        <row r="822">
          <cell r="A822" t="str">
            <v>10</v>
          </cell>
          <cell r="B822" t="str">
            <v>卷钢-国内外部</v>
          </cell>
          <cell r="C822">
            <v>60</v>
          </cell>
        </row>
        <row r="823">
          <cell r="A823" t="str">
            <v>10</v>
          </cell>
          <cell r="B823" t="str">
            <v>卷钢-国内外部</v>
          </cell>
          <cell r="C823">
            <v>750</v>
          </cell>
        </row>
        <row r="824">
          <cell r="A824" t="str">
            <v>10</v>
          </cell>
          <cell r="B824" t="str">
            <v>卷钢-国内外部</v>
          </cell>
          <cell r="C824">
            <v>200</v>
          </cell>
        </row>
        <row r="825">
          <cell r="A825" t="str">
            <v>10</v>
          </cell>
          <cell r="B825" t="str">
            <v>卷钢-国内外部</v>
          </cell>
          <cell r="C825">
            <v>1560</v>
          </cell>
        </row>
        <row r="826">
          <cell r="A826" t="str">
            <v>10</v>
          </cell>
          <cell r="B826" t="str">
            <v>卷钢-国内外部</v>
          </cell>
          <cell r="C826">
            <v>400</v>
          </cell>
        </row>
        <row r="827">
          <cell r="A827" t="str">
            <v>10</v>
          </cell>
          <cell r="B827" t="str">
            <v>卷钢-国内外部</v>
          </cell>
          <cell r="C827">
            <v>80</v>
          </cell>
        </row>
        <row r="828">
          <cell r="A828" t="str">
            <v>10</v>
          </cell>
          <cell r="B828" t="str">
            <v>卷钢-国内外部</v>
          </cell>
          <cell r="C828">
            <v>500</v>
          </cell>
        </row>
        <row r="829">
          <cell r="A829" t="str">
            <v>10</v>
          </cell>
          <cell r="B829" t="str">
            <v>卷钢-国内外部</v>
          </cell>
          <cell r="C829">
            <v>800</v>
          </cell>
        </row>
        <row r="830">
          <cell r="A830" t="str">
            <v>10</v>
          </cell>
          <cell r="B830" t="str">
            <v>卷钢-国内外部</v>
          </cell>
          <cell r="C830">
            <v>350</v>
          </cell>
        </row>
        <row r="831">
          <cell r="A831" t="str">
            <v>10</v>
          </cell>
          <cell r="B831" t="str">
            <v>卷钢-国内外部</v>
          </cell>
          <cell r="C831">
            <v>300</v>
          </cell>
        </row>
        <row r="832">
          <cell r="A832" t="str">
            <v>10</v>
          </cell>
          <cell r="B832" t="str">
            <v>卷钢-国内外部</v>
          </cell>
          <cell r="C832">
            <v>700</v>
          </cell>
        </row>
        <row r="833">
          <cell r="A833" t="str">
            <v>10</v>
          </cell>
          <cell r="B833" t="str">
            <v>卷钢-国内外部</v>
          </cell>
          <cell r="C833">
            <v>100</v>
          </cell>
        </row>
        <row r="834">
          <cell r="A834" t="str">
            <v>10</v>
          </cell>
          <cell r="B834" t="str">
            <v>卷钢-国内外部</v>
          </cell>
          <cell r="C834">
            <v>40</v>
          </cell>
        </row>
        <row r="835">
          <cell r="A835" t="str">
            <v>10</v>
          </cell>
          <cell r="B835" t="str">
            <v>卷钢-国内外部</v>
          </cell>
          <cell r="C835">
            <v>80</v>
          </cell>
        </row>
        <row r="836">
          <cell r="A836" t="str">
            <v>10</v>
          </cell>
          <cell r="B836" t="str">
            <v>卷钢-国内外部</v>
          </cell>
          <cell r="C836">
            <v>1000</v>
          </cell>
        </row>
        <row r="837">
          <cell r="A837" t="str">
            <v>10</v>
          </cell>
          <cell r="B837" t="str">
            <v>卷钢-国内外部</v>
          </cell>
          <cell r="C837">
            <v>150</v>
          </cell>
        </row>
        <row r="838">
          <cell r="A838" t="str">
            <v>10</v>
          </cell>
          <cell r="B838" t="str">
            <v>卷钢-国内外部</v>
          </cell>
          <cell r="C838">
            <v>160</v>
          </cell>
        </row>
        <row r="839">
          <cell r="A839" t="str">
            <v>10</v>
          </cell>
          <cell r="B839" t="str">
            <v>卷钢-国内外部</v>
          </cell>
          <cell r="C839">
            <v>80</v>
          </cell>
        </row>
        <row r="840">
          <cell r="A840" t="str">
            <v>10</v>
          </cell>
          <cell r="B840" t="str">
            <v>卷钢-国内外部</v>
          </cell>
          <cell r="C840">
            <v>280</v>
          </cell>
        </row>
        <row r="841">
          <cell r="A841" t="str">
            <v>10</v>
          </cell>
          <cell r="B841" t="str">
            <v>卷钢-国内外部</v>
          </cell>
          <cell r="C841">
            <v>100</v>
          </cell>
        </row>
        <row r="842">
          <cell r="A842" t="str">
            <v>10</v>
          </cell>
          <cell r="B842" t="str">
            <v>卷钢-国内外部</v>
          </cell>
          <cell r="C842">
            <v>180</v>
          </cell>
        </row>
        <row r="843">
          <cell r="A843" t="str">
            <v>10</v>
          </cell>
          <cell r="B843" t="str">
            <v>卷钢-国内外部</v>
          </cell>
          <cell r="C843">
            <v>200</v>
          </cell>
        </row>
        <row r="844">
          <cell r="A844" t="str">
            <v>10</v>
          </cell>
          <cell r="B844" t="str">
            <v>卷钢-国内外部</v>
          </cell>
          <cell r="C844">
            <v>400</v>
          </cell>
        </row>
        <row r="845">
          <cell r="A845" t="str">
            <v>10</v>
          </cell>
          <cell r="B845" t="str">
            <v>卷钢-国内外部</v>
          </cell>
          <cell r="C845">
            <v>100</v>
          </cell>
        </row>
        <row r="846">
          <cell r="A846" t="str">
            <v>10</v>
          </cell>
          <cell r="B846" t="str">
            <v>卷钢-国内外部</v>
          </cell>
          <cell r="C846">
            <v>350</v>
          </cell>
        </row>
        <row r="847">
          <cell r="A847" t="str">
            <v>10</v>
          </cell>
          <cell r="B847" t="str">
            <v>卷钢-国内外部</v>
          </cell>
          <cell r="C847">
            <v>1000</v>
          </cell>
        </row>
        <row r="848">
          <cell r="A848" t="str">
            <v>10</v>
          </cell>
          <cell r="B848" t="str">
            <v>卷钢-国内外部</v>
          </cell>
          <cell r="C848">
            <v>600</v>
          </cell>
        </row>
        <row r="849">
          <cell r="A849" t="str">
            <v>10</v>
          </cell>
          <cell r="B849" t="str">
            <v>卷钢-国内外部</v>
          </cell>
          <cell r="C849">
            <v>940</v>
          </cell>
        </row>
        <row r="850">
          <cell r="A850" t="str">
            <v>10</v>
          </cell>
          <cell r="B850" t="str">
            <v>卷钢-国内外部</v>
          </cell>
          <cell r="C850">
            <v>400</v>
          </cell>
        </row>
        <row r="851">
          <cell r="A851" t="str">
            <v>10</v>
          </cell>
          <cell r="B851" t="str">
            <v>卷钢-国内外部</v>
          </cell>
          <cell r="C851">
            <v>40</v>
          </cell>
        </row>
        <row r="852">
          <cell r="A852" t="str">
            <v>10</v>
          </cell>
          <cell r="B852" t="str">
            <v>卷钢-国内外部</v>
          </cell>
          <cell r="C852">
            <v>1200</v>
          </cell>
        </row>
        <row r="853">
          <cell r="A853" t="str">
            <v>10</v>
          </cell>
          <cell r="B853" t="str">
            <v>卷钢-国内外部</v>
          </cell>
          <cell r="C853">
            <v>100</v>
          </cell>
        </row>
        <row r="854">
          <cell r="A854" t="str">
            <v>10</v>
          </cell>
          <cell r="B854" t="str">
            <v>卷钢-国内外部</v>
          </cell>
          <cell r="C854">
            <v>400</v>
          </cell>
        </row>
        <row r="855">
          <cell r="A855" t="str">
            <v>10</v>
          </cell>
          <cell r="B855" t="str">
            <v>卷钢-国内外部</v>
          </cell>
          <cell r="C855">
            <v>600</v>
          </cell>
        </row>
        <row r="856">
          <cell r="A856" t="str">
            <v>10</v>
          </cell>
          <cell r="B856" t="str">
            <v>卷钢-国内外部</v>
          </cell>
          <cell r="C856">
            <v>800</v>
          </cell>
        </row>
        <row r="857">
          <cell r="A857" t="str">
            <v>10</v>
          </cell>
          <cell r="B857" t="str">
            <v>卷钢-国内外部</v>
          </cell>
          <cell r="C857">
            <v>1000</v>
          </cell>
        </row>
        <row r="858">
          <cell r="A858" t="str">
            <v>10</v>
          </cell>
          <cell r="B858" t="str">
            <v>卷钢-国内外部</v>
          </cell>
          <cell r="C858">
            <v>20</v>
          </cell>
        </row>
        <row r="859">
          <cell r="A859" t="str">
            <v>10</v>
          </cell>
          <cell r="B859" t="str">
            <v>卷钢-国内外部</v>
          </cell>
          <cell r="C859">
            <v>100</v>
          </cell>
        </row>
        <row r="860">
          <cell r="A860" t="str">
            <v>10</v>
          </cell>
          <cell r="B860" t="str">
            <v>卷钢-国内外部</v>
          </cell>
          <cell r="C860">
            <v>24</v>
          </cell>
        </row>
        <row r="861">
          <cell r="A861" t="str">
            <v>10</v>
          </cell>
          <cell r="B861" t="str">
            <v>卷钢-国内外部</v>
          </cell>
          <cell r="C861">
            <v>24</v>
          </cell>
        </row>
        <row r="862">
          <cell r="A862" t="str">
            <v>10</v>
          </cell>
          <cell r="B862" t="str">
            <v>卷钢-国内外部</v>
          </cell>
          <cell r="C862">
            <v>280</v>
          </cell>
        </row>
        <row r="863">
          <cell r="A863" t="str">
            <v>10</v>
          </cell>
          <cell r="B863" t="str">
            <v>卷钢-国内外部</v>
          </cell>
          <cell r="C863">
            <v>40</v>
          </cell>
        </row>
        <row r="864">
          <cell r="A864" t="str">
            <v>10</v>
          </cell>
          <cell r="B864" t="str">
            <v>卷钢-国内外部</v>
          </cell>
          <cell r="C864">
            <v>40</v>
          </cell>
        </row>
        <row r="865">
          <cell r="A865" t="str">
            <v>10</v>
          </cell>
          <cell r="B865" t="str">
            <v>卷钢-国内外部</v>
          </cell>
          <cell r="C865">
            <v>600</v>
          </cell>
        </row>
        <row r="866">
          <cell r="A866" t="str">
            <v>10</v>
          </cell>
          <cell r="B866" t="str">
            <v>卷钢-国内外部</v>
          </cell>
          <cell r="C866">
            <v>400</v>
          </cell>
        </row>
        <row r="867">
          <cell r="A867" t="str">
            <v>10</v>
          </cell>
          <cell r="B867" t="str">
            <v>卷钢-国内外部</v>
          </cell>
          <cell r="C867">
            <v>120</v>
          </cell>
        </row>
        <row r="868">
          <cell r="A868" t="str">
            <v>10</v>
          </cell>
          <cell r="B868" t="str">
            <v>卷钢-国内外部</v>
          </cell>
          <cell r="C868">
            <v>200</v>
          </cell>
        </row>
        <row r="869">
          <cell r="A869" t="str">
            <v>10</v>
          </cell>
          <cell r="B869" t="str">
            <v>卷钢-国内外部</v>
          </cell>
          <cell r="C869">
            <v>350</v>
          </cell>
        </row>
        <row r="870">
          <cell r="A870" t="str">
            <v>10</v>
          </cell>
          <cell r="B870" t="str">
            <v>卷钢-国内外部</v>
          </cell>
          <cell r="C870">
            <v>340</v>
          </cell>
        </row>
        <row r="871">
          <cell r="A871" t="str">
            <v>10</v>
          </cell>
          <cell r="B871" t="str">
            <v>卷钢-国内外部</v>
          </cell>
          <cell r="C871">
            <v>200</v>
          </cell>
        </row>
        <row r="872">
          <cell r="A872" t="str">
            <v>10</v>
          </cell>
          <cell r="B872" t="str">
            <v>卷钢-国内外部</v>
          </cell>
          <cell r="C872">
            <v>400</v>
          </cell>
        </row>
        <row r="873">
          <cell r="A873" t="str">
            <v>10</v>
          </cell>
          <cell r="B873" t="str">
            <v>卷钢-国内外部</v>
          </cell>
          <cell r="C873">
            <v>40</v>
          </cell>
        </row>
        <row r="874">
          <cell r="A874" t="str">
            <v>10</v>
          </cell>
          <cell r="B874" t="str">
            <v>卷钢-国内外部</v>
          </cell>
          <cell r="C874">
            <v>160</v>
          </cell>
        </row>
        <row r="875">
          <cell r="A875" t="str">
            <v>10</v>
          </cell>
          <cell r="B875" t="str">
            <v>卷钢-国内外部</v>
          </cell>
          <cell r="C875">
            <v>180</v>
          </cell>
        </row>
        <row r="876">
          <cell r="A876" t="str">
            <v>10</v>
          </cell>
          <cell r="B876" t="str">
            <v>卷钢-国内外部</v>
          </cell>
          <cell r="C876">
            <v>400</v>
          </cell>
        </row>
        <row r="877">
          <cell r="A877" t="str">
            <v>10</v>
          </cell>
          <cell r="B877" t="str">
            <v>卷钢-国内外部</v>
          </cell>
          <cell r="C877">
            <v>400</v>
          </cell>
        </row>
        <row r="878">
          <cell r="A878" t="str">
            <v>10</v>
          </cell>
          <cell r="B878" t="str">
            <v>卷钢-国内外部</v>
          </cell>
          <cell r="C878">
            <v>400</v>
          </cell>
        </row>
        <row r="879">
          <cell r="A879" t="str">
            <v>10</v>
          </cell>
          <cell r="B879" t="str">
            <v>卷钢-国内外部</v>
          </cell>
          <cell r="C879">
            <v>200</v>
          </cell>
        </row>
        <row r="880">
          <cell r="A880" t="str">
            <v>10</v>
          </cell>
          <cell r="B880" t="str">
            <v>卷钢-国内外部</v>
          </cell>
          <cell r="C880">
            <v>160</v>
          </cell>
        </row>
        <row r="881">
          <cell r="A881" t="str">
            <v>10</v>
          </cell>
          <cell r="B881" t="str">
            <v>卷钢-国内外部</v>
          </cell>
          <cell r="C881">
            <v>200</v>
          </cell>
        </row>
        <row r="882">
          <cell r="A882" t="str">
            <v>10</v>
          </cell>
          <cell r="B882" t="str">
            <v>卷钢-国内外部</v>
          </cell>
          <cell r="C882">
            <v>200</v>
          </cell>
        </row>
        <row r="883">
          <cell r="A883" t="str">
            <v>10</v>
          </cell>
          <cell r="B883" t="str">
            <v>卷钢-国内外部</v>
          </cell>
          <cell r="C883">
            <v>1000</v>
          </cell>
        </row>
        <row r="884">
          <cell r="A884" t="str">
            <v>10</v>
          </cell>
          <cell r="B884" t="str">
            <v>卷钢-国内外部</v>
          </cell>
          <cell r="C884">
            <v>120</v>
          </cell>
        </row>
        <row r="885">
          <cell r="A885" t="str">
            <v>10</v>
          </cell>
          <cell r="B885" t="str">
            <v>卷钢-国内外部</v>
          </cell>
          <cell r="C885">
            <v>60</v>
          </cell>
        </row>
        <row r="886">
          <cell r="A886" t="str">
            <v>10</v>
          </cell>
          <cell r="B886" t="str">
            <v>卷钢-国内外部</v>
          </cell>
          <cell r="C886">
            <v>20</v>
          </cell>
        </row>
        <row r="887">
          <cell r="A887" t="str">
            <v>10</v>
          </cell>
          <cell r="B887" t="str">
            <v>卷钢-国内外部</v>
          </cell>
          <cell r="C887">
            <v>40</v>
          </cell>
        </row>
        <row r="888">
          <cell r="A888" t="str">
            <v>10</v>
          </cell>
          <cell r="B888" t="str">
            <v>卷钢-国内外部</v>
          </cell>
          <cell r="C888">
            <v>300</v>
          </cell>
        </row>
        <row r="889">
          <cell r="A889" t="str">
            <v>10</v>
          </cell>
          <cell r="B889" t="str">
            <v>卷钢-国内外部</v>
          </cell>
          <cell r="C889">
            <v>1000</v>
          </cell>
        </row>
        <row r="890">
          <cell r="A890" t="str">
            <v>10</v>
          </cell>
          <cell r="B890" t="str">
            <v>卷钢-国内外部</v>
          </cell>
          <cell r="C890">
            <v>1200</v>
          </cell>
        </row>
        <row r="891">
          <cell r="A891" t="str">
            <v>10</v>
          </cell>
          <cell r="B891" t="str">
            <v>卷钢-国内外部</v>
          </cell>
          <cell r="C891">
            <v>60</v>
          </cell>
        </row>
        <row r="892">
          <cell r="A892" t="str">
            <v>10</v>
          </cell>
          <cell r="B892" t="str">
            <v>卷钢-国内外部</v>
          </cell>
          <cell r="C892">
            <v>600</v>
          </cell>
        </row>
        <row r="893">
          <cell r="A893" t="str">
            <v>10</v>
          </cell>
          <cell r="B893" t="str">
            <v>卷钢-国内外部</v>
          </cell>
          <cell r="C893">
            <v>300</v>
          </cell>
        </row>
        <row r="894">
          <cell r="A894" t="str">
            <v>01</v>
          </cell>
          <cell r="B894" t="str">
            <v>塑胶-国内外部</v>
          </cell>
          <cell r="C894">
            <v>34.68</v>
          </cell>
        </row>
        <row r="895">
          <cell r="A895" t="str">
            <v>01</v>
          </cell>
          <cell r="B895" t="str">
            <v>塑胶-国内外部</v>
          </cell>
          <cell r="C895">
            <v>18.91</v>
          </cell>
        </row>
        <row r="896">
          <cell r="A896" t="str">
            <v>01</v>
          </cell>
          <cell r="B896" t="str">
            <v>塑胶-国内外部</v>
          </cell>
          <cell r="C896">
            <v>18.420000000000002</v>
          </cell>
        </row>
        <row r="897">
          <cell r="A897" t="str">
            <v>01</v>
          </cell>
          <cell r="B897" t="str">
            <v>塑胶-国内外部</v>
          </cell>
          <cell r="C897">
            <v>20.8</v>
          </cell>
        </row>
        <row r="898">
          <cell r="A898" t="str">
            <v>01</v>
          </cell>
          <cell r="B898" t="str">
            <v>塑胶-国内外部</v>
          </cell>
          <cell r="C898">
            <v>171.95</v>
          </cell>
        </row>
        <row r="899">
          <cell r="A899" t="str">
            <v>01</v>
          </cell>
          <cell r="B899" t="str">
            <v>塑胶-国内外部</v>
          </cell>
          <cell r="C899">
            <v>74.05</v>
          </cell>
        </row>
        <row r="900">
          <cell r="A900" t="str">
            <v>01</v>
          </cell>
          <cell r="B900" t="str">
            <v>塑胶-国内外部</v>
          </cell>
          <cell r="C900">
            <v>37.200000000000003</v>
          </cell>
        </row>
        <row r="901">
          <cell r="A901" t="str">
            <v>01</v>
          </cell>
          <cell r="B901" t="str">
            <v>塑胶-国内外部</v>
          </cell>
          <cell r="C901">
            <v>86.5</v>
          </cell>
        </row>
        <row r="902">
          <cell r="A902" t="str">
            <v>01</v>
          </cell>
          <cell r="B902" t="str">
            <v>塑胶-国内外部</v>
          </cell>
          <cell r="C902">
            <v>184.2</v>
          </cell>
        </row>
        <row r="903">
          <cell r="A903" t="str">
            <v>01</v>
          </cell>
          <cell r="B903" t="str">
            <v>塑胶-国内外部</v>
          </cell>
          <cell r="C903">
            <v>313.35000000000002</v>
          </cell>
        </row>
        <row r="904">
          <cell r="A904" t="str">
            <v>01</v>
          </cell>
          <cell r="B904" t="str">
            <v>塑胶-国内外部</v>
          </cell>
          <cell r="C904">
            <v>157.91999999999999</v>
          </cell>
        </row>
        <row r="905">
          <cell r="A905" t="str">
            <v>01</v>
          </cell>
          <cell r="B905" t="str">
            <v>塑胶-国内外部</v>
          </cell>
          <cell r="C905">
            <v>63.74</v>
          </cell>
        </row>
        <row r="906">
          <cell r="A906" t="str">
            <v>01</v>
          </cell>
          <cell r="B906" t="str">
            <v>塑胶-国内外部</v>
          </cell>
          <cell r="C906">
            <v>335.87</v>
          </cell>
        </row>
        <row r="907">
          <cell r="A907" t="str">
            <v>01</v>
          </cell>
          <cell r="B907" t="str">
            <v>塑胶-国内外部</v>
          </cell>
          <cell r="C907">
            <v>104.82</v>
          </cell>
        </row>
        <row r="908">
          <cell r="A908" t="str">
            <v>01</v>
          </cell>
          <cell r="B908" t="str">
            <v>塑胶-国内外部</v>
          </cell>
          <cell r="C908">
            <v>213.3</v>
          </cell>
        </row>
        <row r="909">
          <cell r="A909" t="str">
            <v>01</v>
          </cell>
          <cell r="B909" t="str">
            <v>卷钢-国内外部</v>
          </cell>
          <cell r="C909">
            <v>382.48</v>
          </cell>
        </row>
        <row r="910">
          <cell r="A910" t="str">
            <v>01</v>
          </cell>
          <cell r="B910" t="str">
            <v>塑胶-国内外部</v>
          </cell>
          <cell r="C910">
            <v>214.94</v>
          </cell>
        </row>
        <row r="911">
          <cell r="A911" t="str">
            <v>01</v>
          </cell>
          <cell r="B911" t="str">
            <v>塑胶-国内外部</v>
          </cell>
          <cell r="C911">
            <v>185.12</v>
          </cell>
        </row>
        <row r="912">
          <cell r="A912" t="str">
            <v>01</v>
          </cell>
          <cell r="B912" t="str">
            <v>塑胶-国内外部</v>
          </cell>
          <cell r="C912">
            <v>17.46</v>
          </cell>
        </row>
        <row r="913">
          <cell r="A913" t="str">
            <v>01</v>
          </cell>
          <cell r="B913" t="str">
            <v>塑胶-国内外部</v>
          </cell>
          <cell r="C913">
            <v>250</v>
          </cell>
        </row>
        <row r="914">
          <cell r="A914" t="str">
            <v>01</v>
          </cell>
          <cell r="B914" t="str">
            <v>塑胶-国内外部</v>
          </cell>
          <cell r="C914">
            <v>184.2</v>
          </cell>
        </row>
        <row r="915">
          <cell r="A915" t="str">
            <v>01</v>
          </cell>
          <cell r="B915" t="str">
            <v>塑胶-国内外部</v>
          </cell>
          <cell r="C915">
            <v>392.73</v>
          </cell>
        </row>
        <row r="916">
          <cell r="A916" t="str">
            <v>01</v>
          </cell>
          <cell r="B916" t="str">
            <v>塑胶-国内外部</v>
          </cell>
          <cell r="C916">
            <v>39.86</v>
          </cell>
        </row>
        <row r="917">
          <cell r="A917" t="str">
            <v>01</v>
          </cell>
          <cell r="B917" t="str">
            <v>塑胶-国内外部</v>
          </cell>
          <cell r="C917">
            <v>39.659999999999997</v>
          </cell>
        </row>
        <row r="918">
          <cell r="A918" t="str">
            <v>01</v>
          </cell>
          <cell r="B918" t="str">
            <v>塑胶-国内外部</v>
          </cell>
          <cell r="C918">
            <v>1723.31</v>
          </cell>
        </row>
        <row r="919">
          <cell r="A919" t="str">
            <v>01</v>
          </cell>
          <cell r="B919" t="str">
            <v>塑胶-国内外部</v>
          </cell>
          <cell r="C919">
            <v>44</v>
          </cell>
        </row>
        <row r="920">
          <cell r="A920" t="str">
            <v>01</v>
          </cell>
          <cell r="B920" t="str">
            <v>塑胶-国内外部</v>
          </cell>
          <cell r="C920">
            <v>84.8</v>
          </cell>
        </row>
        <row r="921">
          <cell r="A921" t="str">
            <v>01</v>
          </cell>
          <cell r="B921" t="str">
            <v>塑胶-国内外部</v>
          </cell>
          <cell r="C921">
            <v>103.06</v>
          </cell>
        </row>
        <row r="922">
          <cell r="A922" t="str">
            <v>01</v>
          </cell>
          <cell r="B922" t="str">
            <v>塑胶-国内外部</v>
          </cell>
          <cell r="C922">
            <v>106.22</v>
          </cell>
        </row>
        <row r="923">
          <cell r="A923" t="str">
            <v>01</v>
          </cell>
          <cell r="B923" t="str">
            <v>塑胶-国内外部</v>
          </cell>
          <cell r="C923">
            <v>1455.44</v>
          </cell>
        </row>
        <row r="924">
          <cell r="A924" t="str">
            <v>01</v>
          </cell>
          <cell r="B924" t="str">
            <v>塑胶-国内外部</v>
          </cell>
          <cell r="C924">
            <v>223.42</v>
          </cell>
        </row>
        <row r="925">
          <cell r="A925" t="str">
            <v>01</v>
          </cell>
          <cell r="B925" t="str">
            <v>塑胶-国内外部</v>
          </cell>
          <cell r="C925">
            <v>1270.95</v>
          </cell>
        </row>
        <row r="926">
          <cell r="A926" t="str">
            <v>01</v>
          </cell>
          <cell r="B926" t="str">
            <v>塑胶-国内外部</v>
          </cell>
          <cell r="C926">
            <v>459.36</v>
          </cell>
        </row>
        <row r="927">
          <cell r="A927" t="str">
            <v>01</v>
          </cell>
          <cell r="B927" t="str">
            <v>塑胶-国内外部</v>
          </cell>
          <cell r="C927">
            <v>554.28</v>
          </cell>
        </row>
        <row r="928">
          <cell r="A928" t="str">
            <v>01</v>
          </cell>
          <cell r="B928" t="str">
            <v>塑胶-国内外部</v>
          </cell>
          <cell r="C928">
            <v>249.27</v>
          </cell>
        </row>
        <row r="929">
          <cell r="A929" t="str">
            <v>01</v>
          </cell>
          <cell r="B929" t="str">
            <v>塑胶-国内外部</v>
          </cell>
          <cell r="C929">
            <v>208.01</v>
          </cell>
        </row>
        <row r="930">
          <cell r="A930" t="str">
            <v>01</v>
          </cell>
          <cell r="B930" t="str">
            <v>塑胶-国内外部</v>
          </cell>
          <cell r="C930">
            <v>523.26</v>
          </cell>
        </row>
        <row r="931">
          <cell r="A931" t="str">
            <v>01</v>
          </cell>
          <cell r="B931" t="str">
            <v>塑胶-国外内部</v>
          </cell>
          <cell r="C931">
            <v>18.440000000000001</v>
          </cell>
        </row>
        <row r="932">
          <cell r="A932" t="str">
            <v>01</v>
          </cell>
          <cell r="B932" t="str">
            <v>塑胶-国外内部</v>
          </cell>
          <cell r="C932">
            <v>18.68</v>
          </cell>
        </row>
        <row r="933">
          <cell r="A933" t="str">
            <v>01</v>
          </cell>
          <cell r="B933" t="str">
            <v>塑胶-国内外部</v>
          </cell>
          <cell r="C933">
            <v>384.11</v>
          </cell>
        </row>
        <row r="934">
          <cell r="A934" t="str">
            <v>01</v>
          </cell>
          <cell r="B934" t="str">
            <v>塑胶-国内外部</v>
          </cell>
          <cell r="C934">
            <v>22</v>
          </cell>
        </row>
        <row r="935">
          <cell r="A935" t="str">
            <v>01</v>
          </cell>
          <cell r="B935" t="str">
            <v>塑胶-国内外部</v>
          </cell>
          <cell r="C935">
            <v>40</v>
          </cell>
        </row>
        <row r="936">
          <cell r="A936" t="str">
            <v>01</v>
          </cell>
          <cell r="B936" t="str">
            <v>塑胶-国内外部</v>
          </cell>
          <cell r="C936">
            <v>419.29</v>
          </cell>
        </row>
        <row r="937">
          <cell r="A937" t="str">
            <v>01</v>
          </cell>
          <cell r="B937" t="str">
            <v>塑胶-国内外部</v>
          </cell>
          <cell r="C937">
            <v>110.92</v>
          </cell>
        </row>
        <row r="938">
          <cell r="A938" t="str">
            <v>01</v>
          </cell>
          <cell r="B938" t="str">
            <v>塑胶-国外内部</v>
          </cell>
          <cell r="C938">
            <v>428.4</v>
          </cell>
        </row>
        <row r="939">
          <cell r="A939" t="str">
            <v>01</v>
          </cell>
          <cell r="B939" t="str">
            <v>塑胶-国内外部</v>
          </cell>
          <cell r="C939">
            <v>86.5</v>
          </cell>
        </row>
        <row r="940">
          <cell r="A940" t="str">
            <v>01</v>
          </cell>
          <cell r="B940" t="str">
            <v>塑胶-国内外部</v>
          </cell>
          <cell r="C940">
            <v>98.5</v>
          </cell>
        </row>
        <row r="941">
          <cell r="A941" t="str">
            <v>01</v>
          </cell>
          <cell r="B941" t="str">
            <v>卷钢-国内外部</v>
          </cell>
          <cell r="C941">
            <v>573.72</v>
          </cell>
        </row>
        <row r="942">
          <cell r="A942" t="str">
            <v>01</v>
          </cell>
          <cell r="B942" t="str">
            <v>塑胶-国内外部</v>
          </cell>
          <cell r="C942">
            <v>42.99</v>
          </cell>
        </row>
        <row r="943">
          <cell r="A943" t="str">
            <v>01</v>
          </cell>
          <cell r="B943" t="str">
            <v>塑胶-国内外部</v>
          </cell>
          <cell r="C943">
            <v>425.77</v>
          </cell>
        </row>
        <row r="944">
          <cell r="A944" t="str">
            <v>01</v>
          </cell>
          <cell r="B944" t="str">
            <v>塑胶-国内外部</v>
          </cell>
          <cell r="C944">
            <v>17.46</v>
          </cell>
        </row>
        <row r="945">
          <cell r="A945" t="str">
            <v>01</v>
          </cell>
          <cell r="B945" t="str">
            <v>塑胶-国内外部</v>
          </cell>
          <cell r="C945">
            <v>51.9</v>
          </cell>
        </row>
        <row r="946">
          <cell r="A946" t="str">
            <v>01</v>
          </cell>
          <cell r="B946" t="str">
            <v>塑胶-国内外部</v>
          </cell>
          <cell r="C946">
            <v>17.46</v>
          </cell>
        </row>
        <row r="947">
          <cell r="A947" t="str">
            <v>01</v>
          </cell>
          <cell r="B947" t="str">
            <v>塑胶-国内外部</v>
          </cell>
          <cell r="C947">
            <v>92.1</v>
          </cell>
        </row>
        <row r="948">
          <cell r="A948" t="str">
            <v>01</v>
          </cell>
          <cell r="B948" t="str">
            <v>塑胶-国内外部</v>
          </cell>
          <cell r="C948">
            <v>76.59</v>
          </cell>
        </row>
        <row r="949">
          <cell r="A949" t="str">
            <v>01</v>
          </cell>
          <cell r="B949" t="str">
            <v>塑胶-国内外部</v>
          </cell>
          <cell r="C949">
            <v>84.8</v>
          </cell>
        </row>
        <row r="950">
          <cell r="A950" t="str">
            <v>01</v>
          </cell>
          <cell r="B950" t="str">
            <v>塑胶-国内外部</v>
          </cell>
          <cell r="C950">
            <v>144.29</v>
          </cell>
        </row>
        <row r="951">
          <cell r="A951" t="str">
            <v>01</v>
          </cell>
          <cell r="B951" t="str">
            <v>塑胶-国内外部</v>
          </cell>
          <cell r="C951">
            <v>98.7</v>
          </cell>
        </row>
        <row r="952">
          <cell r="A952" t="str">
            <v>01</v>
          </cell>
          <cell r="B952" t="str">
            <v>塑胶-国内外部</v>
          </cell>
          <cell r="C952">
            <v>42.49</v>
          </cell>
        </row>
        <row r="953">
          <cell r="A953" t="str">
            <v>01</v>
          </cell>
          <cell r="B953" t="str">
            <v>塑胶-国内外部</v>
          </cell>
          <cell r="C953">
            <v>44.78</v>
          </cell>
        </row>
        <row r="954">
          <cell r="A954" t="str">
            <v>01</v>
          </cell>
          <cell r="B954" t="str">
            <v>塑胶-国内外部</v>
          </cell>
          <cell r="C954">
            <v>20.41</v>
          </cell>
        </row>
        <row r="955">
          <cell r="A955" t="str">
            <v>01</v>
          </cell>
          <cell r="B955" t="str">
            <v>塑胶-国内外部</v>
          </cell>
          <cell r="C955">
            <v>129.83000000000001</v>
          </cell>
        </row>
        <row r="956">
          <cell r="A956" t="str">
            <v>01</v>
          </cell>
          <cell r="B956" t="str">
            <v>塑胶-国内外部</v>
          </cell>
          <cell r="C956">
            <v>18.91</v>
          </cell>
        </row>
        <row r="957">
          <cell r="A957" t="str">
            <v>01</v>
          </cell>
          <cell r="B957" t="str">
            <v>塑胶-国外内部</v>
          </cell>
          <cell r="C957">
            <v>381.48</v>
          </cell>
        </row>
        <row r="958">
          <cell r="A958" t="str">
            <v>01</v>
          </cell>
          <cell r="B958" t="str">
            <v>塑胶-国外内部</v>
          </cell>
          <cell r="C958">
            <v>92.1</v>
          </cell>
        </row>
        <row r="959">
          <cell r="A959" t="str">
            <v>01</v>
          </cell>
          <cell r="B959" t="str">
            <v>塑胶-国外内部</v>
          </cell>
          <cell r="C959">
            <v>38.54</v>
          </cell>
        </row>
        <row r="960">
          <cell r="A960" t="str">
            <v>01</v>
          </cell>
          <cell r="B960" t="str">
            <v>塑胶-国外内部</v>
          </cell>
          <cell r="C960">
            <v>38.19</v>
          </cell>
        </row>
        <row r="961">
          <cell r="A961" t="str">
            <v>01</v>
          </cell>
          <cell r="B961" t="str">
            <v>塑胶-国外内部</v>
          </cell>
          <cell r="C961">
            <v>207.73</v>
          </cell>
        </row>
        <row r="962">
          <cell r="A962" t="str">
            <v>01</v>
          </cell>
          <cell r="B962" t="str">
            <v>塑胶-国外内部</v>
          </cell>
          <cell r="C962">
            <v>196.66</v>
          </cell>
        </row>
        <row r="963">
          <cell r="A963" t="str">
            <v>01</v>
          </cell>
          <cell r="B963" t="str">
            <v>塑胶-国外内部</v>
          </cell>
          <cell r="C963">
            <v>137.69999999999999</v>
          </cell>
        </row>
        <row r="964">
          <cell r="A964" t="str">
            <v>01</v>
          </cell>
          <cell r="B964" t="str">
            <v>卷钢-国内外部</v>
          </cell>
          <cell r="C964">
            <v>191.24</v>
          </cell>
        </row>
        <row r="965">
          <cell r="A965" t="str">
            <v>01</v>
          </cell>
          <cell r="B965" t="str">
            <v>塑胶-国内外部</v>
          </cell>
          <cell r="C965">
            <v>322.41000000000003</v>
          </cell>
        </row>
        <row r="966">
          <cell r="A966" t="str">
            <v>01</v>
          </cell>
          <cell r="B966" t="str">
            <v>塑胶-国内外部</v>
          </cell>
          <cell r="C966">
            <v>188.9</v>
          </cell>
        </row>
        <row r="967">
          <cell r="A967" t="str">
            <v>01</v>
          </cell>
          <cell r="B967" t="str">
            <v>塑胶-国内外部</v>
          </cell>
          <cell r="C967">
            <v>428.23</v>
          </cell>
        </row>
        <row r="968">
          <cell r="A968" t="str">
            <v>01</v>
          </cell>
          <cell r="B968" t="str">
            <v>塑胶-国内外部</v>
          </cell>
          <cell r="C968">
            <v>181.22</v>
          </cell>
        </row>
        <row r="969">
          <cell r="A969" t="str">
            <v>01</v>
          </cell>
          <cell r="B969" t="str">
            <v>塑胶-国内外部</v>
          </cell>
          <cell r="C969">
            <v>238.21</v>
          </cell>
        </row>
        <row r="970">
          <cell r="A970" t="str">
            <v>01</v>
          </cell>
          <cell r="B970" t="str">
            <v>塑胶-国内外部</v>
          </cell>
          <cell r="C970">
            <v>1068.33</v>
          </cell>
        </row>
        <row r="971">
          <cell r="A971" t="str">
            <v>01</v>
          </cell>
          <cell r="B971" t="str">
            <v>塑胶-国内外部</v>
          </cell>
          <cell r="C971">
            <v>416.84</v>
          </cell>
        </row>
        <row r="972">
          <cell r="A972" t="str">
            <v>01</v>
          </cell>
          <cell r="B972" t="str">
            <v>塑胶-国内外部</v>
          </cell>
          <cell r="C972">
            <v>44</v>
          </cell>
        </row>
        <row r="973">
          <cell r="A973" t="str">
            <v>01</v>
          </cell>
          <cell r="B973" t="str">
            <v>塑胶-国内外部</v>
          </cell>
          <cell r="C973">
            <v>318.67</v>
          </cell>
        </row>
        <row r="974">
          <cell r="A974" t="str">
            <v>01</v>
          </cell>
          <cell r="B974" t="str">
            <v>塑胶-国内外部</v>
          </cell>
          <cell r="C974">
            <v>671.74</v>
          </cell>
        </row>
        <row r="975">
          <cell r="A975" t="str">
            <v>01</v>
          </cell>
          <cell r="B975" t="str">
            <v>塑胶-国内外部</v>
          </cell>
          <cell r="C975">
            <v>187.21</v>
          </cell>
        </row>
        <row r="976">
          <cell r="A976" t="str">
            <v>01</v>
          </cell>
          <cell r="B976" t="str">
            <v>塑胶-国内外部</v>
          </cell>
          <cell r="C976">
            <v>31.47</v>
          </cell>
        </row>
        <row r="977">
          <cell r="A977" t="str">
            <v>01</v>
          </cell>
          <cell r="B977" t="str">
            <v>塑胶-国内外部</v>
          </cell>
          <cell r="C977">
            <v>18.75</v>
          </cell>
        </row>
        <row r="978">
          <cell r="A978" t="str">
            <v>01</v>
          </cell>
          <cell r="B978" t="str">
            <v>塑胶-国内外部</v>
          </cell>
          <cell r="C978">
            <v>20.61</v>
          </cell>
        </row>
        <row r="979">
          <cell r="A979" t="str">
            <v>01</v>
          </cell>
          <cell r="B979" t="str">
            <v>塑胶-国内外部</v>
          </cell>
          <cell r="C979">
            <v>214.93</v>
          </cell>
        </row>
        <row r="980">
          <cell r="A980" t="str">
            <v>01</v>
          </cell>
          <cell r="B980" t="str">
            <v>塑胶-国内外部</v>
          </cell>
          <cell r="C980">
            <v>-107.78</v>
          </cell>
        </row>
        <row r="981">
          <cell r="A981" t="str">
            <v>01</v>
          </cell>
          <cell r="B981" t="str">
            <v>塑胶-国内外部</v>
          </cell>
          <cell r="C981">
            <v>104.76</v>
          </cell>
        </row>
        <row r="982">
          <cell r="A982" t="str">
            <v>01</v>
          </cell>
          <cell r="B982" t="str">
            <v>塑胶-国内外部</v>
          </cell>
          <cell r="C982">
            <v>939.4</v>
          </cell>
        </row>
        <row r="983">
          <cell r="A983" t="str">
            <v>01</v>
          </cell>
          <cell r="B983" t="str">
            <v>塑胶-国内外部</v>
          </cell>
          <cell r="C983">
            <v>957.39</v>
          </cell>
        </row>
        <row r="984">
          <cell r="A984" t="str">
            <v>01</v>
          </cell>
          <cell r="B984" t="str">
            <v>塑胶-国内外部</v>
          </cell>
          <cell r="C984">
            <v>-36.130000000000003</v>
          </cell>
        </row>
        <row r="985">
          <cell r="A985" t="str">
            <v>01</v>
          </cell>
          <cell r="B985" t="str">
            <v>塑胶-国内外部</v>
          </cell>
          <cell r="C985">
            <v>212.45</v>
          </cell>
        </row>
        <row r="986">
          <cell r="A986" t="str">
            <v>01</v>
          </cell>
          <cell r="B986" t="str">
            <v>塑胶-国内外部</v>
          </cell>
          <cell r="C986">
            <v>671.74</v>
          </cell>
        </row>
        <row r="987">
          <cell r="A987" t="str">
            <v>01</v>
          </cell>
          <cell r="B987" t="str">
            <v>塑胶-国内外部</v>
          </cell>
          <cell r="C987">
            <v>59.01</v>
          </cell>
        </row>
        <row r="988">
          <cell r="A988" t="str">
            <v>01</v>
          </cell>
          <cell r="B988" t="str">
            <v>卷钢-国内内部</v>
          </cell>
          <cell r="C988">
            <v>697.49</v>
          </cell>
        </row>
        <row r="989">
          <cell r="A989" t="str">
            <v>01</v>
          </cell>
          <cell r="B989" t="str">
            <v>卷钢-国内内部</v>
          </cell>
          <cell r="C989">
            <v>196.71</v>
          </cell>
        </row>
        <row r="990">
          <cell r="A990" t="str">
            <v>01</v>
          </cell>
          <cell r="B990" t="str">
            <v>卷钢-国内外部</v>
          </cell>
          <cell r="C990">
            <v>174.25</v>
          </cell>
        </row>
        <row r="991">
          <cell r="A991" t="str">
            <v>01</v>
          </cell>
          <cell r="B991" t="str">
            <v>塑胶-国内外部</v>
          </cell>
          <cell r="C991">
            <v>451.37</v>
          </cell>
        </row>
        <row r="992">
          <cell r="A992" t="str">
            <v>01</v>
          </cell>
          <cell r="B992" t="str">
            <v>塑胶-国内外部</v>
          </cell>
          <cell r="C992">
            <v>56.35</v>
          </cell>
        </row>
        <row r="993">
          <cell r="A993" t="str">
            <v>01</v>
          </cell>
          <cell r="B993" t="str">
            <v>塑胶-国内外部</v>
          </cell>
          <cell r="C993">
            <v>37.880000000000003</v>
          </cell>
        </row>
        <row r="994">
          <cell r="A994" t="str">
            <v>01</v>
          </cell>
          <cell r="B994" t="str">
            <v>塑胶-国内外部</v>
          </cell>
          <cell r="C994">
            <v>55.53</v>
          </cell>
        </row>
        <row r="995">
          <cell r="A995" t="str">
            <v>01</v>
          </cell>
          <cell r="B995" t="str">
            <v>塑胶-国内外部</v>
          </cell>
          <cell r="C995">
            <v>139.68</v>
          </cell>
        </row>
        <row r="996">
          <cell r="A996" t="str">
            <v>01</v>
          </cell>
          <cell r="B996" t="str">
            <v>塑胶-国内外部</v>
          </cell>
          <cell r="C996">
            <v>86.5</v>
          </cell>
        </row>
        <row r="997">
          <cell r="A997" t="str">
            <v>01</v>
          </cell>
          <cell r="B997" t="str">
            <v>塑胶-国内外部</v>
          </cell>
          <cell r="C997">
            <v>1897.21</v>
          </cell>
        </row>
        <row r="998">
          <cell r="A998" t="str">
            <v>01</v>
          </cell>
          <cell r="B998" t="str">
            <v>塑胶-国内外部</v>
          </cell>
          <cell r="C998">
            <v>957.4</v>
          </cell>
        </row>
        <row r="999">
          <cell r="A999" t="str">
            <v>01</v>
          </cell>
          <cell r="B999" t="str">
            <v>塑胶-国内外部</v>
          </cell>
          <cell r="C999">
            <v>554.28</v>
          </cell>
        </row>
        <row r="1000">
          <cell r="A1000" t="str">
            <v>01</v>
          </cell>
          <cell r="B1000" t="str">
            <v>塑胶-国内外部</v>
          </cell>
          <cell r="C1000">
            <v>625.26</v>
          </cell>
        </row>
        <row r="1001">
          <cell r="A1001" t="str">
            <v>01</v>
          </cell>
          <cell r="B1001" t="str">
            <v>塑胶-国内外部</v>
          </cell>
          <cell r="C1001">
            <v>151.63</v>
          </cell>
        </row>
        <row r="1002">
          <cell r="A1002" t="str">
            <v>01</v>
          </cell>
          <cell r="B1002" t="str">
            <v>塑胶-国内外部</v>
          </cell>
          <cell r="C1002">
            <v>61.2</v>
          </cell>
        </row>
        <row r="1003">
          <cell r="A1003" t="str">
            <v>01</v>
          </cell>
          <cell r="B1003" t="str">
            <v>塑胶-国内外部</v>
          </cell>
          <cell r="C1003">
            <v>177.66</v>
          </cell>
        </row>
        <row r="1004">
          <cell r="A1004" t="str">
            <v>01</v>
          </cell>
          <cell r="B1004" t="str">
            <v>塑胶-国内外部</v>
          </cell>
          <cell r="C1004">
            <v>318.67</v>
          </cell>
        </row>
        <row r="1005">
          <cell r="A1005" t="str">
            <v>01</v>
          </cell>
          <cell r="B1005" t="str">
            <v>塑胶-国内外部</v>
          </cell>
          <cell r="C1005">
            <v>671.74</v>
          </cell>
        </row>
        <row r="1006">
          <cell r="A1006" t="str">
            <v>01</v>
          </cell>
          <cell r="B1006" t="str">
            <v>塑胶-国内外部</v>
          </cell>
          <cell r="C1006">
            <v>311.58999999999997</v>
          </cell>
        </row>
        <row r="1007">
          <cell r="A1007" t="str">
            <v>01</v>
          </cell>
          <cell r="B1007" t="str">
            <v>塑胶-国内外部</v>
          </cell>
          <cell r="C1007">
            <v>686.43</v>
          </cell>
        </row>
        <row r="1008">
          <cell r="A1008" t="str">
            <v>01</v>
          </cell>
          <cell r="B1008" t="str">
            <v>塑胶-国内外部</v>
          </cell>
          <cell r="C1008">
            <v>137.09</v>
          </cell>
        </row>
        <row r="1009">
          <cell r="A1009" t="str">
            <v>01</v>
          </cell>
          <cell r="B1009" t="str">
            <v>塑胶-国内外部</v>
          </cell>
          <cell r="C1009">
            <v>19.670000000000002</v>
          </cell>
        </row>
        <row r="1010">
          <cell r="A1010" t="str">
            <v>01</v>
          </cell>
          <cell r="B1010" t="str">
            <v>塑胶-国内外部</v>
          </cell>
          <cell r="C1010">
            <v>944.23</v>
          </cell>
        </row>
        <row r="1011">
          <cell r="A1011" t="str">
            <v>01</v>
          </cell>
          <cell r="B1011" t="str">
            <v>卷钢-国内外部</v>
          </cell>
          <cell r="C1011">
            <v>183.32</v>
          </cell>
        </row>
        <row r="1012">
          <cell r="A1012" t="str">
            <v>01</v>
          </cell>
          <cell r="B1012" t="str">
            <v>塑胶-国内外部</v>
          </cell>
          <cell r="C1012">
            <v>18.91</v>
          </cell>
        </row>
        <row r="1013">
          <cell r="A1013" t="str">
            <v>01</v>
          </cell>
          <cell r="B1013" t="str">
            <v>塑胶-国内外部</v>
          </cell>
          <cell r="C1013">
            <v>214.38</v>
          </cell>
        </row>
        <row r="1014">
          <cell r="A1014" t="str">
            <v>01</v>
          </cell>
          <cell r="B1014" t="str">
            <v>塑胶-国内外部</v>
          </cell>
          <cell r="C1014">
            <v>96.35</v>
          </cell>
        </row>
        <row r="1015">
          <cell r="A1015" t="str">
            <v>01</v>
          </cell>
          <cell r="B1015" t="str">
            <v>塑胶-国内外部</v>
          </cell>
          <cell r="C1015">
            <v>21.4</v>
          </cell>
        </row>
        <row r="1016">
          <cell r="A1016" t="str">
            <v>01</v>
          </cell>
          <cell r="B1016" t="str">
            <v>塑胶-国内外部</v>
          </cell>
          <cell r="C1016">
            <v>42</v>
          </cell>
        </row>
        <row r="1017">
          <cell r="A1017" t="str">
            <v>01</v>
          </cell>
          <cell r="B1017" t="str">
            <v>塑胶-国外内部</v>
          </cell>
          <cell r="C1017">
            <v>592.37</v>
          </cell>
        </row>
        <row r="1018">
          <cell r="A1018" t="str">
            <v>01</v>
          </cell>
          <cell r="B1018" t="str">
            <v>塑胶-国外内部</v>
          </cell>
          <cell r="C1018">
            <v>173.4</v>
          </cell>
        </row>
        <row r="1019">
          <cell r="A1019" t="str">
            <v>01</v>
          </cell>
          <cell r="B1019" t="str">
            <v>塑胶-国外内部</v>
          </cell>
          <cell r="C1019">
            <v>19</v>
          </cell>
        </row>
        <row r="1020">
          <cell r="A1020" t="str">
            <v>01</v>
          </cell>
          <cell r="B1020" t="str">
            <v>塑胶-国外内部</v>
          </cell>
          <cell r="C1020">
            <v>431.07</v>
          </cell>
        </row>
        <row r="1021">
          <cell r="A1021" t="str">
            <v>01</v>
          </cell>
          <cell r="B1021" t="str">
            <v>塑胶-国外内部</v>
          </cell>
          <cell r="C1021">
            <v>493.49</v>
          </cell>
        </row>
        <row r="1022">
          <cell r="A1022" t="str">
            <v>01</v>
          </cell>
          <cell r="B1022" t="str">
            <v>塑胶-国外内部</v>
          </cell>
          <cell r="C1022">
            <v>20.75</v>
          </cell>
        </row>
        <row r="1023">
          <cell r="A1023" t="str">
            <v>01</v>
          </cell>
          <cell r="B1023" t="str">
            <v>塑胶-国外内部</v>
          </cell>
          <cell r="C1023">
            <v>856.79</v>
          </cell>
        </row>
        <row r="1024">
          <cell r="A1024" t="str">
            <v>01</v>
          </cell>
          <cell r="B1024" t="str">
            <v>塑胶-国外内部</v>
          </cell>
          <cell r="C1024">
            <v>21.33</v>
          </cell>
        </row>
        <row r="1025">
          <cell r="A1025" t="str">
            <v>01</v>
          </cell>
          <cell r="B1025" t="str">
            <v>卷钢-国内外部</v>
          </cell>
          <cell r="C1025">
            <v>876.96</v>
          </cell>
        </row>
        <row r="1026">
          <cell r="A1026" t="str">
            <v>01</v>
          </cell>
          <cell r="B1026" t="str">
            <v>卷钢-国内外部</v>
          </cell>
          <cell r="C1026">
            <v>573.72</v>
          </cell>
        </row>
        <row r="1027">
          <cell r="A1027" t="str">
            <v>01</v>
          </cell>
          <cell r="B1027" t="str">
            <v>塑胶-国内外部</v>
          </cell>
          <cell r="C1027">
            <v>429.88</v>
          </cell>
        </row>
        <row r="1028">
          <cell r="A1028" t="str">
            <v>01</v>
          </cell>
          <cell r="B1028" t="str">
            <v>塑胶-国内外部</v>
          </cell>
          <cell r="C1028">
            <v>447.93</v>
          </cell>
        </row>
        <row r="1029">
          <cell r="A1029" t="str">
            <v>01</v>
          </cell>
          <cell r="B1029" t="str">
            <v>塑胶-国内外部</v>
          </cell>
          <cell r="C1029">
            <v>18.05</v>
          </cell>
        </row>
        <row r="1030">
          <cell r="A1030" t="str">
            <v>01</v>
          </cell>
          <cell r="B1030" t="str">
            <v>塑胶-国内外部</v>
          </cell>
          <cell r="C1030">
            <v>647.66999999999996</v>
          </cell>
        </row>
        <row r="1031">
          <cell r="A1031" t="str">
            <v>01</v>
          </cell>
          <cell r="B1031" t="str">
            <v>塑胶-国内外部</v>
          </cell>
          <cell r="C1031">
            <v>2100</v>
          </cell>
        </row>
        <row r="1032">
          <cell r="A1032" t="str">
            <v>01</v>
          </cell>
          <cell r="B1032" t="str">
            <v>塑胶-国内外部</v>
          </cell>
          <cell r="C1032">
            <v>733.3</v>
          </cell>
        </row>
        <row r="1033">
          <cell r="A1033" t="str">
            <v>01</v>
          </cell>
          <cell r="B1033" t="str">
            <v>塑胶-国内外部</v>
          </cell>
          <cell r="C1033">
            <v>1197.28</v>
          </cell>
        </row>
        <row r="1034">
          <cell r="A1034" t="str">
            <v>01</v>
          </cell>
          <cell r="B1034" t="str">
            <v>塑胶-国内外部</v>
          </cell>
          <cell r="C1034">
            <v>19.25</v>
          </cell>
        </row>
        <row r="1035">
          <cell r="A1035" t="str">
            <v>01</v>
          </cell>
          <cell r="B1035" t="str">
            <v>塑胶-国内外部</v>
          </cell>
          <cell r="C1035">
            <v>438.5</v>
          </cell>
        </row>
        <row r="1036">
          <cell r="A1036" t="str">
            <v>01</v>
          </cell>
          <cell r="B1036" t="str">
            <v>塑胶-国内外部</v>
          </cell>
          <cell r="C1036">
            <v>19.27</v>
          </cell>
        </row>
        <row r="1037">
          <cell r="A1037" t="str">
            <v>01</v>
          </cell>
          <cell r="B1037" t="str">
            <v>塑胶-国内外部</v>
          </cell>
          <cell r="C1037">
            <v>669.9</v>
          </cell>
        </row>
        <row r="1038">
          <cell r="A1038" t="str">
            <v>01</v>
          </cell>
          <cell r="B1038" t="str">
            <v>塑胶-国内外部</v>
          </cell>
          <cell r="C1038">
            <v>436.21</v>
          </cell>
        </row>
        <row r="1039">
          <cell r="A1039" t="str">
            <v>01</v>
          </cell>
          <cell r="B1039" t="str">
            <v>塑胶-国内外部</v>
          </cell>
          <cell r="C1039">
            <v>957.39</v>
          </cell>
        </row>
        <row r="1040">
          <cell r="A1040" t="str">
            <v>01</v>
          </cell>
          <cell r="B1040" t="str">
            <v>塑胶-国内外部</v>
          </cell>
          <cell r="C1040">
            <v>416.84</v>
          </cell>
        </row>
        <row r="1041">
          <cell r="A1041" t="str">
            <v>01</v>
          </cell>
          <cell r="B1041" t="str">
            <v>塑胶-国内外部</v>
          </cell>
          <cell r="C1041">
            <v>20.61</v>
          </cell>
        </row>
        <row r="1042">
          <cell r="A1042" t="str">
            <v>01</v>
          </cell>
          <cell r="B1042" t="str">
            <v>塑胶-国内外部</v>
          </cell>
          <cell r="C1042">
            <v>671.74</v>
          </cell>
        </row>
        <row r="1043">
          <cell r="A1043" t="str">
            <v>01</v>
          </cell>
          <cell r="B1043" t="str">
            <v>塑胶-国内外部</v>
          </cell>
          <cell r="C1043">
            <v>909</v>
          </cell>
        </row>
        <row r="1044">
          <cell r="A1044" t="str">
            <v>01</v>
          </cell>
          <cell r="B1044" t="str">
            <v>塑胶-国内外部</v>
          </cell>
          <cell r="C1044">
            <v>86.56</v>
          </cell>
        </row>
        <row r="1045">
          <cell r="A1045" t="str">
            <v>01</v>
          </cell>
          <cell r="B1045" t="str">
            <v>塑胶-国外内部</v>
          </cell>
          <cell r="C1045">
            <v>379.51</v>
          </cell>
        </row>
        <row r="1046">
          <cell r="A1046" t="str">
            <v>01</v>
          </cell>
          <cell r="B1046" t="str">
            <v>塑胶-国外内部</v>
          </cell>
          <cell r="C1046">
            <v>38.28</v>
          </cell>
        </row>
        <row r="1047">
          <cell r="A1047" t="str">
            <v>01</v>
          </cell>
          <cell r="B1047" t="str">
            <v>塑胶-国内外部</v>
          </cell>
          <cell r="C1047">
            <v>-219.89</v>
          </cell>
        </row>
        <row r="1048">
          <cell r="A1048" t="str">
            <v>01</v>
          </cell>
          <cell r="B1048" t="str">
            <v>塑胶-国内外部</v>
          </cell>
          <cell r="C1048">
            <v>19.64</v>
          </cell>
        </row>
        <row r="1049">
          <cell r="A1049" t="str">
            <v>01</v>
          </cell>
          <cell r="B1049" t="str">
            <v>塑胶-国内外部</v>
          </cell>
          <cell r="C1049">
            <v>20.84</v>
          </cell>
        </row>
        <row r="1050">
          <cell r="A1050" t="str">
            <v>01</v>
          </cell>
          <cell r="B1050" t="str">
            <v>塑胶-国内外部</v>
          </cell>
          <cell r="C1050">
            <v>128.4</v>
          </cell>
        </row>
        <row r="1051">
          <cell r="A1051" t="str">
            <v>01</v>
          </cell>
          <cell r="B1051" t="str">
            <v>塑胶-国内外部</v>
          </cell>
          <cell r="C1051">
            <v>42</v>
          </cell>
        </row>
        <row r="1052">
          <cell r="A1052" t="str">
            <v>01</v>
          </cell>
          <cell r="B1052" t="str">
            <v>塑胶-国内外部</v>
          </cell>
          <cell r="C1052">
            <v>81.599999999999994</v>
          </cell>
        </row>
        <row r="1053">
          <cell r="A1053" t="str">
            <v>01</v>
          </cell>
          <cell r="B1053" t="str">
            <v>卷钢-国内内部</v>
          </cell>
          <cell r="C1053">
            <v>0.91</v>
          </cell>
        </row>
        <row r="1054">
          <cell r="A1054" t="str">
            <v>01</v>
          </cell>
          <cell r="B1054" t="str">
            <v>卷钢-国内内部</v>
          </cell>
          <cell r="C1054">
            <v>41.2</v>
          </cell>
        </row>
        <row r="1055">
          <cell r="A1055" t="str">
            <v>01</v>
          </cell>
          <cell r="B1055" t="str">
            <v>卷钢-国内外部</v>
          </cell>
          <cell r="C1055">
            <v>-18.329999999999998</v>
          </cell>
        </row>
        <row r="1056">
          <cell r="A1056" t="str">
            <v>01</v>
          </cell>
          <cell r="B1056" t="str">
            <v>塑胶-国内外部</v>
          </cell>
          <cell r="C1056">
            <v>56.35</v>
          </cell>
        </row>
        <row r="1057">
          <cell r="A1057" t="str">
            <v>01</v>
          </cell>
          <cell r="B1057" t="str">
            <v>塑胶-国内外部</v>
          </cell>
          <cell r="C1057">
            <v>21</v>
          </cell>
        </row>
        <row r="1058">
          <cell r="A1058" t="str">
            <v>01</v>
          </cell>
          <cell r="B1058" t="str">
            <v>塑胶-国内外部</v>
          </cell>
          <cell r="C1058">
            <v>-2239.83</v>
          </cell>
        </row>
        <row r="1059">
          <cell r="A1059" t="str">
            <v>01</v>
          </cell>
          <cell r="B1059" t="str">
            <v>塑胶-国内外部</v>
          </cell>
          <cell r="C1059">
            <v>11.77</v>
          </cell>
        </row>
        <row r="1060">
          <cell r="A1060" t="str">
            <v>01</v>
          </cell>
          <cell r="B1060" t="str">
            <v>塑胶-国内外部</v>
          </cell>
          <cell r="C1060">
            <v>625.26</v>
          </cell>
        </row>
        <row r="1061">
          <cell r="A1061" t="str">
            <v>01</v>
          </cell>
          <cell r="B1061" t="str">
            <v>塑胶-国内外部</v>
          </cell>
          <cell r="C1061">
            <v>-1591.19</v>
          </cell>
        </row>
        <row r="1062">
          <cell r="A1062" t="str">
            <v>01</v>
          </cell>
          <cell r="B1062" t="str">
            <v>塑胶-国内外部</v>
          </cell>
          <cell r="C1062">
            <v>-1689.16</v>
          </cell>
        </row>
        <row r="1063">
          <cell r="A1063" t="str">
            <v>01</v>
          </cell>
          <cell r="B1063" t="str">
            <v>塑胶-国内外部</v>
          </cell>
          <cell r="C1063">
            <v>-234</v>
          </cell>
        </row>
        <row r="1064">
          <cell r="A1064" t="str">
            <v>01</v>
          </cell>
          <cell r="B1064" t="str">
            <v>塑胶-国内外部</v>
          </cell>
          <cell r="C1064">
            <v>1934.48</v>
          </cell>
        </row>
        <row r="1065">
          <cell r="A1065" t="str">
            <v>01</v>
          </cell>
          <cell r="B1065" t="str">
            <v>塑胶-国内外部</v>
          </cell>
          <cell r="C1065">
            <v>-1833.4</v>
          </cell>
        </row>
        <row r="1066">
          <cell r="A1066" t="str">
            <v>01</v>
          </cell>
          <cell r="B1066" t="str">
            <v>塑胶-国内外部</v>
          </cell>
          <cell r="C1066">
            <v>4.24</v>
          </cell>
        </row>
        <row r="1067">
          <cell r="A1067" t="str">
            <v>01</v>
          </cell>
          <cell r="B1067" t="str">
            <v>塑胶-国内外部</v>
          </cell>
          <cell r="C1067">
            <v>-1121.27</v>
          </cell>
        </row>
        <row r="1068">
          <cell r="A1068" t="str">
            <v>01</v>
          </cell>
          <cell r="B1068" t="str">
            <v>塑胶-国内外部</v>
          </cell>
          <cell r="C1068">
            <v>-126</v>
          </cell>
        </row>
        <row r="1069">
          <cell r="A1069" t="str">
            <v>01</v>
          </cell>
          <cell r="B1069" t="str">
            <v>塑胶-国内外部</v>
          </cell>
          <cell r="C1069">
            <v>18.91</v>
          </cell>
        </row>
        <row r="1070">
          <cell r="A1070" t="str">
            <v>01</v>
          </cell>
          <cell r="B1070" t="str">
            <v>塑胶-国内外部</v>
          </cell>
          <cell r="C1070">
            <v>148.09</v>
          </cell>
        </row>
        <row r="1071">
          <cell r="A1071" t="str">
            <v>01</v>
          </cell>
          <cell r="B1071" t="str">
            <v>塑胶-国内外部</v>
          </cell>
          <cell r="C1071">
            <v>17.46</v>
          </cell>
        </row>
        <row r="1072">
          <cell r="A1072" t="str">
            <v>01</v>
          </cell>
          <cell r="B1072" t="str">
            <v>塑胶-国内外部</v>
          </cell>
          <cell r="C1072">
            <v>86.5</v>
          </cell>
        </row>
        <row r="1073">
          <cell r="A1073" t="str">
            <v>01</v>
          </cell>
          <cell r="B1073" t="str">
            <v>塑胶-国内外部</v>
          </cell>
          <cell r="C1073">
            <v>123.67</v>
          </cell>
        </row>
        <row r="1074">
          <cell r="A1074" t="str">
            <v>01</v>
          </cell>
          <cell r="B1074" t="str">
            <v>塑胶-国内外部</v>
          </cell>
          <cell r="C1074">
            <v>157.91999999999999</v>
          </cell>
        </row>
        <row r="1075">
          <cell r="A1075" t="str">
            <v>01</v>
          </cell>
          <cell r="B1075" t="str">
            <v>塑胶-国内外部</v>
          </cell>
          <cell r="C1075">
            <v>314.45999999999998</v>
          </cell>
        </row>
        <row r="1076">
          <cell r="A1076" t="str">
            <v>01</v>
          </cell>
          <cell r="B1076" t="str">
            <v>塑胶-国内外部</v>
          </cell>
          <cell r="C1076">
            <v>107.47</v>
          </cell>
        </row>
        <row r="1077">
          <cell r="A1077" t="str">
            <v>01</v>
          </cell>
          <cell r="B1077" t="str">
            <v>塑胶-国内外部</v>
          </cell>
          <cell r="C1077">
            <v>94.45</v>
          </cell>
        </row>
        <row r="1078">
          <cell r="A1078" t="str">
            <v>01</v>
          </cell>
          <cell r="B1078" t="str">
            <v>塑胶-国内外部</v>
          </cell>
          <cell r="C1078">
            <v>-1542.67</v>
          </cell>
        </row>
        <row r="1079">
          <cell r="A1079" t="str">
            <v>01</v>
          </cell>
          <cell r="B1079" t="str">
            <v>塑胶-国内外部</v>
          </cell>
          <cell r="C1079">
            <v>2330.62</v>
          </cell>
        </row>
        <row r="1080">
          <cell r="A1080" t="str">
            <v>01</v>
          </cell>
          <cell r="B1080" t="str">
            <v>塑胶-国内外部</v>
          </cell>
          <cell r="C1080">
            <v>86.5</v>
          </cell>
        </row>
        <row r="1081">
          <cell r="A1081" t="str">
            <v>01</v>
          </cell>
          <cell r="B1081" t="str">
            <v>塑胶-国内外部</v>
          </cell>
          <cell r="C1081">
            <v>92.1</v>
          </cell>
        </row>
        <row r="1082">
          <cell r="A1082" t="str">
            <v>01</v>
          </cell>
          <cell r="B1082" t="str">
            <v>塑胶-国内外部</v>
          </cell>
          <cell r="C1082">
            <v>346.92</v>
          </cell>
        </row>
        <row r="1083">
          <cell r="A1083" t="str">
            <v>01</v>
          </cell>
          <cell r="B1083" t="str">
            <v>塑胶-国内外部</v>
          </cell>
          <cell r="C1083">
            <v>250.11</v>
          </cell>
        </row>
        <row r="1084">
          <cell r="A1084" t="str">
            <v>01</v>
          </cell>
          <cell r="B1084" t="str">
            <v>塑胶-国内外部</v>
          </cell>
          <cell r="C1084">
            <v>1591.19</v>
          </cell>
        </row>
        <row r="1085">
          <cell r="A1085" t="str">
            <v>01</v>
          </cell>
          <cell r="B1085" t="str">
            <v>塑胶-国内外部</v>
          </cell>
          <cell r="C1085">
            <v>1689.16</v>
          </cell>
        </row>
        <row r="1086">
          <cell r="A1086" t="str">
            <v>01</v>
          </cell>
          <cell r="B1086" t="str">
            <v>塑胶-国内外部</v>
          </cell>
          <cell r="C1086">
            <v>212.4</v>
          </cell>
        </row>
        <row r="1087">
          <cell r="A1087" t="str">
            <v>01</v>
          </cell>
          <cell r="B1087" t="str">
            <v>塑胶-国内外部</v>
          </cell>
          <cell r="C1087">
            <v>233.41</v>
          </cell>
        </row>
        <row r="1088">
          <cell r="A1088" t="str">
            <v>01</v>
          </cell>
          <cell r="B1088" t="str">
            <v>塑胶-国内外部</v>
          </cell>
          <cell r="C1088">
            <v>103.06</v>
          </cell>
        </row>
        <row r="1089">
          <cell r="A1089" t="str">
            <v>01</v>
          </cell>
          <cell r="B1089" t="str">
            <v>塑胶-国内外部</v>
          </cell>
          <cell r="C1089">
            <v>42.49</v>
          </cell>
        </row>
        <row r="1090">
          <cell r="A1090" t="str">
            <v>01</v>
          </cell>
          <cell r="B1090" t="str">
            <v>塑胶-国内外部</v>
          </cell>
          <cell r="C1090">
            <v>223.91</v>
          </cell>
        </row>
        <row r="1091">
          <cell r="A1091" t="str">
            <v>01</v>
          </cell>
          <cell r="B1091" t="str">
            <v>塑胶-国内外部</v>
          </cell>
          <cell r="C1091">
            <v>234</v>
          </cell>
        </row>
        <row r="1092">
          <cell r="A1092" t="str">
            <v>01</v>
          </cell>
          <cell r="B1092" t="str">
            <v>塑胶-国内外部</v>
          </cell>
          <cell r="C1092">
            <v>1833.4</v>
          </cell>
        </row>
        <row r="1093">
          <cell r="A1093" t="str">
            <v>01</v>
          </cell>
          <cell r="B1093" t="str">
            <v>塑胶-国内外部</v>
          </cell>
          <cell r="C1093">
            <v>1219.6300000000001</v>
          </cell>
        </row>
        <row r="1094">
          <cell r="A1094" t="str">
            <v>01</v>
          </cell>
          <cell r="B1094" t="str">
            <v>塑胶-国内外部</v>
          </cell>
          <cell r="C1094">
            <v>126</v>
          </cell>
        </row>
        <row r="1095">
          <cell r="A1095" t="str">
            <v>01</v>
          </cell>
          <cell r="B1095" t="str">
            <v>卷钢-国内外部</v>
          </cell>
          <cell r="C1095">
            <v>526.17999999999995</v>
          </cell>
        </row>
        <row r="1096">
          <cell r="A1096" t="str">
            <v>01</v>
          </cell>
          <cell r="B1096" t="str">
            <v>塑胶-国内外部</v>
          </cell>
          <cell r="C1096">
            <v>1542.67</v>
          </cell>
        </row>
        <row r="1097">
          <cell r="A1097" t="str">
            <v>01</v>
          </cell>
          <cell r="B1097" t="str">
            <v>塑胶-国内外部</v>
          </cell>
          <cell r="C1097">
            <v>37.200000000000003</v>
          </cell>
        </row>
        <row r="1098">
          <cell r="A1098" t="str">
            <v>01</v>
          </cell>
          <cell r="B1098" t="str">
            <v>塑胶-国内外部</v>
          </cell>
          <cell r="C1098">
            <v>768.22</v>
          </cell>
        </row>
        <row r="1099">
          <cell r="A1099" t="str">
            <v>01</v>
          </cell>
          <cell r="B1099" t="str">
            <v>塑胶-国内外部</v>
          </cell>
          <cell r="C1099">
            <v>-22</v>
          </cell>
        </row>
        <row r="1100">
          <cell r="A1100" t="str">
            <v>01</v>
          </cell>
          <cell r="B1100" t="str">
            <v>塑胶-国内外部</v>
          </cell>
          <cell r="C1100">
            <v>-19.579999999999998</v>
          </cell>
        </row>
        <row r="1101">
          <cell r="A1101" t="str">
            <v>01</v>
          </cell>
          <cell r="B1101" t="str">
            <v>塑胶-国内外部</v>
          </cell>
          <cell r="C1101">
            <v>452.45</v>
          </cell>
        </row>
        <row r="1102">
          <cell r="A1102" t="str">
            <v>01</v>
          </cell>
          <cell r="B1102" t="str">
            <v>塑胶-国内外部</v>
          </cell>
          <cell r="C1102">
            <v>-22</v>
          </cell>
        </row>
        <row r="1103">
          <cell r="A1103" t="str">
            <v>01</v>
          </cell>
          <cell r="B1103" t="str">
            <v>塑胶-国内外部</v>
          </cell>
          <cell r="C1103">
            <v>322.41000000000003</v>
          </cell>
        </row>
        <row r="1104">
          <cell r="A1104" t="str">
            <v>01</v>
          </cell>
          <cell r="B1104" t="str">
            <v>塑胶-国内外部</v>
          </cell>
          <cell r="C1104">
            <v>173.4</v>
          </cell>
        </row>
        <row r="1105">
          <cell r="A1105" t="str">
            <v>01</v>
          </cell>
          <cell r="B1105" t="str">
            <v>塑胶-国内外部</v>
          </cell>
          <cell r="C1105">
            <v>313.14</v>
          </cell>
        </row>
        <row r="1106">
          <cell r="A1106" t="str">
            <v>01</v>
          </cell>
          <cell r="B1106" t="str">
            <v>塑胶-国内外部</v>
          </cell>
          <cell r="C1106">
            <v>729.47</v>
          </cell>
        </row>
        <row r="1107">
          <cell r="A1107" t="str">
            <v>01</v>
          </cell>
          <cell r="B1107" t="str">
            <v>塑胶-国内外部</v>
          </cell>
          <cell r="C1107">
            <v>169.97</v>
          </cell>
        </row>
        <row r="1108">
          <cell r="A1108" t="str">
            <v>01</v>
          </cell>
          <cell r="B1108" t="str">
            <v>塑胶-国内外部</v>
          </cell>
          <cell r="C1108">
            <v>783.72</v>
          </cell>
        </row>
        <row r="1109">
          <cell r="A1109" t="str">
            <v>01</v>
          </cell>
          <cell r="B1109" t="str">
            <v>塑胶-国内外部</v>
          </cell>
          <cell r="C1109">
            <v>98.33</v>
          </cell>
        </row>
        <row r="1110">
          <cell r="A1110" t="str">
            <v>01</v>
          </cell>
          <cell r="B1110" t="str">
            <v>塑胶-国内外部</v>
          </cell>
          <cell r="C1110">
            <v>322.41000000000003</v>
          </cell>
        </row>
        <row r="1111">
          <cell r="A1111" t="str">
            <v>01</v>
          </cell>
          <cell r="B1111" t="str">
            <v>塑胶-国内外部</v>
          </cell>
          <cell r="C1111">
            <v>607.84</v>
          </cell>
        </row>
        <row r="1112">
          <cell r="A1112" t="str">
            <v>01</v>
          </cell>
          <cell r="B1112" t="str">
            <v>塑胶-国内外部</v>
          </cell>
          <cell r="C1112">
            <v>957.4</v>
          </cell>
        </row>
        <row r="1113">
          <cell r="A1113" t="str">
            <v>01</v>
          </cell>
          <cell r="B1113" t="str">
            <v>塑胶-国内外部</v>
          </cell>
          <cell r="C1113">
            <v>106.22</v>
          </cell>
        </row>
        <row r="1114">
          <cell r="A1114" t="str">
            <v>01</v>
          </cell>
          <cell r="B1114" t="str">
            <v>塑胶-国内外部</v>
          </cell>
          <cell r="C1114">
            <v>447.83</v>
          </cell>
        </row>
        <row r="1115">
          <cell r="A1115" t="str">
            <v>02</v>
          </cell>
          <cell r="B1115" t="str">
            <v>塑胶-国内外部</v>
          </cell>
          <cell r="C1115">
            <v>296.81</v>
          </cell>
        </row>
        <row r="1116">
          <cell r="A1116" t="str">
            <v>02</v>
          </cell>
          <cell r="B1116" t="str">
            <v>塑胶-国内外部</v>
          </cell>
          <cell r="C1116">
            <v>270.39999999999998</v>
          </cell>
        </row>
        <row r="1117">
          <cell r="A1117" t="str">
            <v>02</v>
          </cell>
          <cell r="B1117" t="str">
            <v>塑胶-国内外部</v>
          </cell>
          <cell r="C1117">
            <v>489.6</v>
          </cell>
        </row>
        <row r="1118">
          <cell r="A1118" t="str">
            <v>02</v>
          </cell>
          <cell r="B1118" t="str">
            <v>塑胶-国内外部</v>
          </cell>
          <cell r="C1118">
            <v>298.92</v>
          </cell>
        </row>
        <row r="1119">
          <cell r="A1119" t="str">
            <v>02</v>
          </cell>
          <cell r="B1119" t="str">
            <v>塑胶-国内外部</v>
          </cell>
          <cell r="C1119">
            <v>157.37</v>
          </cell>
        </row>
        <row r="1120">
          <cell r="A1120" t="str">
            <v>02</v>
          </cell>
          <cell r="B1120" t="str">
            <v>卷钢-国内内部</v>
          </cell>
          <cell r="C1120">
            <v>1815.8</v>
          </cell>
        </row>
        <row r="1121">
          <cell r="A1121" t="str">
            <v>02</v>
          </cell>
          <cell r="B1121" t="str">
            <v>卷钢-国内内部</v>
          </cell>
          <cell r="C1121">
            <v>3459.76</v>
          </cell>
        </row>
        <row r="1122">
          <cell r="A1122" t="str">
            <v>02</v>
          </cell>
          <cell r="B1122" t="str">
            <v>卷钢-国内内部</v>
          </cell>
          <cell r="C1122">
            <v>557.99</v>
          </cell>
        </row>
        <row r="1123">
          <cell r="A1123" t="str">
            <v>02</v>
          </cell>
          <cell r="B1123" t="str">
            <v>卷钢-国内内部</v>
          </cell>
          <cell r="C1123">
            <v>1337.67</v>
          </cell>
        </row>
        <row r="1124">
          <cell r="A1124" t="str">
            <v>02</v>
          </cell>
          <cell r="B1124" t="str">
            <v>卷钢-国内内部</v>
          </cell>
          <cell r="C1124">
            <v>1237.2</v>
          </cell>
        </row>
        <row r="1125">
          <cell r="A1125" t="str">
            <v>02</v>
          </cell>
          <cell r="B1125" t="str">
            <v>塑胶-国内外部</v>
          </cell>
          <cell r="C1125">
            <v>531.38</v>
          </cell>
        </row>
        <row r="1126">
          <cell r="A1126" t="str">
            <v>02</v>
          </cell>
          <cell r="B1126" t="str">
            <v>塑胶-国内外部</v>
          </cell>
          <cell r="C1126">
            <v>384.11</v>
          </cell>
        </row>
        <row r="1127">
          <cell r="A1127" t="str">
            <v>02</v>
          </cell>
          <cell r="B1127" t="str">
            <v>塑胶-国内外部</v>
          </cell>
          <cell r="C1127">
            <v>497.33</v>
          </cell>
        </row>
        <row r="1128">
          <cell r="A1128" t="str">
            <v>02</v>
          </cell>
          <cell r="B1128" t="str">
            <v>塑胶-国内外部</v>
          </cell>
          <cell r="C1128">
            <v>500.53</v>
          </cell>
        </row>
        <row r="1129">
          <cell r="A1129" t="str">
            <v>02</v>
          </cell>
          <cell r="B1129" t="str">
            <v>塑胶-国内外部</v>
          </cell>
          <cell r="C1129">
            <v>1040.58</v>
          </cell>
        </row>
        <row r="1130">
          <cell r="A1130" t="str">
            <v>02</v>
          </cell>
          <cell r="B1130" t="str">
            <v>塑胶-国内外部</v>
          </cell>
          <cell r="C1130">
            <v>84.8</v>
          </cell>
        </row>
        <row r="1131">
          <cell r="A1131" t="str">
            <v>02</v>
          </cell>
          <cell r="B1131" t="str">
            <v>塑胶-国内外部</v>
          </cell>
          <cell r="C1131">
            <v>416.02</v>
          </cell>
        </row>
        <row r="1132">
          <cell r="A1132" t="str">
            <v>02</v>
          </cell>
          <cell r="B1132" t="str">
            <v>塑胶-国内外部</v>
          </cell>
          <cell r="C1132">
            <v>196.71</v>
          </cell>
        </row>
        <row r="1133">
          <cell r="A1133" t="str">
            <v>02</v>
          </cell>
          <cell r="B1133" t="str">
            <v>塑胶-国内外部</v>
          </cell>
          <cell r="C1133">
            <v>104.21</v>
          </cell>
        </row>
        <row r="1134">
          <cell r="A1134" t="str">
            <v>02</v>
          </cell>
          <cell r="B1134" t="str">
            <v>塑胶-国内外部</v>
          </cell>
          <cell r="C1134">
            <v>105</v>
          </cell>
        </row>
        <row r="1135">
          <cell r="A1135" t="str">
            <v>02</v>
          </cell>
          <cell r="B1135" t="str">
            <v>卷钢-国内外部</v>
          </cell>
          <cell r="C1135">
            <v>400</v>
          </cell>
        </row>
        <row r="1136">
          <cell r="A1136" t="str">
            <v>02</v>
          </cell>
          <cell r="B1136" t="str">
            <v>卷钢-国内外部</v>
          </cell>
          <cell r="C1136">
            <v>382.48</v>
          </cell>
        </row>
        <row r="1137">
          <cell r="A1137" t="str">
            <v>02</v>
          </cell>
          <cell r="B1137" t="str">
            <v>塑胶-国内外部</v>
          </cell>
          <cell r="C1137">
            <v>18.91</v>
          </cell>
        </row>
        <row r="1138">
          <cell r="A1138" t="str">
            <v>02</v>
          </cell>
          <cell r="B1138" t="str">
            <v>塑胶-国内外部</v>
          </cell>
          <cell r="C1138">
            <v>185.12</v>
          </cell>
        </row>
        <row r="1139">
          <cell r="A1139" t="str">
            <v>02</v>
          </cell>
          <cell r="B1139" t="str">
            <v>塑胶-国内外部</v>
          </cell>
          <cell r="C1139">
            <v>86.5</v>
          </cell>
        </row>
        <row r="1140">
          <cell r="A1140" t="str">
            <v>02</v>
          </cell>
          <cell r="B1140" t="str">
            <v>塑胶-国内外部</v>
          </cell>
          <cell r="C1140">
            <v>17.46</v>
          </cell>
        </row>
        <row r="1141">
          <cell r="A1141" t="str">
            <v>02</v>
          </cell>
          <cell r="B1141" t="str">
            <v>塑胶-国内外部</v>
          </cell>
          <cell r="C1141">
            <v>118.44</v>
          </cell>
        </row>
        <row r="1142">
          <cell r="A1142" t="str">
            <v>02</v>
          </cell>
          <cell r="B1142" t="str">
            <v>塑胶-国内外部</v>
          </cell>
          <cell r="C1142">
            <v>249.61</v>
          </cell>
        </row>
        <row r="1143">
          <cell r="A1143" t="str">
            <v>02</v>
          </cell>
          <cell r="B1143" t="str">
            <v>塑胶-国内外部</v>
          </cell>
          <cell r="C1143">
            <v>447.83</v>
          </cell>
        </row>
        <row r="1144">
          <cell r="A1144" t="str">
            <v>02</v>
          </cell>
          <cell r="B1144" t="str">
            <v>塑胶-国外内部</v>
          </cell>
          <cell r="C1144">
            <v>279.27999999999997</v>
          </cell>
        </row>
        <row r="1145">
          <cell r="A1145" t="str">
            <v>02</v>
          </cell>
          <cell r="B1145" t="str">
            <v>塑胶-国外内部</v>
          </cell>
          <cell r="C1145">
            <v>19.37</v>
          </cell>
        </row>
        <row r="1146">
          <cell r="A1146" t="str">
            <v>02</v>
          </cell>
          <cell r="B1146" t="str">
            <v>塑胶-国外内部</v>
          </cell>
          <cell r="C1146">
            <v>280.48</v>
          </cell>
        </row>
        <row r="1147">
          <cell r="A1147" t="str">
            <v>02</v>
          </cell>
          <cell r="B1147" t="str">
            <v>塑胶-国外内部</v>
          </cell>
          <cell r="C1147">
            <v>937.12</v>
          </cell>
        </row>
        <row r="1148">
          <cell r="A1148" t="str">
            <v>02</v>
          </cell>
          <cell r="B1148" t="str">
            <v>卷钢-国内外部</v>
          </cell>
          <cell r="C1148">
            <v>-880</v>
          </cell>
        </row>
        <row r="1149">
          <cell r="A1149" t="str">
            <v>02</v>
          </cell>
          <cell r="B1149" t="str">
            <v>塑胶-国内外部</v>
          </cell>
          <cell r="C1149">
            <v>219.24</v>
          </cell>
        </row>
        <row r="1150">
          <cell r="A1150" t="str">
            <v>02</v>
          </cell>
          <cell r="B1150" t="str">
            <v>塑胶-国内外部</v>
          </cell>
          <cell r="C1150">
            <v>199.35</v>
          </cell>
        </row>
        <row r="1151">
          <cell r="A1151" t="str">
            <v>02</v>
          </cell>
          <cell r="B1151" t="str">
            <v>塑胶-国内外部</v>
          </cell>
          <cell r="C1151">
            <v>314.27</v>
          </cell>
        </row>
        <row r="1152">
          <cell r="A1152" t="str">
            <v>02</v>
          </cell>
          <cell r="B1152" t="str">
            <v>塑胶-国内外部</v>
          </cell>
          <cell r="C1152">
            <v>173</v>
          </cell>
        </row>
        <row r="1153">
          <cell r="A1153" t="str">
            <v>02</v>
          </cell>
          <cell r="B1153" t="str">
            <v>塑胶-国内外部</v>
          </cell>
          <cell r="C1153">
            <v>73.67</v>
          </cell>
        </row>
        <row r="1154">
          <cell r="A1154" t="str">
            <v>02</v>
          </cell>
          <cell r="B1154" t="str">
            <v>塑胶-国内外部</v>
          </cell>
          <cell r="C1154">
            <v>229.36</v>
          </cell>
        </row>
        <row r="1155">
          <cell r="A1155" t="str">
            <v>02</v>
          </cell>
          <cell r="B1155" t="str">
            <v>塑胶-国内外部</v>
          </cell>
          <cell r="C1155">
            <v>521.04999999999995</v>
          </cell>
        </row>
        <row r="1156">
          <cell r="A1156" t="str">
            <v>02</v>
          </cell>
          <cell r="B1156" t="str">
            <v>塑胶-国内外部</v>
          </cell>
          <cell r="C1156">
            <v>7.66</v>
          </cell>
        </row>
        <row r="1157">
          <cell r="A1157" t="str">
            <v>02</v>
          </cell>
          <cell r="B1157" t="str">
            <v>塑胶-国内外部</v>
          </cell>
          <cell r="C1157">
            <v>290.92</v>
          </cell>
        </row>
        <row r="1158">
          <cell r="A1158" t="str">
            <v>02</v>
          </cell>
          <cell r="B1158" t="str">
            <v>塑胶-国内外部</v>
          </cell>
          <cell r="C1158">
            <v>289.52</v>
          </cell>
        </row>
        <row r="1159">
          <cell r="A1159" t="str">
            <v>02</v>
          </cell>
          <cell r="B1159" t="str">
            <v>塑胶-国内外部</v>
          </cell>
          <cell r="C1159">
            <v>103.06</v>
          </cell>
        </row>
        <row r="1160">
          <cell r="A1160" t="str">
            <v>02</v>
          </cell>
          <cell r="B1160" t="str">
            <v>塑胶-国内外部</v>
          </cell>
          <cell r="C1160">
            <v>169.97</v>
          </cell>
        </row>
        <row r="1161">
          <cell r="A1161" t="str">
            <v>02</v>
          </cell>
          <cell r="B1161" t="str">
            <v>塑胶-国内外部</v>
          </cell>
          <cell r="C1161">
            <v>8.73</v>
          </cell>
        </row>
        <row r="1162">
          <cell r="A1162" t="str">
            <v>02</v>
          </cell>
          <cell r="B1162" t="str">
            <v>塑胶-国内外部</v>
          </cell>
          <cell r="C1162">
            <v>559.79</v>
          </cell>
        </row>
        <row r="1163">
          <cell r="A1163" t="str">
            <v>02</v>
          </cell>
          <cell r="B1163" t="str">
            <v>塑胶-国内外部</v>
          </cell>
          <cell r="C1163">
            <v>19.93</v>
          </cell>
        </row>
        <row r="1164">
          <cell r="A1164" t="str">
            <v>02</v>
          </cell>
          <cell r="B1164" t="str">
            <v>塑胶-国内外部</v>
          </cell>
          <cell r="C1164">
            <v>157.37</v>
          </cell>
        </row>
        <row r="1165">
          <cell r="A1165" t="str">
            <v>02</v>
          </cell>
          <cell r="B1165" t="str">
            <v>塑胶-国内外部</v>
          </cell>
          <cell r="C1165">
            <v>127.99</v>
          </cell>
        </row>
        <row r="1166">
          <cell r="A1166" t="str">
            <v>02</v>
          </cell>
          <cell r="B1166" t="str">
            <v>卷钢-国内内部</v>
          </cell>
          <cell r="C1166">
            <v>17.34</v>
          </cell>
        </row>
        <row r="1167">
          <cell r="A1167" t="str">
            <v>02</v>
          </cell>
          <cell r="B1167" t="str">
            <v>卷钢-国内外部</v>
          </cell>
          <cell r="C1167">
            <v>18.329999999999998</v>
          </cell>
        </row>
        <row r="1168">
          <cell r="A1168" t="str">
            <v>02</v>
          </cell>
          <cell r="B1168" t="str">
            <v>塑胶-国内外部</v>
          </cell>
          <cell r="C1168">
            <v>17.46</v>
          </cell>
        </row>
        <row r="1169">
          <cell r="A1169" t="str">
            <v>02</v>
          </cell>
          <cell r="B1169" t="str">
            <v>塑胶-国内外部</v>
          </cell>
          <cell r="C1169">
            <v>164.4</v>
          </cell>
        </row>
        <row r="1170">
          <cell r="A1170" t="str">
            <v>02</v>
          </cell>
          <cell r="B1170" t="str">
            <v>卷钢-国内外部</v>
          </cell>
          <cell r="C1170">
            <v>880</v>
          </cell>
        </row>
        <row r="1171">
          <cell r="A1171" t="str">
            <v>02</v>
          </cell>
          <cell r="B1171" t="str">
            <v>塑胶-国内外部</v>
          </cell>
          <cell r="C1171">
            <v>570.09</v>
          </cell>
        </row>
        <row r="1172">
          <cell r="A1172" t="str">
            <v>02</v>
          </cell>
          <cell r="B1172" t="str">
            <v>塑胶-国内外部</v>
          </cell>
          <cell r="C1172">
            <v>34.58</v>
          </cell>
        </row>
        <row r="1173">
          <cell r="A1173" t="str">
            <v>02</v>
          </cell>
          <cell r="B1173" t="str">
            <v>塑胶-国内外部</v>
          </cell>
          <cell r="C1173">
            <v>925.36</v>
          </cell>
        </row>
        <row r="1174">
          <cell r="A1174" t="str">
            <v>02</v>
          </cell>
          <cell r="B1174" t="str">
            <v>塑胶-国内外部</v>
          </cell>
          <cell r="C1174">
            <v>497.33</v>
          </cell>
        </row>
        <row r="1175">
          <cell r="A1175" t="str">
            <v>02</v>
          </cell>
          <cell r="B1175" t="str">
            <v>塑胶-国内外部</v>
          </cell>
          <cell r="C1175">
            <v>558.1</v>
          </cell>
        </row>
        <row r="1176">
          <cell r="A1176" t="str">
            <v>02</v>
          </cell>
          <cell r="B1176" t="str">
            <v>塑胶-国内外部</v>
          </cell>
          <cell r="C1176">
            <v>63.6</v>
          </cell>
        </row>
        <row r="1177">
          <cell r="A1177" t="str">
            <v>02</v>
          </cell>
          <cell r="B1177" t="str">
            <v>塑胶-国内外部</v>
          </cell>
          <cell r="C1177">
            <v>103.07</v>
          </cell>
        </row>
        <row r="1178">
          <cell r="A1178" t="str">
            <v>02</v>
          </cell>
          <cell r="B1178" t="str">
            <v>塑胶-国内外部</v>
          </cell>
          <cell r="C1178">
            <v>39.479999999999997</v>
          </cell>
        </row>
        <row r="1179">
          <cell r="A1179" t="str">
            <v>02</v>
          </cell>
          <cell r="B1179" t="str">
            <v>塑胶-国内外部</v>
          </cell>
          <cell r="C1179">
            <v>223.91</v>
          </cell>
        </row>
        <row r="1180">
          <cell r="A1180" t="str">
            <v>02</v>
          </cell>
          <cell r="B1180" t="str">
            <v>塑胶-国内外部</v>
          </cell>
          <cell r="C1180">
            <v>4.3</v>
          </cell>
        </row>
        <row r="1181">
          <cell r="A1181" t="str">
            <v>02</v>
          </cell>
          <cell r="B1181" t="str">
            <v>塑胶-国内外部</v>
          </cell>
          <cell r="C1181">
            <v>-36.53</v>
          </cell>
        </row>
        <row r="1182">
          <cell r="A1182" t="str">
            <v>02</v>
          </cell>
          <cell r="B1182" t="str">
            <v>塑胶-国内外部</v>
          </cell>
          <cell r="C1182">
            <v>167.57</v>
          </cell>
        </row>
        <row r="1183">
          <cell r="A1183" t="str">
            <v>02</v>
          </cell>
          <cell r="B1183" t="str">
            <v>塑胶-国内外部</v>
          </cell>
          <cell r="C1183">
            <v>36.1</v>
          </cell>
        </row>
        <row r="1184">
          <cell r="A1184" t="str">
            <v>02</v>
          </cell>
          <cell r="B1184" t="str">
            <v>塑胶-国内外部</v>
          </cell>
          <cell r="C1184">
            <v>925.2</v>
          </cell>
        </row>
        <row r="1185">
          <cell r="A1185" t="str">
            <v>02</v>
          </cell>
          <cell r="B1185" t="str">
            <v>塑胶-国内外部</v>
          </cell>
          <cell r="C1185">
            <v>1204.71</v>
          </cell>
        </row>
        <row r="1186">
          <cell r="A1186" t="str">
            <v>02</v>
          </cell>
          <cell r="B1186" t="str">
            <v>塑胶-国内外部</v>
          </cell>
          <cell r="C1186">
            <v>1786.7</v>
          </cell>
        </row>
        <row r="1187">
          <cell r="A1187" t="str">
            <v>02</v>
          </cell>
          <cell r="B1187" t="str">
            <v>塑胶-国内外部</v>
          </cell>
          <cell r="C1187">
            <v>7.6</v>
          </cell>
        </row>
        <row r="1188">
          <cell r="A1188" t="str">
            <v>02</v>
          </cell>
          <cell r="B1188" t="str">
            <v>塑胶-国内外部</v>
          </cell>
          <cell r="C1188">
            <v>554.28</v>
          </cell>
        </row>
        <row r="1189">
          <cell r="A1189" t="str">
            <v>02</v>
          </cell>
          <cell r="B1189" t="str">
            <v>塑胶-国内外部</v>
          </cell>
          <cell r="C1189">
            <v>40</v>
          </cell>
        </row>
        <row r="1190">
          <cell r="A1190" t="str">
            <v>02</v>
          </cell>
          <cell r="B1190" t="str">
            <v>塑胶-国内外部</v>
          </cell>
          <cell r="C1190">
            <v>8.73</v>
          </cell>
        </row>
        <row r="1191">
          <cell r="A1191" t="str">
            <v>02</v>
          </cell>
          <cell r="B1191" t="str">
            <v>塑胶-国内外部</v>
          </cell>
          <cell r="C1191">
            <v>566.03</v>
          </cell>
        </row>
        <row r="1192">
          <cell r="A1192" t="str">
            <v>02</v>
          </cell>
          <cell r="B1192" t="str">
            <v>塑胶-国内外部</v>
          </cell>
          <cell r="C1192">
            <v>728.03</v>
          </cell>
        </row>
        <row r="1193">
          <cell r="A1193" t="str">
            <v>02</v>
          </cell>
          <cell r="B1193" t="str">
            <v>塑胶-国内外部</v>
          </cell>
          <cell r="C1193">
            <v>-19.93</v>
          </cell>
        </row>
        <row r="1194">
          <cell r="A1194" t="str">
            <v>02</v>
          </cell>
          <cell r="B1194" t="str">
            <v>塑胶-国内外部</v>
          </cell>
          <cell r="C1194">
            <v>1215.71</v>
          </cell>
        </row>
        <row r="1195">
          <cell r="A1195" t="str">
            <v>02</v>
          </cell>
          <cell r="B1195" t="str">
            <v>塑胶-国内外部</v>
          </cell>
          <cell r="C1195">
            <v>349.83</v>
          </cell>
        </row>
        <row r="1196">
          <cell r="A1196" t="str">
            <v>02</v>
          </cell>
          <cell r="B1196" t="str">
            <v>塑胶-国内外部</v>
          </cell>
          <cell r="C1196">
            <v>644.82000000000005</v>
          </cell>
        </row>
        <row r="1197">
          <cell r="A1197" t="str">
            <v>02</v>
          </cell>
          <cell r="B1197" t="str">
            <v>塑胶-国内外部</v>
          </cell>
          <cell r="C1197">
            <v>1975</v>
          </cell>
        </row>
        <row r="1198">
          <cell r="A1198" t="str">
            <v>02</v>
          </cell>
          <cell r="B1198" t="str">
            <v>塑胶-国内外部</v>
          </cell>
          <cell r="C1198">
            <v>1449.15</v>
          </cell>
        </row>
        <row r="1199">
          <cell r="A1199" t="str">
            <v>02</v>
          </cell>
          <cell r="B1199" t="str">
            <v>塑胶-国内外部</v>
          </cell>
          <cell r="C1199">
            <v>1068.3399999999999</v>
          </cell>
        </row>
        <row r="1200">
          <cell r="A1200" t="str">
            <v>02</v>
          </cell>
          <cell r="B1200" t="str">
            <v>塑胶-国内外部</v>
          </cell>
          <cell r="C1200">
            <v>555.17999999999995</v>
          </cell>
        </row>
        <row r="1201">
          <cell r="A1201" t="str">
            <v>02</v>
          </cell>
          <cell r="B1201" t="str">
            <v>塑胶-国内外部</v>
          </cell>
          <cell r="C1201">
            <v>1604.84</v>
          </cell>
        </row>
        <row r="1202">
          <cell r="A1202" t="str">
            <v>02</v>
          </cell>
          <cell r="B1202" t="str">
            <v>塑胶-国内外部</v>
          </cell>
          <cell r="C1202">
            <v>164.89</v>
          </cell>
        </row>
        <row r="1203">
          <cell r="A1203" t="str">
            <v>02</v>
          </cell>
          <cell r="B1203" t="str">
            <v>塑胶-国内外部</v>
          </cell>
          <cell r="C1203">
            <v>212.45</v>
          </cell>
        </row>
        <row r="1204">
          <cell r="A1204" t="str">
            <v>02</v>
          </cell>
          <cell r="B1204" t="str">
            <v>塑胶-国内外部</v>
          </cell>
          <cell r="C1204">
            <v>1097.18</v>
          </cell>
        </row>
        <row r="1205">
          <cell r="A1205" t="str">
            <v>02</v>
          </cell>
          <cell r="B1205" t="str">
            <v>塑胶-国内外部</v>
          </cell>
          <cell r="C1205">
            <v>1177.56</v>
          </cell>
        </row>
        <row r="1206">
          <cell r="A1206" t="str">
            <v>02</v>
          </cell>
          <cell r="B1206" t="str">
            <v>塑胶-国内外部</v>
          </cell>
          <cell r="C1206">
            <v>204.8</v>
          </cell>
        </row>
        <row r="1207">
          <cell r="A1207" t="str">
            <v>02</v>
          </cell>
          <cell r="B1207" t="str">
            <v>塑胶-国内外部</v>
          </cell>
          <cell r="C1207">
            <v>181.23</v>
          </cell>
        </row>
        <row r="1208">
          <cell r="A1208" t="str">
            <v>02</v>
          </cell>
          <cell r="B1208" t="str">
            <v>塑胶-国内外部</v>
          </cell>
          <cell r="C1208">
            <v>114.84</v>
          </cell>
        </row>
        <row r="1209">
          <cell r="A1209" t="str">
            <v>02</v>
          </cell>
          <cell r="B1209" t="str">
            <v>卷钢-国内外部</v>
          </cell>
          <cell r="C1209">
            <v>17.510000000000002</v>
          </cell>
        </row>
        <row r="1210">
          <cell r="A1210" t="str">
            <v>02</v>
          </cell>
          <cell r="B1210" t="str">
            <v>塑胶-国内外部</v>
          </cell>
          <cell r="C1210">
            <v>208.41</v>
          </cell>
        </row>
        <row r="1211">
          <cell r="A1211" t="str">
            <v>02</v>
          </cell>
          <cell r="B1211" t="str">
            <v>塑胶-国内外部</v>
          </cell>
          <cell r="C1211">
            <v>19.02</v>
          </cell>
        </row>
        <row r="1212">
          <cell r="A1212" t="str">
            <v>02</v>
          </cell>
          <cell r="B1212" t="str">
            <v>塑胶-国内外部</v>
          </cell>
          <cell r="C1212">
            <v>7.86</v>
          </cell>
        </row>
        <row r="1213">
          <cell r="A1213" t="str">
            <v>02</v>
          </cell>
          <cell r="B1213" t="str">
            <v>卷钢-国内外部</v>
          </cell>
          <cell r="C1213">
            <v>-9.2899999999999991</v>
          </cell>
        </row>
        <row r="1214">
          <cell r="A1214" t="str">
            <v>02</v>
          </cell>
          <cell r="B1214" t="str">
            <v>卷钢-国内外部</v>
          </cell>
          <cell r="C1214">
            <v>-128.13</v>
          </cell>
        </row>
        <row r="1215">
          <cell r="A1215" t="str">
            <v>02</v>
          </cell>
          <cell r="B1215" t="str">
            <v>塑胶-国内外部</v>
          </cell>
          <cell r="C1215">
            <v>0</v>
          </cell>
        </row>
        <row r="1216">
          <cell r="A1216" t="str">
            <v>02</v>
          </cell>
          <cell r="B1216" t="str">
            <v>塑胶-国内外部</v>
          </cell>
          <cell r="C1216">
            <v>74.05</v>
          </cell>
        </row>
        <row r="1217">
          <cell r="A1217" t="str">
            <v>02</v>
          </cell>
          <cell r="B1217" t="str">
            <v>塑胶-国内外部</v>
          </cell>
          <cell r="C1217">
            <v>244.43</v>
          </cell>
        </row>
        <row r="1218">
          <cell r="A1218" t="str">
            <v>02</v>
          </cell>
          <cell r="B1218" t="str">
            <v>塑胶-国内外部</v>
          </cell>
          <cell r="C1218">
            <v>69.2</v>
          </cell>
        </row>
        <row r="1219">
          <cell r="A1219" t="str">
            <v>02</v>
          </cell>
          <cell r="B1219" t="str">
            <v>塑胶-国内外部</v>
          </cell>
          <cell r="C1219">
            <v>899.58</v>
          </cell>
        </row>
        <row r="1220">
          <cell r="A1220" t="str">
            <v>02</v>
          </cell>
          <cell r="B1220" t="str">
            <v>塑胶-国内外部</v>
          </cell>
          <cell r="C1220">
            <v>229.36</v>
          </cell>
        </row>
        <row r="1221">
          <cell r="A1221" t="str">
            <v>02</v>
          </cell>
          <cell r="B1221" t="str">
            <v>塑胶-国内外部</v>
          </cell>
          <cell r="C1221">
            <v>42.4</v>
          </cell>
        </row>
        <row r="1222">
          <cell r="A1222" t="str">
            <v>02</v>
          </cell>
          <cell r="B1222" t="str">
            <v>塑胶-国内外部</v>
          </cell>
          <cell r="C1222">
            <v>41.23</v>
          </cell>
        </row>
        <row r="1223">
          <cell r="A1223" t="str">
            <v>02</v>
          </cell>
          <cell r="B1223" t="str">
            <v>塑胶-国内外部</v>
          </cell>
          <cell r="C1223">
            <v>78.95</v>
          </cell>
        </row>
        <row r="1224">
          <cell r="A1224" t="str">
            <v>02</v>
          </cell>
          <cell r="B1224" t="str">
            <v>塑胶-国内外部</v>
          </cell>
          <cell r="C1224">
            <v>249.61</v>
          </cell>
        </row>
        <row r="1225">
          <cell r="A1225" t="str">
            <v>02</v>
          </cell>
          <cell r="B1225" t="str">
            <v>塑胶-国内外部</v>
          </cell>
          <cell r="C1225">
            <v>295.07</v>
          </cell>
        </row>
        <row r="1226">
          <cell r="A1226" t="str">
            <v>02</v>
          </cell>
          <cell r="B1226" t="str">
            <v>塑胶-国内外部</v>
          </cell>
          <cell r="C1226">
            <v>64.459999999999994</v>
          </cell>
        </row>
        <row r="1227">
          <cell r="A1227" t="str">
            <v>02</v>
          </cell>
          <cell r="B1227" t="str">
            <v>塑胶-国内外部</v>
          </cell>
          <cell r="C1227">
            <v>110.52</v>
          </cell>
        </row>
        <row r="1228">
          <cell r="A1228" t="str">
            <v>02</v>
          </cell>
          <cell r="B1228" t="str">
            <v>塑胶-国内外部</v>
          </cell>
          <cell r="C1228">
            <v>153.18</v>
          </cell>
        </row>
        <row r="1229">
          <cell r="A1229" t="str">
            <v>02</v>
          </cell>
          <cell r="B1229" t="str">
            <v>塑胶-国内外部</v>
          </cell>
          <cell r="C1229">
            <v>201.52</v>
          </cell>
        </row>
        <row r="1230">
          <cell r="A1230" t="str">
            <v>02</v>
          </cell>
          <cell r="B1230" t="str">
            <v>塑胶-国内外部</v>
          </cell>
          <cell r="C1230">
            <v>457.62</v>
          </cell>
        </row>
        <row r="1231">
          <cell r="A1231" t="str">
            <v>02</v>
          </cell>
          <cell r="B1231" t="str">
            <v>塑胶-国内外部</v>
          </cell>
          <cell r="C1231">
            <v>19.13</v>
          </cell>
        </row>
        <row r="1232">
          <cell r="A1232" t="str">
            <v>02</v>
          </cell>
          <cell r="B1232" t="str">
            <v>塑胶-国内外部</v>
          </cell>
          <cell r="C1232">
            <v>-247.34</v>
          </cell>
        </row>
        <row r="1233">
          <cell r="A1233" t="str">
            <v>02</v>
          </cell>
          <cell r="B1233" t="str">
            <v>塑胶-国内外部</v>
          </cell>
          <cell r="C1233">
            <v>-196.71</v>
          </cell>
        </row>
        <row r="1234">
          <cell r="A1234" t="str">
            <v>02</v>
          </cell>
          <cell r="B1234" t="str">
            <v>塑胶-国内外部</v>
          </cell>
          <cell r="C1234">
            <v>4.2699999999999996</v>
          </cell>
        </row>
        <row r="1235">
          <cell r="A1235" t="str">
            <v>02</v>
          </cell>
          <cell r="B1235" t="str">
            <v>塑胶-国内外部</v>
          </cell>
          <cell r="C1235">
            <v>104.04</v>
          </cell>
        </row>
        <row r="1236">
          <cell r="A1236" t="str">
            <v>02</v>
          </cell>
          <cell r="B1236" t="str">
            <v>塑胶-国内外部</v>
          </cell>
          <cell r="C1236">
            <v>523.79</v>
          </cell>
        </row>
        <row r="1237">
          <cell r="A1237" t="str">
            <v>02</v>
          </cell>
          <cell r="B1237" t="str">
            <v>塑胶-国内外部</v>
          </cell>
          <cell r="C1237">
            <v>103.86</v>
          </cell>
        </row>
        <row r="1238">
          <cell r="A1238" t="str">
            <v>02</v>
          </cell>
          <cell r="B1238" t="str">
            <v>塑胶-国内外部</v>
          </cell>
          <cell r="C1238">
            <v>98.33</v>
          </cell>
        </row>
        <row r="1239">
          <cell r="A1239" t="str">
            <v>02</v>
          </cell>
          <cell r="B1239" t="str">
            <v>塑胶-国内外部</v>
          </cell>
          <cell r="C1239">
            <v>196.71</v>
          </cell>
        </row>
        <row r="1240">
          <cell r="A1240" t="str">
            <v>02</v>
          </cell>
          <cell r="B1240" t="str">
            <v>塑胶-国内外部</v>
          </cell>
          <cell r="C1240">
            <v>3.81</v>
          </cell>
        </row>
        <row r="1241">
          <cell r="A1241" t="str">
            <v>02</v>
          </cell>
          <cell r="B1241" t="str">
            <v>塑胶-国内外部</v>
          </cell>
          <cell r="C1241">
            <v>4.3899999999999997</v>
          </cell>
        </row>
        <row r="1242">
          <cell r="A1242" t="str">
            <v>02</v>
          </cell>
          <cell r="B1242" t="str">
            <v>塑胶-国内外部</v>
          </cell>
          <cell r="C1242">
            <v>19.93</v>
          </cell>
        </row>
        <row r="1243">
          <cell r="A1243" t="str">
            <v>02</v>
          </cell>
          <cell r="B1243" t="str">
            <v>塑胶-国外内部</v>
          </cell>
          <cell r="C1243">
            <v>2430.8200000000002</v>
          </cell>
        </row>
        <row r="1244">
          <cell r="A1244" t="str">
            <v>02</v>
          </cell>
          <cell r="B1244" t="str">
            <v>塑胶-国外内部</v>
          </cell>
          <cell r="C1244">
            <v>937.12</v>
          </cell>
        </row>
        <row r="1245">
          <cell r="A1245" t="str">
            <v>03</v>
          </cell>
          <cell r="B1245" t="str">
            <v>塑胶-国内外部</v>
          </cell>
          <cell r="C1245">
            <v>146.13999999999999</v>
          </cell>
        </row>
        <row r="1246">
          <cell r="A1246" t="str">
            <v>03</v>
          </cell>
          <cell r="B1246" t="str">
            <v>塑胶-国内外部</v>
          </cell>
          <cell r="C1246">
            <v>111.07</v>
          </cell>
        </row>
        <row r="1247">
          <cell r="A1247" t="str">
            <v>03</v>
          </cell>
          <cell r="B1247" t="str">
            <v>塑胶-国内外部</v>
          </cell>
          <cell r="C1247">
            <v>523.79</v>
          </cell>
        </row>
        <row r="1248">
          <cell r="A1248" t="str">
            <v>03</v>
          </cell>
          <cell r="B1248" t="str">
            <v>塑胶-国内外部</v>
          </cell>
          <cell r="C1248">
            <v>34.6</v>
          </cell>
        </row>
        <row r="1249">
          <cell r="A1249" t="str">
            <v>03</v>
          </cell>
          <cell r="B1249" t="str">
            <v>塑胶-国内外部</v>
          </cell>
          <cell r="C1249">
            <v>100</v>
          </cell>
        </row>
        <row r="1250">
          <cell r="A1250" t="str">
            <v>03</v>
          </cell>
          <cell r="B1250" t="str">
            <v>塑胶-国内外部</v>
          </cell>
          <cell r="C1250">
            <v>34.92</v>
          </cell>
        </row>
        <row r="1251">
          <cell r="A1251" t="str">
            <v>03</v>
          </cell>
          <cell r="B1251" t="str">
            <v>塑胶-国内外部</v>
          </cell>
          <cell r="C1251">
            <v>368.4</v>
          </cell>
        </row>
        <row r="1252">
          <cell r="A1252" t="str">
            <v>03</v>
          </cell>
          <cell r="B1252" t="str">
            <v>塑胶-国内外部</v>
          </cell>
          <cell r="C1252">
            <v>392.73</v>
          </cell>
        </row>
        <row r="1253">
          <cell r="A1253" t="str">
            <v>03</v>
          </cell>
          <cell r="B1253" t="str">
            <v>塑胶-国内外部</v>
          </cell>
          <cell r="C1253">
            <v>19.93</v>
          </cell>
        </row>
        <row r="1254">
          <cell r="A1254" t="str">
            <v>03</v>
          </cell>
          <cell r="B1254" t="str">
            <v>塑胶-国内外部</v>
          </cell>
          <cell r="C1254">
            <v>250.51</v>
          </cell>
        </row>
        <row r="1255">
          <cell r="A1255" t="str">
            <v>03</v>
          </cell>
          <cell r="B1255" t="str">
            <v>塑胶-国内外部</v>
          </cell>
          <cell r="C1255">
            <v>574.20000000000005</v>
          </cell>
        </row>
        <row r="1256">
          <cell r="A1256" t="str">
            <v>03</v>
          </cell>
          <cell r="B1256" t="str">
            <v>塑胶-国内外部</v>
          </cell>
          <cell r="C1256">
            <v>612.74</v>
          </cell>
        </row>
        <row r="1257">
          <cell r="A1257" t="str">
            <v>03</v>
          </cell>
          <cell r="B1257" t="str">
            <v>塑胶-国内外部</v>
          </cell>
          <cell r="C1257">
            <v>573.39</v>
          </cell>
        </row>
        <row r="1258">
          <cell r="A1258" t="str">
            <v>03</v>
          </cell>
          <cell r="B1258" t="str">
            <v>塑胶-国内外部</v>
          </cell>
          <cell r="C1258">
            <v>63.6</v>
          </cell>
        </row>
        <row r="1259">
          <cell r="A1259" t="str">
            <v>03</v>
          </cell>
          <cell r="B1259" t="str">
            <v>塑胶-国内外部</v>
          </cell>
          <cell r="C1259">
            <v>78.959999999999994</v>
          </cell>
        </row>
        <row r="1260">
          <cell r="A1260" t="str">
            <v>03</v>
          </cell>
          <cell r="B1260" t="str">
            <v>塑胶-国内外部</v>
          </cell>
          <cell r="C1260">
            <v>42.49</v>
          </cell>
        </row>
        <row r="1261">
          <cell r="A1261" t="str">
            <v>03</v>
          </cell>
          <cell r="B1261" t="str">
            <v>塑胶-国内外部</v>
          </cell>
          <cell r="C1261">
            <v>36.369999999999997</v>
          </cell>
        </row>
        <row r="1262">
          <cell r="A1262" t="str">
            <v>03</v>
          </cell>
          <cell r="B1262" t="str">
            <v>塑胶-国内外部</v>
          </cell>
          <cell r="C1262">
            <v>940.44</v>
          </cell>
        </row>
        <row r="1263">
          <cell r="A1263" t="str">
            <v>03</v>
          </cell>
          <cell r="B1263" t="str">
            <v>塑胶-国内外部</v>
          </cell>
          <cell r="C1263">
            <v>419.29</v>
          </cell>
        </row>
        <row r="1264">
          <cell r="A1264" t="str">
            <v>03</v>
          </cell>
          <cell r="B1264" t="str">
            <v>塑胶-国内外部</v>
          </cell>
          <cell r="C1264">
            <v>1040.04</v>
          </cell>
        </row>
        <row r="1265">
          <cell r="A1265" t="str">
            <v>03</v>
          </cell>
          <cell r="B1265" t="str">
            <v>塑胶-国内外部</v>
          </cell>
          <cell r="C1265">
            <v>649.15</v>
          </cell>
        </row>
        <row r="1266">
          <cell r="A1266" t="str">
            <v>03</v>
          </cell>
          <cell r="B1266" t="str">
            <v>卷钢-国内内部</v>
          </cell>
          <cell r="C1266">
            <v>85.96</v>
          </cell>
        </row>
        <row r="1267">
          <cell r="A1267" t="str">
            <v>03</v>
          </cell>
          <cell r="B1267" t="str">
            <v>塑胶-国内外部</v>
          </cell>
          <cell r="C1267">
            <v>18.75</v>
          </cell>
        </row>
        <row r="1268">
          <cell r="A1268" t="str">
            <v>03</v>
          </cell>
          <cell r="B1268" t="str">
            <v>塑胶-国内外部</v>
          </cell>
          <cell r="C1268">
            <v>17.46</v>
          </cell>
        </row>
        <row r="1269">
          <cell r="A1269" t="str">
            <v>03</v>
          </cell>
          <cell r="B1269" t="str">
            <v>塑胶-国内外部</v>
          </cell>
          <cell r="C1269">
            <v>20.61</v>
          </cell>
        </row>
        <row r="1270">
          <cell r="A1270" t="str">
            <v>03</v>
          </cell>
          <cell r="B1270" t="str">
            <v>塑胶-国内外部</v>
          </cell>
          <cell r="C1270">
            <v>18.05</v>
          </cell>
        </row>
        <row r="1271">
          <cell r="A1271" t="str">
            <v>03</v>
          </cell>
          <cell r="B1271" t="str">
            <v>塑胶-国内外部</v>
          </cell>
          <cell r="C1271">
            <v>259.07</v>
          </cell>
        </row>
        <row r="1272">
          <cell r="A1272" t="str">
            <v>03</v>
          </cell>
          <cell r="B1272" t="str">
            <v>塑胶-国内外部</v>
          </cell>
          <cell r="C1272">
            <v>192.06</v>
          </cell>
        </row>
        <row r="1273">
          <cell r="A1273" t="str">
            <v>03</v>
          </cell>
          <cell r="B1273" t="str">
            <v>塑胶-国内外部</v>
          </cell>
          <cell r="C1273">
            <v>42</v>
          </cell>
        </row>
        <row r="1274">
          <cell r="A1274" t="str">
            <v>03</v>
          </cell>
          <cell r="B1274" t="str">
            <v>塑胶-国内外部</v>
          </cell>
          <cell r="C1274">
            <v>272.54000000000002</v>
          </cell>
        </row>
        <row r="1275">
          <cell r="A1275" t="str">
            <v>03</v>
          </cell>
          <cell r="B1275" t="str">
            <v>塑胶-国内外部</v>
          </cell>
          <cell r="C1275">
            <v>39.17</v>
          </cell>
        </row>
        <row r="1276">
          <cell r="A1276" t="str">
            <v>03</v>
          </cell>
          <cell r="B1276" t="str">
            <v>塑胶-国内外部</v>
          </cell>
          <cell r="C1276">
            <v>31.47</v>
          </cell>
        </row>
        <row r="1277">
          <cell r="A1277" t="str">
            <v>03</v>
          </cell>
          <cell r="B1277" t="str">
            <v>塑胶-国内外部</v>
          </cell>
          <cell r="C1277">
            <v>85.32</v>
          </cell>
        </row>
        <row r="1278">
          <cell r="A1278" t="str">
            <v>03</v>
          </cell>
          <cell r="B1278" t="str">
            <v>塑胶-国外内部</v>
          </cell>
          <cell r="C1278">
            <v>92.06</v>
          </cell>
        </row>
        <row r="1279">
          <cell r="A1279" t="str">
            <v>03</v>
          </cell>
          <cell r="B1279" t="str">
            <v>塑胶-国外内部</v>
          </cell>
          <cell r="C1279">
            <v>93.09</v>
          </cell>
        </row>
        <row r="1280">
          <cell r="A1280" t="str">
            <v>03</v>
          </cell>
          <cell r="B1280" t="str">
            <v>塑胶-国外内部</v>
          </cell>
          <cell r="C1280">
            <v>90.61</v>
          </cell>
        </row>
        <row r="1281">
          <cell r="A1281" t="str">
            <v>03</v>
          </cell>
          <cell r="B1281" t="str">
            <v>塑胶-国外内部</v>
          </cell>
          <cell r="C1281">
            <v>15.16</v>
          </cell>
        </row>
        <row r="1282">
          <cell r="A1282" t="str">
            <v>03</v>
          </cell>
          <cell r="B1282" t="str">
            <v>塑胶-国外内部</v>
          </cell>
          <cell r="C1282">
            <v>20.75</v>
          </cell>
        </row>
        <row r="1283">
          <cell r="A1283" t="str">
            <v>03</v>
          </cell>
          <cell r="B1283" t="str">
            <v>塑胶-国外内部</v>
          </cell>
          <cell r="C1283">
            <v>815.99</v>
          </cell>
        </row>
        <row r="1284">
          <cell r="A1284" t="str">
            <v>03</v>
          </cell>
          <cell r="B1284" t="str">
            <v>塑胶-国外内部</v>
          </cell>
          <cell r="C1284">
            <v>4982.07</v>
          </cell>
        </row>
        <row r="1285">
          <cell r="A1285" t="str">
            <v>03</v>
          </cell>
          <cell r="B1285" t="str">
            <v>塑胶-国外内部</v>
          </cell>
          <cell r="C1285">
            <v>21.33</v>
          </cell>
        </row>
        <row r="1286">
          <cell r="A1286" t="str">
            <v>03</v>
          </cell>
          <cell r="B1286" t="str">
            <v>卷钢-国内外部</v>
          </cell>
          <cell r="C1286">
            <v>87.12</v>
          </cell>
        </row>
        <row r="1287">
          <cell r="A1287" t="str">
            <v>03</v>
          </cell>
          <cell r="B1287" t="str">
            <v>塑胶-国内外部</v>
          </cell>
          <cell r="C1287">
            <v>37.880000000000003</v>
          </cell>
        </row>
        <row r="1288">
          <cell r="A1288" t="str">
            <v>03</v>
          </cell>
          <cell r="B1288" t="str">
            <v>塑胶-国内外部</v>
          </cell>
          <cell r="C1288">
            <v>34.92</v>
          </cell>
        </row>
        <row r="1289">
          <cell r="A1289" t="str">
            <v>03</v>
          </cell>
          <cell r="B1289" t="str">
            <v>塑胶-国内外部</v>
          </cell>
          <cell r="C1289">
            <v>36.840000000000003</v>
          </cell>
        </row>
        <row r="1290">
          <cell r="A1290" t="str">
            <v>03</v>
          </cell>
          <cell r="B1290" t="str">
            <v>塑胶-国内外部</v>
          </cell>
          <cell r="C1290">
            <v>208.42</v>
          </cell>
        </row>
        <row r="1291">
          <cell r="A1291" t="str">
            <v>03</v>
          </cell>
          <cell r="B1291" t="str">
            <v>塑胶-国内外部</v>
          </cell>
          <cell r="C1291">
            <v>22.82</v>
          </cell>
        </row>
        <row r="1292">
          <cell r="A1292" t="str">
            <v>03</v>
          </cell>
          <cell r="B1292" t="str">
            <v>塑胶-国内外部</v>
          </cell>
          <cell r="C1292">
            <v>21.24</v>
          </cell>
        </row>
        <row r="1293">
          <cell r="A1293" t="str">
            <v>03</v>
          </cell>
          <cell r="B1293" t="str">
            <v>塑胶-国内外部</v>
          </cell>
          <cell r="C1293">
            <v>19.93</v>
          </cell>
        </row>
        <row r="1294">
          <cell r="A1294" t="str">
            <v>03</v>
          </cell>
          <cell r="B1294" t="str">
            <v>塑胶-国内外部</v>
          </cell>
          <cell r="C1294">
            <v>19.670000000000002</v>
          </cell>
        </row>
        <row r="1295">
          <cell r="A1295" t="str">
            <v>03</v>
          </cell>
          <cell r="B1295" t="str">
            <v>卷钢-国内外部</v>
          </cell>
          <cell r="C1295">
            <v>95.62</v>
          </cell>
        </row>
        <row r="1296">
          <cell r="A1296" t="str">
            <v>03</v>
          </cell>
          <cell r="B1296" t="str">
            <v>塑胶-国内外部</v>
          </cell>
          <cell r="C1296">
            <v>259.16000000000003</v>
          </cell>
        </row>
        <row r="1297">
          <cell r="A1297" t="str">
            <v>03</v>
          </cell>
          <cell r="B1297" t="str">
            <v>塑胶-国内外部</v>
          </cell>
          <cell r="C1297">
            <v>34.92</v>
          </cell>
        </row>
        <row r="1298">
          <cell r="A1298" t="str">
            <v>03</v>
          </cell>
          <cell r="B1298" t="str">
            <v>塑胶-国内外部</v>
          </cell>
          <cell r="C1298">
            <v>121.1</v>
          </cell>
        </row>
        <row r="1299">
          <cell r="A1299" t="str">
            <v>03</v>
          </cell>
          <cell r="B1299" t="str">
            <v>塑胶-国内外部</v>
          </cell>
          <cell r="C1299">
            <v>306</v>
          </cell>
        </row>
        <row r="1300">
          <cell r="A1300" t="str">
            <v>03</v>
          </cell>
          <cell r="B1300" t="str">
            <v>塑胶-国内外部</v>
          </cell>
          <cell r="C1300">
            <v>169.6</v>
          </cell>
        </row>
        <row r="1301">
          <cell r="A1301" t="str">
            <v>03</v>
          </cell>
          <cell r="B1301" t="str">
            <v>塑胶-国内外部</v>
          </cell>
          <cell r="C1301">
            <v>103.06</v>
          </cell>
        </row>
        <row r="1302">
          <cell r="A1302" t="str">
            <v>03</v>
          </cell>
          <cell r="B1302" t="str">
            <v>塑胶-国内外部</v>
          </cell>
          <cell r="C1302">
            <v>157.91</v>
          </cell>
        </row>
        <row r="1303">
          <cell r="A1303" t="str">
            <v>03</v>
          </cell>
          <cell r="B1303" t="str">
            <v>塑胶-国内外部</v>
          </cell>
          <cell r="C1303">
            <v>37.82</v>
          </cell>
        </row>
        <row r="1304">
          <cell r="A1304" t="str">
            <v>03</v>
          </cell>
          <cell r="B1304" t="str">
            <v>塑胶-国内外部</v>
          </cell>
          <cell r="C1304">
            <v>229.26</v>
          </cell>
        </row>
        <row r="1305">
          <cell r="A1305" t="str">
            <v>03</v>
          </cell>
          <cell r="B1305" t="str">
            <v>塑胶-国内外部</v>
          </cell>
          <cell r="C1305">
            <v>201.52</v>
          </cell>
        </row>
        <row r="1306">
          <cell r="A1306" t="str">
            <v>03</v>
          </cell>
          <cell r="B1306" t="str">
            <v>塑胶-国外内部</v>
          </cell>
          <cell r="C1306">
            <v>91.62</v>
          </cell>
        </row>
        <row r="1307">
          <cell r="A1307" t="str">
            <v>03</v>
          </cell>
          <cell r="B1307" t="str">
            <v>塑胶-国外内部</v>
          </cell>
          <cell r="C1307">
            <v>87.3</v>
          </cell>
        </row>
        <row r="1308">
          <cell r="A1308" t="str">
            <v>03</v>
          </cell>
          <cell r="B1308" t="str">
            <v>塑胶-国内外部</v>
          </cell>
          <cell r="C1308">
            <v>107.47</v>
          </cell>
        </row>
        <row r="1309">
          <cell r="A1309" t="str">
            <v>03</v>
          </cell>
          <cell r="B1309" t="str">
            <v>塑胶-国内外部</v>
          </cell>
          <cell r="C1309">
            <v>261.89</v>
          </cell>
        </row>
        <row r="1310">
          <cell r="A1310" t="str">
            <v>03</v>
          </cell>
          <cell r="B1310" t="str">
            <v>塑胶-国内外部</v>
          </cell>
          <cell r="C1310">
            <v>173</v>
          </cell>
        </row>
        <row r="1311">
          <cell r="A1311" t="str">
            <v>03</v>
          </cell>
          <cell r="B1311" t="str">
            <v>塑胶-国内外部</v>
          </cell>
          <cell r="C1311">
            <v>416.84</v>
          </cell>
        </row>
        <row r="1312">
          <cell r="A1312" t="str">
            <v>03</v>
          </cell>
          <cell r="B1312" t="str">
            <v>塑胶-国内外部</v>
          </cell>
          <cell r="C1312">
            <v>42.49</v>
          </cell>
        </row>
        <row r="1313">
          <cell r="A1313" t="str">
            <v>03</v>
          </cell>
          <cell r="B1313" t="str">
            <v>塑胶-国内外部</v>
          </cell>
          <cell r="C1313">
            <v>223.91</v>
          </cell>
        </row>
        <row r="1314">
          <cell r="A1314" t="str">
            <v>03</v>
          </cell>
          <cell r="B1314" t="str">
            <v>卷钢-国内外部</v>
          </cell>
          <cell r="C1314">
            <v>18.329999999999998</v>
          </cell>
        </row>
        <row r="1315">
          <cell r="A1315" t="str">
            <v>03</v>
          </cell>
          <cell r="B1315" t="str">
            <v>塑胶-国内外部</v>
          </cell>
          <cell r="C1315">
            <v>145.57</v>
          </cell>
        </row>
        <row r="1316">
          <cell r="A1316" t="str">
            <v>03</v>
          </cell>
          <cell r="B1316" t="str">
            <v>卷钢-国内外部</v>
          </cell>
          <cell r="C1316">
            <v>191.25</v>
          </cell>
        </row>
        <row r="1317">
          <cell r="A1317" t="str">
            <v>03</v>
          </cell>
          <cell r="B1317" t="str">
            <v>塑胶-国内外部</v>
          </cell>
          <cell r="C1317">
            <v>18.420000000000002</v>
          </cell>
        </row>
        <row r="1318">
          <cell r="A1318" t="str">
            <v>03</v>
          </cell>
          <cell r="B1318" t="str">
            <v>塑胶-国内外部</v>
          </cell>
          <cell r="C1318">
            <v>84.8</v>
          </cell>
        </row>
        <row r="1319">
          <cell r="A1319" t="str">
            <v>03</v>
          </cell>
          <cell r="B1319" t="str">
            <v>塑胶-国外内部</v>
          </cell>
          <cell r="C1319">
            <v>92.06</v>
          </cell>
        </row>
        <row r="1320">
          <cell r="A1320" t="str">
            <v>03</v>
          </cell>
          <cell r="B1320" t="str">
            <v>塑胶-国外内部</v>
          </cell>
          <cell r="C1320">
            <v>558.55999999999995</v>
          </cell>
        </row>
        <row r="1321">
          <cell r="A1321" t="str">
            <v>03</v>
          </cell>
          <cell r="B1321" t="str">
            <v>塑胶-国外内部</v>
          </cell>
          <cell r="C1321">
            <v>543.67999999999995</v>
          </cell>
        </row>
        <row r="1322">
          <cell r="A1322" t="str">
            <v>03</v>
          </cell>
          <cell r="B1322" t="str">
            <v>塑胶-国外内部</v>
          </cell>
          <cell r="C1322">
            <v>444.28</v>
          </cell>
        </row>
        <row r="1323">
          <cell r="A1323" t="str">
            <v>03</v>
          </cell>
          <cell r="B1323" t="str">
            <v>塑胶-国外内部</v>
          </cell>
          <cell r="C1323">
            <v>417.46</v>
          </cell>
        </row>
        <row r="1324">
          <cell r="A1324" t="str">
            <v>03</v>
          </cell>
          <cell r="B1324" t="str">
            <v>塑胶-国外内部</v>
          </cell>
          <cell r="C1324">
            <v>208.08</v>
          </cell>
        </row>
        <row r="1325">
          <cell r="A1325" t="str">
            <v>03</v>
          </cell>
          <cell r="B1325" t="str">
            <v>塑胶-国外内部</v>
          </cell>
          <cell r="C1325">
            <v>55.26</v>
          </cell>
        </row>
        <row r="1326">
          <cell r="A1326" t="str">
            <v>03</v>
          </cell>
          <cell r="B1326" t="str">
            <v>塑胶-国外内部</v>
          </cell>
          <cell r="C1326">
            <v>332.37</v>
          </cell>
        </row>
        <row r="1327">
          <cell r="A1327" t="str">
            <v>03</v>
          </cell>
          <cell r="B1327" t="str">
            <v>塑胶-国外内部</v>
          </cell>
          <cell r="C1327">
            <v>873.63</v>
          </cell>
        </row>
        <row r="1328">
          <cell r="A1328" t="str">
            <v>03</v>
          </cell>
          <cell r="B1328" t="str">
            <v>塑胶-国外内部</v>
          </cell>
          <cell r="C1328">
            <v>137.66</v>
          </cell>
        </row>
        <row r="1329">
          <cell r="A1329" t="str">
            <v>03</v>
          </cell>
          <cell r="B1329" t="str">
            <v>塑胶-国外内部</v>
          </cell>
          <cell r="C1329">
            <v>295.07</v>
          </cell>
        </row>
        <row r="1330">
          <cell r="A1330" t="str">
            <v>03</v>
          </cell>
          <cell r="B1330" t="str">
            <v>塑胶-国内外部</v>
          </cell>
          <cell r="C1330">
            <v>261.89</v>
          </cell>
        </row>
        <row r="1331">
          <cell r="A1331" t="str">
            <v>03</v>
          </cell>
          <cell r="B1331" t="str">
            <v>塑胶-国内外部</v>
          </cell>
          <cell r="C1331">
            <v>184.2</v>
          </cell>
        </row>
        <row r="1332">
          <cell r="A1332" t="str">
            <v>03</v>
          </cell>
          <cell r="B1332" t="str">
            <v>塑胶-国内外部</v>
          </cell>
          <cell r="C1332">
            <v>276.29000000000002</v>
          </cell>
        </row>
        <row r="1333">
          <cell r="A1333" t="str">
            <v>03</v>
          </cell>
          <cell r="B1333" t="str">
            <v>塑胶-国内外部</v>
          </cell>
          <cell r="C1333">
            <v>37.909999999999997</v>
          </cell>
        </row>
        <row r="1334">
          <cell r="A1334" t="str">
            <v>03</v>
          </cell>
          <cell r="B1334" t="str">
            <v>塑胶-国内外部</v>
          </cell>
          <cell r="C1334">
            <v>42.8</v>
          </cell>
        </row>
        <row r="1335">
          <cell r="A1335" t="str">
            <v>03</v>
          </cell>
          <cell r="B1335" t="str">
            <v>塑胶-国内外部</v>
          </cell>
          <cell r="C1335">
            <v>40.799999999999997</v>
          </cell>
        </row>
        <row r="1336">
          <cell r="A1336" t="str">
            <v>03</v>
          </cell>
          <cell r="B1336" t="str">
            <v>塑胶-国内外部</v>
          </cell>
          <cell r="C1336">
            <v>185.51</v>
          </cell>
        </row>
        <row r="1337">
          <cell r="A1337" t="str">
            <v>03</v>
          </cell>
          <cell r="B1337" t="str">
            <v>塑胶-国内外部</v>
          </cell>
          <cell r="C1337">
            <v>109.94</v>
          </cell>
        </row>
        <row r="1338">
          <cell r="A1338" t="str">
            <v>03</v>
          </cell>
          <cell r="B1338" t="str">
            <v>塑胶-国内外部</v>
          </cell>
          <cell r="C1338">
            <v>386.17</v>
          </cell>
        </row>
        <row r="1339">
          <cell r="A1339" t="str">
            <v>03</v>
          </cell>
          <cell r="B1339" t="str">
            <v>塑胶-国外内部</v>
          </cell>
          <cell r="C1339">
            <v>19</v>
          </cell>
        </row>
        <row r="1340">
          <cell r="A1340" t="str">
            <v>03</v>
          </cell>
          <cell r="B1340" t="str">
            <v>塑胶-国外内部</v>
          </cell>
          <cell r="C1340">
            <v>20.75</v>
          </cell>
        </row>
        <row r="1341">
          <cell r="A1341" t="str">
            <v>03</v>
          </cell>
          <cell r="B1341" t="str">
            <v>塑胶-国内外部</v>
          </cell>
          <cell r="C1341">
            <v>-19.64</v>
          </cell>
        </row>
        <row r="1342">
          <cell r="A1342" t="str">
            <v>03</v>
          </cell>
          <cell r="B1342" t="str">
            <v>塑胶-国内外部</v>
          </cell>
          <cell r="C1342">
            <v>3.81</v>
          </cell>
        </row>
        <row r="1343">
          <cell r="A1343" t="str">
            <v>03</v>
          </cell>
          <cell r="B1343" t="str">
            <v>塑胶-国内外部</v>
          </cell>
          <cell r="C1343">
            <v>-20.84</v>
          </cell>
        </row>
        <row r="1344">
          <cell r="A1344" t="str">
            <v>03</v>
          </cell>
          <cell r="B1344" t="str">
            <v>塑胶-国内外部</v>
          </cell>
          <cell r="C1344">
            <v>185.12</v>
          </cell>
        </row>
        <row r="1345">
          <cell r="A1345" t="str">
            <v>03</v>
          </cell>
          <cell r="B1345" t="str">
            <v>塑胶-国内外部</v>
          </cell>
          <cell r="C1345">
            <v>52.37</v>
          </cell>
        </row>
        <row r="1346">
          <cell r="A1346" t="str">
            <v>03</v>
          </cell>
          <cell r="B1346" t="str">
            <v>塑胶-国内外部</v>
          </cell>
          <cell r="C1346">
            <v>103.8</v>
          </cell>
        </row>
        <row r="1347">
          <cell r="A1347" t="str">
            <v>03</v>
          </cell>
          <cell r="B1347" t="str">
            <v>塑胶-国内外部</v>
          </cell>
          <cell r="C1347">
            <v>22</v>
          </cell>
        </row>
        <row r="1348">
          <cell r="A1348" t="str">
            <v>03</v>
          </cell>
          <cell r="B1348" t="str">
            <v>塑胶-国内外部</v>
          </cell>
          <cell r="C1348">
            <v>20.61</v>
          </cell>
        </row>
        <row r="1349">
          <cell r="A1349" t="str">
            <v>03</v>
          </cell>
          <cell r="B1349" t="str">
            <v>塑胶-国内外部</v>
          </cell>
          <cell r="C1349">
            <v>118.44</v>
          </cell>
        </row>
        <row r="1350">
          <cell r="A1350" t="str">
            <v>03</v>
          </cell>
          <cell r="B1350" t="str">
            <v>塑胶-国内外部</v>
          </cell>
          <cell r="C1350">
            <v>86.56</v>
          </cell>
        </row>
        <row r="1351">
          <cell r="A1351" t="str">
            <v>03</v>
          </cell>
          <cell r="B1351" t="str">
            <v>塑胶-国内外部</v>
          </cell>
          <cell r="C1351">
            <v>293.17</v>
          </cell>
        </row>
        <row r="1352">
          <cell r="A1352" t="str">
            <v>03</v>
          </cell>
          <cell r="B1352" t="str">
            <v>塑胶-国内外部</v>
          </cell>
          <cell r="C1352">
            <v>628.54999999999995</v>
          </cell>
        </row>
        <row r="1353">
          <cell r="A1353" t="str">
            <v>03</v>
          </cell>
          <cell r="B1353" t="str">
            <v>塑胶-国内外部</v>
          </cell>
          <cell r="C1353">
            <v>-54</v>
          </cell>
        </row>
        <row r="1354">
          <cell r="A1354" t="str">
            <v>03</v>
          </cell>
          <cell r="B1354" t="str">
            <v>塑胶-国内外部</v>
          </cell>
          <cell r="C1354">
            <v>-174.6</v>
          </cell>
        </row>
        <row r="1355">
          <cell r="A1355" t="str">
            <v>03</v>
          </cell>
          <cell r="B1355" t="str">
            <v>塑胶-国内外部</v>
          </cell>
          <cell r="C1355">
            <v>331.56</v>
          </cell>
        </row>
        <row r="1356">
          <cell r="A1356" t="str">
            <v>03</v>
          </cell>
          <cell r="B1356" t="str">
            <v>塑胶-国内外部</v>
          </cell>
          <cell r="C1356">
            <v>104.21</v>
          </cell>
        </row>
        <row r="1357">
          <cell r="A1357" t="str">
            <v>03</v>
          </cell>
          <cell r="B1357" t="str">
            <v>塑胶-国内外部</v>
          </cell>
          <cell r="C1357">
            <v>26.63</v>
          </cell>
        </row>
        <row r="1358">
          <cell r="A1358" t="str">
            <v>03</v>
          </cell>
          <cell r="B1358" t="str">
            <v>塑胶-国内外部</v>
          </cell>
          <cell r="C1358">
            <v>94.77</v>
          </cell>
        </row>
        <row r="1359">
          <cell r="A1359" t="str">
            <v>03</v>
          </cell>
          <cell r="B1359" t="str">
            <v>塑胶-国内外部</v>
          </cell>
          <cell r="C1359">
            <v>85.6</v>
          </cell>
        </row>
        <row r="1360">
          <cell r="A1360" t="str">
            <v>03</v>
          </cell>
          <cell r="B1360" t="str">
            <v>塑胶-国内外部</v>
          </cell>
          <cell r="C1360">
            <v>-56.8</v>
          </cell>
        </row>
        <row r="1361">
          <cell r="A1361" t="str">
            <v>03</v>
          </cell>
          <cell r="B1361" t="str">
            <v>塑胶-国内外部</v>
          </cell>
          <cell r="C1361">
            <v>81.599999999999994</v>
          </cell>
        </row>
        <row r="1362">
          <cell r="A1362" t="str">
            <v>03</v>
          </cell>
          <cell r="B1362" t="str">
            <v>塑胶-国内外部</v>
          </cell>
          <cell r="C1362">
            <v>-162</v>
          </cell>
        </row>
        <row r="1363">
          <cell r="A1363" t="str">
            <v>03</v>
          </cell>
          <cell r="B1363" t="str">
            <v>塑胶-国内外部</v>
          </cell>
          <cell r="C1363">
            <v>-126</v>
          </cell>
        </row>
        <row r="1364">
          <cell r="A1364" t="str">
            <v>03</v>
          </cell>
          <cell r="B1364" t="str">
            <v>塑胶-国内外部</v>
          </cell>
          <cell r="C1364">
            <v>-144</v>
          </cell>
        </row>
        <row r="1365">
          <cell r="A1365" t="str">
            <v>03</v>
          </cell>
          <cell r="B1365" t="str">
            <v>塑胶-国内外部</v>
          </cell>
          <cell r="C1365">
            <v>195.85</v>
          </cell>
        </row>
        <row r="1366">
          <cell r="A1366" t="str">
            <v>03</v>
          </cell>
          <cell r="B1366" t="str">
            <v>塑胶-国内外部</v>
          </cell>
          <cell r="C1366">
            <v>202.88</v>
          </cell>
        </row>
        <row r="1367">
          <cell r="A1367" t="str">
            <v>03</v>
          </cell>
          <cell r="B1367" t="str">
            <v>塑胶-国内外部</v>
          </cell>
          <cell r="C1367">
            <v>-342</v>
          </cell>
        </row>
        <row r="1368">
          <cell r="A1368" t="str">
            <v>03</v>
          </cell>
          <cell r="B1368" t="str">
            <v>塑胶-国内外部</v>
          </cell>
          <cell r="C1368">
            <v>19.66</v>
          </cell>
        </row>
        <row r="1369">
          <cell r="A1369" t="str">
            <v>03</v>
          </cell>
          <cell r="B1369" t="str">
            <v>塑胶-国内外部</v>
          </cell>
          <cell r="C1369">
            <v>157.38999999999999</v>
          </cell>
        </row>
        <row r="1370">
          <cell r="A1370" t="str">
            <v>03</v>
          </cell>
          <cell r="B1370" t="str">
            <v>塑胶-国内外部</v>
          </cell>
          <cell r="C1370">
            <v>4.3</v>
          </cell>
        </row>
        <row r="1371">
          <cell r="A1371" t="str">
            <v>03</v>
          </cell>
          <cell r="B1371" t="str">
            <v>塑胶-国内外部</v>
          </cell>
          <cell r="C1371">
            <v>17.46</v>
          </cell>
        </row>
        <row r="1372">
          <cell r="A1372" t="str">
            <v>03</v>
          </cell>
          <cell r="B1372" t="str">
            <v>塑胶-国内外部</v>
          </cell>
          <cell r="C1372">
            <v>19.64</v>
          </cell>
        </row>
        <row r="1373">
          <cell r="A1373" t="str">
            <v>03</v>
          </cell>
          <cell r="B1373" t="str">
            <v>塑胶-国内外部</v>
          </cell>
          <cell r="C1373">
            <v>20.84</v>
          </cell>
        </row>
        <row r="1374">
          <cell r="A1374" t="str">
            <v>03</v>
          </cell>
          <cell r="B1374" t="str">
            <v>塑胶-国内外部</v>
          </cell>
          <cell r="C1374">
            <v>7.6</v>
          </cell>
        </row>
        <row r="1375">
          <cell r="A1375" t="str">
            <v>03</v>
          </cell>
          <cell r="B1375" t="str">
            <v>塑胶-国内外部</v>
          </cell>
          <cell r="C1375">
            <v>84.8</v>
          </cell>
        </row>
        <row r="1376">
          <cell r="A1376" t="str">
            <v>03</v>
          </cell>
          <cell r="B1376" t="str">
            <v>塑胶-国内外部</v>
          </cell>
          <cell r="C1376">
            <v>8.7899999999999991</v>
          </cell>
        </row>
        <row r="1377">
          <cell r="A1377" t="str">
            <v>03</v>
          </cell>
          <cell r="B1377" t="str">
            <v>塑胶-国内外部</v>
          </cell>
          <cell r="C1377">
            <v>322.33999999999997</v>
          </cell>
        </row>
        <row r="1378">
          <cell r="A1378" t="str">
            <v>03</v>
          </cell>
          <cell r="B1378" t="str">
            <v>塑胶-国内外部</v>
          </cell>
          <cell r="C1378">
            <v>127.99</v>
          </cell>
        </row>
        <row r="1379">
          <cell r="A1379" t="str">
            <v>03</v>
          </cell>
          <cell r="B1379" t="str">
            <v>塑胶-国内外部</v>
          </cell>
          <cell r="C1379">
            <v>214.94</v>
          </cell>
        </row>
        <row r="1380">
          <cell r="A1380" t="str">
            <v>03</v>
          </cell>
          <cell r="B1380" t="str">
            <v>塑胶-国内外部</v>
          </cell>
          <cell r="C1380">
            <v>453.96</v>
          </cell>
        </row>
        <row r="1381">
          <cell r="A1381" t="str">
            <v>03</v>
          </cell>
          <cell r="B1381" t="str">
            <v>塑胶-国内外部</v>
          </cell>
          <cell r="C1381">
            <v>534.16999999999996</v>
          </cell>
        </row>
        <row r="1382">
          <cell r="A1382" t="str">
            <v>03</v>
          </cell>
          <cell r="B1382" t="str">
            <v>塑胶-国内外部</v>
          </cell>
          <cell r="C1382">
            <v>764.52</v>
          </cell>
        </row>
        <row r="1383">
          <cell r="A1383" t="str">
            <v>03</v>
          </cell>
          <cell r="B1383" t="str">
            <v>塑胶-国内外部</v>
          </cell>
          <cell r="C1383">
            <v>38.04</v>
          </cell>
        </row>
        <row r="1384">
          <cell r="A1384" t="str">
            <v>03</v>
          </cell>
          <cell r="B1384" t="str">
            <v>塑胶-国内外部</v>
          </cell>
          <cell r="C1384">
            <v>106.22</v>
          </cell>
        </row>
        <row r="1385">
          <cell r="A1385" t="str">
            <v>03</v>
          </cell>
          <cell r="B1385" t="str">
            <v>塑胶-国内外部</v>
          </cell>
          <cell r="C1385">
            <v>918.04</v>
          </cell>
        </row>
        <row r="1386">
          <cell r="A1386" t="str">
            <v>03</v>
          </cell>
          <cell r="B1386" t="str">
            <v>塑胶-国内外部</v>
          </cell>
          <cell r="C1386">
            <v>1456.07</v>
          </cell>
        </row>
        <row r="1387">
          <cell r="A1387" t="str">
            <v>03</v>
          </cell>
          <cell r="B1387" t="str">
            <v>塑胶-国内外部</v>
          </cell>
          <cell r="C1387">
            <v>19.93</v>
          </cell>
        </row>
        <row r="1388">
          <cell r="A1388" t="str">
            <v>03</v>
          </cell>
          <cell r="B1388" t="str">
            <v>塑胶-国内外部</v>
          </cell>
          <cell r="C1388">
            <v>688.49</v>
          </cell>
        </row>
        <row r="1389">
          <cell r="A1389" t="str">
            <v>03</v>
          </cell>
          <cell r="B1389" t="str">
            <v>塑胶-国内外部</v>
          </cell>
          <cell r="C1389">
            <v>85.98</v>
          </cell>
        </row>
        <row r="1390">
          <cell r="A1390" t="str">
            <v>03</v>
          </cell>
          <cell r="B1390" t="str">
            <v>塑胶-国内外部</v>
          </cell>
          <cell r="C1390">
            <v>176.72</v>
          </cell>
        </row>
        <row r="1391">
          <cell r="A1391" t="str">
            <v>03</v>
          </cell>
          <cell r="B1391" t="str">
            <v>塑胶-国内外部</v>
          </cell>
          <cell r="C1391">
            <v>287.10000000000002</v>
          </cell>
        </row>
        <row r="1392">
          <cell r="A1392" t="str">
            <v>03</v>
          </cell>
          <cell r="B1392" t="str">
            <v>塑胶-国内外部</v>
          </cell>
          <cell r="C1392">
            <v>-42</v>
          </cell>
        </row>
        <row r="1393">
          <cell r="A1393" t="str">
            <v>03</v>
          </cell>
          <cell r="B1393" t="str">
            <v>塑胶-国内外部</v>
          </cell>
          <cell r="C1393">
            <v>42.49</v>
          </cell>
        </row>
        <row r="1394">
          <cell r="A1394" t="str">
            <v>03</v>
          </cell>
          <cell r="B1394" t="str">
            <v>塑胶-国内外部</v>
          </cell>
          <cell r="C1394">
            <v>179.14</v>
          </cell>
        </row>
        <row r="1395">
          <cell r="A1395" t="str">
            <v>03</v>
          </cell>
          <cell r="B1395" t="str">
            <v>卷钢-国内外部</v>
          </cell>
          <cell r="C1395">
            <v>876.96</v>
          </cell>
        </row>
        <row r="1396">
          <cell r="A1396" t="str">
            <v>03</v>
          </cell>
          <cell r="B1396" t="str">
            <v>塑胶-国内外部</v>
          </cell>
          <cell r="C1396">
            <v>-84.8</v>
          </cell>
        </row>
        <row r="1397">
          <cell r="A1397" t="str">
            <v>03</v>
          </cell>
          <cell r="B1397" t="str">
            <v>塑胶-国外内部</v>
          </cell>
          <cell r="C1397">
            <v>3.74</v>
          </cell>
        </row>
        <row r="1398">
          <cell r="A1398" t="str">
            <v>03</v>
          </cell>
          <cell r="B1398" t="str">
            <v>塑胶-国外内部</v>
          </cell>
          <cell r="C1398">
            <v>937.12</v>
          </cell>
        </row>
        <row r="1399">
          <cell r="A1399" t="str">
            <v>03</v>
          </cell>
          <cell r="B1399" t="str">
            <v>塑胶-国内外部</v>
          </cell>
          <cell r="C1399">
            <v>380.57</v>
          </cell>
        </row>
        <row r="1400">
          <cell r="A1400" t="str">
            <v>03</v>
          </cell>
          <cell r="B1400" t="str">
            <v>塑胶-国内外部</v>
          </cell>
          <cell r="C1400">
            <v>384.79</v>
          </cell>
        </row>
        <row r="1401">
          <cell r="A1401" t="str">
            <v>03</v>
          </cell>
          <cell r="B1401" t="str">
            <v>塑胶-国内外部</v>
          </cell>
          <cell r="C1401">
            <v>55.53</v>
          </cell>
        </row>
        <row r="1402">
          <cell r="A1402" t="str">
            <v>03</v>
          </cell>
          <cell r="B1402" t="str">
            <v>塑胶-国内外部</v>
          </cell>
          <cell r="C1402">
            <v>488.87</v>
          </cell>
        </row>
        <row r="1403">
          <cell r="A1403" t="str">
            <v>03</v>
          </cell>
          <cell r="B1403" t="str">
            <v>塑胶-国内外部</v>
          </cell>
          <cell r="C1403">
            <v>34.6</v>
          </cell>
        </row>
        <row r="1404">
          <cell r="A1404" t="str">
            <v>03</v>
          </cell>
          <cell r="B1404" t="str">
            <v>塑胶-国内外部</v>
          </cell>
          <cell r="C1404">
            <v>4273.3500000000004</v>
          </cell>
        </row>
        <row r="1405">
          <cell r="A1405" t="str">
            <v>03</v>
          </cell>
          <cell r="B1405" t="str">
            <v>塑胶-国内外部</v>
          </cell>
          <cell r="C1405">
            <v>957</v>
          </cell>
        </row>
        <row r="1406">
          <cell r="A1406" t="str">
            <v>03</v>
          </cell>
          <cell r="B1406" t="str">
            <v>塑胶-国内外部</v>
          </cell>
          <cell r="C1406">
            <v>955.66</v>
          </cell>
        </row>
        <row r="1407">
          <cell r="A1407" t="str">
            <v>03</v>
          </cell>
          <cell r="B1407" t="str">
            <v>塑胶-国内外部</v>
          </cell>
          <cell r="C1407">
            <v>126</v>
          </cell>
        </row>
        <row r="1408">
          <cell r="A1408" t="str">
            <v>03</v>
          </cell>
          <cell r="B1408" t="str">
            <v>塑胶-国内外部</v>
          </cell>
          <cell r="C1408">
            <v>103.06</v>
          </cell>
        </row>
        <row r="1409">
          <cell r="A1409" t="str">
            <v>03</v>
          </cell>
          <cell r="B1409" t="str">
            <v>塑胶-国内外部</v>
          </cell>
          <cell r="C1409">
            <v>20.41</v>
          </cell>
        </row>
        <row r="1410">
          <cell r="A1410" t="str">
            <v>03</v>
          </cell>
          <cell r="B1410" t="str">
            <v>塑胶-国内外部</v>
          </cell>
          <cell r="C1410">
            <v>2246.48</v>
          </cell>
        </row>
        <row r="1411">
          <cell r="A1411" t="str">
            <v>03</v>
          </cell>
          <cell r="B1411" t="str">
            <v>塑胶-国内外部</v>
          </cell>
          <cell r="C1411">
            <v>586.21</v>
          </cell>
        </row>
        <row r="1412">
          <cell r="A1412" t="str">
            <v>03</v>
          </cell>
          <cell r="B1412" t="str">
            <v>塑胶-国内外部</v>
          </cell>
          <cell r="C1412">
            <v>7.66</v>
          </cell>
        </row>
        <row r="1413">
          <cell r="A1413" t="str">
            <v>03</v>
          </cell>
          <cell r="B1413" t="str">
            <v>塑胶-国内外部</v>
          </cell>
          <cell r="C1413">
            <v>85.98</v>
          </cell>
        </row>
        <row r="1414">
          <cell r="A1414" t="str">
            <v>03</v>
          </cell>
          <cell r="B1414" t="str">
            <v>塑胶-国内外部</v>
          </cell>
          <cell r="C1414">
            <v>196.38</v>
          </cell>
        </row>
        <row r="1415">
          <cell r="A1415" t="str">
            <v>03</v>
          </cell>
          <cell r="B1415" t="str">
            <v>塑胶-国内外部</v>
          </cell>
          <cell r="C1415">
            <v>84</v>
          </cell>
        </row>
        <row r="1416">
          <cell r="A1416" t="str">
            <v>03</v>
          </cell>
          <cell r="B1416" t="str">
            <v>塑胶-国内外部</v>
          </cell>
          <cell r="C1416">
            <v>106</v>
          </cell>
        </row>
        <row r="1417">
          <cell r="A1417" t="str">
            <v>03</v>
          </cell>
          <cell r="B1417" t="str">
            <v>塑胶-国内外部</v>
          </cell>
          <cell r="C1417">
            <v>42.49</v>
          </cell>
        </row>
        <row r="1418">
          <cell r="A1418" t="str">
            <v>03</v>
          </cell>
          <cell r="B1418" t="str">
            <v>塑胶-国内外部</v>
          </cell>
          <cell r="C1418">
            <v>179.13</v>
          </cell>
        </row>
        <row r="1419">
          <cell r="A1419" t="str">
            <v>03</v>
          </cell>
          <cell r="B1419" t="str">
            <v>塑胶-国内外部</v>
          </cell>
          <cell r="C1419">
            <v>97.92</v>
          </cell>
        </row>
        <row r="1420">
          <cell r="A1420" t="str">
            <v>03</v>
          </cell>
          <cell r="B1420" t="str">
            <v>塑胶-国内外部</v>
          </cell>
          <cell r="C1420">
            <v>23.61</v>
          </cell>
        </row>
        <row r="1421">
          <cell r="A1421" t="str">
            <v>03</v>
          </cell>
          <cell r="B1421" t="str">
            <v>塑胶-国外内部</v>
          </cell>
          <cell r="C1421">
            <v>69.36</v>
          </cell>
        </row>
        <row r="1422">
          <cell r="A1422" t="str">
            <v>03</v>
          </cell>
          <cell r="B1422" t="str">
            <v>塑胶-国外内部</v>
          </cell>
          <cell r="C1422">
            <v>18.420000000000002</v>
          </cell>
        </row>
        <row r="1423">
          <cell r="A1423" t="str">
            <v>03</v>
          </cell>
          <cell r="B1423" t="str">
            <v>塑胶-国外内部</v>
          </cell>
          <cell r="C1423">
            <v>19.37</v>
          </cell>
        </row>
        <row r="1424">
          <cell r="A1424" t="str">
            <v>03</v>
          </cell>
          <cell r="B1424" t="str">
            <v>塑胶-国外内部</v>
          </cell>
          <cell r="C1424">
            <v>59</v>
          </cell>
        </row>
        <row r="1425">
          <cell r="A1425" t="str">
            <v>03</v>
          </cell>
          <cell r="B1425" t="str">
            <v>塑胶-国内外部</v>
          </cell>
          <cell r="C1425">
            <v>156.06</v>
          </cell>
        </row>
        <row r="1426">
          <cell r="A1426" t="str">
            <v>03</v>
          </cell>
          <cell r="B1426" t="str">
            <v>塑胶-国内外部</v>
          </cell>
          <cell r="C1426">
            <v>1745.97</v>
          </cell>
        </row>
        <row r="1427">
          <cell r="A1427" t="str">
            <v>03</v>
          </cell>
          <cell r="B1427" t="str">
            <v>塑胶-国内外部</v>
          </cell>
          <cell r="C1427">
            <v>184.2</v>
          </cell>
        </row>
        <row r="1428">
          <cell r="A1428" t="str">
            <v>03</v>
          </cell>
          <cell r="B1428" t="str">
            <v>塑胶-国内外部</v>
          </cell>
          <cell r="C1428">
            <v>385.47</v>
          </cell>
        </row>
        <row r="1429">
          <cell r="A1429" t="str">
            <v>03</v>
          </cell>
          <cell r="B1429" t="str">
            <v>塑胶-国内外部</v>
          </cell>
          <cell r="C1429">
            <v>574.20000000000005</v>
          </cell>
        </row>
        <row r="1430">
          <cell r="A1430" t="str">
            <v>03</v>
          </cell>
          <cell r="B1430" t="str">
            <v>塑胶-国内外部</v>
          </cell>
          <cell r="C1430">
            <v>-375.16</v>
          </cell>
        </row>
        <row r="1431">
          <cell r="A1431" t="str">
            <v>03</v>
          </cell>
          <cell r="B1431" t="str">
            <v>塑胶-国内外部</v>
          </cell>
          <cell r="C1431">
            <v>347.56</v>
          </cell>
        </row>
        <row r="1432">
          <cell r="A1432" t="str">
            <v>03</v>
          </cell>
          <cell r="B1432" t="str">
            <v>塑胶-国内外部</v>
          </cell>
          <cell r="C1432">
            <v>194.51</v>
          </cell>
        </row>
        <row r="1433">
          <cell r="A1433" t="str">
            <v>03</v>
          </cell>
          <cell r="B1433" t="str">
            <v>塑胶-国内外部</v>
          </cell>
          <cell r="C1433">
            <v>106.22</v>
          </cell>
        </row>
        <row r="1434">
          <cell r="A1434" t="str">
            <v>03</v>
          </cell>
          <cell r="B1434" t="str">
            <v>塑胶-国内外部</v>
          </cell>
          <cell r="C1434">
            <v>519.32000000000005</v>
          </cell>
        </row>
        <row r="1435">
          <cell r="A1435" t="str">
            <v>03</v>
          </cell>
          <cell r="B1435" t="str">
            <v>塑胶-国内外部</v>
          </cell>
          <cell r="C1435">
            <v>1248.05</v>
          </cell>
        </row>
        <row r="1436">
          <cell r="A1436" t="str">
            <v>03</v>
          </cell>
          <cell r="B1436" t="str">
            <v>塑胶-国内外部</v>
          </cell>
          <cell r="C1436">
            <v>78.66</v>
          </cell>
        </row>
        <row r="1437">
          <cell r="A1437" t="str">
            <v>03</v>
          </cell>
          <cell r="B1437" t="str">
            <v>塑胶-国内外部</v>
          </cell>
          <cell r="C1437">
            <v>1534.38</v>
          </cell>
        </row>
        <row r="1438">
          <cell r="A1438" t="str">
            <v>03</v>
          </cell>
          <cell r="B1438" t="str">
            <v>塑胶-国内外部</v>
          </cell>
          <cell r="C1438">
            <v>166.6</v>
          </cell>
        </row>
        <row r="1439">
          <cell r="A1439" t="str">
            <v>03</v>
          </cell>
          <cell r="B1439" t="str">
            <v>塑胶-国内外部</v>
          </cell>
          <cell r="C1439">
            <v>36.1</v>
          </cell>
        </row>
        <row r="1440">
          <cell r="A1440" t="str">
            <v>03</v>
          </cell>
          <cell r="B1440" t="str">
            <v>塑胶-国内外部</v>
          </cell>
          <cell r="C1440">
            <v>34.92</v>
          </cell>
        </row>
        <row r="1441">
          <cell r="A1441" t="str">
            <v>03</v>
          </cell>
          <cell r="B1441" t="str">
            <v>塑胶-国内外部</v>
          </cell>
          <cell r="C1441">
            <v>51.9</v>
          </cell>
        </row>
        <row r="1442">
          <cell r="A1442" t="str">
            <v>03</v>
          </cell>
          <cell r="B1442" t="str">
            <v>塑胶-国内外部</v>
          </cell>
          <cell r="C1442">
            <v>21.2</v>
          </cell>
        </row>
        <row r="1443">
          <cell r="A1443" t="str">
            <v>03</v>
          </cell>
          <cell r="B1443" t="str">
            <v>塑胶-国内外部</v>
          </cell>
          <cell r="C1443">
            <v>144.28</v>
          </cell>
        </row>
        <row r="1444">
          <cell r="A1444" t="str">
            <v>03</v>
          </cell>
          <cell r="B1444" t="str">
            <v>塑胶-国内外部</v>
          </cell>
          <cell r="C1444">
            <v>78.959999999999994</v>
          </cell>
        </row>
        <row r="1445">
          <cell r="A1445" t="str">
            <v>03</v>
          </cell>
          <cell r="B1445" t="str">
            <v>塑胶-国内外部</v>
          </cell>
          <cell r="C1445">
            <v>20</v>
          </cell>
        </row>
        <row r="1446">
          <cell r="A1446" t="str">
            <v>03</v>
          </cell>
          <cell r="B1446" t="str">
            <v>塑胶-国内外部</v>
          </cell>
          <cell r="C1446">
            <v>47.21</v>
          </cell>
        </row>
        <row r="1447">
          <cell r="A1447" t="str">
            <v>03</v>
          </cell>
          <cell r="B1447" t="str">
            <v>塑胶-国外内部</v>
          </cell>
          <cell r="C1447">
            <v>118.44</v>
          </cell>
        </row>
        <row r="1448">
          <cell r="A1448" t="str">
            <v>03</v>
          </cell>
          <cell r="B1448" t="str">
            <v>塑胶-国内外部</v>
          </cell>
          <cell r="C1448">
            <v>-16.940000000000001</v>
          </cell>
        </row>
        <row r="1449">
          <cell r="A1449" t="str">
            <v>03</v>
          </cell>
          <cell r="B1449" t="str">
            <v>塑胶-国外内部</v>
          </cell>
          <cell r="C1449">
            <v>473.75</v>
          </cell>
        </row>
        <row r="1450">
          <cell r="A1450" t="str">
            <v>03</v>
          </cell>
          <cell r="B1450" t="str">
            <v>塑胶-国外内部</v>
          </cell>
          <cell r="C1450">
            <v>312.01</v>
          </cell>
        </row>
        <row r="1451">
          <cell r="A1451" t="str">
            <v>03</v>
          </cell>
          <cell r="B1451" t="str">
            <v>卷钢-国内外部</v>
          </cell>
          <cell r="C1451">
            <v>191.24</v>
          </cell>
        </row>
        <row r="1452">
          <cell r="A1452" t="str">
            <v>03</v>
          </cell>
          <cell r="B1452" t="str">
            <v>塑胶-国内外部</v>
          </cell>
          <cell r="C1452">
            <v>335.13</v>
          </cell>
        </row>
        <row r="1453">
          <cell r="A1453" t="str">
            <v>03</v>
          </cell>
          <cell r="B1453" t="str">
            <v>塑胶-国内外部</v>
          </cell>
          <cell r="C1453">
            <v>201.56</v>
          </cell>
        </row>
        <row r="1454">
          <cell r="A1454" t="str">
            <v>03</v>
          </cell>
          <cell r="B1454" t="str">
            <v>塑胶-国内外部</v>
          </cell>
          <cell r="C1454">
            <v>25.79</v>
          </cell>
        </row>
        <row r="1455">
          <cell r="A1455" t="str">
            <v>03</v>
          </cell>
          <cell r="B1455" t="str">
            <v>塑胶-国内外部</v>
          </cell>
          <cell r="C1455">
            <v>1911.31</v>
          </cell>
        </row>
        <row r="1456">
          <cell r="A1456" t="str">
            <v>04</v>
          </cell>
          <cell r="B1456" t="str">
            <v>塑胶-国内外部</v>
          </cell>
          <cell r="C1456">
            <v>21.24</v>
          </cell>
        </row>
        <row r="1457">
          <cell r="A1457" t="str">
            <v>04</v>
          </cell>
          <cell r="B1457" t="str">
            <v>塑胶-国外内部</v>
          </cell>
          <cell r="C1457">
            <v>15.16</v>
          </cell>
        </row>
        <row r="1458">
          <cell r="A1458" t="str">
            <v>04</v>
          </cell>
          <cell r="B1458" t="str">
            <v>塑胶-国外内部</v>
          </cell>
          <cell r="C1458">
            <v>104.04</v>
          </cell>
        </row>
        <row r="1459">
          <cell r="A1459" t="str">
            <v>04</v>
          </cell>
          <cell r="B1459" t="str">
            <v>塑胶-国外内部</v>
          </cell>
          <cell r="C1459">
            <v>18.420000000000002</v>
          </cell>
        </row>
        <row r="1460">
          <cell r="A1460" t="str">
            <v>04</v>
          </cell>
          <cell r="B1460" t="str">
            <v>塑胶-国外内部</v>
          </cell>
          <cell r="C1460">
            <v>20.75</v>
          </cell>
        </row>
        <row r="1461">
          <cell r="A1461" t="str">
            <v>04</v>
          </cell>
          <cell r="B1461" t="str">
            <v>塑胶-国外内部</v>
          </cell>
          <cell r="C1461">
            <v>204</v>
          </cell>
        </row>
        <row r="1462">
          <cell r="A1462" t="str">
            <v>04</v>
          </cell>
          <cell r="B1462" t="str">
            <v>塑胶-国外内部</v>
          </cell>
          <cell r="C1462">
            <v>78.66</v>
          </cell>
        </row>
        <row r="1463">
          <cell r="A1463" t="str">
            <v>04</v>
          </cell>
          <cell r="B1463" t="str">
            <v>塑胶-国外内部</v>
          </cell>
          <cell r="C1463">
            <v>21.33</v>
          </cell>
        </row>
        <row r="1464">
          <cell r="A1464" t="str">
            <v>04</v>
          </cell>
          <cell r="B1464" t="str">
            <v>塑胶-国内外部</v>
          </cell>
          <cell r="C1464">
            <v>165.78</v>
          </cell>
        </row>
        <row r="1465">
          <cell r="A1465" t="str">
            <v>04</v>
          </cell>
          <cell r="B1465" t="str">
            <v>卷钢-国内内部</v>
          </cell>
          <cell r="C1465">
            <v>5</v>
          </cell>
        </row>
        <row r="1466">
          <cell r="A1466" t="str">
            <v>04</v>
          </cell>
          <cell r="B1466" t="str">
            <v>塑胶-国内外部</v>
          </cell>
          <cell r="C1466">
            <v>18.170000000000002</v>
          </cell>
        </row>
        <row r="1467">
          <cell r="A1467" t="str">
            <v>04</v>
          </cell>
          <cell r="B1467" t="str">
            <v>塑胶-国内外部</v>
          </cell>
          <cell r="C1467">
            <v>214.94</v>
          </cell>
        </row>
        <row r="1468">
          <cell r="A1468" t="str">
            <v>04</v>
          </cell>
          <cell r="B1468" t="str">
            <v>塑胶-国内外部</v>
          </cell>
          <cell r="C1468">
            <v>18.37</v>
          </cell>
        </row>
        <row r="1469">
          <cell r="A1469" t="str">
            <v>04</v>
          </cell>
          <cell r="B1469" t="str">
            <v>塑胶-国内外部</v>
          </cell>
          <cell r="C1469">
            <v>34.92</v>
          </cell>
        </row>
        <row r="1470">
          <cell r="A1470" t="str">
            <v>04</v>
          </cell>
          <cell r="B1470" t="str">
            <v>塑胶-国内外部</v>
          </cell>
          <cell r="C1470">
            <v>104.21</v>
          </cell>
        </row>
        <row r="1471">
          <cell r="A1471" t="str">
            <v>04</v>
          </cell>
          <cell r="B1471" t="str">
            <v>塑胶-国内外部</v>
          </cell>
          <cell r="C1471">
            <v>106</v>
          </cell>
        </row>
        <row r="1472">
          <cell r="A1472" t="str">
            <v>04</v>
          </cell>
          <cell r="B1472" t="str">
            <v>塑胶-国内外部</v>
          </cell>
          <cell r="C1472">
            <v>61.84</v>
          </cell>
        </row>
        <row r="1473">
          <cell r="A1473" t="str">
            <v>04</v>
          </cell>
          <cell r="B1473" t="str">
            <v>塑胶-国内外部</v>
          </cell>
          <cell r="C1473">
            <v>212.45</v>
          </cell>
        </row>
        <row r="1474">
          <cell r="A1474" t="str">
            <v>04</v>
          </cell>
          <cell r="B1474" t="str">
            <v>塑胶-国内外部</v>
          </cell>
          <cell r="C1474">
            <v>223.91</v>
          </cell>
        </row>
        <row r="1475">
          <cell r="A1475" t="str">
            <v>04</v>
          </cell>
          <cell r="B1475" t="str">
            <v>塑胶-国内外部</v>
          </cell>
          <cell r="C1475">
            <v>20.399999999999999</v>
          </cell>
        </row>
        <row r="1476">
          <cell r="A1476" t="str">
            <v>04</v>
          </cell>
          <cell r="B1476" t="str">
            <v>塑胶-国内外部</v>
          </cell>
          <cell r="C1476">
            <v>19.93</v>
          </cell>
        </row>
        <row r="1477">
          <cell r="A1477" t="str">
            <v>04</v>
          </cell>
          <cell r="B1477" t="str">
            <v>塑胶-国外内部</v>
          </cell>
          <cell r="C1477">
            <v>403.11</v>
          </cell>
        </row>
        <row r="1478">
          <cell r="A1478" t="str">
            <v>04</v>
          </cell>
          <cell r="B1478" t="str">
            <v>卷钢-国内外部</v>
          </cell>
          <cell r="C1478">
            <v>191.24</v>
          </cell>
        </row>
        <row r="1479">
          <cell r="A1479" t="str">
            <v>04</v>
          </cell>
          <cell r="B1479" t="str">
            <v>塑胶-国内外部</v>
          </cell>
          <cell r="C1479">
            <v>259.17</v>
          </cell>
        </row>
        <row r="1480">
          <cell r="A1480" t="str">
            <v>04</v>
          </cell>
          <cell r="B1480" t="str">
            <v>塑胶-国内外部</v>
          </cell>
          <cell r="C1480">
            <v>138.38999999999999</v>
          </cell>
        </row>
        <row r="1481">
          <cell r="A1481" t="str">
            <v>04</v>
          </cell>
          <cell r="B1481" t="str">
            <v>塑胶-国内外部</v>
          </cell>
          <cell r="C1481">
            <v>138.18</v>
          </cell>
        </row>
        <row r="1482">
          <cell r="A1482" t="str">
            <v>04</v>
          </cell>
          <cell r="B1482" t="str">
            <v>塑胶-国内外部</v>
          </cell>
          <cell r="C1482">
            <v>78.69</v>
          </cell>
        </row>
        <row r="1483">
          <cell r="A1483" t="str">
            <v>04</v>
          </cell>
          <cell r="B1483" t="str">
            <v>塑胶-国内外部</v>
          </cell>
          <cell r="C1483">
            <v>18.170000000000002</v>
          </cell>
        </row>
        <row r="1484">
          <cell r="A1484" t="str">
            <v>04</v>
          </cell>
          <cell r="B1484" t="str">
            <v>塑胶-国内外部</v>
          </cell>
          <cell r="C1484">
            <v>37.909999999999997</v>
          </cell>
        </row>
        <row r="1485">
          <cell r="A1485" t="str">
            <v>04</v>
          </cell>
          <cell r="B1485" t="str">
            <v>塑胶-国内外部</v>
          </cell>
          <cell r="C1485">
            <v>18.510000000000002</v>
          </cell>
        </row>
        <row r="1486">
          <cell r="A1486" t="str">
            <v>04</v>
          </cell>
          <cell r="B1486" t="str">
            <v>塑胶-国内外部</v>
          </cell>
          <cell r="C1486">
            <v>21.2</v>
          </cell>
        </row>
        <row r="1487">
          <cell r="A1487" t="str">
            <v>04</v>
          </cell>
          <cell r="B1487" t="str">
            <v>塑胶-国内外部</v>
          </cell>
          <cell r="C1487">
            <v>41.22</v>
          </cell>
        </row>
        <row r="1488">
          <cell r="A1488" t="str">
            <v>04</v>
          </cell>
          <cell r="B1488" t="str">
            <v>塑胶-国内外部</v>
          </cell>
          <cell r="C1488">
            <v>300.83999999999997</v>
          </cell>
        </row>
        <row r="1489">
          <cell r="A1489" t="str">
            <v>04</v>
          </cell>
          <cell r="B1489" t="str">
            <v>卷钢-国内外部</v>
          </cell>
          <cell r="C1489">
            <v>464.52</v>
          </cell>
        </row>
        <row r="1490">
          <cell r="A1490" t="str">
            <v>04</v>
          </cell>
          <cell r="B1490" t="str">
            <v>卷钢-国内外部</v>
          </cell>
          <cell r="C1490">
            <v>876.96</v>
          </cell>
        </row>
        <row r="1491">
          <cell r="A1491" t="str">
            <v>04</v>
          </cell>
          <cell r="B1491" t="str">
            <v>卷钢-国内外部</v>
          </cell>
          <cell r="C1491">
            <v>191.24</v>
          </cell>
        </row>
        <row r="1492">
          <cell r="A1492" t="str">
            <v>04</v>
          </cell>
          <cell r="B1492" t="str">
            <v>塑胶-国内外部</v>
          </cell>
          <cell r="C1492">
            <v>301.83</v>
          </cell>
        </row>
        <row r="1493">
          <cell r="A1493" t="str">
            <v>04</v>
          </cell>
          <cell r="B1493" t="str">
            <v>塑胶-国内外部</v>
          </cell>
          <cell r="C1493">
            <v>110.52</v>
          </cell>
        </row>
        <row r="1494">
          <cell r="A1494" t="str">
            <v>04</v>
          </cell>
          <cell r="B1494" t="str">
            <v>塑胶-国内外部</v>
          </cell>
          <cell r="C1494">
            <v>172.34</v>
          </cell>
        </row>
        <row r="1495">
          <cell r="A1495" t="str">
            <v>04</v>
          </cell>
          <cell r="B1495" t="str">
            <v>塑胶-国内外部</v>
          </cell>
          <cell r="C1495">
            <v>19.61</v>
          </cell>
        </row>
        <row r="1496">
          <cell r="A1496" t="str">
            <v>04</v>
          </cell>
          <cell r="B1496" t="str">
            <v>塑胶-国内外部</v>
          </cell>
          <cell r="C1496">
            <v>416.84</v>
          </cell>
        </row>
        <row r="1497">
          <cell r="A1497" t="str">
            <v>04</v>
          </cell>
          <cell r="B1497" t="str">
            <v>塑胶-国内外部</v>
          </cell>
          <cell r="C1497">
            <v>106.24</v>
          </cell>
        </row>
        <row r="1498">
          <cell r="A1498" t="str">
            <v>04</v>
          </cell>
          <cell r="B1498" t="str">
            <v>塑胶-国内外部</v>
          </cell>
          <cell r="C1498">
            <v>223.91</v>
          </cell>
        </row>
        <row r="1499">
          <cell r="A1499" t="str">
            <v>04</v>
          </cell>
          <cell r="B1499" t="str">
            <v>塑胶-国内外部</v>
          </cell>
          <cell r="C1499">
            <v>20.8</v>
          </cell>
        </row>
        <row r="1500">
          <cell r="A1500" t="str">
            <v>04</v>
          </cell>
          <cell r="B1500" t="str">
            <v>塑胶-国内外部</v>
          </cell>
          <cell r="C1500">
            <v>21.2</v>
          </cell>
        </row>
        <row r="1501">
          <cell r="A1501" t="str">
            <v>04</v>
          </cell>
          <cell r="B1501" t="str">
            <v>塑胶-国外内部</v>
          </cell>
          <cell r="C1501">
            <v>19.37</v>
          </cell>
        </row>
        <row r="1502">
          <cell r="A1502" t="str">
            <v>04</v>
          </cell>
          <cell r="B1502" t="str">
            <v>塑胶-国外内部</v>
          </cell>
          <cell r="C1502">
            <v>19</v>
          </cell>
        </row>
        <row r="1503">
          <cell r="A1503" t="str">
            <v>04</v>
          </cell>
          <cell r="B1503" t="str">
            <v>塑胶-国内外部</v>
          </cell>
          <cell r="C1503">
            <v>69.84</v>
          </cell>
        </row>
        <row r="1504">
          <cell r="A1504" t="str">
            <v>04</v>
          </cell>
          <cell r="B1504" t="str">
            <v>塑胶-国内外部</v>
          </cell>
          <cell r="C1504">
            <v>207.6</v>
          </cell>
        </row>
        <row r="1505">
          <cell r="A1505" t="str">
            <v>04</v>
          </cell>
          <cell r="B1505" t="str">
            <v>塑胶-国内外部</v>
          </cell>
          <cell r="C1505">
            <v>164.9</v>
          </cell>
        </row>
        <row r="1506">
          <cell r="A1506" t="str">
            <v>04</v>
          </cell>
          <cell r="B1506" t="str">
            <v>塑胶-国内外部</v>
          </cell>
          <cell r="C1506">
            <v>19.739999999999998</v>
          </cell>
        </row>
        <row r="1507">
          <cell r="A1507" t="str">
            <v>04</v>
          </cell>
          <cell r="B1507" t="str">
            <v>塑胶-国内外部</v>
          </cell>
          <cell r="C1507">
            <v>78.8</v>
          </cell>
        </row>
        <row r="1508">
          <cell r="A1508" t="str">
            <v>04</v>
          </cell>
          <cell r="B1508" t="str">
            <v>塑胶-国内外部</v>
          </cell>
          <cell r="C1508">
            <v>125.9</v>
          </cell>
        </row>
        <row r="1509">
          <cell r="A1509" t="str">
            <v>04</v>
          </cell>
          <cell r="B1509" t="str">
            <v>塑胶-国外内部</v>
          </cell>
          <cell r="C1509">
            <v>573.86</v>
          </cell>
        </row>
        <row r="1510">
          <cell r="A1510" t="str">
            <v>04</v>
          </cell>
          <cell r="B1510" t="str">
            <v>塑胶-国外内部</v>
          </cell>
          <cell r="C1510">
            <v>151.80000000000001</v>
          </cell>
        </row>
        <row r="1511">
          <cell r="A1511" t="str">
            <v>04</v>
          </cell>
          <cell r="B1511" t="str">
            <v>塑胶-国外内部</v>
          </cell>
          <cell r="C1511">
            <v>1874.24</v>
          </cell>
        </row>
        <row r="1512">
          <cell r="A1512" t="str">
            <v>04</v>
          </cell>
          <cell r="B1512" t="str">
            <v>卷钢-国内外部</v>
          </cell>
          <cell r="C1512">
            <v>183.32</v>
          </cell>
        </row>
        <row r="1513">
          <cell r="A1513" t="str">
            <v>04</v>
          </cell>
          <cell r="B1513" t="str">
            <v>卷钢-国内外部</v>
          </cell>
          <cell r="C1513">
            <v>382.48</v>
          </cell>
        </row>
        <row r="1514">
          <cell r="A1514" t="str">
            <v>04</v>
          </cell>
          <cell r="B1514" t="str">
            <v>塑胶-国内外部</v>
          </cell>
          <cell r="C1514">
            <v>56.67</v>
          </cell>
        </row>
        <row r="1515">
          <cell r="A1515" t="str">
            <v>04</v>
          </cell>
          <cell r="B1515" t="str">
            <v>塑胶-国内外部</v>
          </cell>
          <cell r="C1515">
            <v>167.57</v>
          </cell>
        </row>
        <row r="1516">
          <cell r="A1516" t="str">
            <v>04</v>
          </cell>
          <cell r="B1516" t="str">
            <v>塑胶-国内外部</v>
          </cell>
          <cell r="C1516">
            <v>131.26</v>
          </cell>
        </row>
        <row r="1517">
          <cell r="A1517" t="str">
            <v>04</v>
          </cell>
          <cell r="B1517" t="str">
            <v>塑胶-国内外部</v>
          </cell>
          <cell r="C1517">
            <v>423.65</v>
          </cell>
        </row>
        <row r="1518">
          <cell r="A1518" t="str">
            <v>04</v>
          </cell>
          <cell r="B1518" t="str">
            <v>塑胶-国内外部</v>
          </cell>
          <cell r="C1518">
            <v>494.35</v>
          </cell>
        </row>
        <row r="1519">
          <cell r="A1519" t="str">
            <v>04</v>
          </cell>
          <cell r="B1519" t="str">
            <v>塑胶-国内外部</v>
          </cell>
          <cell r="C1519">
            <v>147.36000000000001</v>
          </cell>
        </row>
        <row r="1520">
          <cell r="A1520" t="str">
            <v>04</v>
          </cell>
          <cell r="B1520" t="str">
            <v>塑胶-国内外部</v>
          </cell>
          <cell r="C1520">
            <v>589.1</v>
          </cell>
        </row>
        <row r="1521">
          <cell r="A1521" t="str">
            <v>04</v>
          </cell>
          <cell r="B1521" t="str">
            <v>塑胶-国内外部</v>
          </cell>
          <cell r="C1521">
            <v>498.3</v>
          </cell>
        </row>
        <row r="1522">
          <cell r="A1522" t="str">
            <v>04</v>
          </cell>
          <cell r="B1522" t="str">
            <v>塑胶-国内外部</v>
          </cell>
          <cell r="C1522">
            <v>479.37</v>
          </cell>
        </row>
        <row r="1523">
          <cell r="A1523" t="str">
            <v>04</v>
          </cell>
          <cell r="B1523" t="str">
            <v>塑胶-国内外部</v>
          </cell>
          <cell r="C1523">
            <v>148.4</v>
          </cell>
        </row>
        <row r="1524">
          <cell r="A1524" t="str">
            <v>04</v>
          </cell>
          <cell r="B1524" t="str">
            <v>塑胶-国内外部</v>
          </cell>
          <cell r="C1524">
            <v>694.15</v>
          </cell>
        </row>
        <row r="1525">
          <cell r="A1525" t="str">
            <v>04</v>
          </cell>
          <cell r="B1525" t="str">
            <v>塑胶-国内外部</v>
          </cell>
          <cell r="C1525">
            <v>35.4</v>
          </cell>
        </row>
        <row r="1526">
          <cell r="A1526" t="str">
            <v>04</v>
          </cell>
          <cell r="B1526" t="str">
            <v>塑胶-国外内部</v>
          </cell>
          <cell r="C1526">
            <v>270</v>
          </cell>
        </row>
        <row r="1527">
          <cell r="A1527" t="str">
            <v>04</v>
          </cell>
          <cell r="B1527" t="str">
            <v>塑胶-国外内部</v>
          </cell>
          <cell r="C1527">
            <v>20</v>
          </cell>
        </row>
        <row r="1528">
          <cell r="A1528" t="str">
            <v>04</v>
          </cell>
          <cell r="B1528" t="str">
            <v>塑胶-国外内部</v>
          </cell>
          <cell r="C1528">
            <v>73.73</v>
          </cell>
        </row>
        <row r="1529">
          <cell r="A1529" t="str">
            <v>04</v>
          </cell>
          <cell r="B1529" t="str">
            <v>塑胶-国外内部</v>
          </cell>
          <cell r="C1529">
            <v>20</v>
          </cell>
        </row>
        <row r="1530">
          <cell r="A1530" t="str">
            <v>04</v>
          </cell>
          <cell r="B1530" t="str">
            <v>塑胶-国外内部</v>
          </cell>
          <cell r="C1530">
            <v>317.45999999999998</v>
          </cell>
        </row>
        <row r="1531">
          <cell r="A1531" t="str">
            <v>04</v>
          </cell>
          <cell r="B1531" t="str">
            <v>塑胶-国内外部</v>
          </cell>
          <cell r="C1531">
            <v>495.7</v>
          </cell>
        </row>
        <row r="1532">
          <cell r="A1532" t="str">
            <v>04</v>
          </cell>
          <cell r="B1532" t="str">
            <v>卷钢-国内外部</v>
          </cell>
          <cell r="C1532">
            <v>573.73</v>
          </cell>
        </row>
        <row r="1533">
          <cell r="A1533" t="str">
            <v>04</v>
          </cell>
          <cell r="B1533" t="str">
            <v>塑胶-国内外部</v>
          </cell>
          <cell r="C1533">
            <v>21.49</v>
          </cell>
        </row>
        <row r="1534">
          <cell r="A1534" t="str">
            <v>04</v>
          </cell>
          <cell r="B1534" t="str">
            <v>塑胶-国内外部</v>
          </cell>
          <cell r="C1534">
            <v>477.83</v>
          </cell>
        </row>
        <row r="1535">
          <cell r="A1535" t="str">
            <v>04</v>
          </cell>
          <cell r="B1535" t="str">
            <v>塑胶-国内外部</v>
          </cell>
          <cell r="C1535">
            <v>22</v>
          </cell>
        </row>
        <row r="1536">
          <cell r="A1536" t="str">
            <v>04</v>
          </cell>
          <cell r="B1536" t="str">
            <v>塑胶-国内外部</v>
          </cell>
          <cell r="C1536">
            <v>18.100000000000001</v>
          </cell>
        </row>
        <row r="1537">
          <cell r="A1537" t="str">
            <v>04</v>
          </cell>
          <cell r="B1537" t="str">
            <v>塑胶-国内外部</v>
          </cell>
          <cell r="C1537">
            <v>17.46</v>
          </cell>
        </row>
        <row r="1538">
          <cell r="A1538" t="str">
            <v>04</v>
          </cell>
          <cell r="B1538" t="str">
            <v>塑胶-国内外部</v>
          </cell>
          <cell r="C1538">
            <v>208.42</v>
          </cell>
        </row>
        <row r="1539">
          <cell r="A1539" t="str">
            <v>04</v>
          </cell>
          <cell r="B1539" t="str">
            <v>卷钢-国内内部</v>
          </cell>
          <cell r="C1539">
            <v>20</v>
          </cell>
        </row>
        <row r="1540">
          <cell r="A1540" t="str">
            <v>04</v>
          </cell>
          <cell r="B1540" t="str">
            <v>塑胶-国内外部</v>
          </cell>
          <cell r="C1540">
            <v>18.309999999999999</v>
          </cell>
        </row>
        <row r="1541">
          <cell r="A1541" t="str">
            <v>04</v>
          </cell>
          <cell r="B1541" t="str">
            <v>塑胶-国内外部</v>
          </cell>
          <cell r="C1541">
            <v>955.66</v>
          </cell>
        </row>
        <row r="1542">
          <cell r="A1542" t="str">
            <v>04</v>
          </cell>
          <cell r="B1542" t="str">
            <v>塑胶-国内外部</v>
          </cell>
          <cell r="C1542">
            <v>1040.04</v>
          </cell>
        </row>
        <row r="1543">
          <cell r="A1543" t="str">
            <v>04</v>
          </cell>
          <cell r="B1543" t="str">
            <v>塑胶-国内外部</v>
          </cell>
          <cell r="C1543">
            <v>39.340000000000003</v>
          </cell>
        </row>
        <row r="1544">
          <cell r="A1544" t="str">
            <v>04</v>
          </cell>
          <cell r="B1544" t="str">
            <v>塑胶-国内外部</v>
          </cell>
          <cell r="C1544">
            <v>408.38</v>
          </cell>
        </row>
        <row r="1545">
          <cell r="A1545" t="str">
            <v>04</v>
          </cell>
          <cell r="B1545" t="str">
            <v>塑胶-国内外部</v>
          </cell>
          <cell r="C1545">
            <v>314.27</v>
          </cell>
        </row>
        <row r="1546">
          <cell r="A1546" t="str">
            <v>04</v>
          </cell>
          <cell r="B1546" t="str">
            <v>塑胶-国内外部</v>
          </cell>
          <cell r="C1546">
            <v>19.37</v>
          </cell>
        </row>
        <row r="1547">
          <cell r="A1547" t="str">
            <v>04</v>
          </cell>
          <cell r="B1547" t="str">
            <v>塑胶-国内外部</v>
          </cell>
          <cell r="C1547">
            <v>-306</v>
          </cell>
        </row>
        <row r="1548">
          <cell r="A1548" t="str">
            <v>04</v>
          </cell>
          <cell r="B1548" t="str">
            <v>塑胶-国内外部</v>
          </cell>
          <cell r="C1548">
            <v>111.96</v>
          </cell>
        </row>
        <row r="1549">
          <cell r="A1549" t="str">
            <v>04</v>
          </cell>
          <cell r="B1549" t="str">
            <v>塑胶-国内外部</v>
          </cell>
          <cell r="C1549">
            <v>171.95</v>
          </cell>
        </row>
        <row r="1550">
          <cell r="A1550" t="str">
            <v>04</v>
          </cell>
          <cell r="B1550" t="str">
            <v>塑胶-国内外部</v>
          </cell>
          <cell r="C1550">
            <v>1047.58</v>
          </cell>
        </row>
        <row r="1551">
          <cell r="A1551" t="str">
            <v>04</v>
          </cell>
          <cell r="B1551" t="str">
            <v>塑胶-国内外部</v>
          </cell>
          <cell r="C1551">
            <v>663.1</v>
          </cell>
        </row>
        <row r="1552">
          <cell r="A1552" t="str">
            <v>04</v>
          </cell>
          <cell r="B1552" t="str">
            <v>塑胶-国内外部</v>
          </cell>
          <cell r="C1552">
            <v>363.81</v>
          </cell>
        </row>
        <row r="1553">
          <cell r="A1553" t="str">
            <v>04</v>
          </cell>
          <cell r="B1553" t="str">
            <v>塑胶-国内外部</v>
          </cell>
          <cell r="C1553">
            <v>270.95</v>
          </cell>
        </row>
        <row r="1554">
          <cell r="A1554" t="str">
            <v>04</v>
          </cell>
          <cell r="B1554" t="str">
            <v>塑胶-国内外部</v>
          </cell>
          <cell r="C1554">
            <v>171.2</v>
          </cell>
        </row>
        <row r="1555">
          <cell r="A1555" t="str">
            <v>04</v>
          </cell>
          <cell r="B1555" t="str">
            <v>塑胶-国内外部</v>
          </cell>
          <cell r="C1555">
            <v>170.93</v>
          </cell>
        </row>
        <row r="1556">
          <cell r="A1556" t="str">
            <v>04</v>
          </cell>
          <cell r="B1556" t="str">
            <v>塑胶-国内外部</v>
          </cell>
          <cell r="C1556">
            <v>163.19999999999999</v>
          </cell>
        </row>
        <row r="1557">
          <cell r="A1557" t="str">
            <v>04</v>
          </cell>
          <cell r="B1557" t="str">
            <v>塑胶-国内外部</v>
          </cell>
          <cell r="C1557">
            <v>63.6</v>
          </cell>
        </row>
        <row r="1558">
          <cell r="A1558" t="str">
            <v>04</v>
          </cell>
          <cell r="B1558" t="str">
            <v>塑胶-国内外部</v>
          </cell>
          <cell r="C1558">
            <v>335.87</v>
          </cell>
        </row>
        <row r="1559">
          <cell r="A1559" t="str">
            <v>04</v>
          </cell>
          <cell r="B1559" t="str">
            <v>塑胶-国内外部</v>
          </cell>
          <cell r="C1559">
            <v>416.02</v>
          </cell>
        </row>
        <row r="1560">
          <cell r="A1560" t="str">
            <v>04</v>
          </cell>
          <cell r="B1560" t="str">
            <v>塑胶-国内外部</v>
          </cell>
          <cell r="C1560">
            <v>97.92</v>
          </cell>
        </row>
        <row r="1561">
          <cell r="A1561" t="str">
            <v>04</v>
          </cell>
          <cell r="B1561" t="str">
            <v>塑胶-国内外部</v>
          </cell>
          <cell r="C1561">
            <v>446.34</v>
          </cell>
        </row>
        <row r="1562">
          <cell r="A1562" t="str">
            <v>04</v>
          </cell>
          <cell r="B1562" t="str">
            <v>塑胶-国内外部</v>
          </cell>
          <cell r="C1562">
            <v>295.07</v>
          </cell>
        </row>
        <row r="1563">
          <cell r="A1563" t="str">
            <v>04</v>
          </cell>
          <cell r="B1563" t="str">
            <v>塑胶-国外内部</v>
          </cell>
          <cell r="C1563">
            <v>15.16</v>
          </cell>
        </row>
        <row r="1564">
          <cell r="A1564" t="str">
            <v>04</v>
          </cell>
          <cell r="B1564" t="str">
            <v>塑胶-国外内部</v>
          </cell>
          <cell r="C1564">
            <v>208.08</v>
          </cell>
        </row>
        <row r="1565">
          <cell r="A1565" t="str">
            <v>04</v>
          </cell>
          <cell r="B1565" t="str">
            <v>塑胶-国外内部</v>
          </cell>
          <cell r="C1565">
            <v>17.8</v>
          </cell>
        </row>
        <row r="1566">
          <cell r="A1566" t="str">
            <v>04</v>
          </cell>
          <cell r="B1566" t="str">
            <v>塑胶-国外内部</v>
          </cell>
          <cell r="C1566">
            <v>19.8</v>
          </cell>
        </row>
        <row r="1567">
          <cell r="A1567" t="str">
            <v>04</v>
          </cell>
          <cell r="B1567" t="str">
            <v>塑胶-国外内部</v>
          </cell>
          <cell r="C1567">
            <v>19</v>
          </cell>
        </row>
        <row r="1568">
          <cell r="A1568" t="str">
            <v>04</v>
          </cell>
          <cell r="B1568" t="str">
            <v>塑胶-国外内部</v>
          </cell>
          <cell r="C1568">
            <v>493.49</v>
          </cell>
        </row>
        <row r="1569">
          <cell r="A1569" t="str">
            <v>04</v>
          </cell>
          <cell r="B1569" t="str">
            <v>塑胶-国外内部</v>
          </cell>
          <cell r="C1569">
            <v>20.75</v>
          </cell>
        </row>
        <row r="1570">
          <cell r="A1570" t="str">
            <v>04</v>
          </cell>
          <cell r="B1570" t="str">
            <v>塑胶-国外内部</v>
          </cell>
          <cell r="C1570">
            <v>127.98</v>
          </cell>
        </row>
        <row r="1571">
          <cell r="A1571" t="str">
            <v>04</v>
          </cell>
          <cell r="B1571" t="str">
            <v>卷钢-国内内部</v>
          </cell>
          <cell r="C1571">
            <v>20</v>
          </cell>
        </row>
        <row r="1572">
          <cell r="A1572" t="str">
            <v>04</v>
          </cell>
          <cell r="B1572" t="str">
            <v>卷钢-国内内部</v>
          </cell>
          <cell r="C1572">
            <v>20</v>
          </cell>
        </row>
        <row r="1573">
          <cell r="A1573" t="str">
            <v>04</v>
          </cell>
          <cell r="B1573" t="str">
            <v>塑胶-国内外部</v>
          </cell>
          <cell r="C1573">
            <v>92.56</v>
          </cell>
        </row>
        <row r="1574">
          <cell r="A1574" t="str">
            <v>04</v>
          </cell>
          <cell r="B1574" t="str">
            <v>塑胶-国内外部</v>
          </cell>
          <cell r="C1574">
            <v>17.3</v>
          </cell>
        </row>
        <row r="1575">
          <cell r="A1575" t="str">
            <v>04</v>
          </cell>
          <cell r="B1575" t="str">
            <v>塑胶-国内外部</v>
          </cell>
          <cell r="C1575">
            <v>15.19</v>
          </cell>
        </row>
        <row r="1576">
          <cell r="A1576" t="str">
            <v>04</v>
          </cell>
          <cell r="B1576" t="str">
            <v>塑胶-国内外部</v>
          </cell>
          <cell r="C1576">
            <v>106</v>
          </cell>
        </row>
        <row r="1577">
          <cell r="A1577" t="str">
            <v>04</v>
          </cell>
          <cell r="B1577" t="str">
            <v>塑胶-国内外部</v>
          </cell>
          <cell r="C1577">
            <v>82.45</v>
          </cell>
        </row>
        <row r="1578">
          <cell r="A1578" t="str">
            <v>04</v>
          </cell>
          <cell r="B1578" t="str">
            <v>塑胶-国内外部</v>
          </cell>
          <cell r="C1578">
            <v>39.479999999999997</v>
          </cell>
        </row>
        <row r="1579">
          <cell r="A1579" t="str">
            <v>04</v>
          </cell>
          <cell r="B1579" t="str">
            <v>塑胶-国外内部</v>
          </cell>
          <cell r="C1579">
            <v>94.23</v>
          </cell>
        </row>
        <row r="1580">
          <cell r="A1580" t="str">
            <v>04</v>
          </cell>
          <cell r="B1580" t="str">
            <v>塑胶-国内外部</v>
          </cell>
          <cell r="C1580">
            <v>8.6</v>
          </cell>
        </row>
        <row r="1581">
          <cell r="A1581" t="str">
            <v>04</v>
          </cell>
          <cell r="B1581" t="str">
            <v>塑胶-国内外部</v>
          </cell>
          <cell r="C1581">
            <v>52.38</v>
          </cell>
        </row>
        <row r="1582">
          <cell r="A1582" t="str">
            <v>04</v>
          </cell>
          <cell r="B1582" t="str">
            <v>塑胶-国内外部</v>
          </cell>
          <cell r="C1582">
            <v>7.6</v>
          </cell>
        </row>
        <row r="1583">
          <cell r="A1583" t="str">
            <v>04</v>
          </cell>
          <cell r="B1583" t="str">
            <v>塑胶-国内外部</v>
          </cell>
          <cell r="C1583">
            <v>8.7899999999999991</v>
          </cell>
        </row>
        <row r="1584">
          <cell r="A1584" t="str">
            <v>04</v>
          </cell>
          <cell r="B1584" t="str">
            <v>塑胶-国内外部</v>
          </cell>
          <cell r="C1584">
            <v>8.73</v>
          </cell>
        </row>
        <row r="1585">
          <cell r="A1585" t="str">
            <v>04</v>
          </cell>
          <cell r="B1585" t="str">
            <v>塑胶-国内外部</v>
          </cell>
          <cell r="C1585">
            <v>223.91</v>
          </cell>
        </row>
        <row r="1586">
          <cell r="A1586" t="str">
            <v>04</v>
          </cell>
          <cell r="B1586" t="str">
            <v>卷钢-国内外部</v>
          </cell>
          <cell r="C1586">
            <v>549.95000000000005</v>
          </cell>
        </row>
        <row r="1587">
          <cell r="A1587" t="str">
            <v>04</v>
          </cell>
          <cell r="B1587" t="str">
            <v>塑胶-国内外部</v>
          </cell>
          <cell r="C1587">
            <v>259.49</v>
          </cell>
        </row>
        <row r="1588">
          <cell r="A1588" t="str">
            <v>04</v>
          </cell>
          <cell r="B1588" t="str">
            <v>塑胶-国内外部</v>
          </cell>
          <cell r="C1588">
            <v>254.1</v>
          </cell>
        </row>
        <row r="1589">
          <cell r="A1589" t="str">
            <v>04</v>
          </cell>
          <cell r="B1589" t="str">
            <v>塑胶-国内外部</v>
          </cell>
          <cell r="C1589">
            <v>382.96</v>
          </cell>
        </row>
        <row r="1590">
          <cell r="A1590" t="str">
            <v>04</v>
          </cell>
          <cell r="B1590" t="str">
            <v>塑胶-国内外部</v>
          </cell>
          <cell r="C1590">
            <v>189.54</v>
          </cell>
        </row>
        <row r="1591">
          <cell r="A1591" t="str">
            <v>04</v>
          </cell>
          <cell r="B1591" t="str">
            <v>塑胶-国内外部</v>
          </cell>
          <cell r="C1591">
            <v>15.15</v>
          </cell>
        </row>
        <row r="1592">
          <cell r="A1592" t="str">
            <v>04</v>
          </cell>
          <cell r="B1592" t="str">
            <v>塑胶-国内外部</v>
          </cell>
          <cell r="C1592">
            <v>14.84</v>
          </cell>
        </row>
        <row r="1593">
          <cell r="A1593" t="str">
            <v>04</v>
          </cell>
          <cell r="B1593" t="str">
            <v>塑胶-国内外部</v>
          </cell>
          <cell r="C1593">
            <v>14.89</v>
          </cell>
        </row>
        <row r="1594">
          <cell r="A1594" t="str">
            <v>04</v>
          </cell>
          <cell r="B1594" t="str">
            <v>塑胶-国内外部</v>
          </cell>
          <cell r="C1594">
            <v>277.67</v>
          </cell>
        </row>
        <row r="1595">
          <cell r="A1595" t="str">
            <v>04</v>
          </cell>
          <cell r="B1595" t="str">
            <v>塑胶-国内外部</v>
          </cell>
          <cell r="C1595">
            <v>14.79</v>
          </cell>
        </row>
        <row r="1596">
          <cell r="A1596" t="str">
            <v>04</v>
          </cell>
          <cell r="B1596" t="str">
            <v>塑胶-国内外部</v>
          </cell>
          <cell r="C1596">
            <v>21</v>
          </cell>
        </row>
        <row r="1597">
          <cell r="A1597" t="str">
            <v>04</v>
          </cell>
          <cell r="B1597" t="str">
            <v>塑胶-国内外部</v>
          </cell>
          <cell r="C1597">
            <v>104.76</v>
          </cell>
        </row>
        <row r="1598">
          <cell r="A1598" t="str">
            <v>04</v>
          </cell>
          <cell r="B1598" t="str">
            <v>塑胶-国内外部</v>
          </cell>
          <cell r="C1598">
            <v>155.69999999999999</v>
          </cell>
        </row>
        <row r="1599">
          <cell r="A1599" t="str">
            <v>04</v>
          </cell>
          <cell r="B1599" t="str">
            <v>塑胶-国内外部</v>
          </cell>
          <cell r="C1599">
            <v>42.4</v>
          </cell>
        </row>
        <row r="1600">
          <cell r="A1600" t="str">
            <v>04</v>
          </cell>
          <cell r="B1600" t="str">
            <v>塑胶-国内外部</v>
          </cell>
          <cell r="C1600">
            <v>177.66</v>
          </cell>
        </row>
        <row r="1601">
          <cell r="A1601" t="str">
            <v>04</v>
          </cell>
          <cell r="B1601" t="str">
            <v>塑胶-国内外部</v>
          </cell>
          <cell r="C1601">
            <v>124.81</v>
          </cell>
        </row>
        <row r="1602">
          <cell r="A1602" t="str">
            <v>04</v>
          </cell>
          <cell r="B1602" t="str">
            <v>塑胶-国内外部</v>
          </cell>
          <cell r="C1602">
            <v>59.02</v>
          </cell>
        </row>
        <row r="1603">
          <cell r="A1603" t="str">
            <v>04</v>
          </cell>
          <cell r="B1603" t="str">
            <v>卷钢-国内外部</v>
          </cell>
          <cell r="C1603">
            <v>191.24</v>
          </cell>
        </row>
        <row r="1604">
          <cell r="A1604" t="str">
            <v>04</v>
          </cell>
          <cell r="B1604" t="str">
            <v>塑胶-国内外部</v>
          </cell>
          <cell r="C1604">
            <v>-3.93</v>
          </cell>
        </row>
        <row r="1605">
          <cell r="A1605" t="str">
            <v>04</v>
          </cell>
          <cell r="B1605" t="str">
            <v>塑胶-国外内部</v>
          </cell>
          <cell r="C1605">
            <v>967.01</v>
          </cell>
        </row>
        <row r="1606">
          <cell r="A1606" t="str">
            <v>04</v>
          </cell>
          <cell r="B1606" t="str">
            <v>塑胶-国外内部</v>
          </cell>
          <cell r="C1606">
            <v>319.97000000000003</v>
          </cell>
        </row>
        <row r="1607">
          <cell r="A1607" t="str">
            <v>05</v>
          </cell>
          <cell r="B1607" t="str">
            <v>塑胶-国内外部</v>
          </cell>
          <cell r="C1607">
            <v>18.420000000000002</v>
          </cell>
        </row>
        <row r="1608">
          <cell r="A1608" t="str">
            <v>05</v>
          </cell>
          <cell r="B1608" t="str">
            <v>卷钢-国内外部</v>
          </cell>
          <cell r="C1608">
            <v>464.52</v>
          </cell>
        </row>
        <row r="1609">
          <cell r="A1609" t="str">
            <v>05</v>
          </cell>
          <cell r="B1609" t="str">
            <v>卷钢-国内外部</v>
          </cell>
          <cell r="C1609">
            <v>382.48</v>
          </cell>
        </row>
        <row r="1610">
          <cell r="A1610" t="str">
            <v>05</v>
          </cell>
          <cell r="B1610" t="str">
            <v>塑胶-国外内部</v>
          </cell>
          <cell r="C1610">
            <v>192.73</v>
          </cell>
        </row>
        <row r="1611">
          <cell r="A1611" t="str">
            <v>05</v>
          </cell>
          <cell r="B1611" t="str">
            <v>塑胶-国外内部</v>
          </cell>
          <cell r="C1611">
            <v>408</v>
          </cell>
        </row>
        <row r="1612">
          <cell r="A1612" t="str">
            <v>05</v>
          </cell>
          <cell r="B1612" t="str">
            <v>塑胶-国内外部</v>
          </cell>
          <cell r="C1612">
            <v>416.84</v>
          </cell>
        </row>
        <row r="1613">
          <cell r="A1613" t="str">
            <v>05</v>
          </cell>
          <cell r="B1613" t="str">
            <v>塑胶-国外内部</v>
          </cell>
          <cell r="C1613">
            <v>65.63</v>
          </cell>
        </row>
        <row r="1614">
          <cell r="A1614" t="str">
            <v>05</v>
          </cell>
          <cell r="B1614" t="str">
            <v>卷钢-国内外部</v>
          </cell>
          <cell r="C1614">
            <v>200</v>
          </cell>
        </row>
        <row r="1615">
          <cell r="A1615" t="str">
            <v>05</v>
          </cell>
          <cell r="B1615" t="str">
            <v>卷钢-国内外部</v>
          </cell>
          <cell r="C1615">
            <v>191.24</v>
          </cell>
        </row>
        <row r="1616">
          <cell r="A1616" t="str">
            <v>05</v>
          </cell>
          <cell r="B1616" t="str">
            <v>塑胶-国内外部</v>
          </cell>
          <cell r="C1616">
            <v>14.98</v>
          </cell>
        </row>
        <row r="1617">
          <cell r="A1617" t="str">
            <v>05</v>
          </cell>
          <cell r="B1617" t="str">
            <v>塑胶-国内外部</v>
          </cell>
          <cell r="C1617">
            <v>222.14</v>
          </cell>
        </row>
        <row r="1618">
          <cell r="A1618" t="str">
            <v>05</v>
          </cell>
          <cell r="B1618" t="str">
            <v>塑胶-国内外部</v>
          </cell>
          <cell r="C1618">
            <v>838.06</v>
          </cell>
        </row>
        <row r="1619">
          <cell r="A1619" t="str">
            <v>05</v>
          </cell>
          <cell r="B1619" t="str">
            <v>塑胶-国内外部</v>
          </cell>
          <cell r="C1619">
            <v>242.2</v>
          </cell>
        </row>
        <row r="1620">
          <cell r="A1620" t="str">
            <v>05</v>
          </cell>
          <cell r="B1620" t="str">
            <v>塑胶-国内外部</v>
          </cell>
          <cell r="C1620">
            <v>231.24</v>
          </cell>
        </row>
        <row r="1621">
          <cell r="A1621" t="str">
            <v>05</v>
          </cell>
          <cell r="B1621" t="str">
            <v>塑胶-国内外部</v>
          </cell>
          <cell r="C1621">
            <v>574.20000000000005</v>
          </cell>
        </row>
        <row r="1622">
          <cell r="A1622" t="str">
            <v>05</v>
          </cell>
          <cell r="B1622" t="str">
            <v>塑胶-国内外部</v>
          </cell>
          <cell r="C1622">
            <v>573.39</v>
          </cell>
        </row>
        <row r="1623">
          <cell r="A1623" t="str">
            <v>05</v>
          </cell>
          <cell r="B1623" t="str">
            <v>塑胶-国内外部</v>
          </cell>
          <cell r="C1623">
            <v>21.35</v>
          </cell>
        </row>
        <row r="1624">
          <cell r="A1624" t="str">
            <v>05</v>
          </cell>
          <cell r="B1624" t="str">
            <v>塑胶-国内外部</v>
          </cell>
          <cell r="C1624">
            <v>22</v>
          </cell>
        </row>
        <row r="1625">
          <cell r="A1625" t="str">
            <v>05</v>
          </cell>
          <cell r="B1625" t="str">
            <v>塑胶-国内外部</v>
          </cell>
          <cell r="C1625">
            <v>22</v>
          </cell>
        </row>
        <row r="1626">
          <cell r="A1626" t="str">
            <v>05</v>
          </cell>
          <cell r="B1626" t="str">
            <v>塑胶-国内外部</v>
          </cell>
          <cell r="C1626">
            <v>22</v>
          </cell>
        </row>
        <row r="1627">
          <cell r="A1627" t="str">
            <v>05</v>
          </cell>
          <cell r="B1627" t="str">
            <v>塑胶-国内外部</v>
          </cell>
          <cell r="C1627">
            <v>22</v>
          </cell>
        </row>
        <row r="1628">
          <cell r="A1628" t="str">
            <v>05</v>
          </cell>
          <cell r="B1628" t="str">
            <v>塑胶-国内外部</v>
          </cell>
          <cell r="C1628">
            <v>20.95</v>
          </cell>
        </row>
        <row r="1629">
          <cell r="A1629" t="str">
            <v>05</v>
          </cell>
          <cell r="B1629" t="str">
            <v>塑胶-国内外部</v>
          </cell>
          <cell r="C1629">
            <v>63.6</v>
          </cell>
        </row>
        <row r="1630">
          <cell r="A1630" t="str">
            <v>05</v>
          </cell>
          <cell r="B1630" t="str">
            <v>塑胶-国内外部</v>
          </cell>
          <cell r="C1630">
            <v>144.28</v>
          </cell>
        </row>
        <row r="1631">
          <cell r="A1631" t="str">
            <v>05</v>
          </cell>
          <cell r="B1631" t="str">
            <v>塑胶-国内外部</v>
          </cell>
          <cell r="C1631">
            <v>98.7</v>
          </cell>
        </row>
        <row r="1632">
          <cell r="A1632" t="str">
            <v>05</v>
          </cell>
          <cell r="B1632" t="str">
            <v>塑胶-国内外部</v>
          </cell>
          <cell r="C1632">
            <v>1310.45</v>
          </cell>
        </row>
        <row r="1633">
          <cell r="A1633" t="str">
            <v>05</v>
          </cell>
          <cell r="B1633" t="str">
            <v>塑胶-国内外部</v>
          </cell>
          <cell r="C1633">
            <v>393.43</v>
          </cell>
        </row>
        <row r="1634">
          <cell r="A1634" t="str">
            <v>05</v>
          </cell>
          <cell r="B1634" t="str">
            <v>卷钢-国内外部</v>
          </cell>
          <cell r="C1634">
            <v>36.659999999999997</v>
          </cell>
        </row>
        <row r="1635">
          <cell r="A1635" t="str">
            <v>05</v>
          </cell>
          <cell r="B1635" t="str">
            <v>卷钢-国内外部</v>
          </cell>
          <cell r="C1635">
            <v>40</v>
          </cell>
        </row>
        <row r="1636">
          <cell r="A1636" t="str">
            <v>05</v>
          </cell>
          <cell r="B1636" t="str">
            <v>塑胶-国内外部</v>
          </cell>
          <cell r="C1636">
            <v>90.84</v>
          </cell>
        </row>
        <row r="1637">
          <cell r="A1637" t="str">
            <v>05</v>
          </cell>
          <cell r="B1637" t="str">
            <v>塑胶-国内外部</v>
          </cell>
          <cell r="C1637">
            <v>127.17</v>
          </cell>
        </row>
        <row r="1638">
          <cell r="A1638" t="str">
            <v>05</v>
          </cell>
          <cell r="B1638" t="str">
            <v>塑胶-国内外部</v>
          </cell>
          <cell r="C1638">
            <v>139.49</v>
          </cell>
        </row>
        <row r="1639">
          <cell r="A1639" t="str">
            <v>05</v>
          </cell>
          <cell r="B1639" t="str">
            <v>塑胶-国内外部</v>
          </cell>
          <cell r="C1639">
            <v>7.63</v>
          </cell>
        </row>
        <row r="1640">
          <cell r="A1640" t="str">
            <v>05</v>
          </cell>
          <cell r="B1640" t="str">
            <v>塑胶-国外内部</v>
          </cell>
          <cell r="C1640">
            <v>30.32</v>
          </cell>
        </row>
        <row r="1641">
          <cell r="A1641" t="str">
            <v>05</v>
          </cell>
          <cell r="B1641" t="str">
            <v>塑胶-国外内部</v>
          </cell>
          <cell r="C1641">
            <v>19.37</v>
          </cell>
        </row>
        <row r="1642">
          <cell r="A1642" t="str">
            <v>05</v>
          </cell>
          <cell r="B1642" t="str">
            <v>塑胶-国外内部</v>
          </cell>
          <cell r="C1642">
            <v>19</v>
          </cell>
        </row>
        <row r="1643">
          <cell r="A1643" t="str">
            <v>05</v>
          </cell>
          <cell r="B1643" t="str">
            <v>塑胶-国外内部</v>
          </cell>
          <cell r="C1643">
            <v>41.5</v>
          </cell>
        </row>
        <row r="1644">
          <cell r="A1644" t="str">
            <v>05</v>
          </cell>
          <cell r="B1644" t="str">
            <v>塑胶-国外内部</v>
          </cell>
          <cell r="C1644">
            <v>42.66</v>
          </cell>
        </row>
        <row r="1645">
          <cell r="A1645" t="str">
            <v>05</v>
          </cell>
          <cell r="B1645" t="str">
            <v>卷钢-国内外部</v>
          </cell>
          <cell r="C1645">
            <v>60</v>
          </cell>
        </row>
        <row r="1646">
          <cell r="A1646" t="str">
            <v>05</v>
          </cell>
          <cell r="B1646" t="str">
            <v>塑胶-国内外部</v>
          </cell>
          <cell r="C1646">
            <v>-301.83</v>
          </cell>
        </row>
        <row r="1647">
          <cell r="A1647" t="str">
            <v>05</v>
          </cell>
          <cell r="B1647" t="str">
            <v>塑胶-国内外部</v>
          </cell>
          <cell r="C1647">
            <v>349.19</v>
          </cell>
        </row>
        <row r="1648">
          <cell r="A1648" t="str">
            <v>05</v>
          </cell>
          <cell r="B1648" t="str">
            <v>塑胶-国内外部</v>
          </cell>
          <cell r="C1648">
            <v>571</v>
          </cell>
        </row>
        <row r="1649">
          <cell r="A1649" t="str">
            <v>05</v>
          </cell>
          <cell r="B1649" t="str">
            <v>塑胶-国内外部</v>
          </cell>
          <cell r="C1649">
            <v>-498.3</v>
          </cell>
        </row>
        <row r="1650">
          <cell r="A1650" t="str">
            <v>05</v>
          </cell>
          <cell r="B1650" t="str">
            <v>塑胶-国内外部</v>
          </cell>
          <cell r="C1650">
            <v>150.51</v>
          </cell>
        </row>
        <row r="1651">
          <cell r="A1651" t="str">
            <v>05</v>
          </cell>
          <cell r="B1651" t="str">
            <v>塑胶-国内外部</v>
          </cell>
          <cell r="C1651">
            <v>-495.7</v>
          </cell>
        </row>
        <row r="1652">
          <cell r="A1652" t="str">
            <v>05</v>
          </cell>
          <cell r="B1652" t="str">
            <v>塑胶-国内外部</v>
          </cell>
          <cell r="C1652">
            <v>156.13</v>
          </cell>
        </row>
        <row r="1653">
          <cell r="A1653" t="str">
            <v>05</v>
          </cell>
          <cell r="B1653" t="str">
            <v>塑胶-国内外部</v>
          </cell>
          <cell r="C1653">
            <v>21.43</v>
          </cell>
        </row>
        <row r="1654">
          <cell r="A1654" t="str">
            <v>05</v>
          </cell>
          <cell r="B1654" t="str">
            <v>塑胶-国内外部</v>
          </cell>
          <cell r="C1654">
            <v>212</v>
          </cell>
        </row>
        <row r="1655">
          <cell r="A1655" t="str">
            <v>05</v>
          </cell>
          <cell r="B1655" t="str">
            <v>塑胶-国内外部</v>
          </cell>
          <cell r="C1655">
            <v>374.41</v>
          </cell>
        </row>
        <row r="1656">
          <cell r="A1656" t="str">
            <v>05</v>
          </cell>
          <cell r="B1656" t="str">
            <v>塑胶-国内外部</v>
          </cell>
          <cell r="C1656">
            <v>118.03</v>
          </cell>
        </row>
        <row r="1657">
          <cell r="A1657" t="str">
            <v>05</v>
          </cell>
          <cell r="B1657" t="str">
            <v>卷钢-国内外部</v>
          </cell>
          <cell r="C1657">
            <v>191.24</v>
          </cell>
        </row>
        <row r="1658">
          <cell r="A1658" t="str">
            <v>05</v>
          </cell>
          <cell r="B1658" t="str">
            <v>塑胶-国内外部</v>
          </cell>
          <cell r="C1658">
            <v>301.83</v>
          </cell>
        </row>
        <row r="1659">
          <cell r="A1659" t="str">
            <v>05</v>
          </cell>
          <cell r="B1659" t="str">
            <v>塑胶-国内外部</v>
          </cell>
          <cell r="C1659">
            <v>498.3</v>
          </cell>
        </row>
        <row r="1660">
          <cell r="A1660" t="str">
            <v>05</v>
          </cell>
          <cell r="B1660" t="str">
            <v>塑胶-国内外部</v>
          </cell>
          <cell r="C1660">
            <v>495.7</v>
          </cell>
        </row>
        <row r="1661">
          <cell r="A1661" t="str">
            <v>05</v>
          </cell>
          <cell r="B1661" t="str">
            <v>卷钢-国内外部</v>
          </cell>
          <cell r="C1661">
            <v>87.12</v>
          </cell>
        </row>
        <row r="1662">
          <cell r="A1662" t="str">
            <v>05</v>
          </cell>
          <cell r="B1662" t="str">
            <v>塑胶-国内外部</v>
          </cell>
          <cell r="C1662">
            <v>54.5</v>
          </cell>
        </row>
        <row r="1663">
          <cell r="A1663" t="str">
            <v>05</v>
          </cell>
          <cell r="B1663" t="str">
            <v>塑胶-国内外部</v>
          </cell>
          <cell r="C1663">
            <v>72.67</v>
          </cell>
        </row>
        <row r="1664">
          <cell r="A1664" t="str">
            <v>05</v>
          </cell>
          <cell r="B1664" t="str">
            <v>塑胶-国内外部</v>
          </cell>
          <cell r="C1664">
            <v>184.2</v>
          </cell>
        </row>
        <row r="1665">
          <cell r="A1665" t="str">
            <v>05</v>
          </cell>
          <cell r="B1665" t="str">
            <v>塑胶-国内外部</v>
          </cell>
          <cell r="C1665">
            <v>220.8</v>
          </cell>
        </row>
        <row r="1666">
          <cell r="A1666" t="str">
            <v>05</v>
          </cell>
          <cell r="B1666" t="str">
            <v>卷钢-国内内部</v>
          </cell>
          <cell r="C1666">
            <v>57.36</v>
          </cell>
        </row>
        <row r="1667">
          <cell r="A1667" t="str">
            <v>05</v>
          </cell>
          <cell r="B1667" t="str">
            <v>塑胶-国内外部</v>
          </cell>
          <cell r="C1667">
            <v>21.2</v>
          </cell>
        </row>
        <row r="1668">
          <cell r="A1668" t="str">
            <v>05</v>
          </cell>
          <cell r="B1668" t="str">
            <v>塑胶-国内外部</v>
          </cell>
          <cell r="C1668">
            <v>222.14</v>
          </cell>
        </row>
        <row r="1669">
          <cell r="A1669" t="str">
            <v>05</v>
          </cell>
          <cell r="B1669" t="str">
            <v>塑胶-国内外部</v>
          </cell>
          <cell r="C1669">
            <v>34.92</v>
          </cell>
        </row>
        <row r="1670">
          <cell r="A1670" t="str">
            <v>05</v>
          </cell>
          <cell r="B1670" t="str">
            <v>塑胶-国内外部</v>
          </cell>
          <cell r="C1670">
            <v>69.2</v>
          </cell>
        </row>
        <row r="1671">
          <cell r="A1671" t="str">
            <v>05</v>
          </cell>
          <cell r="B1671" t="str">
            <v>塑胶-国内外部</v>
          </cell>
          <cell r="C1671">
            <v>19.61</v>
          </cell>
        </row>
        <row r="1672">
          <cell r="A1672" t="str">
            <v>05</v>
          </cell>
          <cell r="B1672" t="str">
            <v>塑胶-国内外部</v>
          </cell>
          <cell r="C1672">
            <v>22</v>
          </cell>
        </row>
        <row r="1673">
          <cell r="A1673" t="str">
            <v>05</v>
          </cell>
          <cell r="B1673" t="str">
            <v>塑胶-国内外部</v>
          </cell>
          <cell r="C1673">
            <v>84.8</v>
          </cell>
        </row>
        <row r="1674">
          <cell r="A1674" t="str">
            <v>05</v>
          </cell>
          <cell r="B1674" t="str">
            <v>塑胶-国内外部</v>
          </cell>
          <cell r="C1674">
            <v>123.67</v>
          </cell>
        </row>
        <row r="1675">
          <cell r="A1675" t="str">
            <v>05</v>
          </cell>
          <cell r="B1675" t="str">
            <v>塑胶-国内外部</v>
          </cell>
          <cell r="C1675">
            <v>98.7</v>
          </cell>
        </row>
        <row r="1676">
          <cell r="A1676" t="str">
            <v>05</v>
          </cell>
          <cell r="B1676" t="str">
            <v>塑胶-国内外部</v>
          </cell>
          <cell r="C1676">
            <v>39.340000000000003</v>
          </cell>
        </row>
        <row r="1677">
          <cell r="A1677" t="str">
            <v>05</v>
          </cell>
          <cell r="B1677" t="str">
            <v>塑胶-国内外部</v>
          </cell>
          <cell r="C1677">
            <v>17.46</v>
          </cell>
        </row>
        <row r="1678">
          <cell r="A1678" t="str">
            <v>05</v>
          </cell>
          <cell r="B1678" t="str">
            <v>塑胶-国内外部</v>
          </cell>
          <cell r="C1678">
            <v>19.61</v>
          </cell>
        </row>
        <row r="1679">
          <cell r="A1679" t="str">
            <v>05</v>
          </cell>
          <cell r="B1679" t="str">
            <v>塑胶-国内外部</v>
          </cell>
          <cell r="C1679">
            <v>21.2</v>
          </cell>
        </row>
        <row r="1680">
          <cell r="A1680" t="str">
            <v>05</v>
          </cell>
          <cell r="B1680" t="str">
            <v>卷钢-国内外部</v>
          </cell>
          <cell r="C1680">
            <v>18.329999999999998</v>
          </cell>
        </row>
        <row r="1681">
          <cell r="A1681" t="str">
            <v>05</v>
          </cell>
          <cell r="B1681" t="str">
            <v>卷钢-国内外部</v>
          </cell>
          <cell r="C1681">
            <v>20</v>
          </cell>
        </row>
        <row r="1682">
          <cell r="A1682" t="str">
            <v>05</v>
          </cell>
          <cell r="B1682" t="str">
            <v>塑胶-国内外部</v>
          </cell>
          <cell r="C1682">
            <v>297.89999999999998</v>
          </cell>
        </row>
        <row r="1683">
          <cell r="A1683" t="str">
            <v>05</v>
          </cell>
          <cell r="B1683" t="str">
            <v>塑胶-国内外部</v>
          </cell>
          <cell r="C1683">
            <v>235.3</v>
          </cell>
        </row>
        <row r="1684">
          <cell r="A1684" t="str">
            <v>05</v>
          </cell>
          <cell r="B1684" t="str">
            <v>塑胶-国内外部</v>
          </cell>
          <cell r="C1684">
            <v>109.01</v>
          </cell>
        </row>
        <row r="1685">
          <cell r="A1685" t="str">
            <v>05</v>
          </cell>
          <cell r="B1685" t="str">
            <v>塑胶-国内外部</v>
          </cell>
          <cell r="C1685">
            <v>345.99</v>
          </cell>
        </row>
        <row r="1686">
          <cell r="A1686" t="str">
            <v>05</v>
          </cell>
          <cell r="B1686" t="str">
            <v>塑胶-国内外部</v>
          </cell>
          <cell r="C1686">
            <v>56.86</v>
          </cell>
        </row>
        <row r="1687">
          <cell r="A1687" t="str">
            <v>05</v>
          </cell>
          <cell r="B1687" t="str">
            <v>卷钢-国内外部</v>
          </cell>
          <cell r="C1687">
            <v>232.26</v>
          </cell>
        </row>
        <row r="1688">
          <cell r="A1688" t="str">
            <v>05</v>
          </cell>
          <cell r="B1688" t="str">
            <v>卷钢-国内外部</v>
          </cell>
          <cell r="C1688">
            <v>191.24</v>
          </cell>
        </row>
        <row r="1689">
          <cell r="A1689" t="str">
            <v>05</v>
          </cell>
          <cell r="B1689" t="str">
            <v>塑胶-国内外部</v>
          </cell>
          <cell r="C1689">
            <v>12.9</v>
          </cell>
        </row>
        <row r="1690">
          <cell r="A1690" t="str">
            <v>05</v>
          </cell>
          <cell r="B1690" t="str">
            <v>塑胶-国内外部</v>
          </cell>
          <cell r="C1690">
            <v>34.92</v>
          </cell>
        </row>
        <row r="1691">
          <cell r="A1691" t="str">
            <v>05</v>
          </cell>
          <cell r="B1691" t="str">
            <v>塑胶-国内外部</v>
          </cell>
          <cell r="C1691">
            <v>18.420000000000002</v>
          </cell>
        </row>
        <row r="1692">
          <cell r="A1692" t="str">
            <v>05</v>
          </cell>
          <cell r="B1692" t="str">
            <v>塑胶-国内外部</v>
          </cell>
          <cell r="C1692">
            <v>15.25</v>
          </cell>
        </row>
        <row r="1693">
          <cell r="A1693" t="str">
            <v>05</v>
          </cell>
          <cell r="B1693" t="str">
            <v>塑胶-国内外部</v>
          </cell>
          <cell r="C1693">
            <v>15.19</v>
          </cell>
        </row>
        <row r="1694">
          <cell r="A1694" t="str">
            <v>05</v>
          </cell>
          <cell r="B1694" t="str">
            <v>塑胶-国内外部</v>
          </cell>
          <cell r="C1694">
            <v>-22</v>
          </cell>
        </row>
        <row r="1695">
          <cell r="A1695" t="str">
            <v>05</v>
          </cell>
          <cell r="B1695" t="str">
            <v>塑胶-国内外部</v>
          </cell>
          <cell r="C1695">
            <v>21.97</v>
          </cell>
        </row>
        <row r="1696">
          <cell r="A1696" t="str">
            <v>05</v>
          </cell>
          <cell r="B1696" t="str">
            <v>塑胶-国内外部</v>
          </cell>
          <cell r="C1696">
            <v>13.1</v>
          </cell>
        </row>
        <row r="1697">
          <cell r="A1697" t="str">
            <v>05</v>
          </cell>
          <cell r="B1697" t="str">
            <v>塑胶-国内外部</v>
          </cell>
          <cell r="C1697">
            <v>125.79</v>
          </cell>
        </row>
        <row r="1698">
          <cell r="A1698" t="str">
            <v>05</v>
          </cell>
          <cell r="B1698" t="str">
            <v>卷钢-国内内部</v>
          </cell>
          <cell r="C1698">
            <v>215.69</v>
          </cell>
        </row>
        <row r="1699">
          <cell r="A1699" t="str">
            <v>05</v>
          </cell>
          <cell r="B1699" t="str">
            <v>卷钢-国内内部</v>
          </cell>
          <cell r="C1699">
            <v>194.17</v>
          </cell>
        </row>
        <row r="1700">
          <cell r="A1700" t="str">
            <v>05</v>
          </cell>
          <cell r="B1700" t="str">
            <v>卷钢-国内外部</v>
          </cell>
          <cell r="C1700">
            <v>191.24</v>
          </cell>
        </row>
        <row r="1701">
          <cell r="A1701" t="str">
            <v>05</v>
          </cell>
          <cell r="B1701" t="str">
            <v>塑胶-国内外部</v>
          </cell>
          <cell r="C1701">
            <v>109.01</v>
          </cell>
        </row>
        <row r="1702">
          <cell r="A1702" t="str">
            <v>05</v>
          </cell>
          <cell r="B1702" t="str">
            <v>塑胶-国内外部</v>
          </cell>
          <cell r="C1702">
            <v>17.46</v>
          </cell>
        </row>
        <row r="1703">
          <cell r="A1703" t="str">
            <v>05</v>
          </cell>
          <cell r="B1703" t="str">
            <v>塑胶-国内外部</v>
          </cell>
          <cell r="C1703">
            <v>21.35</v>
          </cell>
        </row>
        <row r="1704">
          <cell r="A1704" t="str">
            <v>05</v>
          </cell>
          <cell r="B1704" t="str">
            <v>塑胶-国内外部</v>
          </cell>
          <cell r="C1704">
            <v>103.06</v>
          </cell>
        </row>
        <row r="1705">
          <cell r="A1705" t="str">
            <v>05</v>
          </cell>
          <cell r="B1705" t="str">
            <v>塑胶-国内外部</v>
          </cell>
          <cell r="C1705">
            <v>59.01</v>
          </cell>
        </row>
        <row r="1706">
          <cell r="A1706" t="str">
            <v>05</v>
          </cell>
          <cell r="B1706" t="str">
            <v>塑胶-国内外部</v>
          </cell>
          <cell r="C1706">
            <v>15.33</v>
          </cell>
        </row>
        <row r="1707">
          <cell r="A1707" t="str">
            <v>05</v>
          </cell>
          <cell r="B1707" t="str">
            <v>塑胶-国内外部</v>
          </cell>
          <cell r="C1707">
            <v>-21.35</v>
          </cell>
        </row>
        <row r="1708">
          <cell r="A1708" t="str">
            <v>05</v>
          </cell>
          <cell r="B1708" t="str">
            <v>塑胶-国内外部</v>
          </cell>
          <cell r="C1708">
            <v>22</v>
          </cell>
        </row>
        <row r="1709">
          <cell r="A1709" t="str">
            <v>05</v>
          </cell>
          <cell r="B1709" t="str">
            <v>塑胶-国内外部</v>
          </cell>
          <cell r="C1709">
            <v>206</v>
          </cell>
        </row>
        <row r="1710">
          <cell r="A1710" t="str">
            <v>05</v>
          </cell>
          <cell r="B1710" t="str">
            <v>塑胶-国内外部</v>
          </cell>
          <cell r="C1710">
            <v>18.93</v>
          </cell>
        </row>
        <row r="1711">
          <cell r="A1711" t="str">
            <v>05</v>
          </cell>
          <cell r="B1711" t="str">
            <v>塑胶-国内外部</v>
          </cell>
          <cell r="C1711">
            <v>18.73</v>
          </cell>
        </row>
        <row r="1712">
          <cell r="A1712" t="str">
            <v>05</v>
          </cell>
          <cell r="B1712" t="str">
            <v>塑胶-国内外部</v>
          </cell>
          <cell r="C1712">
            <v>18.55</v>
          </cell>
        </row>
        <row r="1713">
          <cell r="A1713" t="str">
            <v>05</v>
          </cell>
          <cell r="B1713" t="str">
            <v>塑胶-国内外部</v>
          </cell>
          <cell r="C1713">
            <v>38.520000000000003</v>
          </cell>
        </row>
        <row r="1714">
          <cell r="A1714" t="str">
            <v>05</v>
          </cell>
          <cell r="B1714" t="str">
            <v>塑胶-国内外部</v>
          </cell>
          <cell r="C1714">
            <v>18.62</v>
          </cell>
        </row>
        <row r="1715">
          <cell r="A1715" t="str">
            <v>05</v>
          </cell>
          <cell r="B1715" t="str">
            <v>塑胶-国内外部</v>
          </cell>
          <cell r="C1715">
            <v>226.98</v>
          </cell>
        </row>
        <row r="1716">
          <cell r="A1716" t="str">
            <v>05</v>
          </cell>
          <cell r="B1716" t="str">
            <v>塑胶-国内外部</v>
          </cell>
          <cell r="C1716">
            <v>138.4</v>
          </cell>
        </row>
        <row r="1717">
          <cell r="A1717" t="str">
            <v>05</v>
          </cell>
          <cell r="B1717" t="str">
            <v>塑胶-国内外部</v>
          </cell>
          <cell r="C1717">
            <v>19.05</v>
          </cell>
        </row>
        <row r="1718">
          <cell r="A1718" t="str">
            <v>05</v>
          </cell>
          <cell r="B1718" t="str">
            <v>塑胶-国内外部</v>
          </cell>
          <cell r="C1718">
            <v>123.68</v>
          </cell>
        </row>
        <row r="1719">
          <cell r="A1719" t="str">
            <v>05</v>
          </cell>
          <cell r="B1719" t="str">
            <v>塑胶-国内外部</v>
          </cell>
          <cell r="C1719">
            <v>118.02</v>
          </cell>
        </row>
        <row r="1720">
          <cell r="A1720" t="str">
            <v>05</v>
          </cell>
          <cell r="B1720" t="str">
            <v>卷钢-国内内部</v>
          </cell>
          <cell r="C1720">
            <v>0</v>
          </cell>
        </row>
        <row r="1721">
          <cell r="A1721" t="str">
            <v>05</v>
          </cell>
          <cell r="B1721" t="str">
            <v>塑胶-国内外部</v>
          </cell>
          <cell r="C1721">
            <v>17.46</v>
          </cell>
        </row>
        <row r="1722">
          <cell r="A1722" t="str">
            <v>05</v>
          </cell>
          <cell r="B1722" t="str">
            <v>塑胶-国内外部</v>
          </cell>
          <cell r="C1722">
            <v>386.81</v>
          </cell>
        </row>
        <row r="1723">
          <cell r="A1723" t="str">
            <v>05</v>
          </cell>
          <cell r="B1723" t="str">
            <v>塑胶-国内外部</v>
          </cell>
          <cell r="C1723">
            <v>98.5</v>
          </cell>
        </row>
        <row r="1724">
          <cell r="A1724" t="str">
            <v>05</v>
          </cell>
          <cell r="B1724" t="str">
            <v>塑胶-国内外部</v>
          </cell>
          <cell r="C1724">
            <v>4.2699999999999996</v>
          </cell>
        </row>
        <row r="1725">
          <cell r="A1725" t="str">
            <v>05</v>
          </cell>
          <cell r="B1725" t="str">
            <v>塑胶-国外内部</v>
          </cell>
          <cell r="C1725">
            <v>3.74</v>
          </cell>
        </row>
        <row r="1726">
          <cell r="A1726" t="str">
            <v>05</v>
          </cell>
          <cell r="B1726" t="str">
            <v>塑胶-国外内部</v>
          </cell>
          <cell r="C1726">
            <v>192.73</v>
          </cell>
        </row>
        <row r="1727">
          <cell r="A1727" t="str">
            <v>05</v>
          </cell>
          <cell r="B1727" t="str">
            <v>塑胶-国外内部</v>
          </cell>
          <cell r="C1727">
            <v>632.4</v>
          </cell>
        </row>
        <row r="1728">
          <cell r="A1728" t="str">
            <v>05</v>
          </cell>
          <cell r="B1728" t="str">
            <v>塑胶-国外内部</v>
          </cell>
          <cell r="C1728">
            <v>83.09</v>
          </cell>
        </row>
        <row r="1729">
          <cell r="A1729" t="str">
            <v>05</v>
          </cell>
          <cell r="B1729" t="str">
            <v>塑胶-国内外部</v>
          </cell>
          <cell r="C1729">
            <v>41.22</v>
          </cell>
        </row>
        <row r="1730">
          <cell r="A1730" t="str">
            <v>05</v>
          </cell>
          <cell r="B1730" t="str">
            <v>塑胶-国内外部</v>
          </cell>
          <cell r="C1730">
            <v>104</v>
          </cell>
        </row>
        <row r="1731">
          <cell r="A1731" t="str">
            <v>05</v>
          </cell>
          <cell r="B1731" t="str">
            <v>塑胶-国内外部</v>
          </cell>
          <cell r="C1731">
            <v>39.17</v>
          </cell>
        </row>
        <row r="1732">
          <cell r="A1732" t="str">
            <v>05</v>
          </cell>
          <cell r="B1732" t="str">
            <v>卷钢-国内内部</v>
          </cell>
          <cell r="C1732">
            <v>7.19</v>
          </cell>
        </row>
        <row r="1733">
          <cell r="A1733" t="str">
            <v>05</v>
          </cell>
          <cell r="B1733" t="str">
            <v>卷钢-国内内部</v>
          </cell>
          <cell r="C1733">
            <v>4.8</v>
          </cell>
        </row>
        <row r="1734">
          <cell r="A1734" t="str">
            <v>05</v>
          </cell>
          <cell r="B1734" t="str">
            <v>卷钢-国内外部</v>
          </cell>
          <cell r="C1734">
            <v>382.48</v>
          </cell>
        </row>
        <row r="1735">
          <cell r="A1735" t="str">
            <v>05</v>
          </cell>
          <cell r="B1735" t="str">
            <v>塑胶-国内外部</v>
          </cell>
          <cell r="C1735">
            <v>957</v>
          </cell>
        </row>
        <row r="1736">
          <cell r="A1736" t="str">
            <v>05</v>
          </cell>
          <cell r="B1736" t="str">
            <v>塑胶-国内外部</v>
          </cell>
          <cell r="C1736">
            <v>191.13</v>
          </cell>
        </row>
        <row r="1737">
          <cell r="A1737" t="str">
            <v>05</v>
          </cell>
          <cell r="B1737" t="str">
            <v>塑胶-国内外部</v>
          </cell>
          <cell r="C1737">
            <v>-22</v>
          </cell>
        </row>
        <row r="1738">
          <cell r="A1738" t="str">
            <v>05</v>
          </cell>
          <cell r="B1738" t="str">
            <v>塑胶-国内外部</v>
          </cell>
          <cell r="C1738">
            <v>832.03</v>
          </cell>
        </row>
        <row r="1739">
          <cell r="A1739" t="str">
            <v>05</v>
          </cell>
          <cell r="B1739" t="str">
            <v>塑胶-国内外部</v>
          </cell>
          <cell r="C1739">
            <v>865.55</v>
          </cell>
        </row>
        <row r="1740">
          <cell r="A1740" t="str">
            <v>05</v>
          </cell>
          <cell r="B1740" t="str">
            <v>塑胶-国内外部</v>
          </cell>
          <cell r="C1740">
            <v>92.58</v>
          </cell>
        </row>
        <row r="1741">
          <cell r="A1741" t="str">
            <v>05</v>
          </cell>
          <cell r="B1741" t="str">
            <v>塑胶-国内外部</v>
          </cell>
          <cell r="C1741">
            <v>173</v>
          </cell>
        </row>
        <row r="1742">
          <cell r="A1742" t="str">
            <v>05</v>
          </cell>
          <cell r="B1742" t="str">
            <v>塑胶-国内外部</v>
          </cell>
          <cell r="C1742">
            <v>-316.79000000000002</v>
          </cell>
        </row>
        <row r="1743">
          <cell r="A1743" t="str">
            <v>05</v>
          </cell>
          <cell r="B1743" t="str">
            <v>塑胶-国内外部</v>
          </cell>
          <cell r="C1743">
            <v>138.18</v>
          </cell>
        </row>
        <row r="1744">
          <cell r="A1744" t="str">
            <v>05</v>
          </cell>
          <cell r="B1744" t="str">
            <v>塑胶-国内外部</v>
          </cell>
          <cell r="C1744">
            <v>82.61</v>
          </cell>
        </row>
        <row r="1745">
          <cell r="A1745" t="str">
            <v>05</v>
          </cell>
          <cell r="B1745" t="str">
            <v>卷钢-国内外部</v>
          </cell>
          <cell r="C1745">
            <v>191.25</v>
          </cell>
        </row>
        <row r="1746">
          <cell r="A1746" t="str">
            <v>05</v>
          </cell>
          <cell r="B1746" t="str">
            <v>塑胶-国内外部</v>
          </cell>
          <cell r="C1746">
            <v>129.58000000000001</v>
          </cell>
        </row>
        <row r="1747">
          <cell r="A1747" t="str">
            <v>05</v>
          </cell>
          <cell r="B1747" t="str">
            <v>塑胶-国内外部</v>
          </cell>
          <cell r="C1747">
            <v>17.46</v>
          </cell>
        </row>
        <row r="1748">
          <cell r="A1748" t="str">
            <v>05</v>
          </cell>
          <cell r="B1748" t="str">
            <v>塑胶-国内外部</v>
          </cell>
          <cell r="C1748">
            <v>59.22</v>
          </cell>
        </row>
        <row r="1749">
          <cell r="A1749" t="str">
            <v>05</v>
          </cell>
          <cell r="B1749" t="str">
            <v>塑胶-国内外部</v>
          </cell>
          <cell r="C1749">
            <v>146.75</v>
          </cell>
        </row>
        <row r="1750">
          <cell r="A1750" t="str">
            <v>06</v>
          </cell>
          <cell r="B1750" t="str">
            <v>塑胶-国内外部</v>
          </cell>
          <cell r="C1750">
            <v>338.8</v>
          </cell>
        </row>
        <row r="1751">
          <cell r="A1751" t="str">
            <v>06</v>
          </cell>
          <cell r="B1751" t="str">
            <v>塑胶-国内外部</v>
          </cell>
          <cell r="C1751">
            <v>385.2</v>
          </cell>
        </row>
        <row r="1752">
          <cell r="A1752" t="str">
            <v>06</v>
          </cell>
          <cell r="B1752" t="str">
            <v>卷钢-国内外部</v>
          </cell>
          <cell r="C1752">
            <v>916.59</v>
          </cell>
        </row>
        <row r="1753">
          <cell r="A1753" t="str">
            <v>06</v>
          </cell>
          <cell r="B1753" t="str">
            <v>卷钢-国内外部</v>
          </cell>
          <cell r="C1753">
            <v>764.96</v>
          </cell>
        </row>
        <row r="1754">
          <cell r="A1754" t="str">
            <v>06</v>
          </cell>
          <cell r="B1754" t="str">
            <v>塑胶-国内外部</v>
          </cell>
          <cell r="C1754">
            <v>174.6</v>
          </cell>
        </row>
        <row r="1755">
          <cell r="A1755" t="str">
            <v>06</v>
          </cell>
          <cell r="B1755" t="str">
            <v>塑胶-国内外部</v>
          </cell>
          <cell r="C1755">
            <v>208.49</v>
          </cell>
        </row>
        <row r="1756">
          <cell r="A1756" t="str">
            <v>06</v>
          </cell>
          <cell r="B1756" t="str">
            <v>塑胶-国内外部</v>
          </cell>
          <cell r="C1756">
            <v>208.01</v>
          </cell>
        </row>
        <row r="1757">
          <cell r="A1757" t="str">
            <v>06</v>
          </cell>
          <cell r="B1757" t="str">
            <v>卷钢-国内外部</v>
          </cell>
          <cell r="C1757">
            <v>183.32</v>
          </cell>
        </row>
        <row r="1758">
          <cell r="A1758" t="str">
            <v>06</v>
          </cell>
          <cell r="B1758" t="str">
            <v>卷钢-国内外部</v>
          </cell>
          <cell r="C1758">
            <v>232.26</v>
          </cell>
        </row>
        <row r="1759">
          <cell r="A1759" t="str">
            <v>06</v>
          </cell>
          <cell r="B1759" t="str">
            <v>塑胶-国内外部</v>
          </cell>
          <cell r="C1759">
            <v>171.95</v>
          </cell>
        </row>
        <row r="1760">
          <cell r="A1760" t="str">
            <v>06</v>
          </cell>
          <cell r="B1760" t="str">
            <v>塑胶-国内外部</v>
          </cell>
          <cell r="C1760">
            <v>17.46</v>
          </cell>
        </row>
        <row r="1761">
          <cell r="A1761" t="str">
            <v>06</v>
          </cell>
          <cell r="B1761" t="str">
            <v>塑胶-国内外部</v>
          </cell>
          <cell r="C1761">
            <v>405.23</v>
          </cell>
        </row>
        <row r="1762">
          <cell r="A1762" t="str">
            <v>06</v>
          </cell>
          <cell r="B1762" t="str">
            <v>塑胶-国内外部</v>
          </cell>
          <cell r="C1762">
            <v>312.63</v>
          </cell>
        </row>
        <row r="1763">
          <cell r="A1763" t="str">
            <v>06</v>
          </cell>
          <cell r="B1763" t="str">
            <v>塑胶-国内外部</v>
          </cell>
          <cell r="C1763">
            <v>42.4</v>
          </cell>
        </row>
        <row r="1764">
          <cell r="A1764" t="str">
            <v>06</v>
          </cell>
          <cell r="B1764" t="str">
            <v>塑胶-国内外部</v>
          </cell>
          <cell r="C1764">
            <v>179.13</v>
          </cell>
        </row>
        <row r="1765">
          <cell r="A1765" t="str">
            <v>06</v>
          </cell>
          <cell r="B1765" t="str">
            <v>卷钢-国内外部</v>
          </cell>
          <cell r="C1765">
            <v>18.329999999999998</v>
          </cell>
        </row>
        <row r="1766">
          <cell r="A1766" t="str">
            <v>06</v>
          </cell>
          <cell r="B1766" t="str">
            <v>塑胶-国内外部</v>
          </cell>
          <cell r="C1766">
            <v>208.42</v>
          </cell>
        </row>
        <row r="1767">
          <cell r="A1767" t="str">
            <v>06</v>
          </cell>
          <cell r="B1767" t="str">
            <v>塑胶-国外内部</v>
          </cell>
          <cell r="C1767">
            <v>19.37</v>
          </cell>
        </row>
        <row r="1768">
          <cell r="A1768" t="str">
            <v>06</v>
          </cell>
          <cell r="B1768" t="str">
            <v>塑胶-国外内部</v>
          </cell>
          <cell r="C1768">
            <v>134.91</v>
          </cell>
        </row>
        <row r="1769">
          <cell r="A1769" t="str">
            <v>06</v>
          </cell>
          <cell r="B1769" t="str">
            <v>塑胶-国外内部</v>
          </cell>
          <cell r="C1769">
            <v>408</v>
          </cell>
        </row>
        <row r="1770">
          <cell r="A1770" t="str">
            <v>06</v>
          </cell>
          <cell r="B1770" t="str">
            <v>塑胶-国外内部</v>
          </cell>
          <cell r="C1770">
            <v>249.27</v>
          </cell>
        </row>
        <row r="1771">
          <cell r="A1771" t="str">
            <v>06</v>
          </cell>
          <cell r="B1771" t="str">
            <v>卷钢-国内外部</v>
          </cell>
          <cell r="C1771">
            <v>191.24</v>
          </cell>
        </row>
        <row r="1772">
          <cell r="A1772" t="str">
            <v>06</v>
          </cell>
          <cell r="B1772" t="str">
            <v>塑胶-国内外部</v>
          </cell>
          <cell r="C1772">
            <v>37.840000000000003</v>
          </cell>
        </row>
        <row r="1773">
          <cell r="A1773" t="str">
            <v>06</v>
          </cell>
          <cell r="B1773" t="str">
            <v>塑胶-国内外部</v>
          </cell>
          <cell r="C1773">
            <v>87.3</v>
          </cell>
        </row>
        <row r="1774">
          <cell r="A1774" t="str">
            <v>06</v>
          </cell>
          <cell r="B1774" t="str">
            <v>塑胶-国内外部</v>
          </cell>
          <cell r="C1774">
            <v>42.4</v>
          </cell>
        </row>
        <row r="1775">
          <cell r="A1775" t="str">
            <v>06</v>
          </cell>
          <cell r="B1775" t="str">
            <v>塑胶-国内外部</v>
          </cell>
          <cell r="C1775">
            <v>174.6</v>
          </cell>
        </row>
        <row r="1776">
          <cell r="A1776" t="str">
            <v>06</v>
          </cell>
          <cell r="B1776" t="str">
            <v>塑胶-国内外部</v>
          </cell>
          <cell r="C1776">
            <v>276.29000000000002</v>
          </cell>
        </row>
        <row r="1777">
          <cell r="A1777" t="str">
            <v>06</v>
          </cell>
          <cell r="B1777" t="str">
            <v>塑胶-国内外部</v>
          </cell>
          <cell r="C1777">
            <v>125.05</v>
          </cell>
        </row>
        <row r="1778">
          <cell r="A1778" t="str">
            <v>06</v>
          </cell>
          <cell r="B1778" t="str">
            <v>塑胶-国内外部</v>
          </cell>
          <cell r="C1778">
            <v>41.6</v>
          </cell>
        </row>
        <row r="1779">
          <cell r="A1779" t="str">
            <v>06</v>
          </cell>
          <cell r="B1779" t="str">
            <v>塑胶-国内外部</v>
          </cell>
          <cell r="C1779">
            <v>66.7</v>
          </cell>
        </row>
        <row r="1780">
          <cell r="A1780" t="str">
            <v>06</v>
          </cell>
          <cell r="B1780" t="str">
            <v>卷钢-国内内部</v>
          </cell>
          <cell r="C1780">
            <v>1012.29</v>
          </cell>
        </row>
        <row r="1781">
          <cell r="A1781" t="str">
            <v>06</v>
          </cell>
          <cell r="B1781" t="str">
            <v>卷钢-国内内部</v>
          </cell>
          <cell r="C1781">
            <v>40</v>
          </cell>
        </row>
        <row r="1782">
          <cell r="A1782" t="str">
            <v>06</v>
          </cell>
          <cell r="B1782" t="str">
            <v>卷钢-国内内部</v>
          </cell>
          <cell r="C1782">
            <v>2040</v>
          </cell>
        </row>
        <row r="1783">
          <cell r="A1783" t="str">
            <v>06</v>
          </cell>
          <cell r="B1783" t="str">
            <v>卷钢-国内外部</v>
          </cell>
          <cell r="C1783">
            <v>-191.24</v>
          </cell>
        </row>
        <row r="1784">
          <cell r="A1784" t="str">
            <v>06</v>
          </cell>
          <cell r="B1784" t="str">
            <v>塑胶-国内外部</v>
          </cell>
          <cell r="C1784">
            <v>17.45</v>
          </cell>
        </row>
        <row r="1785">
          <cell r="A1785" t="str">
            <v>06</v>
          </cell>
          <cell r="B1785" t="str">
            <v>塑胶-国内外部</v>
          </cell>
          <cell r="C1785">
            <v>20.399999999999999</v>
          </cell>
        </row>
        <row r="1786">
          <cell r="A1786" t="str">
            <v>06</v>
          </cell>
          <cell r="B1786" t="str">
            <v>塑胶-国内外部</v>
          </cell>
          <cell r="C1786">
            <v>8.08</v>
          </cell>
        </row>
        <row r="1787">
          <cell r="A1787" t="str">
            <v>06</v>
          </cell>
          <cell r="B1787" t="str">
            <v>塑胶-国外内部</v>
          </cell>
          <cell r="C1787">
            <v>967.01</v>
          </cell>
        </row>
        <row r="1788">
          <cell r="A1788" t="str">
            <v>06</v>
          </cell>
          <cell r="B1788" t="str">
            <v>塑胶-国外内部</v>
          </cell>
          <cell r="C1788">
            <v>319.97000000000003</v>
          </cell>
        </row>
        <row r="1789">
          <cell r="A1789" t="str">
            <v>06</v>
          </cell>
          <cell r="B1789" t="str">
            <v>卷钢-国内外部</v>
          </cell>
          <cell r="C1789">
            <v>183.32</v>
          </cell>
        </row>
        <row r="1790">
          <cell r="A1790" t="str">
            <v>06</v>
          </cell>
          <cell r="B1790" t="str">
            <v>卷钢-国内外部</v>
          </cell>
          <cell r="C1790">
            <v>232.26</v>
          </cell>
        </row>
        <row r="1791">
          <cell r="A1791" t="str">
            <v>06</v>
          </cell>
          <cell r="B1791" t="str">
            <v>卷钢-国内外部</v>
          </cell>
          <cell r="C1791">
            <v>191.24</v>
          </cell>
        </row>
        <row r="1792">
          <cell r="A1792" t="str">
            <v>06</v>
          </cell>
          <cell r="B1792" t="str">
            <v>卷钢-国内内部</v>
          </cell>
          <cell r="C1792">
            <v>40</v>
          </cell>
        </row>
        <row r="1793">
          <cell r="A1793" t="str">
            <v>06</v>
          </cell>
          <cell r="B1793" t="str">
            <v>卷钢-国内内部</v>
          </cell>
          <cell r="C1793">
            <v>20</v>
          </cell>
        </row>
        <row r="1794">
          <cell r="A1794" t="str">
            <v>06</v>
          </cell>
          <cell r="B1794" t="str">
            <v>卷钢-国内内部</v>
          </cell>
          <cell r="C1794">
            <v>20</v>
          </cell>
        </row>
        <row r="1795">
          <cell r="A1795" t="str">
            <v>06</v>
          </cell>
          <cell r="B1795" t="str">
            <v>卷钢-国内外部</v>
          </cell>
          <cell r="C1795">
            <v>876.96</v>
          </cell>
        </row>
        <row r="1796">
          <cell r="A1796" t="str">
            <v>06</v>
          </cell>
          <cell r="B1796" t="str">
            <v>塑胶-国内外部</v>
          </cell>
          <cell r="C1796">
            <v>349.18</v>
          </cell>
        </row>
        <row r="1797">
          <cell r="A1797" t="str">
            <v>06</v>
          </cell>
          <cell r="B1797" t="str">
            <v>塑胶-国内外部</v>
          </cell>
          <cell r="C1797">
            <v>276.3</v>
          </cell>
        </row>
        <row r="1798">
          <cell r="A1798" t="str">
            <v>06</v>
          </cell>
          <cell r="B1798" t="str">
            <v>塑胶-国内外部</v>
          </cell>
          <cell r="C1798">
            <v>312.01</v>
          </cell>
        </row>
        <row r="1799">
          <cell r="A1799" t="str">
            <v>06</v>
          </cell>
          <cell r="B1799" t="str">
            <v>塑胶-国内外部</v>
          </cell>
          <cell r="C1799">
            <v>432.81</v>
          </cell>
        </row>
        <row r="1800">
          <cell r="A1800" t="str">
            <v>06</v>
          </cell>
          <cell r="B1800" t="str">
            <v>塑胶-国内外部</v>
          </cell>
          <cell r="C1800">
            <v>37</v>
          </cell>
        </row>
        <row r="1801">
          <cell r="A1801" t="str">
            <v>06</v>
          </cell>
          <cell r="B1801" t="str">
            <v>塑胶-国内外部</v>
          </cell>
          <cell r="C1801">
            <v>-506.34</v>
          </cell>
        </row>
        <row r="1802">
          <cell r="A1802" t="str">
            <v>06</v>
          </cell>
          <cell r="B1802" t="str">
            <v>塑胶-国内外部</v>
          </cell>
          <cell r="C1802">
            <v>103.8</v>
          </cell>
        </row>
        <row r="1803">
          <cell r="A1803" t="str">
            <v>06</v>
          </cell>
          <cell r="B1803" t="str">
            <v>塑胶-国内外部</v>
          </cell>
          <cell r="C1803">
            <v>-331.55</v>
          </cell>
        </row>
        <row r="1804">
          <cell r="A1804" t="str">
            <v>06</v>
          </cell>
          <cell r="B1804" t="str">
            <v>塑胶-国内外部</v>
          </cell>
          <cell r="C1804">
            <v>-156.13</v>
          </cell>
        </row>
        <row r="1805">
          <cell r="A1805" t="str">
            <v>06</v>
          </cell>
          <cell r="B1805" t="str">
            <v>塑胶-国内外部</v>
          </cell>
          <cell r="C1805">
            <v>-21.43</v>
          </cell>
        </row>
        <row r="1806">
          <cell r="A1806" t="str">
            <v>06</v>
          </cell>
          <cell r="B1806" t="str">
            <v>塑胶-国内外部</v>
          </cell>
          <cell r="C1806">
            <v>42.4</v>
          </cell>
        </row>
        <row r="1807">
          <cell r="A1807" t="str">
            <v>06</v>
          </cell>
          <cell r="B1807" t="str">
            <v>塑胶-国内外部</v>
          </cell>
          <cell r="C1807">
            <v>-41.22</v>
          </cell>
        </row>
        <row r="1808">
          <cell r="A1808" t="str">
            <v>06</v>
          </cell>
          <cell r="B1808" t="str">
            <v>塑胶-国内外部</v>
          </cell>
          <cell r="C1808">
            <v>78.95</v>
          </cell>
        </row>
        <row r="1809">
          <cell r="A1809" t="str">
            <v>06</v>
          </cell>
          <cell r="B1809" t="str">
            <v>塑胶-国内外部</v>
          </cell>
          <cell r="C1809">
            <v>-374.41</v>
          </cell>
        </row>
        <row r="1810">
          <cell r="A1810" t="str">
            <v>06</v>
          </cell>
          <cell r="B1810" t="str">
            <v>塑胶-国内外部</v>
          </cell>
          <cell r="C1810">
            <v>-118.03</v>
          </cell>
        </row>
        <row r="1811">
          <cell r="A1811" t="str">
            <v>06</v>
          </cell>
          <cell r="B1811" t="str">
            <v>卷钢-国内外部</v>
          </cell>
          <cell r="C1811">
            <v>91.66</v>
          </cell>
        </row>
        <row r="1812">
          <cell r="A1812" t="str">
            <v>06</v>
          </cell>
          <cell r="B1812" t="str">
            <v>卷钢-国内外部</v>
          </cell>
          <cell r="C1812">
            <v>116.13</v>
          </cell>
        </row>
        <row r="1813">
          <cell r="A1813" t="str">
            <v>06</v>
          </cell>
          <cell r="B1813" t="str">
            <v>卷钢-国内外部</v>
          </cell>
          <cell r="C1813">
            <v>191.24</v>
          </cell>
        </row>
        <row r="1814">
          <cell r="A1814" t="str">
            <v>06</v>
          </cell>
          <cell r="B1814" t="str">
            <v>塑胶-国内外部</v>
          </cell>
          <cell r="C1814">
            <v>523.79</v>
          </cell>
        </row>
        <row r="1815">
          <cell r="A1815" t="str">
            <v>06</v>
          </cell>
          <cell r="B1815" t="str">
            <v>塑胶-国内外部</v>
          </cell>
          <cell r="C1815">
            <v>349.97</v>
          </cell>
        </row>
        <row r="1816">
          <cell r="A1816" t="str">
            <v>06</v>
          </cell>
          <cell r="B1816" t="str">
            <v>塑胶-国内外部</v>
          </cell>
          <cell r="C1816">
            <v>156.13</v>
          </cell>
        </row>
        <row r="1817">
          <cell r="A1817" t="str">
            <v>06</v>
          </cell>
          <cell r="B1817" t="str">
            <v>塑胶-国内外部</v>
          </cell>
          <cell r="C1817">
            <v>0</v>
          </cell>
        </row>
        <row r="1818">
          <cell r="A1818" t="str">
            <v>06</v>
          </cell>
          <cell r="B1818" t="str">
            <v>塑胶-国内外部</v>
          </cell>
          <cell r="C1818">
            <v>21.43</v>
          </cell>
        </row>
        <row r="1819">
          <cell r="A1819" t="str">
            <v>06</v>
          </cell>
          <cell r="B1819" t="str">
            <v>塑胶-国内外部</v>
          </cell>
          <cell r="C1819">
            <v>103.06</v>
          </cell>
        </row>
        <row r="1820">
          <cell r="A1820" t="str">
            <v>06</v>
          </cell>
          <cell r="B1820" t="str">
            <v>塑胶-国内外部</v>
          </cell>
          <cell r="C1820">
            <v>374.41</v>
          </cell>
        </row>
        <row r="1821">
          <cell r="A1821" t="str">
            <v>06</v>
          </cell>
          <cell r="B1821" t="str">
            <v>塑胶-国内外部</v>
          </cell>
          <cell r="C1821">
            <v>118.03</v>
          </cell>
        </row>
        <row r="1822">
          <cell r="A1822" t="str">
            <v>06</v>
          </cell>
          <cell r="B1822" t="str">
            <v>卷钢-国内外部</v>
          </cell>
          <cell r="C1822">
            <v>18.329999999999998</v>
          </cell>
        </row>
        <row r="1823">
          <cell r="A1823" t="str">
            <v>06</v>
          </cell>
          <cell r="B1823" t="str">
            <v>塑胶-国内外部</v>
          </cell>
          <cell r="C1823">
            <v>377.99</v>
          </cell>
        </row>
        <row r="1824">
          <cell r="A1824" t="str">
            <v>06</v>
          </cell>
          <cell r="B1824" t="str">
            <v>塑胶-国内外部</v>
          </cell>
          <cell r="C1824">
            <v>367.2</v>
          </cell>
        </row>
        <row r="1825">
          <cell r="A1825" t="str">
            <v>06</v>
          </cell>
          <cell r="B1825" t="str">
            <v>塑胶-国内外部</v>
          </cell>
          <cell r="C1825">
            <v>192.06</v>
          </cell>
        </row>
        <row r="1826">
          <cell r="A1826" t="str">
            <v>06</v>
          </cell>
          <cell r="B1826" t="str">
            <v>塑胶-国内外部</v>
          </cell>
          <cell r="C1826">
            <v>22</v>
          </cell>
        </row>
        <row r="1827">
          <cell r="A1827" t="str">
            <v>06</v>
          </cell>
          <cell r="B1827" t="str">
            <v>塑胶-国内外部</v>
          </cell>
          <cell r="C1827">
            <v>204</v>
          </cell>
        </row>
        <row r="1828">
          <cell r="A1828" t="str">
            <v>06</v>
          </cell>
          <cell r="B1828" t="str">
            <v>塑胶-国内外部</v>
          </cell>
          <cell r="C1828">
            <v>59.4</v>
          </cell>
        </row>
        <row r="1829">
          <cell r="A1829" t="str">
            <v>06</v>
          </cell>
          <cell r="B1829" t="str">
            <v>塑胶-国外内部</v>
          </cell>
          <cell r="C1829">
            <v>3.74</v>
          </cell>
        </row>
        <row r="1830">
          <cell r="A1830" t="str">
            <v>06</v>
          </cell>
          <cell r="B1830" t="str">
            <v>塑胶-国外内部</v>
          </cell>
          <cell r="C1830">
            <v>823.98</v>
          </cell>
        </row>
        <row r="1831">
          <cell r="A1831" t="str">
            <v>06</v>
          </cell>
          <cell r="B1831" t="str">
            <v>卷钢-国内外部</v>
          </cell>
          <cell r="C1831">
            <v>91.66</v>
          </cell>
        </row>
        <row r="1832">
          <cell r="A1832" t="str">
            <v>06</v>
          </cell>
          <cell r="B1832" t="str">
            <v>卷钢-国内外部</v>
          </cell>
          <cell r="C1832">
            <v>116.13</v>
          </cell>
        </row>
        <row r="1833">
          <cell r="A1833" t="str">
            <v>06</v>
          </cell>
          <cell r="B1833" t="str">
            <v>塑胶-国内外部</v>
          </cell>
          <cell r="C1833">
            <v>18.55</v>
          </cell>
        </row>
        <row r="1834">
          <cell r="A1834" t="str">
            <v>06</v>
          </cell>
          <cell r="B1834" t="str">
            <v>塑胶-国内外部</v>
          </cell>
          <cell r="C1834">
            <v>19.260000000000002</v>
          </cell>
        </row>
        <row r="1835">
          <cell r="A1835" t="str">
            <v>06</v>
          </cell>
          <cell r="B1835" t="str">
            <v>塑胶-国内外部</v>
          </cell>
          <cell r="C1835">
            <v>173</v>
          </cell>
        </row>
        <row r="1836">
          <cell r="A1836" t="str">
            <v>06</v>
          </cell>
          <cell r="B1836" t="str">
            <v>塑胶-国内外部</v>
          </cell>
          <cell r="C1836">
            <v>41.22</v>
          </cell>
        </row>
        <row r="1837">
          <cell r="A1837" t="str">
            <v>06</v>
          </cell>
          <cell r="B1837" t="str">
            <v>塑胶-国内外部</v>
          </cell>
          <cell r="C1837">
            <v>148.94999999999999</v>
          </cell>
        </row>
        <row r="1838">
          <cell r="A1838" t="str">
            <v>06</v>
          </cell>
          <cell r="B1838" t="str">
            <v>塑胶-国内外部</v>
          </cell>
          <cell r="C1838">
            <v>663.46</v>
          </cell>
        </row>
        <row r="1839">
          <cell r="A1839" t="str">
            <v>06</v>
          </cell>
          <cell r="B1839" t="str">
            <v>塑胶-国内外部</v>
          </cell>
          <cell r="C1839">
            <v>287.98</v>
          </cell>
        </row>
        <row r="1840">
          <cell r="A1840" t="str">
            <v>06</v>
          </cell>
          <cell r="B1840" t="str">
            <v>塑胶-国内外部</v>
          </cell>
          <cell r="C1840">
            <v>405.23</v>
          </cell>
        </row>
        <row r="1841">
          <cell r="A1841" t="str">
            <v>06</v>
          </cell>
          <cell r="B1841" t="str">
            <v>塑胶-国内外部</v>
          </cell>
          <cell r="C1841">
            <v>227.45</v>
          </cell>
        </row>
        <row r="1842">
          <cell r="A1842" t="str">
            <v>06</v>
          </cell>
          <cell r="B1842" t="str">
            <v>塑胶-国内外部</v>
          </cell>
          <cell r="C1842">
            <v>249.61</v>
          </cell>
        </row>
        <row r="1843">
          <cell r="A1843" t="str">
            <v>06</v>
          </cell>
          <cell r="B1843" t="str">
            <v>塑胶-国内外部</v>
          </cell>
          <cell r="C1843">
            <v>137.69999999999999</v>
          </cell>
        </row>
        <row r="1844">
          <cell r="A1844" t="str">
            <v>06</v>
          </cell>
          <cell r="B1844" t="str">
            <v>卷钢-国内外部</v>
          </cell>
          <cell r="C1844">
            <v>191.24</v>
          </cell>
        </row>
        <row r="1845">
          <cell r="A1845" t="str">
            <v>06</v>
          </cell>
          <cell r="B1845" t="str">
            <v>塑胶-国内外部</v>
          </cell>
          <cell r="C1845">
            <v>222.06</v>
          </cell>
        </row>
        <row r="1846">
          <cell r="A1846" t="str">
            <v>06</v>
          </cell>
          <cell r="B1846" t="str">
            <v>塑胶-国内外部</v>
          </cell>
          <cell r="C1846">
            <v>34.590000000000003</v>
          </cell>
        </row>
        <row r="1847">
          <cell r="A1847" t="str">
            <v>06</v>
          </cell>
          <cell r="B1847" t="str">
            <v>塑胶-国内外部</v>
          </cell>
          <cell r="C1847">
            <v>19.420000000000002</v>
          </cell>
        </row>
        <row r="1848">
          <cell r="A1848" t="str">
            <v>06</v>
          </cell>
          <cell r="B1848" t="str">
            <v>塑胶-国内外部</v>
          </cell>
          <cell r="C1848">
            <v>19.420000000000002</v>
          </cell>
        </row>
        <row r="1849">
          <cell r="A1849" t="str">
            <v>06</v>
          </cell>
          <cell r="B1849" t="str">
            <v>塑胶-国内外部</v>
          </cell>
          <cell r="C1849">
            <v>833.96</v>
          </cell>
        </row>
        <row r="1850">
          <cell r="A1850" t="str">
            <v>06</v>
          </cell>
          <cell r="B1850" t="str">
            <v>塑胶-国内外部</v>
          </cell>
          <cell r="C1850">
            <v>20</v>
          </cell>
        </row>
        <row r="1851">
          <cell r="A1851" t="str">
            <v>06</v>
          </cell>
          <cell r="B1851" t="str">
            <v>塑胶-国内外部</v>
          </cell>
          <cell r="C1851">
            <v>125.79</v>
          </cell>
        </row>
        <row r="1852">
          <cell r="A1852" t="str">
            <v>06</v>
          </cell>
          <cell r="B1852" t="str">
            <v>塑胶-国内外部</v>
          </cell>
          <cell r="C1852">
            <v>312.01</v>
          </cell>
        </row>
        <row r="1853">
          <cell r="A1853" t="str">
            <v>06</v>
          </cell>
          <cell r="B1853" t="str">
            <v>塑胶-国内外部</v>
          </cell>
          <cell r="C1853">
            <v>426.05</v>
          </cell>
        </row>
        <row r="1854">
          <cell r="A1854" t="str">
            <v>06</v>
          </cell>
          <cell r="B1854" t="str">
            <v>塑胶-国外内部</v>
          </cell>
          <cell r="C1854">
            <v>15.16</v>
          </cell>
        </row>
        <row r="1855">
          <cell r="A1855" t="str">
            <v>06</v>
          </cell>
          <cell r="B1855" t="str">
            <v>塑胶-国外内部</v>
          </cell>
          <cell r="C1855">
            <v>19.37</v>
          </cell>
        </row>
        <row r="1856">
          <cell r="A1856" t="str">
            <v>06</v>
          </cell>
          <cell r="B1856" t="str">
            <v>塑胶-国外内部</v>
          </cell>
          <cell r="C1856">
            <v>19</v>
          </cell>
        </row>
        <row r="1857">
          <cell r="A1857" t="str">
            <v>06</v>
          </cell>
          <cell r="B1857" t="str">
            <v>塑胶-国外内部</v>
          </cell>
          <cell r="C1857">
            <v>41.5</v>
          </cell>
        </row>
        <row r="1858">
          <cell r="A1858" t="str">
            <v>06</v>
          </cell>
          <cell r="B1858" t="str">
            <v>塑胶-国外内部</v>
          </cell>
          <cell r="C1858">
            <v>244.8</v>
          </cell>
        </row>
        <row r="1859">
          <cell r="A1859" t="str">
            <v>06</v>
          </cell>
          <cell r="B1859" t="str">
            <v>塑胶-国外内部</v>
          </cell>
          <cell r="C1859">
            <v>21.33</v>
          </cell>
        </row>
        <row r="1860">
          <cell r="A1860" t="str">
            <v>06</v>
          </cell>
          <cell r="B1860" t="str">
            <v>塑胶-国内外部</v>
          </cell>
          <cell r="C1860">
            <v>39.86</v>
          </cell>
        </row>
        <row r="1861">
          <cell r="A1861" t="str">
            <v>06</v>
          </cell>
          <cell r="B1861" t="str">
            <v>塑胶-国内外部</v>
          </cell>
          <cell r="C1861">
            <v>3.93</v>
          </cell>
        </row>
        <row r="1862">
          <cell r="A1862" t="str">
            <v>06</v>
          </cell>
          <cell r="B1862" t="str">
            <v>塑胶-国内外部</v>
          </cell>
          <cell r="C1862">
            <v>55.54</v>
          </cell>
        </row>
        <row r="1863">
          <cell r="A1863" t="str">
            <v>06</v>
          </cell>
          <cell r="B1863" t="str">
            <v>塑胶-国内外部</v>
          </cell>
          <cell r="C1863">
            <v>349.19</v>
          </cell>
        </row>
        <row r="1864">
          <cell r="A1864" t="str">
            <v>06</v>
          </cell>
          <cell r="B1864" t="str">
            <v>塑胶-国内外部</v>
          </cell>
          <cell r="C1864">
            <v>34.6</v>
          </cell>
        </row>
        <row r="1865">
          <cell r="A1865" t="str">
            <v>06</v>
          </cell>
          <cell r="B1865" t="str">
            <v>塑胶-国内外部</v>
          </cell>
          <cell r="C1865">
            <v>192.73</v>
          </cell>
        </row>
        <row r="1866">
          <cell r="A1866" t="str">
            <v>06</v>
          </cell>
          <cell r="B1866" t="str">
            <v>塑胶-国内外部</v>
          </cell>
          <cell r="C1866">
            <v>63.6</v>
          </cell>
        </row>
        <row r="1867">
          <cell r="A1867" t="str">
            <v>06</v>
          </cell>
          <cell r="B1867" t="str">
            <v>塑胶-国内外部</v>
          </cell>
          <cell r="C1867">
            <v>328.24</v>
          </cell>
        </row>
        <row r="1868">
          <cell r="A1868" t="str">
            <v>06</v>
          </cell>
          <cell r="B1868" t="str">
            <v>塑胶-国内外部</v>
          </cell>
          <cell r="C1868">
            <v>97.26</v>
          </cell>
        </row>
        <row r="1869">
          <cell r="A1869" t="str">
            <v>06</v>
          </cell>
          <cell r="B1869" t="str">
            <v>塑胶-国内外部</v>
          </cell>
          <cell r="C1869">
            <v>41.22</v>
          </cell>
        </row>
        <row r="1870">
          <cell r="A1870" t="str">
            <v>06</v>
          </cell>
          <cell r="B1870" t="str">
            <v>塑胶-国内外部</v>
          </cell>
          <cell r="C1870">
            <v>59.22</v>
          </cell>
        </row>
        <row r="1871">
          <cell r="A1871" t="str">
            <v>06</v>
          </cell>
          <cell r="B1871" t="str">
            <v>塑胶-国内外部</v>
          </cell>
          <cell r="C1871">
            <v>165.25</v>
          </cell>
        </row>
        <row r="1872">
          <cell r="A1872" t="str">
            <v>06</v>
          </cell>
          <cell r="B1872" t="str">
            <v>卷钢-国内外部</v>
          </cell>
          <cell r="C1872">
            <v>382.49</v>
          </cell>
        </row>
        <row r="1873">
          <cell r="A1873" t="str">
            <v>06</v>
          </cell>
          <cell r="B1873" t="str">
            <v>塑胶-国内外部</v>
          </cell>
          <cell r="C1873">
            <v>130.33000000000001</v>
          </cell>
        </row>
        <row r="1874">
          <cell r="A1874" t="str">
            <v>06</v>
          </cell>
          <cell r="B1874" t="str">
            <v>塑胶-国内外部</v>
          </cell>
          <cell r="C1874">
            <v>138.4</v>
          </cell>
        </row>
        <row r="1875">
          <cell r="A1875" t="str">
            <v>06</v>
          </cell>
          <cell r="B1875" t="str">
            <v>塑胶-国内外部</v>
          </cell>
          <cell r="C1875">
            <v>830.06</v>
          </cell>
        </row>
        <row r="1876">
          <cell r="A1876" t="str">
            <v>06</v>
          </cell>
          <cell r="B1876" t="str">
            <v>塑胶-国外内部</v>
          </cell>
          <cell r="C1876">
            <v>272.52</v>
          </cell>
        </row>
        <row r="1877">
          <cell r="A1877" t="str">
            <v>06</v>
          </cell>
          <cell r="B1877" t="str">
            <v>塑胶-国内外部</v>
          </cell>
          <cell r="C1877">
            <v>19.260000000000002</v>
          </cell>
        </row>
        <row r="1878">
          <cell r="A1878" t="str">
            <v>06</v>
          </cell>
          <cell r="B1878" t="str">
            <v>塑胶-国内外部</v>
          </cell>
          <cell r="C1878">
            <v>18.62</v>
          </cell>
        </row>
        <row r="1879">
          <cell r="A1879" t="str">
            <v>06</v>
          </cell>
          <cell r="B1879" t="str">
            <v>塑胶-国内外部</v>
          </cell>
          <cell r="C1879">
            <v>384.12</v>
          </cell>
        </row>
        <row r="1880">
          <cell r="A1880" t="str">
            <v>06</v>
          </cell>
          <cell r="B1880" t="str">
            <v>塑胶-国内外部</v>
          </cell>
          <cell r="C1880">
            <v>570.88</v>
          </cell>
        </row>
        <row r="1881">
          <cell r="A1881" t="str">
            <v>06</v>
          </cell>
          <cell r="B1881" t="str">
            <v>塑胶-国内外部</v>
          </cell>
          <cell r="C1881">
            <v>85.6</v>
          </cell>
        </row>
        <row r="1882">
          <cell r="A1882" t="str">
            <v>06</v>
          </cell>
          <cell r="B1882" t="str">
            <v>塑胶-国内外部</v>
          </cell>
          <cell r="C1882">
            <v>85.46</v>
          </cell>
        </row>
        <row r="1883">
          <cell r="A1883" t="str">
            <v>06</v>
          </cell>
          <cell r="B1883" t="str">
            <v>塑胶-国内外部</v>
          </cell>
          <cell r="C1883">
            <v>81.599999999999994</v>
          </cell>
        </row>
        <row r="1884">
          <cell r="A1884" t="str">
            <v>06</v>
          </cell>
          <cell r="B1884" t="str">
            <v>塑胶-国内外部</v>
          </cell>
          <cell r="C1884">
            <v>82.45</v>
          </cell>
        </row>
        <row r="1885">
          <cell r="A1885" t="str">
            <v>06</v>
          </cell>
          <cell r="B1885" t="str">
            <v>卷钢-国内外部</v>
          </cell>
          <cell r="C1885">
            <v>17.510000000000002</v>
          </cell>
        </row>
        <row r="1886">
          <cell r="A1886" t="str">
            <v>06</v>
          </cell>
          <cell r="B1886" t="str">
            <v>塑胶-国内外部</v>
          </cell>
          <cell r="C1886">
            <v>12.9</v>
          </cell>
        </row>
        <row r="1887">
          <cell r="A1887" t="str">
            <v>06</v>
          </cell>
          <cell r="B1887" t="str">
            <v>塑胶-国内外部</v>
          </cell>
          <cell r="C1887">
            <v>488.87</v>
          </cell>
        </row>
        <row r="1888">
          <cell r="A1888" t="str">
            <v>06</v>
          </cell>
          <cell r="B1888" t="str">
            <v>塑胶-国内外部</v>
          </cell>
          <cell r="C1888">
            <v>7.6</v>
          </cell>
        </row>
        <row r="1889">
          <cell r="A1889" t="str">
            <v>06</v>
          </cell>
          <cell r="B1889" t="str">
            <v>塑胶-国内外部</v>
          </cell>
          <cell r="C1889">
            <v>405.76</v>
          </cell>
        </row>
        <row r="1890">
          <cell r="A1890" t="str">
            <v>06</v>
          </cell>
          <cell r="B1890" t="str">
            <v>塑胶-国内外部</v>
          </cell>
          <cell r="C1890">
            <v>99.64</v>
          </cell>
        </row>
        <row r="1891">
          <cell r="A1891" t="str">
            <v>06</v>
          </cell>
          <cell r="B1891" t="str">
            <v>塑胶-国内外部</v>
          </cell>
          <cell r="C1891">
            <v>216.39</v>
          </cell>
        </row>
        <row r="1892">
          <cell r="A1892" t="str">
            <v>06</v>
          </cell>
          <cell r="B1892" t="str">
            <v>塑胶-国内外部</v>
          </cell>
          <cell r="C1892">
            <v>54.37</v>
          </cell>
        </row>
        <row r="1893">
          <cell r="A1893" t="str">
            <v>06</v>
          </cell>
          <cell r="B1893" t="str">
            <v>塑胶-国内外部</v>
          </cell>
          <cell r="C1893">
            <v>18.100000000000001</v>
          </cell>
        </row>
        <row r="1894">
          <cell r="A1894" t="str">
            <v>06</v>
          </cell>
          <cell r="B1894" t="str">
            <v>塑胶-国内外部</v>
          </cell>
          <cell r="C1894">
            <v>92.56</v>
          </cell>
        </row>
        <row r="1895">
          <cell r="A1895" t="str">
            <v>06</v>
          </cell>
          <cell r="B1895" t="str">
            <v>塑胶-国内外部</v>
          </cell>
          <cell r="C1895">
            <v>87.3</v>
          </cell>
        </row>
        <row r="1896">
          <cell r="A1896" t="str">
            <v>06</v>
          </cell>
          <cell r="B1896" t="str">
            <v>塑胶-国内外部</v>
          </cell>
          <cell r="C1896">
            <v>51.9</v>
          </cell>
        </row>
        <row r="1897">
          <cell r="A1897" t="str">
            <v>06</v>
          </cell>
          <cell r="B1897" t="str">
            <v>塑胶-国内外部</v>
          </cell>
          <cell r="C1897">
            <v>21.2</v>
          </cell>
        </row>
        <row r="1898">
          <cell r="A1898" t="str">
            <v>06</v>
          </cell>
          <cell r="B1898" t="str">
            <v>塑胶-国内外部</v>
          </cell>
          <cell r="C1898">
            <v>20.61</v>
          </cell>
        </row>
        <row r="1899">
          <cell r="A1899" t="str">
            <v>06</v>
          </cell>
          <cell r="B1899" t="str">
            <v>塑胶-国内外部</v>
          </cell>
          <cell r="C1899">
            <v>59.22</v>
          </cell>
        </row>
        <row r="1900">
          <cell r="A1900" t="str">
            <v>06</v>
          </cell>
          <cell r="B1900" t="str">
            <v>塑胶-国内外部</v>
          </cell>
          <cell r="C1900">
            <v>79.709999999999994</v>
          </cell>
        </row>
        <row r="1901">
          <cell r="A1901" t="str">
            <v>06</v>
          </cell>
          <cell r="B1901" t="str">
            <v>塑胶-国内外部</v>
          </cell>
          <cell r="C1901">
            <v>59.01</v>
          </cell>
        </row>
        <row r="1902">
          <cell r="A1902" t="str">
            <v>06</v>
          </cell>
          <cell r="B1902" t="str">
            <v>塑胶-国内外部</v>
          </cell>
          <cell r="C1902">
            <v>35.159999999999997</v>
          </cell>
        </row>
        <row r="1903">
          <cell r="A1903" t="str">
            <v>07</v>
          </cell>
          <cell r="B1903" t="str">
            <v>卷钢-国内外部</v>
          </cell>
          <cell r="C1903">
            <v>232.26</v>
          </cell>
        </row>
        <row r="1904">
          <cell r="A1904" t="str">
            <v>07</v>
          </cell>
          <cell r="B1904" t="str">
            <v>塑胶-国内外部</v>
          </cell>
          <cell r="C1904">
            <v>166.61</v>
          </cell>
        </row>
        <row r="1905">
          <cell r="A1905" t="str">
            <v>07</v>
          </cell>
          <cell r="B1905" t="str">
            <v>塑胶-国内外部</v>
          </cell>
          <cell r="C1905">
            <v>240.56</v>
          </cell>
        </row>
        <row r="1906">
          <cell r="A1906" t="str">
            <v>07</v>
          </cell>
          <cell r="B1906" t="str">
            <v>塑胶-国内外部</v>
          </cell>
          <cell r="C1906">
            <v>174.6</v>
          </cell>
        </row>
        <row r="1907">
          <cell r="A1907" t="str">
            <v>07</v>
          </cell>
          <cell r="B1907" t="str">
            <v>塑胶-国内外部</v>
          </cell>
          <cell r="C1907">
            <v>190.29</v>
          </cell>
        </row>
        <row r="1908">
          <cell r="A1908" t="str">
            <v>07</v>
          </cell>
          <cell r="B1908" t="str">
            <v>塑胶-国内外部</v>
          </cell>
          <cell r="C1908">
            <v>104.21</v>
          </cell>
        </row>
        <row r="1909">
          <cell r="A1909" t="str">
            <v>07</v>
          </cell>
          <cell r="B1909" t="str">
            <v>塑胶-国内外部</v>
          </cell>
          <cell r="C1909">
            <v>341.17</v>
          </cell>
        </row>
        <row r="1910">
          <cell r="A1910" t="str">
            <v>07</v>
          </cell>
          <cell r="B1910" t="str">
            <v>塑胶-国内外部</v>
          </cell>
          <cell r="C1910">
            <v>419.99</v>
          </cell>
        </row>
        <row r="1911">
          <cell r="A1911" t="str">
            <v>07</v>
          </cell>
          <cell r="B1911" t="str">
            <v>塑胶-国内外部</v>
          </cell>
          <cell r="C1911">
            <v>204</v>
          </cell>
        </row>
        <row r="1912">
          <cell r="A1912" t="str">
            <v>07</v>
          </cell>
          <cell r="B1912" t="str">
            <v>塑胶-国内外部</v>
          </cell>
          <cell r="C1912">
            <v>21.2</v>
          </cell>
        </row>
        <row r="1913">
          <cell r="A1913" t="str">
            <v>07</v>
          </cell>
          <cell r="B1913" t="str">
            <v>塑胶-国内外部</v>
          </cell>
          <cell r="C1913">
            <v>118.44</v>
          </cell>
        </row>
        <row r="1914">
          <cell r="A1914" t="str">
            <v>07</v>
          </cell>
          <cell r="B1914" t="str">
            <v>塑胶-国内外部</v>
          </cell>
          <cell r="C1914">
            <v>42.4</v>
          </cell>
        </row>
        <row r="1915">
          <cell r="A1915" t="str">
            <v>07</v>
          </cell>
          <cell r="B1915" t="str">
            <v>塑胶-国内外部</v>
          </cell>
          <cell r="C1915">
            <v>220.8</v>
          </cell>
        </row>
        <row r="1916">
          <cell r="A1916" t="str">
            <v>07</v>
          </cell>
          <cell r="B1916" t="str">
            <v>塑胶-国内外部</v>
          </cell>
          <cell r="C1916">
            <v>104.82</v>
          </cell>
        </row>
        <row r="1917">
          <cell r="A1917" t="str">
            <v>07</v>
          </cell>
          <cell r="B1917" t="str">
            <v>塑胶-国内外部</v>
          </cell>
          <cell r="C1917">
            <v>208.01</v>
          </cell>
        </row>
        <row r="1918">
          <cell r="A1918" t="str">
            <v>07</v>
          </cell>
          <cell r="B1918" t="str">
            <v>塑胶-国内外部</v>
          </cell>
          <cell r="C1918">
            <v>101.44</v>
          </cell>
        </row>
        <row r="1919">
          <cell r="A1919" t="str">
            <v>07</v>
          </cell>
          <cell r="B1919" t="str">
            <v>塑胶-国内外部</v>
          </cell>
          <cell r="C1919">
            <v>188.85</v>
          </cell>
        </row>
        <row r="1920">
          <cell r="A1920" t="str">
            <v>07</v>
          </cell>
          <cell r="B1920" t="str">
            <v>塑胶-国内外部</v>
          </cell>
          <cell r="C1920">
            <v>261.89</v>
          </cell>
        </row>
        <row r="1921">
          <cell r="A1921" t="str">
            <v>07</v>
          </cell>
          <cell r="B1921" t="str">
            <v>塑胶-国内外部</v>
          </cell>
          <cell r="C1921">
            <v>515.75</v>
          </cell>
        </row>
        <row r="1922">
          <cell r="A1922" t="str">
            <v>07</v>
          </cell>
          <cell r="B1922" t="str">
            <v>塑胶-国内外部</v>
          </cell>
          <cell r="C1922">
            <v>191.48</v>
          </cell>
        </row>
        <row r="1923">
          <cell r="A1923" t="str">
            <v>07</v>
          </cell>
          <cell r="B1923" t="str">
            <v>塑胶-国内外部</v>
          </cell>
          <cell r="C1923">
            <v>312.63</v>
          </cell>
        </row>
        <row r="1924">
          <cell r="A1924" t="str">
            <v>07</v>
          </cell>
          <cell r="B1924" t="str">
            <v>卷钢-国内内部</v>
          </cell>
          <cell r="C1924">
            <v>60</v>
          </cell>
        </row>
        <row r="1925">
          <cell r="A1925" t="str">
            <v>07</v>
          </cell>
          <cell r="B1925" t="str">
            <v>卷钢-国内内部</v>
          </cell>
          <cell r="C1925">
            <v>40</v>
          </cell>
        </row>
        <row r="1926">
          <cell r="A1926" t="str">
            <v>07</v>
          </cell>
          <cell r="B1926" t="str">
            <v>塑胶-国内外部</v>
          </cell>
          <cell r="C1926">
            <v>55.86</v>
          </cell>
        </row>
        <row r="1927">
          <cell r="A1927" t="str">
            <v>07</v>
          </cell>
          <cell r="B1927" t="str">
            <v>塑胶-国内外部</v>
          </cell>
          <cell r="C1927">
            <v>344.33</v>
          </cell>
        </row>
        <row r="1928">
          <cell r="A1928" t="str">
            <v>07</v>
          </cell>
          <cell r="B1928" t="str">
            <v>塑胶-国内外部</v>
          </cell>
          <cell r="C1928">
            <v>90.84</v>
          </cell>
        </row>
        <row r="1929">
          <cell r="A1929" t="str">
            <v>07</v>
          </cell>
          <cell r="B1929" t="str">
            <v>塑胶-国内外部</v>
          </cell>
          <cell r="C1929">
            <v>698.38</v>
          </cell>
        </row>
        <row r="1930">
          <cell r="A1930" t="str">
            <v>07</v>
          </cell>
          <cell r="B1930" t="str">
            <v>塑胶-国内外部</v>
          </cell>
          <cell r="C1930">
            <v>345.99</v>
          </cell>
        </row>
        <row r="1931">
          <cell r="A1931" t="str">
            <v>07</v>
          </cell>
          <cell r="B1931" t="str">
            <v>塑胶-国内外部</v>
          </cell>
          <cell r="C1931">
            <v>368.39</v>
          </cell>
        </row>
        <row r="1932">
          <cell r="A1932" t="str">
            <v>07</v>
          </cell>
          <cell r="B1932" t="str">
            <v>塑胶-国内外部</v>
          </cell>
          <cell r="C1932">
            <v>406.6</v>
          </cell>
        </row>
        <row r="1933">
          <cell r="A1933" t="str">
            <v>07</v>
          </cell>
          <cell r="B1933" t="str">
            <v>塑胶-国内外部</v>
          </cell>
          <cell r="C1933">
            <v>21</v>
          </cell>
        </row>
        <row r="1934">
          <cell r="A1934" t="str">
            <v>07</v>
          </cell>
          <cell r="B1934" t="str">
            <v>塑胶-国内外部</v>
          </cell>
          <cell r="C1934">
            <v>408</v>
          </cell>
        </row>
        <row r="1935">
          <cell r="A1935" t="str">
            <v>07</v>
          </cell>
          <cell r="B1935" t="str">
            <v>塑胶-国内外部</v>
          </cell>
          <cell r="C1935">
            <v>624.03</v>
          </cell>
        </row>
        <row r="1936">
          <cell r="A1936" t="str">
            <v>07</v>
          </cell>
          <cell r="B1936" t="str">
            <v>塑胶-国内外部</v>
          </cell>
          <cell r="C1936">
            <v>507.2</v>
          </cell>
        </row>
        <row r="1937">
          <cell r="A1937" t="str">
            <v>07</v>
          </cell>
          <cell r="B1937" t="str">
            <v>塑胶-国内外部</v>
          </cell>
          <cell r="C1937">
            <v>255.73</v>
          </cell>
        </row>
        <row r="1938">
          <cell r="A1938" t="str">
            <v>07</v>
          </cell>
          <cell r="B1938" t="str">
            <v>卷钢-国内外部</v>
          </cell>
          <cell r="C1938">
            <v>174.25</v>
          </cell>
        </row>
        <row r="1939">
          <cell r="A1939" t="str">
            <v>07</v>
          </cell>
          <cell r="B1939" t="str">
            <v>塑胶-国内外部</v>
          </cell>
          <cell r="C1939">
            <v>333.21</v>
          </cell>
        </row>
        <row r="1940">
          <cell r="A1940" t="str">
            <v>07</v>
          </cell>
          <cell r="B1940" t="str">
            <v>塑胶-国内外部</v>
          </cell>
          <cell r="C1940">
            <v>17.46</v>
          </cell>
        </row>
        <row r="1941">
          <cell r="A1941" t="str">
            <v>07</v>
          </cell>
          <cell r="B1941" t="str">
            <v>塑胶-国内外部</v>
          </cell>
          <cell r="C1941">
            <v>69.2</v>
          </cell>
        </row>
        <row r="1942">
          <cell r="A1942" t="str">
            <v>07</v>
          </cell>
          <cell r="B1942" t="str">
            <v>塑胶-国内外部</v>
          </cell>
          <cell r="C1942">
            <v>169.4</v>
          </cell>
        </row>
        <row r="1943">
          <cell r="A1943" t="str">
            <v>07</v>
          </cell>
          <cell r="B1943" t="str">
            <v>塑胶-国内外部</v>
          </cell>
          <cell r="C1943">
            <v>157.91</v>
          </cell>
        </row>
        <row r="1944">
          <cell r="A1944" t="str">
            <v>07</v>
          </cell>
          <cell r="B1944" t="str">
            <v>塑胶-国内外部</v>
          </cell>
          <cell r="C1944">
            <v>51.14</v>
          </cell>
        </row>
        <row r="1945">
          <cell r="A1945" t="str">
            <v>07</v>
          </cell>
          <cell r="B1945" t="str">
            <v>塑胶-国外内部</v>
          </cell>
          <cell r="C1945">
            <v>154.19</v>
          </cell>
        </row>
        <row r="1946">
          <cell r="A1946" t="str">
            <v>07</v>
          </cell>
          <cell r="B1946" t="str">
            <v>塑胶-国外内部</v>
          </cell>
          <cell r="C1946">
            <v>428.4</v>
          </cell>
        </row>
        <row r="1947">
          <cell r="A1947" t="str">
            <v>07</v>
          </cell>
          <cell r="B1947" t="str">
            <v>塑胶-国外内部</v>
          </cell>
          <cell r="C1947">
            <v>83.09</v>
          </cell>
        </row>
        <row r="1948">
          <cell r="A1948" t="str">
            <v>07</v>
          </cell>
          <cell r="B1948" t="str">
            <v>塑胶-国内外部</v>
          </cell>
          <cell r="C1948">
            <v>219.88</v>
          </cell>
        </row>
        <row r="1949">
          <cell r="A1949" t="str">
            <v>07</v>
          </cell>
          <cell r="B1949" t="str">
            <v>塑胶-国内外部</v>
          </cell>
          <cell r="C1949">
            <v>384.11</v>
          </cell>
        </row>
        <row r="1950">
          <cell r="A1950" t="str">
            <v>07</v>
          </cell>
          <cell r="B1950" t="str">
            <v>塑胶-国内外部</v>
          </cell>
          <cell r="C1950">
            <v>3.83</v>
          </cell>
        </row>
        <row r="1951">
          <cell r="A1951" t="str">
            <v>07</v>
          </cell>
          <cell r="B1951" t="str">
            <v>塑胶-国内外部</v>
          </cell>
          <cell r="C1951">
            <v>511.75</v>
          </cell>
        </row>
        <row r="1952">
          <cell r="A1952" t="str">
            <v>07</v>
          </cell>
          <cell r="B1952" t="str">
            <v>塑胶-国内外部</v>
          </cell>
          <cell r="C1952">
            <v>21.35</v>
          </cell>
        </row>
        <row r="1953">
          <cell r="A1953" t="str">
            <v>07</v>
          </cell>
          <cell r="B1953" t="str">
            <v>塑胶-国内外部</v>
          </cell>
          <cell r="C1953">
            <v>21.43</v>
          </cell>
        </row>
        <row r="1954">
          <cell r="A1954" t="str">
            <v>07</v>
          </cell>
          <cell r="B1954" t="str">
            <v>塑胶-国内外部</v>
          </cell>
          <cell r="C1954">
            <v>19.05</v>
          </cell>
        </row>
        <row r="1955">
          <cell r="A1955" t="str">
            <v>07</v>
          </cell>
          <cell r="B1955" t="str">
            <v>塑胶-国内外部</v>
          </cell>
          <cell r="C1955">
            <v>20.95</v>
          </cell>
        </row>
        <row r="1956">
          <cell r="A1956" t="str">
            <v>07</v>
          </cell>
          <cell r="B1956" t="str">
            <v>塑胶-国内外部</v>
          </cell>
          <cell r="C1956">
            <v>42.4</v>
          </cell>
        </row>
        <row r="1957">
          <cell r="A1957" t="str">
            <v>07</v>
          </cell>
          <cell r="B1957" t="str">
            <v>塑胶-国内外部</v>
          </cell>
          <cell r="C1957">
            <v>41.23</v>
          </cell>
        </row>
        <row r="1958">
          <cell r="A1958" t="str">
            <v>07</v>
          </cell>
          <cell r="B1958" t="str">
            <v>塑胶-国内外部</v>
          </cell>
          <cell r="C1958">
            <v>208.01</v>
          </cell>
        </row>
        <row r="1959">
          <cell r="A1959" t="str">
            <v>07</v>
          </cell>
          <cell r="B1959" t="str">
            <v>塑胶-国内外部</v>
          </cell>
          <cell r="C1959">
            <v>284.02999999999997</v>
          </cell>
        </row>
        <row r="1960">
          <cell r="A1960" t="str">
            <v>07</v>
          </cell>
          <cell r="B1960" t="str">
            <v>塑胶-国内外部</v>
          </cell>
          <cell r="C1960">
            <v>86.55</v>
          </cell>
        </row>
        <row r="1961">
          <cell r="A1961" t="str">
            <v>07</v>
          </cell>
          <cell r="B1961" t="str">
            <v>塑胶-国内外部</v>
          </cell>
          <cell r="C1961">
            <v>17.46</v>
          </cell>
        </row>
        <row r="1962">
          <cell r="A1962" t="str">
            <v>07</v>
          </cell>
          <cell r="B1962" t="str">
            <v>塑胶-国内外部</v>
          </cell>
          <cell r="C1962">
            <v>254.1</v>
          </cell>
        </row>
        <row r="1963">
          <cell r="A1963" t="str">
            <v>07</v>
          </cell>
          <cell r="B1963" t="str">
            <v>塑胶-国内外部</v>
          </cell>
          <cell r="C1963">
            <v>287.22000000000003</v>
          </cell>
        </row>
        <row r="1964">
          <cell r="A1964" t="str">
            <v>07</v>
          </cell>
          <cell r="B1964" t="str">
            <v>塑胶-国内外部</v>
          </cell>
          <cell r="C1964">
            <v>0</v>
          </cell>
        </row>
        <row r="1965">
          <cell r="A1965" t="str">
            <v>07</v>
          </cell>
          <cell r="B1965" t="str">
            <v>塑胶-国内外部</v>
          </cell>
          <cell r="C1965">
            <v>42.4</v>
          </cell>
        </row>
        <row r="1966">
          <cell r="A1966" t="str">
            <v>07</v>
          </cell>
          <cell r="B1966" t="str">
            <v>塑胶-国内外部</v>
          </cell>
          <cell r="C1966">
            <v>110.4</v>
          </cell>
        </row>
        <row r="1967">
          <cell r="A1967" t="str">
            <v>07</v>
          </cell>
          <cell r="B1967" t="str">
            <v>塑胶-国内外部</v>
          </cell>
          <cell r="C1967">
            <v>589.42999999999995</v>
          </cell>
        </row>
        <row r="1968">
          <cell r="A1968" t="str">
            <v>07</v>
          </cell>
          <cell r="B1968" t="str">
            <v>塑胶-国内外部</v>
          </cell>
          <cell r="C1968">
            <v>19.420000000000002</v>
          </cell>
        </row>
        <row r="1969">
          <cell r="A1969" t="str">
            <v>07</v>
          </cell>
          <cell r="B1969" t="str">
            <v>塑胶-国内外部</v>
          </cell>
          <cell r="C1969">
            <v>19.420000000000002</v>
          </cell>
        </row>
        <row r="1970">
          <cell r="A1970" t="str">
            <v>07</v>
          </cell>
          <cell r="B1970" t="str">
            <v>塑胶-国内外部</v>
          </cell>
          <cell r="C1970">
            <v>398.99</v>
          </cell>
        </row>
        <row r="1971">
          <cell r="A1971" t="str">
            <v>07</v>
          </cell>
          <cell r="B1971" t="str">
            <v>塑胶-国内外部</v>
          </cell>
          <cell r="C1971">
            <v>128.19999999999999</v>
          </cell>
        </row>
        <row r="1972">
          <cell r="A1972" t="str">
            <v>07</v>
          </cell>
          <cell r="B1972" t="str">
            <v>塑胶-国内外部</v>
          </cell>
          <cell r="C1972">
            <v>208.01</v>
          </cell>
        </row>
        <row r="1973">
          <cell r="A1973" t="str">
            <v>07</v>
          </cell>
          <cell r="B1973" t="str">
            <v>塑胶-国内外部</v>
          </cell>
          <cell r="C1973">
            <v>507.2</v>
          </cell>
        </row>
        <row r="1974">
          <cell r="A1974" t="str">
            <v>07</v>
          </cell>
          <cell r="B1974" t="str">
            <v>塑胶-国内外部</v>
          </cell>
          <cell r="C1974">
            <v>196.71</v>
          </cell>
        </row>
        <row r="1975">
          <cell r="A1975" t="str">
            <v>07</v>
          </cell>
          <cell r="B1975" t="str">
            <v>卷钢-国内外部</v>
          </cell>
          <cell r="C1975">
            <v>183.32</v>
          </cell>
        </row>
        <row r="1976">
          <cell r="A1976" t="str">
            <v>07</v>
          </cell>
          <cell r="B1976" t="str">
            <v>卷钢-国内外部</v>
          </cell>
          <cell r="C1976">
            <v>116.13</v>
          </cell>
        </row>
        <row r="1977">
          <cell r="A1977" t="str">
            <v>07</v>
          </cell>
          <cell r="B1977" t="str">
            <v>卷钢-国内外部</v>
          </cell>
          <cell r="C1977">
            <v>191.24</v>
          </cell>
        </row>
        <row r="1978">
          <cell r="A1978" t="str">
            <v>07</v>
          </cell>
          <cell r="B1978" t="str">
            <v>塑胶-国内外部</v>
          </cell>
          <cell r="C1978">
            <v>611.09</v>
          </cell>
        </row>
        <row r="1979">
          <cell r="A1979" t="str">
            <v>07</v>
          </cell>
          <cell r="B1979" t="str">
            <v>塑胶-国内外部</v>
          </cell>
          <cell r="C1979">
            <v>1016.4</v>
          </cell>
        </row>
        <row r="1980">
          <cell r="A1980" t="str">
            <v>07</v>
          </cell>
          <cell r="B1980" t="str">
            <v>塑胶-国内外部</v>
          </cell>
          <cell r="C1980">
            <v>1080.3599999999999</v>
          </cell>
        </row>
        <row r="1981">
          <cell r="A1981" t="str">
            <v>07</v>
          </cell>
          <cell r="B1981" t="str">
            <v>卷钢-国内外部</v>
          </cell>
          <cell r="C1981">
            <v>0</v>
          </cell>
        </row>
        <row r="1982">
          <cell r="A1982" t="str">
            <v>07</v>
          </cell>
          <cell r="B1982" t="str">
            <v>塑胶-国内外部</v>
          </cell>
          <cell r="C1982">
            <v>111.07</v>
          </cell>
        </row>
        <row r="1983">
          <cell r="A1983" t="str">
            <v>07</v>
          </cell>
          <cell r="B1983" t="str">
            <v>塑胶-国内外部</v>
          </cell>
          <cell r="C1983">
            <v>174.6</v>
          </cell>
        </row>
        <row r="1984">
          <cell r="A1984" t="str">
            <v>07</v>
          </cell>
          <cell r="B1984" t="str">
            <v>塑胶-国内外部</v>
          </cell>
          <cell r="C1984">
            <v>11.44</v>
          </cell>
        </row>
        <row r="1985">
          <cell r="A1985" t="str">
            <v>07</v>
          </cell>
          <cell r="B1985" t="str">
            <v>塑胶-国内外部</v>
          </cell>
          <cell r="C1985">
            <v>477.83</v>
          </cell>
        </row>
        <row r="1986">
          <cell r="A1986" t="str">
            <v>07</v>
          </cell>
          <cell r="B1986" t="str">
            <v>塑胶-国内外部</v>
          </cell>
          <cell r="C1986">
            <v>521.04999999999995</v>
          </cell>
        </row>
        <row r="1987">
          <cell r="A1987" t="str">
            <v>07</v>
          </cell>
          <cell r="B1987" t="str">
            <v>塑胶-国内外部</v>
          </cell>
          <cell r="C1987">
            <v>22.79</v>
          </cell>
        </row>
        <row r="1988">
          <cell r="A1988" t="str">
            <v>07</v>
          </cell>
          <cell r="B1988" t="str">
            <v>塑胶-国内外部</v>
          </cell>
          <cell r="C1988">
            <v>42.4</v>
          </cell>
        </row>
        <row r="1989">
          <cell r="A1989" t="str">
            <v>07</v>
          </cell>
          <cell r="B1989" t="str">
            <v>塑胶-国内外部</v>
          </cell>
          <cell r="C1989">
            <v>41.22</v>
          </cell>
        </row>
        <row r="1990">
          <cell r="A1990" t="str">
            <v>07</v>
          </cell>
          <cell r="B1990" t="str">
            <v>塑胶-国内外部</v>
          </cell>
          <cell r="C1990">
            <v>78.959999999999994</v>
          </cell>
        </row>
        <row r="1991">
          <cell r="A1991" t="str">
            <v>07</v>
          </cell>
          <cell r="B1991" t="str">
            <v>塑胶-国内外部</v>
          </cell>
          <cell r="C1991">
            <v>63.6</v>
          </cell>
        </row>
        <row r="1992">
          <cell r="A1992" t="str">
            <v>07</v>
          </cell>
          <cell r="B1992" t="str">
            <v>塑胶-国内外部</v>
          </cell>
          <cell r="C1992">
            <v>287.04000000000002</v>
          </cell>
        </row>
        <row r="1993">
          <cell r="A1993" t="str">
            <v>07</v>
          </cell>
          <cell r="B1993" t="str">
            <v>塑胶-国内外部</v>
          </cell>
          <cell r="C1993">
            <v>98.36</v>
          </cell>
        </row>
        <row r="1994">
          <cell r="A1994" t="str">
            <v>07</v>
          </cell>
          <cell r="B1994" t="str">
            <v>卷钢-国内外部</v>
          </cell>
          <cell r="C1994">
            <v>382.48</v>
          </cell>
        </row>
        <row r="1995">
          <cell r="A1995" t="str">
            <v>07</v>
          </cell>
          <cell r="B1995" t="str">
            <v>塑胶-国内外部</v>
          </cell>
          <cell r="C1995">
            <v>72.400000000000006</v>
          </cell>
        </row>
        <row r="1996">
          <cell r="A1996" t="str">
            <v>07</v>
          </cell>
          <cell r="B1996" t="str">
            <v>塑胶-国内外部</v>
          </cell>
          <cell r="C1996">
            <v>181.68</v>
          </cell>
        </row>
        <row r="1997">
          <cell r="A1997" t="str">
            <v>07</v>
          </cell>
          <cell r="B1997" t="str">
            <v>塑胶-国内外部</v>
          </cell>
          <cell r="C1997">
            <v>39.86</v>
          </cell>
        </row>
        <row r="1998">
          <cell r="A1998" t="str">
            <v>07</v>
          </cell>
          <cell r="B1998" t="str">
            <v>塑胶-国内外部</v>
          </cell>
          <cell r="C1998">
            <v>255.73</v>
          </cell>
        </row>
        <row r="1999">
          <cell r="A1999" t="str">
            <v>07</v>
          </cell>
          <cell r="B1999" t="str">
            <v>塑胶-国内外部</v>
          </cell>
          <cell r="C1999">
            <v>214.94</v>
          </cell>
        </row>
        <row r="2000">
          <cell r="A2000" t="str">
            <v>07</v>
          </cell>
          <cell r="B2000" t="str">
            <v>塑胶-国内外部</v>
          </cell>
          <cell r="C2000">
            <v>523.79</v>
          </cell>
        </row>
        <row r="2001">
          <cell r="A2001" t="str">
            <v>07</v>
          </cell>
          <cell r="B2001" t="str">
            <v>塑胶-国内外部</v>
          </cell>
          <cell r="C2001">
            <v>125.06</v>
          </cell>
        </row>
        <row r="2002">
          <cell r="A2002" t="str">
            <v>07</v>
          </cell>
          <cell r="B2002" t="str">
            <v>塑胶-国内外部</v>
          </cell>
          <cell r="C2002">
            <v>59.1</v>
          </cell>
        </row>
        <row r="2003">
          <cell r="A2003" t="str">
            <v>07</v>
          </cell>
          <cell r="B2003" t="str">
            <v>塑胶-国内外部</v>
          </cell>
          <cell r="C2003">
            <v>42.4</v>
          </cell>
        </row>
        <row r="2004">
          <cell r="A2004" t="str">
            <v>07</v>
          </cell>
          <cell r="B2004" t="str">
            <v>塑胶-国内外部</v>
          </cell>
          <cell r="C2004">
            <v>88.32</v>
          </cell>
        </row>
        <row r="2005">
          <cell r="A2005" t="str">
            <v>07</v>
          </cell>
          <cell r="B2005" t="str">
            <v>塑胶-国内外部</v>
          </cell>
          <cell r="C2005">
            <v>775.19</v>
          </cell>
        </row>
        <row r="2006">
          <cell r="A2006" t="str">
            <v>07</v>
          </cell>
          <cell r="B2006" t="str">
            <v>塑胶-国内外部</v>
          </cell>
          <cell r="C2006">
            <v>198</v>
          </cell>
        </row>
        <row r="2007">
          <cell r="A2007" t="str">
            <v>07</v>
          </cell>
          <cell r="B2007" t="str">
            <v>卷钢-国内外部</v>
          </cell>
          <cell r="C2007">
            <v>191.24</v>
          </cell>
        </row>
        <row r="2008">
          <cell r="A2008" t="str">
            <v>07</v>
          </cell>
          <cell r="B2008" t="str">
            <v>塑胶-国内外部</v>
          </cell>
          <cell r="C2008">
            <v>611.08000000000004</v>
          </cell>
        </row>
        <row r="2009">
          <cell r="A2009" t="str">
            <v>07</v>
          </cell>
          <cell r="B2009" t="str">
            <v>塑胶-国内外部</v>
          </cell>
          <cell r="C2009">
            <v>204</v>
          </cell>
        </row>
        <row r="2010">
          <cell r="A2010" t="str">
            <v>07</v>
          </cell>
          <cell r="B2010" t="str">
            <v>塑胶-国内外部</v>
          </cell>
          <cell r="C2010">
            <v>41.6</v>
          </cell>
        </row>
        <row r="2011">
          <cell r="A2011" t="str">
            <v>07</v>
          </cell>
          <cell r="B2011" t="str">
            <v>塑胶-国内外部</v>
          </cell>
          <cell r="C2011">
            <v>202.88</v>
          </cell>
        </row>
        <row r="2012">
          <cell r="A2012" t="str">
            <v>07</v>
          </cell>
          <cell r="B2012" t="str">
            <v>塑胶-国内外部</v>
          </cell>
          <cell r="C2012">
            <v>298.92</v>
          </cell>
        </row>
        <row r="2013">
          <cell r="A2013" t="str">
            <v>07</v>
          </cell>
          <cell r="B2013" t="str">
            <v>塑胶-国内外部</v>
          </cell>
          <cell r="C2013">
            <v>157.37</v>
          </cell>
        </row>
        <row r="2014">
          <cell r="A2014" t="str">
            <v>07</v>
          </cell>
          <cell r="B2014" t="str">
            <v>卷钢-国内外部</v>
          </cell>
          <cell r="C2014">
            <v>191.24</v>
          </cell>
        </row>
        <row r="2015">
          <cell r="A2015" t="str">
            <v>07</v>
          </cell>
          <cell r="B2015" t="str">
            <v>塑胶-国内外部</v>
          </cell>
          <cell r="C2015">
            <v>79.2</v>
          </cell>
        </row>
        <row r="2016">
          <cell r="A2016" t="str">
            <v>07</v>
          </cell>
          <cell r="B2016" t="str">
            <v>卷钢-国内外部</v>
          </cell>
          <cell r="C2016">
            <v>232.26</v>
          </cell>
        </row>
        <row r="2017">
          <cell r="A2017" t="str">
            <v>07</v>
          </cell>
          <cell r="B2017" t="str">
            <v>塑胶-国内外部</v>
          </cell>
          <cell r="C2017">
            <v>4.3</v>
          </cell>
        </row>
        <row r="2018">
          <cell r="A2018" t="str">
            <v>07</v>
          </cell>
          <cell r="B2018" t="str">
            <v>塑胶-国内外部</v>
          </cell>
          <cell r="C2018">
            <v>74.47</v>
          </cell>
        </row>
        <row r="2019">
          <cell r="A2019" t="str">
            <v>07</v>
          </cell>
          <cell r="B2019" t="str">
            <v>塑胶-国内外部</v>
          </cell>
          <cell r="C2019">
            <v>36.200000000000003</v>
          </cell>
        </row>
        <row r="2020">
          <cell r="A2020" t="str">
            <v>07</v>
          </cell>
          <cell r="B2020" t="str">
            <v>塑胶-国内外部</v>
          </cell>
          <cell r="C2020">
            <v>185.12</v>
          </cell>
        </row>
        <row r="2021">
          <cell r="A2021" t="str">
            <v>07</v>
          </cell>
          <cell r="B2021" t="str">
            <v>塑胶-国内外部</v>
          </cell>
          <cell r="C2021">
            <v>174.6</v>
          </cell>
        </row>
        <row r="2022">
          <cell r="A2022" t="str">
            <v>07</v>
          </cell>
          <cell r="B2022" t="str">
            <v>塑胶-国内外部</v>
          </cell>
          <cell r="C2022">
            <v>86.5</v>
          </cell>
        </row>
        <row r="2023">
          <cell r="A2023" t="str">
            <v>07</v>
          </cell>
          <cell r="B2023" t="str">
            <v>塑胶-国内外部</v>
          </cell>
          <cell r="C2023">
            <v>11.44</v>
          </cell>
        </row>
        <row r="2024">
          <cell r="A2024" t="str">
            <v>07</v>
          </cell>
          <cell r="B2024" t="str">
            <v>塑胶-国内外部</v>
          </cell>
          <cell r="C2024">
            <v>75.78</v>
          </cell>
        </row>
        <row r="2025">
          <cell r="A2025" t="str">
            <v>07</v>
          </cell>
          <cell r="B2025" t="str">
            <v>塑胶-国内外部</v>
          </cell>
          <cell r="C2025">
            <v>208.49</v>
          </cell>
        </row>
        <row r="2026">
          <cell r="A2026" t="str">
            <v>07</v>
          </cell>
          <cell r="B2026" t="str">
            <v>塑胶-国内外部</v>
          </cell>
          <cell r="C2026">
            <v>15.19</v>
          </cell>
        </row>
        <row r="2027">
          <cell r="A2027" t="str">
            <v>07</v>
          </cell>
          <cell r="B2027" t="str">
            <v>塑胶-国内外部</v>
          </cell>
          <cell r="C2027">
            <v>214</v>
          </cell>
        </row>
        <row r="2028">
          <cell r="A2028" t="str">
            <v>07</v>
          </cell>
          <cell r="B2028" t="str">
            <v>塑胶-国内外部</v>
          </cell>
          <cell r="C2028">
            <v>21.2</v>
          </cell>
        </row>
        <row r="2029">
          <cell r="A2029" t="str">
            <v>07</v>
          </cell>
          <cell r="B2029" t="str">
            <v>塑胶-国内外部</v>
          </cell>
          <cell r="C2029">
            <v>20.61</v>
          </cell>
        </row>
        <row r="2030">
          <cell r="A2030" t="str">
            <v>07</v>
          </cell>
          <cell r="B2030" t="str">
            <v>塑胶-国内外部</v>
          </cell>
          <cell r="C2030">
            <v>118.43</v>
          </cell>
        </row>
        <row r="2031">
          <cell r="A2031" t="str">
            <v>07</v>
          </cell>
          <cell r="B2031" t="str">
            <v>塑胶-国内外部</v>
          </cell>
          <cell r="C2031">
            <v>8.7899999999999991</v>
          </cell>
        </row>
        <row r="2032">
          <cell r="A2032" t="str">
            <v>07</v>
          </cell>
          <cell r="B2032" t="str">
            <v>塑胶-国内外部</v>
          </cell>
          <cell r="C2032">
            <v>42.4</v>
          </cell>
        </row>
        <row r="2033">
          <cell r="A2033" t="str">
            <v>07</v>
          </cell>
          <cell r="B2033" t="str">
            <v>塑胶-国内外部</v>
          </cell>
          <cell r="C2033">
            <v>22.08</v>
          </cell>
        </row>
        <row r="2034">
          <cell r="A2034" t="str">
            <v>07</v>
          </cell>
          <cell r="B2034" t="str">
            <v>塑胶-国内外部</v>
          </cell>
          <cell r="C2034">
            <v>208.01</v>
          </cell>
        </row>
        <row r="2035">
          <cell r="A2035" t="str">
            <v>07</v>
          </cell>
          <cell r="B2035" t="str">
            <v>塑胶-国内外部</v>
          </cell>
          <cell r="C2035">
            <v>91.56</v>
          </cell>
        </row>
        <row r="2036">
          <cell r="A2036" t="str">
            <v>07</v>
          </cell>
          <cell r="B2036" t="str">
            <v>塑胶-国内外部</v>
          </cell>
          <cell r="C2036">
            <v>126.7</v>
          </cell>
        </row>
        <row r="2037">
          <cell r="A2037" t="str">
            <v>07</v>
          </cell>
          <cell r="B2037" t="str">
            <v>塑胶-国内外部</v>
          </cell>
          <cell r="C2037">
            <v>73.680000000000007</v>
          </cell>
        </row>
        <row r="2038">
          <cell r="A2038" t="str">
            <v>07</v>
          </cell>
          <cell r="B2038" t="str">
            <v>塑胶-国内外部</v>
          </cell>
          <cell r="C2038">
            <v>11.57</v>
          </cell>
        </row>
        <row r="2039">
          <cell r="A2039" t="str">
            <v>07</v>
          </cell>
          <cell r="B2039" t="str">
            <v>塑胶-国内外部</v>
          </cell>
          <cell r="C2039">
            <v>7.8</v>
          </cell>
        </row>
        <row r="2040">
          <cell r="A2040" t="str">
            <v>07</v>
          </cell>
          <cell r="B2040" t="str">
            <v>塑胶-国内外部</v>
          </cell>
          <cell r="C2040">
            <v>7.65</v>
          </cell>
        </row>
        <row r="2041">
          <cell r="A2041" t="str">
            <v>07</v>
          </cell>
          <cell r="B2041" t="str">
            <v>塑胶-国内外部</v>
          </cell>
          <cell r="C2041">
            <v>331.2</v>
          </cell>
        </row>
        <row r="2042">
          <cell r="A2042" t="str">
            <v>07</v>
          </cell>
          <cell r="B2042" t="str">
            <v>塑胶-国内外部</v>
          </cell>
          <cell r="C2042">
            <v>7.87</v>
          </cell>
        </row>
        <row r="2043">
          <cell r="A2043" t="str">
            <v>07</v>
          </cell>
          <cell r="B2043" t="str">
            <v>塑胶-国内外部</v>
          </cell>
          <cell r="C2043">
            <v>200.65</v>
          </cell>
        </row>
        <row r="2044">
          <cell r="A2044" t="str">
            <v>07</v>
          </cell>
          <cell r="B2044" t="str">
            <v>塑胶-国内外部</v>
          </cell>
          <cell r="C2044">
            <v>3.76</v>
          </cell>
        </row>
        <row r="2045">
          <cell r="A2045" t="str">
            <v>07</v>
          </cell>
          <cell r="B2045" t="str">
            <v>塑胶-国外内部</v>
          </cell>
          <cell r="C2045">
            <v>462.79</v>
          </cell>
        </row>
        <row r="2046">
          <cell r="A2046" t="str">
            <v>07</v>
          </cell>
          <cell r="B2046" t="str">
            <v>塑胶-国外内部</v>
          </cell>
          <cell r="C2046">
            <v>96.37</v>
          </cell>
        </row>
        <row r="2047">
          <cell r="A2047" t="str">
            <v>07</v>
          </cell>
          <cell r="B2047" t="str">
            <v>塑胶-国外内部</v>
          </cell>
          <cell r="C2047">
            <v>326.39999999999998</v>
          </cell>
        </row>
        <row r="2048">
          <cell r="A2048" t="str">
            <v>07</v>
          </cell>
          <cell r="B2048" t="str">
            <v>塑胶-国外内部</v>
          </cell>
          <cell r="C2048">
            <v>103.86</v>
          </cell>
        </row>
        <row r="2049">
          <cell r="A2049" t="str">
            <v>07</v>
          </cell>
          <cell r="B2049" t="str">
            <v>塑胶-国内外部</v>
          </cell>
          <cell r="C2049">
            <v>1065.03</v>
          </cell>
        </row>
        <row r="2050">
          <cell r="A2050" t="str">
            <v>07</v>
          </cell>
          <cell r="B2050" t="str">
            <v>塑胶-国内外部</v>
          </cell>
          <cell r="C2050">
            <v>114.56</v>
          </cell>
        </row>
        <row r="2051">
          <cell r="A2051" t="str">
            <v>07</v>
          </cell>
          <cell r="B2051" t="str">
            <v>塑胶-国内外部</v>
          </cell>
          <cell r="C2051">
            <v>166.41</v>
          </cell>
        </row>
        <row r="2052">
          <cell r="A2052" t="str">
            <v>07</v>
          </cell>
          <cell r="B2052" t="str">
            <v>塑胶-国内外部</v>
          </cell>
          <cell r="C2052">
            <v>78.69</v>
          </cell>
        </row>
        <row r="2053">
          <cell r="A2053" t="str">
            <v>07</v>
          </cell>
          <cell r="B2053" t="str">
            <v>卷钢-国内外部</v>
          </cell>
          <cell r="C2053">
            <v>382.48</v>
          </cell>
        </row>
        <row r="2054">
          <cell r="A2054" t="str">
            <v>07</v>
          </cell>
          <cell r="B2054" t="str">
            <v>塑胶-国内外部</v>
          </cell>
          <cell r="C2054">
            <v>174.6</v>
          </cell>
        </row>
        <row r="2055">
          <cell r="A2055" t="str">
            <v>07</v>
          </cell>
          <cell r="B2055" t="str">
            <v>塑胶-国内外部</v>
          </cell>
          <cell r="C2055">
            <v>169.4</v>
          </cell>
        </row>
        <row r="2056">
          <cell r="A2056" t="str">
            <v>07</v>
          </cell>
          <cell r="B2056" t="str">
            <v>塑胶-国内外部</v>
          </cell>
          <cell r="C2056">
            <v>184.2</v>
          </cell>
        </row>
        <row r="2057">
          <cell r="A2057" t="str">
            <v>07</v>
          </cell>
          <cell r="B2057" t="str">
            <v>塑胶-国内外部</v>
          </cell>
          <cell r="C2057">
            <v>132.68</v>
          </cell>
        </row>
        <row r="2058">
          <cell r="A2058" t="str">
            <v>07</v>
          </cell>
          <cell r="B2058" t="str">
            <v>塑胶-国内外部</v>
          </cell>
          <cell r="C2058">
            <v>15.19</v>
          </cell>
        </row>
        <row r="2059">
          <cell r="A2059" t="str">
            <v>07</v>
          </cell>
          <cell r="B2059" t="str">
            <v>塑胶-国内外部</v>
          </cell>
          <cell r="C2059">
            <v>-326.39999999999998</v>
          </cell>
        </row>
        <row r="2060">
          <cell r="A2060" t="str">
            <v>07</v>
          </cell>
          <cell r="B2060" t="str">
            <v>塑胶-国内外部</v>
          </cell>
          <cell r="C2060">
            <v>104</v>
          </cell>
        </row>
        <row r="2061">
          <cell r="A2061" t="str">
            <v>07</v>
          </cell>
          <cell r="B2061" t="str">
            <v>塑胶-国内外部</v>
          </cell>
          <cell r="C2061">
            <v>101.44</v>
          </cell>
        </row>
        <row r="2062">
          <cell r="A2062" t="str">
            <v>07</v>
          </cell>
          <cell r="B2062" t="str">
            <v>塑胶-国内外部</v>
          </cell>
          <cell r="C2062">
            <v>208.08</v>
          </cell>
        </row>
        <row r="2063">
          <cell r="A2063" t="str">
            <v>07</v>
          </cell>
          <cell r="B2063" t="str">
            <v>塑胶-国内外部</v>
          </cell>
          <cell r="C2063">
            <v>523.79</v>
          </cell>
        </row>
        <row r="2064">
          <cell r="A2064" t="str">
            <v>07</v>
          </cell>
          <cell r="B2064" t="str">
            <v>塑胶-国内外部</v>
          </cell>
          <cell r="C2064">
            <v>91.56</v>
          </cell>
        </row>
        <row r="2065">
          <cell r="A2065" t="str">
            <v>07</v>
          </cell>
          <cell r="B2065" t="str">
            <v>塑胶-国内外部</v>
          </cell>
          <cell r="C2065">
            <v>286.7</v>
          </cell>
        </row>
        <row r="2066">
          <cell r="A2066" t="str">
            <v>07</v>
          </cell>
          <cell r="B2066" t="str">
            <v>塑胶-国内外部</v>
          </cell>
          <cell r="C2066">
            <v>214</v>
          </cell>
        </row>
        <row r="2067">
          <cell r="A2067" t="str">
            <v>07</v>
          </cell>
          <cell r="B2067" t="str">
            <v>塑胶-国内外部</v>
          </cell>
          <cell r="C2067">
            <v>144.19999999999999</v>
          </cell>
        </row>
        <row r="2068">
          <cell r="A2068" t="str">
            <v>07</v>
          </cell>
          <cell r="B2068" t="str">
            <v>塑胶-国内外部</v>
          </cell>
          <cell r="C2068">
            <v>208</v>
          </cell>
        </row>
        <row r="2069">
          <cell r="A2069" t="str">
            <v>07</v>
          </cell>
          <cell r="B2069" t="str">
            <v>卷钢-国内外部</v>
          </cell>
          <cell r="C2069">
            <v>382.48</v>
          </cell>
        </row>
        <row r="2070">
          <cell r="A2070" t="str">
            <v>07</v>
          </cell>
          <cell r="B2070" t="str">
            <v>塑胶-国内外部</v>
          </cell>
          <cell r="C2070">
            <v>17.46</v>
          </cell>
        </row>
        <row r="2071">
          <cell r="A2071" t="str">
            <v>07</v>
          </cell>
          <cell r="B2071" t="str">
            <v>塑胶-国内外部</v>
          </cell>
          <cell r="C2071">
            <v>86.5</v>
          </cell>
        </row>
        <row r="2072">
          <cell r="A2072" t="str">
            <v>07</v>
          </cell>
          <cell r="B2072" t="str">
            <v>塑胶-国内外部</v>
          </cell>
          <cell r="C2072">
            <v>169.4</v>
          </cell>
        </row>
        <row r="2073">
          <cell r="A2073" t="str">
            <v>07</v>
          </cell>
          <cell r="B2073" t="str">
            <v>塑胶-国内外部</v>
          </cell>
          <cell r="C2073">
            <v>40</v>
          </cell>
        </row>
        <row r="2074">
          <cell r="A2074" t="str">
            <v>07</v>
          </cell>
          <cell r="B2074" t="str">
            <v>塑胶-国内外部</v>
          </cell>
          <cell r="C2074">
            <v>63.6</v>
          </cell>
        </row>
        <row r="2075">
          <cell r="A2075" t="str">
            <v>07</v>
          </cell>
          <cell r="B2075" t="str">
            <v>塑胶-国内外部</v>
          </cell>
          <cell r="C2075">
            <v>82.45</v>
          </cell>
        </row>
        <row r="2076">
          <cell r="A2076" t="str">
            <v>07</v>
          </cell>
          <cell r="B2076" t="str">
            <v>塑胶-国内外部</v>
          </cell>
          <cell r="C2076">
            <v>326.37</v>
          </cell>
        </row>
        <row r="2077">
          <cell r="A2077" t="str">
            <v>07</v>
          </cell>
          <cell r="B2077" t="str">
            <v>塑胶-国内外部</v>
          </cell>
          <cell r="C2077">
            <v>101.44</v>
          </cell>
        </row>
        <row r="2078">
          <cell r="A2078" t="str">
            <v>07</v>
          </cell>
          <cell r="B2078" t="str">
            <v>塑胶-国内外部</v>
          </cell>
          <cell r="C2078">
            <v>177.04</v>
          </cell>
        </row>
        <row r="2079">
          <cell r="A2079" t="str">
            <v>07</v>
          </cell>
          <cell r="B2079" t="str">
            <v>塑胶-国内外部</v>
          </cell>
          <cell r="C2079">
            <v>237.6</v>
          </cell>
        </row>
        <row r="2080">
          <cell r="A2080" t="str">
            <v>07</v>
          </cell>
          <cell r="B2080" t="str">
            <v>塑胶-国内外部</v>
          </cell>
          <cell r="C2080">
            <v>-34.92</v>
          </cell>
        </row>
        <row r="2081">
          <cell r="A2081" t="str">
            <v>07</v>
          </cell>
          <cell r="B2081" t="str">
            <v>塑胶-国内外部</v>
          </cell>
          <cell r="C2081">
            <v>94.77</v>
          </cell>
        </row>
        <row r="2082">
          <cell r="A2082" t="str">
            <v>07</v>
          </cell>
          <cell r="B2082" t="str">
            <v>塑胶-国内外部</v>
          </cell>
          <cell r="C2082">
            <v>261.89</v>
          </cell>
        </row>
        <row r="2083">
          <cell r="A2083" t="str">
            <v>07</v>
          </cell>
          <cell r="B2083" t="str">
            <v>塑胶-国内外部</v>
          </cell>
          <cell r="C2083">
            <v>189.54</v>
          </cell>
        </row>
        <row r="2084">
          <cell r="A2084" t="str">
            <v>07</v>
          </cell>
          <cell r="B2084" t="str">
            <v>塑胶-国内外部</v>
          </cell>
          <cell r="C2084">
            <v>171.2</v>
          </cell>
        </row>
        <row r="2085">
          <cell r="A2085" t="str">
            <v>07</v>
          </cell>
          <cell r="B2085" t="str">
            <v>塑胶-国内外部</v>
          </cell>
          <cell r="C2085">
            <v>196.71</v>
          </cell>
        </row>
        <row r="2086">
          <cell r="A2086" t="str">
            <v>07</v>
          </cell>
          <cell r="B2086" t="str">
            <v>塑胶-国内外部</v>
          </cell>
          <cell r="C2086">
            <v>4.3</v>
          </cell>
        </row>
        <row r="2087">
          <cell r="A2087" t="str">
            <v>07</v>
          </cell>
          <cell r="B2087" t="str">
            <v>塑胶-国内外部</v>
          </cell>
          <cell r="C2087">
            <v>34.92</v>
          </cell>
        </row>
        <row r="2088">
          <cell r="A2088" t="str">
            <v>07</v>
          </cell>
          <cell r="B2088" t="str">
            <v>塑胶-国内外部</v>
          </cell>
          <cell r="C2088">
            <v>63.18</v>
          </cell>
        </row>
        <row r="2089">
          <cell r="A2089" t="str">
            <v>07</v>
          </cell>
          <cell r="B2089" t="str">
            <v>塑胶-国外内部</v>
          </cell>
          <cell r="C2089">
            <v>181.68</v>
          </cell>
        </row>
        <row r="2090">
          <cell r="A2090" t="str">
            <v>07</v>
          </cell>
          <cell r="B2090" t="str">
            <v>卷钢-国内外部</v>
          </cell>
          <cell r="C2090">
            <v>444.44</v>
          </cell>
        </row>
        <row r="2091">
          <cell r="A2091" t="str">
            <v>07</v>
          </cell>
          <cell r="B2091" t="str">
            <v>塑胶-国内外部</v>
          </cell>
          <cell r="C2091">
            <v>183.6</v>
          </cell>
        </row>
        <row r="2092">
          <cell r="A2092" t="str">
            <v>07</v>
          </cell>
          <cell r="B2092" t="str">
            <v>塑胶-国内外部</v>
          </cell>
          <cell r="C2092">
            <v>530.4</v>
          </cell>
        </row>
        <row r="2093">
          <cell r="A2093" t="str">
            <v>07</v>
          </cell>
          <cell r="B2093" t="str">
            <v>塑胶-国内外部</v>
          </cell>
          <cell r="C2093">
            <v>118.8</v>
          </cell>
        </row>
        <row r="2094">
          <cell r="A2094" t="str">
            <v>08</v>
          </cell>
          <cell r="B2094" t="str">
            <v>塑胶-国内外部</v>
          </cell>
          <cell r="C2094">
            <v>85.98</v>
          </cell>
        </row>
        <row r="2095">
          <cell r="A2095" t="str">
            <v>08</v>
          </cell>
          <cell r="B2095" t="str">
            <v>塑胶-国内外部</v>
          </cell>
          <cell r="C2095">
            <v>18.62</v>
          </cell>
        </row>
        <row r="2096">
          <cell r="A2096" t="str">
            <v>08</v>
          </cell>
          <cell r="B2096" t="str">
            <v>塑胶-国内外部</v>
          </cell>
          <cell r="C2096">
            <v>18.510000000000002</v>
          </cell>
        </row>
        <row r="2097">
          <cell r="A2097" t="str">
            <v>08</v>
          </cell>
          <cell r="B2097" t="str">
            <v>塑胶-国内外部</v>
          </cell>
          <cell r="C2097">
            <v>103.79</v>
          </cell>
        </row>
        <row r="2098">
          <cell r="A2098" t="str">
            <v>08</v>
          </cell>
          <cell r="B2098" t="str">
            <v>塑胶-国内外部</v>
          </cell>
          <cell r="C2098">
            <v>254.1</v>
          </cell>
        </row>
        <row r="2099">
          <cell r="A2099" t="str">
            <v>08</v>
          </cell>
          <cell r="B2099" t="str">
            <v>塑胶-国内外部</v>
          </cell>
          <cell r="C2099">
            <v>257.88</v>
          </cell>
        </row>
        <row r="2100">
          <cell r="A2100" t="str">
            <v>08</v>
          </cell>
          <cell r="B2100" t="str">
            <v>塑胶-国内外部</v>
          </cell>
          <cell r="C2100">
            <v>191.13</v>
          </cell>
        </row>
        <row r="2101">
          <cell r="A2101" t="str">
            <v>08</v>
          </cell>
          <cell r="B2101" t="str">
            <v>塑胶-国内外部</v>
          </cell>
          <cell r="C2101">
            <v>250.1</v>
          </cell>
        </row>
        <row r="2102">
          <cell r="A2102" t="str">
            <v>08</v>
          </cell>
          <cell r="B2102" t="str">
            <v>塑胶-国内外部</v>
          </cell>
          <cell r="C2102">
            <v>189.54</v>
          </cell>
        </row>
        <row r="2103">
          <cell r="A2103" t="str">
            <v>08</v>
          </cell>
          <cell r="B2103" t="str">
            <v>塑胶-国内外部</v>
          </cell>
          <cell r="C2103">
            <v>22</v>
          </cell>
        </row>
        <row r="2104">
          <cell r="A2104" t="str">
            <v>08</v>
          </cell>
          <cell r="B2104" t="str">
            <v>塑胶-国内外部</v>
          </cell>
          <cell r="C2104">
            <v>61.96</v>
          </cell>
        </row>
        <row r="2105">
          <cell r="A2105" t="str">
            <v>08</v>
          </cell>
          <cell r="B2105" t="str">
            <v>塑胶-国内外部</v>
          </cell>
          <cell r="C2105">
            <v>102</v>
          </cell>
        </row>
        <row r="2106">
          <cell r="A2106" t="str">
            <v>08</v>
          </cell>
          <cell r="B2106" t="str">
            <v>塑胶-国内外部</v>
          </cell>
          <cell r="C2106">
            <v>20</v>
          </cell>
        </row>
        <row r="2107">
          <cell r="A2107" t="str">
            <v>08</v>
          </cell>
          <cell r="B2107" t="str">
            <v>塑胶-国内外部</v>
          </cell>
          <cell r="C2107">
            <v>84.8</v>
          </cell>
        </row>
        <row r="2108">
          <cell r="A2108" t="str">
            <v>08</v>
          </cell>
          <cell r="B2108" t="str">
            <v>塑胶-国内外部</v>
          </cell>
          <cell r="C2108">
            <v>20.61</v>
          </cell>
        </row>
        <row r="2109">
          <cell r="A2109" t="str">
            <v>08</v>
          </cell>
          <cell r="B2109" t="str">
            <v>塑胶-国内外部</v>
          </cell>
          <cell r="C2109">
            <v>17.579999999999998</v>
          </cell>
        </row>
        <row r="2110">
          <cell r="A2110" t="str">
            <v>08</v>
          </cell>
          <cell r="B2110" t="str">
            <v>塑胶-国内外部</v>
          </cell>
          <cell r="C2110">
            <v>42.4</v>
          </cell>
        </row>
        <row r="2111">
          <cell r="A2111" t="str">
            <v>08</v>
          </cell>
          <cell r="B2111" t="str">
            <v>塑胶-国内外部</v>
          </cell>
          <cell r="C2111">
            <v>132.47999999999999</v>
          </cell>
        </row>
        <row r="2112">
          <cell r="A2112" t="str">
            <v>08</v>
          </cell>
          <cell r="B2112" t="str">
            <v>塑胶-国内外部</v>
          </cell>
          <cell r="C2112">
            <v>291.20999999999998</v>
          </cell>
        </row>
        <row r="2113">
          <cell r="A2113" t="str">
            <v>08</v>
          </cell>
          <cell r="B2113" t="str">
            <v>塑胶-国内外部</v>
          </cell>
          <cell r="C2113">
            <v>304.32</v>
          </cell>
        </row>
        <row r="2114">
          <cell r="A2114" t="str">
            <v>08</v>
          </cell>
          <cell r="B2114" t="str">
            <v>塑胶-国内外部</v>
          </cell>
          <cell r="C2114">
            <v>59.79</v>
          </cell>
        </row>
        <row r="2115">
          <cell r="A2115" t="str">
            <v>08</v>
          </cell>
          <cell r="B2115" t="str">
            <v>塑胶-国内外部</v>
          </cell>
          <cell r="C2115">
            <v>188.84</v>
          </cell>
        </row>
        <row r="2116">
          <cell r="A2116" t="str">
            <v>08</v>
          </cell>
          <cell r="B2116" t="str">
            <v>卷钢-国内外部</v>
          </cell>
          <cell r="C2116">
            <v>191.25</v>
          </cell>
        </row>
        <row r="2117">
          <cell r="A2117" t="str">
            <v>08</v>
          </cell>
          <cell r="B2117" t="str">
            <v>卷钢-国内内部</v>
          </cell>
          <cell r="C2117">
            <v>240</v>
          </cell>
        </row>
        <row r="2118">
          <cell r="A2118" t="str">
            <v>08</v>
          </cell>
          <cell r="B2118" t="str">
            <v>卷钢-国内内部</v>
          </cell>
          <cell r="C2118">
            <v>100</v>
          </cell>
        </row>
        <row r="2119">
          <cell r="A2119" t="str">
            <v>08</v>
          </cell>
          <cell r="B2119" t="str">
            <v>卷钢-国内内部</v>
          </cell>
          <cell r="C2119">
            <v>17.54</v>
          </cell>
        </row>
        <row r="2120">
          <cell r="A2120" t="str">
            <v>08</v>
          </cell>
          <cell r="B2120" t="str">
            <v>塑胶-国内外部</v>
          </cell>
          <cell r="C2120">
            <v>18.48</v>
          </cell>
        </row>
        <row r="2121">
          <cell r="A2121" t="str">
            <v>08</v>
          </cell>
          <cell r="B2121" t="str">
            <v>塑胶-国内外部</v>
          </cell>
          <cell r="C2121">
            <v>174.6</v>
          </cell>
        </row>
        <row r="2122">
          <cell r="A2122" t="str">
            <v>08</v>
          </cell>
          <cell r="B2122" t="str">
            <v>塑胶-国内外部</v>
          </cell>
          <cell r="C2122">
            <v>86.5</v>
          </cell>
        </row>
        <row r="2123">
          <cell r="A2123" t="str">
            <v>08</v>
          </cell>
          <cell r="B2123" t="str">
            <v>塑胶-国内外部</v>
          </cell>
          <cell r="C2123">
            <v>61.84</v>
          </cell>
        </row>
        <row r="2124">
          <cell r="A2124" t="str">
            <v>08</v>
          </cell>
          <cell r="B2124" t="str">
            <v>塑胶-国内外部</v>
          </cell>
          <cell r="C2124">
            <v>98.5</v>
          </cell>
        </row>
        <row r="2125">
          <cell r="A2125" t="str">
            <v>08</v>
          </cell>
          <cell r="B2125" t="str">
            <v>塑胶-国内外部</v>
          </cell>
          <cell r="C2125">
            <v>295.07</v>
          </cell>
        </row>
        <row r="2126">
          <cell r="A2126" t="str">
            <v>08</v>
          </cell>
          <cell r="B2126" t="str">
            <v>塑胶-国外内部</v>
          </cell>
          <cell r="C2126">
            <v>19.190000000000001</v>
          </cell>
        </row>
        <row r="2127">
          <cell r="A2127" t="str">
            <v>08</v>
          </cell>
          <cell r="B2127" t="str">
            <v>塑胶-国外内部</v>
          </cell>
          <cell r="C2127">
            <v>489.6</v>
          </cell>
        </row>
        <row r="2128">
          <cell r="A2128" t="str">
            <v>08</v>
          </cell>
          <cell r="B2128" t="str">
            <v>塑胶-国内外部</v>
          </cell>
          <cell r="C2128">
            <v>214.94</v>
          </cell>
        </row>
        <row r="2129">
          <cell r="A2129" t="str">
            <v>08</v>
          </cell>
          <cell r="B2129" t="str">
            <v>塑胶-国内外部</v>
          </cell>
          <cell r="C2129">
            <v>183.12</v>
          </cell>
        </row>
        <row r="2130">
          <cell r="A2130" t="str">
            <v>08</v>
          </cell>
          <cell r="B2130" t="str">
            <v>塑胶-国内外部</v>
          </cell>
          <cell r="C2130">
            <v>42</v>
          </cell>
        </row>
        <row r="2131">
          <cell r="A2131" t="str">
            <v>08</v>
          </cell>
          <cell r="B2131" t="str">
            <v>塑胶-国内外部</v>
          </cell>
          <cell r="C2131">
            <v>86.5</v>
          </cell>
        </row>
        <row r="2132">
          <cell r="A2132" t="str">
            <v>08</v>
          </cell>
          <cell r="B2132" t="str">
            <v>塑胶-国内外部</v>
          </cell>
          <cell r="C2132">
            <v>169.4</v>
          </cell>
        </row>
        <row r="2133">
          <cell r="A2133" t="str">
            <v>08</v>
          </cell>
          <cell r="B2133" t="str">
            <v>塑胶-国内外部</v>
          </cell>
          <cell r="C2133">
            <v>184.2</v>
          </cell>
        </row>
        <row r="2134">
          <cell r="A2134" t="str">
            <v>08</v>
          </cell>
          <cell r="B2134" t="str">
            <v>塑胶-国内外部</v>
          </cell>
          <cell r="C2134">
            <v>574.44000000000005</v>
          </cell>
        </row>
        <row r="2135">
          <cell r="A2135" t="str">
            <v>08</v>
          </cell>
          <cell r="B2135" t="str">
            <v>塑胶-国内外部</v>
          </cell>
          <cell r="C2135">
            <v>318</v>
          </cell>
        </row>
        <row r="2136">
          <cell r="A2136" t="str">
            <v>08</v>
          </cell>
          <cell r="B2136" t="str">
            <v>塑胶-国内外部</v>
          </cell>
          <cell r="C2136">
            <v>331.2</v>
          </cell>
        </row>
        <row r="2137">
          <cell r="A2137" t="str">
            <v>08</v>
          </cell>
          <cell r="B2137" t="str">
            <v>塑胶-国内外部</v>
          </cell>
          <cell r="C2137">
            <v>104</v>
          </cell>
        </row>
        <row r="2138">
          <cell r="A2138" t="str">
            <v>08</v>
          </cell>
          <cell r="B2138" t="str">
            <v>塑胶-国内外部</v>
          </cell>
          <cell r="C2138">
            <v>184.13</v>
          </cell>
        </row>
        <row r="2139">
          <cell r="A2139" t="str">
            <v>08</v>
          </cell>
          <cell r="B2139" t="str">
            <v>塑胶-国内外部</v>
          </cell>
          <cell r="C2139">
            <v>93.09</v>
          </cell>
        </row>
        <row r="2140">
          <cell r="A2140" t="str">
            <v>08</v>
          </cell>
          <cell r="B2140" t="str">
            <v>塑胶-国内外部</v>
          </cell>
          <cell r="C2140">
            <v>162.9</v>
          </cell>
        </row>
        <row r="2141">
          <cell r="A2141" t="str">
            <v>08</v>
          </cell>
          <cell r="B2141" t="str">
            <v>塑胶-国内外部</v>
          </cell>
          <cell r="C2141">
            <v>163.51</v>
          </cell>
        </row>
        <row r="2142">
          <cell r="A2142" t="str">
            <v>08</v>
          </cell>
          <cell r="B2142" t="str">
            <v>塑胶-国内外部</v>
          </cell>
          <cell r="C2142">
            <v>163.51</v>
          </cell>
        </row>
        <row r="2143">
          <cell r="A2143" t="str">
            <v>08</v>
          </cell>
          <cell r="B2143" t="str">
            <v>塑胶-国内外部</v>
          </cell>
          <cell r="C2143">
            <v>593.63</v>
          </cell>
        </row>
        <row r="2144">
          <cell r="A2144" t="str">
            <v>08</v>
          </cell>
          <cell r="B2144" t="str">
            <v>塑胶-国内外部</v>
          </cell>
          <cell r="C2144">
            <v>589.41</v>
          </cell>
        </row>
        <row r="2145">
          <cell r="A2145" t="str">
            <v>08</v>
          </cell>
          <cell r="B2145" t="str">
            <v>塑胶-国内外部</v>
          </cell>
          <cell r="C2145">
            <v>287.10000000000002</v>
          </cell>
        </row>
        <row r="2146">
          <cell r="A2146" t="str">
            <v>08</v>
          </cell>
          <cell r="B2146" t="str">
            <v>塑胶-国内外部</v>
          </cell>
          <cell r="C2146">
            <v>477.83</v>
          </cell>
        </row>
        <row r="2147">
          <cell r="A2147" t="str">
            <v>08</v>
          </cell>
          <cell r="B2147" t="str">
            <v>塑胶-国内外部</v>
          </cell>
          <cell r="C2147">
            <v>249.6</v>
          </cell>
        </row>
        <row r="2148">
          <cell r="A2148" t="str">
            <v>08</v>
          </cell>
          <cell r="B2148" t="str">
            <v>塑胶-国内外部</v>
          </cell>
          <cell r="C2148">
            <v>298.93</v>
          </cell>
        </row>
        <row r="2149">
          <cell r="A2149" t="str">
            <v>08</v>
          </cell>
          <cell r="B2149" t="str">
            <v>塑胶-国内外部</v>
          </cell>
          <cell r="C2149">
            <v>177.04</v>
          </cell>
        </row>
        <row r="2150">
          <cell r="A2150" t="str">
            <v>08</v>
          </cell>
          <cell r="B2150" t="str">
            <v>卷钢-国内外部</v>
          </cell>
          <cell r="C2150">
            <v>191.24</v>
          </cell>
        </row>
        <row r="2151">
          <cell r="A2151" t="str">
            <v>08</v>
          </cell>
          <cell r="B2151" t="str">
            <v>塑胶-国内外部</v>
          </cell>
          <cell r="C2151">
            <v>219.88</v>
          </cell>
        </row>
        <row r="2152">
          <cell r="A2152" t="str">
            <v>08</v>
          </cell>
          <cell r="B2152" t="str">
            <v>塑胶-国内外部</v>
          </cell>
          <cell r="C2152">
            <v>576.16999999999996</v>
          </cell>
        </row>
        <row r="2153">
          <cell r="A2153" t="str">
            <v>08</v>
          </cell>
          <cell r="B2153" t="str">
            <v>塑胶-国内外部</v>
          </cell>
          <cell r="C2153">
            <v>86.5</v>
          </cell>
        </row>
        <row r="2154">
          <cell r="A2154" t="str">
            <v>08</v>
          </cell>
          <cell r="B2154" t="str">
            <v>塑胶-国内外部</v>
          </cell>
          <cell r="C2154">
            <v>169.4</v>
          </cell>
        </row>
        <row r="2155">
          <cell r="A2155" t="str">
            <v>08</v>
          </cell>
          <cell r="B2155" t="str">
            <v>塑胶-国内外部</v>
          </cell>
          <cell r="C2155">
            <v>204</v>
          </cell>
        </row>
        <row r="2156">
          <cell r="A2156" t="str">
            <v>08</v>
          </cell>
          <cell r="B2156" t="str">
            <v>塑胶-国内外部</v>
          </cell>
          <cell r="C2156">
            <v>367.2</v>
          </cell>
        </row>
        <row r="2157">
          <cell r="A2157" t="str">
            <v>08</v>
          </cell>
          <cell r="B2157" t="str">
            <v>塑胶-国内外部</v>
          </cell>
          <cell r="C2157">
            <v>104</v>
          </cell>
        </row>
        <row r="2158">
          <cell r="A2158" t="str">
            <v>08</v>
          </cell>
          <cell r="B2158" t="str">
            <v>塑胶-国内外部</v>
          </cell>
          <cell r="C2158">
            <v>304.32</v>
          </cell>
        </row>
        <row r="2159">
          <cell r="A2159" t="str">
            <v>08</v>
          </cell>
          <cell r="B2159" t="str">
            <v>塑胶-国内外部</v>
          </cell>
          <cell r="C2159">
            <v>150.47999999999999</v>
          </cell>
        </row>
        <row r="2160">
          <cell r="A2160" t="str">
            <v>08</v>
          </cell>
          <cell r="B2160" t="str">
            <v>塑胶-国内外部</v>
          </cell>
          <cell r="C2160">
            <v>296.19</v>
          </cell>
        </row>
        <row r="2161">
          <cell r="A2161" t="str">
            <v>08</v>
          </cell>
          <cell r="B2161" t="str">
            <v>塑胶-国内外部</v>
          </cell>
          <cell r="C2161">
            <v>17.46</v>
          </cell>
        </row>
        <row r="2162">
          <cell r="A2162" t="str">
            <v>08</v>
          </cell>
          <cell r="B2162" t="str">
            <v>塑胶-国内外部</v>
          </cell>
          <cell r="C2162">
            <v>121.1</v>
          </cell>
        </row>
        <row r="2163">
          <cell r="A2163" t="str">
            <v>08</v>
          </cell>
          <cell r="B2163" t="str">
            <v>塑胶-国内外部</v>
          </cell>
          <cell r="C2163">
            <v>20.61</v>
          </cell>
        </row>
        <row r="2164">
          <cell r="A2164" t="str">
            <v>08</v>
          </cell>
          <cell r="B2164" t="str">
            <v>塑胶-国内外部</v>
          </cell>
          <cell r="C2164">
            <v>197.4</v>
          </cell>
        </row>
        <row r="2165">
          <cell r="A2165" t="str">
            <v>08</v>
          </cell>
          <cell r="B2165" t="str">
            <v>塑胶-国内外部</v>
          </cell>
          <cell r="C2165">
            <v>94.43</v>
          </cell>
        </row>
        <row r="2166">
          <cell r="A2166" t="str">
            <v>08</v>
          </cell>
          <cell r="B2166" t="str">
            <v>塑胶-国外内部</v>
          </cell>
          <cell r="C2166">
            <v>181.68</v>
          </cell>
        </row>
        <row r="2167">
          <cell r="A2167" t="str">
            <v>08</v>
          </cell>
          <cell r="B2167" t="str">
            <v>塑胶-国内外部</v>
          </cell>
          <cell r="C2167">
            <v>193.45</v>
          </cell>
        </row>
        <row r="2168">
          <cell r="A2168" t="str">
            <v>08</v>
          </cell>
          <cell r="B2168" t="str">
            <v>塑胶-国内外部</v>
          </cell>
          <cell r="C2168">
            <v>349.19</v>
          </cell>
        </row>
        <row r="2169">
          <cell r="A2169" t="str">
            <v>08</v>
          </cell>
          <cell r="B2169" t="str">
            <v>塑胶-国内外部</v>
          </cell>
          <cell r="C2169">
            <v>338.8</v>
          </cell>
        </row>
        <row r="2170">
          <cell r="A2170" t="str">
            <v>08</v>
          </cell>
          <cell r="B2170" t="str">
            <v>塑胶-国内外部</v>
          </cell>
          <cell r="C2170">
            <v>110.52</v>
          </cell>
        </row>
        <row r="2171">
          <cell r="A2171" t="str">
            <v>08</v>
          </cell>
          <cell r="B2171" t="str">
            <v>塑胶-国内外部</v>
          </cell>
          <cell r="C2171">
            <v>382.96</v>
          </cell>
        </row>
        <row r="2172">
          <cell r="A2172" t="str">
            <v>08</v>
          </cell>
          <cell r="B2172" t="str">
            <v>塑胶-国内外部</v>
          </cell>
          <cell r="C2172">
            <v>169.6</v>
          </cell>
        </row>
        <row r="2173">
          <cell r="A2173" t="str">
            <v>08</v>
          </cell>
          <cell r="B2173" t="str">
            <v>塑胶-国内外部</v>
          </cell>
          <cell r="C2173">
            <v>264.95999999999998</v>
          </cell>
        </row>
        <row r="2174">
          <cell r="A2174" t="str">
            <v>08</v>
          </cell>
          <cell r="B2174" t="str">
            <v>塑胶-国内外部</v>
          </cell>
          <cell r="C2174">
            <v>255.74</v>
          </cell>
        </row>
        <row r="2175">
          <cell r="A2175" t="str">
            <v>08</v>
          </cell>
          <cell r="B2175" t="str">
            <v>塑胶-国内外部</v>
          </cell>
          <cell r="C2175">
            <v>947.69</v>
          </cell>
        </row>
        <row r="2176">
          <cell r="A2176" t="str">
            <v>08</v>
          </cell>
          <cell r="B2176" t="str">
            <v>卷钢-国内外部</v>
          </cell>
          <cell r="C2176">
            <v>191.24</v>
          </cell>
        </row>
        <row r="2177">
          <cell r="A2177" t="str">
            <v>08</v>
          </cell>
          <cell r="B2177" t="str">
            <v>塑胶-国内外部</v>
          </cell>
          <cell r="C2177">
            <v>128.96</v>
          </cell>
        </row>
        <row r="2178">
          <cell r="A2178" t="str">
            <v>08</v>
          </cell>
          <cell r="B2178" t="str">
            <v>塑胶-国内外部</v>
          </cell>
          <cell r="C2178">
            <v>36.619999999999997</v>
          </cell>
        </row>
        <row r="2179">
          <cell r="A2179" t="str">
            <v>08</v>
          </cell>
          <cell r="B2179" t="str">
            <v>塑胶-国内外部</v>
          </cell>
          <cell r="C2179">
            <v>54.3</v>
          </cell>
        </row>
        <row r="2180">
          <cell r="A2180" t="str">
            <v>08</v>
          </cell>
          <cell r="B2180" t="str">
            <v>塑胶-国内外部</v>
          </cell>
          <cell r="C2180">
            <v>36.340000000000003</v>
          </cell>
        </row>
        <row r="2181">
          <cell r="A2181" t="str">
            <v>08</v>
          </cell>
          <cell r="B2181" t="str">
            <v>塑胶-国内外部</v>
          </cell>
          <cell r="C2181">
            <v>537.85</v>
          </cell>
        </row>
        <row r="2182">
          <cell r="A2182" t="str">
            <v>08</v>
          </cell>
          <cell r="B2182" t="str">
            <v>塑胶-国内外部</v>
          </cell>
          <cell r="C2182">
            <v>94.73</v>
          </cell>
        </row>
        <row r="2183">
          <cell r="A2183" t="str">
            <v>08</v>
          </cell>
          <cell r="B2183" t="str">
            <v>塑胶-国内外部</v>
          </cell>
          <cell r="C2183">
            <v>478.69</v>
          </cell>
        </row>
        <row r="2184">
          <cell r="A2184" t="str">
            <v>08</v>
          </cell>
          <cell r="B2184" t="str">
            <v>塑胶-国内外部</v>
          </cell>
          <cell r="C2184">
            <v>208.43</v>
          </cell>
        </row>
        <row r="2185">
          <cell r="A2185" t="str">
            <v>08</v>
          </cell>
          <cell r="B2185" t="str">
            <v>塑胶-国内外部</v>
          </cell>
          <cell r="C2185">
            <v>11.57</v>
          </cell>
        </row>
        <row r="2186">
          <cell r="A2186" t="str">
            <v>08</v>
          </cell>
          <cell r="B2186" t="str">
            <v>塑胶-国内外部</v>
          </cell>
          <cell r="C2186">
            <v>84.8</v>
          </cell>
        </row>
        <row r="2187">
          <cell r="A2187" t="str">
            <v>08</v>
          </cell>
          <cell r="B2187" t="str">
            <v>塑胶-国内外部</v>
          </cell>
          <cell r="C2187">
            <v>132.47999999999999</v>
          </cell>
        </row>
        <row r="2188">
          <cell r="A2188" t="str">
            <v>08</v>
          </cell>
          <cell r="B2188" t="str">
            <v>塑胶-国内外部</v>
          </cell>
          <cell r="C2188">
            <v>520.02</v>
          </cell>
        </row>
        <row r="2189">
          <cell r="A2189" t="str">
            <v>08</v>
          </cell>
          <cell r="B2189" t="str">
            <v>塑胶-国内外部</v>
          </cell>
          <cell r="C2189">
            <v>11.8</v>
          </cell>
        </row>
        <row r="2190">
          <cell r="A2190" t="str">
            <v>08</v>
          </cell>
          <cell r="B2190" t="str">
            <v>塑胶-国内外部</v>
          </cell>
          <cell r="C2190">
            <v>7.87</v>
          </cell>
        </row>
        <row r="2191">
          <cell r="A2191" t="str">
            <v>08</v>
          </cell>
          <cell r="B2191" t="str">
            <v>塑胶-国内外部</v>
          </cell>
          <cell r="C2191">
            <v>261.89</v>
          </cell>
        </row>
        <row r="2192">
          <cell r="A2192" t="str">
            <v>08</v>
          </cell>
          <cell r="B2192" t="str">
            <v>塑胶-国内外部</v>
          </cell>
          <cell r="C2192">
            <v>173</v>
          </cell>
        </row>
        <row r="2193">
          <cell r="A2193" t="str">
            <v>08</v>
          </cell>
          <cell r="B2193" t="str">
            <v>塑胶-国内外部</v>
          </cell>
          <cell r="C2193">
            <v>169.4</v>
          </cell>
        </row>
        <row r="2194">
          <cell r="A2194" t="str">
            <v>08</v>
          </cell>
          <cell r="B2194" t="str">
            <v>塑胶-国内外部</v>
          </cell>
          <cell r="C2194">
            <v>42.71</v>
          </cell>
        </row>
        <row r="2195">
          <cell r="A2195" t="str">
            <v>08</v>
          </cell>
          <cell r="B2195" t="str">
            <v>塑胶-国内外部</v>
          </cell>
          <cell r="C2195">
            <v>126</v>
          </cell>
        </row>
        <row r="2196">
          <cell r="A2196" t="str">
            <v>08</v>
          </cell>
          <cell r="B2196" t="str">
            <v>塑胶-国内外部</v>
          </cell>
          <cell r="C2196">
            <v>293.36</v>
          </cell>
        </row>
        <row r="2197">
          <cell r="A2197" t="str">
            <v>08</v>
          </cell>
          <cell r="B2197" t="str">
            <v>塑胶-国内外部</v>
          </cell>
          <cell r="C2197">
            <v>1054.98</v>
          </cell>
        </row>
        <row r="2198">
          <cell r="A2198" t="str">
            <v>08</v>
          </cell>
          <cell r="B2198" t="str">
            <v>塑胶-国内外部</v>
          </cell>
          <cell r="C2198">
            <v>236.06</v>
          </cell>
        </row>
        <row r="2199">
          <cell r="A2199" t="str">
            <v>08</v>
          </cell>
          <cell r="B2199" t="str">
            <v>塑胶-国内外部</v>
          </cell>
          <cell r="C2199">
            <v>42.99</v>
          </cell>
        </row>
        <row r="2200">
          <cell r="A2200" t="str">
            <v>08</v>
          </cell>
          <cell r="B2200" t="str">
            <v>塑胶-国内外部</v>
          </cell>
          <cell r="C2200">
            <v>129.58000000000001</v>
          </cell>
        </row>
        <row r="2201">
          <cell r="A2201" t="str">
            <v>08</v>
          </cell>
          <cell r="B2201" t="str">
            <v>塑胶-国内外部</v>
          </cell>
          <cell r="C2201">
            <v>69.2</v>
          </cell>
        </row>
        <row r="2202">
          <cell r="A2202" t="str">
            <v>08</v>
          </cell>
          <cell r="B2202" t="str">
            <v>塑胶-国内外部</v>
          </cell>
          <cell r="C2202">
            <v>92.1</v>
          </cell>
        </row>
        <row r="2203">
          <cell r="A2203" t="str">
            <v>08</v>
          </cell>
          <cell r="B2203" t="str">
            <v>塑胶-国内外部</v>
          </cell>
          <cell r="C2203">
            <v>104.21</v>
          </cell>
        </row>
        <row r="2204">
          <cell r="A2204" t="str">
            <v>08</v>
          </cell>
          <cell r="B2204" t="str">
            <v>塑胶-国内外部</v>
          </cell>
          <cell r="C2204">
            <v>22</v>
          </cell>
        </row>
        <row r="2205">
          <cell r="A2205" t="str">
            <v>08</v>
          </cell>
          <cell r="B2205" t="str">
            <v>塑胶-国内外部</v>
          </cell>
          <cell r="C2205">
            <v>20.61</v>
          </cell>
        </row>
        <row r="2206">
          <cell r="A2206" t="str">
            <v>08</v>
          </cell>
          <cell r="B2206" t="str">
            <v>塑胶-国内外部</v>
          </cell>
          <cell r="C2206">
            <v>78.959999999999994</v>
          </cell>
        </row>
        <row r="2207">
          <cell r="A2207" t="str">
            <v>08</v>
          </cell>
          <cell r="B2207" t="str">
            <v>塑胶-国内外部</v>
          </cell>
          <cell r="C2207">
            <v>63.6</v>
          </cell>
        </row>
        <row r="2208">
          <cell r="A2208" t="str">
            <v>08</v>
          </cell>
          <cell r="B2208" t="str">
            <v>塑胶-国内外部</v>
          </cell>
          <cell r="C2208">
            <v>66.239999999999995</v>
          </cell>
        </row>
        <row r="2209">
          <cell r="A2209" t="str">
            <v>08</v>
          </cell>
          <cell r="B2209" t="str">
            <v>塑胶-国内外部</v>
          </cell>
          <cell r="C2209">
            <v>78.680000000000007</v>
          </cell>
        </row>
        <row r="2210">
          <cell r="A2210" t="str">
            <v>08</v>
          </cell>
          <cell r="B2210" t="str">
            <v>塑胶-国内外部</v>
          </cell>
          <cell r="C2210">
            <v>432.49</v>
          </cell>
        </row>
        <row r="2211">
          <cell r="A2211" t="str">
            <v>08</v>
          </cell>
          <cell r="B2211" t="str">
            <v>塑胶-国内外部</v>
          </cell>
          <cell r="C2211">
            <v>508.2</v>
          </cell>
        </row>
        <row r="2212">
          <cell r="A2212" t="str">
            <v>08</v>
          </cell>
          <cell r="B2212" t="str">
            <v>塑胶-国内外部</v>
          </cell>
          <cell r="C2212">
            <v>110.52</v>
          </cell>
        </row>
        <row r="2213">
          <cell r="A2213" t="str">
            <v>08</v>
          </cell>
          <cell r="B2213" t="str">
            <v>塑胶-国内外部</v>
          </cell>
          <cell r="C2213">
            <v>189.54</v>
          </cell>
        </row>
        <row r="2214">
          <cell r="A2214" t="str">
            <v>08</v>
          </cell>
          <cell r="B2214" t="str">
            <v>塑胶-国内外部</v>
          </cell>
          <cell r="C2214">
            <v>214</v>
          </cell>
        </row>
        <row r="2215">
          <cell r="A2215" t="str">
            <v>08</v>
          </cell>
          <cell r="B2215" t="str">
            <v>塑胶-国内外部</v>
          </cell>
          <cell r="C2215">
            <v>20.29</v>
          </cell>
        </row>
        <row r="2216">
          <cell r="A2216" t="str">
            <v>08</v>
          </cell>
          <cell r="B2216" t="str">
            <v>塑胶-国内外部</v>
          </cell>
          <cell r="C2216">
            <v>-104.76</v>
          </cell>
        </row>
        <row r="2217">
          <cell r="A2217" t="str">
            <v>08</v>
          </cell>
          <cell r="B2217" t="str">
            <v>塑胶-国内外部</v>
          </cell>
          <cell r="C2217">
            <v>41.23</v>
          </cell>
        </row>
        <row r="2218">
          <cell r="A2218" t="str">
            <v>08</v>
          </cell>
          <cell r="B2218" t="str">
            <v>卷钢-国内外部</v>
          </cell>
          <cell r="C2218">
            <v>366.64</v>
          </cell>
        </row>
        <row r="2219">
          <cell r="A2219" t="str">
            <v>08</v>
          </cell>
          <cell r="B2219" t="str">
            <v>塑胶-国内外部</v>
          </cell>
          <cell r="C2219">
            <v>204.8</v>
          </cell>
        </row>
        <row r="2220">
          <cell r="A2220" t="str">
            <v>08</v>
          </cell>
          <cell r="B2220" t="str">
            <v>塑胶-国内外部</v>
          </cell>
          <cell r="C2220">
            <v>163.11000000000001</v>
          </cell>
        </row>
        <row r="2221">
          <cell r="A2221" t="str">
            <v>08</v>
          </cell>
          <cell r="B2221" t="str">
            <v>塑胶-国内外部</v>
          </cell>
          <cell r="C2221">
            <v>18.420000000000002</v>
          </cell>
        </row>
        <row r="2222">
          <cell r="A2222" t="str">
            <v>08</v>
          </cell>
          <cell r="B2222" t="str">
            <v>塑胶-国内外部</v>
          </cell>
          <cell r="C2222">
            <v>299.60000000000002</v>
          </cell>
        </row>
        <row r="2223">
          <cell r="A2223" t="str">
            <v>08</v>
          </cell>
          <cell r="B2223" t="str">
            <v>塑胶-国内外部</v>
          </cell>
          <cell r="C2223">
            <v>208.01</v>
          </cell>
        </row>
        <row r="2224">
          <cell r="A2224" t="str">
            <v>08</v>
          </cell>
          <cell r="B2224" t="str">
            <v>塑胶-国内外部</v>
          </cell>
          <cell r="C2224">
            <v>295.07</v>
          </cell>
        </row>
        <row r="2225">
          <cell r="A2225" t="str">
            <v>08</v>
          </cell>
          <cell r="B2225" t="str">
            <v>卷钢-国内外部</v>
          </cell>
          <cell r="C2225">
            <v>382.48</v>
          </cell>
        </row>
        <row r="2226">
          <cell r="A2226" t="str">
            <v>08</v>
          </cell>
          <cell r="B2226" t="str">
            <v>塑胶-国内外部</v>
          </cell>
          <cell r="C2226">
            <v>-20.29</v>
          </cell>
        </row>
        <row r="2227">
          <cell r="A2227" t="str">
            <v>08</v>
          </cell>
          <cell r="B2227" t="str">
            <v>塑胶-国外内部</v>
          </cell>
          <cell r="C2227">
            <v>742</v>
          </cell>
        </row>
        <row r="2228">
          <cell r="A2228" t="str">
            <v>08</v>
          </cell>
          <cell r="B2228" t="str">
            <v>卷钢-国内外部</v>
          </cell>
          <cell r="C2228">
            <v>366.64</v>
          </cell>
        </row>
        <row r="2229">
          <cell r="A2229" t="str">
            <v>08</v>
          </cell>
          <cell r="B2229" t="str">
            <v>塑胶-国内外部</v>
          </cell>
          <cell r="C2229">
            <v>42.4</v>
          </cell>
        </row>
        <row r="2230">
          <cell r="A2230" t="str">
            <v>08</v>
          </cell>
          <cell r="B2230" t="str">
            <v>塑胶-国内外部</v>
          </cell>
          <cell r="C2230">
            <v>210</v>
          </cell>
        </row>
        <row r="2231">
          <cell r="A2231" t="str">
            <v>08</v>
          </cell>
          <cell r="B2231" t="str">
            <v>塑胶-国内外部</v>
          </cell>
          <cell r="C2231">
            <v>204</v>
          </cell>
        </row>
        <row r="2232">
          <cell r="A2232" t="str">
            <v>08</v>
          </cell>
          <cell r="B2232" t="str">
            <v>卷钢-国内外部</v>
          </cell>
          <cell r="C2232">
            <v>18.329999999999998</v>
          </cell>
        </row>
        <row r="2233">
          <cell r="A2233" t="str">
            <v>08</v>
          </cell>
          <cell r="B2233" t="str">
            <v>卷钢-国内外部</v>
          </cell>
          <cell r="C2233">
            <v>23.22</v>
          </cell>
        </row>
        <row r="2234">
          <cell r="A2234" t="str">
            <v>08</v>
          </cell>
          <cell r="B2234" t="str">
            <v>塑胶-国内外部</v>
          </cell>
          <cell r="C2234">
            <v>148.09</v>
          </cell>
        </row>
        <row r="2235">
          <cell r="A2235" t="str">
            <v>08</v>
          </cell>
          <cell r="B2235" t="str">
            <v>塑胶-国内外部</v>
          </cell>
          <cell r="C2235">
            <v>279.35000000000002</v>
          </cell>
        </row>
        <row r="2236">
          <cell r="A2236" t="str">
            <v>08</v>
          </cell>
          <cell r="B2236" t="str">
            <v>塑胶-国内外部</v>
          </cell>
          <cell r="C2236">
            <v>86.5</v>
          </cell>
        </row>
        <row r="2237">
          <cell r="A2237" t="str">
            <v>08</v>
          </cell>
          <cell r="B2237" t="str">
            <v>塑胶-国内外部</v>
          </cell>
          <cell r="C2237">
            <v>150.51</v>
          </cell>
        </row>
        <row r="2238">
          <cell r="A2238" t="str">
            <v>08</v>
          </cell>
          <cell r="B2238" t="str">
            <v>塑胶-国内外部</v>
          </cell>
          <cell r="C2238">
            <v>156.13</v>
          </cell>
        </row>
        <row r="2239">
          <cell r="A2239" t="str">
            <v>08</v>
          </cell>
          <cell r="B2239" t="str">
            <v>塑胶-国内外部</v>
          </cell>
          <cell r="C2239">
            <v>189.54</v>
          </cell>
        </row>
        <row r="2240">
          <cell r="A2240" t="str">
            <v>08</v>
          </cell>
          <cell r="B2240" t="str">
            <v>塑胶-国内外部</v>
          </cell>
          <cell r="C2240">
            <v>106</v>
          </cell>
        </row>
        <row r="2241">
          <cell r="A2241" t="str">
            <v>08</v>
          </cell>
          <cell r="B2241" t="str">
            <v>塑胶-国内外部</v>
          </cell>
          <cell r="C2241">
            <v>123.67</v>
          </cell>
        </row>
        <row r="2242">
          <cell r="A2242" t="str">
            <v>08</v>
          </cell>
          <cell r="B2242" t="str">
            <v>塑胶-国内外部</v>
          </cell>
          <cell r="C2242">
            <v>78.959999999999994</v>
          </cell>
        </row>
        <row r="2243">
          <cell r="A2243" t="str">
            <v>08</v>
          </cell>
          <cell r="B2243" t="str">
            <v>塑胶-国内外部</v>
          </cell>
          <cell r="C2243">
            <v>688.51</v>
          </cell>
        </row>
        <row r="2244">
          <cell r="A2244" t="str">
            <v>08</v>
          </cell>
          <cell r="B2244" t="str">
            <v>卷钢-国内外部</v>
          </cell>
          <cell r="C2244">
            <v>382.48</v>
          </cell>
        </row>
        <row r="2245">
          <cell r="A2245" t="str">
            <v>08</v>
          </cell>
          <cell r="B2245" t="str">
            <v>塑胶-国内外部</v>
          </cell>
          <cell r="C2245">
            <v>169.4</v>
          </cell>
        </row>
        <row r="2246">
          <cell r="A2246" t="str">
            <v>08</v>
          </cell>
          <cell r="B2246" t="str">
            <v>塑胶-国内外部</v>
          </cell>
          <cell r="C2246">
            <v>327.64</v>
          </cell>
        </row>
        <row r="2247">
          <cell r="A2247" t="str">
            <v>08</v>
          </cell>
          <cell r="B2247" t="str">
            <v>塑胶-国内外部</v>
          </cell>
          <cell r="C2247">
            <v>191.48</v>
          </cell>
        </row>
        <row r="2248">
          <cell r="A2248" t="str">
            <v>08</v>
          </cell>
          <cell r="B2248" t="str">
            <v>塑胶-国内外部</v>
          </cell>
          <cell r="C2248">
            <v>11.77</v>
          </cell>
        </row>
        <row r="2249">
          <cell r="A2249" t="str">
            <v>08</v>
          </cell>
          <cell r="B2249" t="str">
            <v>塑胶-国内外部</v>
          </cell>
          <cell r="C2249">
            <v>198.72</v>
          </cell>
        </row>
        <row r="2250">
          <cell r="A2250" t="str">
            <v>08</v>
          </cell>
          <cell r="B2250" t="str">
            <v>塑胶-国内外部</v>
          </cell>
          <cell r="C2250">
            <v>208.01</v>
          </cell>
        </row>
        <row r="2251">
          <cell r="A2251" t="str">
            <v>08</v>
          </cell>
          <cell r="B2251" t="str">
            <v>塑胶-国内外部</v>
          </cell>
          <cell r="C2251">
            <v>202.88</v>
          </cell>
        </row>
        <row r="2252">
          <cell r="A2252" t="str">
            <v>08</v>
          </cell>
          <cell r="B2252" t="str">
            <v>塑胶-国内外部</v>
          </cell>
          <cell r="C2252">
            <v>4.24</v>
          </cell>
        </row>
        <row r="2253">
          <cell r="A2253" t="str">
            <v>08</v>
          </cell>
          <cell r="B2253" t="str">
            <v>塑胶-国内外部</v>
          </cell>
          <cell r="C2253">
            <v>4.2699999999999996</v>
          </cell>
        </row>
        <row r="2254">
          <cell r="A2254" t="str">
            <v>08</v>
          </cell>
          <cell r="B2254" t="str">
            <v>塑胶-国外内部</v>
          </cell>
          <cell r="C2254">
            <v>15.16</v>
          </cell>
        </row>
        <row r="2255">
          <cell r="A2255" t="str">
            <v>08</v>
          </cell>
          <cell r="B2255" t="str">
            <v>塑胶-国内外部</v>
          </cell>
          <cell r="C2255">
            <v>349.2</v>
          </cell>
        </row>
        <row r="2256">
          <cell r="A2256" t="str">
            <v>08</v>
          </cell>
          <cell r="B2256" t="str">
            <v>塑胶-国内外部</v>
          </cell>
          <cell r="C2256">
            <v>128.94</v>
          </cell>
        </row>
        <row r="2257">
          <cell r="A2257" t="str">
            <v>08</v>
          </cell>
          <cell r="B2257" t="str">
            <v>塑胶-国内外部</v>
          </cell>
          <cell r="C2257">
            <v>94.76</v>
          </cell>
        </row>
        <row r="2258">
          <cell r="A2258" t="str">
            <v>08</v>
          </cell>
          <cell r="B2258" t="str">
            <v>塑胶-国内外部</v>
          </cell>
          <cell r="C2258">
            <v>3.92</v>
          </cell>
        </row>
        <row r="2259">
          <cell r="A2259" t="str">
            <v>08</v>
          </cell>
          <cell r="B2259" t="str">
            <v>塑胶-国内外部</v>
          </cell>
          <cell r="C2259">
            <v>208.01</v>
          </cell>
        </row>
        <row r="2260">
          <cell r="A2260" t="str">
            <v>08</v>
          </cell>
          <cell r="B2260" t="str">
            <v>塑胶-国内外部</v>
          </cell>
          <cell r="C2260">
            <v>196.71</v>
          </cell>
        </row>
        <row r="2261">
          <cell r="A2261" t="str">
            <v>08</v>
          </cell>
          <cell r="B2261" t="str">
            <v>塑胶-国内外部</v>
          </cell>
          <cell r="C2261">
            <v>3.75</v>
          </cell>
        </row>
        <row r="2262">
          <cell r="A2262" t="str">
            <v>08</v>
          </cell>
          <cell r="B2262" t="str">
            <v>塑胶-国内外部</v>
          </cell>
          <cell r="C2262">
            <v>17.2</v>
          </cell>
        </row>
        <row r="2263">
          <cell r="A2263" t="str">
            <v>08</v>
          </cell>
          <cell r="B2263" t="str">
            <v>塑胶-国内外部</v>
          </cell>
          <cell r="C2263">
            <v>0</v>
          </cell>
        </row>
        <row r="2264">
          <cell r="A2264" t="str">
            <v>08</v>
          </cell>
          <cell r="B2264" t="str">
            <v>塑胶-国内外部</v>
          </cell>
          <cell r="C2264">
            <v>90.25</v>
          </cell>
        </row>
        <row r="2265">
          <cell r="A2265" t="str">
            <v>08</v>
          </cell>
          <cell r="B2265" t="str">
            <v>塑胶-国内外部</v>
          </cell>
          <cell r="C2265">
            <v>740.19</v>
          </cell>
        </row>
        <row r="2266">
          <cell r="A2266" t="str">
            <v>08</v>
          </cell>
          <cell r="B2266" t="str">
            <v>塑胶-国内外部</v>
          </cell>
          <cell r="C2266">
            <v>611.09</v>
          </cell>
        </row>
        <row r="2267">
          <cell r="A2267" t="str">
            <v>08</v>
          </cell>
          <cell r="B2267" t="str">
            <v>塑胶-国内外部</v>
          </cell>
          <cell r="C2267">
            <v>0</v>
          </cell>
        </row>
        <row r="2268">
          <cell r="A2268" t="str">
            <v>08</v>
          </cell>
          <cell r="B2268" t="str">
            <v>塑胶-国内外部</v>
          </cell>
          <cell r="C2268">
            <v>0</v>
          </cell>
        </row>
        <row r="2269">
          <cell r="A2269" t="str">
            <v>08</v>
          </cell>
          <cell r="B2269" t="str">
            <v>塑胶-国内外部</v>
          </cell>
          <cell r="C2269">
            <v>0</v>
          </cell>
        </row>
        <row r="2270">
          <cell r="A2270" t="str">
            <v>08</v>
          </cell>
          <cell r="B2270" t="str">
            <v>塑胶-国内外部</v>
          </cell>
          <cell r="C2270">
            <v>0</v>
          </cell>
        </row>
        <row r="2271">
          <cell r="A2271" t="str">
            <v>08</v>
          </cell>
          <cell r="B2271" t="str">
            <v>塑胶-国内外部</v>
          </cell>
          <cell r="C2271">
            <v>0</v>
          </cell>
        </row>
        <row r="2272">
          <cell r="A2272" t="str">
            <v>08</v>
          </cell>
          <cell r="B2272" t="str">
            <v>塑胶-国内外部</v>
          </cell>
          <cell r="C2272">
            <v>0</v>
          </cell>
        </row>
        <row r="2273">
          <cell r="A2273" t="str">
            <v>08</v>
          </cell>
          <cell r="B2273" t="str">
            <v>塑胶-国内外部</v>
          </cell>
          <cell r="C2273">
            <v>60</v>
          </cell>
        </row>
        <row r="2274">
          <cell r="A2274" t="str">
            <v>08</v>
          </cell>
          <cell r="B2274" t="str">
            <v>塑胶-国内外部</v>
          </cell>
          <cell r="C2274">
            <v>691.82</v>
          </cell>
        </row>
        <row r="2275">
          <cell r="A2275" t="str">
            <v>08</v>
          </cell>
          <cell r="B2275" t="str">
            <v>塑胶-国内外部</v>
          </cell>
          <cell r="C2275">
            <v>27.54</v>
          </cell>
        </row>
        <row r="2276">
          <cell r="A2276" t="str">
            <v>08</v>
          </cell>
          <cell r="B2276" t="str">
            <v>塑胶-国内外部</v>
          </cell>
          <cell r="C2276">
            <v>110.92</v>
          </cell>
        </row>
        <row r="2277">
          <cell r="A2277" t="str">
            <v>08</v>
          </cell>
          <cell r="B2277" t="str">
            <v>卷钢-国内外部</v>
          </cell>
          <cell r="C2277">
            <v>382.48</v>
          </cell>
        </row>
        <row r="2278">
          <cell r="A2278" t="str">
            <v>08</v>
          </cell>
          <cell r="B2278" t="str">
            <v>塑胶-国内外部</v>
          </cell>
          <cell r="C2278">
            <v>224.4</v>
          </cell>
        </row>
        <row r="2279">
          <cell r="A2279" t="str">
            <v>08</v>
          </cell>
          <cell r="B2279" t="str">
            <v>塑胶-国内外部</v>
          </cell>
          <cell r="C2279">
            <v>208.01</v>
          </cell>
        </row>
        <row r="2280">
          <cell r="A2280" t="str">
            <v>08</v>
          </cell>
          <cell r="B2280" t="str">
            <v>塑胶-国内外部</v>
          </cell>
          <cell r="C2280">
            <v>202.88</v>
          </cell>
        </row>
        <row r="2281">
          <cell r="A2281" t="str">
            <v>08</v>
          </cell>
          <cell r="B2281" t="str">
            <v>卷钢-国内外部</v>
          </cell>
          <cell r="C2281">
            <v>39.24</v>
          </cell>
        </row>
        <row r="2282">
          <cell r="A2282" t="str">
            <v>08</v>
          </cell>
          <cell r="B2282" t="str">
            <v>卷钢-国内外部</v>
          </cell>
          <cell r="C2282">
            <v>87.12</v>
          </cell>
        </row>
        <row r="2283">
          <cell r="A2283" t="str">
            <v>08</v>
          </cell>
          <cell r="B2283" t="str">
            <v>塑胶-国内外部</v>
          </cell>
          <cell r="C2283">
            <v>174.6</v>
          </cell>
        </row>
        <row r="2284">
          <cell r="A2284" t="str">
            <v>08</v>
          </cell>
          <cell r="B2284" t="str">
            <v>塑胶-国内外部</v>
          </cell>
          <cell r="C2284">
            <v>7.63</v>
          </cell>
        </row>
        <row r="2285">
          <cell r="A2285" t="str">
            <v>08</v>
          </cell>
          <cell r="B2285" t="str">
            <v>塑胶-国内外部</v>
          </cell>
          <cell r="C2285">
            <v>265.35000000000002</v>
          </cell>
        </row>
        <row r="2286">
          <cell r="A2286" t="str">
            <v>08</v>
          </cell>
          <cell r="B2286" t="str">
            <v>塑胶-国内外部</v>
          </cell>
          <cell r="C2286">
            <v>37.979999999999997</v>
          </cell>
        </row>
        <row r="2287">
          <cell r="A2287" t="str">
            <v>08</v>
          </cell>
          <cell r="B2287" t="str">
            <v>塑胶-国内外部</v>
          </cell>
          <cell r="C2287">
            <v>43.95</v>
          </cell>
        </row>
        <row r="2288">
          <cell r="A2288" t="str">
            <v>08</v>
          </cell>
          <cell r="B2288" t="str">
            <v>塑胶-国内外部</v>
          </cell>
          <cell r="C2288">
            <v>208.01</v>
          </cell>
        </row>
        <row r="2289">
          <cell r="A2289" t="str">
            <v>08</v>
          </cell>
          <cell r="B2289" t="str">
            <v>塑胶-国内外部</v>
          </cell>
          <cell r="C2289">
            <v>196.73</v>
          </cell>
        </row>
        <row r="2290">
          <cell r="A2290" t="str">
            <v>08</v>
          </cell>
          <cell r="B2290" t="str">
            <v>卷钢-国内外部</v>
          </cell>
          <cell r="C2290">
            <v>69.680000000000007</v>
          </cell>
        </row>
        <row r="2291">
          <cell r="A2291" t="str">
            <v>08</v>
          </cell>
          <cell r="B2291" t="str">
            <v>塑胶-国内外部</v>
          </cell>
          <cell r="C2291">
            <v>366.66</v>
          </cell>
        </row>
        <row r="2292">
          <cell r="A2292" t="str">
            <v>08</v>
          </cell>
          <cell r="B2292" t="str">
            <v>塑胶-国内外部</v>
          </cell>
          <cell r="C2292">
            <v>86.5</v>
          </cell>
        </row>
        <row r="2293">
          <cell r="A2293" t="str">
            <v>08</v>
          </cell>
          <cell r="B2293" t="str">
            <v>塑胶-国内外部</v>
          </cell>
          <cell r="C2293">
            <v>355.74</v>
          </cell>
        </row>
        <row r="2294">
          <cell r="A2294" t="str">
            <v>08</v>
          </cell>
          <cell r="B2294" t="str">
            <v>塑胶-国内外部</v>
          </cell>
          <cell r="C2294">
            <v>202.62</v>
          </cell>
        </row>
        <row r="2295">
          <cell r="A2295" t="str">
            <v>08</v>
          </cell>
          <cell r="B2295" t="str">
            <v>塑胶-国内外部</v>
          </cell>
          <cell r="C2295">
            <v>37.909999999999997</v>
          </cell>
        </row>
        <row r="2296">
          <cell r="A2296" t="str">
            <v>08</v>
          </cell>
          <cell r="B2296" t="str">
            <v>塑胶-国内外部</v>
          </cell>
          <cell r="C2296">
            <v>3.83</v>
          </cell>
        </row>
        <row r="2297">
          <cell r="A2297" t="str">
            <v>08</v>
          </cell>
          <cell r="B2297" t="str">
            <v>塑胶-国内外部</v>
          </cell>
          <cell r="C2297">
            <v>106.83</v>
          </cell>
        </row>
        <row r="2298">
          <cell r="A2298" t="str">
            <v>08</v>
          </cell>
          <cell r="B2298" t="str">
            <v>塑胶-国内外部</v>
          </cell>
          <cell r="C2298">
            <v>102</v>
          </cell>
        </row>
        <row r="2299">
          <cell r="A2299" t="str">
            <v>08</v>
          </cell>
          <cell r="B2299" t="str">
            <v>塑胶-国内外部</v>
          </cell>
          <cell r="C2299">
            <v>63.6</v>
          </cell>
        </row>
        <row r="2300">
          <cell r="A2300" t="str">
            <v>08</v>
          </cell>
          <cell r="B2300" t="str">
            <v>塑胶-国内外部</v>
          </cell>
          <cell r="C2300">
            <v>61.84</v>
          </cell>
        </row>
        <row r="2301">
          <cell r="A2301" t="str">
            <v>08</v>
          </cell>
          <cell r="B2301" t="str">
            <v>塑胶-国内外部</v>
          </cell>
          <cell r="C2301">
            <v>78.959999999999994</v>
          </cell>
        </row>
        <row r="2302">
          <cell r="A2302" t="str">
            <v>08</v>
          </cell>
          <cell r="B2302" t="str">
            <v>塑胶-国内外部</v>
          </cell>
          <cell r="C2302">
            <v>603.22</v>
          </cell>
        </row>
        <row r="2303">
          <cell r="A2303" t="str">
            <v>08</v>
          </cell>
          <cell r="B2303" t="str">
            <v>塑胶-国内外部</v>
          </cell>
          <cell r="C2303">
            <v>405.76</v>
          </cell>
        </row>
        <row r="2304">
          <cell r="A2304" t="str">
            <v>08</v>
          </cell>
          <cell r="B2304" t="str">
            <v>塑胶-国内外部</v>
          </cell>
          <cell r="C2304">
            <v>216.38</v>
          </cell>
        </row>
        <row r="2305">
          <cell r="A2305" t="str">
            <v>08</v>
          </cell>
          <cell r="B2305" t="str">
            <v>卷钢-国内外部</v>
          </cell>
          <cell r="C2305">
            <v>382.49</v>
          </cell>
        </row>
        <row r="2306">
          <cell r="A2306" t="str">
            <v>08</v>
          </cell>
          <cell r="B2306" t="str">
            <v>塑胶-国内外部</v>
          </cell>
          <cell r="C2306">
            <v>852.92</v>
          </cell>
        </row>
        <row r="2307">
          <cell r="A2307" t="str">
            <v>09</v>
          </cell>
          <cell r="B2307" t="str">
            <v>卷钢-国内内部</v>
          </cell>
          <cell r="C2307">
            <v>4.55</v>
          </cell>
        </row>
        <row r="2308">
          <cell r="A2308" t="str">
            <v>09</v>
          </cell>
          <cell r="B2308" t="str">
            <v>卷钢-国内内部</v>
          </cell>
          <cell r="C2308">
            <v>33.4</v>
          </cell>
        </row>
        <row r="2309">
          <cell r="A2309" t="str">
            <v>09</v>
          </cell>
          <cell r="B2309" t="str">
            <v>卷钢-国内内部</v>
          </cell>
          <cell r="C2309">
            <v>6.25</v>
          </cell>
        </row>
        <row r="2310">
          <cell r="A2310" t="str">
            <v>09</v>
          </cell>
          <cell r="B2310" t="str">
            <v>塑胶-国内外部</v>
          </cell>
          <cell r="C2310">
            <v>2514.19</v>
          </cell>
        </row>
        <row r="2311">
          <cell r="A2311" t="str">
            <v>09</v>
          </cell>
          <cell r="B2311" t="str">
            <v>塑胶-国内外部</v>
          </cell>
          <cell r="C2311">
            <v>1528.25</v>
          </cell>
        </row>
        <row r="2312">
          <cell r="A2312" t="str">
            <v>09</v>
          </cell>
          <cell r="B2312" t="str">
            <v>塑胶-国内外部</v>
          </cell>
          <cell r="C2312">
            <v>460</v>
          </cell>
        </row>
        <row r="2313">
          <cell r="A2313" t="str">
            <v>09</v>
          </cell>
          <cell r="B2313" t="str">
            <v>塑胶-国内外部</v>
          </cell>
          <cell r="C2313">
            <v>1684.8</v>
          </cell>
        </row>
        <row r="2314">
          <cell r="A2314" t="str">
            <v>09</v>
          </cell>
          <cell r="B2314" t="str">
            <v>塑胶-国内外部</v>
          </cell>
          <cell r="C2314">
            <v>1337.66</v>
          </cell>
        </row>
        <row r="2315">
          <cell r="A2315" t="str">
            <v>09</v>
          </cell>
          <cell r="B2315" t="str">
            <v>塑胶-国内外部</v>
          </cell>
          <cell r="C2315">
            <v>64.48</v>
          </cell>
        </row>
        <row r="2316">
          <cell r="A2316" t="str">
            <v>09</v>
          </cell>
          <cell r="B2316" t="str">
            <v>塑胶-国内外部</v>
          </cell>
          <cell r="C2316">
            <v>37.880000000000003</v>
          </cell>
        </row>
        <row r="2317">
          <cell r="A2317" t="str">
            <v>09</v>
          </cell>
          <cell r="B2317" t="str">
            <v>塑胶-国内外部</v>
          </cell>
          <cell r="C2317">
            <v>314.27</v>
          </cell>
        </row>
        <row r="2318">
          <cell r="A2318" t="str">
            <v>09</v>
          </cell>
          <cell r="B2318" t="str">
            <v>塑胶-国内外部</v>
          </cell>
          <cell r="C2318">
            <v>73.680000000000007</v>
          </cell>
        </row>
        <row r="2319">
          <cell r="A2319" t="str">
            <v>09</v>
          </cell>
          <cell r="B2319" t="str">
            <v>塑胶-国内外部</v>
          </cell>
          <cell r="C2319">
            <v>379.08</v>
          </cell>
        </row>
        <row r="2320">
          <cell r="A2320" t="str">
            <v>09</v>
          </cell>
          <cell r="B2320" t="str">
            <v>塑胶-国内外部</v>
          </cell>
          <cell r="C2320">
            <v>1040</v>
          </cell>
        </row>
        <row r="2321">
          <cell r="A2321" t="str">
            <v>09</v>
          </cell>
          <cell r="B2321" t="str">
            <v>塑胶-国内外部</v>
          </cell>
          <cell r="C2321">
            <v>63.6</v>
          </cell>
        </row>
        <row r="2322">
          <cell r="A2322" t="str">
            <v>09</v>
          </cell>
          <cell r="B2322" t="str">
            <v>塑胶-国内外部</v>
          </cell>
          <cell r="C2322">
            <v>44.16</v>
          </cell>
        </row>
        <row r="2323">
          <cell r="A2323" t="str">
            <v>09</v>
          </cell>
          <cell r="B2323" t="str">
            <v>塑胶-国内外部</v>
          </cell>
          <cell r="C2323">
            <v>501</v>
          </cell>
        </row>
        <row r="2324">
          <cell r="A2324" t="str">
            <v>09</v>
          </cell>
          <cell r="B2324" t="str">
            <v>卷钢-国内外部</v>
          </cell>
          <cell r="C2324">
            <v>382.48</v>
          </cell>
        </row>
        <row r="2325">
          <cell r="A2325" t="str">
            <v>09</v>
          </cell>
          <cell r="B2325" t="str">
            <v>塑胶-国内外部</v>
          </cell>
          <cell r="C2325">
            <v>166.61</v>
          </cell>
        </row>
        <row r="2326">
          <cell r="A2326" t="str">
            <v>09</v>
          </cell>
          <cell r="B2326" t="str">
            <v>塑胶-国内外部</v>
          </cell>
          <cell r="C2326">
            <v>19.739999999999998</v>
          </cell>
        </row>
        <row r="2327">
          <cell r="A2327" t="str">
            <v>09</v>
          </cell>
          <cell r="B2327" t="str">
            <v>塑胶-国内外部</v>
          </cell>
          <cell r="C2327">
            <v>204.81</v>
          </cell>
        </row>
        <row r="2328">
          <cell r="A2328" t="str">
            <v>09</v>
          </cell>
          <cell r="B2328" t="str">
            <v>塑胶-国内外部</v>
          </cell>
          <cell r="C2328">
            <v>199.35</v>
          </cell>
        </row>
        <row r="2329">
          <cell r="A2329" t="str">
            <v>09</v>
          </cell>
          <cell r="B2329" t="str">
            <v>塑胶-国内外部</v>
          </cell>
          <cell r="C2329">
            <v>306.24</v>
          </cell>
        </row>
        <row r="2330">
          <cell r="A2330" t="str">
            <v>09</v>
          </cell>
          <cell r="B2330" t="str">
            <v>塑胶-国内外部</v>
          </cell>
          <cell r="C2330">
            <v>955.66</v>
          </cell>
        </row>
        <row r="2331">
          <cell r="A2331" t="str">
            <v>09</v>
          </cell>
          <cell r="B2331" t="str">
            <v>塑胶-国内外部</v>
          </cell>
          <cell r="C2331">
            <v>22</v>
          </cell>
        </row>
        <row r="2332">
          <cell r="A2332" t="str">
            <v>09</v>
          </cell>
          <cell r="B2332" t="str">
            <v>塑胶-国内外部</v>
          </cell>
          <cell r="C2332">
            <v>852.84</v>
          </cell>
        </row>
        <row r="2333">
          <cell r="A2333" t="str">
            <v>09</v>
          </cell>
          <cell r="B2333" t="str">
            <v>塑胶-国内外部</v>
          </cell>
          <cell r="C2333">
            <v>436.49</v>
          </cell>
        </row>
        <row r="2334">
          <cell r="A2334" t="str">
            <v>09</v>
          </cell>
          <cell r="B2334" t="str">
            <v>塑胶-国内外部</v>
          </cell>
          <cell r="C2334">
            <v>86.5</v>
          </cell>
        </row>
        <row r="2335">
          <cell r="A2335" t="str">
            <v>09</v>
          </cell>
          <cell r="B2335" t="str">
            <v>塑胶-国内外部</v>
          </cell>
          <cell r="C2335">
            <v>169.4</v>
          </cell>
        </row>
        <row r="2336">
          <cell r="A2336" t="str">
            <v>09</v>
          </cell>
          <cell r="B2336" t="str">
            <v>塑胶-国内外部</v>
          </cell>
          <cell r="C2336">
            <v>5746.9</v>
          </cell>
        </row>
        <row r="2337">
          <cell r="A2337" t="str">
            <v>09</v>
          </cell>
          <cell r="B2337" t="str">
            <v>塑胶-国内外部</v>
          </cell>
          <cell r="C2337">
            <v>206.95</v>
          </cell>
        </row>
        <row r="2338">
          <cell r="A2338" t="str">
            <v>09</v>
          </cell>
          <cell r="B2338" t="str">
            <v>塑胶-国内外部</v>
          </cell>
          <cell r="C2338">
            <v>395.22</v>
          </cell>
        </row>
        <row r="2339">
          <cell r="A2339" t="str">
            <v>09</v>
          </cell>
          <cell r="B2339" t="str">
            <v>塑胶-国内外部</v>
          </cell>
          <cell r="C2339">
            <v>121.73</v>
          </cell>
        </row>
        <row r="2340">
          <cell r="A2340" t="str">
            <v>09</v>
          </cell>
          <cell r="B2340" t="str">
            <v>塑胶-国内外部</v>
          </cell>
          <cell r="C2340">
            <v>1102.2</v>
          </cell>
        </row>
        <row r="2341">
          <cell r="A2341" t="str">
            <v>09</v>
          </cell>
          <cell r="B2341" t="str">
            <v>塑胶-国内外部</v>
          </cell>
          <cell r="C2341">
            <v>196.72</v>
          </cell>
        </row>
        <row r="2342">
          <cell r="A2342" t="str">
            <v>09</v>
          </cell>
          <cell r="B2342" t="str">
            <v>塑胶-国内外部</v>
          </cell>
          <cell r="C2342">
            <v>203.62</v>
          </cell>
        </row>
        <row r="2343">
          <cell r="A2343" t="str">
            <v>09</v>
          </cell>
          <cell r="B2343" t="str">
            <v>塑胶-国内外部</v>
          </cell>
          <cell r="C2343">
            <v>17.46</v>
          </cell>
        </row>
        <row r="2344">
          <cell r="A2344" t="str">
            <v>09</v>
          </cell>
          <cell r="B2344" t="str">
            <v>塑胶-国内外部</v>
          </cell>
          <cell r="C2344">
            <v>103.8</v>
          </cell>
        </row>
        <row r="2345">
          <cell r="A2345" t="str">
            <v>09</v>
          </cell>
          <cell r="B2345" t="str">
            <v>塑胶-国内外部</v>
          </cell>
          <cell r="C2345">
            <v>63.6</v>
          </cell>
        </row>
        <row r="2346">
          <cell r="A2346" t="str">
            <v>09</v>
          </cell>
          <cell r="B2346" t="str">
            <v>塑胶-国内外部</v>
          </cell>
          <cell r="C2346">
            <v>61.83</v>
          </cell>
        </row>
        <row r="2347">
          <cell r="A2347" t="str">
            <v>09</v>
          </cell>
          <cell r="B2347" t="str">
            <v>塑胶-国内外部</v>
          </cell>
          <cell r="C2347">
            <v>138.18</v>
          </cell>
        </row>
        <row r="2348">
          <cell r="A2348" t="str">
            <v>09</v>
          </cell>
          <cell r="B2348" t="str">
            <v>卷钢-国内外部</v>
          </cell>
          <cell r="C2348">
            <v>382.48</v>
          </cell>
        </row>
        <row r="2349">
          <cell r="A2349" t="str">
            <v>09</v>
          </cell>
          <cell r="B2349" t="str">
            <v>塑胶-国内外部</v>
          </cell>
          <cell r="C2349">
            <v>41.22</v>
          </cell>
        </row>
        <row r="2350">
          <cell r="A2350" t="str">
            <v>09</v>
          </cell>
          <cell r="B2350" t="str">
            <v>卷钢-国内外部</v>
          </cell>
          <cell r="C2350">
            <v>696.78</v>
          </cell>
        </row>
        <row r="2351">
          <cell r="A2351" t="str">
            <v>09</v>
          </cell>
          <cell r="B2351" t="str">
            <v>塑胶-国内外部</v>
          </cell>
          <cell r="C2351">
            <v>34.92</v>
          </cell>
        </row>
        <row r="2352">
          <cell r="A2352" t="str">
            <v>09</v>
          </cell>
          <cell r="B2352" t="str">
            <v>卷钢-国内外部</v>
          </cell>
          <cell r="C2352">
            <v>232.27</v>
          </cell>
        </row>
        <row r="2353">
          <cell r="A2353" t="str">
            <v>09</v>
          </cell>
          <cell r="B2353" t="str">
            <v>塑胶-国内外部</v>
          </cell>
          <cell r="C2353">
            <v>42.98</v>
          </cell>
        </row>
        <row r="2354">
          <cell r="A2354" t="str">
            <v>09</v>
          </cell>
          <cell r="B2354" t="str">
            <v>塑胶-国内外部</v>
          </cell>
          <cell r="C2354">
            <v>465.45</v>
          </cell>
        </row>
        <row r="2355">
          <cell r="A2355" t="str">
            <v>09</v>
          </cell>
          <cell r="B2355" t="str">
            <v>塑胶-国内外部</v>
          </cell>
          <cell r="C2355">
            <v>181.22</v>
          </cell>
        </row>
        <row r="2356">
          <cell r="A2356" t="str">
            <v>09</v>
          </cell>
          <cell r="B2356" t="str">
            <v>塑胶-国内外部</v>
          </cell>
          <cell r="C2356">
            <v>349.2</v>
          </cell>
        </row>
        <row r="2357">
          <cell r="A2357" t="str">
            <v>09</v>
          </cell>
          <cell r="B2357" t="str">
            <v>塑胶-国内外部</v>
          </cell>
          <cell r="C2357">
            <v>313.13</v>
          </cell>
        </row>
        <row r="2358">
          <cell r="A2358" t="str">
            <v>09</v>
          </cell>
          <cell r="B2358" t="str">
            <v>塑胶-国内外部</v>
          </cell>
          <cell r="C2358">
            <v>94.73</v>
          </cell>
        </row>
        <row r="2359">
          <cell r="A2359" t="str">
            <v>09</v>
          </cell>
          <cell r="B2359" t="str">
            <v>塑胶-国内外部</v>
          </cell>
          <cell r="C2359">
            <v>204</v>
          </cell>
        </row>
        <row r="2360">
          <cell r="A2360" t="str">
            <v>09</v>
          </cell>
          <cell r="B2360" t="str">
            <v>塑胶-国内外部</v>
          </cell>
          <cell r="C2360">
            <v>84.8</v>
          </cell>
        </row>
        <row r="2361">
          <cell r="A2361" t="str">
            <v>09</v>
          </cell>
          <cell r="B2361" t="str">
            <v>塑胶-国内外部</v>
          </cell>
          <cell r="C2361">
            <v>208.01</v>
          </cell>
        </row>
        <row r="2362">
          <cell r="A2362" t="str">
            <v>09</v>
          </cell>
          <cell r="B2362" t="str">
            <v>塑胶-国内外部</v>
          </cell>
          <cell r="C2362">
            <v>101.44</v>
          </cell>
        </row>
        <row r="2363">
          <cell r="A2363" t="str">
            <v>09</v>
          </cell>
          <cell r="B2363" t="str">
            <v>塑胶-国内外部</v>
          </cell>
          <cell r="C2363">
            <v>196.71</v>
          </cell>
        </row>
        <row r="2364">
          <cell r="A2364" t="str">
            <v>09</v>
          </cell>
          <cell r="B2364" t="str">
            <v>塑胶-国内外部</v>
          </cell>
          <cell r="C2364">
            <v>386.81</v>
          </cell>
        </row>
        <row r="2365">
          <cell r="A2365" t="str">
            <v>09</v>
          </cell>
          <cell r="B2365" t="str">
            <v>卷钢-国内外部</v>
          </cell>
          <cell r="C2365">
            <v>232.26</v>
          </cell>
        </row>
        <row r="2366">
          <cell r="A2366" t="str">
            <v>09</v>
          </cell>
          <cell r="B2366" t="str">
            <v>塑胶-国内外部</v>
          </cell>
          <cell r="C2366">
            <v>214.94</v>
          </cell>
        </row>
        <row r="2367">
          <cell r="A2367" t="str">
            <v>09</v>
          </cell>
          <cell r="B2367" t="str">
            <v>塑胶-国内外部</v>
          </cell>
          <cell r="C2367">
            <v>111.07</v>
          </cell>
        </row>
        <row r="2368">
          <cell r="A2368" t="str">
            <v>09</v>
          </cell>
          <cell r="B2368" t="str">
            <v>塑胶-国内外部</v>
          </cell>
          <cell r="C2368">
            <v>18.600000000000001</v>
          </cell>
        </row>
        <row r="2369">
          <cell r="A2369" t="str">
            <v>09</v>
          </cell>
          <cell r="B2369" t="str">
            <v>塑胶-国内外部</v>
          </cell>
          <cell r="C2369">
            <v>244.42</v>
          </cell>
        </row>
        <row r="2370">
          <cell r="A2370" t="str">
            <v>09</v>
          </cell>
          <cell r="B2370" t="str">
            <v>塑胶-国内外部</v>
          </cell>
          <cell r="C2370">
            <v>254.1</v>
          </cell>
        </row>
        <row r="2371">
          <cell r="A2371" t="str">
            <v>09</v>
          </cell>
          <cell r="B2371" t="str">
            <v>塑胶-国内外部</v>
          </cell>
          <cell r="C2371">
            <v>460.49</v>
          </cell>
        </row>
        <row r="2372">
          <cell r="A2372" t="str">
            <v>09</v>
          </cell>
          <cell r="B2372" t="str">
            <v>塑胶-国内外部</v>
          </cell>
          <cell r="C2372">
            <v>382.96</v>
          </cell>
        </row>
        <row r="2373">
          <cell r="A2373" t="str">
            <v>09</v>
          </cell>
          <cell r="B2373" t="str">
            <v>塑胶-国内外部</v>
          </cell>
          <cell r="C2373">
            <v>61.84</v>
          </cell>
        </row>
        <row r="2374">
          <cell r="A2374" t="str">
            <v>09</v>
          </cell>
          <cell r="B2374" t="str">
            <v>塑胶-国内外部</v>
          </cell>
          <cell r="C2374">
            <v>19.739999999999998</v>
          </cell>
        </row>
        <row r="2375">
          <cell r="A2375" t="str">
            <v>09</v>
          </cell>
          <cell r="B2375" t="str">
            <v>塑胶-国内外部</v>
          </cell>
          <cell r="C2375">
            <v>84.8</v>
          </cell>
        </row>
        <row r="2376">
          <cell r="A2376" t="str">
            <v>09</v>
          </cell>
          <cell r="B2376" t="str">
            <v>塑胶-国内外部</v>
          </cell>
          <cell r="C2376">
            <v>397.44</v>
          </cell>
        </row>
        <row r="2377">
          <cell r="A2377" t="str">
            <v>09</v>
          </cell>
          <cell r="B2377" t="str">
            <v>塑胶-国内外部</v>
          </cell>
          <cell r="C2377">
            <v>520.02</v>
          </cell>
        </row>
        <row r="2378">
          <cell r="A2378" t="str">
            <v>09</v>
          </cell>
          <cell r="B2378" t="str">
            <v>塑胶-国内外部</v>
          </cell>
          <cell r="C2378">
            <v>202.88</v>
          </cell>
        </row>
        <row r="2379">
          <cell r="A2379" t="str">
            <v>09</v>
          </cell>
          <cell r="B2379" t="str">
            <v>塑胶-国内外部</v>
          </cell>
          <cell r="C2379">
            <v>236.05</v>
          </cell>
        </row>
        <row r="2380">
          <cell r="A2380" t="str">
            <v>09</v>
          </cell>
          <cell r="B2380" t="str">
            <v>卷钢-国内外部</v>
          </cell>
          <cell r="C2380">
            <v>382.48</v>
          </cell>
        </row>
        <row r="2381">
          <cell r="A2381" t="str">
            <v>09</v>
          </cell>
          <cell r="B2381" t="str">
            <v>塑胶-国内外部</v>
          </cell>
          <cell r="C2381">
            <v>18.55</v>
          </cell>
        </row>
        <row r="2382">
          <cell r="A2382" t="str">
            <v>09</v>
          </cell>
          <cell r="B2382" t="str">
            <v>塑胶-国内外部</v>
          </cell>
          <cell r="C2382">
            <v>139.68</v>
          </cell>
        </row>
        <row r="2383">
          <cell r="A2383" t="str">
            <v>09</v>
          </cell>
          <cell r="B2383" t="str">
            <v>塑胶-国内外部</v>
          </cell>
          <cell r="C2383">
            <v>135.52000000000001</v>
          </cell>
        </row>
        <row r="2384">
          <cell r="A2384" t="str">
            <v>09</v>
          </cell>
          <cell r="B2384" t="str">
            <v>塑胶-国内外部</v>
          </cell>
          <cell r="C2384">
            <v>117.1</v>
          </cell>
        </row>
        <row r="2385">
          <cell r="A2385" t="str">
            <v>09</v>
          </cell>
          <cell r="B2385" t="str">
            <v>塑胶-国内外部</v>
          </cell>
          <cell r="C2385">
            <v>379.08</v>
          </cell>
        </row>
        <row r="2386">
          <cell r="A2386" t="str">
            <v>09</v>
          </cell>
          <cell r="B2386" t="str">
            <v>卷钢-国内外部</v>
          </cell>
          <cell r="C2386">
            <v>382.48</v>
          </cell>
        </row>
        <row r="2387">
          <cell r="A2387" t="str">
            <v>09</v>
          </cell>
          <cell r="B2387" t="str">
            <v>塑胶-国内外部</v>
          </cell>
          <cell r="C2387">
            <v>471.41</v>
          </cell>
        </row>
        <row r="2388">
          <cell r="A2388" t="str">
            <v>09</v>
          </cell>
          <cell r="B2388" t="str">
            <v>塑胶-国内外部</v>
          </cell>
          <cell r="C2388">
            <v>169.4</v>
          </cell>
        </row>
        <row r="2389">
          <cell r="A2389" t="str">
            <v>09</v>
          </cell>
          <cell r="B2389" t="str">
            <v>塑胶-国内外部</v>
          </cell>
          <cell r="C2389">
            <v>189.54</v>
          </cell>
        </row>
        <row r="2390">
          <cell r="A2390" t="str">
            <v>09</v>
          </cell>
          <cell r="B2390" t="str">
            <v>塑胶-国内外部</v>
          </cell>
          <cell r="C2390">
            <v>204</v>
          </cell>
        </row>
        <row r="2391">
          <cell r="A2391" t="str">
            <v>09</v>
          </cell>
          <cell r="B2391" t="str">
            <v>塑胶-国外内部</v>
          </cell>
          <cell r="C2391">
            <v>92.56</v>
          </cell>
        </row>
        <row r="2392">
          <cell r="A2392" t="str">
            <v>09</v>
          </cell>
          <cell r="B2392" t="str">
            <v>塑胶-国外内部</v>
          </cell>
          <cell r="C2392">
            <v>15.16</v>
          </cell>
        </row>
        <row r="2393">
          <cell r="A2393" t="str">
            <v>09</v>
          </cell>
          <cell r="B2393" t="str">
            <v>塑胶-国外内部</v>
          </cell>
          <cell r="C2393">
            <v>19</v>
          </cell>
        </row>
        <row r="2394">
          <cell r="A2394" t="str">
            <v>09</v>
          </cell>
          <cell r="B2394" t="str">
            <v>塑胶-国外内部</v>
          </cell>
          <cell r="C2394">
            <v>19.190000000000001</v>
          </cell>
        </row>
        <row r="2395">
          <cell r="A2395" t="str">
            <v>09</v>
          </cell>
          <cell r="B2395" t="str">
            <v>塑胶-国外内部</v>
          </cell>
          <cell r="C2395">
            <v>20.75</v>
          </cell>
        </row>
        <row r="2396">
          <cell r="A2396" t="str">
            <v>09</v>
          </cell>
          <cell r="B2396" t="str">
            <v>塑胶-国外内部</v>
          </cell>
          <cell r="C2396">
            <v>306</v>
          </cell>
        </row>
        <row r="2397">
          <cell r="A2397" t="str">
            <v>09</v>
          </cell>
          <cell r="B2397" t="str">
            <v>塑胶-国外内部</v>
          </cell>
          <cell r="C2397">
            <v>20.8</v>
          </cell>
        </row>
        <row r="2398">
          <cell r="A2398" t="str">
            <v>09</v>
          </cell>
          <cell r="B2398" t="str">
            <v>塑胶-国内外部</v>
          </cell>
          <cell r="C2398">
            <v>113.65</v>
          </cell>
        </row>
        <row r="2399">
          <cell r="A2399" t="str">
            <v>09</v>
          </cell>
          <cell r="B2399" t="str">
            <v>塑胶-国内外部</v>
          </cell>
          <cell r="C2399">
            <v>54.5</v>
          </cell>
        </row>
        <row r="2400">
          <cell r="A2400" t="str">
            <v>09</v>
          </cell>
          <cell r="B2400" t="str">
            <v>塑胶-国内外部</v>
          </cell>
          <cell r="C2400">
            <v>436.49</v>
          </cell>
        </row>
        <row r="2401">
          <cell r="A2401" t="str">
            <v>09</v>
          </cell>
          <cell r="B2401" t="str">
            <v>塑胶-国内外部</v>
          </cell>
          <cell r="C2401">
            <v>104.21</v>
          </cell>
        </row>
        <row r="2402">
          <cell r="A2402" t="str">
            <v>09</v>
          </cell>
          <cell r="B2402" t="str">
            <v>塑胶-国内外部</v>
          </cell>
          <cell r="C2402">
            <v>56.85</v>
          </cell>
        </row>
        <row r="2403">
          <cell r="A2403" t="str">
            <v>09</v>
          </cell>
          <cell r="B2403" t="str">
            <v>塑胶-国内外部</v>
          </cell>
          <cell r="C2403">
            <v>202.88</v>
          </cell>
        </row>
        <row r="2404">
          <cell r="A2404" t="str">
            <v>09</v>
          </cell>
          <cell r="B2404" t="str">
            <v>塑胶-国内外部</v>
          </cell>
          <cell r="C2404">
            <v>196.71</v>
          </cell>
        </row>
        <row r="2405">
          <cell r="A2405" t="str">
            <v>09</v>
          </cell>
          <cell r="B2405" t="str">
            <v>卷钢-国内外部</v>
          </cell>
          <cell r="C2405">
            <v>23.23</v>
          </cell>
        </row>
        <row r="2406">
          <cell r="A2406" t="str">
            <v>09</v>
          </cell>
          <cell r="B2406" t="str">
            <v>卷钢-国内外部</v>
          </cell>
          <cell r="C2406">
            <v>19.12</v>
          </cell>
        </row>
        <row r="2407">
          <cell r="A2407" t="str">
            <v>09</v>
          </cell>
          <cell r="B2407" t="str">
            <v>塑胶-国内外部</v>
          </cell>
          <cell r="C2407">
            <v>42.99</v>
          </cell>
        </row>
        <row r="2408">
          <cell r="A2408" t="str">
            <v>09</v>
          </cell>
          <cell r="B2408" t="str">
            <v>塑胶-国内外部</v>
          </cell>
          <cell r="C2408">
            <v>261.89</v>
          </cell>
        </row>
        <row r="2409">
          <cell r="A2409" t="str">
            <v>09</v>
          </cell>
          <cell r="B2409" t="str">
            <v>塑胶-国内外部</v>
          </cell>
          <cell r="C2409">
            <v>92.1</v>
          </cell>
        </row>
        <row r="2410">
          <cell r="A2410" t="str">
            <v>09</v>
          </cell>
          <cell r="B2410" t="str">
            <v>塑胶-国内外部</v>
          </cell>
          <cell r="C2410">
            <v>76.59</v>
          </cell>
        </row>
        <row r="2411">
          <cell r="A2411" t="str">
            <v>09</v>
          </cell>
          <cell r="B2411" t="str">
            <v>塑胶-国内外部</v>
          </cell>
          <cell r="C2411">
            <v>42.71</v>
          </cell>
        </row>
        <row r="2412">
          <cell r="A2412" t="str">
            <v>09</v>
          </cell>
          <cell r="B2412" t="str">
            <v>塑胶-国内外部</v>
          </cell>
          <cell r="C2412">
            <v>42</v>
          </cell>
        </row>
        <row r="2413">
          <cell r="A2413" t="str">
            <v>09</v>
          </cell>
          <cell r="B2413" t="str">
            <v>塑胶-国内外部</v>
          </cell>
          <cell r="C2413">
            <v>85.74</v>
          </cell>
        </row>
        <row r="2414">
          <cell r="A2414" t="str">
            <v>09</v>
          </cell>
          <cell r="B2414" t="str">
            <v>塑胶-国内外部</v>
          </cell>
          <cell r="C2414">
            <v>293.36</v>
          </cell>
        </row>
        <row r="2415">
          <cell r="A2415" t="str">
            <v>09</v>
          </cell>
          <cell r="B2415" t="str">
            <v>塑胶-国内外部</v>
          </cell>
          <cell r="C2415">
            <v>63.6</v>
          </cell>
        </row>
        <row r="2416">
          <cell r="A2416" t="str">
            <v>09</v>
          </cell>
          <cell r="B2416" t="str">
            <v>塑胶-国内外部</v>
          </cell>
          <cell r="C2416">
            <v>571.20000000000005</v>
          </cell>
        </row>
        <row r="2417">
          <cell r="A2417" t="str">
            <v>09</v>
          </cell>
          <cell r="B2417" t="str">
            <v>塑胶-国内外部</v>
          </cell>
          <cell r="C2417">
            <v>446.34</v>
          </cell>
        </row>
        <row r="2418">
          <cell r="A2418" t="str">
            <v>09</v>
          </cell>
          <cell r="B2418" t="str">
            <v>塑胶-国内外部</v>
          </cell>
          <cell r="C2418">
            <v>236.06</v>
          </cell>
        </row>
        <row r="2419">
          <cell r="A2419" t="str">
            <v>09</v>
          </cell>
          <cell r="B2419" t="str">
            <v>塑胶-国内外部</v>
          </cell>
          <cell r="C2419">
            <v>55.53</v>
          </cell>
        </row>
        <row r="2420">
          <cell r="A2420" t="str">
            <v>09</v>
          </cell>
          <cell r="B2420" t="str">
            <v>塑胶-国内外部</v>
          </cell>
          <cell r="C2420">
            <v>34.6</v>
          </cell>
        </row>
        <row r="2421">
          <cell r="A2421" t="str">
            <v>09</v>
          </cell>
          <cell r="B2421" t="str">
            <v>塑胶-国内外部</v>
          </cell>
          <cell r="C2421">
            <v>22</v>
          </cell>
        </row>
        <row r="2422">
          <cell r="A2422" t="str">
            <v>09</v>
          </cell>
          <cell r="B2422" t="str">
            <v>塑胶-国内外部</v>
          </cell>
          <cell r="C2422">
            <v>21.2</v>
          </cell>
        </row>
        <row r="2423">
          <cell r="A2423" t="str">
            <v>09</v>
          </cell>
          <cell r="B2423" t="str">
            <v>塑胶-国内外部</v>
          </cell>
          <cell r="C2423">
            <v>19.739999999999998</v>
          </cell>
        </row>
        <row r="2424">
          <cell r="A2424" t="str">
            <v>09</v>
          </cell>
          <cell r="B2424" t="str">
            <v>塑胶-国内外部</v>
          </cell>
          <cell r="C2424">
            <v>93.09</v>
          </cell>
        </row>
        <row r="2425">
          <cell r="A2425" t="str">
            <v>09</v>
          </cell>
          <cell r="B2425" t="str">
            <v>塑胶-国内外部</v>
          </cell>
          <cell r="C2425">
            <v>90.61</v>
          </cell>
        </row>
        <row r="2426">
          <cell r="A2426" t="str">
            <v>09</v>
          </cell>
          <cell r="B2426" t="str">
            <v>塑胶-国内外部</v>
          </cell>
          <cell r="C2426">
            <v>18.510000000000002</v>
          </cell>
        </row>
        <row r="2427">
          <cell r="A2427" t="str">
            <v>09</v>
          </cell>
          <cell r="B2427" t="str">
            <v>塑胶-国内外部</v>
          </cell>
          <cell r="C2427">
            <v>261.89</v>
          </cell>
        </row>
        <row r="2428">
          <cell r="A2428" t="str">
            <v>09</v>
          </cell>
          <cell r="B2428" t="str">
            <v>塑胶-国内外部</v>
          </cell>
          <cell r="C2428">
            <v>84.7</v>
          </cell>
        </row>
        <row r="2429">
          <cell r="A2429" t="str">
            <v>09</v>
          </cell>
          <cell r="B2429" t="str">
            <v>塑胶-国内外部</v>
          </cell>
          <cell r="C2429">
            <v>22</v>
          </cell>
        </row>
        <row r="2430">
          <cell r="A2430" t="str">
            <v>09</v>
          </cell>
          <cell r="B2430" t="str">
            <v>塑胶-国内外部</v>
          </cell>
          <cell r="C2430">
            <v>19.739999999999998</v>
          </cell>
        </row>
        <row r="2431">
          <cell r="A2431" t="str">
            <v>09</v>
          </cell>
          <cell r="B2431" t="str">
            <v>塑胶-国内外部</v>
          </cell>
          <cell r="C2431">
            <v>62.41</v>
          </cell>
        </row>
        <row r="2432">
          <cell r="A2432" t="str">
            <v>09</v>
          </cell>
          <cell r="B2432" t="str">
            <v>塑胶-国内外部</v>
          </cell>
          <cell r="C2432">
            <v>37.880000000000003</v>
          </cell>
        </row>
        <row r="2433">
          <cell r="A2433" t="str">
            <v>09</v>
          </cell>
          <cell r="B2433" t="str">
            <v>塑胶-国内外部</v>
          </cell>
          <cell r="C2433">
            <v>508.2</v>
          </cell>
        </row>
        <row r="2434">
          <cell r="A2434" t="str">
            <v>09</v>
          </cell>
          <cell r="B2434" t="str">
            <v>塑胶-国内外部</v>
          </cell>
          <cell r="C2434">
            <v>204</v>
          </cell>
        </row>
        <row r="2435">
          <cell r="A2435" t="str">
            <v>09</v>
          </cell>
          <cell r="B2435" t="str">
            <v>塑胶-国内外部</v>
          </cell>
          <cell r="C2435">
            <v>208.01</v>
          </cell>
        </row>
        <row r="2436">
          <cell r="A2436" t="str">
            <v>09</v>
          </cell>
          <cell r="B2436" t="str">
            <v>塑胶-国内外部</v>
          </cell>
          <cell r="C2436">
            <v>405.77</v>
          </cell>
        </row>
        <row r="2437">
          <cell r="A2437" t="str">
            <v>09</v>
          </cell>
          <cell r="B2437" t="str">
            <v>塑胶-国内外部</v>
          </cell>
          <cell r="C2437">
            <v>17.3</v>
          </cell>
        </row>
        <row r="2438">
          <cell r="A2438" t="str">
            <v>09</v>
          </cell>
          <cell r="B2438" t="str">
            <v>塑胶-国内外部</v>
          </cell>
          <cell r="C2438">
            <v>189.54</v>
          </cell>
        </row>
        <row r="2439">
          <cell r="A2439" t="str">
            <v>09</v>
          </cell>
          <cell r="B2439" t="str">
            <v>塑胶-国内外部</v>
          </cell>
          <cell r="C2439">
            <v>393.43</v>
          </cell>
        </row>
        <row r="2440">
          <cell r="A2440" t="str">
            <v>09</v>
          </cell>
          <cell r="B2440" t="str">
            <v>塑胶-国内外部</v>
          </cell>
          <cell r="C2440">
            <v>-19.14</v>
          </cell>
        </row>
        <row r="2441">
          <cell r="A2441" t="str">
            <v>09</v>
          </cell>
          <cell r="B2441" t="str">
            <v>塑胶-国内外部</v>
          </cell>
          <cell r="C2441">
            <v>306.36</v>
          </cell>
        </row>
        <row r="2442">
          <cell r="A2442" t="str">
            <v>09</v>
          </cell>
          <cell r="B2442" t="str">
            <v>塑胶-国内外部</v>
          </cell>
          <cell r="C2442">
            <v>36</v>
          </cell>
        </row>
        <row r="2443">
          <cell r="A2443" t="str">
            <v>09</v>
          </cell>
          <cell r="B2443" t="str">
            <v>塑胶-国内外部</v>
          </cell>
          <cell r="C2443">
            <v>720</v>
          </cell>
        </row>
        <row r="2444">
          <cell r="A2444" t="str">
            <v>09</v>
          </cell>
          <cell r="B2444" t="str">
            <v>塑胶-国内外部</v>
          </cell>
          <cell r="C2444">
            <v>126</v>
          </cell>
        </row>
        <row r="2445">
          <cell r="A2445" t="str">
            <v>09</v>
          </cell>
          <cell r="B2445" t="str">
            <v>塑胶-国内外部</v>
          </cell>
          <cell r="C2445">
            <v>312.01</v>
          </cell>
        </row>
        <row r="2446">
          <cell r="A2446" t="str">
            <v>09</v>
          </cell>
          <cell r="B2446" t="str">
            <v>塑胶-国内外部</v>
          </cell>
          <cell r="C2446">
            <v>202.88</v>
          </cell>
        </row>
        <row r="2447">
          <cell r="A2447" t="str">
            <v>09</v>
          </cell>
          <cell r="B2447" t="str">
            <v>塑胶-国内外部</v>
          </cell>
          <cell r="C2447">
            <v>66.239999999999995</v>
          </cell>
        </row>
        <row r="2448">
          <cell r="A2448" t="str">
            <v>09</v>
          </cell>
          <cell r="B2448" t="str">
            <v>卷钢-国内外部</v>
          </cell>
          <cell r="C2448">
            <v>464.52</v>
          </cell>
        </row>
        <row r="2449">
          <cell r="A2449" t="str">
            <v>09</v>
          </cell>
          <cell r="B2449" t="str">
            <v>卷钢-国内外部</v>
          </cell>
          <cell r="C2449">
            <v>382.49</v>
          </cell>
        </row>
        <row r="2450">
          <cell r="A2450" t="str">
            <v>09</v>
          </cell>
          <cell r="B2450" t="str">
            <v>塑胶-国内外部</v>
          </cell>
          <cell r="C2450">
            <v>3.92</v>
          </cell>
        </row>
        <row r="2451">
          <cell r="A2451" t="str">
            <v>09</v>
          </cell>
          <cell r="B2451" t="str">
            <v>卷钢-国内外部</v>
          </cell>
          <cell r="C2451">
            <v>0</v>
          </cell>
        </row>
        <row r="2452">
          <cell r="A2452" t="str">
            <v>09</v>
          </cell>
          <cell r="B2452" t="str">
            <v>塑胶-国内外部</v>
          </cell>
          <cell r="C2452">
            <v>18.510000000000002</v>
          </cell>
        </row>
        <row r="2453">
          <cell r="A2453" t="str">
            <v>09</v>
          </cell>
          <cell r="B2453" t="str">
            <v>塑胶-国内外部</v>
          </cell>
          <cell r="C2453">
            <v>34.92</v>
          </cell>
        </row>
        <row r="2454">
          <cell r="A2454" t="str">
            <v>09</v>
          </cell>
          <cell r="B2454" t="str">
            <v>塑胶-国内外部</v>
          </cell>
          <cell r="C2454">
            <v>38.299999999999997</v>
          </cell>
        </row>
        <row r="2455">
          <cell r="A2455" t="str">
            <v>09</v>
          </cell>
          <cell r="B2455" t="str">
            <v>塑胶-国内外部</v>
          </cell>
          <cell r="C2455">
            <v>84.8</v>
          </cell>
        </row>
        <row r="2456">
          <cell r="A2456" t="str">
            <v>09</v>
          </cell>
          <cell r="B2456" t="str">
            <v>塑胶-国内外部</v>
          </cell>
          <cell r="C2456">
            <v>103.06</v>
          </cell>
        </row>
        <row r="2457">
          <cell r="A2457" t="str">
            <v>09</v>
          </cell>
          <cell r="B2457" t="str">
            <v>塑胶-国内外部</v>
          </cell>
          <cell r="C2457">
            <v>39.479999999999997</v>
          </cell>
        </row>
        <row r="2458">
          <cell r="A2458" t="str">
            <v>09</v>
          </cell>
          <cell r="B2458" t="str">
            <v>塑胶-国内外部</v>
          </cell>
          <cell r="C2458">
            <v>15.74</v>
          </cell>
        </row>
        <row r="2459">
          <cell r="A2459" t="str">
            <v>09</v>
          </cell>
          <cell r="B2459" t="str">
            <v>塑胶-国内外部</v>
          </cell>
          <cell r="C2459">
            <v>209.52</v>
          </cell>
        </row>
        <row r="2460">
          <cell r="A2460" t="str">
            <v>09</v>
          </cell>
          <cell r="B2460" t="str">
            <v>塑胶-国内外部</v>
          </cell>
          <cell r="C2460">
            <v>338.8</v>
          </cell>
        </row>
        <row r="2461">
          <cell r="A2461" t="str">
            <v>09</v>
          </cell>
          <cell r="B2461" t="str">
            <v>塑胶-国内外部</v>
          </cell>
          <cell r="C2461">
            <v>428.4</v>
          </cell>
        </row>
        <row r="2462">
          <cell r="A2462" t="str">
            <v>09</v>
          </cell>
          <cell r="B2462" t="str">
            <v>塑胶-国内外部</v>
          </cell>
          <cell r="C2462">
            <v>72</v>
          </cell>
        </row>
        <row r="2463">
          <cell r="A2463" t="str">
            <v>09</v>
          </cell>
          <cell r="B2463" t="str">
            <v>塑胶-国内外部</v>
          </cell>
          <cell r="C2463">
            <v>416.02</v>
          </cell>
        </row>
        <row r="2464">
          <cell r="A2464" t="str">
            <v>09</v>
          </cell>
          <cell r="B2464" t="str">
            <v>塑胶-国外内部</v>
          </cell>
          <cell r="C2464">
            <v>204</v>
          </cell>
        </row>
        <row r="2465">
          <cell r="A2465" t="str">
            <v>09</v>
          </cell>
          <cell r="B2465" t="str">
            <v>卷钢-国内外部</v>
          </cell>
          <cell r="C2465">
            <v>87.12</v>
          </cell>
        </row>
        <row r="2466">
          <cell r="A2466" t="str">
            <v>09</v>
          </cell>
          <cell r="B2466" t="str">
            <v>塑胶-国内外部</v>
          </cell>
          <cell r="C2466">
            <v>37.1</v>
          </cell>
        </row>
        <row r="2467">
          <cell r="A2467" t="str">
            <v>09</v>
          </cell>
          <cell r="B2467" t="str">
            <v>塑胶-国内外部</v>
          </cell>
          <cell r="C2467">
            <v>436.48</v>
          </cell>
        </row>
        <row r="2468">
          <cell r="A2468" t="str">
            <v>09</v>
          </cell>
          <cell r="B2468" t="str">
            <v>塑胶-国内外部</v>
          </cell>
          <cell r="C2468">
            <v>97.58</v>
          </cell>
        </row>
        <row r="2469">
          <cell r="A2469" t="str">
            <v>09</v>
          </cell>
          <cell r="B2469" t="str">
            <v>塑胶-国内外部</v>
          </cell>
          <cell r="C2469">
            <v>123.68</v>
          </cell>
        </row>
        <row r="2470">
          <cell r="A2470" t="str">
            <v>09</v>
          </cell>
          <cell r="B2470" t="str">
            <v>塑胶-国内外部</v>
          </cell>
          <cell r="C2470">
            <v>98.36</v>
          </cell>
        </row>
        <row r="2471">
          <cell r="A2471" t="str">
            <v>10</v>
          </cell>
          <cell r="B2471" t="str">
            <v>塑胶-国内外部</v>
          </cell>
          <cell r="C2471">
            <v>349.19</v>
          </cell>
        </row>
        <row r="2472">
          <cell r="A2472" t="str">
            <v>10</v>
          </cell>
          <cell r="B2472" t="str">
            <v>塑胶-国内外部</v>
          </cell>
          <cell r="C2472">
            <v>284.31</v>
          </cell>
        </row>
        <row r="2473">
          <cell r="A2473" t="str">
            <v>10</v>
          </cell>
          <cell r="B2473" t="str">
            <v>塑胶-国内外部</v>
          </cell>
          <cell r="C2473">
            <v>118.03</v>
          </cell>
        </row>
        <row r="2474">
          <cell r="A2474" t="str">
            <v>10</v>
          </cell>
          <cell r="B2474" t="str">
            <v>塑胶-国内外部</v>
          </cell>
          <cell r="C2474">
            <v>154.08000000000001</v>
          </cell>
        </row>
        <row r="2475">
          <cell r="A2475" t="str">
            <v>10</v>
          </cell>
          <cell r="B2475" t="str">
            <v>塑胶-国内外部</v>
          </cell>
          <cell r="C2475">
            <v>34.92</v>
          </cell>
        </row>
        <row r="2476">
          <cell r="A2476" t="str">
            <v>10</v>
          </cell>
          <cell r="B2476" t="str">
            <v>塑胶-国内外部</v>
          </cell>
          <cell r="C2476">
            <v>288.57</v>
          </cell>
        </row>
        <row r="2477">
          <cell r="A2477" t="str">
            <v>10</v>
          </cell>
          <cell r="B2477" t="str">
            <v>塑胶-国内外部</v>
          </cell>
          <cell r="C2477">
            <v>203.28</v>
          </cell>
        </row>
        <row r="2478">
          <cell r="A2478" t="str">
            <v>10</v>
          </cell>
          <cell r="B2478" t="str">
            <v>塑胶-国内外部</v>
          </cell>
          <cell r="C2478">
            <v>204</v>
          </cell>
        </row>
        <row r="2479">
          <cell r="A2479" t="str">
            <v>10</v>
          </cell>
          <cell r="B2479" t="str">
            <v>塑胶-国内外部</v>
          </cell>
          <cell r="C2479">
            <v>760</v>
          </cell>
        </row>
        <row r="2480">
          <cell r="A2480" t="str">
            <v>10</v>
          </cell>
          <cell r="B2480" t="str">
            <v>塑胶-国内外部</v>
          </cell>
          <cell r="C2480">
            <v>202.87</v>
          </cell>
        </row>
        <row r="2481">
          <cell r="A2481" t="str">
            <v>10</v>
          </cell>
          <cell r="B2481" t="str">
            <v>塑胶-国内外部</v>
          </cell>
          <cell r="C2481">
            <v>144.61000000000001</v>
          </cell>
        </row>
        <row r="2482">
          <cell r="A2482" t="str">
            <v>10</v>
          </cell>
          <cell r="B2482" t="str">
            <v>塑胶-国内外部</v>
          </cell>
          <cell r="C2482">
            <v>181.23</v>
          </cell>
        </row>
        <row r="2483">
          <cell r="A2483" t="str">
            <v>10</v>
          </cell>
          <cell r="B2483" t="str">
            <v>塑胶-国内外部</v>
          </cell>
          <cell r="C2483">
            <v>18.52</v>
          </cell>
        </row>
        <row r="2484">
          <cell r="A2484" t="str">
            <v>10</v>
          </cell>
          <cell r="B2484" t="str">
            <v>塑胶-国内外部</v>
          </cell>
          <cell r="C2484">
            <v>150</v>
          </cell>
        </row>
        <row r="2485">
          <cell r="A2485" t="str">
            <v>10</v>
          </cell>
          <cell r="B2485" t="str">
            <v>塑胶-国内外部</v>
          </cell>
          <cell r="C2485">
            <v>202.62</v>
          </cell>
        </row>
        <row r="2486">
          <cell r="A2486" t="str">
            <v>10</v>
          </cell>
          <cell r="B2486" t="str">
            <v>塑胶-国内外部</v>
          </cell>
          <cell r="C2486">
            <v>124.8</v>
          </cell>
        </row>
        <row r="2487">
          <cell r="A2487" t="str">
            <v>10</v>
          </cell>
          <cell r="B2487" t="str">
            <v>卷钢-国内外部</v>
          </cell>
          <cell r="C2487">
            <v>876.96</v>
          </cell>
        </row>
        <row r="2488">
          <cell r="A2488" t="str">
            <v>10</v>
          </cell>
          <cell r="B2488" t="str">
            <v>卷钢-国内外部</v>
          </cell>
          <cell r="C2488">
            <v>1721.16</v>
          </cell>
        </row>
        <row r="2489">
          <cell r="A2489" t="str">
            <v>10</v>
          </cell>
          <cell r="B2489" t="str">
            <v>塑胶-国内外部</v>
          </cell>
          <cell r="C2489">
            <v>37.46</v>
          </cell>
        </row>
        <row r="2490">
          <cell r="A2490" t="str">
            <v>10</v>
          </cell>
          <cell r="B2490" t="str">
            <v>塑胶-国内外部</v>
          </cell>
          <cell r="C2490">
            <v>18.55</v>
          </cell>
        </row>
        <row r="2491">
          <cell r="A2491" t="str">
            <v>10</v>
          </cell>
          <cell r="B2491" t="str">
            <v>塑胶-国内外部</v>
          </cell>
          <cell r="C2491">
            <v>173.34</v>
          </cell>
        </row>
        <row r="2492">
          <cell r="A2492" t="str">
            <v>10</v>
          </cell>
          <cell r="B2492" t="str">
            <v>塑胶-国内外部</v>
          </cell>
          <cell r="C2492">
            <v>960.28</v>
          </cell>
        </row>
        <row r="2493">
          <cell r="A2493" t="str">
            <v>10</v>
          </cell>
          <cell r="B2493" t="str">
            <v>塑胶-国内外部</v>
          </cell>
          <cell r="C2493">
            <v>376.28</v>
          </cell>
        </row>
        <row r="2494">
          <cell r="A2494" t="str">
            <v>10</v>
          </cell>
          <cell r="B2494" t="str">
            <v>塑胶-国内外部</v>
          </cell>
          <cell r="C2494">
            <v>390.32</v>
          </cell>
        </row>
        <row r="2495">
          <cell r="A2495" t="str">
            <v>10</v>
          </cell>
          <cell r="B2495" t="str">
            <v>塑胶-国内外部</v>
          </cell>
          <cell r="C2495">
            <v>204</v>
          </cell>
        </row>
        <row r="2496">
          <cell r="A2496" t="str">
            <v>10</v>
          </cell>
          <cell r="B2496" t="str">
            <v>塑胶-国内外部</v>
          </cell>
          <cell r="C2496">
            <v>412.24</v>
          </cell>
        </row>
        <row r="2497">
          <cell r="A2497" t="str">
            <v>10</v>
          </cell>
          <cell r="B2497" t="str">
            <v>塑胶-国内外部</v>
          </cell>
          <cell r="C2497">
            <v>520.02</v>
          </cell>
        </row>
        <row r="2498">
          <cell r="A2498" t="str">
            <v>10</v>
          </cell>
          <cell r="B2498" t="str">
            <v>塑胶-国内外部</v>
          </cell>
          <cell r="C2498">
            <v>334.42</v>
          </cell>
        </row>
        <row r="2499">
          <cell r="A2499" t="str">
            <v>10</v>
          </cell>
          <cell r="B2499" t="str">
            <v>卷钢-国内内部</v>
          </cell>
          <cell r="C2499">
            <v>0.98</v>
          </cell>
        </row>
        <row r="2500">
          <cell r="A2500" t="str">
            <v>10</v>
          </cell>
          <cell r="B2500" t="str">
            <v>塑胶-国内外部</v>
          </cell>
          <cell r="C2500">
            <v>174.58</v>
          </cell>
        </row>
        <row r="2501">
          <cell r="A2501" t="str">
            <v>10</v>
          </cell>
          <cell r="B2501" t="str">
            <v>塑胶-国内外部</v>
          </cell>
          <cell r="C2501">
            <v>210</v>
          </cell>
        </row>
        <row r="2502">
          <cell r="A2502" t="str">
            <v>10</v>
          </cell>
          <cell r="B2502" t="str">
            <v>塑胶-国内外部</v>
          </cell>
          <cell r="C2502">
            <v>21.2</v>
          </cell>
        </row>
        <row r="2503">
          <cell r="A2503" t="str">
            <v>10</v>
          </cell>
          <cell r="B2503" t="str">
            <v>塑胶-国内外部</v>
          </cell>
          <cell r="C2503">
            <v>41.22</v>
          </cell>
        </row>
        <row r="2504">
          <cell r="A2504" t="str">
            <v>10</v>
          </cell>
          <cell r="B2504" t="str">
            <v>塑胶-国内外部</v>
          </cell>
          <cell r="C2504">
            <v>37.880000000000003</v>
          </cell>
        </row>
        <row r="2505">
          <cell r="A2505" t="str">
            <v>10</v>
          </cell>
          <cell r="B2505" t="str">
            <v>塑胶-国内外部</v>
          </cell>
          <cell r="C2505">
            <v>18.41</v>
          </cell>
        </row>
        <row r="2506">
          <cell r="A2506" t="str">
            <v>10</v>
          </cell>
          <cell r="B2506" t="str">
            <v>塑胶-国内外部</v>
          </cell>
          <cell r="C2506">
            <v>57.44</v>
          </cell>
        </row>
        <row r="2507">
          <cell r="A2507" t="str">
            <v>10</v>
          </cell>
          <cell r="B2507" t="str">
            <v>塑胶-国内外部</v>
          </cell>
          <cell r="C2507">
            <v>20.079999999999998</v>
          </cell>
        </row>
        <row r="2508">
          <cell r="A2508" t="str">
            <v>10</v>
          </cell>
          <cell r="B2508" t="str">
            <v>塑胶-国内外部</v>
          </cell>
          <cell r="C2508">
            <v>8</v>
          </cell>
        </row>
        <row r="2509">
          <cell r="A2509" t="str">
            <v>10</v>
          </cell>
          <cell r="B2509" t="str">
            <v>塑胶-国内外部</v>
          </cell>
          <cell r="C2509">
            <v>204</v>
          </cell>
        </row>
        <row r="2510">
          <cell r="A2510" t="str">
            <v>10</v>
          </cell>
          <cell r="B2510" t="str">
            <v>塑胶-国内外部</v>
          </cell>
          <cell r="C2510">
            <v>249.61</v>
          </cell>
        </row>
        <row r="2511">
          <cell r="A2511" t="str">
            <v>10</v>
          </cell>
          <cell r="B2511" t="str">
            <v>塑胶-国内外部</v>
          </cell>
          <cell r="C2511">
            <v>101.44</v>
          </cell>
        </row>
        <row r="2512">
          <cell r="A2512" t="str">
            <v>10</v>
          </cell>
          <cell r="B2512" t="str">
            <v>塑胶-国内外部</v>
          </cell>
          <cell r="C2512">
            <v>196.71</v>
          </cell>
        </row>
        <row r="2513">
          <cell r="A2513" t="str">
            <v>10</v>
          </cell>
          <cell r="B2513" t="str">
            <v>塑胶-国内外部</v>
          </cell>
          <cell r="C2513">
            <v>56.8</v>
          </cell>
        </row>
        <row r="2514">
          <cell r="A2514" t="str">
            <v>10</v>
          </cell>
          <cell r="B2514" t="str">
            <v>塑胶-国内外部</v>
          </cell>
          <cell r="C2514">
            <v>37.229999999999997</v>
          </cell>
        </row>
        <row r="2515">
          <cell r="A2515" t="str">
            <v>10</v>
          </cell>
          <cell r="B2515" t="str">
            <v>塑胶-国内外部</v>
          </cell>
          <cell r="C2515">
            <v>14.74</v>
          </cell>
        </row>
        <row r="2516">
          <cell r="A2516" t="str">
            <v>10</v>
          </cell>
          <cell r="B2516" t="str">
            <v>塑胶-国内外部</v>
          </cell>
          <cell r="C2516">
            <v>261.89</v>
          </cell>
        </row>
        <row r="2517">
          <cell r="A2517" t="str">
            <v>10</v>
          </cell>
          <cell r="B2517" t="str">
            <v>塑胶-国内外部</v>
          </cell>
          <cell r="C2517">
            <v>169.4</v>
          </cell>
        </row>
        <row r="2518">
          <cell r="A2518" t="str">
            <v>10</v>
          </cell>
          <cell r="B2518" t="str">
            <v>塑胶-国内外部</v>
          </cell>
          <cell r="C2518">
            <v>7.84</v>
          </cell>
        </row>
        <row r="2519">
          <cell r="A2519" t="str">
            <v>10</v>
          </cell>
          <cell r="B2519" t="str">
            <v>塑胶-国内外部</v>
          </cell>
          <cell r="C2519">
            <v>104</v>
          </cell>
        </row>
        <row r="2520">
          <cell r="A2520" t="str">
            <v>10</v>
          </cell>
          <cell r="B2520" t="str">
            <v>塑胶-国内外部</v>
          </cell>
          <cell r="C2520">
            <v>101.44</v>
          </cell>
        </row>
        <row r="2521">
          <cell r="A2521" t="str">
            <v>10</v>
          </cell>
          <cell r="B2521" t="str">
            <v>塑胶-国内外部</v>
          </cell>
          <cell r="C2521">
            <v>157.37</v>
          </cell>
        </row>
        <row r="2522">
          <cell r="A2522" t="str">
            <v>10</v>
          </cell>
          <cell r="B2522" t="str">
            <v>塑胶-国外内部</v>
          </cell>
          <cell r="C2522">
            <v>346.8</v>
          </cell>
        </row>
        <row r="2523">
          <cell r="A2523" t="str">
            <v>10</v>
          </cell>
          <cell r="B2523" t="str">
            <v>塑胶-国内外部</v>
          </cell>
          <cell r="C2523">
            <v>55.53</v>
          </cell>
        </row>
        <row r="2524">
          <cell r="A2524" t="str">
            <v>10</v>
          </cell>
          <cell r="B2524" t="str">
            <v>塑胶-国内外部</v>
          </cell>
          <cell r="C2524">
            <v>36.97</v>
          </cell>
        </row>
        <row r="2525">
          <cell r="A2525" t="str">
            <v>10</v>
          </cell>
          <cell r="B2525" t="str">
            <v>塑胶-国内外部</v>
          </cell>
          <cell r="C2525">
            <v>331.73</v>
          </cell>
        </row>
        <row r="2526">
          <cell r="A2526" t="str">
            <v>10</v>
          </cell>
          <cell r="B2526" t="str">
            <v>塑胶-国内外部</v>
          </cell>
          <cell r="C2526">
            <v>17.3</v>
          </cell>
        </row>
        <row r="2527">
          <cell r="A2527" t="str">
            <v>10</v>
          </cell>
          <cell r="B2527" t="str">
            <v>塑胶-国内外部</v>
          </cell>
          <cell r="C2527">
            <v>135.52000000000001</v>
          </cell>
        </row>
        <row r="2528">
          <cell r="A2528" t="str">
            <v>10</v>
          </cell>
          <cell r="B2528" t="str">
            <v>塑胶-国内外部</v>
          </cell>
          <cell r="C2528">
            <v>214.59</v>
          </cell>
        </row>
        <row r="2529">
          <cell r="A2529" t="str">
            <v>10</v>
          </cell>
          <cell r="B2529" t="str">
            <v>塑胶-国内外部</v>
          </cell>
          <cell r="C2529">
            <v>64.2</v>
          </cell>
        </row>
        <row r="2530">
          <cell r="A2530" t="str">
            <v>10</v>
          </cell>
          <cell r="B2530" t="str">
            <v>塑胶-国内外部</v>
          </cell>
          <cell r="C2530">
            <v>107</v>
          </cell>
        </row>
        <row r="2531">
          <cell r="A2531" t="str">
            <v>10</v>
          </cell>
          <cell r="B2531" t="str">
            <v>塑胶-国内外部</v>
          </cell>
          <cell r="C2531">
            <v>42.87</v>
          </cell>
        </row>
        <row r="2532">
          <cell r="A2532" t="str">
            <v>10</v>
          </cell>
          <cell r="B2532" t="str">
            <v>塑胶-国内外部</v>
          </cell>
          <cell r="C2532">
            <v>251.45</v>
          </cell>
        </row>
        <row r="2533">
          <cell r="A2533" t="str">
            <v>10</v>
          </cell>
          <cell r="B2533" t="str">
            <v>塑胶-国内外部</v>
          </cell>
          <cell r="C2533">
            <v>21.2</v>
          </cell>
        </row>
        <row r="2534">
          <cell r="A2534" t="str">
            <v>10</v>
          </cell>
          <cell r="B2534" t="str">
            <v>塑胶-国内外部</v>
          </cell>
          <cell r="C2534">
            <v>20.61</v>
          </cell>
        </row>
        <row r="2535">
          <cell r="A2535" t="str">
            <v>10</v>
          </cell>
          <cell r="B2535" t="str">
            <v>塑胶-国内外部</v>
          </cell>
          <cell r="C2535">
            <v>19.739999999999998</v>
          </cell>
        </row>
        <row r="2536">
          <cell r="A2536" t="str">
            <v>10</v>
          </cell>
          <cell r="B2536" t="str">
            <v>塑胶-国内外部</v>
          </cell>
          <cell r="C2536">
            <v>236.06</v>
          </cell>
        </row>
        <row r="2537">
          <cell r="A2537" t="str">
            <v>10</v>
          </cell>
          <cell r="B2537" t="str">
            <v>卷钢-国内内部</v>
          </cell>
          <cell r="C2537">
            <v>54.6</v>
          </cell>
        </row>
        <row r="2538">
          <cell r="A2538" t="str">
            <v>10</v>
          </cell>
          <cell r="B2538" t="str">
            <v>塑胶-国内外部</v>
          </cell>
          <cell r="C2538">
            <v>192.06</v>
          </cell>
        </row>
        <row r="2539">
          <cell r="A2539" t="str">
            <v>10</v>
          </cell>
          <cell r="B2539" t="str">
            <v>塑胶-国内外部</v>
          </cell>
          <cell r="C2539">
            <v>416.84</v>
          </cell>
        </row>
        <row r="2540">
          <cell r="A2540" t="str">
            <v>10</v>
          </cell>
          <cell r="B2540" t="str">
            <v>塑胶-国内外部</v>
          </cell>
          <cell r="C2540">
            <v>214</v>
          </cell>
        </row>
        <row r="2541">
          <cell r="A2541" t="str">
            <v>10</v>
          </cell>
          <cell r="B2541" t="str">
            <v>塑胶-国内外部</v>
          </cell>
          <cell r="C2541">
            <v>204</v>
          </cell>
        </row>
        <row r="2542">
          <cell r="A2542" t="str">
            <v>10</v>
          </cell>
          <cell r="B2542" t="str">
            <v>塑胶-国内外部</v>
          </cell>
          <cell r="C2542">
            <v>62.4</v>
          </cell>
        </row>
        <row r="2543">
          <cell r="A2543" t="str">
            <v>10</v>
          </cell>
          <cell r="B2543" t="str">
            <v>塑胶-国内外部</v>
          </cell>
          <cell r="C2543">
            <v>101.44</v>
          </cell>
        </row>
        <row r="2544">
          <cell r="A2544" t="str">
            <v>10</v>
          </cell>
          <cell r="B2544" t="str">
            <v>塑胶-国内外部</v>
          </cell>
          <cell r="C2544">
            <v>37.869999999999997</v>
          </cell>
        </row>
        <row r="2545">
          <cell r="A2545" t="str">
            <v>10</v>
          </cell>
          <cell r="B2545" t="str">
            <v>塑胶-国内外部</v>
          </cell>
          <cell r="C2545">
            <v>37.46</v>
          </cell>
        </row>
        <row r="2546">
          <cell r="A2546" t="str">
            <v>10</v>
          </cell>
          <cell r="B2546" t="str">
            <v>塑胶-国内外部</v>
          </cell>
          <cell r="C2546">
            <v>37.1</v>
          </cell>
        </row>
        <row r="2547">
          <cell r="A2547" t="str">
            <v>10</v>
          </cell>
          <cell r="B2547" t="str">
            <v>塑胶-国内外部</v>
          </cell>
          <cell r="C2547">
            <v>134.82</v>
          </cell>
        </row>
        <row r="2548">
          <cell r="A2548" t="str">
            <v>10</v>
          </cell>
          <cell r="B2548" t="str">
            <v>塑胶-国内外部</v>
          </cell>
          <cell r="C2548">
            <v>453.95</v>
          </cell>
        </row>
        <row r="2549">
          <cell r="A2549" t="str">
            <v>10</v>
          </cell>
          <cell r="B2549" t="str">
            <v>塑胶-国内外部</v>
          </cell>
          <cell r="C2549">
            <v>11.76</v>
          </cell>
        </row>
        <row r="2550">
          <cell r="A2550" t="str">
            <v>10</v>
          </cell>
          <cell r="B2550" t="str">
            <v>塑胶-国内外部</v>
          </cell>
          <cell r="C2550">
            <v>164.9</v>
          </cell>
        </row>
        <row r="2551">
          <cell r="A2551" t="str">
            <v>10</v>
          </cell>
          <cell r="B2551" t="str">
            <v>塑胶-国内外部</v>
          </cell>
          <cell r="C2551">
            <v>208.02</v>
          </cell>
        </row>
        <row r="2552">
          <cell r="A2552" t="str">
            <v>10</v>
          </cell>
          <cell r="B2552" t="str">
            <v>塑胶-国内外部</v>
          </cell>
          <cell r="C2552">
            <v>446.34</v>
          </cell>
        </row>
        <row r="2553">
          <cell r="A2553" t="str">
            <v>10</v>
          </cell>
          <cell r="B2553" t="str">
            <v>塑胶-国内外部</v>
          </cell>
          <cell r="C2553">
            <v>98.36</v>
          </cell>
        </row>
        <row r="2554">
          <cell r="A2554" t="str">
            <v>10</v>
          </cell>
          <cell r="B2554" t="str">
            <v>塑胶-国内外部</v>
          </cell>
          <cell r="C2554">
            <v>19.28</v>
          </cell>
        </row>
        <row r="2555">
          <cell r="A2555" t="str">
            <v>10</v>
          </cell>
          <cell r="B2555" t="str">
            <v>塑胶-国内外部</v>
          </cell>
          <cell r="C2555">
            <v>69.84</v>
          </cell>
        </row>
        <row r="2556">
          <cell r="A2556" t="str">
            <v>10</v>
          </cell>
          <cell r="B2556" t="str">
            <v>塑胶-国内外部</v>
          </cell>
          <cell r="C2556">
            <v>19.600000000000001</v>
          </cell>
        </row>
        <row r="2557">
          <cell r="A2557" t="str">
            <v>10</v>
          </cell>
          <cell r="B2557" t="str">
            <v>塑胶-国内外部</v>
          </cell>
          <cell r="C2557">
            <v>19.670000000000002</v>
          </cell>
        </row>
        <row r="2558">
          <cell r="A2558" t="str">
            <v>10</v>
          </cell>
          <cell r="B2558" t="str">
            <v>塑胶-国内外部</v>
          </cell>
          <cell r="C2558">
            <v>3.76</v>
          </cell>
        </row>
        <row r="2559">
          <cell r="A2559" t="str">
            <v>10</v>
          </cell>
          <cell r="B2559" t="str">
            <v>卷钢-国内外部</v>
          </cell>
          <cell r="C2559">
            <v>69.680000000000007</v>
          </cell>
        </row>
        <row r="2560">
          <cell r="A2560" t="str">
            <v>10</v>
          </cell>
          <cell r="B2560" t="str">
            <v>卷钢-国内外部</v>
          </cell>
          <cell r="C2560">
            <v>439.85</v>
          </cell>
        </row>
        <row r="2561">
          <cell r="A2561" t="str">
            <v>10</v>
          </cell>
          <cell r="B2561" t="str">
            <v>塑胶-国内外部</v>
          </cell>
          <cell r="C2561">
            <v>18.73</v>
          </cell>
        </row>
        <row r="2562">
          <cell r="A2562" t="str">
            <v>10</v>
          </cell>
          <cell r="B2562" t="str">
            <v>塑胶-国内外部</v>
          </cell>
          <cell r="C2562">
            <v>93.09</v>
          </cell>
        </row>
        <row r="2563">
          <cell r="A2563" t="str">
            <v>10</v>
          </cell>
          <cell r="B2563" t="str">
            <v>塑胶-国内外部</v>
          </cell>
          <cell r="C2563">
            <v>628.54999999999995</v>
          </cell>
        </row>
        <row r="2564">
          <cell r="A2564" t="str">
            <v>10</v>
          </cell>
          <cell r="B2564" t="str">
            <v>塑胶-国内外部</v>
          </cell>
          <cell r="C2564">
            <v>36.840000000000003</v>
          </cell>
        </row>
        <row r="2565">
          <cell r="A2565" t="str">
            <v>10</v>
          </cell>
          <cell r="B2565" t="str">
            <v>塑胶-国内外部</v>
          </cell>
          <cell r="C2565">
            <v>188.14</v>
          </cell>
        </row>
        <row r="2566">
          <cell r="A2566" t="str">
            <v>10</v>
          </cell>
          <cell r="B2566" t="str">
            <v>塑胶-国内外部</v>
          </cell>
          <cell r="C2566">
            <v>195.16</v>
          </cell>
        </row>
        <row r="2567">
          <cell r="A2567" t="str">
            <v>10</v>
          </cell>
          <cell r="B2567" t="str">
            <v>塑胶-国内外部</v>
          </cell>
          <cell r="C2567">
            <v>84</v>
          </cell>
        </row>
        <row r="2568">
          <cell r="A2568" t="str">
            <v>10</v>
          </cell>
          <cell r="B2568" t="str">
            <v>塑胶-国内外部</v>
          </cell>
          <cell r="C2568">
            <v>128.19</v>
          </cell>
        </row>
        <row r="2569">
          <cell r="A2569" t="str">
            <v>10</v>
          </cell>
          <cell r="B2569" t="str">
            <v>塑胶-国内外部</v>
          </cell>
          <cell r="C2569">
            <v>85.74</v>
          </cell>
        </row>
        <row r="2570">
          <cell r="A2570" t="str">
            <v>10</v>
          </cell>
          <cell r="B2570" t="str">
            <v>塑胶-国内外部</v>
          </cell>
          <cell r="C2570">
            <v>204</v>
          </cell>
        </row>
        <row r="2571">
          <cell r="A2571" t="str">
            <v>10</v>
          </cell>
          <cell r="B2571" t="str">
            <v>塑胶-国内外部</v>
          </cell>
          <cell r="C2571">
            <v>226.73</v>
          </cell>
        </row>
        <row r="2572">
          <cell r="A2572" t="str">
            <v>10</v>
          </cell>
          <cell r="B2572" t="str">
            <v>塑胶-国内外部</v>
          </cell>
          <cell r="C2572">
            <v>39.33</v>
          </cell>
        </row>
        <row r="2573">
          <cell r="A2573" t="str">
            <v>10</v>
          </cell>
          <cell r="B2573" t="str">
            <v>塑胶-国内外部</v>
          </cell>
          <cell r="C2573">
            <v>314.74</v>
          </cell>
        </row>
        <row r="2574">
          <cell r="A2574" t="str">
            <v>10</v>
          </cell>
          <cell r="B2574" t="str">
            <v>塑胶-国内外部</v>
          </cell>
          <cell r="C2574">
            <v>214.94</v>
          </cell>
        </row>
        <row r="2575">
          <cell r="A2575" t="str">
            <v>10</v>
          </cell>
          <cell r="B2575" t="str">
            <v>塑胶-国内外部</v>
          </cell>
          <cell r="C2575">
            <v>84.7</v>
          </cell>
        </row>
        <row r="2576">
          <cell r="A2576" t="str">
            <v>10</v>
          </cell>
          <cell r="B2576" t="str">
            <v>塑胶-国内外部</v>
          </cell>
          <cell r="C2576">
            <v>589.42999999999995</v>
          </cell>
        </row>
        <row r="2577">
          <cell r="A2577" t="str">
            <v>10</v>
          </cell>
          <cell r="B2577" t="str">
            <v>塑胶-国内外部</v>
          </cell>
          <cell r="C2577">
            <v>229.78</v>
          </cell>
        </row>
        <row r="2578">
          <cell r="A2578" t="str">
            <v>10</v>
          </cell>
          <cell r="B2578" t="str">
            <v>塑胶-国内外部</v>
          </cell>
          <cell r="C2578">
            <v>312.63</v>
          </cell>
        </row>
        <row r="2579">
          <cell r="A2579" t="str">
            <v>10</v>
          </cell>
          <cell r="B2579" t="str">
            <v>塑胶-国内外部</v>
          </cell>
          <cell r="C2579">
            <v>106</v>
          </cell>
        </row>
        <row r="2580">
          <cell r="A2580" t="str">
            <v>10</v>
          </cell>
          <cell r="B2580" t="str">
            <v>塑胶-国内外部</v>
          </cell>
          <cell r="C2580">
            <v>441.6</v>
          </cell>
        </row>
        <row r="2581">
          <cell r="A2581" t="str">
            <v>10</v>
          </cell>
          <cell r="B2581" t="str">
            <v>塑胶-国内外部</v>
          </cell>
          <cell r="C2581">
            <v>304.32</v>
          </cell>
        </row>
        <row r="2582">
          <cell r="A2582" t="str">
            <v>10</v>
          </cell>
          <cell r="B2582" t="str">
            <v>塑胶-国内外部</v>
          </cell>
          <cell r="C2582">
            <v>20.04</v>
          </cell>
        </row>
        <row r="2583">
          <cell r="A2583" t="str">
            <v>10</v>
          </cell>
          <cell r="B2583" t="str">
            <v>塑胶-国外内部</v>
          </cell>
          <cell r="C2583">
            <v>15.16</v>
          </cell>
        </row>
        <row r="2584">
          <cell r="A2584" t="str">
            <v>10</v>
          </cell>
          <cell r="B2584" t="str">
            <v>塑胶-国外内部</v>
          </cell>
          <cell r="C2584">
            <v>19.37</v>
          </cell>
        </row>
        <row r="2585">
          <cell r="A2585" t="str">
            <v>10</v>
          </cell>
          <cell r="B2585" t="str">
            <v>塑胶-国外内部</v>
          </cell>
          <cell r="C2585">
            <v>19</v>
          </cell>
        </row>
        <row r="2586">
          <cell r="A2586" t="str">
            <v>10</v>
          </cell>
          <cell r="B2586" t="str">
            <v>塑胶-国外内部</v>
          </cell>
          <cell r="C2586">
            <v>20.75</v>
          </cell>
        </row>
        <row r="2587">
          <cell r="A2587" t="str">
            <v>10</v>
          </cell>
          <cell r="B2587" t="str">
            <v>塑胶-国外内部</v>
          </cell>
          <cell r="C2587">
            <v>520.02</v>
          </cell>
        </row>
        <row r="2588">
          <cell r="A2588" t="str">
            <v>10</v>
          </cell>
          <cell r="B2588" t="str">
            <v>塑胶-国内外部</v>
          </cell>
          <cell r="C2588">
            <v>131.72999999999999</v>
          </cell>
        </row>
        <row r="2589">
          <cell r="A2589" t="str">
            <v>10</v>
          </cell>
          <cell r="B2589" t="str">
            <v>卷钢-国内外部</v>
          </cell>
          <cell r="C2589">
            <v>183.32</v>
          </cell>
        </row>
        <row r="2590">
          <cell r="A2590" t="str">
            <v>10</v>
          </cell>
          <cell r="B2590" t="str">
            <v>卷钢-国内外部</v>
          </cell>
          <cell r="C2590">
            <v>191.24</v>
          </cell>
        </row>
        <row r="2591">
          <cell r="A2591" t="str">
            <v>10</v>
          </cell>
          <cell r="B2591" t="str">
            <v>塑胶-国内外部</v>
          </cell>
          <cell r="C2591">
            <v>18.600000000000001</v>
          </cell>
        </row>
        <row r="2592">
          <cell r="A2592" t="str">
            <v>10</v>
          </cell>
          <cell r="B2592" t="str">
            <v>塑胶-国内外部</v>
          </cell>
          <cell r="C2592">
            <v>453.95</v>
          </cell>
        </row>
        <row r="2593">
          <cell r="A2593" t="str">
            <v>10</v>
          </cell>
          <cell r="B2593" t="str">
            <v>塑胶-国内外部</v>
          </cell>
          <cell r="C2593">
            <v>169.4</v>
          </cell>
        </row>
        <row r="2594">
          <cell r="A2594" t="str">
            <v>10</v>
          </cell>
          <cell r="B2594" t="str">
            <v>塑胶-国内外部</v>
          </cell>
          <cell r="C2594">
            <v>167.99</v>
          </cell>
        </row>
        <row r="2595">
          <cell r="A2595" t="str">
            <v>10</v>
          </cell>
          <cell r="B2595" t="str">
            <v>塑胶-国内外部</v>
          </cell>
          <cell r="C2595">
            <v>204</v>
          </cell>
        </row>
        <row r="2596">
          <cell r="A2596" t="str">
            <v>10</v>
          </cell>
          <cell r="B2596" t="str">
            <v>塑胶-国内外部</v>
          </cell>
          <cell r="C2596">
            <v>104</v>
          </cell>
        </row>
        <row r="2597">
          <cell r="A2597" t="str">
            <v>10</v>
          </cell>
          <cell r="B2597" t="str">
            <v>塑胶-国内外部</v>
          </cell>
          <cell r="C2597">
            <v>101.44</v>
          </cell>
        </row>
        <row r="2598">
          <cell r="A2598" t="str">
            <v>10</v>
          </cell>
          <cell r="B2598" t="str">
            <v>塑胶-国内外部</v>
          </cell>
          <cell r="C2598">
            <v>314.73</v>
          </cell>
        </row>
        <row r="2599">
          <cell r="A2599" t="str">
            <v>10</v>
          </cell>
          <cell r="B2599" t="str">
            <v>卷钢-国内外部</v>
          </cell>
          <cell r="C2599">
            <v>549.95000000000005</v>
          </cell>
        </row>
        <row r="2600">
          <cell r="A2600" t="str">
            <v>10</v>
          </cell>
          <cell r="B2600" t="str">
            <v>卷钢-国内外部</v>
          </cell>
          <cell r="C2600">
            <v>23.22</v>
          </cell>
        </row>
        <row r="2601">
          <cell r="A2601" t="str">
            <v>10</v>
          </cell>
          <cell r="B2601" t="str">
            <v>卷钢-国内外部</v>
          </cell>
          <cell r="C2601">
            <v>19.12</v>
          </cell>
        </row>
        <row r="2602">
          <cell r="A2602" t="str">
            <v>10</v>
          </cell>
          <cell r="B2602" t="str">
            <v>塑胶-国内外部</v>
          </cell>
          <cell r="C2602">
            <v>-208.42</v>
          </cell>
        </row>
        <row r="2603">
          <cell r="A2603" t="str">
            <v>10</v>
          </cell>
          <cell r="B2603" t="str">
            <v>塑胶-国内外部</v>
          </cell>
          <cell r="C2603">
            <v>174.6</v>
          </cell>
        </row>
        <row r="2604">
          <cell r="A2604" t="str">
            <v>10</v>
          </cell>
          <cell r="B2604" t="str">
            <v>塑胶-国内外部</v>
          </cell>
          <cell r="C2604">
            <v>257.88</v>
          </cell>
        </row>
        <row r="2605">
          <cell r="A2605" t="str">
            <v>10</v>
          </cell>
          <cell r="B2605" t="str">
            <v>塑胶-国内外部</v>
          </cell>
          <cell r="C2605">
            <v>180.74</v>
          </cell>
        </row>
        <row r="2606">
          <cell r="A2606" t="str">
            <v>10</v>
          </cell>
          <cell r="B2606" t="str">
            <v>塑胶-国内外部</v>
          </cell>
          <cell r="C2606">
            <v>41.3</v>
          </cell>
        </row>
        <row r="2607">
          <cell r="A2607" t="str">
            <v>10</v>
          </cell>
          <cell r="B2607" t="str">
            <v>塑胶-国内外部</v>
          </cell>
          <cell r="C2607">
            <v>20.62</v>
          </cell>
        </row>
        <row r="2608">
          <cell r="A2608" t="str">
            <v>10</v>
          </cell>
          <cell r="B2608" t="str">
            <v>塑胶-国内外部</v>
          </cell>
          <cell r="C2608">
            <v>228.8</v>
          </cell>
        </row>
        <row r="2609">
          <cell r="A2609" t="str">
            <v>10</v>
          </cell>
          <cell r="B2609" t="str">
            <v>塑胶-国内外部</v>
          </cell>
          <cell r="C2609">
            <v>196.66</v>
          </cell>
        </row>
        <row r="2610">
          <cell r="A2610" t="str">
            <v>10</v>
          </cell>
          <cell r="B2610" t="str">
            <v>塑胶-国内外部</v>
          </cell>
          <cell r="C2610">
            <v>157.38999999999999</v>
          </cell>
        </row>
        <row r="2611">
          <cell r="A2611" t="str">
            <v>10</v>
          </cell>
          <cell r="B2611" t="str">
            <v>塑胶-国内外部</v>
          </cell>
          <cell r="C2611">
            <v>37.630000000000003</v>
          </cell>
        </row>
        <row r="2612">
          <cell r="A2612" t="str">
            <v>10</v>
          </cell>
          <cell r="B2612" t="str">
            <v>塑胶-国外内部</v>
          </cell>
          <cell r="C2612">
            <v>38.549999999999997</v>
          </cell>
        </row>
        <row r="2613">
          <cell r="A2613" t="str">
            <v>10</v>
          </cell>
          <cell r="B2613" t="str">
            <v>塑胶-国外内部</v>
          </cell>
          <cell r="C2613">
            <v>19.670000000000002</v>
          </cell>
        </row>
        <row r="2614">
          <cell r="A2614" t="str">
            <v>10</v>
          </cell>
          <cell r="B2614" t="str">
            <v>塑胶-国内外部</v>
          </cell>
          <cell r="C2614">
            <v>85.98</v>
          </cell>
        </row>
        <row r="2615">
          <cell r="A2615" t="str">
            <v>10</v>
          </cell>
          <cell r="B2615" t="str">
            <v>塑胶-国内外部</v>
          </cell>
          <cell r="C2615">
            <v>147.35</v>
          </cell>
        </row>
        <row r="2616">
          <cell r="A2616" t="str">
            <v>10</v>
          </cell>
          <cell r="B2616" t="str">
            <v>塑胶-国内外部</v>
          </cell>
          <cell r="C2616">
            <v>98.18</v>
          </cell>
        </row>
        <row r="2617">
          <cell r="A2617" t="str">
            <v>10</v>
          </cell>
          <cell r="B2617" t="str">
            <v>塑胶-国内外部</v>
          </cell>
          <cell r="C2617">
            <v>208.56</v>
          </cell>
        </row>
        <row r="2618">
          <cell r="A2618" t="str">
            <v>10</v>
          </cell>
          <cell r="B2618" t="str">
            <v>塑胶-国内外部</v>
          </cell>
          <cell r="C2618">
            <v>176.64</v>
          </cell>
        </row>
        <row r="2619">
          <cell r="A2619" t="str">
            <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000"/>
      <sheetName val="FS"/>
      <sheetName val="BS"/>
      <sheetName val="PL"/>
      <sheetName val="AP"/>
      <sheetName val="AR"/>
      <sheetName val="UFPrn20031203195053"/>
      <sheetName val="I"/>
      <sheetName val="HC"/>
      <sheetName val="FA"/>
      <sheetName val="AE"/>
      <sheetName val="Manu"/>
      <sheetName val="Selling"/>
      <sheetName val="QC"/>
      <sheetName val="R&amp;D"/>
      <sheetName val="EX"/>
      <sheetName val="sales"/>
      <sheetName val="sales (2)"/>
      <sheetName val="Sheet1"/>
    </sheetNames>
    <sheetDataSet>
      <sheetData sheetId="0" refreshError="1"/>
      <sheetData sheetId="1" refreshError="1"/>
      <sheetData sheetId="2" refreshError="1"/>
      <sheetData sheetId="3" refreshError="1"/>
      <sheetData sheetId="4" refreshError="1"/>
      <sheetData sheetId="5" refreshError="1"/>
      <sheetData sheetId="6" refreshError="1">
        <row r="6">
          <cell r="E6" t="str">
            <v>GZCDE0001</v>
          </cell>
          <cell r="F6" t="str">
            <v>AR - external</v>
          </cell>
          <cell r="G6" t="str">
            <v>BICPS内销卷钢零售</v>
          </cell>
        </row>
        <row r="7">
          <cell r="E7" t="str">
            <v>GZCDE0005</v>
          </cell>
          <cell r="F7" t="str">
            <v>AR - external</v>
          </cell>
          <cell r="G7" t="str">
            <v>台州吉利装璜材料有限公司</v>
          </cell>
        </row>
        <row r="8">
          <cell r="E8" t="str">
            <v>GZCDE0009</v>
          </cell>
          <cell r="F8" t="str">
            <v>AR - external</v>
          </cell>
          <cell r="G8" t="str">
            <v>西南铝业（集团）有限公司</v>
          </cell>
        </row>
        <row r="9">
          <cell r="E9" t="str">
            <v>GZCDE0012</v>
          </cell>
          <cell r="F9" t="str">
            <v>AR - external</v>
          </cell>
          <cell r="G9" t="str">
            <v>佛山市顺德区高士达建筑装</v>
          </cell>
        </row>
        <row r="10">
          <cell r="E10" t="str">
            <v>GZCDE0013</v>
          </cell>
          <cell r="F10" t="str">
            <v>AR - external</v>
          </cell>
          <cell r="G10" t="str">
            <v>江西泓泰企业集团有限公司</v>
          </cell>
        </row>
        <row r="11">
          <cell r="E11" t="str">
            <v>GZCDE0023</v>
          </cell>
          <cell r="F11" t="str">
            <v>AR - external</v>
          </cell>
          <cell r="G11" t="str">
            <v>浙江墙煌建材有限公司</v>
          </cell>
        </row>
        <row r="12">
          <cell r="E12" t="str">
            <v>GZCDE0028</v>
          </cell>
          <cell r="F12" t="str">
            <v>AR - external</v>
          </cell>
          <cell r="G12" t="str">
            <v>珠海市华荟复合材料有限公</v>
          </cell>
        </row>
        <row r="13">
          <cell r="E13" t="str">
            <v>GZCDE0029</v>
          </cell>
          <cell r="F13" t="str">
            <v>AR - external</v>
          </cell>
          <cell r="G13" t="str">
            <v>珠海拾比佰彩图板有限公司</v>
          </cell>
        </row>
        <row r="14">
          <cell r="E14" t="str">
            <v>GZCDE0030</v>
          </cell>
          <cell r="F14" t="str">
            <v>AR - external</v>
          </cell>
          <cell r="G14" t="str">
            <v>武汉钢铁股份有限公司</v>
          </cell>
        </row>
        <row r="15">
          <cell r="E15" t="str">
            <v>GZCDE0036</v>
          </cell>
          <cell r="F15" t="str">
            <v>AR - external</v>
          </cell>
          <cell r="G15" t="str">
            <v>江阴海达集团有限公司</v>
          </cell>
        </row>
        <row r="16">
          <cell r="E16" t="str">
            <v>GZCDE0043</v>
          </cell>
          <cell r="F16" t="str">
            <v>AR - external</v>
          </cell>
          <cell r="G16" t="str">
            <v>深圳粤源装饰工程有限公司</v>
          </cell>
        </row>
        <row r="17">
          <cell r="E17" t="str">
            <v>GZCDE0044</v>
          </cell>
          <cell r="F17" t="str">
            <v>AR - external</v>
          </cell>
          <cell r="G17" t="str">
            <v>佛山市顺德区力同板业制造</v>
          </cell>
        </row>
        <row r="18">
          <cell r="E18" t="str">
            <v>GZCDE0045</v>
          </cell>
          <cell r="F18" t="str">
            <v>AR - external</v>
          </cell>
          <cell r="G18" t="str">
            <v>青岛海尔零部件采购有限公</v>
          </cell>
        </row>
        <row r="19">
          <cell r="E19" t="str">
            <v>GZCDE0046</v>
          </cell>
          <cell r="F19" t="str">
            <v>AR - external</v>
          </cell>
          <cell r="G19" t="str">
            <v>四会市征国装饰材料厂</v>
          </cell>
        </row>
        <row r="20">
          <cell r="E20" t="str">
            <v>GZCDE0047</v>
          </cell>
          <cell r="F20" t="str">
            <v>AR - external</v>
          </cell>
          <cell r="G20" t="str">
            <v>武汉汉科彩色钢板有限公司</v>
          </cell>
        </row>
        <row r="21">
          <cell r="E21" t="str">
            <v>GZCDE0049</v>
          </cell>
          <cell r="F21" t="str">
            <v>AR - external</v>
          </cell>
          <cell r="G21" t="str">
            <v>南海市松岗中天星新型材料</v>
          </cell>
        </row>
        <row r="22">
          <cell r="E22" t="str">
            <v>GZSDE0004</v>
          </cell>
          <cell r="F22" t="str">
            <v>AR - external</v>
          </cell>
          <cell r="G22" t="str">
            <v>耐普罗塑胶五金制品（深圳</v>
          </cell>
        </row>
        <row r="23">
          <cell r="E23" t="str">
            <v>GZSDE0006</v>
          </cell>
          <cell r="F23" t="str">
            <v>AR - external</v>
          </cell>
          <cell r="G23" t="str">
            <v>富裕注塑制模（天津）有限</v>
          </cell>
        </row>
        <row r="24">
          <cell r="E24" t="str">
            <v>GZSDE0007</v>
          </cell>
          <cell r="F24" t="str">
            <v>AR - external</v>
          </cell>
          <cell r="G24" t="str">
            <v>深圳富泰宏精密工业有限公</v>
          </cell>
        </row>
        <row r="25">
          <cell r="E25" t="str">
            <v>GZSDE0008</v>
          </cell>
          <cell r="F25" t="str">
            <v>AR - external</v>
          </cell>
          <cell r="G25" t="str">
            <v>日新（天津）塑胶有限公司</v>
          </cell>
        </row>
        <row r="26">
          <cell r="E26" t="str">
            <v>GZSDE0010</v>
          </cell>
          <cell r="F26" t="str">
            <v>AR - external</v>
          </cell>
          <cell r="G26" t="str">
            <v>富裕注塑制模（东莞）有限</v>
          </cell>
        </row>
        <row r="27">
          <cell r="E27" t="str">
            <v>GZSDE0011</v>
          </cell>
          <cell r="F27" t="str">
            <v>AR - external</v>
          </cell>
          <cell r="G27" t="str">
            <v>濠福涂装（惠州）有限公司</v>
          </cell>
        </row>
        <row r="28">
          <cell r="E28" t="str">
            <v>GZSDE0013</v>
          </cell>
          <cell r="F28" t="str">
            <v>AR - external</v>
          </cell>
          <cell r="G28" t="str">
            <v>贝尔罗斯（广州）工程塑料</v>
          </cell>
        </row>
        <row r="29">
          <cell r="E29" t="str">
            <v>GZSDE0014</v>
          </cell>
          <cell r="F29" t="str">
            <v>AR - external</v>
          </cell>
          <cell r="G29" t="str">
            <v>广州耐普罗模具塑胶制品有</v>
          </cell>
        </row>
        <row r="30">
          <cell r="E30" t="str">
            <v>GZSDE0015</v>
          </cell>
          <cell r="F30" t="str">
            <v>AR - external</v>
          </cell>
          <cell r="G30" t="str">
            <v>惠州璇瑰模具注塑有限公司</v>
          </cell>
        </row>
        <row r="31">
          <cell r="E31" t="str">
            <v>GZSDE0017</v>
          </cell>
          <cell r="F31" t="str">
            <v>AR - external</v>
          </cell>
          <cell r="G31" t="str">
            <v>富士康精密组件（北京）有</v>
          </cell>
        </row>
        <row r="32">
          <cell r="E32" t="str">
            <v>GZSDE0019</v>
          </cell>
          <cell r="F32" t="str">
            <v>AR - external</v>
          </cell>
          <cell r="G32" t="str">
            <v>艺模塑胶（深圳）有限公司</v>
          </cell>
        </row>
        <row r="33">
          <cell r="E33" t="str">
            <v>GZSDE0020</v>
          </cell>
          <cell r="F33" t="str">
            <v>AR - external</v>
          </cell>
          <cell r="G33" t="str">
            <v>博士喷漆厂</v>
          </cell>
        </row>
        <row r="34">
          <cell r="E34" t="str">
            <v>GZSDE0021</v>
          </cell>
          <cell r="F34" t="str">
            <v>AR - external</v>
          </cell>
          <cell r="G34" t="str">
            <v>惠阳市格林塑胶电子有限公</v>
          </cell>
        </row>
        <row r="35">
          <cell r="E35" t="str">
            <v>GZSDE0025</v>
          </cell>
          <cell r="F35" t="str">
            <v>AR - external</v>
          </cell>
          <cell r="G35" t="str">
            <v>东莞塘厦荣达塑胶制品厂</v>
          </cell>
        </row>
        <row r="36">
          <cell r="E36" t="str">
            <v>GZSDE0028</v>
          </cell>
          <cell r="F36" t="str">
            <v>AR - external</v>
          </cell>
          <cell r="G36" t="str">
            <v>苏州技泰精密部件有限公司</v>
          </cell>
        </row>
        <row r="37">
          <cell r="E37" t="str">
            <v>GZSDE0030</v>
          </cell>
          <cell r="F37" t="str">
            <v>AR - external</v>
          </cell>
          <cell r="G37" t="str">
            <v>深圳市宝安区西乡讯威电子</v>
          </cell>
        </row>
        <row r="38">
          <cell r="E38" t="str">
            <v>GZSDE0031</v>
          </cell>
          <cell r="F38" t="str">
            <v>AR - external</v>
          </cell>
          <cell r="G38" t="str">
            <v>比亚迪股份有限公司</v>
          </cell>
        </row>
        <row r="39">
          <cell r="E39" t="str">
            <v>GZSDE0032</v>
          </cell>
          <cell r="F39" t="str">
            <v>AR - external</v>
          </cell>
          <cell r="G39" t="str">
            <v>深圳市丽康塑胶模具有限公</v>
          </cell>
        </row>
        <row r="40">
          <cell r="E40" t="str">
            <v>GZSDE0034</v>
          </cell>
          <cell r="F40" t="str">
            <v>AR - external</v>
          </cell>
          <cell r="G40" t="str">
            <v>东莞长安权智电子厂</v>
          </cell>
        </row>
        <row r="41">
          <cell r="E41" t="str">
            <v>GZSDE0036</v>
          </cell>
          <cell r="F41" t="str">
            <v>AR - external</v>
          </cell>
          <cell r="G41" t="str">
            <v>中山市朗华塑料有限公司</v>
          </cell>
        </row>
        <row r="45">
          <cell r="E45" t="str">
            <v>GZCDI0001</v>
          </cell>
          <cell r="F45" t="str">
            <v>AR - internal</v>
          </cell>
          <cell r="G45" t="str">
            <v>贝科工业涂料（上海）有限</v>
          </cell>
        </row>
        <row r="46">
          <cell r="E46" t="str">
            <v>GZSEI0001</v>
          </cell>
          <cell r="F46" t="str">
            <v>AR - internal</v>
          </cell>
          <cell r="G46" t="str">
            <v>贝格工业涂料（中国）有限</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row r="1">
          <cell r="A1" t="str">
            <v>月</v>
          </cell>
          <cell r="B1" t="str">
            <v>日</v>
          </cell>
          <cell r="C1" t="str">
            <v>期间</v>
          </cell>
          <cell r="D1" t="str">
            <v>类别</v>
          </cell>
          <cell r="E1" t="str">
            <v>凭证号</v>
          </cell>
          <cell r="F1" t="str">
            <v>行号</v>
          </cell>
          <cell r="G1" t="str">
            <v>科目编码</v>
          </cell>
          <cell r="H1" t="str">
            <v>摘要</v>
          </cell>
          <cell r="I1" t="str">
            <v>方向</v>
          </cell>
          <cell r="J1" t="str">
            <v>金额</v>
          </cell>
          <cell r="K1" t="str">
            <v>外币</v>
          </cell>
          <cell r="L1" t="str">
            <v>数量</v>
          </cell>
        </row>
        <row r="2">
          <cell r="A2" t="str">
            <v>02</v>
          </cell>
          <cell r="B2" t="str">
            <v>01</v>
          </cell>
          <cell r="C2" t="str">
            <v>02</v>
          </cell>
          <cell r="D2" t="str">
            <v>1</v>
          </cell>
          <cell r="E2" t="str">
            <v>0001</v>
          </cell>
          <cell r="F2" t="str">
            <v>0001</v>
          </cell>
          <cell r="G2" t="str">
            <v>10101</v>
          </cell>
          <cell r="H2" t="str">
            <v>收回借款</v>
          </cell>
          <cell r="I2" t="b">
            <v>1</v>
          </cell>
          <cell r="J2">
            <v>18711</v>
          </cell>
          <cell r="K2">
            <v>0</v>
          </cell>
          <cell r="L2">
            <v>0</v>
          </cell>
        </row>
        <row r="3">
          <cell r="A3" t="str">
            <v>02</v>
          </cell>
          <cell r="B3" t="str">
            <v>02</v>
          </cell>
          <cell r="C3" t="str">
            <v>02</v>
          </cell>
          <cell r="D3" t="str">
            <v>1</v>
          </cell>
          <cell r="E3" t="str">
            <v>0002</v>
          </cell>
          <cell r="F3" t="str">
            <v>0001</v>
          </cell>
          <cell r="G3" t="str">
            <v>10101</v>
          </cell>
          <cell r="H3" t="str">
            <v>收回取暖费</v>
          </cell>
          <cell r="I3" t="b">
            <v>1</v>
          </cell>
          <cell r="J3">
            <v>8898</v>
          </cell>
          <cell r="K3">
            <v>0</v>
          </cell>
          <cell r="L3">
            <v>0</v>
          </cell>
        </row>
        <row r="4">
          <cell r="A4" t="str">
            <v>02</v>
          </cell>
          <cell r="B4" t="str">
            <v>02</v>
          </cell>
          <cell r="C4" t="str">
            <v>02</v>
          </cell>
          <cell r="D4" t="str">
            <v>1</v>
          </cell>
          <cell r="E4" t="str">
            <v>0003</v>
          </cell>
          <cell r="F4" t="str">
            <v>0001</v>
          </cell>
          <cell r="G4" t="str">
            <v>10101</v>
          </cell>
          <cell r="H4" t="str">
            <v>收损失果汁款</v>
          </cell>
          <cell r="I4" t="b">
            <v>1</v>
          </cell>
          <cell r="J4">
            <v>7580</v>
          </cell>
          <cell r="K4">
            <v>0</v>
          </cell>
          <cell r="L4">
            <v>0</v>
          </cell>
        </row>
        <row r="5">
          <cell r="A5" t="str">
            <v>02</v>
          </cell>
          <cell r="B5" t="str">
            <v>05</v>
          </cell>
          <cell r="C5" t="str">
            <v>02</v>
          </cell>
          <cell r="D5" t="str">
            <v>1</v>
          </cell>
          <cell r="E5" t="str">
            <v>0004</v>
          </cell>
          <cell r="F5" t="str">
            <v>0001</v>
          </cell>
          <cell r="G5" t="str">
            <v>10101</v>
          </cell>
          <cell r="H5" t="str">
            <v>收旧袋款.10-11月份理发室租金</v>
          </cell>
          <cell r="I5" t="b">
            <v>1</v>
          </cell>
          <cell r="J5">
            <v>2540</v>
          </cell>
          <cell r="K5">
            <v>0</v>
          </cell>
          <cell r="L5">
            <v>0</v>
          </cell>
        </row>
        <row r="6">
          <cell r="A6" t="str">
            <v>02</v>
          </cell>
          <cell r="B6" t="str">
            <v>05</v>
          </cell>
          <cell r="C6" t="str">
            <v>02</v>
          </cell>
          <cell r="D6" t="str">
            <v>1</v>
          </cell>
          <cell r="E6" t="str">
            <v>0005</v>
          </cell>
          <cell r="F6" t="str">
            <v>0001</v>
          </cell>
          <cell r="G6" t="str">
            <v>10101</v>
          </cell>
          <cell r="H6" t="str">
            <v>收电费.劳动保险费</v>
          </cell>
          <cell r="I6" t="b">
            <v>1</v>
          </cell>
          <cell r="J6">
            <v>1315.2</v>
          </cell>
          <cell r="K6">
            <v>0</v>
          </cell>
          <cell r="L6">
            <v>0</v>
          </cell>
        </row>
        <row r="7">
          <cell r="A7" t="str">
            <v>02</v>
          </cell>
          <cell r="B7" t="str">
            <v>05</v>
          </cell>
          <cell r="C7" t="str">
            <v>02</v>
          </cell>
          <cell r="D7" t="str">
            <v>1</v>
          </cell>
          <cell r="E7" t="str">
            <v>0006</v>
          </cell>
          <cell r="F7" t="str">
            <v>0001</v>
          </cell>
          <cell r="G7" t="str">
            <v>10101</v>
          </cell>
          <cell r="H7" t="str">
            <v>销苹果浓汁</v>
          </cell>
          <cell r="I7" t="b">
            <v>1</v>
          </cell>
          <cell r="J7">
            <v>15993.9</v>
          </cell>
          <cell r="K7">
            <v>0</v>
          </cell>
          <cell r="L7">
            <v>0</v>
          </cell>
        </row>
        <row r="8">
          <cell r="A8" t="str">
            <v>02</v>
          </cell>
          <cell r="B8" t="str">
            <v>12</v>
          </cell>
          <cell r="C8" t="str">
            <v>02</v>
          </cell>
          <cell r="D8" t="str">
            <v>1</v>
          </cell>
          <cell r="E8" t="str">
            <v>0007</v>
          </cell>
          <cell r="F8" t="str">
            <v>0001</v>
          </cell>
          <cell r="G8" t="str">
            <v>10101</v>
          </cell>
          <cell r="H8" t="str">
            <v>收回借款</v>
          </cell>
          <cell r="I8" t="b">
            <v>1</v>
          </cell>
          <cell r="J8">
            <v>15600</v>
          </cell>
          <cell r="K8">
            <v>0</v>
          </cell>
          <cell r="L8">
            <v>0</v>
          </cell>
        </row>
        <row r="9">
          <cell r="A9" t="str">
            <v>02</v>
          </cell>
          <cell r="B9" t="str">
            <v>15</v>
          </cell>
          <cell r="C9" t="str">
            <v>02</v>
          </cell>
          <cell r="D9" t="str">
            <v>1</v>
          </cell>
          <cell r="E9" t="str">
            <v>0008</v>
          </cell>
          <cell r="F9" t="str">
            <v>0001</v>
          </cell>
          <cell r="G9" t="str">
            <v>10101</v>
          </cell>
          <cell r="H9" t="str">
            <v>收回借款</v>
          </cell>
          <cell r="I9" t="b">
            <v>1</v>
          </cell>
          <cell r="J9">
            <v>10426.44</v>
          </cell>
          <cell r="K9">
            <v>0</v>
          </cell>
          <cell r="L9">
            <v>0</v>
          </cell>
        </row>
        <row r="10">
          <cell r="A10" t="str">
            <v>02</v>
          </cell>
          <cell r="B10" t="str">
            <v>16</v>
          </cell>
          <cell r="C10" t="str">
            <v>02</v>
          </cell>
          <cell r="D10" t="str">
            <v>1</v>
          </cell>
          <cell r="E10" t="str">
            <v>0009</v>
          </cell>
          <cell r="F10" t="str">
            <v>0001</v>
          </cell>
          <cell r="G10" t="str">
            <v>10101</v>
          </cell>
          <cell r="H10" t="str">
            <v>收月租费.旧袋款</v>
          </cell>
          <cell r="I10" t="b">
            <v>1</v>
          </cell>
          <cell r="J10">
            <v>1300</v>
          </cell>
          <cell r="K10">
            <v>0</v>
          </cell>
          <cell r="L10">
            <v>0</v>
          </cell>
        </row>
        <row r="11">
          <cell r="A11" t="str">
            <v>02</v>
          </cell>
          <cell r="B11" t="str">
            <v>16</v>
          </cell>
          <cell r="C11" t="str">
            <v>02</v>
          </cell>
          <cell r="D11" t="str">
            <v>1</v>
          </cell>
          <cell r="E11" t="str">
            <v>0010</v>
          </cell>
          <cell r="F11" t="str">
            <v>0001</v>
          </cell>
          <cell r="G11" t="str">
            <v>10101</v>
          </cell>
          <cell r="H11" t="str">
            <v>销硅藻土</v>
          </cell>
          <cell r="I11" t="b">
            <v>1</v>
          </cell>
          <cell r="J11">
            <v>200</v>
          </cell>
          <cell r="K11">
            <v>0</v>
          </cell>
          <cell r="L11">
            <v>0</v>
          </cell>
        </row>
        <row r="12">
          <cell r="A12" t="str">
            <v>02</v>
          </cell>
          <cell r="B12" t="str">
            <v>16</v>
          </cell>
          <cell r="C12" t="str">
            <v>02</v>
          </cell>
          <cell r="D12" t="str">
            <v>1</v>
          </cell>
          <cell r="E12" t="str">
            <v>0011</v>
          </cell>
          <cell r="F12" t="str">
            <v>0001</v>
          </cell>
          <cell r="G12" t="str">
            <v>10101</v>
          </cell>
          <cell r="H12" t="str">
            <v>销浓汁</v>
          </cell>
          <cell r="I12" t="b">
            <v>1</v>
          </cell>
          <cell r="J12">
            <v>2120</v>
          </cell>
          <cell r="K12">
            <v>0</v>
          </cell>
          <cell r="L12">
            <v>0</v>
          </cell>
        </row>
        <row r="13">
          <cell r="A13" t="str">
            <v>02</v>
          </cell>
          <cell r="B13" t="str">
            <v>20</v>
          </cell>
          <cell r="C13" t="str">
            <v>02</v>
          </cell>
          <cell r="D13" t="str">
            <v>1</v>
          </cell>
          <cell r="E13" t="str">
            <v>0012</v>
          </cell>
          <cell r="F13" t="str">
            <v>0001</v>
          </cell>
          <cell r="G13" t="str">
            <v>10101</v>
          </cell>
          <cell r="H13" t="str">
            <v>收暖气费</v>
          </cell>
          <cell r="I13" t="b">
            <v>1</v>
          </cell>
          <cell r="J13">
            <v>7557.15</v>
          </cell>
          <cell r="K13">
            <v>0</v>
          </cell>
          <cell r="L13">
            <v>0</v>
          </cell>
        </row>
        <row r="14">
          <cell r="A14" t="str">
            <v>02</v>
          </cell>
          <cell r="B14" t="str">
            <v>20</v>
          </cell>
          <cell r="C14" t="str">
            <v>02</v>
          </cell>
          <cell r="D14" t="str">
            <v>1</v>
          </cell>
          <cell r="E14" t="str">
            <v>0013</v>
          </cell>
          <cell r="F14" t="str">
            <v>0001</v>
          </cell>
          <cell r="G14" t="str">
            <v>10101</v>
          </cell>
          <cell r="H14" t="str">
            <v>收暖气费</v>
          </cell>
          <cell r="I14" t="b">
            <v>1</v>
          </cell>
          <cell r="J14">
            <v>11519.7</v>
          </cell>
          <cell r="K14">
            <v>0</v>
          </cell>
          <cell r="L14">
            <v>0</v>
          </cell>
        </row>
        <row r="15">
          <cell r="A15" t="str">
            <v>02</v>
          </cell>
          <cell r="B15" t="str">
            <v>20</v>
          </cell>
          <cell r="C15" t="str">
            <v>02</v>
          </cell>
          <cell r="D15" t="str">
            <v>1</v>
          </cell>
          <cell r="E15" t="str">
            <v>0014</v>
          </cell>
          <cell r="F15" t="str">
            <v>0001</v>
          </cell>
          <cell r="G15" t="str">
            <v>10101</v>
          </cell>
          <cell r="H15" t="str">
            <v>收房款</v>
          </cell>
          <cell r="I15" t="b">
            <v>1</v>
          </cell>
          <cell r="J15">
            <v>21982</v>
          </cell>
          <cell r="K15">
            <v>0</v>
          </cell>
          <cell r="L15">
            <v>0</v>
          </cell>
        </row>
        <row r="16">
          <cell r="A16" t="str">
            <v>02</v>
          </cell>
          <cell r="B16" t="str">
            <v>22</v>
          </cell>
          <cell r="C16" t="str">
            <v>02</v>
          </cell>
          <cell r="D16" t="str">
            <v>1</v>
          </cell>
          <cell r="E16" t="str">
            <v>0015</v>
          </cell>
          <cell r="F16" t="str">
            <v>0001</v>
          </cell>
          <cell r="G16" t="str">
            <v>10101</v>
          </cell>
          <cell r="H16" t="str">
            <v>暂借款</v>
          </cell>
          <cell r="I16" t="b">
            <v>1</v>
          </cell>
          <cell r="J16">
            <v>150000</v>
          </cell>
          <cell r="K16">
            <v>0</v>
          </cell>
          <cell r="L16">
            <v>0</v>
          </cell>
        </row>
        <row r="17">
          <cell r="A17" t="str">
            <v>02</v>
          </cell>
          <cell r="B17" t="str">
            <v>01</v>
          </cell>
          <cell r="C17" t="str">
            <v>02</v>
          </cell>
          <cell r="D17" t="str">
            <v>2</v>
          </cell>
          <cell r="E17" t="str">
            <v>0001</v>
          </cell>
          <cell r="F17" t="str">
            <v>0002</v>
          </cell>
          <cell r="G17" t="str">
            <v>10101</v>
          </cell>
          <cell r="H17" t="str">
            <v>付装车费</v>
          </cell>
          <cell r="I17" t="b">
            <v>0</v>
          </cell>
          <cell r="J17">
            <v>2541.1999999999998</v>
          </cell>
          <cell r="K17">
            <v>0</v>
          </cell>
          <cell r="L17">
            <v>0</v>
          </cell>
        </row>
        <row r="18">
          <cell r="A18" t="str">
            <v>02</v>
          </cell>
          <cell r="B18" t="str">
            <v>01</v>
          </cell>
          <cell r="C18" t="str">
            <v>02</v>
          </cell>
          <cell r="D18" t="str">
            <v>2</v>
          </cell>
          <cell r="E18" t="str">
            <v>0002</v>
          </cell>
          <cell r="F18" t="str">
            <v>0004</v>
          </cell>
          <cell r="G18" t="str">
            <v>10101</v>
          </cell>
          <cell r="H18" t="str">
            <v>暂借款</v>
          </cell>
          <cell r="I18" t="b">
            <v>0</v>
          </cell>
          <cell r="J18">
            <v>16555.400000000001</v>
          </cell>
          <cell r="K18">
            <v>0</v>
          </cell>
          <cell r="L18">
            <v>0</v>
          </cell>
        </row>
        <row r="19">
          <cell r="A19" t="str">
            <v>02</v>
          </cell>
          <cell r="B19" t="str">
            <v>01</v>
          </cell>
          <cell r="C19" t="str">
            <v>02</v>
          </cell>
          <cell r="D19" t="str">
            <v>2</v>
          </cell>
          <cell r="E19" t="str">
            <v>0003</v>
          </cell>
          <cell r="F19" t="str">
            <v>0004</v>
          </cell>
          <cell r="G19" t="str">
            <v>10101</v>
          </cell>
          <cell r="H19" t="str">
            <v>付商检费.佣金</v>
          </cell>
          <cell r="I19" t="b">
            <v>0</v>
          </cell>
          <cell r="J19">
            <v>11610.4</v>
          </cell>
          <cell r="K19">
            <v>0</v>
          </cell>
          <cell r="L19">
            <v>0</v>
          </cell>
        </row>
        <row r="20">
          <cell r="A20" t="str">
            <v>02</v>
          </cell>
          <cell r="B20" t="str">
            <v>01</v>
          </cell>
          <cell r="C20" t="str">
            <v>02</v>
          </cell>
          <cell r="D20" t="str">
            <v>2</v>
          </cell>
          <cell r="E20" t="str">
            <v>0004</v>
          </cell>
          <cell r="F20" t="str">
            <v>0003</v>
          </cell>
          <cell r="G20" t="str">
            <v>10101</v>
          </cell>
          <cell r="H20" t="str">
            <v>付差旅费.维修费</v>
          </cell>
          <cell r="I20" t="b">
            <v>0</v>
          </cell>
          <cell r="J20">
            <v>6380.7</v>
          </cell>
          <cell r="K20">
            <v>0</v>
          </cell>
          <cell r="L20">
            <v>0</v>
          </cell>
        </row>
        <row r="21">
          <cell r="A21" t="str">
            <v>02</v>
          </cell>
          <cell r="B21" t="str">
            <v>01</v>
          </cell>
          <cell r="C21" t="str">
            <v>02</v>
          </cell>
          <cell r="D21" t="str">
            <v>2</v>
          </cell>
          <cell r="E21" t="str">
            <v>0005</v>
          </cell>
          <cell r="F21" t="str">
            <v>0004</v>
          </cell>
          <cell r="G21" t="str">
            <v>10101</v>
          </cell>
          <cell r="H21" t="str">
            <v>暂借款</v>
          </cell>
          <cell r="I21" t="b">
            <v>0</v>
          </cell>
          <cell r="J21">
            <v>383284.9</v>
          </cell>
          <cell r="K21">
            <v>0</v>
          </cell>
          <cell r="L21">
            <v>0</v>
          </cell>
        </row>
        <row r="22">
          <cell r="A22" t="str">
            <v>02</v>
          </cell>
          <cell r="B22" t="str">
            <v>02</v>
          </cell>
          <cell r="C22" t="str">
            <v>02</v>
          </cell>
          <cell r="D22" t="str">
            <v>2</v>
          </cell>
          <cell r="E22" t="str">
            <v>0006</v>
          </cell>
          <cell r="F22" t="str">
            <v>0002</v>
          </cell>
          <cell r="G22" t="str">
            <v>10101</v>
          </cell>
          <cell r="H22" t="str">
            <v>付采暖费</v>
          </cell>
          <cell r="I22" t="b">
            <v>0</v>
          </cell>
          <cell r="J22">
            <v>18406.09</v>
          </cell>
          <cell r="K22">
            <v>0</v>
          </cell>
          <cell r="L22">
            <v>0</v>
          </cell>
        </row>
        <row r="23">
          <cell r="A23" t="str">
            <v>02</v>
          </cell>
          <cell r="B23" t="str">
            <v>02</v>
          </cell>
          <cell r="C23" t="str">
            <v>02</v>
          </cell>
          <cell r="D23" t="str">
            <v>2</v>
          </cell>
          <cell r="E23" t="str">
            <v>0007</v>
          </cell>
          <cell r="F23" t="str">
            <v>0004</v>
          </cell>
          <cell r="G23" t="str">
            <v>10101</v>
          </cell>
          <cell r="H23" t="str">
            <v>购材料</v>
          </cell>
          <cell r="I23" t="b">
            <v>0</v>
          </cell>
          <cell r="J23">
            <v>30438.18</v>
          </cell>
          <cell r="K23">
            <v>0</v>
          </cell>
          <cell r="L23">
            <v>0</v>
          </cell>
        </row>
        <row r="24">
          <cell r="A24" t="str">
            <v>02</v>
          </cell>
          <cell r="B24" t="str">
            <v>02</v>
          </cell>
          <cell r="C24" t="str">
            <v>02</v>
          </cell>
          <cell r="D24" t="str">
            <v>2</v>
          </cell>
          <cell r="E24" t="str">
            <v>0008</v>
          </cell>
          <cell r="F24" t="str">
            <v>0003</v>
          </cell>
          <cell r="G24" t="str">
            <v>10101</v>
          </cell>
          <cell r="H24" t="str">
            <v>购彩旗.扩片等</v>
          </cell>
          <cell r="I24" t="b">
            <v>0</v>
          </cell>
          <cell r="J24">
            <v>12844.8</v>
          </cell>
          <cell r="K24">
            <v>0</v>
          </cell>
          <cell r="L24">
            <v>0</v>
          </cell>
        </row>
        <row r="25">
          <cell r="A25" t="str">
            <v>02</v>
          </cell>
          <cell r="B25" t="str">
            <v>03</v>
          </cell>
          <cell r="C25" t="str">
            <v>02</v>
          </cell>
          <cell r="D25" t="str">
            <v>2</v>
          </cell>
          <cell r="E25" t="str">
            <v>0009</v>
          </cell>
          <cell r="F25" t="str">
            <v>0004</v>
          </cell>
          <cell r="G25" t="str">
            <v>10101</v>
          </cell>
          <cell r="H25" t="str">
            <v>付差旅费.业务招待费</v>
          </cell>
          <cell r="I25" t="b">
            <v>0</v>
          </cell>
          <cell r="J25">
            <v>817</v>
          </cell>
          <cell r="K25">
            <v>0</v>
          </cell>
          <cell r="L25">
            <v>0</v>
          </cell>
        </row>
        <row r="26">
          <cell r="A26" t="str">
            <v>02</v>
          </cell>
          <cell r="B26" t="str">
            <v>05</v>
          </cell>
          <cell r="C26" t="str">
            <v>02</v>
          </cell>
          <cell r="D26" t="str">
            <v>2</v>
          </cell>
          <cell r="E26" t="str">
            <v>0010</v>
          </cell>
          <cell r="F26" t="str">
            <v>0004</v>
          </cell>
          <cell r="G26" t="str">
            <v>10101</v>
          </cell>
          <cell r="H26" t="str">
            <v>付招待费.差旅费</v>
          </cell>
          <cell r="I26" t="b">
            <v>0</v>
          </cell>
          <cell r="J26">
            <v>6165.5</v>
          </cell>
          <cell r="K26">
            <v>0</v>
          </cell>
          <cell r="L26">
            <v>0</v>
          </cell>
        </row>
        <row r="27">
          <cell r="A27" t="str">
            <v>02</v>
          </cell>
          <cell r="B27" t="str">
            <v>05</v>
          </cell>
          <cell r="C27" t="str">
            <v>02</v>
          </cell>
          <cell r="D27" t="str">
            <v>2</v>
          </cell>
          <cell r="E27" t="str">
            <v>0011</v>
          </cell>
          <cell r="F27" t="str">
            <v>0002</v>
          </cell>
          <cell r="G27" t="str">
            <v>10101</v>
          </cell>
          <cell r="H27" t="str">
            <v>付邮费</v>
          </cell>
          <cell r="I27" t="b">
            <v>0</v>
          </cell>
          <cell r="J27">
            <v>1580</v>
          </cell>
          <cell r="K27">
            <v>0</v>
          </cell>
          <cell r="L27">
            <v>0</v>
          </cell>
        </row>
        <row r="28">
          <cell r="A28" t="str">
            <v>02</v>
          </cell>
          <cell r="B28" t="str">
            <v>06</v>
          </cell>
          <cell r="C28" t="str">
            <v>02</v>
          </cell>
          <cell r="D28" t="str">
            <v>2</v>
          </cell>
          <cell r="E28" t="str">
            <v>0012</v>
          </cell>
          <cell r="F28" t="str">
            <v>0002</v>
          </cell>
          <cell r="G28" t="str">
            <v>10101</v>
          </cell>
          <cell r="H28" t="str">
            <v>付差旅费</v>
          </cell>
          <cell r="I28" t="b">
            <v>0</v>
          </cell>
          <cell r="J28">
            <v>628</v>
          </cell>
          <cell r="K28">
            <v>0</v>
          </cell>
          <cell r="L28">
            <v>0</v>
          </cell>
        </row>
        <row r="29">
          <cell r="A29" t="str">
            <v>02</v>
          </cell>
          <cell r="B29" t="str">
            <v>06</v>
          </cell>
          <cell r="C29" t="str">
            <v>02</v>
          </cell>
          <cell r="D29" t="str">
            <v>2</v>
          </cell>
          <cell r="E29" t="str">
            <v>0013</v>
          </cell>
          <cell r="F29" t="str">
            <v>0002</v>
          </cell>
          <cell r="G29" t="str">
            <v>10101</v>
          </cell>
          <cell r="H29" t="str">
            <v>付差旅费</v>
          </cell>
          <cell r="I29" t="b">
            <v>0</v>
          </cell>
          <cell r="J29">
            <v>1830</v>
          </cell>
          <cell r="K29">
            <v>0</v>
          </cell>
          <cell r="L29">
            <v>0</v>
          </cell>
        </row>
        <row r="30">
          <cell r="A30" t="str">
            <v>02</v>
          </cell>
          <cell r="B30" t="str">
            <v>06</v>
          </cell>
          <cell r="C30" t="str">
            <v>02</v>
          </cell>
          <cell r="D30" t="str">
            <v>2</v>
          </cell>
          <cell r="E30" t="str">
            <v>0014</v>
          </cell>
          <cell r="F30" t="str">
            <v>0002</v>
          </cell>
          <cell r="G30" t="str">
            <v>10101</v>
          </cell>
          <cell r="H30" t="str">
            <v>报销差旅费</v>
          </cell>
          <cell r="I30" t="b">
            <v>0</v>
          </cell>
          <cell r="J30">
            <v>11830</v>
          </cell>
          <cell r="K30">
            <v>0</v>
          </cell>
          <cell r="L30">
            <v>0</v>
          </cell>
        </row>
        <row r="31">
          <cell r="A31" t="str">
            <v>02</v>
          </cell>
          <cell r="B31" t="str">
            <v>06</v>
          </cell>
          <cell r="C31" t="str">
            <v>02</v>
          </cell>
          <cell r="D31" t="str">
            <v>2</v>
          </cell>
          <cell r="E31" t="str">
            <v>0015</v>
          </cell>
          <cell r="F31" t="str">
            <v>0002</v>
          </cell>
          <cell r="G31" t="str">
            <v>10101</v>
          </cell>
          <cell r="H31" t="str">
            <v>付招待费</v>
          </cell>
          <cell r="I31" t="b">
            <v>0</v>
          </cell>
          <cell r="J31">
            <v>12630.7</v>
          </cell>
          <cell r="K31">
            <v>0</v>
          </cell>
          <cell r="L31">
            <v>0</v>
          </cell>
        </row>
        <row r="32">
          <cell r="A32" t="str">
            <v>02</v>
          </cell>
          <cell r="B32" t="str">
            <v>07</v>
          </cell>
          <cell r="C32" t="str">
            <v>02</v>
          </cell>
          <cell r="D32" t="str">
            <v>2</v>
          </cell>
          <cell r="E32" t="str">
            <v>0016</v>
          </cell>
          <cell r="F32" t="str">
            <v>0002</v>
          </cell>
          <cell r="G32" t="str">
            <v>10101</v>
          </cell>
          <cell r="H32" t="str">
            <v>付电话费</v>
          </cell>
          <cell r="I32" t="b">
            <v>0</v>
          </cell>
          <cell r="J32">
            <v>11484</v>
          </cell>
          <cell r="K32">
            <v>0</v>
          </cell>
          <cell r="L32">
            <v>0</v>
          </cell>
        </row>
        <row r="33">
          <cell r="A33" t="str">
            <v>02</v>
          </cell>
          <cell r="B33" t="str">
            <v>07</v>
          </cell>
          <cell r="C33" t="str">
            <v>02</v>
          </cell>
          <cell r="D33" t="str">
            <v>2</v>
          </cell>
          <cell r="E33" t="str">
            <v>0017</v>
          </cell>
          <cell r="F33" t="str">
            <v>0002</v>
          </cell>
          <cell r="G33" t="str">
            <v>10101</v>
          </cell>
          <cell r="H33" t="str">
            <v>付药费等</v>
          </cell>
          <cell r="I33" t="b">
            <v>0</v>
          </cell>
          <cell r="J33">
            <v>18615.599999999999</v>
          </cell>
          <cell r="K33">
            <v>0</v>
          </cell>
          <cell r="L33">
            <v>0</v>
          </cell>
        </row>
        <row r="34">
          <cell r="A34" t="str">
            <v>02</v>
          </cell>
          <cell r="B34" t="str">
            <v>08</v>
          </cell>
          <cell r="C34" t="str">
            <v>02</v>
          </cell>
          <cell r="D34" t="str">
            <v>2</v>
          </cell>
          <cell r="E34" t="str">
            <v>0018</v>
          </cell>
          <cell r="F34" t="str">
            <v>0002</v>
          </cell>
          <cell r="G34" t="str">
            <v>10101</v>
          </cell>
          <cell r="H34" t="str">
            <v>付招待费</v>
          </cell>
          <cell r="I34" t="b">
            <v>0</v>
          </cell>
          <cell r="J34">
            <v>5660</v>
          </cell>
          <cell r="K34">
            <v>0</v>
          </cell>
          <cell r="L34">
            <v>0</v>
          </cell>
        </row>
        <row r="35">
          <cell r="A35" t="str">
            <v>02</v>
          </cell>
          <cell r="B35" t="str">
            <v>08</v>
          </cell>
          <cell r="C35" t="str">
            <v>02</v>
          </cell>
          <cell r="D35" t="str">
            <v>2</v>
          </cell>
          <cell r="E35" t="str">
            <v>0019</v>
          </cell>
          <cell r="F35" t="str">
            <v>0002</v>
          </cell>
          <cell r="G35" t="str">
            <v>10101</v>
          </cell>
          <cell r="H35" t="str">
            <v>付邮递费</v>
          </cell>
          <cell r="I35" t="b">
            <v>0</v>
          </cell>
          <cell r="J35">
            <v>9710.6</v>
          </cell>
          <cell r="K35">
            <v>0</v>
          </cell>
          <cell r="L35">
            <v>0</v>
          </cell>
        </row>
        <row r="36">
          <cell r="A36" t="str">
            <v>02</v>
          </cell>
          <cell r="B36" t="str">
            <v>08</v>
          </cell>
          <cell r="C36" t="str">
            <v>02</v>
          </cell>
          <cell r="D36" t="str">
            <v>2</v>
          </cell>
          <cell r="E36" t="str">
            <v>0020</v>
          </cell>
          <cell r="F36" t="str">
            <v>0002</v>
          </cell>
          <cell r="G36" t="str">
            <v>10101</v>
          </cell>
          <cell r="H36" t="str">
            <v>付招待费</v>
          </cell>
          <cell r="I36" t="b">
            <v>0</v>
          </cell>
          <cell r="J36">
            <v>9061.7999999999993</v>
          </cell>
          <cell r="K36">
            <v>0</v>
          </cell>
          <cell r="L36">
            <v>0</v>
          </cell>
        </row>
        <row r="37">
          <cell r="A37" t="str">
            <v>02</v>
          </cell>
          <cell r="B37" t="str">
            <v>08</v>
          </cell>
          <cell r="C37" t="str">
            <v>02</v>
          </cell>
          <cell r="D37" t="str">
            <v>2</v>
          </cell>
          <cell r="E37" t="str">
            <v>0021</v>
          </cell>
          <cell r="F37" t="str">
            <v>0003</v>
          </cell>
          <cell r="G37" t="str">
            <v>10101</v>
          </cell>
          <cell r="H37" t="str">
            <v>付差旅费.办公费</v>
          </cell>
          <cell r="I37" t="b">
            <v>0</v>
          </cell>
          <cell r="J37">
            <v>2976.4</v>
          </cell>
          <cell r="K37">
            <v>0</v>
          </cell>
          <cell r="L37">
            <v>0</v>
          </cell>
        </row>
        <row r="38">
          <cell r="A38" t="str">
            <v>02</v>
          </cell>
          <cell r="B38" t="str">
            <v>08</v>
          </cell>
          <cell r="C38" t="str">
            <v>02</v>
          </cell>
          <cell r="D38" t="str">
            <v>2</v>
          </cell>
          <cell r="E38" t="str">
            <v>0022</v>
          </cell>
          <cell r="F38" t="str">
            <v>0003</v>
          </cell>
          <cell r="G38" t="str">
            <v>10101</v>
          </cell>
          <cell r="H38" t="str">
            <v>付差旅费.招待费</v>
          </cell>
          <cell r="I38" t="b">
            <v>0</v>
          </cell>
          <cell r="J38">
            <v>7573.8</v>
          </cell>
          <cell r="K38">
            <v>0</v>
          </cell>
          <cell r="L38">
            <v>0</v>
          </cell>
        </row>
        <row r="39">
          <cell r="A39" t="str">
            <v>02</v>
          </cell>
          <cell r="B39" t="str">
            <v>10</v>
          </cell>
          <cell r="C39" t="str">
            <v>02</v>
          </cell>
          <cell r="D39" t="str">
            <v>2</v>
          </cell>
          <cell r="E39" t="str">
            <v>0023</v>
          </cell>
          <cell r="F39" t="str">
            <v>0005</v>
          </cell>
          <cell r="G39" t="str">
            <v>10101</v>
          </cell>
          <cell r="H39" t="str">
            <v>购滤膜等</v>
          </cell>
          <cell r="I39" t="b">
            <v>0</v>
          </cell>
          <cell r="J39">
            <v>6499.5</v>
          </cell>
          <cell r="K39">
            <v>0</v>
          </cell>
          <cell r="L39">
            <v>0</v>
          </cell>
        </row>
        <row r="40">
          <cell r="A40" t="str">
            <v>02</v>
          </cell>
          <cell r="B40" t="str">
            <v>10</v>
          </cell>
          <cell r="C40" t="str">
            <v>02</v>
          </cell>
          <cell r="D40" t="str">
            <v>2</v>
          </cell>
          <cell r="E40" t="str">
            <v>0024</v>
          </cell>
          <cell r="F40" t="str">
            <v>0002</v>
          </cell>
          <cell r="G40" t="str">
            <v>10101</v>
          </cell>
          <cell r="H40" t="str">
            <v>付临时工工资等</v>
          </cell>
          <cell r="I40" t="b">
            <v>0</v>
          </cell>
          <cell r="J40">
            <v>30695.200000000001</v>
          </cell>
          <cell r="K40">
            <v>0</v>
          </cell>
          <cell r="L40">
            <v>0</v>
          </cell>
        </row>
        <row r="41">
          <cell r="A41" t="str">
            <v>02</v>
          </cell>
          <cell r="B41" t="str">
            <v>12</v>
          </cell>
          <cell r="C41" t="str">
            <v>02</v>
          </cell>
          <cell r="D41" t="str">
            <v>2</v>
          </cell>
          <cell r="E41" t="str">
            <v>0025</v>
          </cell>
          <cell r="F41" t="str">
            <v>0002</v>
          </cell>
          <cell r="G41" t="str">
            <v>10101</v>
          </cell>
          <cell r="H41" t="str">
            <v>报销差旅费</v>
          </cell>
          <cell r="I41" t="b">
            <v>0</v>
          </cell>
          <cell r="J41">
            <v>4616.2</v>
          </cell>
          <cell r="K41">
            <v>0</v>
          </cell>
          <cell r="L41">
            <v>0</v>
          </cell>
        </row>
        <row r="42">
          <cell r="A42" t="str">
            <v>02</v>
          </cell>
          <cell r="B42" t="str">
            <v>13</v>
          </cell>
          <cell r="C42" t="str">
            <v>02</v>
          </cell>
          <cell r="D42" t="str">
            <v>2</v>
          </cell>
          <cell r="E42" t="str">
            <v>0026</v>
          </cell>
          <cell r="F42" t="str">
            <v>0004</v>
          </cell>
          <cell r="G42" t="str">
            <v>10101</v>
          </cell>
          <cell r="H42" t="str">
            <v>付电话费.差旅费</v>
          </cell>
          <cell r="I42" t="b">
            <v>0</v>
          </cell>
          <cell r="J42">
            <v>1506.9</v>
          </cell>
          <cell r="K42">
            <v>0</v>
          </cell>
          <cell r="L42">
            <v>0</v>
          </cell>
        </row>
        <row r="43">
          <cell r="A43" t="str">
            <v>02</v>
          </cell>
          <cell r="B43" t="str">
            <v>13</v>
          </cell>
          <cell r="C43" t="str">
            <v>02</v>
          </cell>
          <cell r="D43" t="str">
            <v>2</v>
          </cell>
          <cell r="E43" t="str">
            <v>0027</v>
          </cell>
          <cell r="F43" t="str">
            <v>0004</v>
          </cell>
          <cell r="G43" t="str">
            <v>10101</v>
          </cell>
          <cell r="H43" t="str">
            <v>付差旅费</v>
          </cell>
          <cell r="I43" t="b">
            <v>0</v>
          </cell>
          <cell r="J43">
            <v>7041</v>
          </cell>
          <cell r="K43">
            <v>0</v>
          </cell>
          <cell r="L43">
            <v>0</v>
          </cell>
        </row>
        <row r="44">
          <cell r="A44" t="str">
            <v>02</v>
          </cell>
          <cell r="B44" t="str">
            <v>15</v>
          </cell>
          <cell r="C44" t="str">
            <v>02</v>
          </cell>
          <cell r="D44" t="str">
            <v>2</v>
          </cell>
          <cell r="E44" t="str">
            <v>0028</v>
          </cell>
          <cell r="F44" t="str">
            <v>0005</v>
          </cell>
          <cell r="G44" t="str">
            <v>10101</v>
          </cell>
          <cell r="H44" t="str">
            <v>存现金.退房款</v>
          </cell>
          <cell r="I44" t="b">
            <v>0</v>
          </cell>
          <cell r="J44">
            <v>56000</v>
          </cell>
          <cell r="K44">
            <v>0</v>
          </cell>
          <cell r="L44">
            <v>0</v>
          </cell>
        </row>
        <row r="45">
          <cell r="A45" t="str">
            <v>02</v>
          </cell>
          <cell r="B45" t="str">
            <v>19</v>
          </cell>
          <cell r="C45" t="str">
            <v>02</v>
          </cell>
          <cell r="D45" t="str">
            <v>2</v>
          </cell>
          <cell r="E45" t="str">
            <v>0029</v>
          </cell>
          <cell r="F45" t="str">
            <v>0004</v>
          </cell>
          <cell r="G45" t="str">
            <v>10101</v>
          </cell>
          <cell r="H45" t="str">
            <v>暂借款</v>
          </cell>
          <cell r="I45" t="b">
            <v>0</v>
          </cell>
          <cell r="J45">
            <v>1949043.76</v>
          </cell>
          <cell r="K45">
            <v>0</v>
          </cell>
          <cell r="L45">
            <v>0</v>
          </cell>
        </row>
        <row r="46">
          <cell r="A46" t="str">
            <v>02</v>
          </cell>
          <cell r="B46" t="str">
            <v>19</v>
          </cell>
          <cell r="C46" t="str">
            <v>02</v>
          </cell>
          <cell r="D46" t="str">
            <v>2</v>
          </cell>
          <cell r="E46" t="str">
            <v>0030</v>
          </cell>
          <cell r="F46" t="str">
            <v>0002</v>
          </cell>
          <cell r="G46" t="str">
            <v>10101</v>
          </cell>
          <cell r="H46" t="str">
            <v>付取暖费</v>
          </cell>
          <cell r="I46" t="b">
            <v>0</v>
          </cell>
          <cell r="J46">
            <v>7139.1</v>
          </cell>
          <cell r="K46">
            <v>0</v>
          </cell>
          <cell r="L46">
            <v>0</v>
          </cell>
        </row>
        <row r="47">
          <cell r="A47" t="str">
            <v>02</v>
          </cell>
          <cell r="B47" t="str">
            <v>19</v>
          </cell>
          <cell r="C47" t="str">
            <v>02</v>
          </cell>
          <cell r="D47" t="str">
            <v>2</v>
          </cell>
          <cell r="E47" t="str">
            <v>0031</v>
          </cell>
          <cell r="F47" t="str">
            <v>0003</v>
          </cell>
          <cell r="G47" t="str">
            <v>10101</v>
          </cell>
          <cell r="H47" t="str">
            <v>付修路款等</v>
          </cell>
          <cell r="I47" t="b">
            <v>0</v>
          </cell>
          <cell r="J47">
            <v>32556.43</v>
          </cell>
          <cell r="K47">
            <v>0</v>
          </cell>
          <cell r="L47">
            <v>0</v>
          </cell>
        </row>
        <row r="48">
          <cell r="A48" t="str">
            <v>02</v>
          </cell>
          <cell r="B48" t="str">
            <v>19</v>
          </cell>
          <cell r="C48" t="str">
            <v>02</v>
          </cell>
          <cell r="D48" t="str">
            <v>2</v>
          </cell>
          <cell r="E48" t="str">
            <v>0032</v>
          </cell>
          <cell r="F48" t="str">
            <v>0002</v>
          </cell>
          <cell r="G48" t="str">
            <v>10101</v>
          </cell>
          <cell r="H48" t="str">
            <v>付临时工工人工资</v>
          </cell>
          <cell r="I48" t="b">
            <v>0</v>
          </cell>
          <cell r="J48">
            <v>50065.45</v>
          </cell>
          <cell r="K48">
            <v>0</v>
          </cell>
          <cell r="L48">
            <v>0</v>
          </cell>
        </row>
        <row r="49">
          <cell r="A49" t="str">
            <v>02</v>
          </cell>
          <cell r="B49" t="str">
            <v>19</v>
          </cell>
          <cell r="C49" t="str">
            <v>02</v>
          </cell>
          <cell r="D49" t="str">
            <v>2</v>
          </cell>
          <cell r="E49" t="str">
            <v>0033</v>
          </cell>
          <cell r="F49" t="str">
            <v>0004</v>
          </cell>
          <cell r="G49" t="str">
            <v>10101</v>
          </cell>
          <cell r="H49" t="str">
            <v>付差旅费.招待费</v>
          </cell>
          <cell r="I49" t="b">
            <v>0</v>
          </cell>
          <cell r="J49">
            <v>35612.53</v>
          </cell>
          <cell r="K49">
            <v>0</v>
          </cell>
          <cell r="L49">
            <v>0</v>
          </cell>
        </row>
        <row r="50">
          <cell r="A50" t="str">
            <v>02</v>
          </cell>
          <cell r="B50" t="str">
            <v>19</v>
          </cell>
          <cell r="C50" t="str">
            <v>02</v>
          </cell>
          <cell r="D50" t="str">
            <v>2</v>
          </cell>
          <cell r="E50" t="str">
            <v>0034</v>
          </cell>
          <cell r="F50" t="str">
            <v>0003</v>
          </cell>
          <cell r="G50" t="str">
            <v>10101</v>
          </cell>
          <cell r="H50" t="str">
            <v>购音响一套</v>
          </cell>
          <cell r="I50" t="b">
            <v>0</v>
          </cell>
          <cell r="J50">
            <v>8550.0300000000007</v>
          </cell>
          <cell r="K50">
            <v>0</v>
          </cell>
          <cell r="L50">
            <v>0</v>
          </cell>
        </row>
        <row r="51">
          <cell r="A51" t="str">
            <v>02</v>
          </cell>
          <cell r="B51" t="str">
            <v>20</v>
          </cell>
          <cell r="C51" t="str">
            <v>02</v>
          </cell>
          <cell r="D51" t="str">
            <v>2</v>
          </cell>
          <cell r="E51" t="str">
            <v>0035</v>
          </cell>
          <cell r="F51" t="str">
            <v>0005</v>
          </cell>
          <cell r="G51" t="str">
            <v>10101</v>
          </cell>
          <cell r="H51" t="str">
            <v>付差旅费等</v>
          </cell>
          <cell r="I51" t="b">
            <v>0</v>
          </cell>
          <cell r="J51">
            <v>1179.5</v>
          </cell>
          <cell r="K51">
            <v>0</v>
          </cell>
          <cell r="L51">
            <v>0</v>
          </cell>
        </row>
        <row r="52">
          <cell r="A52" t="str">
            <v>02</v>
          </cell>
          <cell r="B52" t="str">
            <v>20</v>
          </cell>
          <cell r="C52" t="str">
            <v>02</v>
          </cell>
          <cell r="D52" t="str">
            <v>2</v>
          </cell>
          <cell r="E52" t="str">
            <v>0036</v>
          </cell>
          <cell r="F52" t="str">
            <v>0003</v>
          </cell>
          <cell r="G52" t="str">
            <v>10101</v>
          </cell>
          <cell r="H52" t="str">
            <v>付差旅费.招待费</v>
          </cell>
          <cell r="I52" t="b">
            <v>0</v>
          </cell>
          <cell r="J52">
            <v>2988.2</v>
          </cell>
          <cell r="K52">
            <v>0</v>
          </cell>
          <cell r="L52">
            <v>0</v>
          </cell>
        </row>
        <row r="53">
          <cell r="A53" t="str">
            <v>02</v>
          </cell>
          <cell r="B53" t="str">
            <v>20</v>
          </cell>
          <cell r="C53" t="str">
            <v>02</v>
          </cell>
          <cell r="D53" t="str">
            <v>2</v>
          </cell>
          <cell r="E53" t="str">
            <v>0037</v>
          </cell>
          <cell r="F53" t="str">
            <v>0004</v>
          </cell>
          <cell r="G53" t="str">
            <v>10101</v>
          </cell>
          <cell r="H53" t="str">
            <v>付电话费.招待费</v>
          </cell>
          <cell r="I53" t="b">
            <v>0</v>
          </cell>
          <cell r="J53">
            <v>2908.1</v>
          </cell>
          <cell r="K53">
            <v>0</v>
          </cell>
          <cell r="L53">
            <v>0</v>
          </cell>
        </row>
        <row r="54">
          <cell r="A54" t="str">
            <v>02</v>
          </cell>
          <cell r="B54" t="str">
            <v>20</v>
          </cell>
          <cell r="C54" t="str">
            <v>02</v>
          </cell>
          <cell r="D54" t="str">
            <v>2</v>
          </cell>
          <cell r="E54" t="str">
            <v>0038</v>
          </cell>
          <cell r="F54" t="str">
            <v>0003</v>
          </cell>
          <cell r="G54" t="str">
            <v>10101</v>
          </cell>
          <cell r="H54" t="str">
            <v>付商检费</v>
          </cell>
          <cell r="I54" t="b">
            <v>0</v>
          </cell>
          <cell r="J54">
            <v>10707</v>
          </cell>
          <cell r="K54">
            <v>0</v>
          </cell>
          <cell r="L54">
            <v>0</v>
          </cell>
        </row>
        <row r="55">
          <cell r="A55" t="str">
            <v>02</v>
          </cell>
          <cell r="B55" t="str">
            <v>21</v>
          </cell>
          <cell r="C55" t="str">
            <v>02</v>
          </cell>
          <cell r="D55" t="str">
            <v>2</v>
          </cell>
          <cell r="E55" t="str">
            <v>0039</v>
          </cell>
          <cell r="F55" t="str">
            <v>0004</v>
          </cell>
          <cell r="G55" t="str">
            <v>10101</v>
          </cell>
          <cell r="H55" t="str">
            <v>购材料</v>
          </cell>
          <cell r="I55" t="b">
            <v>0</v>
          </cell>
          <cell r="J55">
            <v>49503.99</v>
          </cell>
          <cell r="K55">
            <v>0</v>
          </cell>
          <cell r="L55">
            <v>0</v>
          </cell>
        </row>
        <row r="56">
          <cell r="A56" t="str">
            <v>02</v>
          </cell>
          <cell r="B56" t="str">
            <v>21</v>
          </cell>
          <cell r="C56" t="str">
            <v>02</v>
          </cell>
          <cell r="D56" t="str">
            <v>2</v>
          </cell>
          <cell r="E56" t="str">
            <v>0040</v>
          </cell>
          <cell r="F56" t="str">
            <v>0003</v>
          </cell>
          <cell r="G56" t="str">
            <v>10101</v>
          </cell>
          <cell r="H56" t="str">
            <v>购材料</v>
          </cell>
          <cell r="I56" t="b">
            <v>0</v>
          </cell>
          <cell r="J56">
            <v>7109.1</v>
          </cell>
          <cell r="K56">
            <v>0</v>
          </cell>
          <cell r="L56">
            <v>0</v>
          </cell>
        </row>
        <row r="57">
          <cell r="A57" t="str">
            <v>02</v>
          </cell>
          <cell r="B57" t="str">
            <v>21</v>
          </cell>
          <cell r="C57" t="str">
            <v>02</v>
          </cell>
          <cell r="D57" t="str">
            <v>2</v>
          </cell>
          <cell r="E57" t="str">
            <v>0041</v>
          </cell>
          <cell r="F57" t="str">
            <v>0005</v>
          </cell>
          <cell r="G57" t="str">
            <v>10101</v>
          </cell>
          <cell r="H57" t="str">
            <v>暂借款</v>
          </cell>
          <cell r="I57" t="b">
            <v>0</v>
          </cell>
          <cell r="J57">
            <v>26546</v>
          </cell>
          <cell r="K57">
            <v>0</v>
          </cell>
          <cell r="L57">
            <v>0</v>
          </cell>
        </row>
        <row r="58">
          <cell r="A58" t="str">
            <v>02</v>
          </cell>
          <cell r="B58" t="str">
            <v>21</v>
          </cell>
          <cell r="C58" t="str">
            <v>02</v>
          </cell>
          <cell r="D58" t="str">
            <v>2</v>
          </cell>
          <cell r="E58" t="str">
            <v>0042</v>
          </cell>
          <cell r="F58" t="str">
            <v>0002</v>
          </cell>
          <cell r="G58" t="str">
            <v>10101</v>
          </cell>
          <cell r="H58" t="str">
            <v>付年货款等</v>
          </cell>
          <cell r="I58" t="b">
            <v>0</v>
          </cell>
          <cell r="J58">
            <v>94381.9</v>
          </cell>
          <cell r="K58">
            <v>0</v>
          </cell>
          <cell r="L58">
            <v>0</v>
          </cell>
        </row>
        <row r="59">
          <cell r="A59" t="str">
            <v>02</v>
          </cell>
          <cell r="B59" t="str">
            <v>21</v>
          </cell>
          <cell r="C59" t="str">
            <v>02</v>
          </cell>
          <cell r="D59" t="str">
            <v>2</v>
          </cell>
          <cell r="E59" t="str">
            <v>0043</v>
          </cell>
          <cell r="F59" t="str">
            <v>0002</v>
          </cell>
          <cell r="G59" t="str">
            <v>10101</v>
          </cell>
          <cell r="H59" t="str">
            <v>代垫运费</v>
          </cell>
          <cell r="I59" t="b">
            <v>0</v>
          </cell>
          <cell r="J59">
            <v>15748.68</v>
          </cell>
          <cell r="K59">
            <v>0</v>
          </cell>
          <cell r="L59">
            <v>0</v>
          </cell>
        </row>
        <row r="60">
          <cell r="A60" t="str">
            <v>02</v>
          </cell>
          <cell r="B60" t="str">
            <v>21</v>
          </cell>
          <cell r="C60" t="str">
            <v>02</v>
          </cell>
          <cell r="D60" t="str">
            <v>2</v>
          </cell>
          <cell r="E60" t="str">
            <v>0045</v>
          </cell>
          <cell r="F60" t="str">
            <v>0002</v>
          </cell>
          <cell r="G60" t="str">
            <v>10101</v>
          </cell>
          <cell r="H60" t="str">
            <v>交印花税</v>
          </cell>
          <cell r="I60" t="b">
            <v>0</v>
          </cell>
          <cell r="J60">
            <v>1000</v>
          </cell>
          <cell r="K60">
            <v>0</v>
          </cell>
          <cell r="L60">
            <v>0</v>
          </cell>
        </row>
        <row r="61">
          <cell r="A61" t="str">
            <v>02</v>
          </cell>
          <cell r="B61" t="str">
            <v>03</v>
          </cell>
          <cell r="C61" t="str">
            <v>02</v>
          </cell>
          <cell r="D61" t="str">
            <v>3</v>
          </cell>
          <cell r="E61" t="str">
            <v>0002</v>
          </cell>
          <cell r="F61" t="str">
            <v>0004</v>
          </cell>
          <cell r="G61" t="str">
            <v>10101</v>
          </cell>
          <cell r="H61" t="str">
            <v>存现金</v>
          </cell>
          <cell r="I61" t="b">
            <v>0</v>
          </cell>
          <cell r="J61">
            <v>140368</v>
          </cell>
          <cell r="K61">
            <v>0</v>
          </cell>
          <cell r="L61">
            <v>0</v>
          </cell>
        </row>
        <row r="62">
          <cell r="A62" t="str">
            <v>02</v>
          </cell>
          <cell r="B62" t="str">
            <v>01</v>
          </cell>
          <cell r="C62" t="str">
            <v>02</v>
          </cell>
          <cell r="D62" t="str">
            <v>4</v>
          </cell>
          <cell r="E62" t="str">
            <v>0001</v>
          </cell>
          <cell r="F62" t="str">
            <v>0003</v>
          </cell>
          <cell r="G62" t="str">
            <v>10101</v>
          </cell>
          <cell r="H62" t="str">
            <v>支现金</v>
          </cell>
          <cell r="I62" t="b">
            <v>1</v>
          </cell>
          <cell r="J62">
            <v>795251.5</v>
          </cell>
          <cell r="K62">
            <v>0</v>
          </cell>
          <cell r="L62">
            <v>0</v>
          </cell>
        </row>
        <row r="63">
          <cell r="A63" t="str">
            <v>02</v>
          </cell>
          <cell r="B63" t="str">
            <v>05</v>
          </cell>
          <cell r="C63" t="str">
            <v>02</v>
          </cell>
          <cell r="D63" t="str">
            <v>4</v>
          </cell>
          <cell r="E63" t="str">
            <v>0005</v>
          </cell>
          <cell r="F63" t="str">
            <v>0003</v>
          </cell>
          <cell r="G63" t="str">
            <v>10101</v>
          </cell>
          <cell r="H63" t="str">
            <v>支现金</v>
          </cell>
          <cell r="I63" t="b">
            <v>1</v>
          </cell>
          <cell r="J63">
            <v>700000</v>
          </cell>
          <cell r="K63">
            <v>0</v>
          </cell>
          <cell r="L63">
            <v>0</v>
          </cell>
        </row>
        <row r="64">
          <cell r="A64" t="str">
            <v>02</v>
          </cell>
          <cell r="B64" t="str">
            <v>19</v>
          </cell>
          <cell r="C64" t="str">
            <v>02</v>
          </cell>
          <cell r="D64" t="str">
            <v>4</v>
          </cell>
          <cell r="E64" t="str">
            <v>0027</v>
          </cell>
          <cell r="F64" t="str">
            <v>0001</v>
          </cell>
          <cell r="G64" t="str">
            <v>10101</v>
          </cell>
          <cell r="H64" t="str">
            <v>支现金</v>
          </cell>
          <cell r="I64" t="b">
            <v>1</v>
          </cell>
          <cell r="J64">
            <v>1350000</v>
          </cell>
          <cell r="K64">
            <v>0</v>
          </cell>
          <cell r="L64">
            <v>0</v>
          </cell>
        </row>
        <row r="65">
          <cell r="A65" t="str">
            <v>03</v>
          </cell>
          <cell r="B65" t="str">
            <v>14</v>
          </cell>
          <cell r="C65" t="str">
            <v>03</v>
          </cell>
          <cell r="D65" t="str">
            <v>1</v>
          </cell>
          <cell r="E65" t="str">
            <v>0001</v>
          </cell>
          <cell r="F65" t="str">
            <v>0001</v>
          </cell>
          <cell r="G65" t="str">
            <v>10101</v>
          </cell>
          <cell r="H65" t="str">
            <v>收回借款</v>
          </cell>
          <cell r="I65" t="b">
            <v>1</v>
          </cell>
          <cell r="J65">
            <v>27121.06</v>
          </cell>
          <cell r="K65">
            <v>0</v>
          </cell>
          <cell r="L65">
            <v>0</v>
          </cell>
        </row>
        <row r="66">
          <cell r="A66" t="str">
            <v>03</v>
          </cell>
          <cell r="B66" t="str">
            <v>17</v>
          </cell>
          <cell r="C66" t="str">
            <v>03</v>
          </cell>
          <cell r="D66" t="str">
            <v>1</v>
          </cell>
          <cell r="E66" t="str">
            <v>0002</v>
          </cell>
          <cell r="F66" t="str">
            <v>0001</v>
          </cell>
          <cell r="G66" t="str">
            <v>10101</v>
          </cell>
          <cell r="H66" t="str">
            <v>销苹果浓汁.硅藻土.塑料桶</v>
          </cell>
          <cell r="I66" t="b">
            <v>1</v>
          </cell>
          <cell r="J66">
            <v>265</v>
          </cell>
          <cell r="K66">
            <v>0</v>
          </cell>
          <cell r="L66">
            <v>0</v>
          </cell>
        </row>
        <row r="67">
          <cell r="A67" t="str">
            <v>03</v>
          </cell>
          <cell r="B67" t="str">
            <v>21</v>
          </cell>
          <cell r="C67" t="str">
            <v>03</v>
          </cell>
          <cell r="D67" t="str">
            <v>1</v>
          </cell>
          <cell r="E67" t="str">
            <v>0003</v>
          </cell>
          <cell r="F67" t="str">
            <v>0001</v>
          </cell>
          <cell r="G67" t="str">
            <v>10101</v>
          </cell>
          <cell r="H67" t="str">
            <v>收崔春新养老保险.理发室房租</v>
          </cell>
          <cell r="I67" t="b">
            <v>1</v>
          </cell>
          <cell r="J67">
            <v>1650</v>
          </cell>
          <cell r="K67">
            <v>0</v>
          </cell>
          <cell r="L67">
            <v>0</v>
          </cell>
        </row>
        <row r="68">
          <cell r="A68" t="str">
            <v>03</v>
          </cell>
          <cell r="B68" t="str">
            <v>21</v>
          </cell>
          <cell r="C68" t="str">
            <v>03</v>
          </cell>
          <cell r="D68" t="str">
            <v>1</v>
          </cell>
          <cell r="E68" t="str">
            <v>0004</v>
          </cell>
          <cell r="F68" t="str">
            <v>0001</v>
          </cell>
          <cell r="G68" t="str">
            <v>10101</v>
          </cell>
          <cell r="H68" t="str">
            <v>销苹果浓汁</v>
          </cell>
          <cell r="I68" t="b">
            <v>1</v>
          </cell>
          <cell r="J68">
            <v>10920</v>
          </cell>
          <cell r="K68">
            <v>0</v>
          </cell>
          <cell r="L68">
            <v>0</v>
          </cell>
        </row>
        <row r="69">
          <cell r="A69" t="str">
            <v>03</v>
          </cell>
          <cell r="B69" t="str">
            <v>27</v>
          </cell>
          <cell r="C69" t="str">
            <v>03</v>
          </cell>
          <cell r="D69" t="str">
            <v>1</v>
          </cell>
          <cell r="E69" t="str">
            <v>0005</v>
          </cell>
          <cell r="F69" t="str">
            <v>0001</v>
          </cell>
          <cell r="G69" t="str">
            <v>10101</v>
          </cell>
          <cell r="H69" t="str">
            <v>销果渣款</v>
          </cell>
          <cell r="I69" t="b">
            <v>1</v>
          </cell>
          <cell r="J69">
            <v>114181</v>
          </cell>
          <cell r="K69">
            <v>0</v>
          </cell>
          <cell r="L69">
            <v>0</v>
          </cell>
        </row>
        <row r="70">
          <cell r="A70" t="str">
            <v>03</v>
          </cell>
          <cell r="B70" t="str">
            <v>27</v>
          </cell>
          <cell r="C70" t="str">
            <v>03</v>
          </cell>
          <cell r="D70" t="str">
            <v>1</v>
          </cell>
          <cell r="E70" t="str">
            <v>0006</v>
          </cell>
          <cell r="F70" t="str">
            <v>0001</v>
          </cell>
          <cell r="G70" t="str">
            <v>10101</v>
          </cell>
          <cell r="H70" t="str">
            <v>销苹果浓汁</v>
          </cell>
          <cell r="I70" t="b">
            <v>1</v>
          </cell>
          <cell r="J70">
            <v>3120</v>
          </cell>
          <cell r="K70">
            <v>0</v>
          </cell>
          <cell r="L70">
            <v>0</v>
          </cell>
        </row>
        <row r="71">
          <cell r="A71" t="str">
            <v>03</v>
          </cell>
          <cell r="B71" t="str">
            <v>01</v>
          </cell>
          <cell r="C71" t="str">
            <v>03</v>
          </cell>
          <cell r="D71" t="str">
            <v>2</v>
          </cell>
          <cell r="E71" t="str">
            <v>0001</v>
          </cell>
          <cell r="F71" t="str">
            <v>0002</v>
          </cell>
          <cell r="G71" t="str">
            <v>10101</v>
          </cell>
          <cell r="H71" t="str">
            <v>付采暖费.早餐费等</v>
          </cell>
          <cell r="I71" t="b">
            <v>0</v>
          </cell>
          <cell r="J71">
            <v>46213.03</v>
          </cell>
          <cell r="K71">
            <v>0</v>
          </cell>
          <cell r="L71">
            <v>0</v>
          </cell>
        </row>
        <row r="72">
          <cell r="A72" t="str">
            <v>03</v>
          </cell>
          <cell r="B72" t="str">
            <v>02</v>
          </cell>
          <cell r="C72" t="str">
            <v>03</v>
          </cell>
          <cell r="D72" t="str">
            <v>2</v>
          </cell>
          <cell r="E72" t="str">
            <v>0002</v>
          </cell>
          <cell r="F72" t="str">
            <v>0005</v>
          </cell>
          <cell r="G72" t="str">
            <v>10101</v>
          </cell>
          <cell r="H72" t="str">
            <v>付差旅费.招待费</v>
          </cell>
          <cell r="I72" t="b">
            <v>0</v>
          </cell>
          <cell r="J72">
            <v>3266.3</v>
          </cell>
          <cell r="K72">
            <v>0</v>
          </cell>
          <cell r="L72">
            <v>0</v>
          </cell>
        </row>
        <row r="73">
          <cell r="A73" t="str">
            <v>03</v>
          </cell>
          <cell r="B73" t="str">
            <v>05</v>
          </cell>
          <cell r="C73" t="str">
            <v>03</v>
          </cell>
          <cell r="D73" t="str">
            <v>2</v>
          </cell>
          <cell r="E73" t="str">
            <v>0003</v>
          </cell>
          <cell r="F73" t="str">
            <v>0004</v>
          </cell>
          <cell r="G73" t="str">
            <v>10101</v>
          </cell>
          <cell r="H73" t="str">
            <v>购材料</v>
          </cell>
          <cell r="I73" t="b">
            <v>0</v>
          </cell>
          <cell r="J73">
            <v>23869.599999999999</v>
          </cell>
          <cell r="K73">
            <v>0</v>
          </cell>
          <cell r="L73">
            <v>0</v>
          </cell>
        </row>
        <row r="74">
          <cell r="A74" t="str">
            <v>03</v>
          </cell>
          <cell r="B74" t="str">
            <v>05</v>
          </cell>
          <cell r="C74" t="str">
            <v>03</v>
          </cell>
          <cell r="D74" t="str">
            <v>2</v>
          </cell>
          <cell r="E74" t="str">
            <v>0004</v>
          </cell>
          <cell r="F74" t="str">
            <v>0002</v>
          </cell>
          <cell r="G74" t="str">
            <v>10101</v>
          </cell>
          <cell r="H74" t="str">
            <v>付一部邮费</v>
          </cell>
          <cell r="I74" t="b">
            <v>0</v>
          </cell>
          <cell r="J74">
            <v>19352</v>
          </cell>
          <cell r="K74">
            <v>0</v>
          </cell>
          <cell r="L74">
            <v>0</v>
          </cell>
        </row>
        <row r="75">
          <cell r="A75" t="str">
            <v>03</v>
          </cell>
          <cell r="B75" t="str">
            <v>05</v>
          </cell>
          <cell r="C75" t="str">
            <v>03</v>
          </cell>
          <cell r="D75" t="str">
            <v>2</v>
          </cell>
          <cell r="E75" t="str">
            <v>0005</v>
          </cell>
          <cell r="F75" t="str">
            <v>0002</v>
          </cell>
          <cell r="G75" t="str">
            <v>10101</v>
          </cell>
          <cell r="H75" t="str">
            <v>付一部差旅费</v>
          </cell>
          <cell r="I75" t="b">
            <v>0</v>
          </cell>
          <cell r="J75">
            <v>4082.5</v>
          </cell>
          <cell r="K75">
            <v>0</v>
          </cell>
          <cell r="L75">
            <v>0</v>
          </cell>
        </row>
        <row r="76">
          <cell r="A76" t="str">
            <v>03</v>
          </cell>
          <cell r="B76" t="str">
            <v>10</v>
          </cell>
          <cell r="C76" t="str">
            <v>03</v>
          </cell>
          <cell r="D76" t="str">
            <v>2</v>
          </cell>
          <cell r="E76" t="str">
            <v>0006</v>
          </cell>
          <cell r="F76" t="str">
            <v>0003</v>
          </cell>
          <cell r="G76" t="str">
            <v>10101</v>
          </cell>
          <cell r="H76" t="str">
            <v>付邮费.招待费</v>
          </cell>
          <cell r="I76" t="b">
            <v>0</v>
          </cell>
          <cell r="J76">
            <v>2469.5</v>
          </cell>
          <cell r="K76">
            <v>0</v>
          </cell>
          <cell r="L76">
            <v>0</v>
          </cell>
        </row>
        <row r="77">
          <cell r="A77" t="str">
            <v>03</v>
          </cell>
          <cell r="B77" t="str">
            <v>10</v>
          </cell>
          <cell r="C77" t="str">
            <v>03</v>
          </cell>
          <cell r="D77" t="str">
            <v>2</v>
          </cell>
          <cell r="E77" t="str">
            <v>0007</v>
          </cell>
          <cell r="F77" t="str">
            <v>0004</v>
          </cell>
          <cell r="G77" t="str">
            <v>10101</v>
          </cell>
          <cell r="H77" t="str">
            <v>付商检费</v>
          </cell>
          <cell r="I77" t="b">
            <v>0</v>
          </cell>
          <cell r="J77">
            <v>4658</v>
          </cell>
          <cell r="K77">
            <v>0</v>
          </cell>
          <cell r="L77">
            <v>0</v>
          </cell>
        </row>
        <row r="78">
          <cell r="A78" t="str">
            <v>03</v>
          </cell>
          <cell r="B78" t="str">
            <v>10</v>
          </cell>
          <cell r="C78" t="str">
            <v>03</v>
          </cell>
          <cell r="D78" t="str">
            <v>2</v>
          </cell>
          <cell r="E78" t="str">
            <v>0008</v>
          </cell>
          <cell r="F78" t="str">
            <v>0004</v>
          </cell>
          <cell r="G78" t="str">
            <v>10101</v>
          </cell>
          <cell r="H78" t="str">
            <v>付差旅费.招待费</v>
          </cell>
          <cell r="I78" t="b">
            <v>0</v>
          </cell>
          <cell r="J78">
            <v>449.3</v>
          </cell>
          <cell r="K78">
            <v>0</v>
          </cell>
          <cell r="L78">
            <v>0</v>
          </cell>
        </row>
        <row r="79">
          <cell r="A79" t="str">
            <v>03</v>
          </cell>
          <cell r="B79" t="str">
            <v>10</v>
          </cell>
          <cell r="C79" t="str">
            <v>03</v>
          </cell>
          <cell r="D79" t="str">
            <v>2</v>
          </cell>
          <cell r="E79" t="str">
            <v>0009</v>
          </cell>
          <cell r="F79" t="str">
            <v>0004</v>
          </cell>
          <cell r="G79" t="str">
            <v>10101</v>
          </cell>
          <cell r="H79" t="str">
            <v>付招待费.差旅费</v>
          </cell>
          <cell r="I79" t="b">
            <v>0</v>
          </cell>
          <cell r="J79">
            <v>1943.8</v>
          </cell>
          <cell r="K79">
            <v>0</v>
          </cell>
          <cell r="L79">
            <v>0</v>
          </cell>
        </row>
        <row r="80">
          <cell r="A80" t="str">
            <v>03</v>
          </cell>
          <cell r="B80" t="str">
            <v>12</v>
          </cell>
          <cell r="C80" t="str">
            <v>03</v>
          </cell>
          <cell r="D80" t="str">
            <v>2</v>
          </cell>
          <cell r="E80" t="str">
            <v>0010</v>
          </cell>
          <cell r="F80" t="str">
            <v>0005</v>
          </cell>
          <cell r="G80" t="str">
            <v>10101</v>
          </cell>
          <cell r="H80" t="str">
            <v>付差旅费.招待费</v>
          </cell>
          <cell r="I80" t="b">
            <v>0</v>
          </cell>
          <cell r="J80">
            <v>25430.5</v>
          </cell>
          <cell r="K80">
            <v>0</v>
          </cell>
          <cell r="L80">
            <v>0</v>
          </cell>
        </row>
        <row r="81">
          <cell r="A81" t="str">
            <v>03</v>
          </cell>
          <cell r="B81" t="str">
            <v>12</v>
          </cell>
          <cell r="C81" t="str">
            <v>03</v>
          </cell>
          <cell r="D81" t="str">
            <v>2</v>
          </cell>
          <cell r="E81" t="str">
            <v>0011</v>
          </cell>
          <cell r="F81" t="str">
            <v>0003</v>
          </cell>
          <cell r="G81" t="str">
            <v>10101</v>
          </cell>
          <cell r="H81" t="str">
            <v>付电话费.修理费</v>
          </cell>
          <cell r="I81" t="b">
            <v>0</v>
          </cell>
          <cell r="J81">
            <v>10715</v>
          </cell>
          <cell r="K81">
            <v>0</v>
          </cell>
          <cell r="L81">
            <v>0</v>
          </cell>
        </row>
        <row r="82">
          <cell r="A82" t="str">
            <v>03</v>
          </cell>
          <cell r="B82" t="str">
            <v>15</v>
          </cell>
          <cell r="C82" t="str">
            <v>03</v>
          </cell>
          <cell r="D82" t="str">
            <v>2</v>
          </cell>
          <cell r="E82" t="str">
            <v>0012</v>
          </cell>
          <cell r="F82" t="str">
            <v>0004</v>
          </cell>
          <cell r="G82" t="str">
            <v>10101</v>
          </cell>
          <cell r="H82" t="str">
            <v>付差旅费.招待费.工会经费等</v>
          </cell>
          <cell r="I82" t="b">
            <v>0</v>
          </cell>
          <cell r="J82">
            <v>42519.62</v>
          </cell>
          <cell r="K82">
            <v>0</v>
          </cell>
          <cell r="L82">
            <v>0</v>
          </cell>
        </row>
        <row r="83">
          <cell r="A83" t="str">
            <v>03</v>
          </cell>
          <cell r="B83" t="str">
            <v>15</v>
          </cell>
          <cell r="C83" t="str">
            <v>03</v>
          </cell>
          <cell r="D83" t="str">
            <v>2</v>
          </cell>
          <cell r="E83" t="str">
            <v>0013</v>
          </cell>
          <cell r="F83" t="str">
            <v>0004</v>
          </cell>
          <cell r="G83" t="str">
            <v>10101</v>
          </cell>
          <cell r="H83" t="str">
            <v>暂借款</v>
          </cell>
          <cell r="I83" t="b">
            <v>0</v>
          </cell>
          <cell r="J83">
            <v>3158200</v>
          </cell>
          <cell r="K83">
            <v>0</v>
          </cell>
          <cell r="L83">
            <v>0</v>
          </cell>
        </row>
        <row r="84">
          <cell r="A84" t="str">
            <v>03</v>
          </cell>
          <cell r="B84" t="str">
            <v>17</v>
          </cell>
          <cell r="C84" t="str">
            <v>03</v>
          </cell>
          <cell r="D84" t="str">
            <v>2</v>
          </cell>
          <cell r="E84" t="str">
            <v>0014</v>
          </cell>
          <cell r="F84" t="str">
            <v>0004</v>
          </cell>
          <cell r="G84" t="str">
            <v>10101</v>
          </cell>
          <cell r="H84" t="str">
            <v>付运费.佣金</v>
          </cell>
          <cell r="I84" t="b">
            <v>0</v>
          </cell>
          <cell r="J84">
            <v>4275</v>
          </cell>
          <cell r="K84">
            <v>0</v>
          </cell>
          <cell r="L84">
            <v>0</v>
          </cell>
        </row>
        <row r="85">
          <cell r="A85" t="str">
            <v>03</v>
          </cell>
          <cell r="B85" t="str">
            <v>17</v>
          </cell>
          <cell r="C85" t="str">
            <v>03</v>
          </cell>
          <cell r="D85" t="str">
            <v>2</v>
          </cell>
          <cell r="E85" t="str">
            <v>0015</v>
          </cell>
          <cell r="F85" t="str">
            <v>0002</v>
          </cell>
          <cell r="G85" t="str">
            <v>10101</v>
          </cell>
          <cell r="H85" t="str">
            <v>购电动双组架.色谱柱</v>
          </cell>
          <cell r="I85" t="b">
            <v>0</v>
          </cell>
          <cell r="J85">
            <v>10113</v>
          </cell>
          <cell r="K85">
            <v>0</v>
          </cell>
          <cell r="L85">
            <v>0</v>
          </cell>
        </row>
        <row r="86">
          <cell r="A86" t="str">
            <v>03</v>
          </cell>
          <cell r="B86" t="str">
            <v>17</v>
          </cell>
          <cell r="C86" t="str">
            <v>03</v>
          </cell>
          <cell r="D86" t="str">
            <v>2</v>
          </cell>
          <cell r="E86" t="str">
            <v>0016</v>
          </cell>
          <cell r="F86" t="str">
            <v>0003</v>
          </cell>
          <cell r="G86" t="str">
            <v>10101</v>
          </cell>
          <cell r="H86" t="str">
            <v>付司机体检费.审验费.违章办班费</v>
          </cell>
          <cell r="I86" t="b">
            <v>0</v>
          </cell>
          <cell r="J86">
            <v>1138</v>
          </cell>
          <cell r="K86">
            <v>0</v>
          </cell>
          <cell r="L86">
            <v>0</v>
          </cell>
        </row>
        <row r="87">
          <cell r="A87" t="str">
            <v>03</v>
          </cell>
          <cell r="B87" t="str">
            <v>17</v>
          </cell>
          <cell r="C87" t="str">
            <v>03</v>
          </cell>
          <cell r="D87" t="str">
            <v>2</v>
          </cell>
          <cell r="E87" t="str">
            <v>0017</v>
          </cell>
          <cell r="F87" t="str">
            <v>0003</v>
          </cell>
          <cell r="G87" t="str">
            <v>10101</v>
          </cell>
          <cell r="H87" t="str">
            <v>付产地证费.商检费</v>
          </cell>
          <cell r="I87" t="b">
            <v>0</v>
          </cell>
          <cell r="J87">
            <v>3726</v>
          </cell>
          <cell r="K87">
            <v>0</v>
          </cell>
          <cell r="L87">
            <v>0</v>
          </cell>
        </row>
        <row r="88">
          <cell r="A88" t="str">
            <v>03</v>
          </cell>
          <cell r="B88" t="str">
            <v>20</v>
          </cell>
          <cell r="C88" t="str">
            <v>03</v>
          </cell>
          <cell r="D88" t="str">
            <v>2</v>
          </cell>
          <cell r="E88" t="str">
            <v>0018</v>
          </cell>
          <cell r="F88" t="str">
            <v>0005</v>
          </cell>
          <cell r="G88" t="str">
            <v>10101</v>
          </cell>
          <cell r="H88" t="str">
            <v>付招待费.差旅费.邮费</v>
          </cell>
          <cell r="I88" t="b">
            <v>0</v>
          </cell>
          <cell r="J88">
            <v>2951</v>
          </cell>
          <cell r="K88">
            <v>0</v>
          </cell>
          <cell r="L88">
            <v>0</v>
          </cell>
        </row>
        <row r="89">
          <cell r="A89" t="str">
            <v>03</v>
          </cell>
          <cell r="B89" t="str">
            <v>20</v>
          </cell>
          <cell r="C89" t="str">
            <v>03</v>
          </cell>
          <cell r="D89" t="str">
            <v>2</v>
          </cell>
          <cell r="E89" t="str">
            <v>0019</v>
          </cell>
          <cell r="F89" t="str">
            <v>0002</v>
          </cell>
          <cell r="G89" t="str">
            <v>10101</v>
          </cell>
          <cell r="H89" t="str">
            <v>付临时工工资</v>
          </cell>
          <cell r="I89" t="b">
            <v>0</v>
          </cell>
          <cell r="J89">
            <v>19857.48</v>
          </cell>
          <cell r="K89">
            <v>0</v>
          </cell>
          <cell r="L89">
            <v>0</v>
          </cell>
        </row>
        <row r="90">
          <cell r="A90" t="str">
            <v>03</v>
          </cell>
          <cell r="B90" t="str">
            <v>24</v>
          </cell>
          <cell r="C90" t="str">
            <v>03</v>
          </cell>
          <cell r="D90" t="str">
            <v>2</v>
          </cell>
          <cell r="E90" t="str">
            <v>0020</v>
          </cell>
          <cell r="F90" t="str">
            <v>0005</v>
          </cell>
          <cell r="G90" t="str">
            <v>10101</v>
          </cell>
          <cell r="H90" t="str">
            <v>暂借款</v>
          </cell>
          <cell r="I90" t="b">
            <v>0</v>
          </cell>
          <cell r="J90">
            <v>26300</v>
          </cell>
          <cell r="K90">
            <v>0</v>
          </cell>
          <cell r="L90">
            <v>0</v>
          </cell>
        </row>
        <row r="91">
          <cell r="A91" t="str">
            <v>03</v>
          </cell>
          <cell r="B91" t="str">
            <v>24</v>
          </cell>
          <cell r="C91" t="str">
            <v>03</v>
          </cell>
          <cell r="D91" t="str">
            <v>2</v>
          </cell>
          <cell r="E91" t="str">
            <v>0021</v>
          </cell>
          <cell r="F91" t="str">
            <v>0003</v>
          </cell>
          <cell r="G91" t="str">
            <v>10101</v>
          </cell>
          <cell r="H91" t="str">
            <v>付摩拖车保费.微机款</v>
          </cell>
          <cell r="I91" t="b">
            <v>0</v>
          </cell>
          <cell r="J91">
            <v>11530</v>
          </cell>
          <cell r="K91">
            <v>0</v>
          </cell>
          <cell r="L91">
            <v>0</v>
          </cell>
        </row>
        <row r="92">
          <cell r="A92" t="str">
            <v>03</v>
          </cell>
          <cell r="B92" t="str">
            <v>24</v>
          </cell>
          <cell r="C92" t="str">
            <v>03</v>
          </cell>
          <cell r="D92" t="str">
            <v>2</v>
          </cell>
          <cell r="E92" t="str">
            <v>0022</v>
          </cell>
          <cell r="F92" t="str">
            <v>0002</v>
          </cell>
          <cell r="G92" t="str">
            <v>10101</v>
          </cell>
          <cell r="H92" t="str">
            <v>付手续费</v>
          </cell>
          <cell r="I92" t="b">
            <v>0</v>
          </cell>
          <cell r="J92">
            <v>5544.73</v>
          </cell>
          <cell r="K92">
            <v>0</v>
          </cell>
          <cell r="L92">
            <v>0</v>
          </cell>
        </row>
        <row r="93">
          <cell r="A93" t="str">
            <v>03</v>
          </cell>
          <cell r="B93" t="str">
            <v>25</v>
          </cell>
          <cell r="C93" t="str">
            <v>03</v>
          </cell>
          <cell r="D93" t="str">
            <v>2</v>
          </cell>
          <cell r="E93" t="str">
            <v>0023</v>
          </cell>
          <cell r="F93" t="str">
            <v>0003</v>
          </cell>
          <cell r="G93" t="str">
            <v>10101</v>
          </cell>
          <cell r="H93" t="str">
            <v>付运费</v>
          </cell>
          <cell r="I93" t="b">
            <v>0</v>
          </cell>
          <cell r="J93">
            <v>1601.6</v>
          </cell>
          <cell r="K93">
            <v>0</v>
          </cell>
          <cell r="L93">
            <v>0</v>
          </cell>
        </row>
        <row r="94">
          <cell r="A94" t="str">
            <v>03</v>
          </cell>
          <cell r="B94" t="str">
            <v>25</v>
          </cell>
          <cell r="C94" t="str">
            <v>03</v>
          </cell>
          <cell r="D94" t="str">
            <v>2</v>
          </cell>
          <cell r="E94" t="str">
            <v>0024</v>
          </cell>
          <cell r="F94" t="str">
            <v>0004</v>
          </cell>
          <cell r="G94" t="str">
            <v>10101</v>
          </cell>
          <cell r="H94" t="str">
            <v>暂借款</v>
          </cell>
          <cell r="I94" t="b">
            <v>0</v>
          </cell>
          <cell r="J94">
            <v>10030270.699999999</v>
          </cell>
          <cell r="K94">
            <v>0</v>
          </cell>
          <cell r="L94">
            <v>0</v>
          </cell>
        </row>
        <row r="95">
          <cell r="A95" t="str">
            <v>03</v>
          </cell>
          <cell r="B95" t="str">
            <v>25</v>
          </cell>
          <cell r="C95" t="str">
            <v>03</v>
          </cell>
          <cell r="D95" t="str">
            <v>2</v>
          </cell>
          <cell r="E95" t="str">
            <v>0025</v>
          </cell>
          <cell r="F95" t="str">
            <v>0003</v>
          </cell>
          <cell r="G95" t="str">
            <v>10101</v>
          </cell>
          <cell r="H95" t="str">
            <v>存现金</v>
          </cell>
          <cell r="I95" t="b">
            <v>0</v>
          </cell>
          <cell r="J95">
            <v>490000</v>
          </cell>
          <cell r="K95">
            <v>0</v>
          </cell>
          <cell r="L95">
            <v>0</v>
          </cell>
        </row>
        <row r="96">
          <cell r="A96" t="str">
            <v>03</v>
          </cell>
          <cell r="B96" t="str">
            <v>25</v>
          </cell>
          <cell r="C96" t="str">
            <v>03</v>
          </cell>
          <cell r="D96" t="str">
            <v>2</v>
          </cell>
          <cell r="E96" t="str">
            <v>0026</v>
          </cell>
          <cell r="F96" t="str">
            <v>0009</v>
          </cell>
          <cell r="G96" t="str">
            <v>10101</v>
          </cell>
          <cell r="H96" t="str">
            <v>付工人工资</v>
          </cell>
          <cell r="I96" t="b">
            <v>0</v>
          </cell>
          <cell r="J96">
            <v>26087.4</v>
          </cell>
          <cell r="K96">
            <v>0</v>
          </cell>
          <cell r="L96">
            <v>0</v>
          </cell>
        </row>
        <row r="97">
          <cell r="A97" t="str">
            <v>03</v>
          </cell>
          <cell r="B97" t="str">
            <v>27</v>
          </cell>
          <cell r="C97" t="str">
            <v>03</v>
          </cell>
          <cell r="D97" t="str">
            <v>2</v>
          </cell>
          <cell r="E97" t="str">
            <v>0027</v>
          </cell>
          <cell r="F97" t="str">
            <v>0004</v>
          </cell>
          <cell r="G97" t="str">
            <v>10101</v>
          </cell>
          <cell r="H97" t="str">
            <v>付邮费</v>
          </cell>
          <cell r="I97" t="b">
            <v>0</v>
          </cell>
          <cell r="J97">
            <v>18018</v>
          </cell>
          <cell r="K97">
            <v>0</v>
          </cell>
          <cell r="L97">
            <v>0</v>
          </cell>
        </row>
        <row r="98">
          <cell r="A98" t="str">
            <v>03</v>
          </cell>
          <cell r="B98" t="str">
            <v>03</v>
          </cell>
          <cell r="C98" t="str">
            <v>03</v>
          </cell>
          <cell r="D98" t="str">
            <v>4</v>
          </cell>
          <cell r="E98" t="str">
            <v>0008</v>
          </cell>
          <cell r="F98" t="str">
            <v>0001</v>
          </cell>
          <cell r="G98" t="str">
            <v>10101</v>
          </cell>
          <cell r="H98" t="str">
            <v>提现金</v>
          </cell>
          <cell r="I98" t="b">
            <v>1</v>
          </cell>
          <cell r="J98">
            <v>11540000</v>
          </cell>
          <cell r="K98">
            <v>0</v>
          </cell>
          <cell r="L98">
            <v>0</v>
          </cell>
        </row>
        <row r="99">
          <cell r="A99" t="str">
            <v>03</v>
          </cell>
          <cell r="B99" t="str">
            <v>17</v>
          </cell>
          <cell r="C99" t="str">
            <v>03</v>
          </cell>
          <cell r="D99" t="str">
            <v>4</v>
          </cell>
          <cell r="E99" t="str">
            <v>0026</v>
          </cell>
          <cell r="F99" t="str">
            <v>0001</v>
          </cell>
          <cell r="G99" t="str">
            <v>10101</v>
          </cell>
          <cell r="H99" t="str">
            <v>提现金</v>
          </cell>
          <cell r="I99" t="b">
            <v>1</v>
          </cell>
          <cell r="J99">
            <v>2300000</v>
          </cell>
          <cell r="K99">
            <v>0</v>
          </cell>
          <cell r="L99">
            <v>0</v>
          </cell>
        </row>
        <row r="100">
          <cell r="A100" t="str">
            <v>04</v>
          </cell>
          <cell r="B100" t="str">
            <v>01</v>
          </cell>
          <cell r="C100" t="str">
            <v>04</v>
          </cell>
          <cell r="D100" t="str">
            <v>1</v>
          </cell>
          <cell r="E100" t="str">
            <v>0001</v>
          </cell>
          <cell r="F100" t="str">
            <v>0001</v>
          </cell>
          <cell r="G100" t="str">
            <v>10101</v>
          </cell>
          <cell r="H100" t="str">
            <v>收回邵立成2000年1-2月份医疗费</v>
          </cell>
          <cell r="I100" t="b">
            <v>1</v>
          </cell>
          <cell r="J100">
            <v>79.599999999999994</v>
          </cell>
          <cell r="K100">
            <v>0</v>
          </cell>
          <cell r="L100">
            <v>0</v>
          </cell>
        </row>
        <row r="101">
          <cell r="A101" t="str">
            <v>04</v>
          </cell>
          <cell r="B101" t="str">
            <v>10</v>
          </cell>
          <cell r="C101" t="str">
            <v>04</v>
          </cell>
          <cell r="D101" t="str">
            <v>1</v>
          </cell>
          <cell r="E101" t="str">
            <v>0002</v>
          </cell>
          <cell r="F101" t="str">
            <v>0001</v>
          </cell>
          <cell r="G101" t="str">
            <v>10101</v>
          </cell>
          <cell r="H101" t="str">
            <v>收拖拉机款</v>
          </cell>
          <cell r="I101" t="b">
            <v>1</v>
          </cell>
          <cell r="J101">
            <v>4040</v>
          </cell>
          <cell r="K101">
            <v>0</v>
          </cell>
          <cell r="L101">
            <v>0</v>
          </cell>
        </row>
        <row r="102">
          <cell r="A102" t="str">
            <v>04</v>
          </cell>
          <cell r="B102" t="str">
            <v>17</v>
          </cell>
          <cell r="C102" t="str">
            <v>04</v>
          </cell>
          <cell r="D102" t="str">
            <v>1</v>
          </cell>
          <cell r="E102" t="str">
            <v>0003</v>
          </cell>
          <cell r="F102" t="str">
            <v>0001</v>
          </cell>
          <cell r="G102" t="str">
            <v>10101</v>
          </cell>
          <cell r="H102" t="str">
            <v>销旧桶.旧电瓶.果渣款</v>
          </cell>
          <cell r="I102" t="b">
            <v>1</v>
          </cell>
          <cell r="J102">
            <v>93131.48</v>
          </cell>
          <cell r="K102">
            <v>0</v>
          </cell>
          <cell r="L102">
            <v>0</v>
          </cell>
        </row>
        <row r="103">
          <cell r="A103" t="str">
            <v>04</v>
          </cell>
          <cell r="B103" t="str">
            <v>20</v>
          </cell>
          <cell r="C103" t="str">
            <v>04</v>
          </cell>
          <cell r="D103" t="str">
            <v>1</v>
          </cell>
          <cell r="E103" t="str">
            <v>0005</v>
          </cell>
          <cell r="F103" t="str">
            <v>0001</v>
          </cell>
          <cell r="G103" t="str">
            <v>10101</v>
          </cell>
          <cell r="H103" t="str">
            <v>转销苹果浓汁0.1吨</v>
          </cell>
          <cell r="I103" t="b">
            <v>1</v>
          </cell>
          <cell r="J103">
            <v>800</v>
          </cell>
          <cell r="K103">
            <v>0</v>
          </cell>
          <cell r="L103">
            <v>0</v>
          </cell>
        </row>
        <row r="104">
          <cell r="A104" t="str">
            <v>04</v>
          </cell>
          <cell r="B104" t="str">
            <v>01</v>
          </cell>
          <cell r="C104" t="str">
            <v>04</v>
          </cell>
          <cell r="D104" t="str">
            <v>2</v>
          </cell>
          <cell r="E104" t="str">
            <v>0001</v>
          </cell>
          <cell r="F104" t="str">
            <v>0002</v>
          </cell>
          <cell r="G104" t="str">
            <v>10101</v>
          </cell>
          <cell r="H104" t="str">
            <v>存现金</v>
          </cell>
          <cell r="I104" t="b">
            <v>0</v>
          </cell>
          <cell r="J104">
            <v>90000</v>
          </cell>
          <cell r="K104">
            <v>0</v>
          </cell>
          <cell r="L104">
            <v>0</v>
          </cell>
        </row>
        <row r="105">
          <cell r="A105" t="str">
            <v>04</v>
          </cell>
          <cell r="B105" t="str">
            <v>01</v>
          </cell>
          <cell r="C105" t="str">
            <v>04</v>
          </cell>
          <cell r="D105" t="str">
            <v>2</v>
          </cell>
          <cell r="E105" t="str">
            <v>0001</v>
          </cell>
          <cell r="F105" t="str">
            <v>0005</v>
          </cell>
          <cell r="G105" t="str">
            <v>10101</v>
          </cell>
          <cell r="H105" t="str">
            <v>付修车费.饭费</v>
          </cell>
          <cell r="I105" t="b">
            <v>0</v>
          </cell>
          <cell r="J105">
            <v>620</v>
          </cell>
          <cell r="K105">
            <v>0</v>
          </cell>
          <cell r="L105">
            <v>0</v>
          </cell>
        </row>
        <row r="106">
          <cell r="A106" t="str">
            <v>04</v>
          </cell>
          <cell r="B106" t="str">
            <v>02</v>
          </cell>
          <cell r="C106" t="str">
            <v>04</v>
          </cell>
          <cell r="D106" t="str">
            <v>2</v>
          </cell>
          <cell r="E106" t="str">
            <v>0002</v>
          </cell>
          <cell r="F106" t="str">
            <v>0002</v>
          </cell>
          <cell r="G106" t="str">
            <v>10101</v>
          </cell>
          <cell r="H106" t="str">
            <v>付药费.早餐费.采暖费等</v>
          </cell>
          <cell r="I106" t="b">
            <v>0</v>
          </cell>
          <cell r="J106">
            <v>3344.6</v>
          </cell>
          <cell r="K106">
            <v>0</v>
          </cell>
          <cell r="L106">
            <v>0</v>
          </cell>
        </row>
        <row r="107">
          <cell r="A107" t="str">
            <v>04</v>
          </cell>
          <cell r="B107" t="str">
            <v>05</v>
          </cell>
          <cell r="C107" t="str">
            <v>04</v>
          </cell>
          <cell r="D107" t="str">
            <v>2</v>
          </cell>
          <cell r="E107" t="str">
            <v>0003</v>
          </cell>
          <cell r="F107" t="str">
            <v>0003</v>
          </cell>
          <cell r="G107" t="str">
            <v>10101</v>
          </cell>
          <cell r="H107" t="str">
            <v>付招待费</v>
          </cell>
          <cell r="I107" t="b">
            <v>0</v>
          </cell>
          <cell r="J107">
            <v>1680.3</v>
          </cell>
          <cell r="K107">
            <v>0</v>
          </cell>
          <cell r="L107">
            <v>0</v>
          </cell>
        </row>
        <row r="108">
          <cell r="A108" t="str">
            <v>04</v>
          </cell>
          <cell r="B108" t="str">
            <v>05</v>
          </cell>
          <cell r="C108" t="str">
            <v>04</v>
          </cell>
          <cell r="D108" t="str">
            <v>2</v>
          </cell>
          <cell r="E108" t="str">
            <v>0004</v>
          </cell>
          <cell r="F108" t="str">
            <v>0004</v>
          </cell>
          <cell r="G108" t="str">
            <v>10101</v>
          </cell>
          <cell r="H108" t="str">
            <v>付运费</v>
          </cell>
          <cell r="I108" t="b">
            <v>0</v>
          </cell>
          <cell r="J108">
            <v>2876.4</v>
          </cell>
          <cell r="K108">
            <v>0</v>
          </cell>
          <cell r="L108">
            <v>0</v>
          </cell>
        </row>
        <row r="109">
          <cell r="A109" t="str">
            <v>04</v>
          </cell>
          <cell r="B109" t="str">
            <v>10</v>
          </cell>
          <cell r="C109" t="str">
            <v>04</v>
          </cell>
          <cell r="D109" t="str">
            <v>2</v>
          </cell>
          <cell r="E109" t="str">
            <v>0005</v>
          </cell>
          <cell r="F109" t="str">
            <v>0004</v>
          </cell>
          <cell r="G109" t="str">
            <v>10101</v>
          </cell>
          <cell r="H109" t="str">
            <v>付差旅费</v>
          </cell>
          <cell r="I109" t="b">
            <v>0</v>
          </cell>
          <cell r="J109">
            <v>1930</v>
          </cell>
          <cell r="K109">
            <v>0</v>
          </cell>
          <cell r="L109">
            <v>0</v>
          </cell>
        </row>
        <row r="110">
          <cell r="A110" t="str">
            <v>04</v>
          </cell>
          <cell r="B110" t="str">
            <v>15</v>
          </cell>
          <cell r="C110" t="str">
            <v>04</v>
          </cell>
          <cell r="D110" t="str">
            <v>2</v>
          </cell>
          <cell r="E110" t="str">
            <v>0006</v>
          </cell>
          <cell r="F110" t="str">
            <v>0003</v>
          </cell>
          <cell r="G110" t="str">
            <v>10101</v>
          </cell>
          <cell r="H110" t="str">
            <v>付电话费.差旅费</v>
          </cell>
          <cell r="I110" t="b">
            <v>0</v>
          </cell>
          <cell r="J110">
            <v>1212.8</v>
          </cell>
          <cell r="K110">
            <v>0</v>
          </cell>
          <cell r="L110">
            <v>0</v>
          </cell>
        </row>
        <row r="111">
          <cell r="A111" t="str">
            <v>04</v>
          </cell>
          <cell r="B111" t="str">
            <v>17</v>
          </cell>
          <cell r="C111" t="str">
            <v>04</v>
          </cell>
          <cell r="D111" t="str">
            <v>2</v>
          </cell>
          <cell r="E111" t="str">
            <v>0007</v>
          </cell>
          <cell r="F111" t="str">
            <v>0005</v>
          </cell>
          <cell r="G111" t="str">
            <v>10101</v>
          </cell>
          <cell r="H111" t="str">
            <v>暂借款</v>
          </cell>
          <cell r="I111" t="b">
            <v>0</v>
          </cell>
          <cell r="J111">
            <v>1447000</v>
          </cell>
          <cell r="K111">
            <v>0</v>
          </cell>
          <cell r="L111">
            <v>0</v>
          </cell>
        </row>
        <row r="112">
          <cell r="A112" t="str">
            <v>04</v>
          </cell>
          <cell r="B112" t="str">
            <v>17</v>
          </cell>
          <cell r="C112" t="str">
            <v>04</v>
          </cell>
          <cell r="D112" t="str">
            <v>2</v>
          </cell>
          <cell r="E112" t="str">
            <v>0008</v>
          </cell>
          <cell r="F112" t="str">
            <v>0004</v>
          </cell>
          <cell r="G112" t="str">
            <v>10101</v>
          </cell>
          <cell r="H112" t="str">
            <v>暂借款</v>
          </cell>
          <cell r="I112" t="b">
            <v>0</v>
          </cell>
          <cell r="J112">
            <v>13000</v>
          </cell>
          <cell r="K112">
            <v>0</v>
          </cell>
          <cell r="L112">
            <v>0</v>
          </cell>
        </row>
        <row r="113">
          <cell r="A113" t="str">
            <v>04</v>
          </cell>
          <cell r="B113" t="str">
            <v>20</v>
          </cell>
          <cell r="C113" t="str">
            <v>04</v>
          </cell>
          <cell r="D113" t="str">
            <v>2</v>
          </cell>
          <cell r="E113" t="str">
            <v>0009</v>
          </cell>
          <cell r="F113" t="str">
            <v>0004</v>
          </cell>
          <cell r="G113" t="str">
            <v>10101</v>
          </cell>
          <cell r="H113" t="str">
            <v>付差旅费.电话费.办公费</v>
          </cell>
          <cell r="I113" t="b">
            <v>0</v>
          </cell>
          <cell r="J113">
            <v>8027.1</v>
          </cell>
          <cell r="K113">
            <v>0</v>
          </cell>
          <cell r="L113">
            <v>0</v>
          </cell>
        </row>
        <row r="114">
          <cell r="A114" t="str">
            <v>04</v>
          </cell>
          <cell r="B114" t="str">
            <v>20</v>
          </cell>
          <cell r="C114" t="str">
            <v>04</v>
          </cell>
          <cell r="D114" t="str">
            <v>2</v>
          </cell>
          <cell r="E114" t="str">
            <v>0010</v>
          </cell>
          <cell r="F114" t="str">
            <v>0003</v>
          </cell>
          <cell r="G114" t="str">
            <v>10101</v>
          </cell>
          <cell r="H114" t="str">
            <v>付招待费</v>
          </cell>
          <cell r="I114" t="b">
            <v>0</v>
          </cell>
          <cell r="J114">
            <v>11215.3</v>
          </cell>
          <cell r="K114">
            <v>0</v>
          </cell>
          <cell r="L114">
            <v>0</v>
          </cell>
        </row>
        <row r="115">
          <cell r="A115" t="str">
            <v>04</v>
          </cell>
          <cell r="B115" t="str">
            <v>20</v>
          </cell>
          <cell r="C115" t="str">
            <v>04</v>
          </cell>
          <cell r="D115" t="str">
            <v>2</v>
          </cell>
          <cell r="E115" t="str">
            <v>0011</v>
          </cell>
          <cell r="F115" t="str">
            <v>0004</v>
          </cell>
          <cell r="G115" t="str">
            <v>10101</v>
          </cell>
          <cell r="H115" t="str">
            <v>购材料</v>
          </cell>
          <cell r="I115" t="b">
            <v>0</v>
          </cell>
          <cell r="J115">
            <v>20414</v>
          </cell>
          <cell r="K115">
            <v>0</v>
          </cell>
          <cell r="L115">
            <v>0</v>
          </cell>
        </row>
        <row r="116">
          <cell r="A116" t="str">
            <v>04</v>
          </cell>
          <cell r="B116" t="str">
            <v>01</v>
          </cell>
          <cell r="C116" t="str">
            <v>04</v>
          </cell>
          <cell r="D116" t="str">
            <v>4</v>
          </cell>
          <cell r="E116" t="str">
            <v>0003</v>
          </cell>
          <cell r="F116" t="str">
            <v>0001</v>
          </cell>
          <cell r="G116" t="str">
            <v>10101</v>
          </cell>
          <cell r="H116" t="str">
            <v>支现金</v>
          </cell>
          <cell r="I116" t="b">
            <v>1</v>
          </cell>
          <cell r="J116">
            <v>950000</v>
          </cell>
          <cell r="K116">
            <v>0</v>
          </cell>
          <cell r="L116">
            <v>0</v>
          </cell>
        </row>
        <row r="117">
          <cell r="A117" t="str">
            <v>04</v>
          </cell>
          <cell r="B117" t="str">
            <v>10</v>
          </cell>
          <cell r="C117" t="str">
            <v>04</v>
          </cell>
          <cell r="D117" t="str">
            <v>4</v>
          </cell>
          <cell r="E117" t="str">
            <v>0009</v>
          </cell>
          <cell r="F117" t="str">
            <v>0001</v>
          </cell>
          <cell r="G117" t="str">
            <v>10101</v>
          </cell>
          <cell r="H117" t="str">
            <v>支现金</v>
          </cell>
          <cell r="I117" t="b">
            <v>1</v>
          </cell>
          <cell r="J117">
            <v>324000</v>
          </cell>
          <cell r="K117">
            <v>0</v>
          </cell>
          <cell r="L117">
            <v>0</v>
          </cell>
        </row>
        <row r="118">
          <cell r="A118" t="str">
            <v>04</v>
          </cell>
          <cell r="B118" t="str">
            <v>15</v>
          </cell>
          <cell r="C118" t="str">
            <v>04</v>
          </cell>
          <cell r="D118" t="str">
            <v>4</v>
          </cell>
          <cell r="E118" t="str">
            <v>0014</v>
          </cell>
          <cell r="F118" t="str">
            <v>0004</v>
          </cell>
          <cell r="G118" t="str">
            <v>10101</v>
          </cell>
          <cell r="H118" t="str">
            <v>支现金</v>
          </cell>
          <cell r="I118" t="b">
            <v>1</v>
          </cell>
          <cell r="J118">
            <v>230000</v>
          </cell>
          <cell r="K118">
            <v>0</v>
          </cell>
          <cell r="L118">
            <v>0</v>
          </cell>
        </row>
        <row r="119">
          <cell r="A119" t="str">
            <v>05</v>
          </cell>
          <cell r="B119" t="str">
            <v>08</v>
          </cell>
          <cell r="C119" t="str">
            <v>05</v>
          </cell>
          <cell r="D119" t="str">
            <v>1</v>
          </cell>
          <cell r="E119" t="str">
            <v>0001</v>
          </cell>
          <cell r="F119" t="str">
            <v>0001</v>
          </cell>
          <cell r="G119" t="str">
            <v>10101</v>
          </cell>
          <cell r="H119" t="str">
            <v>收借款</v>
          </cell>
          <cell r="I119" t="b">
            <v>1</v>
          </cell>
          <cell r="J119">
            <v>145092.15</v>
          </cell>
          <cell r="K119">
            <v>0</v>
          </cell>
          <cell r="L119">
            <v>0</v>
          </cell>
        </row>
        <row r="120">
          <cell r="A120" t="str">
            <v>05</v>
          </cell>
          <cell r="B120" t="str">
            <v>19</v>
          </cell>
          <cell r="C120" t="str">
            <v>05</v>
          </cell>
          <cell r="D120" t="str">
            <v>1</v>
          </cell>
          <cell r="E120" t="str">
            <v>0002</v>
          </cell>
          <cell r="F120" t="str">
            <v>0001</v>
          </cell>
          <cell r="G120" t="str">
            <v>10101</v>
          </cell>
          <cell r="H120" t="str">
            <v>收租金.罚款</v>
          </cell>
          <cell r="I120" t="b">
            <v>1</v>
          </cell>
          <cell r="J120">
            <v>900</v>
          </cell>
          <cell r="K120">
            <v>0</v>
          </cell>
          <cell r="L120">
            <v>0</v>
          </cell>
        </row>
        <row r="121">
          <cell r="A121" t="str">
            <v>05</v>
          </cell>
          <cell r="B121" t="str">
            <v>20</v>
          </cell>
          <cell r="C121" t="str">
            <v>05</v>
          </cell>
          <cell r="D121" t="str">
            <v>1</v>
          </cell>
          <cell r="E121" t="str">
            <v>0003</v>
          </cell>
          <cell r="F121" t="str">
            <v>0001</v>
          </cell>
          <cell r="G121" t="str">
            <v>10101</v>
          </cell>
          <cell r="H121" t="str">
            <v>销干果渣</v>
          </cell>
          <cell r="I121" t="b">
            <v>1</v>
          </cell>
          <cell r="J121">
            <v>20836.8</v>
          </cell>
          <cell r="K121">
            <v>0</v>
          </cell>
          <cell r="L121">
            <v>0</v>
          </cell>
        </row>
        <row r="122">
          <cell r="A122" t="str">
            <v>05</v>
          </cell>
          <cell r="B122" t="str">
            <v>08</v>
          </cell>
          <cell r="C122" t="str">
            <v>05</v>
          </cell>
          <cell r="D122" t="str">
            <v>2</v>
          </cell>
          <cell r="E122" t="str">
            <v>0001</v>
          </cell>
          <cell r="F122" t="str">
            <v>0005</v>
          </cell>
          <cell r="G122" t="str">
            <v>10101</v>
          </cell>
          <cell r="H122" t="str">
            <v>暂借款</v>
          </cell>
          <cell r="I122" t="b">
            <v>0</v>
          </cell>
          <cell r="J122">
            <v>78000</v>
          </cell>
          <cell r="K122">
            <v>0</v>
          </cell>
          <cell r="L122">
            <v>0</v>
          </cell>
        </row>
        <row r="123">
          <cell r="A123" t="str">
            <v>05</v>
          </cell>
          <cell r="B123" t="str">
            <v>08</v>
          </cell>
          <cell r="C123" t="str">
            <v>05</v>
          </cell>
          <cell r="D123" t="str">
            <v>2</v>
          </cell>
          <cell r="E123" t="str">
            <v>0002</v>
          </cell>
          <cell r="F123" t="str">
            <v>0003</v>
          </cell>
          <cell r="G123" t="str">
            <v>10101</v>
          </cell>
          <cell r="H123" t="str">
            <v>付印花税.采暖费.理发费</v>
          </cell>
          <cell r="I123" t="b">
            <v>0</v>
          </cell>
          <cell r="J123">
            <v>3684</v>
          </cell>
          <cell r="K123">
            <v>0</v>
          </cell>
          <cell r="L123">
            <v>0</v>
          </cell>
        </row>
        <row r="124">
          <cell r="A124" t="str">
            <v>05</v>
          </cell>
          <cell r="B124" t="str">
            <v>12</v>
          </cell>
          <cell r="C124" t="str">
            <v>05</v>
          </cell>
          <cell r="D124" t="str">
            <v>2</v>
          </cell>
          <cell r="E124" t="str">
            <v>0003</v>
          </cell>
          <cell r="F124" t="str">
            <v>0005</v>
          </cell>
          <cell r="G124" t="str">
            <v>10101</v>
          </cell>
          <cell r="H124" t="str">
            <v>暂借款</v>
          </cell>
          <cell r="I124" t="b">
            <v>0</v>
          </cell>
          <cell r="J124">
            <v>26183</v>
          </cell>
          <cell r="K124">
            <v>0</v>
          </cell>
          <cell r="L124">
            <v>0</v>
          </cell>
        </row>
        <row r="125">
          <cell r="A125" t="str">
            <v>05</v>
          </cell>
          <cell r="B125" t="str">
            <v>12</v>
          </cell>
          <cell r="C125" t="str">
            <v>05</v>
          </cell>
          <cell r="D125" t="str">
            <v>2</v>
          </cell>
          <cell r="E125" t="str">
            <v>0004</v>
          </cell>
          <cell r="F125" t="str">
            <v>0005</v>
          </cell>
          <cell r="G125" t="str">
            <v>10101</v>
          </cell>
          <cell r="H125" t="str">
            <v>付个人所得税.购填料.资产等</v>
          </cell>
          <cell r="I125" t="b">
            <v>0</v>
          </cell>
          <cell r="J125">
            <v>28979.11</v>
          </cell>
          <cell r="K125">
            <v>0</v>
          </cell>
          <cell r="L125">
            <v>0</v>
          </cell>
        </row>
        <row r="126">
          <cell r="A126" t="str">
            <v>05</v>
          </cell>
          <cell r="B126" t="str">
            <v>15</v>
          </cell>
          <cell r="C126" t="str">
            <v>05</v>
          </cell>
          <cell r="D126" t="str">
            <v>2</v>
          </cell>
          <cell r="E126" t="str">
            <v>0005</v>
          </cell>
          <cell r="F126" t="str">
            <v>0006</v>
          </cell>
          <cell r="G126" t="str">
            <v>10101</v>
          </cell>
          <cell r="H126" t="str">
            <v>付修车费.招待费</v>
          </cell>
          <cell r="I126" t="b">
            <v>0</v>
          </cell>
          <cell r="J126">
            <v>1397.8</v>
          </cell>
          <cell r="K126">
            <v>0</v>
          </cell>
          <cell r="L126">
            <v>0</v>
          </cell>
        </row>
        <row r="127">
          <cell r="A127" t="str">
            <v>05</v>
          </cell>
          <cell r="B127" t="str">
            <v>15</v>
          </cell>
          <cell r="C127" t="str">
            <v>05</v>
          </cell>
          <cell r="D127" t="str">
            <v>2</v>
          </cell>
          <cell r="E127" t="str">
            <v>0006</v>
          </cell>
          <cell r="F127" t="str">
            <v>0003</v>
          </cell>
          <cell r="G127" t="str">
            <v>10101</v>
          </cell>
          <cell r="H127" t="str">
            <v>付差旅费.招待费</v>
          </cell>
          <cell r="I127" t="b">
            <v>0</v>
          </cell>
          <cell r="J127">
            <v>6570.1</v>
          </cell>
          <cell r="K127">
            <v>0</v>
          </cell>
          <cell r="L127">
            <v>0</v>
          </cell>
        </row>
        <row r="128">
          <cell r="A128" t="str">
            <v>05</v>
          </cell>
          <cell r="B128" t="str">
            <v>18</v>
          </cell>
          <cell r="C128" t="str">
            <v>05</v>
          </cell>
          <cell r="D128" t="str">
            <v>2</v>
          </cell>
          <cell r="E128" t="str">
            <v>0007</v>
          </cell>
          <cell r="F128" t="str">
            <v>0003</v>
          </cell>
          <cell r="G128" t="str">
            <v>10101</v>
          </cell>
          <cell r="H128" t="str">
            <v>付邮寄费.招待费</v>
          </cell>
          <cell r="I128" t="b">
            <v>0</v>
          </cell>
          <cell r="J128">
            <v>7727</v>
          </cell>
          <cell r="K128">
            <v>0</v>
          </cell>
          <cell r="L128">
            <v>0</v>
          </cell>
        </row>
        <row r="129">
          <cell r="A129" t="str">
            <v>05</v>
          </cell>
          <cell r="B129" t="str">
            <v>18</v>
          </cell>
          <cell r="C129" t="str">
            <v>05</v>
          </cell>
          <cell r="D129" t="str">
            <v>2</v>
          </cell>
          <cell r="E129" t="str">
            <v>0008</v>
          </cell>
          <cell r="F129" t="str">
            <v>0003</v>
          </cell>
          <cell r="G129" t="str">
            <v>10101</v>
          </cell>
          <cell r="H129" t="str">
            <v>付差旅费.招待费</v>
          </cell>
          <cell r="I129" t="b">
            <v>0</v>
          </cell>
          <cell r="J129">
            <v>2719</v>
          </cell>
          <cell r="K129">
            <v>0</v>
          </cell>
          <cell r="L129">
            <v>0</v>
          </cell>
        </row>
        <row r="130">
          <cell r="A130" t="str">
            <v>05</v>
          </cell>
          <cell r="B130" t="str">
            <v>18</v>
          </cell>
          <cell r="C130" t="str">
            <v>05</v>
          </cell>
          <cell r="D130" t="str">
            <v>2</v>
          </cell>
          <cell r="E130" t="str">
            <v>0009</v>
          </cell>
          <cell r="F130" t="str">
            <v>0002</v>
          </cell>
          <cell r="G130" t="str">
            <v>10101</v>
          </cell>
          <cell r="H130" t="str">
            <v>付差旅费</v>
          </cell>
          <cell r="I130" t="b">
            <v>0</v>
          </cell>
          <cell r="J130">
            <v>5284.7</v>
          </cell>
          <cell r="K130">
            <v>0</v>
          </cell>
          <cell r="L130">
            <v>0</v>
          </cell>
        </row>
        <row r="131">
          <cell r="A131" t="str">
            <v>05</v>
          </cell>
          <cell r="B131" t="str">
            <v>18</v>
          </cell>
          <cell r="C131" t="str">
            <v>05</v>
          </cell>
          <cell r="D131" t="str">
            <v>2</v>
          </cell>
          <cell r="E131" t="str">
            <v>0010</v>
          </cell>
          <cell r="F131" t="str">
            <v>0004</v>
          </cell>
          <cell r="G131" t="str">
            <v>10101</v>
          </cell>
          <cell r="H131" t="str">
            <v>付差旅费</v>
          </cell>
          <cell r="I131" t="b">
            <v>0</v>
          </cell>
          <cell r="J131">
            <v>4333.7</v>
          </cell>
          <cell r="K131">
            <v>0</v>
          </cell>
          <cell r="L131">
            <v>0</v>
          </cell>
        </row>
        <row r="132">
          <cell r="A132" t="str">
            <v>05</v>
          </cell>
          <cell r="B132" t="str">
            <v>19</v>
          </cell>
          <cell r="C132" t="str">
            <v>05</v>
          </cell>
          <cell r="D132" t="str">
            <v>2</v>
          </cell>
          <cell r="E132" t="str">
            <v>0011</v>
          </cell>
          <cell r="F132" t="str">
            <v>0003</v>
          </cell>
          <cell r="G132" t="str">
            <v>10101</v>
          </cell>
          <cell r="H132" t="str">
            <v>付邮寄费.招待费</v>
          </cell>
          <cell r="I132" t="b">
            <v>0</v>
          </cell>
          <cell r="J132">
            <v>1271</v>
          </cell>
          <cell r="K132">
            <v>0</v>
          </cell>
          <cell r="L132">
            <v>0</v>
          </cell>
        </row>
        <row r="133">
          <cell r="A133" t="str">
            <v>05</v>
          </cell>
          <cell r="B133" t="str">
            <v>20</v>
          </cell>
          <cell r="C133" t="str">
            <v>05</v>
          </cell>
          <cell r="D133" t="str">
            <v>2</v>
          </cell>
          <cell r="E133" t="str">
            <v>0012</v>
          </cell>
          <cell r="F133" t="str">
            <v>0003</v>
          </cell>
          <cell r="G133" t="str">
            <v>10101</v>
          </cell>
          <cell r="H133" t="str">
            <v>付电话费</v>
          </cell>
          <cell r="I133" t="b">
            <v>0</v>
          </cell>
          <cell r="J133">
            <v>32614</v>
          </cell>
          <cell r="K133">
            <v>0</v>
          </cell>
          <cell r="L133">
            <v>0</v>
          </cell>
        </row>
        <row r="134">
          <cell r="A134" t="str">
            <v>05</v>
          </cell>
          <cell r="B134" t="str">
            <v>20</v>
          </cell>
          <cell r="C134" t="str">
            <v>05</v>
          </cell>
          <cell r="D134" t="str">
            <v>2</v>
          </cell>
          <cell r="E134" t="str">
            <v>0013</v>
          </cell>
          <cell r="F134" t="str">
            <v>0005</v>
          </cell>
          <cell r="G134" t="str">
            <v>10101</v>
          </cell>
          <cell r="H134" t="str">
            <v>付商检费</v>
          </cell>
          <cell r="I134" t="b">
            <v>0</v>
          </cell>
          <cell r="J134">
            <v>26495</v>
          </cell>
          <cell r="K134">
            <v>0</v>
          </cell>
          <cell r="L134">
            <v>0</v>
          </cell>
        </row>
        <row r="135">
          <cell r="A135" t="str">
            <v>05</v>
          </cell>
          <cell r="B135" t="str">
            <v>20</v>
          </cell>
          <cell r="C135" t="str">
            <v>05</v>
          </cell>
          <cell r="D135" t="str">
            <v>2</v>
          </cell>
          <cell r="E135" t="str">
            <v>0014</v>
          </cell>
          <cell r="F135" t="str">
            <v>0005</v>
          </cell>
          <cell r="G135" t="str">
            <v>10101</v>
          </cell>
          <cell r="H135" t="str">
            <v>付差旅费.招待费</v>
          </cell>
          <cell r="I135" t="b">
            <v>0</v>
          </cell>
          <cell r="J135">
            <v>1917</v>
          </cell>
          <cell r="K135">
            <v>0</v>
          </cell>
          <cell r="L135">
            <v>0</v>
          </cell>
        </row>
        <row r="136">
          <cell r="A136" t="str">
            <v>05</v>
          </cell>
          <cell r="B136" t="str">
            <v>20</v>
          </cell>
          <cell r="C136" t="str">
            <v>05</v>
          </cell>
          <cell r="D136" t="str">
            <v>2</v>
          </cell>
          <cell r="E136" t="str">
            <v>0015</v>
          </cell>
          <cell r="F136" t="str">
            <v>0002</v>
          </cell>
          <cell r="G136" t="str">
            <v>10101</v>
          </cell>
          <cell r="H136" t="str">
            <v>付临时工工资</v>
          </cell>
          <cell r="I136" t="b">
            <v>0</v>
          </cell>
          <cell r="J136">
            <v>36478.35</v>
          </cell>
          <cell r="K136">
            <v>0</v>
          </cell>
          <cell r="L136">
            <v>0</v>
          </cell>
        </row>
        <row r="137">
          <cell r="A137" t="str">
            <v>05</v>
          </cell>
          <cell r="B137" t="str">
            <v>21</v>
          </cell>
          <cell r="C137" t="str">
            <v>05</v>
          </cell>
          <cell r="D137" t="str">
            <v>2</v>
          </cell>
          <cell r="E137" t="str">
            <v>0016</v>
          </cell>
          <cell r="F137" t="str">
            <v>0004</v>
          </cell>
          <cell r="G137" t="str">
            <v>10101</v>
          </cell>
          <cell r="H137" t="str">
            <v>购材料</v>
          </cell>
          <cell r="I137" t="b">
            <v>0</v>
          </cell>
          <cell r="J137">
            <v>9560.0300000000007</v>
          </cell>
          <cell r="K137">
            <v>0</v>
          </cell>
          <cell r="L137">
            <v>0</v>
          </cell>
        </row>
        <row r="138">
          <cell r="A138" t="str">
            <v>05</v>
          </cell>
          <cell r="B138" t="str">
            <v>24</v>
          </cell>
          <cell r="C138" t="str">
            <v>05</v>
          </cell>
          <cell r="D138" t="str">
            <v>2</v>
          </cell>
          <cell r="E138" t="str">
            <v>0017</v>
          </cell>
          <cell r="F138" t="str">
            <v>0005</v>
          </cell>
          <cell r="G138" t="str">
            <v>10101</v>
          </cell>
          <cell r="H138" t="str">
            <v>付差旅费.招待费</v>
          </cell>
          <cell r="I138" t="b">
            <v>0</v>
          </cell>
          <cell r="J138">
            <v>14948</v>
          </cell>
          <cell r="K138">
            <v>0</v>
          </cell>
          <cell r="L138">
            <v>0</v>
          </cell>
        </row>
        <row r="139">
          <cell r="A139" t="str">
            <v>05</v>
          </cell>
          <cell r="B139" t="str">
            <v>24</v>
          </cell>
          <cell r="C139" t="str">
            <v>05</v>
          </cell>
          <cell r="D139" t="str">
            <v>2</v>
          </cell>
          <cell r="E139" t="str">
            <v>0018</v>
          </cell>
          <cell r="F139" t="str">
            <v>0005</v>
          </cell>
          <cell r="G139" t="str">
            <v>10101</v>
          </cell>
          <cell r="H139" t="str">
            <v>付办公费.招待费</v>
          </cell>
          <cell r="I139" t="b">
            <v>0</v>
          </cell>
          <cell r="J139">
            <v>12651</v>
          </cell>
          <cell r="K139">
            <v>0</v>
          </cell>
          <cell r="L139">
            <v>0</v>
          </cell>
        </row>
        <row r="140">
          <cell r="A140" t="str">
            <v>05</v>
          </cell>
          <cell r="B140" t="str">
            <v>24</v>
          </cell>
          <cell r="C140" t="str">
            <v>05</v>
          </cell>
          <cell r="D140" t="str">
            <v>2</v>
          </cell>
          <cell r="E140" t="str">
            <v>0019</v>
          </cell>
          <cell r="F140" t="str">
            <v>0002</v>
          </cell>
          <cell r="G140" t="str">
            <v>10101</v>
          </cell>
          <cell r="H140" t="str">
            <v>补发工人奖金</v>
          </cell>
          <cell r="I140" t="b">
            <v>0</v>
          </cell>
          <cell r="J140">
            <v>80959.100000000006</v>
          </cell>
          <cell r="K140">
            <v>0</v>
          </cell>
          <cell r="L140">
            <v>0</v>
          </cell>
        </row>
        <row r="141">
          <cell r="A141" t="str">
            <v>05</v>
          </cell>
          <cell r="B141" t="str">
            <v>01</v>
          </cell>
          <cell r="C141" t="str">
            <v>05</v>
          </cell>
          <cell r="D141" t="str">
            <v>4</v>
          </cell>
          <cell r="E141" t="str">
            <v>0001</v>
          </cell>
          <cell r="F141" t="str">
            <v>0001</v>
          </cell>
          <cell r="G141" t="str">
            <v>10101</v>
          </cell>
          <cell r="H141" t="str">
            <v>支现金</v>
          </cell>
          <cell r="I141" t="b">
            <v>1</v>
          </cell>
          <cell r="J141">
            <v>139000</v>
          </cell>
          <cell r="K141">
            <v>0</v>
          </cell>
          <cell r="L141">
            <v>0</v>
          </cell>
        </row>
        <row r="142">
          <cell r="A142" t="str">
            <v>05</v>
          </cell>
          <cell r="B142" t="str">
            <v>23</v>
          </cell>
          <cell r="C142" t="str">
            <v>05</v>
          </cell>
          <cell r="D142" t="str">
            <v>4</v>
          </cell>
          <cell r="E142" t="str">
            <v>0024</v>
          </cell>
          <cell r="F142" t="str">
            <v>0001</v>
          </cell>
          <cell r="G142" t="str">
            <v>10101</v>
          </cell>
          <cell r="H142" t="str">
            <v>支现金</v>
          </cell>
          <cell r="I142" t="b">
            <v>1</v>
          </cell>
          <cell r="J142">
            <v>70000</v>
          </cell>
          <cell r="K142">
            <v>0</v>
          </cell>
          <cell r="L142">
            <v>0</v>
          </cell>
        </row>
        <row r="143">
          <cell r="A143" t="str">
            <v>05</v>
          </cell>
          <cell r="B143" t="str">
            <v>24</v>
          </cell>
          <cell r="C143" t="str">
            <v>05</v>
          </cell>
          <cell r="D143" t="str">
            <v>4</v>
          </cell>
          <cell r="E143" t="str">
            <v>0026</v>
          </cell>
          <cell r="F143" t="str">
            <v>0003</v>
          </cell>
          <cell r="G143" t="str">
            <v>10101</v>
          </cell>
          <cell r="H143" t="str">
            <v>支现金</v>
          </cell>
          <cell r="I143" t="b">
            <v>1</v>
          </cell>
          <cell r="J143">
            <v>1000</v>
          </cell>
          <cell r="K143">
            <v>0</v>
          </cell>
          <cell r="L143">
            <v>0</v>
          </cell>
        </row>
        <row r="144">
          <cell r="A144" t="str">
            <v>06</v>
          </cell>
          <cell r="B144" t="str">
            <v>01</v>
          </cell>
          <cell r="C144" t="str">
            <v>06</v>
          </cell>
          <cell r="D144" t="str">
            <v>1</v>
          </cell>
          <cell r="E144" t="str">
            <v>0001</v>
          </cell>
          <cell r="F144" t="str">
            <v>0001</v>
          </cell>
          <cell r="G144" t="str">
            <v>10101</v>
          </cell>
          <cell r="H144" t="str">
            <v>收理发室月租费.水电费</v>
          </cell>
          <cell r="I144" t="b">
            <v>1</v>
          </cell>
          <cell r="J144">
            <v>17003.5</v>
          </cell>
          <cell r="K144">
            <v>0</v>
          </cell>
          <cell r="L144">
            <v>0</v>
          </cell>
        </row>
        <row r="145">
          <cell r="A145" t="str">
            <v>06</v>
          </cell>
          <cell r="B145" t="str">
            <v>05</v>
          </cell>
          <cell r="C145" t="str">
            <v>06</v>
          </cell>
          <cell r="D145" t="str">
            <v>1</v>
          </cell>
          <cell r="E145" t="str">
            <v>0002</v>
          </cell>
          <cell r="F145" t="str">
            <v>0001</v>
          </cell>
          <cell r="G145" t="str">
            <v>10101</v>
          </cell>
          <cell r="H145" t="str">
            <v>收借款</v>
          </cell>
          <cell r="I145" t="b">
            <v>1</v>
          </cell>
          <cell r="J145">
            <v>313685</v>
          </cell>
          <cell r="K145">
            <v>0</v>
          </cell>
          <cell r="L145">
            <v>0</v>
          </cell>
        </row>
        <row r="146">
          <cell r="A146" t="str">
            <v>06</v>
          </cell>
          <cell r="B146" t="str">
            <v>05</v>
          </cell>
          <cell r="C146" t="str">
            <v>06</v>
          </cell>
          <cell r="D146" t="str">
            <v>1</v>
          </cell>
          <cell r="E146" t="str">
            <v>0003</v>
          </cell>
          <cell r="F146" t="str">
            <v>0001</v>
          </cell>
          <cell r="G146" t="str">
            <v>10101</v>
          </cell>
          <cell r="H146" t="str">
            <v>收借款</v>
          </cell>
          <cell r="I146" t="b">
            <v>1</v>
          </cell>
          <cell r="J146">
            <v>366944.2</v>
          </cell>
          <cell r="K146">
            <v>0</v>
          </cell>
          <cell r="L146">
            <v>0</v>
          </cell>
        </row>
        <row r="147">
          <cell r="A147" t="str">
            <v>06</v>
          </cell>
          <cell r="B147" t="str">
            <v>01</v>
          </cell>
          <cell r="C147" t="str">
            <v>06</v>
          </cell>
          <cell r="D147" t="str">
            <v>2</v>
          </cell>
          <cell r="E147" t="str">
            <v>0001</v>
          </cell>
          <cell r="F147" t="str">
            <v>0002</v>
          </cell>
          <cell r="G147" t="str">
            <v>10101</v>
          </cell>
          <cell r="H147" t="str">
            <v>存现金</v>
          </cell>
          <cell r="I147" t="b">
            <v>0</v>
          </cell>
          <cell r="J147">
            <v>770</v>
          </cell>
          <cell r="K147">
            <v>0</v>
          </cell>
          <cell r="L147">
            <v>0</v>
          </cell>
        </row>
        <row r="148">
          <cell r="A148" t="str">
            <v>06</v>
          </cell>
          <cell r="B148" t="str">
            <v>01</v>
          </cell>
          <cell r="C148" t="str">
            <v>06</v>
          </cell>
          <cell r="D148" t="str">
            <v>2</v>
          </cell>
          <cell r="E148" t="str">
            <v>0001</v>
          </cell>
          <cell r="F148" t="str">
            <v>0005</v>
          </cell>
          <cell r="G148" t="str">
            <v>10101</v>
          </cell>
          <cell r="H148" t="str">
            <v>购手机.疏通机</v>
          </cell>
          <cell r="I148" t="b">
            <v>0</v>
          </cell>
          <cell r="J148">
            <v>3438</v>
          </cell>
          <cell r="K148">
            <v>0</v>
          </cell>
          <cell r="L148">
            <v>0</v>
          </cell>
        </row>
        <row r="149">
          <cell r="A149" t="str">
            <v>06</v>
          </cell>
          <cell r="B149" t="str">
            <v>01</v>
          </cell>
          <cell r="C149" t="str">
            <v>06</v>
          </cell>
          <cell r="D149" t="str">
            <v>2</v>
          </cell>
          <cell r="E149" t="str">
            <v>0002</v>
          </cell>
          <cell r="F149" t="str">
            <v>0003</v>
          </cell>
          <cell r="G149" t="str">
            <v>10101</v>
          </cell>
          <cell r="H149" t="str">
            <v>退风险金.付理发费</v>
          </cell>
          <cell r="I149" t="b">
            <v>0</v>
          </cell>
          <cell r="J149">
            <v>4397</v>
          </cell>
          <cell r="K149">
            <v>0</v>
          </cell>
          <cell r="L149">
            <v>0</v>
          </cell>
        </row>
        <row r="150">
          <cell r="A150" t="str">
            <v>06</v>
          </cell>
          <cell r="B150" t="str">
            <v>05</v>
          </cell>
          <cell r="C150" t="str">
            <v>06</v>
          </cell>
          <cell r="D150" t="str">
            <v>2</v>
          </cell>
          <cell r="E150" t="str">
            <v>0003</v>
          </cell>
          <cell r="F150" t="str">
            <v>0003</v>
          </cell>
          <cell r="G150" t="str">
            <v>10101</v>
          </cell>
          <cell r="H150" t="str">
            <v>付商检费</v>
          </cell>
          <cell r="I150" t="b">
            <v>0</v>
          </cell>
          <cell r="J150">
            <v>67868</v>
          </cell>
          <cell r="K150">
            <v>0</v>
          </cell>
          <cell r="L150">
            <v>0</v>
          </cell>
        </row>
        <row r="151">
          <cell r="A151" t="str">
            <v>06</v>
          </cell>
          <cell r="B151" t="str">
            <v>05</v>
          </cell>
          <cell r="C151" t="str">
            <v>06</v>
          </cell>
          <cell r="D151" t="str">
            <v>2</v>
          </cell>
          <cell r="E151" t="str">
            <v>0004</v>
          </cell>
          <cell r="F151" t="str">
            <v>0005</v>
          </cell>
          <cell r="G151" t="str">
            <v>10101</v>
          </cell>
          <cell r="H151" t="str">
            <v>付招待费.修车费</v>
          </cell>
          <cell r="I151" t="b">
            <v>0</v>
          </cell>
          <cell r="J151">
            <v>1888</v>
          </cell>
          <cell r="K151">
            <v>0</v>
          </cell>
          <cell r="L151">
            <v>0</v>
          </cell>
        </row>
        <row r="152">
          <cell r="A152" t="str">
            <v>06</v>
          </cell>
          <cell r="B152" t="str">
            <v>05</v>
          </cell>
          <cell r="C152" t="str">
            <v>06</v>
          </cell>
          <cell r="D152" t="str">
            <v>2</v>
          </cell>
          <cell r="E152" t="str">
            <v>0005</v>
          </cell>
          <cell r="F152" t="str">
            <v>0005</v>
          </cell>
          <cell r="G152" t="str">
            <v>10101</v>
          </cell>
          <cell r="H152" t="str">
            <v>付差旅费.招待费.电话费</v>
          </cell>
          <cell r="I152" t="b">
            <v>0</v>
          </cell>
          <cell r="J152">
            <v>25477.4</v>
          </cell>
          <cell r="K152">
            <v>0</v>
          </cell>
          <cell r="L152">
            <v>0</v>
          </cell>
        </row>
        <row r="153">
          <cell r="A153" t="str">
            <v>06</v>
          </cell>
          <cell r="B153" t="str">
            <v>08</v>
          </cell>
          <cell r="C153" t="str">
            <v>06</v>
          </cell>
          <cell r="D153" t="str">
            <v>2</v>
          </cell>
          <cell r="E153" t="str">
            <v>0006</v>
          </cell>
          <cell r="F153" t="str">
            <v>0003</v>
          </cell>
          <cell r="G153" t="str">
            <v>10101</v>
          </cell>
          <cell r="H153" t="str">
            <v>付差旅费</v>
          </cell>
          <cell r="I153" t="b">
            <v>0</v>
          </cell>
          <cell r="J153">
            <v>3966.5</v>
          </cell>
          <cell r="K153">
            <v>0</v>
          </cell>
          <cell r="L153">
            <v>0</v>
          </cell>
        </row>
        <row r="154">
          <cell r="A154" t="str">
            <v>06</v>
          </cell>
          <cell r="B154" t="str">
            <v>08</v>
          </cell>
          <cell r="C154" t="str">
            <v>06</v>
          </cell>
          <cell r="D154" t="str">
            <v>2</v>
          </cell>
          <cell r="E154" t="str">
            <v>0007</v>
          </cell>
          <cell r="F154" t="str">
            <v>0004</v>
          </cell>
          <cell r="G154" t="str">
            <v>10101</v>
          </cell>
          <cell r="H154" t="str">
            <v>暂借款</v>
          </cell>
          <cell r="I154" t="b">
            <v>0</v>
          </cell>
          <cell r="J154">
            <v>280000</v>
          </cell>
          <cell r="K154">
            <v>0</v>
          </cell>
          <cell r="L154">
            <v>0</v>
          </cell>
        </row>
        <row r="155">
          <cell r="A155" t="str">
            <v>06</v>
          </cell>
          <cell r="B155" t="str">
            <v>08</v>
          </cell>
          <cell r="C155" t="str">
            <v>06</v>
          </cell>
          <cell r="D155" t="str">
            <v>2</v>
          </cell>
          <cell r="E155" t="str">
            <v>0008</v>
          </cell>
          <cell r="F155" t="str">
            <v>0004</v>
          </cell>
          <cell r="G155" t="str">
            <v>10101</v>
          </cell>
          <cell r="H155" t="str">
            <v>付差旅费</v>
          </cell>
          <cell r="I155" t="b">
            <v>0</v>
          </cell>
          <cell r="J155">
            <v>3778.21</v>
          </cell>
          <cell r="K155">
            <v>0</v>
          </cell>
          <cell r="L155">
            <v>0</v>
          </cell>
        </row>
        <row r="156">
          <cell r="A156" t="str">
            <v>06</v>
          </cell>
          <cell r="B156" t="str">
            <v>10</v>
          </cell>
          <cell r="C156" t="str">
            <v>06</v>
          </cell>
          <cell r="D156" t="str">
            <v>2</v>
          </cell>
          <cell r="E156" t="str">
            <v>0009</v>
          </cell>
          <cell r="F156" t="str">
            <v>0004</v>
          </cell>
          <cell r="G156" t="str">
            <v>10101</v>
          </cell>
          <cell r="H156" t="str">
            <v>购材料</v>
          </cell>
          <cell r="I156" t="b">
            <v>0</v>
          </cell>
          <cell r="J156">
            <v>4035.6</v>
          </cell>
          <cell r="K156">
            <v>0</v>
          </cell>
          <cell r="L156">
            <v>0</v>
          </cell>
        </row>
        <row r="157">
          <cell r="A157" t="str">
            <v>06</v>
          </cell>
          <cell r="B157" t="str">
            <v>12</v>
          </cell>
          <cell r="C157" t="str">
            <v>06</v>
          </cell>
          <cell r="D157" t="str">
            <v>2</v>
          </cell>
          <cell r="E157" t="str">
            <v>0010</v>
          </cell>
          <cell r="F157" t="str">
            <v>0002</v>
          </cell>
          <cell r="G157" t="str">
            <v>10101</v>
          </cell>
          <cell r="H157" t="str">
            <v>付差旅费</v>
          </cell>
          <cell r="I157" t="b">
            <v>0</v>
          </cell>
          <cell r="J157">
            <v>4392</v>
          </cell>
          <cell r="K157">
            <v>0</v>
          </cell>
          <cell r="L157">
            <v>0</v>
          </cell>
        </row>
        <row r="158">
          <cell r="A158" t="str">
            <v>06</v>
          </cell>
          <cell r="B158" t="str">
            <v>14</v>
          </cell>
          <cell r="C158" t="str">
            <v>06</v>
          </cell>
          <cell r="D158" t="str">
            <v>2</v>
          </cell>
          <cell r="E158" t="str">
            <v>0011</v>
          </cell>
          <cell r="F158" t="str">
            <v>0008</v>
          </cell>
          <cell r="G158" t="str">
            <v>10101</v>
          </cell>
          <cell r="H158" t="str">
            <v>暂借款</v>
          </cell>
          <cell r="I158" t="b">
            <v>0</v>
          </cell>
          <cell r="J158">
            <v>58000</v>
          </cell>
          <cell r="K158">
            <v>0</v>
          </cell>
          <cell r="L158">
            <v>0</v>
          </cell>
        </row>
        <row r="159">
          <cell r="A159" t="str">
            <v>06</v>
          </cell>
          <cell r="B159" t="str">
            <v>14</v>
          </cell>
          <cell r="C159" t="str">
            <v>06</v>
          </cell>
          <cell r="D159" t="str">
            <v>2</v>
          </cell>
          <cell r="E159" t="str">
            <v>0012</v>
          </cell>
          <cell r="F159" t="str">
            <v>0005</v>
          </cell>
          <cell r="G159" t="str">
            <v>10101</v>
          </cell>
          <cell r="H159" t="str">
            <v>付快递费.差旅费.招待费</v>
          </cell>
          <cell r="I159" t="b">
            <v>0</v>
          </cell>
          <cell r="J159">
            <v>5105.8</v>
          </cell>
          <cell r="K159">
            <v>0</v>
          </cell>
          <cell r="L159">
            <v>0</v>
          </cell>
        </row>
        <row r="160">
          <cell r="A160" t="str">
            <v>06</v>
          </cell>
          <cell r="B160" t="str">
            <v>15</v>
          </cell>
          <cell r="C160" t="str">
            <v>06</v>
          </cell>
          <cell r="D160" t="str">
            <v>2</v>
          </cell>
          <cell r="E160" t="str">
            <v>0013</v>
          </cell>
          <cell r="F160" t="str">
            <v>0005</v>
          </cell>
          <cell r="G160" t="str">
            <v>10101</v>
          </cell>
          <cell r="H160" t="str">
            <v>存现金</v>
          </cell>
          <cell r="I160" t="b">
            <v>0</v>
          </cell>
          <cell r="J160">
            <v>233320.25</v>
          </cell>
          <cell r="K160">
            <v>0</v>
          </cell>
          <cell r="L160">
            <v>0</v>
          </cell>
        </row>
        <row r="161">
          <cell r="A161" t="str">
            <v>07</v>
          </cell>
          <cell r="B161" t="str">
            <v>01</v>
          </cell>
          <cell r="C161" t="str">
            <v>07</v>
          </cell>
          <cell r="D161" t="str">
            <v>1</v>
          </cell>
          <cell r="E161" t="str">
            <v>0001</v>
          </cell>
          <cell r="F161" t="str">
            <v>0001</v>
          </cell>
          <cell r="G161" t="str">
            <v>10101</v>
          </cell>
          <cell r="H161" t="str">
            <v>收存款</v>
          </cell>
          <cell r="I161" t="b">
            <v>1</v>
          </cell>
          <cell r="J161">
            <v>47506.6</v>
          </cell>
          <cell r="K161">
            <v>0</v>
          </cell>
          <cell r="L161">
            <v>0</v>
          </cell>
        </row>
        <row r="162">
          <cell r="A162" t="str">
            <v>07</v>
          </cell>
          <cell r="B162" t="str">
            <v>03</v>
          </cell>
          <cell r="C162" t="str">
            <v>07</v>
          </cell>
          <cell r="D162" t="str">
            <v>1</v>
          </cell>
          <cell r="E162" t="str">
            <v>0002</v>
          </cell>
          <cell r="F162" t="str">
            <v>0001</v>
          </cell>
          <cell r="G162" t="str">
            <v>10101</v>
          </cell>
          <cell r="H162" t="str">
            <v>销苹果浓汁</v>
          </cell>
          <cell r="I162" t="b">
            <v>1</v>
          </cell>
          <cell r="J162">
            <v>4970</v>
          </cell>
          <cell r="K162">
            <v>0</v>
          </cell>
          <cell r="L162">
            <v>0</v>
          </cell>
        </row>
        <row r="163">
          <cell r="A163" t="str">
            <v>07</v>
          </cell>
          <cell r="B163" t="str">
            <v>03</v>
          </cell>
          <cell r="C163" t="str">
            <v>07</v>
          </cell>
          <cell r="D163" t="str">
            <v>1</v>
          </cell>
          <cell r="E163" t="str">
            <v>0003</v>
          </cell>
          <cell r="F163" t="str">
            <v>0001</v>
          </cell>
          <cell r="G163" t="str">
            <v>10101</v>
          </cell>
          <cell r="H163" t="str">
            <v>收回借款</v>
          </cell>
          <cell r="I163" t="b">
            <v>1</v>
          </cell>
          <cell r="J163">
            <v>3843.3</v>
          </cell>
          <cell r="K163">
            <v>0</v>
          </cell>
          <cell r="L163">
            <v>0</v>
          </cell>
        </row>
        <row r="164">
          <cell r="A164" t="str">
            <v>07</v>
          </cell>
          <cell r="B164" t="str">
            <v>05</v>
          </cell>
          <cell r="C164" t="str">
            <v>07</v>
          </cell>
          <cell r="D164" t="str">
            <v>1</v>
          </cell>
          <cell r="E164" t="str">
            <v>0004</v>
          </cell>
          <cell r="F164" t="str">
            <v>0001</v>
          </cell>
          <cell r="G164" t="str">
            <v>10101</v>
          </cell>
          <cell r="H164" t="str">
            <v>收借款</v>
          </cell>
          <cell r="I164" t="b">
            <v>1</v>
          </cell>
          <cell r="J164">
            <v>202234</v>
          </cell>
          <cell r="K164">
            <v>0</v>
          </cell>
          <cell r="L164">
            <v>0</v>
          </cell>
        </row>
        <row r="165">
          <cell r="A165" t="str">
            <v>07</v>
          </cell>
          <cell r="B165" t="str">
            <v>10</v>
          </cell>
          <cell r="C165" t="str">
            <v>07</v>
          </cell>
          <cell r="D165" t="str">
            <v>1</v>
          </cell>
          <cell r="E165" t="str">
            <v>0005</v>
          </cell>
          <cell r="F165" t="str">
            <v>0001</v>
          </cell>
          <cell r="G165" t="str">
            <v>10101</v>
          </cell>
          <cell r="H165" t="str">
            <v>收借款</v>
          </cell>
          <cell r="I165" t="b">
            <v>1</v>
          </cell>
          <cell r="J165">
            <v>135129.20000000001</v>
          </cell>
          <cell r="K165">
            <v>0</v>
          </cell>
          <cell r="L165">
            <v>0</v>
          </cell>
        </row>
        <row r="166">
          <cell r="A166" t="str">
            <v>07</v>
          </cell>
          <cell r="B166" t="str">
            <v>15</v>
          </cell>
          <cell r="C166" t="str">
            <v>07</v>
          </cell>
          <cell r="D166" t="str">
            <v>1</v>
          </cell>
          <cell r="E166" t="str">
            <v>0006</v>
          </cell>
          <cell r="F166" t="str">
            <v>0001</v>
          </cell>
          <cell r="G166" t="str">
            <v>10101</v>
          </cell>
          <cell r="H166" t="str">
            <v>收借款</v>
          </cell>
          <cell r="I166" t="b">
            <v>1</v>
          </cell>
          <cell r="J166">
            <v>282454</v>
          </cell>
          <cell r="K166">
            <v>0</v>
          </cell>
          <cell r="L166">
            <v>0</v>
          </cell>
        </row>
        <row r="167">
          <cell r="A167" t="str">
            <v>07</v>
          </cell>
          <cell r="B167" t="str">
            <v>18</v>
          </cell>
          <cell r="C167" t="str">
            <v>07</v>
          </cell>
          <cell r="D167" t="str">
            <v>1</v>
          </cell>
          <cell r="E167" t="str">
            <v>0007</v>
          </cell>
          <cell r="F167" t="str">
            <v>0001</v>
          </cell>
          <cell r="G167" t="str">
            <v>10101</v>
          </cell>
          <cell r="H167" t="str">
            <v>收存款</v>
          </cell>
          <cell r="I167" t="b">
            <v>1</v>
          </cell>
          <cell r="J167">
            <v>89183.9</v>
          </cell>
          <cell r="K167">
            <v>0</v>
          </cell>
          <cell r="L167">
            <v>0</v>
          </cell>
        </row>
        <row r="168">
          <cell r="A168" t="str">
            <v>07</v>
          </cell>
          <cell r="B168" t="str">
            <v>20</v>
          </cell>
          <cell r="C168" t="str">
            <v>07</v>
          </cell>
          <cell r="D168" t="str">
            <v>1</v>
          </cell>
          <cell r="E168" t="str">
            <v>0008</v>
          </cell>
          <cell r="F168" t="str">
            <v>0001</v>
          </cell>
          <cell r="G168" t="str">
            <v>10101</v>
          </cell>
          <cell r="H168" t="str">
            <v>收存款利息</v>
          </cell>
          <cell r="I168" t="b">
            <v>1</v>
          </cell>
          <cell r="J168">
            <v>114.4</v>
          </cell>
          <cell r="K168">
            <v>0</v>
          </cell>
          <cell r="L168">
            <v>0</v>
          </cell>
        </row>
        <row r="169">
          <cell r="A169" t="str">
            <v>07</v>
          </cell>
          <cell r="B169" t="str">
            <v>24</v>
          </cell>
          <cell r="C169" t="str">
            <v>07</v>
          </cell>
          <cell r="D169" t="str">
            <v>1</v>
          </cell>
          <cell r="E169" t="str">
            <v>0010</v>
          </cell>
          <cell r="F169" t="str">
            <v>0001</v>
          </cell>
          <cell r="G169" t="str">
            <v>10101</v>
          </cell>
          <cell r="H169" t="str">
            <v>销山楂浓汁</v>
          </cell>
          <cell r="I169" t="b">
            <v>1</v>
          </cell>
          <cell r="J169">
            <v>33411</v>
          </cell>
          <cell r="K169">
            <v>0</v>
          </cell>
          <cell r="L169">
            <v>0</v>
          </cell>
        </row>
        <row r="170">
          <cell r="A170" t="str">
            <v>07</v>
          </cell>
          <cell r="B170" t="str">
            <v>03</v>
          </cell>
          <cell r="C170" t="str">
            <v>07</v>
          </cell>
          <cell r="D170" t="str">
            <v>2</v>
          </cell>
          <cell r="E170" t="str">
            <v>0001</v>
          </cell>
          <cell r="F170" t="str">
            <v>0004</v>
          </cell>
          <cell r="G170" t="str">
            <v>10101</v>
          </cell>
          <cell r="H170" t="str">
            <v>付职工风险金.内部存款利息</v>
          </cell>
          <cell r="I170" t="b">
            <v>0</v>
          </cell>
          <cell r="J170">
            <v>50737.9</v>
          </cell>
          <cell r="K170">
            <v>0</v>
          </cell>
          <cell r="L170">
            <v>0</v>
          </cell>
        </row>
        <row r="171">
          <cell r="A171" t="str">
            <v>07</v>
          </cell>
          <cell r="B171" t="str">
            <v>05</v>
          </cell>
          <cell r="C171" t="str">
            <v>07</v>
          </cell>
          <cell r="D171" t="str">
            <v>2</v>
          </cell>
          <cell r="E171" t="str">
            <v>0002</v>
          </cell>
          <cell r="F171" t="str">
            <v>0002</v>
          </cell>
          <cell r="G171" t="str">
            <v>10101</v>
          </cell>
          <cell r="H171" t="str">
            <v>付差旅费</v>
          </cell>
          <cell r="I171" t="b">
            <v>0</v>
          </cell>
          <cell r="J171">
            <v>6474</v>
          </cell>
          <cell r="K171">
            <v>0</v>
          </cell>
          <cell r="L171">
            <v>0</v>
          </cell>
        </row>
        <row r="172">
          <cell r="A172" t="str">
            <v>07</v>
          </cell>
          <cell r="B172" t="str">
            <v>05</v>
          </cell>
          <cell r="C172" t="str">
            <v>07</v>
          </cell>
          <cell r="D172" t="str">
            <v>2</v>
          </cell>
          <cell r="E172" t="str">
            <v>0003</v>
          </cell>
          <cell r="F172" t="str">
            <v>0004</v>
          </cell>
          <cell r="G172" t="str">
            <v>10101</v>
          </cell>
          <cell r="H172" t="str">
            <v>付业务招待费.电话费.青苗费</v>
          </cell>
          <cell r="I172" t="b">
            <v>0</v>
          </cell>
          <cell r="J172">
            <v>17289.3</v>
          </cell>
          <cell r="K172">
            <v>0</v>
          </cell>
          <cell r="L172">
            <v>0</v>
          </cell>
        </row>
        <row r="173">
          <cell r="A173" t="str">
            <v>07</v>
          </cell>
          <cell r="B173" t="str">
            <v>08</v>
          </cell>
          <cell r="C173" t="str">
            <v>07</v>
          </cell>
          <cell r="D173" t="str">
            <v>2</v>
          </cell>
          <cell r="E173" t="str">
            <v>0004</v>
          </cell>
          <cell r="F173" t="str">
            <v>0004</v>
          </cell>
          <cell r="G173" t="str">
            <v>10101</v>
          </cell>
          <cell r="H173" t="str">
            <v>付差旅费.修车费</v>
          </cell>
          <cell r="I173" t="b">
            <v>0</v>
          </cell>
          <cell r="J173">
            <v>2936.5</v>
          </cell>
          <cell r="K173">
            <v>0</v>
          </cell>
          <cell r="L173">
            <v>0</v>
          </cell>
        </row>
        <row r="174">
          <cell r="A174" t="str">
            <v>07</v>
          </cell>
          <cell r="B174" t="str">
            <v>08</v>
          </cell>
          <cell r="C174" t="str">
            <v>07</v>
          </cell>
          <cell r="D174" t="str">
            <v>2</v>
          </cell>
          <cell r="E174" t="str">
            <v>0005</v>
          </cell>
          <cell r="F174" t="str">
            <v>0010</v>
          </cell>
          <cell r="G174" t="str">
            <v>10101</v>
          </cell>
          <cell r="H174" t="str">
            <v>暂借款</v>
          </cell>
          <cell r="I174" t="b">
            <v>0</v>
          </cell>
          <cell r="J174">
            <v>31500</v>
          </cell>
          <cell r="K174">
            <v>0</v>
          </cell>
          <cell r="L174">
            <v>0</v>
          </cell>
        </row>
        <row r="175">
          <cell r="A175" t="str">
            <v>07</v>
          </cell>
          <cell r="B175" t="str">
            <v>10</v>
          </cell>
          <cell r="C175" t="str">
            <v>07</v>
          </cell>
          <cell r="D175" t="str">
            <v>2</v>
          </cell>
          <cell r="E175" t="str">
            <v>0006</v>
          </cell>
          <cell r="F175" t="str">
            <v>0003</v>
          </cell>
          <cell r="G175" t="str">
            <v>10101</v>
          </cell>
          <cell r="H175" t="str">
            <v>暂借款</v>
          </cell>
          <cell r="I175" t="b">
            <v>0</v>
          </cell>
          <cell r="J175">
            <v>5900</v>
          </cell>
          <cell r="K175">
            <v>0</v>
          </cell>
          <cell r="L175">
            <v>0</v>
          </cell>
        </row>
        <row r="176">
          <cell r="A176" t="str">
            <v>07</v>
          </cell>
          <cell r="B176" t="str">
            <v>10</v>
          </cell>
          <cell r="C176" t="str">
            <v>07</v>
          </cell>
          <cell r="D176" t="str">
            <v>2</v>
          </cell>
          <cell r="E176" t="str">
            <v>0007</v>
          </cell>
          <cell r="F176" t="str">
            <v>0002</v>
          </cell>
          <cell r="G176" t="str">
            <v>10101</v>
          </cell>
          <cell r="H176" t="str">
            <v>付药费.采暖费</v>
          </cell>
          <cell r="I176" t="b">
            <v>0</v>
          </cell>
          <cell r="J176">
            <v>3316.1</v>
          </cell>
          <cell r="K176">
            <v>0</v>
          </cell>
          <cell r="L176">
            <v>0</v>
          </cell>
        </row>
        <row r="177">
          <cell r="A177" t="str">
            <v>07</v>
          </cell>
          <cell r="B177" t="str">
            <v>10</v>
          </cell>
          <cell r="C177" t="str">
            <v>07</v>
          </cell>
          <cell r="D177" t="str">
            <v>2</v>
          </cell>
          <cell r="E177" t="str">
            <v>0008</v>
          </cell>
          <cell r="F177" t="str">
            <v>0009</v>
          </cell>
          <cell r="G177" t="str">
            <v>10101</v>
          </cell>
          <cell r="H177" t="str">
            <v>暂借款</v>
          </cell>
          <cell r="I177" t="b">
            <v>0</v>
          </cell>
          <cell r="J177">
            <v>33500</v>
          </cell>
          <cell r="K177">
            <v>0</v>
          </cell>
          <cell r="L177">
            <v>0</v>
          </cell>
        </row>
        <row r="178">
          <cell r="A178" t="str">
            <v>07</v>
          </cell>
          <cell r="B178" t="str">
            <v>12</v>
          </cell>
          <cell r="C178" t="str">
            <v>07</v>
          </cell>
          <cell r="D178" t="str">
            <v>2</v>
          </cell>
          <cell r="E178" t="str">
            <v>0009</v>
          </cell>
          <cell r="F178" t="str">
            <v>0002</v>
          </cell>
          <cell r="G178" t="str">
            <v>10101</v>
          </cell>
          <cell r="H178" t="str">
            <v>付招待费</v>
          </cell>
          <cell r="I178" t="b">
            <v>0</v>
          </cell>
          <cell r="J178">
            <v>2270</v>
          </cell>
          <cell r="K178">
            <v>0</v>
          </cell>
          <cell r="L178">
            <v>0</v>
          </cell>
        </row>
        <row r="179">
          <cell r="A179" t="str">
            <v>07</v>
          </cell>
          <cell r="B179" t="str">
            <v>15</v>
          </cell>
          <cell r="C179" t="str">
            <v>07</v>
          </cell>
          <cell r="D179" t="str">
            <v>2</v>
          </cell>
          <cell r="E179" t="str">
            <v>0010</v>
          </cell>
          <cell r="F179" t="str">
            <v>0004</v>
          </cell>
          <cell r="G179" t="str">
            <v>10101</v>
          </cell>
          <cell r="H179" t="str">
            <v>购材料</v>
          </cell>
          <cell r="I179" t="b">
            <v>0</v>
          </cell>
          <cell r="J179">
            <v>16590.400000000001</v>
          </cell>
          <cell r="K179">
            <v>0</v>
          </cell>
          <cell r="L179">
            <v>0</v>
          </cell>
        </row>
        <row r="180">
          <cell r="A180" t="str">
            <v>07</v>
          </cell>
          <cell r="B180" t="str">
            <v>15</v>
          </cell>
          <cell r="C180" t="str">
            <v>07</v>
          </cell>
          <cell r="D180" t="str">
            <v>2</v>
          </cell>
          <cell r="E180" t="str">
            <v>0011</v>
          </cell>
          <cell r="F180" t="str">
            <v>0003</v>
          </cell>
          <cell r="G180" t="str">
            <v>10101</v>
          </cell>
          <cell r="H180" t="str">
            <v>存现金</v>
          </cell>
          <cell r="I180" t="b">
            <v>0</v>
          </cell>
          <cell r="J180">
            <v>380000</v>
          </cell>
          <cell r="K180">
            <v>0</v>
          </cell>
          <cell r="L180">
            <v>0</v>
          </cell>
        </row>
        <row r="181">
          <cell r="A181" t="str">
            <v>07</v>
          </cell>
          <cell r="B181" t="str">
            <v>17</v>
          </cell>
          <cell r="C181" t="str">
            <v>07</v>
          </cell>
          <cell r="D181" t="str">
            <v>2</v>
          </cell>
          <cell r="E181" t="str">
            <v>0012</v>
          </cell>
          <cell r="F181" t="str">
            <v>0002</v>
          </cell>
          <cell r="G181" t="str">
            <v>10101</v>
          </cell>
          <cell r="H181" t="str">
            <v>付临时工工资</v>
          </cell>
          <cell r="I181" t="b">
            <v>0</v>
          </cell>
          <cell r="J181">
            <v>33697.599999999999</v>
          </cell>
          <cell r="K181">
            <v>0</v>
          </cell>
          <cell r="L181">
            <v>0</v>
          </cell>
        </row>
        <row r="182">
          <cell r="A182" t="str">
            <v>07</v>
          </cell>
          <cell r="B182" t="str">
            <v>17</v>
          </cell>
          <cell r="C182" t="str">
            <v>07</v>
          </cell>
          <cell r="D182" t="str">
            <v>2</v>
          </cell>
          <cell r="E182" t="str">
            <v>0013</v>
          </cell>
          <cell r="F182" t="str">
            <v>0002</v>
          </cell>
          <cell r="G182" t="str">
            <v>10101</v>
          </cell>
          <cell r="H182" t="str">
            <v>付风险金.住房集资利息</v>
          </cell>
          <cell r="I182" t="b">
            <v>0</v>
          </cell>
          <cell r="J182">
            <v>31059.3</v>
          </cell>
          <cell r="K182">
            <v>0</v>
          </cell>
          <cell r="L182">
            <v>0</v>
          </cell>
        </row>
        <row r="183">
          <cell r="A183" t="str">
            <v>07</v>
          </cell>
          <cell r="B183" t="str">
            <v>17</v>
          </cell>
          <cell r="C183" t="str">
            <v>07</v>
          </cell>
          <cell r="D183" t="str">
            <v>2</v>
          </cell>
          <cell r="E183" t="str">
            <v>0014</v>
          </cell>
          <cell r="F183" t="str">
            <v>0001</v>
          </cell>
          <cell r="G183" t="str">
            <v>10101</v>
          </cell>
          <cell r="H183" t="str">
            <v>调汇USD30000.00*8.2663</v>
          </cell>
          <cell r="I183" t="b">
            <v>1</v>
          </cell>
          <cell r="J183">
            <v>247989</v>
          </cell>
          <cell r="K183">
            <v>0</v>
          </cell>
          <cell r="L183">
            <v>0</v>
          </cell>
        </row>
        <row r="184">
          <cell r="A184" t="str">
            <v>07</v>
          </cell>
          <cell r="B184" t="str">
            <v>18</v>
          </cell>
          <cell r="C184" t="str">
            <v>07</v>
          </cell>
          <cell r="D184" t="str">
            <v>2</v>
          </cell>
          <cell r="E184" t="str">
            <v>0015</v>
          </cell>
          <cell r="F184" t="str">
            <v>0004</v>
          </cell>
          <cell r="G184" t="str">
            <v>10101</v>
          </cell>
          <cell r="H184" t="str">
            <v>储蓄存款</v>
          </cell>
          <cell r="I184" t="b">
            <v>0</v>
          </cell>
          <cell r="J184">
            <v>320747.2</v>
          </cell>
          <cell r="K184">
            <v>0</v>
          </cell>
          <cell r="L184">
            <v>0</v>
          </cell>
        </row>
        <row r="185">
          <cell r="A185" t="str">
            <v>07</v>
          </cell>
          <cell r="B185" t="str">
            <v>20</v>
          </cell>
          <cell r="C185" t="str">
            <v>07</v>
          </cell>
          <cell r="D185" t="str">
            <v>2</v>
          </cell>
          <cell r="E185" t="str">
            <v>0016</v>
          </cell>
          <cell r="F185" t="str">
            <v>0005</v>
          </cell>
          <cell r="G185" t="str">
            <v>10101</v>
          </cell>
          <cell r="H185" t="str">
            <v>付门牌款.招待费.电话费</v>
          </cell>
          <cell r="I185" t="b">
            <v>0</v>
          </cell>
          <cell r="J185">
            <v>13113.1</v>
          </cell>
          <cell r="K185">
            <v>0</v>
          </cell>
          <cell r="L185">
            <v>0</v>
          </cell>
        </row>
        <row r="186">
          <cell r="A186" t="str">
            <v>07</v>
          </cell>
          <cell r="B186" t="str">
            <v>20</v>
          </cell>
          <cell r="C186" t="str">
            <v>07</v>
          </cell>
          <cell r="D186" t="str">
            <v>2</v>
          </cell>
          <cell r="E186" t="str">
            <v>0017</v>
          </cell>
          <cell r="F186" t="str">
            <v>0004</v>
          </cell>
          <cell r="G186" t="str">
            <v>10101</v>
          </cell>
          <cell r="H186" t="str">
            <v>付招待费.测试费</v>
          </cell>
          <cell r="I186" t="b">
            <v>0</v>
          </cell>
          <cell r="J186">
            <v>1769</v>
          </cell>
          <cell r="K186">
            <v>0</v>
          </cell>
          <cell r="L186">
            <v>0</v>
          </cell>
        </row>
        <row r="187">
          <cell r="A187" t="str">
            <v>07</v>
          </cell>
          <cell r="B187" t="str">
            <v>20</v>
          </cell>
          <cell r="C187" t="str">
            <v>07</v>
          </cell>
          <cell r="D187" t="str">
            <v>2</v>
          </cell>
          <cell r="E187" t="str">
            <v>0018</v>
          </cell>
          <cell r="F187" t="str">
            <v>0002</v>
          </cell>
          <cell r="G187" t="str">
            <v>10101</v>
          </cell>
          <cell r="H187" t="str">
            <v>付车费</v>
          </cell>
          <cell r="I187" t="b">
            <v>0</v>
          </cell>
          <cell r="J187">
            <v>37</v>
          </cell>
          <cell r="K187">
            <v>0</v>
          </cell>
          <cell r="L187">
            <v>0</v>
          </cell>
        </row>
        <row r="188">
          <cell r="A188" t="str">
            <v>07</v>
          </cell>
          <cell r="B188" t="str">
            <v>21</v>
          </cell>
          <cell r="C188" t="str">
            <v>07</v>
          </cell>
          <cell r="D188" t="str">
            <v>2</v>
          </cell>
          <cell r="E188" t="str">
            <v>0019</v>
          </cell>
          <cell r="F188" t="str">
            <v>0004</v>
          </cell>
          <cell r="G188" t="str">
            <v>10101</v>
          </cell>
          <cell r="H188" t="str">
            <v>付招待费.快递费</v>
          </cell>
          <cell r="I188" t="b">
            <v>0</v>
          </cell>
          <cell r="J188">
            <v>2327.1999999999998</v>
          </cell>
          <cell r="K188">
            <v>0</v>
          </cell>
          <cell r="L188">
            <v>0</v>
          </cell>
        </row>
        <row r="189">
          <cell r="A189" t="str">
            <v>07</v>
          </cell>
          <cell r="B189" t="str">
            <v>21</v>
          </cell>
          <cell r="C189" t="str">
            <v>07</v>
          </cell>
          <cell r="D189" t="str">
            <v>2</v>
          </cell>
          <cell r="E189" t="str">
            <v>0020</v>
          </cell>
          <cell r="F189" t="str">
            <v>0004</v>
          </cell>
          <cell r="G189" t="str">
            <v>10101</v>
          </cell>
          <cell r="H189" t="str">
            <v>购材料</v>
          </cell>
          <cell r="I189" t="b">
            <v>0</v>
          </cell>
          <cell r="J189">
            <v>5922</v>
          </cell>
          <cell r="K189">
            <v>0</v>
          </cell>
          <cell r="L189">
            <v>0</v>
          </cell>
        </row>
        <row r="190">
          <cell r="A190" t="str">
            <v>07</v>
          </cell>
          <cell r="B190" t="str">
            <v>21</v>
          </cell>
          <cell r="C190" t="str">
            <v>07</v>
          </cell>
          <cell r="D190" t="str">
            <v>2</v>
          </cell>
          <cell r="E190" t="str">
            <v>0021</v>
          </cell>
          <cell r="F190" t="str">
            <v>0005</v>
          </cell>
          <cell r="G190" t="str">
            <v>10101</v>
          </cell>
          <cell r="H190" t="str">
            <v>暂借款</v>
          </cell>
          <cell r="I190" t="b">
            <v>0</v>
          </cell>
          <cell r="J190">
            <v>47500</v>
          </cell>
          <cell r="K190">
            <v>0</v>
          </cell>
          <cell r="L190">
            <v>0</v>
          </cell>
        </row>
        <row r="191">
          <cell r="A191" t="str">
            <v>07</v>
          </cell>
          <cell r="B191" t="str">
            <v>21</v>
          </cell>
          <cell r="C191" t="str">
            <v>07</v>
          </cell>
          <cell r="D191" t="str">
            <v>2</v>
          </cell>
          <cell r="E191" t="str">
            <v>0022</v>
          </cell>
          <cell r="F191" t="str">
            <v>0003</v>
          </cell>
          <cell r="G191" t="str">
            <v>10101</v>
          </cell>
          <cell r="H191" t="str">
            <v>增值税检查调整</v>
          </cell>
          <cell r="I191" t="b">
            <v>0</v>
          </cell>
          <cell r="J191">
            <v>1601.96</v>
          </cell>
          <cell r="K191">
            <v>0</v>
          </cell>
          <cell r="L191">
            <v>0</v>
          </cell>
        </row>
        <row r="192">
          <cell r="A192" t="str">
            <v>08</v>
          </cell>
          <cell r="B192" t="str">
            <v>01</v>
          </cell>
          <cell r="C192" t="str">
            <v>08</v>
          </cell>
          <cell r="D192" t="str">
            <v>1</v>
          </cell>
          <cell r="E192" t="str">
            <v>0001</v>
          </cell>
          <cell r="F192" t="str">
            <v>0001</v>
          </cell>
          <cell r="G192" t="str">
            <v>10101</v>
          </cell>
          <cell r="H192" t="str">
            <v>收押金</v>
          </cell>
          <cell r="I192" t="b">
            <v>1</v>
          </cell>
          <cell r="J192">
            <v>4000</v>
          </cell>
          <cell r="K192">
            <v>0</v>
          </cell>
          <cell r="L192">
            <v>0</v>
          </cell>
        </row>
        <row r="193">
          <cell r="A193" t="str">
            <v>08</v>
          </cell>
          <cell r="B193" t="str">
            <v>03</v>
          </cell>
          <cell r="C193" t="str">
            <v>08</v>
          </cell>
          <cell r="D193" t="str">
            <v>1</v>
          </cell>
          <cell r="E193" t="str">
            <v>0002</v>
          </cell>
          <cell r="F193" t="str">
            <v>0001</v>
          </cell>
          <cell r="G193" t="str">
            <v>10101</v>
          </cell>
          <cell r="H193" t="str">
            <v>销果渣</v>
          </cell>
          <cell r="I193" t="b">
            <v>1</v>
          </cell>
          <cell r="J193">
            <v>161229.6</v>
          </cell>
          <cell r="K193">
            <v>0</v>
          </cell>
          <cell r="L193">
            <v>0</v>
          </cell>
        </row>
        <row r="194">
          <cell r="A194" t="str">
            <v>08</v>
          </cell>
          <cell r="B194" t="str">
            <v>05</v>
          </cell>
          <cell r="C194" t="str">
            <v>08</v>
          </cell>
          <cell r="D194" t="str">
            <v>1</v>
          </cell>
          <cell r="E194" t="str">
            <v>0003</v>
          </cell>
          <cell r="F194" t="str">
            <v>0001</v>
          </cell>
          <cell r="G194" t="str">
            <v>10101</v>
          </cell>
          <cell r="H194" t="str">
            <v>收回借款</v>
          </cell>
          <cell r="I194" t="b">
            <v>1</v>
          </cell>
          <cell r="J194">
            <v>16316.1</v>
          </cell>
          <cell r="K194">
            <v>0</v>
          </cell>
          <cell r="L194">
            <v>0</v>
          </cell>
        </row>
        <row r="195">
          <cell r="A195" t="str">
            <v>08</v>
          </cell>
          <cell r="B195" t="str">
            <v>08</v>
          </cell>
          <cell r="C195" t="str">
            <v>08</v>
          </cell>
          <cell r="D195" t="str">
            <v>1</v>
          </cell>
          <cell r="E195" t="str">
            <v>0004</v>
          </cell>
          <cell r="F195" t="str">
            <v>0001</v>
          </cell>
          <cell r="G195" t="str">
            <v>10101</v>
          </cell>
          <cell r="H195" t="str">
            <v>收存款</v>
          </cell>
          <cell r="I195" t="b">
            <v>1</v>
          </cell>
          <cell r="J195">
            <v>50405.52</v>
          </cell>
          <cell r="K195">
            <v>0</v>
          </cell>
          <cell r="L195">
            <v>0</v>
          </cell>
        </row>
        <row r="196">
          <cell r="A196" t="str">
            <v>08</v>
          </cell>
          <cell r="B196" t="str">
            <v>10</v>
          </cell>
          <cell r="C196" t="str">
            <v>08</v>
          </cell>
          <cell r="D196" t="str">
            <v>1</v>
          </cell>
          <cell r="E196" t="str">
            <v>0005</v>
          </cell>
          <cell r="F196" t="str">
            <v>0001</v>
          </cell>
          <cell r="G196" t="str">
            <v>10101</v>
          </cell>
          <cell r="H196" t="str">
            <v>收房款</v>
          </cell>
          <cell r="I196" t="b">
            <v>1</v>
          </cell>
          <cell r="J196">
            <v>21261</v>
          </cell>
          <cell r="K196">
            <v>0</v>
          </cell>
          <cell r="L196">
            <v>0</v>
          </cell>
        </row>
        <row r="197">
          <cell r="A197" t="str">
            <v>08</v>
          </cell>
          <cell r="B197" t="str">
            <v>15</v>
          </cell>
          <cell r="C197" t="str">
            <v>08</v>
          </cell>
          <cell r="D197" t="str">
            <v>1</v>
          </cell>
          <cell r="E197" t="str">
            <v>0006</v>
          </cell>
          <cell r="F197" t="str">
            <v>0001</v>
          </cell>
          <cell r="G197" t="str">
            <v>10101</v>
          </cell>
          <cell r="H197" t="str">
            <v>销浓汁</v>
          </cell>
          <cell r="I197" t="b">
            <v>1</v>
          </cell>
          <cell r="J197">
            <v>4705</v>
          </cell>
          <cell r="K197">
            <v>0</v>
          </cell>
          <cell r="L197">
            <v>0</v>
          </cell>
        </row>
        <row r="198">
          <cell r="A198" t="str">
            <v>08</v>
          </cell>
          <cell r="B198" t="str">
            <v>23</v>
          </cell>
          <cell r="C198" t="str">
            <v>08</v>
          </cell>
          <cell r="D198" t="str">
            <v>1</v>
          </cell>
          <cell r="E198" t="str">
            <v>0007</v>
          </cell>
          <cell r="F198" t="str">
            <v>0001</v>
          </cell>
          <cell r="G198" t="str">
            <v>10101</v>
          </cell>
          <cell r="H198" t="str">
            <v>销活性炭</v>
          </cell>
          <cell r="I198" t="b">
            <v>1</v>
          </cell>
          <cell r="J198">
            <v>6800</v>
          </cell>
          <cell r="K198">
            <v>0</v>
          </cell>
          <cell r="L198">
            <v>0</v>
          </cell>
        </row>
        <row r="199">
          <cell r="A199" t="str">
            <v>08</v>
          </cell>
          <cell r="B199" t="str">
            <v>01</v>
          </cell>
          <cell r="C199" t="str">
            <v>08</v>
          </cell>
          <cell r="D199" t="str">
            <v>2</v>
          </cell>
          <cell r="E199" t="str">
            <v>0001</v>
          </cell>
          <cell r="F199" t="str">
            <v>0002</v>
          </cell>
          <cell r="G199" t="str">
            <v>10101</v>
          </cell>
          <cell r="H199" t="str">
            <v>付运费</v>
          </cell>
          <cell r="I199" t="b">
            <v>0</v>
          </cell>
          <cell r="J199">
            <v>1245</v>
          </cell>
          <cell r="K199">
            <v>0</v>
          </cell>
          <cell r="L199">
            <v>0</v>
          </cell>
        </row>
        <row r="200">
          <cell r="A200" t="str">
            <v>08</v>
          </cell>
          <cell r="B200" t="str">
            <v>03</v>
          </cell>
          <cell r="C200" t="str">
            <v>08</v>
          </cell>
          <cell r="D200" t="str">
            <v>2</v>
          </cell>
          <cell r="E200" t="str">
            <v>0002</v>
          </cell>
          <cell r="F200" t="str">
            <v>0004</v>
          </cell>
          <cell r="G200" t="str">
            <v>10101</v>
          </cell>
          <cell r="H200" t="str">
            <v>付商检费.广告费</v>
          </cell>
          <cell r="I200" t="b">
            <v>0</v>
          </cell>
          <cell r="J200">
            <v>7910.5</v>
          </cell>
          <cell r="K200">
            <v>0</v>
          </cell>
          <cell r="L200">
            <v>0</v>
          </cell>
        </row>
        <row r="201">
          <cell r="A201" t="str">
            <v>08</v>
          </cell>
          <cell r="B201" t="str">
            <v>03</v>
          </cell>
          <cell r="C201" t="str">
            <v>08</v>
          </cell>
          <cell r="D201" t="str">
            <v>2</v>
          </cell>
          <cell r="E201" t="str">
            <v>0003</v>
          </cell>
          <cell r="F201" t="str">
            <v>0003</v>
          </cell>
          <cell r="G201" t="str">
            <v>10101</v>
          </cell>
          <cell r="H201" t="str">
            <v>购材料</v>
          </cell>
          <cell r="I201" t="b">
            <v>0</v>
          </cell>
          <cell r="J201">
            <v>5050</v>
          </cell>
          <cell r="K201">
            <v>0</v>
          </cell>
          <cell r="L201">
            <v>0</v>
          </cell>
        </row>
        <row r="202">
          <cell r="A202" t="str">
            <v>08</v>
          </cell>
          <cell r="B202" t="str">
            <v>03</v>
          </cell>
          <cell r="C202" t="str">
            <v>08</v>
          </cell>
          <cell r="D202" t="str">
            <v>2</v>
          </cell>
          <cell r="E202" t="str">
            <v>0004</v>
          </cell>
          <cell r="F202" t="str">
            <v>0005</v>
          </cell>
          <cell r="G202" t="str">
            <v>10101</v>
          </cell>
          <cell r="H202" t="str">
            <v>暂借款</v>
          </cell>
          <cell r="I202" t="b">
            <v>0</v>
          </cell>
          <cell r="J202">
            <v>15930</v>
          </cell>
          <cell r="K202">
            <v>0</v>
          </cell>
          <cell r="L202">
            <v>0</v>
          </cell>
        </row>
        <row r="203">
          <cell r="A203" t="str">
            <v>08</v>
          </cell>
          <cell r="B203" t="str">
            <v>04</v>
          </cell>
          <cell r="C203" t="str">
            <v>08</v>
          </cell>
          <cell r="D203" t="str">
            <v>2</v>
          </cell>
          <cell r="E203" t="str">
            <v>0005</v>
          </cell>
          <cell r="F203" t="str">
            <v>0002</v>
          </cell>
          <cell r="G203" t="str">
            <v>10101</v>
          </cell>
          <cell r="H203" t="str">
            <v>付一部差旅费</v>
          </cell>
          <cell r="I203" t="b">
            <v>0</v>
          </cell>
          <cell r="J203">
            <v>2091</v>
          </cell>
          <cell r="K203">
            <v>0</v>
          </cell>
          <cell r="L203">
            <v>0</v>
          </cell>
        </row>
        <row r="204">
          <cell r="A204" t="str">
            <v>08</v>
          </cell>
          <cell r="B204" t="str">
            <v>04</v>
          </cell>
          <cell r="C204" t="str">
            <v>08</v>
          </cell>
          <cell r="D204" t="str">
            <v>2</v>
          </cell>
          <cell r="E204" t="str">
            <v>0006</v>
          </cell>
          <cell r="F204" t="str">
            <v>0002</v>
          </cell>
          <cell r="G204" t="str">
            <v>10101</v>
          </cell>
          <cell r="H204" t="str">
            <v>暂借款</v>
          </cell>
          <cell r="I204" t="b">
            <v>0</v>
          </cell>
          <cell r="J204">
            <v>150000</v>
          </cell>
          <cell r="K204">
            <v>0</v>
          </cell>
          <cell r="L204">
            <v>0</v>
          </cell>
        </row>
        <row r="205">
          <cell r="A205" t="str">
            <v>08</v>
          </cell>
          <cell r="B205" t="str">
            <v>04</v>
          </cell>
          <cell r="C205" t="str">
            <v>08</v>
          </cell>
          <cell r="D205" t="str">
            <v>2</v>
          </cell>
          <cell r="E205" t="str">
            <v>0007</v>
          </cell>
          <cell r="F205" t="str">
            <v>0003</v>
          </cell>
          <cell r="G205" t="str">
            <v>10101</v>
          </cell>
          <cell r="H205" t="str">
            <v>购材料</v>
          </cell>
          <cell r="I205" t="b">
            <v>0</v>
          </cell>
          <cell r="J205">
            <v>2180.1999999999998</v>
          </cell>
          <cell r="K205">
            <v>0</v>
          </cell>
          <cell r="L205">
            <v>0</v>
          </cell>
        </row>
        <row r="206">
          <cell r="A206" t="str">
            <v>08</v>
          </cell>
          <cell r="B206" t="str">
            <v>05</v>
          </cell>
          <cell r="C206" t="str">
            <v>08</v>
          </cell>
          <cell r="D206" t="str">
            <v>2</v>
          </cell>
          <cell r="E206" t="str">
            <v>0008</v>
          </cell>
          <cell r="F206" t="str">
            <v>0003</v>
          </cell>
          <cell r="G206" t="str">
            <v>10101</v>
          </cell>
          <cell r="H206" t="str">
            <v>付差旅费.电话费</v>
          </cell>
          <cell r="I206" t="b">
            <v>0</v>
          </cell>
          <cell r="J206">
            <v>1255.5</v>
          </cell>
          <cell r="K206">
            <v>0</v>
          </cell>
          <cell r="L206">
            <v>0</v>
          </cell>
        </row>
        <row r="207">
          <cell r="A207" t="str">
            <v>08</v>
          </cell>
          <cell r="B207" t="str">
            <v>05</v>
          </cell>
          <cell r="C207" t="str">
            <v>08</v>
          </cell>
          <cell r="D207" t="str">
            <v>2</v>
          </cell>
          <cell r="E207" t="str">
            <v>0009</v>
          </cell>
          <cell r="F207" t="str">
            <v>0003</v>
          </cell>
          <cell r="G207" t="str">
            <v>10101</v>
          </cell>
          <cell r="H207" t="str">
            <v>购材料</v>
          </cell>
          <cell r="I207" t="b">
            <v>0</v>
          </cell>
          <cell r="J207">
            <v>30800</v>
          </cell>
          <cell r="K207">
            <v>0</v>
          </cell>
          <cell r="L207">
            <v>0</v>
          </cell>
        </row>
        <row r="208">
          <cell r="A208" t="str">
            <v>08</v>
          </cell>
          <cell r="B208" t="str">
            <v>05</v>
          </cell>
          <cell r="C208" t="str">
            <v>08</v>
          </cell>
          <cell r="D208" t="str">
            <v>2</v>
          </cell>
          <cell r="E208" t="str">
            <v>0010</v>
          </cell>
          <cell r="F208" t="str">
            <v>0002</v>
          </cell>
          <cell r="G208" t="str">
            <v>10101</v>
          </cell>
          <cell r="H208" t="str">
            <v>付药费等</v>
          </cell>
          <cell r="I208" t="b">
            <v>0</v>
          </cell>
          <cell r="J208">
            <v>3171.7</v>
          </cell>
          <cell r="K208">
            <v>0</v>
          </cell>
          <cell r="L208">
            <v>0</v>
          </cell>
        </row>
        <row r="209">
          <cell r="A209" t="str">
            <v>08</v>
          </cell>
          <cell r="B209" t="str">
            <v>05</v>
          </cell>
          <cell r="C209" t="str">
            <v>08</v>
          </cell>
          <cell r="D209" t="str">
            <v>2</v>
          </cell>
          <cell r="E209" t="str">
            <v>0011</v>
          </cell>
          <cell r="F209" t="str">
            <v>0003</v>
          </cell>
          <cell r="G209" t="str">
            <v>10101</v>
          </cell>
          <cell r="H209" t="str">
            <v>付一部邮寄费.招待费</v>
          </cell>
          <cell r="I209" t="b">
            <v>0</v>
          </cell>
          <cell r="J209">
            <v>4666.8</v>
          </cell>
          <cell r="K209">
            <v>0</v>
          </cell>
          <cell r="L209">
            <v>0</v>
          </cell>
        </row>
        <row r="210">
          <cell r="A210" t="str">
            <v>08</v>
          </cell>
          <cell r="B210" t="str">
            <v>05</v>
          </cell>
          <cell r="C210" t="str">
            <v>08</v>
          </cell>
          <cell r="D210" t="str">
            <v>2</v>
          </cell>
          <cell r="E210" t="str">
            <v>0012</v>
          </cell>
          <cell r="F210" t="str">
            <v>0004</v>
          </cell>
          <cell r="G210" t="str">
            <v>10101</v>
          </cell>
          <cell r="H210" t="str">
            <v>付业务招待费.办公费</v>
          </cell>
          <cell r="I210" t="b">
            <v>0</v>
          </cell>
          <cell r="J210">
            <v>12049.7</v>
          </cell>
          <cell r="K210">
            <v>0</v>
          </cell>
          <cell r="L210">
            <v>0</v>
          </cell>
        </row>
        <row r="211">
          <cell r="A211" t="str">
            <v>08</v>
          </cell>
          <cell r="B211" t="str">
            <v>05</v>
          </cell>
          <cell r="C211" t="str">
            <v>08</v>
          </cell>
          <cell r="D211" t="str">
            <v>2</v>
          </cell>
          <cell r="E211" t="str">
            <v>0013</v>
          </cell>
          <cell r="F211" t="str">
            <v>0003</v>
          </cell>
          <cell r="G211" t="str">
            <v>10101</v>
          </cell>
          <cell r="H211" t="str">
            <v>付手续费</v>
          </cell>
          <cell r="I211" t="b">
            <v>0</v>
          </cell>
          <cell r="J211">
            <v>41696.33</v>
          </cell>
          <cell r="K211">
            <v>0</v>
          </cell>
          <cell r="L211">
            <v>0</v>
          </cell>
        </row>
        <row r="212">
          <cell r="A212" t="str">
            <v>08</v>
          </cell>
          <cell r="B212" t="str">
            <v>13</v>
          </cell>
          <cell r="C212" t="str">
            <v>08</v>
          </cell>
          <cell r="D212" t="str">
            <v>2</v>
          </cell>
          <cell r="E212" t="str">
            <v>0014</v>
          </cell>
          <cell r="F212" t="str">
            <v>0008</v>
          </cell>
          <cell r="G212" t="str">
            <v>10101</v>
          </cell>
          <cell r="H212" t="str">
            <v>暂借款</v>
          </cell>
          <cell r="I212" t="b">
            <v>0</v>
          </cell>
          <cell r="J212">
            <v>34500</v>
          </cell>
          <cell r="K212">
            <v>0</v>
          </cell>
          <cell r="L212">
            <v>0</v>
          </cell>
        </row>
        <row r="213">
          <cell r="A213" t="str">
            <v>08</v>
          </cell>
          <cell r="B213" t="str">
            <v>13</v>
          </cell>
          <cell r="C213" t="str">
            <v>08</v>
          </cell>
          <cell r="D213" t="str">
            <v>2</v>
          </cell>
          <cell r="E213" t="str">
            <v>0015</v>
          </cell>
          <cell r="F213" t="str">
            <v>0005</v>
          </cell>
          <cell r="G213" t="str">
            <v>10101</v>
          </cell>
          <cell r="H213" t="str">
            <v>暂借款</v>
          </cell>
          <cell r="I213" t="b">
            <v>0</v>
          </cell>
          <cell r="J213">
            <v>21000</v>
          </cell>
          <cell r="K213">
            <v>0</v>
          </cell>
          <cell r="L213">
            <v>0</v>
          </cell>
        </row>
        <row r="214">
          <cell r="A214" t="str">
            <v>08</v>
          </cell>
          <cell r="B214" t="str">
            <v>15</v>
          </cell>
          <cell r="C214" t="str">
            <v>08</v>
          </cell>
          <cell r="D214" t="str">
            <v>2</v>
          </cell>
          <cell r="E214" t="str">
            <v>0016</v>
          </cell>
          <cell r="F214" t="str">
            <v>0002</v>
          </cell>
          <cell r="G214" t="str">
            <v>10101</v>
          </cell>
          <cell r="H214" t="str">
            <v>付司机补助.临时工工资等</v>
          </cell>
          <cell r="I214" t="b">
            <v>0</v>
          </cell>
          <cell r="J214">
            <v>8286.7000000000007</v>
          </cell>
          <cell r="K214">
            <v>0</v>
          </cell>
          <cell r="L214">
            <v>0</v>
          </cell>
        </row>
        <row r="215">
          <cell r="A215" t="str">
            <v>08</v>
          </cell>
          <cell r="B215" t="str">
            <v>15</v>
          </cell>
          <cell r="C215" t="str">
            <v>08</v>
          </cell>
          <cell r="D215" t="str">
            <v>2</v>
          </cell>
          <cell r="E215" t="str">
            <v>0017</v>
          </cell>
          <cell r="F215" t="str">
            <v>0004</v>
          </cell>
          <cell r="G215" t="str">
            <v>10101</v>
          </cell>
          <cell r="H215" t="str">
            <v>购材料</v>
          </cell>
          <cell r="I215" t="b">
            <v>0</v>
          </cell>
          <cell r="J215">
            <v>270</v>
          </cell>
          <cell r="K215">
            <v>0</v>
          </cell>
          <cell r="L215">
            <v>0</v>
          </cell>
        </row>
        <row r="216">
          <cell r="A216" t="str">
            <v>08</v>
          </cell>
          <cell r="B216" t="str">
            <v>18</v>
          </cell>
          <cell r="C216" t="str">
            <v>08</v>
          </cell>
          <cell r="D216" t="str">
            <v>2</v>
          </cell>
          <cell r="E216" t="str">
            <v>0018</v>
          </cell>
          <cell r="F216" t="str">
            <v>0003</v>
          </cell>
          <cell r="G216" t="str">
            <v>10101</v>
          </cell>
          <cell r="H216" t="str">
            <v>暂借款</v>
          </cell>
          <cell r="I216" t="b">
            <v>0</v>
          </cell>
          <cell r="J216">
            <v>1980000</v>
          </cell>
          <cell r="K216">
            <v>0</v>
          </cell>
          <cell r="L216">
            <v>0</v>
          </cell>
        </row>
        <row r="217">
          <cell r="A217" t="str">
            <v>08</v>
          </cell>
          <cell r="B217" t="str">
            <v>18</v>
          </cell>
          <cell r="C217" t="str">
            <v>08</v>
          </cell>
          <cell r="D217" t="str">
            <v>2</v>
          </cell>
          <cell r="E217" t="str">
            <v>0018</v>
          </cell>
          <cell r="F217" t="str">
            <v>0005</v>
          </cell>
          <cell r="G217" t="str">
            <v>10101</v>
          </cell>
          <cell r="H217" t="str">
            <v>存现金</v>
          </cell>
          <cell r="I217" t="b">
            <v>0</v>
          </cell>
          <cell r="J217">
            <v>387447.6</v>
          </cell>
          <cell r="K217">
            <v>0</v>
          </cell>
          <cell r="L217">
            <v>0</v>
          </cell>
        </row>
        <row r="218">
          <cell r="A218" t="str">
            <v>08</v>
          </cell>
          <cell r="B218" t="str">
            <v>19</v>
          </cell>
          <cell r="C218" t="str">
            <v>08</v>
          </cell>
          <cell r="D218" t="str">
            <v>2</v>
          </cell>
          <cell r="E218" t="str">
            <v>0019</v>
          </cell>
          <cell r="F218" t="str">
            <v>0004</v>
          </cell>
          <cell r="G218" t="str">
            <v>10101</v>
          </cell>
          <cell r="H218" t="str">
            <v>付差旅费.招待费</v>
          </cell>
          <cell r="I218" t="b">
            <v>0</v>
          </cell>
          <cell r="J218">
            <v>3242.3</v>
          </cell>
          <cell r="K218">
            <v>0</v>
          </cell>
          <cell r="L218">
            <v>0</v>
          </cell>
        </row>
        <row r="219">
          <cell r="A219" t="str">
            <v>08</v>
          </cell>
          <cell r="B219" t="str">
            <v>19</v>
          </cell>
          <cell r="C219" t="str">
            <v>08</v>
          </cell>
          <cell r="D219" t="str">
            <v>2</v>
          </cell>
          <cell r="E219" t="str">
            <v>0020</v>
          </cell>
          <cell r="F219" t="str">
            <v>0003</v>
          </cell>
          <cell r="G219" t="str">
            <v>10101</v>
          </cell>
          <cell r="H219" t="str">
            <v>付招待费.差旅费</v>
          </cell>
          <cell r="I219" t="b">
            <v>0</v>
          </cell>
          <cell r="J219">
            <v>7935</v>
          </cell>
          <cell r="K219">
            <v>0</v>
          </cell>
          <cell r="L219">
            <v>0</v>
          </cell>
        </row>
        <row r="220">
          <cell r="A220" t="str">
            <v>08</v>
          </cell>
          <cell r="B220" t="str">
            <v>20</v>
          </cell>
          <cell r="C220" t="str">
            <v>08</v>
          </cell>
          <cell r="D220" t="str">
            <v>2</v>
          </cell>
          <cell r="E220" t="str">
            <v>0021</v>
          </cell>
          <cell r="F220" t="str">
            <v>0002</v>
          </cell>
          <cell r="G220" t="str">
            <v>10101</v>
          </cell>
          <cell r="H220" t="str">
            <v>暂借款</v>
          </cell>
          <cell r="I220" t="b">
            <v>0</v>
          </cell>
          <cell r="J220">
            <v>600000</v>
          </cell>
          <cell r="K220">
            <v>0</v>
          </cell>
          <cell r="L220">
            <v>0</v>
          </cell>
        </row>
        <row r="221">
          <cell r="A221" t="str">
            <v>08</v>
          </cell>
          <cell r="B221" t="str">
            <v>18</v>
          </cell>
          <cell r="C221" t="str">
            <v>08</v>
          </cell>
          <cell r="D221" t="str">
            <v>4</v>
          </cell>
          <cell r="E221" t="str">
            <v>0022</v>
          </cell>
          <cell r="F221" t="str">
            <v>0001</v>
          </cell>
          <cell r="G221" t="str">
            <v>10101</v>
          </cell>
          <cell r="H221" t="str">
            <v>支现金</v>
          </cell>
          <cell r="I221" t="b">
            <v>1</v>
          </cell>
          <cell r="J221">
            <v>3029269.72</v>
          </cell>
          <cell r="K221">
            <v>0</v>
          </cell>
          <cell r="L221">
            <v>0</v>
          </cell>
        </row>
        <row r="222">
          <cell r="A222" t="str">
            <v>09</v>
          </cell>
          <cell r="B222" t="str">
            <v>01</v>
          </cell>
          <cell r="C222" t="str">
            <v>09</v>
          </cell>
          <cell r="D222" t="str">
            <v>1</v>
          </cell>
          <cell r="E222" t="str">
            <v>0001</v>
          </cell>
          <cell r="F222" t="str">
            <v>0001</v>
          </cell>
          <cell r="G222" t="str">
            <v>10101</v>
          </cell>
          <cell r="H222" t="str">
            <v>销苹果浓汁</v>
          </cell>
          <cell r="I222" t="b">
            <v>1</v>
          </cell>
          <cell r="J222">
            <v>672</v>
          </cell>
          <cell r="K222">
            <v>0</v>
          </cell>
          <cell r="L222">
            <v>0</v>
          </cell>
        </row>
        <row r="223">
          <cell r="A223" t="str">
            <v>09</v>
          </cell>
          <cell r="B223" t="str">
            <v>03</v>
          </cell>
          <cell r="C223" t="str">
            <v>09</v>
          </cell>
          <cell r="D223" t="str">
            <v>1</v>
          </cell>
          <cell r="E223" t="str">
            <v>0002</v>
          </cell>
          <cell r="F223" t="str">
            <v>0001</v>
          </cell>
          <cell r="G223" t="str">
            <v>10101</v>
          </cell>
          <cell r="H223" t="str">
            <v>收理发室月租费.废铁款</v>
          </cell>
          <cell r="I223" t="b">
            <v>1</v>
          </cell>
          <cell r="J223">
            <v>9700</v>
          </cell>
          <cell r="K223">
            <v>0</v>
          </cell>
          <cell r="L223">
            <v>0</v>
          </cell>
        </row>
        <row r="224">
          <cell r="A224" t="str">
            <v>09</v>
          </cell>
          <cell r="B224" t="str">
            <v>05</v>
          </cell>
          <cell r="C224" t="str">
            <v>09</v>
          </cell>
          <cell r="D224" t="str">
            <v>1</v>
          </cell>
          <cell r="E224" t="str">
            <v>0003</v>
          </cell>
          <cell r="F224" t="str">
            <v>0001</v>
          </cell>
          <cell r="G224" t="str">
            <v>10101</v>
          </cell>
          <cell r="H224" t="str">
            <v>收押金.多发工资</v>
          </cell>
          <cell r="I224" t="b">
            <v>1</v>
          </cell>
          <cell r="J224">
            <v>2251</v>
          </cell>
          <cell r="K224">
            <v>0</v>
          </cell>
          <cell r="L224">
            <v>0</v>
          </cell>
        </row>
        <row r="225">
          <cell r="A225" t="str">
            <v>09</v>
          </cell>
          <cell r="B225" t="str">
            <v>06</v>
          </cell>
          <cell r="C225" t="str">
            <v>09</v>
          </cell>
          <cell r="D225" t="str">
            <v>1</v>
          </cell>
          <cell r="E225" t="str">
            <v>0004</v>
          </cell>
          <cell r="F225" t="str">
            <v>0001</v>
          </cell>
          <cell r="G225" t="str">
            <v>10101</v>
          </cell>
          <cell r="H225" t="str">
            <v>收借款</v>
          </cell>
          <cell r="I225" t="b">
            <v>1</v>
          </cell>
          <cell r="J225">
            <v>1011200</v>
          </cell>
          <cell r="K225">
            <v>0</v>
          </cell>
          <cell r="L225">
            <v>0</v>
          </cell>
        </row>
        <row r="226">
          <cell r="A226" t="str">
            <v>09</v>
          </cell>
          <cell r="B226" t="str">
            <v>10</v>
          </cell>
          <cell r="C226" t="str">
            <v>09</v>
          </cell>
          <cell r="D226" t="str">
            <v>1</v>
          </cell>
          <cell r="E226" t="str">
            <v>0005</v>
          </cell>
          <cell r="F226" t="str">
            <v>0001</v>
          </cell>
          <cell r="G226" t="str">
            <v>10101</v>
          </cell>
          <cell r="H226" t="str">
            <v>收借款</v>
          </cell>
          <cell r="I226" t="b">
            <v>1</v>
          </cell>
          <cell r="J226">
            <v>99366</v>
          </cell>
          <cell r="K226">
            <v>0</v>
          </cell>
          <cell r="L226">
            <v>0</v>
          </cell>
        </row>
        <row r="227">
          <cell r="A227" t="str">
            <v>09</v>
          </cell>
          <cell r="B227" t="str">
            <v>20</v>
          </cell>
          <cell r="C227" t="str">
            <v>09</v>
          </cell>
          <cell r="D227" t="str">
            <v>1</v>
          </cell>
          <cell r="E227" t="str">
            <v>0006</v>
          </cell>
          <cell r="F227" t="str">
            <v>0001</v>
          </cell>
          <cell r="G227" t="str">
            <v>10101</v>
          </cell>
          <cell r="H227" t="str">
            <v>销苹果浓汁</v>
          </cell>
          <cell r="I227" t="b">
            <v>1</v>
          </cell>
          <cell r="J227">
            <v>720</v>
          </cell>
          <cell r="K227">
            <v>0</v>
          </cell>
          <cell r="L227">
            <v>0</v>
          </cell>
        </row>
        <row r="228">
          <cell r="A228" t="str">
            <v>09</v>
          </cell>
          <cell r="B228" t="str">
            <v>01</v>
          </cell>
          <cell r="C228" t="str">
            <v>09</v>
          </cell>
          <cell r="D228" t="str">
            <v>2</v>
          </cell>
          <cell r="E228" t="str">
            <v>0001</v>
          </cell>
          <cell r="F228" t="str">
            <v>0002</v>
          </cell>
          <cell r="G228" t="str">
            <v>10101</v>
          </cell>
          <cell r="H228" t="str">
            <v>存现金</v>
          </cell>
          <cell r="I228" t="b">
            <v>0</v>
          </cell>
          <cell r="J228">
            <v>400000</v>
          </cell>
          <cell r="K228">
            <v>0</v>
          </cell>
          <cell r="L228">
            <v>0</v>
          </cell>
        </row>
        <row r="229">
          <cell r="A229" t="str">
            <v>09</v>
          </cell>
          <cell r="B229" t="str">
            <v>01</v>
          </cell>
          <cell r="C229" t="str">
            <v>09</v>
          </cell>
          <cell r="D229" t="str">
            <v>2</v>
          </cell>
          <cell r="E229" t="str">
            <v>0002</v>
          </cell>
          <cell r="F229" t="str">
            <v>0003</v>
          </cell>
          <cell r="G229" t="str">
            <v>10101</v>
          </cell>
          <cell r="H229" t="str">
            <v>购材料</v>
          </cell>
          <cell r="I229" t="b">
            <v>0</v>
          </cell>
          <cell r="J229">
            <v>1807.5</v>
          </cell>
          <cell r="K229">
            <v>0</v>
          </cell>
          <cell r="L229">
            <v>0</v>
          </cell>
        </row>
        <row r="230">
          <cell r="A230" t="str">
            <v>09</v>
          </cell>
          <cell r="B230" t="str">
            <v>05</v>
          </cell>
          <cell r="C230" t="str">
            <v>09</v>
          </cell>
          <cell r="D230" t="str">
            <v>2</v>
          </cell>
          <cell r="E230" t="str">
            <v>0003</v>
          </cell>
          <cell r="F230" t="str">
            <v>0003</v>
          </cell>
          <cell r="G230" t="str">
            <v>10101</v>
          </cell>
          <cell r="H230" t="str">
            <v>购材料</v>
          </cell>
          <cell r="I230" t="b">
            <v>0</v>
          </cell>
          <cell r="J230">
            <v>17346.54</v>
          </cell>
          <cell r="K230">
            <v>0</v>
          </cell>
          <cell r="L230">
            <v>0</v>
          </cell>
        </row>
        <row r="231">
          <cell r="A231" t="str">
            <v>09</v>
          </cell>
          <cell r="B231" t="str">
            <v>05</v>
          </cell>
          <cell r="C231" t="str">
            <v>09</v>
          </cell>
          <cell r="D231" t="str">
            <v>2</v>
          </cell>
          <cell r="E231" t="str">
            <v>0004</v>
          </cell>
          <cell r="F231" t="str">
            <v>0006</v>
          </cell>
          <cell r="G231" t="str">
            <v>10101</v>
          </cell>
          <cell r="H231" t="str">
            <v>付费用</v>
          </cell>
          <cell r="I231" t="b">
            <v>0</v>
          </cell>
          <cell r="J231">
            <v>13655.5</v>
          </cell>
          <cell r="K231">
            <v>0</v>
          </cell>
          <cell r="L231">
            <v>0</v>
          </cell>
        </row>
        <row r="232">
          <cell r="A232" t="str">
            <v>09</v>
          </cell>
          <cell r="B232" t="str">
            <v>08</v>
          </cell>
          <cell r="C232" t="str">
            <v>09</v>
          </cell>
          <cell r="D232" t="str">
            <v>2</v>
          </cell>
          <cell r="E232" t="str">
            <v>0005</v>
          </cell>
          <cell r="F232" t="str">
            <v>0003</v>
          </cell>
          <cell r="G232" t="str">
            <v>10101</v>
          </cell>
          <cell r="H232" t="str">
            <v>付职工内部存款及利息</v>
          </cell>
          <cell r="I232" t="b">
            <v>0</v>
          </cell>
          <cell r="J232">
            <v>89292.3</v>
          </cell>
          <cell r="K232">
            <v>0</v>
          </cell>
          <cell r="L232">
            <v>0</v>
          </cell>
        </row>
        <row r="233">
          <cell r="A233" t="str">
            <v>09</v>
          </cell>
          <cell r="B233" t="str">
            <v>08</v>
          </cell>
          <cell r="C233" t="str">
            <v>09</v>
          </cell>
          <cell r="D233" t="str">
            <v>2</v>
          </cell>
          <cell r="E233" t="str">
            <v>0006</v>
          </cell>
          <cell r="F233" t="str">
            <v>0002</v>
          </cell>
          <cell r="G233" t="str">
            <v>10101</v>
          </cell>
          <cell r="H233" t="str">
            <v>付理发费等</v>
          </cell>
          <cell r="I233" t="b">
            <v>0</v>
          </cell>
          <cell r="J233">
            <v>6450</v>
          </cell>
          <cell r="K233">
            <v>0</v>
          </cell>
          <cell r="L233">
            <v>0</v>
          </cell>
        </row>
        <row r="234">
          <cell r="A234" t="str">
            <v>09</v>
          </cell>
          <cell r="B234" t="str">
            <v>10</v>
          </cell>
          <cell r="C234" t="str">
            <v>09</v>
          </cell>
          <cell r="D234" t="str">
            <v>2</v>
          </cell>
          <cell r="E234" t="str">
            <v>0007</v>
          </cell>
          <cell r="F234" t="str">
            <v>0004</v>
          </cell>
          <cell r="G234" t="str">
            <v>10101</v>
          </cell>
          <cell r="H234" t="str">
            <v>购材料</v>
          </cell>
          <cell r="I234" t="b">
            <v>0</v>
          </cell>
          <cell r="J234">
            <v>7837.88</v>
          </cell>
          <cell r="K234">
            <v>0</v>
          </cell>
          <cell r="L234">
            <v>0</v>
          </cell>
        </row>
        <row r="235">
          <cell r="A235" t="str">
            <v>09</v>
          </cell>
          <cell r="B235" t="str">
            <v>12</v>
          </cell>
          <cell r="C235" t="str">
            <v>09</v>
          </cell>
          <cell r="D235" t="str">
            <v>2</v>
          </cell>
          <cell r="E235" t="str">
            <v>0008</v>
          </cell>
          <cell r="F235" t="str">
            <v>0006</v>
          </cell>
          <cell r="G235" t="str">
            <v>10101</v>
          </cell>
          <cell r="H235" t="str">
            <v>暂借款</v>
          </cell>
          <cell r="I235" t="b">
            <v>0</v>
          </cell>
          <cell r="J235">
            <v>27542.15</v>
          </cell>
          <cell r="K235">
            <v>0</v>
          </cell>
          <cell r="L235">
            <v>0</v>
          </cell>
        </row>
        <row r="236">
          <cell r="A236" t="str">
            <v>09</v>
          </cell>
          <cell r="B236" t="str">
            <v>15</v>
          </cell>
          <cell r="C236" t="str">
            <v>09</v>
          </cell>
          <cell r="D236" t="str">
            <v>2</v>
          </cell>
          <cell r="E236" t="str">
            <v>0009</v>
          </cell>
          <cell r="F236" t="str">
            <v>0005</v>
          </cell>
          <cell r="G236" t="str">
            <v>10101</v>
          </cell>
          <cell r="H236" t="str">
            <v>暂借款</v>
          </cell>
          <cell r="I236" t="b">
            <v>0</v>
          </cell>
          <cell r="J236">
            <v>3990000</v>
          </cell>
          <cell r="K236">
            <v>0</v>
          </cell>
          <cell r="L236">
            <v>0</v>
          </cell>
        </row>
        <row r="237">
          <cell r="A237" t="str">
            <v>09</v>
          </cell>
          <cell r="B237" t="str">
            <v>15</v>
          </cell>
          <cell r="C237" t="str">
            <v>09</v>
          </cell>
          <cell r="D237" t="str">
            <v>2</v>
          </cell>
          <cell r="E237" t="str">
            <v>0010</v>
          </cell>
          <cell r="F237" t="str">
            <v>0002</v>
          </cell>
          <cell r="G237" t="str">
            <v>10101</v>
          </cell>
          <cell r="H237" t="str">
            <v>付招待费</v>
          </cell>
          <cell r="I237" t="b">
            <v>0</v>
          </cell>
          <cell r="J237">
            <v>9973.6</v>
          </cell>
          <cell r="K237">
            <v>0</v>
          </cell>
          <cell r="L237">
            <v>0</v>
          </cell>
        </row>
        <row r="238">
          <cell r="A238" t="str">
            <v>09</v>
          </cell>
          <cell r="B238" t="str">
            <v>15</v>
          </cell>
          <cell r="C238" t="str">
            <v>09</v>
          </cell>
          <cell r="D238" t="str">
            <v>2</v>
          </cell>
          <cell r="E238" t="str">
            <v>0011</v>
          </cell>
          <cell r="F238" t="str">
            <v>0002</v>
          </cell>
          <cell r="G238" t="str">
            <v>10101</v>
          </cell>
          <cell r="H238" t="str">
            <v>付差旅费</v>
          </cell>
          <cell r="I238" t="b">
            <v>0</v>
          </cell>
          <cell r="J238">
            <v>6635</v>
          </cell>
          <cell r="K238">
            <v>0</v>
          </cell>
          <cell r="L238">
            <v>0</v>
          </cell>
        </row>
        <row r="239">
          <cell r="A239" t="str">
            <v>09</v>
          </cell>
          <cell r="B239" t="str">
            <v>18</v>
          </cell>
          <cell r="C239" t="str">
            <v>09</v>
          </cell>
          <cell r="D239" t="str">
            <v>2</v>
          </cell>
          <cell r="E239" t="str">
            <v>0012</v>
          </cell>
          <cell r="F239" t="str">
            <v>0002</v>
          </cell>
          <cell r="G239" t="str">
            <v>10101</v>
          </cell>
          <cell r="H239" t="str">
            <v>付差旅费</v>
          </cell>
          <cell r="I239" t="b">
            <v>0</v>
          </cell>
          <cell r="J239">
            <v>4940</v>
          </cell>
          <cell r="K239">
            <v>0</v>
          </cell>
          <cell r="L239">
            <v>0</v>
          </cell>
        </row>
        <row r="240">
          <cell r="A240" t="str">
            <v>09</v>
          </cell>
          <cell r="B240" t="str">
            <v>20</v>
          </cell>
          <cell r="C240" t="str">
            <v>09</v>
          </cell>
          <cell r="D240" t="str">
            <v>2</v>
          </cell>
          <cell r="E240" t="str">
            <v>0013</v>
          </cell>
          <cell r="F240" t="str">
            <v>0004</v>
          </cell>
          <cell r="G240" t="str">
            <v>10101</v>
          </cell>
          <cell r="H240" t="str">
            <v>购材料</v>
          </cell>
          <cell r="I240" t="b">
            <v>0</v>
          </cell>
          <cell r="J240">
            <v>45715.89</v>
          </cell>
          <cell r="K240">
            <v>0</v>
          </cell>
          <cell r="L240">
            <v>0</v>
          </cell>
        </row>
        <row r="241">
          <cell r="A241" t="str">
            <v>09</v>
          </cell>
          <cell r="B241" t="str">
            <v>20</v>
          </cell>
          <cell r="C241" t="str">
            <v>09</v>
          </cell>
          <cell r="D241" t="str">
            <v>2</v>
          </cell>
          <cell r="E241" t="str">
            <v>0014</v>
          </cell>
          <cell r="F241" t="str">
            <v>0002</v>
          </cell>
          <cell r="G241" t="str">
            <v>10101</v>
          </cell>
          <cell r="H241" t="str">
            <v>付快递费</v>
          </cell>
          <cell r="I241" t="b">
            <v>0</v>
          </cell>
          <cell r="J241">
            <v>4788</v>
          </cell>
          <cell r="K241">
            <v>0</v>
          </cell>
          <cell r="L241">
            <v>0</v>
          </cell>
        </row>
        <row r="242">
          <cell r="A242" t="str">
            <v>09</v>
          </cell>
          <cell r="B242" t="str">
            <v>20</v>
          </cell>
          <cell r="C242" t="str">
            <v>09</v>
          </cell>
          <cell r="D242" t="str">
            <v>2</v>
          </cell>
          <cell r="E242" t="str">
            <v>0015</v>
          </cell>
          <cell r="F242" t="str">
            <v>0002</v>
          </cell>
          <cell r="G242" t="str">
            <v>10101</v>
          </cell>
          <cell r="H242" t="str">
            <v>付果款</v>
          </cell>
          <cell r="I242" t="b">
            <v>0</v>
          </cell>
          <cell r="J242">
            <v>5427</v>
          </cell>
          <cell r="K242">
            <v>0</v>
          </cell>
          <cell r="L242">
            <v>0</v>
          </cell>
        </row>
        <row r="243">
          <cell r="A243" t="str">
            <v>09</v>
          </cell>
          <cell r="B243" t="str">
            <v>20</v>
          </cell>
          <cell r="C243" t="str">
            <v>09</v>
          </cell>
          <cell r="D243" t="str">
            <v>2</v>
          </cell>
          <cell r="E243" t="str">
            <v>0016</v>
          </cell>
          <cell r="F243" t="str">
            <v>0002</v>
          </cell>
          <cell r="G243" t="str">
            <v>10101</v>
          </cell>
          <cell r="H243" t="str">
            <v>付职工早餐补助</v>
          </cell>
          <cell r="I243" t="b">
            <v>0</v>
          </cell>
          <cell r="J243">
            <v>1070.4000000000001</v>
          </cell>
          <cell r="K243">
            <v>0</v>
          </cell>
          <cell r="L243">
            <v>0</v>
          </cell>
        </row>
        <row r="244">
          <cell r="A244" t="str">
            <v>09</v>
          </cell>
          <cell r="B244" t="str">
            <v>20</v>
          </cell>
          <cell r="C244" t="str">
            <v>09</v>
          </cell>
          <cell r="D244" t="str">
            <v>2</v>
          </cell>
          <cell r="E244" t="str">
            <v>0017</v>
          </cell>
          <cell r="F244" t="str">
            <v>0002</v>
          </cell>
          <cell r="G244" t="str">
            <v>10101</v>
          </cell>
          <cell r="H244" t="str">
            <v>付临时工工资等</v>
          </cell>
          <cell r="I244" t="b">
            <v>0</v>
          </cell>
          <cell r="J244">
            <v>60789.09</v>
          </cell>
          <cell r="K244">
            <v>0</v>
          </cell>
          <cell r="L244">
            <v>0</v>
          </cell>
        </row>
        <row r="245">
          <cell r="A245" t="str">
            <v>09</v>
          </cell>
          <cell r="B245" t="str">
            <v>01</v>
          </cell>
          <cell r="C245" t="str">
            <v>09</v>
          </cell>
          <cell r="D245" t="str">
            <v>4</v>
          </cell>
          <cell r="E245" t="str">
            <v>0001</v>
          </cell>
          <cell r="F245" t="str">
            <v>0001</v>
          </cell>
          <cell r="G245" t="str">
            <v>10101</v>
          </cell>
          <cell r="H245" t="str">
            <v>支现金</v>
          </cell>
          <cell r="I245" t="b">
            <v>1</v>
          </cell>
          <cell r="J245">
            <v>1060000</v>
          </cell>
          <cell r="K245">
            <v>0</v>
          </cell>
          <cell r="L245">
            <v>0</v>
          </cell>
        </row>
        <row r="246">
          <cell r="A246" t="str">
            <v>09</v>
          </cell>
          <cell r="B246" t="str">
            <v>10</v>
          </cell>
          <cell r="C246" t="str">
            <v>09</v>
          </cell>
          <cell r="D246" t="str">
            <v>4</v>
          </cell>
          <cell r="E246" t="str">
            <v>0012</v>
          </cell>
          <cell r="F246" t="str">
            <v>0001</v>
          </cell>
          <cell r="G246" t="str">
            <v>10101</v>
          </cell>
          <cell r="H246" t="str">
            <v>支现金</v>
          </cell>
          <cell r="I246" t="b">
            <v>1</v>
          </cell>
          <cell r="J246">
            <v>1500000</v>
          </cell>
          <cell r="K246">
            <v>0</v>
          </cell>
          <cell r="L246">
            <v>0</v>
          </cell>
        </row>
        <row r="247">
          <cell r="A247" t="str">
            <v>09</v>
          </cell>
          <cell r="B247" t="str">
            <v>14</v>
          </cell>
          <cell r="C247" t="str">
            <v>09</v>
          </cell>
          <cell r="D247" t="str">
            <v>4</v>
          </cell>
          <cell r="E247" t="str">
            <v>0017</v>
          </cell>
          <cell r="F247" t="str">
            <v>0004</v>
          </cell>
          <cell r="G247" t="str">
            <v>10101</v>
          </cell>
          <cell r="H247" t="str">
            <v>支现金</v>
          </cell>
          <cell r="I247" t="b">
            <v>1</v>
          </cell>
          <cell r="J247">
            <v>1000000</v>
          </cell>
          <cell r="K247">
            <v>0</v>
          </cell>
          <cell r="L247">
            <v>0</v>
          </cell>
        </row>
        <row r="248">
          <cell r="A248" t="str">
            <v>10</v>
          </cell>
          <cell r="B248" t="str">
            <v>01</v>
          </cell>
          <cell r="C248" t="str">
            <v>10</v>
          </cell>
          <cell r="D248" t="str">
            <v>1</v>
          </cell>
          <cell r="E248" t="str">
            <v>0001</v>
          </cell>
          <cell r="F248" t="str">
            <v>0001</v>
          </cell>
          <cell r="G248" t="str">
            <v>10101</v>
          </cell>
          <cell r="H248" t="str">
            <v>收离休医疗费.劳动保险费</v>
          </cell>
          <cell r="I248" t="b">
            <v>1</v>
          </cell>
          <cell r="J248">
            <v>1323.2</v>
          </cell>
          <cell r="K248">
            <v>0</v>
          </cell>
          <cell r="L248">
            <v>0</v>
          </cell>
        </row>
        <row r="249">
          <cell r="A249" t="str">
            <v>10</v>
          </cell>
          <cell r="B249" t="str">
            <v>04</v>
          </cell>
          <cell r="C249" t="str">
            <v>10</v>
          </cell>
          <cell r="D249" t="str">
            <v>1</v>
          </cell>
          <cell r="E249" t="str">
            <v>0002</v>
          </cell>
          <cell r="F249" t="str">
            <v>0001</v>
          </cell>
          <cell r="G249" t="str">
            <v>10101</v>
          </cell>
          <cell r="H249" t="str">
            <v>收果渣款.旧桶款.理发室月租费</v>
          </cell>
          <cell r="I249" t="b">
            <v>1</v>
          </cell>
          <cell r="J249">
            <v>56336</v>
          </cell>
          <cell r="K249">
            <v>0</v>
          </cell>
          <cell r="L249">
            <v>0</v>
          </cell>
        </row>
        <row r="250">
          <cell r="A250" t="str">
            <v>10</v>
          </cell>
          <cell r="B250" t="str">
            <v>10</v>
          </cell>
          <cell r="C250" t="str">
            <v>10</v>
          </cell>
          <cell r="D250" t="str">
            <v>1</v>
          </cell>
          <cell r="E250" t="str">
            <v>0003</v>
          </cell>
          <cell r="F250" t="str">
            <v>0001</v>
          </cell>
          <cell r="G250" t="str">
            <v>10101</v>
          </cell>
          <cell r="H250" t="str">
            <v>收回借款</v>
          </cell>
          <cell r="I250" t="b">
            <v>1</v>
          </cell>
          <cell r="J250">
            <v>14500</v>
          </cell>
          <cell r="K250">
            <v>0</v>
          </cell>
          <cell r="L250">
            <v>0</v>
          </cell>
        </row>
        <row r="251">
          <cell r="A251" t="str">
            <v>10</v>
          </cell>
          <cell r="B251" t="str">
            <v>13</v>
          </cell>
          <cell r="C251" t="str">
            <v>10</v>
          </cell>
          <cell r="D251" t="str">
            <v>1</v>
          </cell>
          <cell r="E251" t="str">
            <v>0004</v>
          </cell>
          <cell r="F251" t="str">
            <v>0001</v>
          </cell>
          <cell r="G251" t="str">
            <v>10101</v>
          </cell>
          <cell r="H251" t="str">
            <v>收存款及利息</v>
          </cell>
          <cell r="I251" t="b">
            <v>1</v>
          </cell>
          <cell r="J251">
            <v>30588.3</v>
          </cell>
          <cell r="K251">
            <v>0</v>
          </cell>
          <cell r="L251">
            <v>0</v>
          </cell>
        </row>
        <row r="252">
          <cell r="A252" t="str">
            <v>10</v>
          </cell>
          <cell r="B252" t="str">
            <v>20</v>
          </cell>
          <cell r="C252" t="str">
            <v>10</v>
          </cell>
          <cell r="D252" t="str">
            <v>1</v>
          </cell>
          <cell r="E252" t="str">
            <v>0005</v>
          </cell>
          <cell r="F252" t="str">
            <v>0001</v>
          </cell>
          <cell r="G252" t="str">
            <v>10101</v>
          </cell>
          <cell r="H252" t="str">
            <v>收借款</v>
          </cell>
          <cell r="I252" t="b">
            <v>1</v>
          </cell>
          <cell r="J252">
            <v>420000</v>
          </cell>
          <cell r="K252">
            <v>0</v>
          </cell>
          <cell r="L252">
            <v>0</v>
          </cell>
        </row>
        <row r="253">
          <cell r="A253" t="str">
            <v>10</v>
          </cell>
          <cell r="B253" t="str">
            <v>20</v>
          </cell>
          <cell r="C253" t="str">
            <v>10</v>
          </cell>
          <cell r="D253" t="str">
            <v>1</v>
          </cell>
          <cell r="E253" t="str">
            <v>0006</v>
          </cell>
          <cell r="F253" t="str">
            <v>0001</v>
          </cell>
          <cell r="G253" t="str">
            <v>10101</v>
          </cell>
          <cell r="H253" t="str">
            <v>收存款</v>
          </cell>
          <cell r="I253" t="b">
            <v>1</v>
          </cell>
          <cell r="J253">
            <v>46591.360000000001</v>
          </cell>
          <cell r="K253">
            <v>0</v>
          </cell>
          <cell r="L253">
            <v>0</v>
          </cell>
        </row>
        <row r="254">
          <cell r="A254" t="str">
            <v>10</v>
          </cell>
          <cell r="B254" t="str">
            <v>01</v>
          </cell>
          <cell r="C254" t="str">
            <v>10</v>
          </cell>
          <cell r="D254" t="str">
            <v>2</v>
          </cell>
          <cell r="E254" t="str">
            <v>0001</v>
          </cell>
          <cell r="F254" t="str">
            <v>0002</v>
          </cell>
          <cell r="G254" t="str">
            <v>10101</v>
          </cell>
          <cell r="H254" t="str">
            <v>付吊车费</v>
          </cell>
          <cell r="I254" t="b">
            <v>0</v>
          </cell>
          <cell r="J254">
            <v>400</v>
          </cell>
          <cell r="K254">
            <v>0</v>
          </cell>
          <cell r="L254">
            <v>0</v>
          </cell>
        </row>
        <row r="255">
          <cell r="A255" t="str">
            <v>10</v>
          </cell>
          <cell r="B255" t="str">
            <v>01</v>
          </cell>
          <cell r="C255" t="str">
            <v>10</v>
          </cell>
          <cell r="D255" t="str">
            <v>2</v>
          </cell>
          <cell r="E255" t="str">
            <v>0001</v>
          </cell>
          <cell r="F255" t="str">
            <v>0004</v>
          </cell>
          <cell r="G255" t="str">
            <v>10101</v>
          </cell>
          <cell r="H255" t="str">
            <v>存现金</v>
          </cell>
          <cell r="I255" t="b">
            <v>0</v>
          </cell>
          <cell r="J255">
            <v>20578.3</v>
          </cell>
          <cell r="K255">
            <v>0</v>
          </cell>
          <cell r="L255">
            <v>0</v>
          </cell>
        </row>
        <row r="256">
          <cell r="A256" t="str">
            <v>10</v>
          </cell>
          <cell r="B256" t="str">
            <v>01</v>
          </cell>
          <cell r="C256" t="str">
            <v>10</v>
          </cell>
          <cell r="D256" t="str">
            <v>2</v>
          </cell>
          <cell r="E256" t="str">
            <v>0002</v>
          </cell>
          <cell r="F256" t="str">
            <v>0002</v>
          </cell>
          <cell r="G256" t="str">
            <v>10101</v>
          </cell>
          <cell r="H256" t="str">
            <v>付理发票费.免餐费等</v>
          </cell>
          <cell r="I256" t="b">
            <v>0</v>
          </cell>
          <cell r="J256">
            <v>7577</v>
          </cell>
          <cell r="K256">
            <v>0</v>
          </cell>
          <cell r="L256">
            <v>0</v>
          </cell>
        </row>
        <row r="257">
          <cell r="A257" t="str">
            <v>10</v>
          </cell>
          <cell r="B257" t="str">
            <v>02</v>
          </cell>
          <cell r="C257" t="str">
            <v>10</v>
          </cell>
          <cell r="D257" t="str">
            <v>2</v>
          </cell>
          <cell r="E257" t="str">
            <v>0003</v>
          </cell>
          <cell r="F257" t="str">
            <v>0005</v>
          </cell>
          <cell r="G257" t="str">
            <v>10101</v>
          </cell>
          <cell r="H257" t="str">
            <v>暂借款</v>
          </cell>
          <cell r="I257" t="b">
            <v>0</v>
          </cell>
          <cell r="J257">
            <v>509278</v>
          </cell>
          <cell r="K257">
            <v>0</v>
          </cell>
          <cell r="L257">
            <v>0</v>
          </cell>
        </row>
        <row r="258">
          <cell r="A258" t="str">
            <v>10</v>
          </cell>
          <cell r="B258" t="str">
            <v>05</v>
          </cell>
          <cell r="C258" t="str">
            <v>10</v>
          </cell>
          <cell r="D258" t="str">
            <v>2</v>
          </cell>
          <cell r="E258" t="str">
            <v>0004</v>
          </cell>
          <cell r="F258" t="str">
            <v>0003</v>
          </cell>
          <cell r="G258" t="str">
            <v>10101</v>
          </cell>
          <cell r="H258" t="str">
            <v>购材料</v>
          </cell>
          <cell r="I258" t="b">
            <v>0</v>
          </cell>
          <cell r="J258">
            <v>3471.82</v>
          </cell>
          <cell r="K258">
            <v>0</v>
          </cell>
          <cell r="L258">
            <v>0</v>
          </cell>
        </row>
        <row r="259">
          <cell r="A259" t="str">
            <v>10</v>
          </cell>
          <cell r="B259" t="str">
            <v>05</v>
          </cell>
          <cell r="C259" t="str">
            <v>10</v>
          </cell>
          <cell r="D259" t="str">
            <v>2</v>
          </cell>
          <cell r="E259" t="str">
            <v>0005</v>
          </cell>
          <cell r="F259" t="str">
            <v>0002</v>
          </cell>
          <cell r="G259" t="str">
            <v>10101</v>
          </cell>
          <cell r="H259" t="str">
            <v>付电话费</v>
          </cell>
          <cell r="I259" t="b">
            <v>0</v>
          </cell>
          <cell r="J259">
            <v>12359</v>
          </cell>
          <cell r="K259">
            <v>0</v>
          </cell>
          <cell r="L259">
            <v>0</v>
          </cell>
        </row>
        <row r="260">
          <cell r="A260" t="str">
            <v>10</v>
          </cell>
          <cell r="B260" t="str">
            <v>05</v>
          </cell>
          <cell r="C260" t="str">
            <v>10</v>
          </cell>
          <cell r="D260" t="str">
            <v>2</v>
          </cell>
          <cell r="E260" t="str">
            <v>0006</v>
          </cell>
          <cell r="F260" t="str">
            <v>0002</v>
          </cell>
          <cell r="G260" t="str">
            <v>10101</v>
          </cell>
          <cell r="H260" t="str">
            <v>付招待费</v>
          </cell>
          <cell r="I260" t="b">
            <v>0</v>
          </cell>
          <cell r="J260">
            <v>4288.3999999999996</v>
          </cell>
          <cell r="K260">
            <v>0</v>
          </cell>
          <cell r="L260">
            <v>0</v>
          </cell>
        </row>
        <row r="261">
          <cell r="A261" t="str">
            <v>10</v>
          </cell>
          <cell r="B261" t="str">
            <v>08</v>
          </cell>
          <cell r="C261" t="str">
            <v>10</v>
          </cell>
          <cell r="D261" t="str">
            <v>2</v>
          </cell>
          <cell r="E261" t="str">
            <v>0007</v>
          </cell>
          <cell r="F261" t="str">
            <v>0003</v>
          </cell>
          <cell r="G261" t="str">
            <v>10101</v>
          </cell>
          <cell r="H261" t="str">
            <v>付土地登记费.美术装饰款等</v>
          </cell>
          <cell r="I261" t="b">
            <v>0</v>
          </cell>
          <cell r="J261">
            <v>8722.1</v>
          </cell>
          <cell r="K261">
            <v>0</v>
          </cell>
          <cell r="L261">
            <v>0</v>
          </cell>
        </row>
        <row r="262">
          <cell r="A262" t="str">
            <v>10</v>
          </cell>
          <cell r="B262" t="str">
            <v>10</v>
          </cell>
          <cell r="C262" t="str">
            <v>10</v>
          </cell>
          <cell r="D262" t="str">
            <v>2</v>
          </cell>
          <cell r="E262" t="str">
            <v>0008</v>
          </cell>
          <cell r="F262" t="str">
            <v>0002</v>
          </cell>
          <cell r="G262" t="str">
            <v>10101</v>
          </cell>
          <cell r="H262" t="str">
            <v>付差旅费</v>
          </cell>
          <cell r="I262" t="b">
            <v>0</v>
          </cell>
          <cell r="J262">
            <v>3454</v>
          </cell>
          <cell r="K262">
            <v>0</v>
          </cell>
          <cell r="L262">
            <v>0</v>
          </cell>
        </row>
        <row r="263">
          <cell r="A263" t="str">
            <v>10</v>
          </cell>
          <cell r="B263" t="str">
            <v>10</v>
          </cell>
          <cell r="C263" t="str">
            <v>10</v>
          </cell>
          <cell r="D263" t="str">
            <v>2</v>
          </cell>
          <cell r="E263" t="str">
            <v>0009</v>
          </cell>
          <cell r="F263" t="str">
            <v>0004</v>
          </cell>
          <cell r="G263" t="str">
            <v>10101</v>
          </cell>
          <cell r="H263" t="str">
            <v>购材料</v>
          </cell>
          <cell r="I263" t="b">
            <v>0</v>
          </cell>
          <cell r="J263">
            <v>25458.45</v>
          </cell>
          <cell r="K263">
            <v>0</v>
          </cell>
          <cell r="L263">
            <v>0</v>
          </cell>
        </row>
        <row r="264">
          <cell r="A264" t="str">
            <v>10</v>
          </cell>
          <cell r="B264" t="str">
            <v>10</v>
          </cell>
          <cell r="C264" t="str">
            <v>10</v>
          </cell>
          <cell r="D264" t="str">
            <v>2</v>
          </cell>
          <cell r="E264" t="str">
            <v>0010</v>
          </cell>
          <cell r="F264" t="str">
            <v>0003</v>
          </cell>
          <cell r="G264" t="str">
            <v>10101</v>
          </cell>
          <cell r="H264" t="str">
            <v>付进口液体酶费用</v>
          </cell>
          <cell r="I264" t="b">
            <v>0</v>
          </cell>
          <cell r="J264">
            <v>1200.4100000000001</v>
          </cell>
          <cell r="K264">
            <v>0</v>
          </cell>
          <cell r="L264">
            <v>0</v>
          </cell>
        </row>
        <row r="265">
          <cell r="A265" t="str">
            <v>10</v>
          </cell>
          <cell r="B265" t="str">
            <v>12</v>
          </cell>
          <cell r="C265" t="str">
            <v>10</v>
          </cell>
          <cell r="D265" t="str">
            <v>2</v>
          </cell>
          <cell r="E265" t="str">
            <v>0011</v>
          </cell>
          <cell r="F265" t="str">
            <v>0002</v>
          </cell>
          <cell r="G265" t="str">
            <v>10101</v>
          </cell>
          <cell r="H265" t="str">
            <v>付临时工工资</v>
          </cell>
          <cell r="I265" t="b">
            <v>0</v>
          </cell>
          <cell r="J265">
            <v>82263.72</v>
          </cell>
          <cell r="K265">
            <v>0</v>
          </cell>
          <cell r="L265">
            <v>0</v>
          </cell>
        </row>
        <row r="266">
          <cell r="A266" t="str">
            <v>10</v>
          </cell>
          <cell r="B266" t="str">
            <v>12</v>
          </cell>
          <cell r="C266" t="str">
            <v>10</v>
          </cell>
          <cell r="D266" t="str">
            <v>2</v>
          </cell>
          <cell r="E266" t="str">
            <v>0012</v>
          </cell>
          <cell r="F266" t="str">
            <v>0002</v>
          </cell>
          <cell r="G266" t="str">
            <v>10101</v>
          </cell>
          <cell r="H266" t="str">
            <v>购高速离心机</v>
          </cell>
          <cell r="I266" t="b">
            <v>0</v>
          </cell>
          <cell r="J266">
            <v>7860</v>
          </cell>
          <cell r="K266">
            <v>0</v>
          </cell>
          <cell r="L266">
            <v>0</v>
          </cell>
        </row>
        <row r="267">
          <cell r="A267" t="str">
            <v>10</v>
          </cell>
          <cell r="B267" t="str">
            <v>12</v>
          </cell>
          <cell r="C267" t="str">
            <v>10</v>
          </cell>
          <cell r="D267" t="str">
            <v>2</v>
          </cell>
          <cell r="E267" t="str">
            <v>0013</v>
          </cell>
          <cell r="F267" t="str">
            <v>0004</v>
          </cell>
          <cell r="G267" t="str">
            <v>10101</v>
          </cell>
          <cell r="H267" t="str">
            <v>付物料消耗款等</v>
          </cell>
          <cell r="I267" t="b">
            <v>0</v>
          </cell>
          <cell r="J267">
            <v>8795.7999999999993</v>
          </cell>
          <cell r="K267">
            <v>0</v>
          </cell>
          <cell r="L267">
            <v>0</v>
          </cell>
        </row>
        <row r="268">
          <cell r="A268" t="str">
            <v>10</v>
          </cell>
          <cell r="B268" t="str">
            <v>15</v>
          </cell>
          <cell r="C268" t="str">
            <v>10</v>
          </cell>
          <cell r="D268" t="str">
            <v>2</v>
          </cell>
          <cell r="E268" t="str">
            <v>0014</v>
          </cell>
          <cell r="F268" t="str">
            <v>0005</v>
          </cell>
          <cell r="G268" t="str">
            <v>10101</v>
          </cell>
          <cell r="H268" t="str">
            <v>付职工内部存款及利息</v>
          </cell>
          <cell r="I268" t="b">
            <v>0</v>
          </cell>
          <cell r="J268">
            <v>10329.299999999999</v>
          </cell>
          <cell r="K268">
            <v>0</v>
          </cell>
          <cell r="L268">
            <v>0</v>
          </cell>
        </row>
        <row r="269">
          <cell r="A269" t="str">
            <v>10</v>
          </cell>
          <cell r="B269" t="str">
            <v>21</v>
          </cell>
          <cell r="C269" t="str">
            <v>10</v>
          </cell>
          <cell r="D269" t="str">
            <v>2</v>
          </cell>
          <cell r="E269" t="str">
            <v>0015</v>
          </cell>
          <cell r="F269" t="str">
            <v>0005</v>
          </cell>
          <cell r="G269" t="str">
            <v>10101</v>
          </cell>
          <cell r="H269" t="str">
            <v>暂借款</v>
          </cell>
          <cell r="I269" t="b">
            <v>0</v>
          </cell>
          <cell r="J269">
            <v>1082000</v>
          </cell>
          <cell r="K269">
            <v>0</v>
          </cell>
          <cell r="L269">
            <v>0</v>
          </cell>
        </row>
        <row r="270">
          <cell r="A270" t="str">
            <v>10</v>
          </cell>
          <cell r="B270" t="str">
            <v>21</v>
          </cell>
          <cell r="C270" t="str">
            <v>10</v>
          </cell>
          <cell r="D270" t="str">
            <v>2</v>
          </cell>
          <cell r="E270" t="str">
            <v>0016</v>
          </cell>
          <cell r="F270" t="str">
            <v>0002</v>
          </cell>
          <cell r="G270" t="str">
            <v>10101</v>
          </cell>
          <cell r="H270" t="str">
            <v>付会务费等</v>
          </cell>
          <cell r="I270" t="b">
            <v>0</v>
          </cell>
          <cell r="J270">
            <v>30495.599999999999</v>
          </cell>
          <cell r="K270">
            <v>0</v>
          </cell>
          <cell r="L270">
            <v>0</v>
          </cell>
        </row>
        <row r="271">
          <cell r="A271" t="str">
            <v>10</v>
          </cell>
          <cell r="B271" t="str">
            <v>21</v>
          </cell>
          <cell r="C271" t="str">
            <v>10</v>
          </cell>
          <cell r="D271" t="str">
            <v>2</v>
          </cell>
          <cell r="E271" t="str">
            <v>0017</v>
          </cell>
          <cell r="F271" t="str">
            <v>0003</v>
          </cell>
          <cell r="G271" t="str">
            <v>10101</v>
          </cell>
          <cell r="H271" t="str">
            <v>付差旅费.招待费</v>
          </cell>
          <cell r="I271" t="b">
            <v>0</v>
          </cell>
          <cell r="J271">
            <v>11062</v>
          </cell>
          <cell r="K271">
            <v>0</v>
          </cell>
          <cell r="L271">
            <v>0</v>
          </cell>
        </row>
        <row r="272">
          <cell r="A272" t="str">
            <v>10</v>
          </cell>
          <cell r="B272" t="str">
            <v>01</v>
          </cell>
          <cell r="C272" t="str">
            <v>10</v>
          </cell>
          <cell r="D272" t="str">
            <v>4</v>
          </cell>
          <cell r="E272" t="str">
            <v>0001</v>
          </cell>
          <cell r="F272" t="str">
            <v>0001</v>
          </cell>
          <cell r="G272" t="str">
            <v>10101</v>
          </cell>
          <cell r="H272" t="str">
            <v>支现金</v>
          </cell>
          <cell r="I272" t="b">
            <v>1</v>
          </cell>
          <cell r="J272">
            <v>1060000</v>
          </cell>
          <cell r="K272">
            <v>0</v>
          </cell>
          <cell r="L272">
            <v>0</v>
          </cell>
        </row>
        <row r="273">
          <cell r="A273" t="str">
            <v>10</v>
          </cell>
          <cell r="B273" t="str">
            <v>21</v>
          </cell>
          <cell r="C273" t="str">
            <v>10</v>
          </cell>
          <cell r="D273" t="str">
            <v>4</v>
          </cell>
          <cell r="E273" t="str">
            <v>0022</v>
          </cell>
          <cell r="F273" t="str">
            <v>0001</v>
          </cell>
          <cell r="G273" t="str">
            <v>10101</v>
          </cell>
          <cell r="H273" t="str">
            <v>支现金</v>
          </cell>
          <cell r="I273" t="b">
            <v>1</v>
          </cell>
          <cell r="J273">
            <v>200000</v>
          </cell>
          <cell r="K273">
            <v>0</v>
          </cell>
          <cell r="L273">
            <v>0</v>
          </cell>
        </row>
        <row r="274">
          <cell r="A274" t="str">
            <v>11</v>
          </cell>
          <cell r="B274" t="str">
            <v>08</v>
          </cell>
          <cell r="C274" t="str">
            <v>11</v>
          </cell>
          <cell r="D274" t="str">
            <v>1</v>
          </cell>
          <cell r="E274" t="str">
            <v>0001</v>
          </cell>
          <cell r="F274" t="str">
            <v>0001</v>
          </cell>
          <cell r="G274" t="str">
            <v>10101</v>
          </cell>
          <cell r="H274" t="str">
            <v>销苹果浓汁</v>
          </cell>
          <cell r="I274" t="b">
            <v>1</v>
          </cell>
          <cell r="J274">
            <v>780</v>
          </cell>
          <cell r="K274">
            <v>0</v>
          </cell>
          <cell r="L274">
            <v>0</v>
          </cell>
        </row>
        <row r="275">
          <cell r="A275" t="str">
            <v>11</v>
          </cell>
          <cell r="B275" t="str">
            <v>16</v>
          </cell>
          <cell r="C275" t="str">
            <v>11</v>
          </cell>
          <cell r="D275" t="str">
            <v>1</v>
          </cell>
          <cell r="E275" t="str">
            <v>0002</v>
          </cell>
          <cell r="F275" t="str">
            <v>0001</v>
          </cell>
          <cell r="G275" t="str">
            <v>10101</v>
          </cell>
          <cell r="H275" t="str">
            <v>收材料款.罚款</v>
          </cell>
          <cell r="I275" t="b">
            <v>1</v>
          </cell>
          <cell r="J275">
            <v>1744.35</v>
          </cell>
          <cell r="K275">
            <v>0</v>
          </cell>
          <cell r="L275">
            <v>0</v>
          </cell>
        </row>
        <row r="276">
          <cell r="A276" t="str">
            <v>11</v>
          </cell>
          <cell r="B276" t="str">
            <v>20</v>
          </cell>
          <cell r="C276" t="str">
            <v>11</v>
          </cell>
          <cell r="D276" t="str">
            <v>1</v>
          </cell>
          <cell r="E276" t="str">
            <v>0003</v>
          </cell>
          <cell r="F276" t="str">
            <v>0001</v>
          </cell>
          <cell r="G276" t="str">
            <v>10101</v>
          </cell>
          <cell r="H276" t="str">
            <v>收回借款</v>
          </cell>
          <cell r="I276" t="b">
            <v>1</v>
          </cell>
          <cell r="J276">
            <v>10127</v>
          </cell>
          <cell r="K276">
            <v>0</v>
          </cell>
          <cell r="L276">
            <v>0</v>
          </cell>
        </row>
        <row r="277">
          <cell r="A277" t="str">
            <v>11</v>
          </cell>
          <cell r="B277" t="str">
            <v>01</v>
          </cell>
          <cell r="C277" t="str">
            <v>11</v>
          </cell>
          <cell r="D277" t="str">
            <v>2</v>
          </cell>
          <cell r="E277" t="str">
            <v>0001</v>
          </cell>
          <cell r="F277" t="str">
            <v>0002</v>
          </cell>
          <cell r="G277" t="str">
            <v>10101</v>
          </cell>
          <cell r="H277" t="str">
            <v>付土地补偿费</v>
          </cell>
          <cell r="I277" t="b">
            <v>0</v>
          </cell>
          <cell r="J277">
            <v>30000</v>
          </cell>
          <cell r="K277">
            <v>0</v>
          </cell>
          <cell r="L277">
            <v>0</v>
          </cell>
        </row>
        <row r="278">
          <cell r="A278" t="str">
            <v>11</v>
          </cell>
          <cell r="B278" t="str">
            <v>01</v>
          </cell>
          <cell r="C278" t="str">
            <v>11</v>
          </cell>
          <cell r="D278" t="str">
            <v>2</v>
          </cell>
          <cell r="E278" t="str">
            <v>0002</v>
          </cell>
          <cell r="F278" t="str">
            <v>0002</v>
          </cell>
          <cell r="G278" t="str">
            <v>10101</v>
          </cell>
          <cell r="H278" t="str">
            <v>付资产评估费</v>
          </cell>
          <cell r="I278" t="b">
            <v>0</v>
          </cell>
          <cell r="J278">
            <v>10000</v>
          </cell>
          <cell r="K278">
            <v>0</v>
          </cell>
          <cell r="L278">
            <v>0</v>
          </cell>
        </row>
        <row r="279">
          <cell r="A279" t="str">
            <v>11</v>
          </cell>
          <cell r="B279" t="str">
            <v>03</v>
          </cell>
          <cell r="C279" t="str">
            <v>11</v>
          </cell>
          <cell r="D279" t="str">
            <v>2</v>
          </cell>
          <cell r="E279" t="str">
            <v>0003</v>
          </cell>
          <cell r="F279" t="str">
            <v>0004</v>
          </cell>
          <cell r="G279" t="str">
            <v>10101</v>
          </cell>
          <cell r="H279" t="str">
            <v>付报刊费.维修费</v>
          </cell>
          <cell r="I279" t="b">
            <v>0</v>
          </cell>
          <cell r="J279">
            <v>3382.6</v>
          </cell>
          <cell r="K279">
            <v>0</v>
          </cell>
          <cell r="L279">
            <v>0</v>
          </cell>
        </row>
        <row r="280">
          <cell r="A280" t="str">
            <v>11</v>
          </cell>
          <cell r="B280" t="str">
            <v>03</v>
          </cell>
          <cell r="C280" t="str">
            <v>11</v>
          </cell>
          <cell r="D280" t="str">
            <v>2</v>
          </cell>
          <cell r="E280" t="str">
            <v>0004</v>
          </cell>
          <cell r="F280" t="str">
            <v>0002</v>
          </cell>
          <cell r="G280" t="str">
            <v>10101</v>
          </cell>
          <cell r="H280" t="str">
            <v>付快递费.胶卷.扩片.电脑绘画款</v>
          </cell>
          <cell r="I280" t="b">
            <v>0</v>
          </cell>
          <cell r="J280">
            <v>30693.9</v>
          </cell>
          <cell r="K280">
            <v>0</v>
          </cell>
          <cell r="L280">
            <v>0</v>
          </cell>
        </row>
        <row r="281">
          <cell r="A281" t="str">
            <v>11</v>
          </cell>
          <cell r="B281" t="str">
            <v>03</v>
          </cell>
          <cell r="C281" t="str">
            <v>11</v>
          </cell>
          <cell r="D281" t="str">
            <v>2</v>
          </cell>
          <cell r="E281" t="str">
            <v>0005</v>
          </cell>
          <cell r="F281" t="str">
            <v>0002</v>
          </cell>
          <cell r="G281" t="str">
            <v>10101</v>
          </cell>
          <cell r="H281" t="str">
            <v>付培训费等</v>
          </cell>
          <cell r="I281" t="b">
            <v>0</v>
          </cell>
          <cell r="J281">
            <v>6206</v>
          </cell>
          <cell r="K281">
            <v>0</v>
          </cell>
          <cell r="L281">
            <v>0</v>
          </cell>
        </row>
        <row r="282">
          <cell r="A282" t="str">
            <v>11</v>
          </cell>
          <cell r="B282" t="str">
            <v>05</v>
          </cell>
          <cell r="C282" t="str">
            <v>11</v>
          </cell>
          <cell r="D282" t="str">
            <v>2</v>
          </cell>
          <cell r="E282" t="str">
            <v>0006</v>
          </cell>
          <cell r="F282" t="str">
            <v>0003</v>
          </cell>
          <cell r="G282" t="str">
            <v>10101</v>
          </cell>
          <cell r="H282" t="str">
            <v>付运费</v>
          </cell>
          <cell r="I282" t="b">
            <v>0</v>
          </cell>
          <cell r="J282">
            <v>6474.6</v>
          </cell>
          <cell r="K282">
            <v>0</v>
          </cell>
          <cell r="L282">
            <v>0</v>
          </cell>
        </row>
        <row r="283">
          <cell r="A283" t="str">
            <v>11</v>
          </cell>
          <cell r="B283" t="str">
            <v>05</v>
          </cell>
          <cell r="C283" t="str">
            <v>11</v>
          </cell>
          <cell r="D283" t="str">
            <v>2</v>
          </cell>
          <cell r="E283" t="str">
            <v>0007</v>
          </cell>
          <cell r="F283" t="str">
            <v>0003</v>
          </cell>
          <cell r="G283" t="str">
            <v>10101</v>
          </cell>
          <cell r="H283" t="str">
            <v>付运费</v>
          </cell>
          <cell r="I283" t="b">
            <v>0</v>
          </cell>
          <cell r="J283">
            <v>23571.08</v>
          </cell>
          <cell r="K283">
            <v>0</v>
          </cell>
          <cell r="L283">
            <v>0</v>
          </cell>
        </row>
        <row r="284">
          <cell r="A284" t="str">
            <v>11</v>
          </cell>
          <cell r="B284" t="str">
            <v>07</v>
          </cell>
          <cell r="C284" t="str">
            <v>11</v>
          </cell>
          <cell r="D284" t="str">
            <v>2</v>
          </cell>
          <cell r="E284" t="str">
            <v>0008</v>
          </cell>
          <cell r="F284" t="str">
            <v>0003</v>
          </cell>
          <cell r="G284" t="str">
            <v>10101</v>
          </cell>
          <cell r="H284" t="str">
            <v>付运费</v>
          </cell>
          <cell r="I284" t="b">
            <v>0</v>
          </cell>
          <cell r="J284">
            <v>5539.85</v>
          </cell>
          <cell r="K284">
            <v>0</v>
          </cell>
          <cell r="L284">
            <v>0</v>
          </cell>
        </row>
        <row r="285">
          <cell r="A285" t="str">
            <v>11</v>
          </cell>
          <cell r="B285" t="str">
            <v>07</v>
          </cell>
          <cell r="C285" t="str">
            <v>11</v>
          </cell>
          <cell r="D285" t="str">
            <v>2</v>
          </cell>
          <cell r="E285" t="str">
            <v>0009</v>
          </cell>
          <cell r="F285" t="str">
            <v>0003</v>
          </cell>
          <cell r="G285" t="str">
            <v>10101</v>
          </cell>
          <cell r="H285" t="str">
            <v>付招待费</v>
          </cell>
          <cell r="I285" t="b">
            <v>0</v>
          </cell>
          <cell r="J285">
            <v>11813.6</v>
          </cell>
          <cell r="K285">
            <v>0</v>
          </cell>
          <cell r="L285">
            <v>0</v>
          </cell>
        </row>
        <row r="286">
          <cell r="A286" t="str">
            <v>11</v>
          </cell>
          <cell r="B286" t="str">
            <v>08</v>
          </cell>
          <cell r="C286" t="str">
            <v>11</v>
          </cell>
          <cell r="D286" t="str">
            <v>2</v>
          </cell>
          <cell r="E286" t="str">
            <v>0010</v>
          </cell>
          <cell r="F286" t="str">
            <v>0003</v>
          </cell>
          <cell r="G286" t="str">
            <v>10101</v>
          </cell>
          <cell r="H286" t="str">
            <v>暂借款</v>
          </cell>
          <cell r="I286" t="b">
            <v>0</v>
          </cell>
          <cell r="J286">
            <v>106023.96</v>
          </cell>
          <cell r="K286">
            <v>0</v>
          </cell>
          <cell r="L286">
            <v>0</v>
          </cell>
        </row>
        <row r="287">
          <cell r="A287" t="str">
            <v>11</v>
          </cell>
          <cell r="B287" t="str">
            <v>08</v>
          </cell>
          <cell r="C287" t="str">
            <v>11</v>
          </cell>
          <cell r="D287" t="str">
            <v>2</v>
          </cell>
          <cell r="E287" t="str">
            <v>0011</v>
          </cell>
          <cell r="F287" t="str">
            <v>0003</v>
          </cell>
          <cell r="G287" t="str">
            <v>10101</v>
          </cell>
          <cell r="H287" t="str">
            <v>付商检费</v>
          </cell>
          <cell r="I287" t="b">
            <v>0</v>
          </cell>
          <cell r="J287">
            <v>813</v>
          </cell>
          <cell r="K287">
            <v>0</v>
          </cell>
          <cell r="L287">
            <v>0</v>
          </cell>
        </row>
        <row r="288">
          <cell r="A288" t="str">
            <v>11</v>
          </cell>
          <cell r="B288" t="str">
            <v>10</v>
          </cell>
          <cell r="C288" t="str">
            <v>11</v>
          </cell>
          <cell r="D288" t="str">
            <v>2</v>
          </cell>
          <cell r="E288" t="str">
            <v>0012</v>
          </cell>
          <cell r="F288" t="str">
            <v>0002</v>
          </cell>
          <cell r="G288" t="str">
            <v>10101</v>
          </cell>
          <cell r="H288" t="str">
            <v>付电话费</v>
          </cell>
          <cell r="I288" t="b">
            <v>0</v>
          </cell>
          <cell r="J288">
            <v>6932</v>
          </cell>
          <cell r="K288">
            <v>0</v>
          </cell>
          <cell r="L288">
            <v>0</v>
          </cell>
        </row>
        <row r="289">
          <cell r="A289" t="str">
            <v>11</v>
          </cell>
          <cell r="B289" t="str">
            <v>10</v>
          </cell>
          <cell r="C289" t="str">
            <v>11</v>
          </cell>
          <cell r="D289" t="str">
            <v>2</v>
          </cell>
          <cell r="E289" t="str">
            <v>0013</v>
          </cell>
          <cell r="F289" t="str">
            <v>0002</v>
          </cell>
          <cell r="G289" t="str">
            <v>10101</v>
          </cell>
          <cell r="H289" t="str">
            <v>付免餐费.药费</v>
          </cell>
          <cell r="I289" t="b">
            <v>0</v>
          </cell>
          <cell r="J289">
            <v>2648.2</v>
          </cell>
          <cell r="K289">
            <v>0</v>
          </cell>
          <cell r="L289">
            <v>0</v>
          </cell>
        </row>
        <row r="290">
          <cell r="A290" t="str">
            <v>11</v>
          </cell>
          <cell r="B290" t="str">
            <v>10</v>
          </cell>
          <cell r="C290" t="str">
            <v>11</v>
          </cell>
          <cell r="D290" t="str">
            <v>2</v>
          </cell>
          <cell r="E290" t="str">
            <v>0014</v>
          </cell>
          <cell r="F290" t="str">
            <v>0003</v>
          </cell>
          <cell r="G290" t="str">
            <v>10101</v>
          </cell>
          <cell r="H290" t="str">
            <v>付差旅费</v>
          </cell>
          <cell r="I290" t="b">
            <v>0</v>
          </cell>
          <cell r="J290">
            <v>4282.8999999999996</v>
          </cell>
          <cell r="K290">
            <v>0</v>
          </cell>
          <cell r="L290">
            <v>0</v>
          </cell>
        </row>
        <row r="291">
          <cell r="A291" t="str">
            <v>11</v>
          </cell>
          <cell r="B291" t="str">
            <v>12</v>
          </cell>
          <cell r="C291" t="str">
            <v>11</v>
          </cell>
          <cell r="D291" t="str">
            <v>2</v>
          </cell>
          <cell r="E291" t="str">
            <v>0015</v>
          </cell>
          <cell r="F291" t="str">
            <v>0002</v>
          </cell>
          <cell r="G291" t="str">
            <v>10101</v>
          </cell>
          <cell r="H291" t="str">
            <v>付差旅费</v>
          </cell>
          <cell r="I291" t="b">
            <v>0</v>
          </cell>
          <cell r="J291">
            <v>4419</v>
          </cell>
          <cell r="K291">
            <v>0</v>
          </cell>
          <cell r="L291">
            <v>0</v>
          </cell>
        </row>
        <row r="292">
          <cell r="A292" t="str">
            <v>11</v>
          </cell>
          <cell r="B292" t="str">
            <v>15</v>
          </cell>
          <cell r="C292" t="str">
            <v>11</v>
          </cell>
          <cell r="D292" t="str">
            <v>2</v>
          </cell>
          <cell r="E292" t="str">
            <v>0016</v>
          </cell>
          <cell r="F292" t="str">
            <v>0002</v>
          </cell>
          <cell r="G292" t="str">
            <v>10101</v>
          </cell>
          <cell r="H292" t="str">
            <v>付于江等人差旅费</v>
          </cell>
          <cell r="I292" t="b">
            <v>0</v>
          </cell>
          <cell r="J292">
            <v>5782.5</v>
          </cell>
          <cell r="K292">
            <v>0</v>
          </cell>
          <cell r="L292">
            <v>0</v>
          </cell>
        </row>
        <row r="293">
          <cell r="A293" t="str">
            <v>11</v>
          </cell>
          <cell r="B293" t="str">
            <v>15</v>
          </cell>
          <cell r="C293" t="str">
            <v>11</v>
          </cell>
          <cell r="D293" t="str">
            <v>2</v>
          </cell>
          <cell r="E293" t="str">
            <v>0017</v>
          </cell>
          <cell r="F293" t="str">
            <v>0003</v>
          </cell>
          <cell r="G293" t="str">
            <v>10101</v>
          </cell>
          <cell r="H293" t="str">
            <v>购材料</v>
          </cell>
          <cell r="I293" t="b">
            <v>0</v>
          </cell>
          <cell r="J293">
            <v>6361.5</v>
          </cell>
          <cell r="K293">
            <v>0</v>
          </cell>
          <cell r="L293">
            <v>0</v>
          </cell>
        </row>
        <row r="294">
          <cell r="A294" t="str">
            <v>11</v>
          </cell>
          <cell r="B294" t="str">
            <v>15</v>
          </cell>
          <cell r="C294" t="str">
            <v>11</v>
          </cell>
          <cell r="D294" t="str">
            <v>2</v>
          </cell>
          <cell r="E294" t="str">
            <v>0018</v>
          </cell>
          <cell r="F294" t="str">
            <v>0004</v>
          </cell>
          <cell r="G294" t="str">
            <v>10101</v>
          </cell>
          <cell r="H294" t="str">
            <v>购材料</v>
          </cell>
          <cell r="I294" t="b">
            <v>0</v>
          </cell>
          <cell r="J294">
            <v>2647.3</v>
          </cell>
          <cell r="K294">
            <v>0</v>
          </cell>
          <cell r="L294">
            <v>0</v>
          </cell>
        </row>
        <row r="295">
          <cell r="A295" t="str">
            <v>11</v>
          </cell>
          <cell r="B295" t="str">
            <v>15</v>
          </cell>
          <cell r="C295" t="str">
            <v>11</v>
          </cell>
          <cell r="D295" t="str">
            <v>2</v>
          </cell>
          <cell r="E295" t="str">
            <v>0019</v>
          </cell>
          <cell r="F295" t="str">
            <v>0004</v>
          </cell>
          <cell r="G295" t="str">
            <v>10101</v>
          </cell>
          <cell r="H295" t="str">
            <v>购材料</v>
          </cell>
          <cell r="I295" t="b">
            <v>0</v>
          </cell>
          <cell r="J295">
            <v>25264.400000000001</v>
          </cell>
          <cell r="K295">
            <v>0</v>
          </cell>
          <cell r="L295">
            <v>0</v>
          </cell>
        </row>
        <row r="296">
          <cell r="A296" t="str">
            <v>11</v>
          </cell>
          <cell r="B296" t="str">
            <v>18</v>
          </cell>
          <cell r="C296" t="str">
            <v>11</v>
          </cell>
          <cell r="D296" t="str">
            <v>2</v>
          </cell>
          <cell r="E296" t="str">
            <v>0021</v>
          </cell>
          <cell r="F296" t="str">
            <v>0004</v>
          </cell>
          <cell r="G296" t="str">
            <v>10101</v>
          </cell>
          <cell r="H296" t="str">
            <v>付运费.房费</v>
          </cell>
          <cell r="I296" t="b">
            <v>0</v>
          </cell>
          <cell r="J296">
            <v>3890</v>
          </cell>
          <cell r="K296">
            <v>0</v>
          </cell>
          <cell r="L296">
            <v>0</v>
          </cell>
        </row>
        <row r="297">
          <cell r="A297" t="str">
            <v>11</v>
          </cell>
          <cell r="B297" t="str">
            <v>18</v>
          </cell>
          <cell r="C297" t="str">
            <v>11</v>
          </cell>
          <cell r="D297" t="str">
            <v>2</v>
          </cell>
          <cell r="E297" t="str">
            <v>0022</v>
          </cell>
          <cell r="F297" t="str">
            <v>0004</v>
          </cell>
          <cell r="G297" t="str">
            <v>10101</v>
          </cell>
          <cell r="H297" t="str">
            <v>付招待费.快递费等</v>
          </cell>
          <cell r="I297" t="b">
            <v>0</v>
          </cell>
          <cell r="J297">
            <v>7049.05</v>
          </cell>
          <cell r="K297">
            <v>0</v>
          </cell>
          <cell r="L297">
            <v>0</v>
          </cell>
        </row>
        <row r="298">
          <cell r="A298" t="str">
            <v>11</v>
          </cell>
          <cell r="B298" t="str">
            <v>21</v>
          </cell>
          <cell r="C298" t="str">
            <v>11</v>
          </cell>
          <cell r="D298" t="str">
            <v>2</v>
          </cell>
          <cell r="E298" t="str">
            <v>0023</v>
          </cell>
          <cell r="F298" t="str">
            <v>0003</v>
          </cell>
          <cell r="G298" t="str">
            <v>10101</v>
          </cell>
          <cell r="H298" t="str">
            <v>暂借款</v>
          </cell>
          <cell r="I298" t="b">
            <v>0</v>
          </cell>
          <cell r="J298">
            <v>13330</v>
          </cell>
          <cell r="K298">
            <v>0</v>
          </cell>
          <cell r="L298">
            <v>0</v>
          </cell>
        </row>
        <row r="299">
          <cell r="A299" t="str">
            <v>11</v>
          </cell>
          <cell r="B299" t="str">
            <v>21</v>
          </cell>
          <cell r="C299" t="str">
            <v>11</v>
          </cell>
          <cell r="D299" t="str">
            <v>2</v>
          </cell>
          <cell r="E299" t="str">
            <v>0024</v>
          </cell>
          <cell r="F299" t="str">
            <v>0004</v>
          </cell>
          <cell r="G299" t="str">
            <v>10101</v>
          </cell>
          <cell r="H299" t="str">
            <v>购材料</v>
          </cell>
          <cell r="I299" t="b">
            <v>0</v>
          </cell>
          <cell r="J299">
            <v>19507.2</v>
          </cell>
          <cell r="K299">
            <v>0</v>
          </cell>
          <cell r="L299">
            <v>0</v>
          </cell>
        </row>
        <row r="300">
          <cell r="A300" t="str">
            <v>11</v>
          </cell>
          <cell r="B300" t="str">
            <v>23</v>
          </cell>
          <cell r="C300" t="str">
            <v>11</v>
          </cell>
          <cell r="D300" t="str">
            <v>2</v>
          </cell>
          <cell r="E300" t="str">
            <v>0025</v>
          </cell>
          <cell r="F300" t="str">
            <v>0004</v>
          </cell>
          <cell r="G300" t="str">
            <v>10101</v>
          </cell>
          <cell r="H300" t="str">
            <v>暂借款</v>
          </cell>
          <cell r="I300" t="b">
            <v>0</v>
          </cell>
          <cell r="J300">
            <v>1420000</v>
          </cell>
          <cell r="K300">
            <v>0</v>
          </cell>
          <cell r="L300">
            <v>0</v>
          </cell>
        </row>
        <row r="301">
          <cell r="A301" t="str">
            <v>11</v>
          </cell>
          <cell r="B301" t="str">
            <v>25</v>
          </cell>
          <cell r="C301" t="str">
            <v>11</v>
          </cell>
          <cell r="D301" t="str">
            <v>2</v>
          </cell>
          <cell r="E301" t="str">
            <v>0026</v>
          </cell>
          <cell r="F301" t="str">
            <v>0002</v>
          </cell>
          <cell r="G301" t="str">
            <v>10101</v>
          </cell>
          <cell r="H301" t="str">
            <v>付运费</v>
          </cell>
          <cell r="I301" t="b">
            <v>0</v>
          </cell>
          <cell r="J301">
            <v>32190.73</v>
          </cell>
          <cell r="K301">
            <v>0</v>
          </cell>
          <cell r="L301">
            <v>0</v>
          </cell>
        </row>
        <row r="302">
          <cell r="A302" t="str">
            <v>11</v>
          </cell>
          <cell r="B302" t="str">
            <v>25</v>
          </cell>
          <cell r="C302" t="str">
            <v>11</v>
          </cell>
          <cell r="D302" t="str">
            <v>2</v>
          </cell>
          <cell r="E302" t="str">
            <v>0027</v>
          </cell>
          <cell r="F302" t="str">
            <v>0002</v>
          </cell>
          <cell r="G302" t="str">
            <v>10101</v>
          </cell>
          <cell r="H302" t="str">
            <v>付临时工工资</v>
          </cell>
          <cell r="I302" t="b">
            <v>0</v>
          </cell>
          <cell r="J302">
            <v>27845.96</v>
          </cell>
          <cell r="K302">
            <v>0</v>
          </cell>
          <cell r="L302">
            <v>0</v>
          </cell>
        </row>
        <row r="303">
          <cell r="A303" t="str">
            <v>11</v>
          </cell>
          <cell r="B303" t="str">
            <v>25</v>
          </cell>
          <cell r="C303" t="str">
            <v>11</v>
          </cell>
          <cell r="D303" t="str">
            <v>2</v>
          </cell>
          <cell r="E303" t="str">
            <v>0028</v>
          </cell>
          <cell r="F303" t="str">
            <v>0002</v>
          </cell>
          <cell r="G303" t="str">
            <v>10101</v>
          </cell>
          <cell r="H303" t="str">
            <v>订回2000年6月2-1号凭证错制</v>
          </cell>
          <cell r="I303" t="b">
            <v>0</v>
          </cell>
          <cell r="J303">
            <v>-770</v>
          </cell>
          <cell r="K303">
            <v>0</v>
          </cell>
          <cell r="L303">
            <v>0</v>
          </cell>
        </row>
        <row r="304">
          <cell r="A304" t="str">
            <v>11</v>
          </cell>
          <cell r="B304" t="str">
            <v>01</v>
          </cell>
          <cell r="C304" t="str">
            <v>11</v>
          </cell>
          <cell r="D304" t="str">
            <v>4</v>
          </cell>
          <cell r="E304" t="str">
            <v>0001</v>
          </cell>
          <cell r="F304" t="str">
            <v>0001</v>
          </cell>
          <cell r="G304" t="str">
            <v>10101</v>
          </cell>
          <cell r="H304" t="str">
            <v>支现金</v>
          </cell>
          <cell r="I304" t="b">
            <v>1</v>
          </cell>
          <cell r="J304">
            <v>700000</v>
          </cell>
          <cell r="K304">
            <v>0</v>
          </cell>
          <cell r="L304">
            <v>0</v>
          </cell>
        </row>
        <row r="305">
          <cell r="A305" t="str">
            <v>11</v>
          </cell>
          <cell r="B305" t="str">
            <v>17</v>
          </cell>
          <cell r="C305" t="str">
            <v>11</v>
          </cell>
          <cell r="D305" t="str">
            <v>4</v>
          </cell>
          <cell r="E305" t="str">
            <v>0028</v>
          </cell>
          <cell r="F305" t="str">
            <v>0001</v>
          </cell>
          <cell r="G305" t="str">
            <v>10101</v>
          </cell>
          <cell r="H305" t="str">
            <v>支现金</v>
          </cell>
          <cell r="I305" t="b">
            <v>1</v>
          </cell>
          <cell r="J305">
            <v>1103000</v>
          </cell>
          <cell r="K305">
            <v>0</v>
          </cell>
          <cell r="L305">
            <v>0</v>
          </cell>
        </row>
        <row r="306">
          <cell r="A306" t="str">
            <v>12</v>
          </cell>
          <cell r="B306" t="str">
            <v>01</v>
          </cell>
          <cell r="C306" t="str">
            <v>12</v>
          </cell>
          <cell r="D306" t="str">
            <v>1</v>
          </cell>
          <cell r="E306" t="str">
            <v>0001</v>
          </cell>
          <cell r="F306" t="str">
            <v>0001</v>
          </cell>
          <cell r="G306" t="str">
            <v>10101</v>
          </cell>
          <cell r="H306" t="str">
            <v>销果渣</v>
          </cell>
          <cell r="I306" t="b">
            <v>1</v>
          </cell>
          <cell r="J306">
            <v>23248</v>
          </cell>
          <cell r="K306">
            <v>0</v>
          </cell>
          <cell r="L306">
            <v>0</v>
          </cell>
        </row>
        <row r="307">
          <cell r="A307" t="str">
            <v>12</v>
          </cell>
          <cell r="B307" t="str">
            <v>04</v>
          </cell>
          <cell r="C307" t="str">
            <v>12</v>
          </cell>
          <cell r="D307" t="str">
            <v>1</v>
          </cell>
          <cell r="E307" t="str">
            <v>0002</v>
          </cell>
          <cell r="F307" t="str">
            <v>0001</v>
          </cell>
          <cell r="G307" t="str">
            <v>10101</v>
          </cell>
          <cell r="H307" t="str">
            <v>暂借款</v>
          </cell>
          <cell r="I307" t="b">
            <v>1</v>
          </cell>
          <cell r="J307">
            <v>30206.77</v>
          </cell>
          <cell r="K307">
            <v>0</v>
          </cell>
          <cell r="L307">
            <v>0</v>
          </cell>
        </row>
        <row r="308">
          <cell r="A308" t="str">
            <v>12</v>
          </cell>
          <cell r="B308" t="str">
            <v>12</v>
          </cell>
          <cell r="C308" t="str">
            <v>12</v>
          </cell>
          <cell r="D308" t="str">
            <v>1</v>
          </cell>
          <cell r="E308" t="str">
            <v>0003</v>
          </cell>
          <cell r="F308" t="str">
            <v>0001</v>
          </cell>
          <cell r="G308" t="str">
            <v>10101</v>
          </cell>
          <cell r="H308" t="str">
            <v>收回借款</v>
          </cell>
          <cell r="I308" t="b">
            <v>1</v>
          </cell>
          <cell r="J308">
            <v>25285.48</v>
          </cell>
          <cell r="K308">
            <v>0</v>
          </cell>
          <cell r="L308">
            <v>0</v>
          </cell>
        </row>
        <row r="309">
          <cell r="A309" t="str">
            <v>12</v>
          </cell>
          <cell r="B309" t="str">
            <v>15</v>
          </cell>
          <cell r="C309" t="str">
            <v>12</v>
          </cell>
          <cell r="D309" t="str">
            <v>1</v>
          </cell>
          <cell r="E309" t="str">
            <v>0004</v>
          </cell>
          <cell r="F309" t="str">
            <v>0001</v>
          </cell>
          <cell r="G309" t="str">
            <v>10101</v>
          </cell>
          <cell r="H309" t="str">
            <v>收医药费.水电费</v>
          </cell>
          <cell r="I309" t="b">
            <v>1</v>
          </cell>
          <cell r="J309">
            <v>4866.26</v>
          </cell>
          <cell r="K309">
            <v>0</v>
          </cell>
          <cell r="L309">
            <v>0</v>
          </cell>
        </row>
        <row r="310">
          <cell r="A310" t="str">
            <v>12</v>
          </cell>
          <cell r="B310" t="str">
            <v>20</v>
          </cell>
          <cell r="C310" t="str">
            <v>12</v>
          </cell>
          <cell r="D310" t="str">
            <v>1</v>
          </cell>
          <cell r="E310" t="str">
            <v>0005</v>
          </cell>
          <cell r="F310" t="str">
            <v>0001</v>
          </cell>
          <cell r="G310" t="str">
            <v>10101</v>
          </cell>
          <cell r="H310" t="str">
            <v>收理发室月租费.旧铁桶款等</v>
          </cell>
          <cell r="I310" t="b">
            <v>1</v>
          </cell>
          <cell r="J310">
            <v>15035</v>
          </cell>
          <cell r="K310">
            <v>0</v>
          </cell>
          <cell r="L310">
            <v>0</v>
          </cell>
        </row>
        <row r="311">
          <cell r="A311" t="str">
            <v>12</v>
          </cell>
          <cell r="B311" t="str">
            <v>21</v>
          </cell>
          <cell r="C311" t="str">
            <v>12</v>
          </cell>
          <cell r="D311" t="str">
            <v>1</v>
          </cell>
          <cell r="E311" t="str">
            <v>0006</v>
          </cell>
          <cell r="F311" t="str">
            <v>0001</v>
          </cell>
          <cell r="G311" t="str">
            <v>10101</v>
          </cell>
          <cell r="H311" t="str">
            <v>收房款</v>
          </cell>
          <cell r="I311" t="b">
            <v>1</v>
          </cell>
          <cell r="J311">
            <v>10721</v>
          </cell>
          <cell r="K311">
            <v>0</v>
          </cell>
          <cell r="L311">
            <v>0</v>
          </cell>
        </row>
        <row r="312">
          <cell r="A312" t="str">
            <v>12</v>
          </cell>
          <cell r="B312" t="str">
            <v>01</v>
          </cell>
          <cell r="C312" t="str">
            <v>12</v>
          </cell>
          <cell r="D312" t="str">
            <v>2</v>
          </cell>
          <cell r="E312" t="str">
            <v>0001</v>
          </cell>
          <cell r="F312" t="str">
            <v>0003</v>
          </cell>
          <cell r="G312" t="str">
            <v>10101</v>
          </cell>
          <cell r="H312" t="str">
            <v>购材料</v>
          </cell>
          <cell r="I312" t="b">
            <v>0</v>
          </cell>
          <cell r="J312">
            <v>1688</v>
          </cell>
          <cell r="K312">
            <v>0</v>
          </cell>
          <cell r="L312">
            <v>0</v>
          </cell>
        </row>
        <row r="313">
          <cell r="A313" t="str">
            <v>12</v>
          </cell>
          <cell r="B313" t="str">
            <v>01</v>
          </cell>
          <cell r="C313" t="str">
            <v>12</v>
          </cell>
          <cell r="D313" t="str">
            <v>2</v>
          </cell>
          <cell r="E313" t="str">
            <v>0002</v>
          </cell>
          <cell r="F313" t="str">
            <v>0003</v>
          </cell>
          <cell r="G313" t="str">
            <v>10101</v>
          </cell>
          <cell r="H313" t="str">
            <v>购材料</v>
          </cell>
          <cell r="I313" t="b">
            <v>0</v>
          </cell>
          <cell r="J313">
            <v>1577.7</v>
          </cell>
          <cell r="K313">
            <v>0</v>
          </cell>
          <cell r="L313">
            <v>0</v>
          </cell>
        </row>
        <row r="314">
          <cell r="A314" t="str">
            <v>12</v>
          </cell>
          <cell r="B314" t="str">
            <v>02</v>
          </cell>
          <cell r="C314" t="str">
            <v>12</v>
          </cell>
          <cell r="D314" t="str">
            <v>2</v>
          </cell>
          <cell r="E314" t="str">
            <v>0003</v>
          </cell>
          <cell r="F314" t="str">
            <v>0003</v>
          </cell>
          <cell r="G314" t="str">
            <v>10101</v>
          </cell>
          <cell r="H314" t="str">
            <v>购材料</v>
          </cell>
          <cell r="I314" t="b">
            <v>0</v>
          </cell>
          <cell r="J314">
            <v>6376.9</v>
          </cell>
          <cell r="K314">
            <v>0</v>
          </cell>
          <cell r="L314">
            <v>0</v>
          </cell>
        </row>
        <row r="315">
          <cell r="A315" t="str">
            <v>12</v>
          </cell>
          <cell r="B315" t="str">
            <v>05</v>
          </cell>
          <cell r="C315" t="str">
            <v>12</v>
          </cell>
          <cell r="D315" t="str">
            <v>2</v>
          </cell>
          <cell r="E315" t="str">
            <v>0004</v>
          </cell>
          <cell r="F315" t="str">
            <v>0003</v>
          </cell>
          <cell r="G315" t="str">
            <v>10101</v>
          </cell>
          <cell r="H315" t="str">
            <v>暂借款</v>
          </cell>
          <cell r="I315" t="b">
            <v>0</v>
          </cell>
          <cell r="J315">
            <v>11000</v>
          </cell>
          <cell r="K315">
            <v>0</v>
          </cell>
          <cell r="L315">
            <v>0</v>
          </cell>
        </row>
        <row r="316">
          <cell r="A316" t="str">
            <v>12</v>
          </cell>
          <cell r="B316" t="str">
            <v>05</v>
          </cell>
          <cell r="C316" t="str">
            <v>12</v>
          </cell>
          <cell r="D316" t="str">
            <v>2</v>
          </cell>
          <cell r="E316" t="str">
            <v>0005</v>
          </cell>
          <cell r="F316" t="str">
            <v>0003</v>
          </cell>
          <cell r="G316" t="str">
            <v>10101</v>
          </cell>
          <cell r="H316" t="str">
            <v>付商检费</v>
          </cell>
          <cell r="I316" t="b">
            <v>0</v>
          </cell>
          <cell r="J316">
            <v>11019</v>
          </cell>
          <cell r="K316">
            <v>0</v>
          </cell>
          <cell r="L316">
            <v>0</v>
          </cell>
        </row>
        <row r="317">
          <cell r="A317" t="str">
            <v>12</v>
          </cell>
          <cell r="B317" t="str">
            <v>05</v>
          </cell>
          <cell r="C317" t="str">
            <v>12</v>
          </cell>
          <cell r="D317" t="str">
            <v>2</v>
          </cell>
          <cell r="E317" t="str">
            <v>0006</v>
          </cell>
          <cell r="F317" t="str">
            <v>0002</v>
          </cell>
          <cell r="G317" t="str">
            <v>10101</v>
          </cell>
          <cell r="H317" t="str">
            <v>付招待费</v>
          </cell>
          <cell r="I317" t="b">
            <v>0</v>
          </cell>
          <cell r="J317">
            <v>11236.7</v>
          </cell>
          <cell r="K317">
            <v>0</v>
          </cell>
          <cell r="L317">
            <v>0</v>
          </cell>
        </row>
        <row r="318">
          <cell r="A318" t="str">
            <v>12</v>
          </cell>
          <cell r="B318" t="str">
            <v>08</v>
          </cell>
          <cell r="C318" t="str">
            <v>12</v>
          </cell>
          <cell r="D318" t="str">
            <v>2</v>
          </cell>
          <cell r="E318" t="str">
            <v>0007</v>
          </cell>
          <cell r="F318" t="str">
            <v>0002</v>
          </cell>
          <cell r="G318" t="str">
            <v>10101</v>
          </cell>
          <cell r="H318" t="str">
            <v>付差旅费</v>
          </cell>
          <cell r="I318" t="b">
            <v>0</v>
          </cell>
          <cell r="J318">
            <v>5382.3</v>
          </cell>
          <cell r="K318">
            <v>0</v>
          </cell>
          <cell r="L318">
            <v>0</v>
          </cell>
        </row>
        <row r="319">
          <cell r="A319" t="str">
            <v>12</v>
          </cell>
          <cell r="B319" t="str">
            <v>08</v>
          </cell>
          <cell r="C319" t="str">
            <v>12</v>
          </cell>
          <cell r="D319" t="str">
            <v>2</v>
          </cell>
          <cell r="E319" t="str">
            <v>0008</v>
          </cell>
          <cell r="F319" t="str">
            <v>0002</v>
          </cell>
          <cell r="G319" t="str">
            <v>10101</v>
          </cell>
          <cell r="H319" t="str">
            <v>付早餐费.理发费</v>
          </cell>
          <cell r="I319" t="b">
            <v>0</v>
          </cell>
          <cell r="J319">
            <v>7528</v>
          </cell>
          <cell r="K319">
            <v>0</v>
          </cell>
          <cell r="L319">
            <v>0</v>
          </cell>
        </row>
        <row r="320">
          <cell r="A320" t="str">
            <v>12</v>
          </cell>
          <cell r="B320" t="str">
            <v>10</v>
          </cell>
          <cell r="C320" t="str">
            <v>12</v>
          </cell>
          <cell r="D320" t="str">
            <v>2</v>
          </cell>
          <cell r="E320" t="str">
            <v>0009</v>
          </cell>
          <cell r="F320" t="str">
            <v>0002</v>
          </cell>
          <cell r="G320" t="str">
            <v>10101</v>
          </cell>
          <cell r="H320" t="str">
            <v>付办公费</v>
          </cell>
          <cell r="I320" t="b">
            <v>0</v>
          </cell>
          <cell r="J320">
            <v>6912.7</v>
          </cell>
          <cell r="K320">
            <v>0</v>
          </cell>
          <cell r="L320">
            <v>0</v>
          </cell>
        </row>
        <row r="321">
          <cell r="A321" t="str">
            <v>12</v>
          </cell>
          <cell r="B321" t="str">
            <v>10</v>
          </cell>
          <cell r="C321" t="str">
            <v>12</v>
          </cell>
          <cell r="D321" t="str">
            <v>2</v>
          </cell>
          <cell r="E321" t="str">
            <v>0010</v>
          </cell>
          <cell r="F321" t="str">
            <v>0002</v>
          </cell>
          <cell r="G321" t="str">
            <v>10101</v>
          </cell>
          <cell r="H321" t="str">
            <v>付企业登记费.培训费等</v>
          </cell>
          <cell r="I321" t="b">
            <v>0</v>
          </cell>
          <cell r="J321">
            <v>26164.7</v>
          </cell>
          <cell r="K321">
            <v>0</v>
          </cell>
          <cell r="L321">
            <v>0</v>
          </cell>
        </row>
        <row r="322">
          <cell r="A322" t="str">
            <v>12</v>
          </cell>
          <cell r="B322" t="str">
            <v>10</v>
          </cell>
          <cell r="C322" t="str">
            <v>12</v>
          </cell>
          <cell r="D322" t="str">
            <v>2</v>
          </cell>
          <cell r="E322" t="str">
            <v>0011</v>
          </cell>
          <cell r="F322" t="str">
            <v>0004</v>
          </cell>
          <cell r="G322" t="str">
            <v>10101</v>
          </cell>
          <cell r="H322" t="str">
            <v>付医疗费.油款等</v>
          </cell>
          <cell r="I322" t="b">
            <v>0</v>
          </cell>
          <cell r="J322">
            <v>16480.060000000001</v>
          </cell>
          <cell r="K322">
            <v>0</v>
          </cell>
          <cell r="L322">
            <v>0</v>
          </cell>
        </row>
        <row r="323">
          <cell r="A323" t="str">
            <v>12</v>
          </cell>
          <cell r="B323" t="str">
            <v>10</v>
          </cell>
          <cell r="C323" t="str">
            <v>12</v>
          </cell>
          <cell r="D323" t="str">
            <v>2</v>
          </cell>
          <cell r="E323" t="str">
            <v>0012</v>
          </cell>
          <cell r="F323" t="str">
            <v>0002</v>
          </cell>
          <cell r="G323" t="str">
            <v>10101</v>
          </cell>
          <cell r="H323" t="str">
            <v>付司机补助.临时工工资等</v>
          </cell>
          <cell r="I323" t="b">
            <v>0</v>
          </cell>
          <cell r="J323">
            <v>17606.3</v>
          </cell>
          <cell r="K323">
            <v>0</v>
          </cell>
          <cell r="L323">
            <v>0</v>
          </cell>
        </row>
        <row r="324">
          <cell r="A324" t="str">
            <v>12</v>
          </cell>
          <cell r="B324" t="str">
            <v>12</v>
          </cell>
          <cell r="C324" t="str">
            <v>12</v>
          </cell>
          <cell r="D324" t="str">
            <v>2</v>
          </cell>
          <cell r="E324" t="str">
            <v>0013</v>
          </cell>
          <cell r="F324" t="str">
            <v>0002</v>
          </cell>
          <cell r="G324" t="str">
            <v>10101</v>
          </cell>
          <cell r="H324" t="str">
            <v>付装卸班等人员工资</v>
          </cell>
          <cell r="I324" t="b">
            <v>0</v>
          </cell>
          <cell r="J324">
            <v>52241</v>
          </cell>
          <cell r="K324">
            <v>0</v>
          </cell>
          <cell r="L324">
            <v>0</v>
          </cell>
        </row>
        <row r="325">
          <cell r="A325" t="str">
            <v>12</v>
          </cell>
          <cell r="B325" t="str">
            <v>12</v>
          </cell>
          <cell r="C325" t="str">
            <v>12</v>
          </cell>
          <cell r="D325" t="str">
            <v>2</v>
          </cell>
          <cell r="E325" t="str">
            <v>0014</v>
          </cell>
          <cell r="F325" t="str">
            <v>0004</v>
          </cell>
          <cell r="G325" t="str">
            <v>10101</v>
          </cell>
          <cell r="H325" t="str">
            <v>付招待费.差旅费</v>
          </cell>
          <cell r="I325" t="b">
            <v>0</v>
          </cell>
          <cell r="J325">
            <v>16018.3</v>
          </cell>
          <cell r="K325">
            <v>0</v>
          </cell>
          <cell r="L325">
            <v>0</v>
          </cell>
        </row>
        <row r="326">
          <cell r="A326" t="str">
            <v>12</v>
          </cell>
          <cell r="B326" t="str">
            <v>14</v>
          </cell>
          <cell r="C326" t="str">
            <v>12</v>
          </cell>
          <cell r="D326" t="str">
            <v>2</v>
          </cell>
          <cell r="E326" t="str">
            <v>0015</v>
          </cell>
          <cell r="F326" t="str">
            <v>0002</v>
          </cell>
          <cell r="G326" t="str">
            <v>10101</v>
          </cell>
          <cell r="H326" t="str">
            <v>付运费</v>
          </cell>
          <cell r="I326" t="b">
            <v>0</v>
          </cell>
          <cell r="J326">
            <v>950</v>
          </cell>
          <cell r="K326">
            <v>0</v>
          </cell>
          <cell r="L326">
            <v>0</v>
          </cell>
        </row>
        <row r="327">
          <cell r="A327" t="str">
            <v>12</v>
          </cell>
          <cell r="B327" t="str">
            <v>15</v>
          </cell>
          <cell r="C327" t="str">
            <v>12</v>
          </cell>
          <cell r="D327" t="str">
            <v>2</v>
          </cell>
          <cell r="E327" t="str">
            <v>0016</v>
          </cell>
          <cell r="F327" t="str">
            <v>0004</v>
          </cell>
          <cell r="G327" t="str">
            <v>10101</v>
          </cell>
          <cell r="H327" t="str">
            <v>购材料</v>
          </cell>
          <cell r="I327" t="b">
            <v>0</v>
          </cell>
          <cell r="J327">
            <v>13824.7</v>
          </cell>
          <cell r="K327">
            <v>0</v>
          </cell>
          <cell r="L327">
            <v>0</v>
          </cell>
        </row>
        <row r="328">
          <cell r="A328" t="str">
            <v>12</v>
          </cell>
          <cell r="B328" t="str">
            <v>19</v>
          </cell>
          <cell r="C328" t="str">
            <v>12</v>
          </cell>
          <cell r="D328" t="str">
            <v>2</v>
          </cell>
          <cell r="E328" t="str">
            <v>0017</v>
          </cell>
          <cell r="F328" t="str">
            <v>0004</v>
          </cell>
          <cell r="G328" t="str">
            <v>10101</v>
          </cell>
          <cell r="H328" t="str">
            <v>暂借款</v>
          </cell>
          <cell r="I328" t="b">
            <v>0</v>
          </cell>
          <cell r="J328">
            <v>2605000</v>
          </cell>
          <cell r="K328">
            <v>0</v>
          </cell>
          <cell r="L328">
            <v>0</v>
          </cell>
        </row>
        <row r="329">
          <cell r="A329" t="str">
            <v>12</v>
          </cell>
          <cell r="B329" t="str">
            <v>20</v>
          </cell>
          <cell r="C329" t="str">
            <v>12</v>
          </cell>
          <cell r="D329" t="str">
            <v>2</v>
          </cell>
          <cell r="E329" t="str">
            <v>0018</v>
          </cell>
          <cell r="F329" t="str">
            <v>0004</v>
          </cell>
          <cell r="G329" t="str">
            <v>10101</v>
          </cell>
          <cell r="H329" t="str">
            <v>暂借款</v>
          </cell>
          <cell r="I329" t="b">
            <v>0</v>
          </cell>
          <cell r="J329">
            <v>89769.67</v>
          </cell>
          <cell r="K329">
            <v>0</v>
          </cell>
          <cell r="L329">
            <v>0</v>
          </cell>
        </row>
        <row r="330">
          <cell r="A330" t="str">
            <v>12</v>
          </cell>
          <cell r="B330" t="str">
            <v>20</v>
          </cell>
          <cell r="C330" t="str">
            <v>12</v>
          </cell>
          <cell r="D330" t="str">
            <v>2</v>
          </cell>
          <cell r="E330" t="str">
            <v>0019</v>
          </cell>
          <cell r="F330" t="str">
            <v>0002</v>
          </cell>
          <cell r="G330" t="str">
            <v>10101</v>
          </cell>
          <cell r="H330" t="str">
            <v>付快递费</v>
          </cell>
          <cell r="I330" t="b">
            <v>0</v>
          </cell>
          <cell r="J330">
            <v>255</v>
          </cell>
          <cell r="K330">
            <v>0</v>
          </cell>
          <cell r="L330">
            <v>0</v>
          </cell>
        </row>
        <row r="331">
          <cell r="A331" t="str">
            <v>12</v>
          </cell>
          <cell r="B331" t="str">
            <v>20</v>
          </cell>
          <cell r="C331" t="str">
            <v>12</v>
          </cell>
          <cell r="D331" t="str">
            <v>2</v>
          </cell>
          <cell r="E331" t="str">
            <v>0020</v>
          </cell>
          <cell r="F331" t="str">
            <v>0002</v>
          </cell>
          <cell r="G331" t="str">
            <v>10101</v>
          </cell>
          <cell r="H331" t="str">
            <v>付快递费</v>
          </cell>
          <cell r="I331" t="b">
            <v>0</v>
          </cell>
          <cell r="J331">
            <v>6710</v>
          </cell>
          <cell r="K331">
            <v>0</v>
          </cell>
          <cell r="L331">
            <v>0</v>
          </cell>
        </row>
        <row r="332">
          <cell r="A332" t="str">
            <v>12</v>
          </cell>
          <cell r="B332" t="str">
            <v>20</v>
          </cell>
          <cell r="C332" t="str">
            <v>12</v>
          </cell>
          <cell r="D332" t="str">
            <v>2</v>
          </cell>
          <cell r="E332" t="str">
            <v>0021</v>
          </cell>
          <cell r="F332" t="str">
            <v>0002</v>
          </cell>
          <cell r="G332" t="str">
            <v>10101</v>
          </cell>
          <cell r="H332" t="str">
            <v>付海运保险费</v>
          </cell>
          <cell r="I332" t="b">
            <v>0</v>
          </cell>
          <cell r="J332">
            <v>778</v>
          </cell>
          <cell r="K332">
            <v>0</v>
          </cell>
          <cell r="L332">
            <v>0</v>
          </cell>
        </row>
        <row r="333">
          <cell r="A333" t="str">
            <v>12</v>
          </cell>
          <cell r="B333" t="str">
            <v>20</v>
          </cell>
          <cell r="C333" t="str">
            <v>12</v>
          </cell>
          <cell r="D333" t="str">
            <v>2</v>
          </cell>
          <cell r="E333" t="str">
            <v>0022</v>
          </cell>
          <cell r="F333" t="str">
            <v>0002</v>
          </cell>
          <cell r="G333" t="str">
            <v>10101</v>
          </cell>
          <cell r="H333" t="str">
            <v>付快递费</v>
          </cell>
          <cell r="I333" t="b">
            <v>0</v>
          </cell>
          <cell r="J333">
            <v>9115</v>
          </cell>
          <cell r="K333">
            <v>0</v>
          </cell>
          <cell r="L333">
            <v>0</v>
          </cell>
        </row>
        <row r="334">
          <cell r="A334" t="str">
            <v>12</v>
          </cell>
          <cell r="B334" t="str">
            <v>21</v>
          </cell>
          <cell r="C334" t="str">
            <v>12</v>
          </cell>
          <cell r="D334" t="str">
            <v>2</v>
          </cell>
          <cell r="E334" t="str">
            <v>0023</v>
          </cell>
          <cell r="F334" t="str">
            <v>0003</v>
          </cell>
          <cell r="G334" t="str">
            <v>10101</v>
          </cell>
          <cell r="H334" t="str">
            <v>购材料</v>
          </cell>
          <cell r="I334" t="b">
            <v>0</v>
          </cell>
          <cell r="J334">
            <v>2053</v>
          </cell>
          <cell r="K334">
            <v>0</v>
          </cell>
          <cell r="L334">
            <v>0</v>
          </cell>
        </row>
        <row r="335">
          <cell r="A335" t="str">
            <v>12</v>
          </cell>
          <cell r="B335" t="str">
            <v>21</v>
          </cell>
          <cell r="C335" t="str">
            <v>12</v>
          </cell>
          <cell r="D335" t="str">
            <v>2</v>
          </cell>
          <cell r="E335" t="str">
            <v>0024</v>
          </cell>
          <cell r="F335" t="str">
            <v>0003</v>
          </cell>
          <cell r="G335" t="str">
            <v>10101</v>
          </cell>
          <cell r="H335" t="str">
            <v>暂借款</v>
          </cell>
          <cell r="I335" t="b">
            <v>0</v>
          </cell>
          <cell r="J335">
            <v>8000</v>
          </cell>
          <cell r="K335">
            <v>0</v>
          </cell>
          <cell r="L335">
            <v>0</v>
          </cell>
        </row>
        <row r="336">
          <cell r="A336" t="str">
            <v>12</v>
          </cell>
          <cell r="B336" t="str">
            <v>22</v>
          </cell>
          <cell r="C336" t="str">
            <v>12</v>
          </cell>
          <cell r="D336" t="str">
            <v>2</v>
          </cell>
          <cell r="E336" t="str">
            <v>0025</v>
          </cell>
          <cell r="F336" t="str">
            <v>0004</v>
          </cell>
          <cell r="G336" t="str">
            <v>10101</v>
          </cell>
          <cell r="H336" t="str">
            <v>暂借款</v>
          </cell>
          <cell r="I336" t="b">
            <v>0</v>
          </cell>
          <cell r="J336">
            <v>461000</v>
          </cell>
          <cell r="K336">
            <v>0</v>
          </cell>
          <cell r="L336">
            <v>0</v>
          </cell>
        </row>
        <row r="337">
          <cell r="A337" t="str">
            <v>12</v>
          </cell>
          <cell r="B337" t="str">
            <v>22</v>
          </cell>
          <cell r="C337" t="str">
            <v>12</v>
          </cell>
          <cell r="D337" t="str">
            <v>2</v>
          </cell>
          <cell r="E337" t="str">
            <v>0026</v>
          </cell>
          <cell r="F337" t="str">
            <v>0002</v>
          </cell>
          <cell r="G337" t="str">
            <v>10101</v>
          </cell>
          <cell r="H337" t="str">
            <v>存现金</v>
          </cell>
          <cell r="I337" t="b">
            <v>0</v>
          </cell>
          <cell r="J337">
            <v>100000</v>
          </cell>
          <cell r="K337">
            <v>0</v>
          </cell>
          <cell r="L337">
            <v>0</v>
          </cell>
        </row>
        <row r="338">
          <cell r="A338" t="str">
            <v>12</v>
          </cell>
          <cell r="B338" t="str">
            <v>22</v>
          </cell>
          <cell r="C338" t="str">
            <v>12</v>
          </cell>
          <cell r="D338" t="str">
            <v>2</v>
          </cell>
          <cell r="E338" t="str">
            <v>0026</v>
          </cell>
          <cell r="F338" t="str">
            <v>0004</v>
          </cell>
          <cell r="G338" t="str">
            <v>10101</v>
          </cell>
          <cell r="H338" t="str">
            <v>付电机运费</v>
          </cell>
          <cell r="I338" t="b">
            <v>0</v>
          </cell>
          <cell r="J338">
            <v>823.5</v>
          </cell>
          <cell r="K338">
            <v>0</v>
          </cell>
          <cell r="L338">
            <v>0</v>
          </cell>
        </row>
        <row r="339">
          <cell r="A339" t="str">
            <v>12</v>
          </cell>
          <cell r="B339" t="str">
            <v>22</v>
          </cell>
          <cell r="C339" t="str">
            <v>12</v>
          </cell>
          <cell r="D339" t="str">
            <v>2</v>
          </cell>
          <cell r="E339" t="str">
            <v>0027</v>
          </cell>
          <cell r="F339" t="str">
            <v>0004</v>
          </cell>
          <cell r="G339" t="str">
            <v>10101</v>
          </cell>
          <cell r="H339" t="str">
            <v>付招待费</v>
          </cell>
          <cell r="I339" t="b">
            <v>0</v>
          </cell>
          <cell r="J339">
            <v>768</v>
          </cell>
          <cell r="K339">
            <v>0</v>
          </cell>
          <cell r="L339">
            <v>0</v>
          </cell>
        </row>
        <row r="340">
          <cell r="A340" t="str">
            <v>12</v>
          </cell>
          <cell r="B340" t="str">
            <v>22</v>
          </cell>
          <cell r="C340" t="str">
            <v>12</v>
          </cell>
          <cell r="D340" t="str">
            <v>2</v>
          </cell>
          <cell r="E340" t="str">
            <v>0028</v>
          </cell>
          <cell r="F340" t="str">
            <v>0003</v>
          </cell>
          <cell r="G340" t="str">
            <v>10101</v>
          </cell>
          <cell r="H340" t="str">
            <v>付药费</v>
          </cell>
          <cell r="I340" t="b">
            <v>0</v>
          </cell>
          <cell r="J340">
            <v>8738.7000000000007</v>
          </cell>
          <cell r="K340">
            <v>0</v>
          </cell>
          <cell r="L340">
            <v>0</v>
          </cell>
        </row>
        <row r="341">
          <cell r="A341" t="str">
            <v>12</v>
          </cell>
          <cell r="B341" t="str">
            <v>04</v>
          </cell>
          <cell r="C341" t="str">
            <v>12</v>
          </cell>
          <cell r="D341" t="str">
            <v>4</v>
          </cell>
          <cell r="E341" t="str">
            <v>0004</v>
          </cell>
          <cell r="F341" t="str">
            <v>0001</v>
          </cell>
          <cell r="G341" t="str">
            <v>10101</v>
          </cell>
          <cell r="H341" t="str">
            <v>支现金</v>
          </cell>
          <cell r="I341" t="b">
            <v>1</v>
          </cell>
          <cell r="J341">
            <v>700000</v>
          </cell>
          <cell r="K341">
            <v>0</v>
          </cell>
          <cell r="L341">
            <v>0</v>
          </cell>
        </row>
        <row r="342">
          <cell r="A342" t="str">
            <v>12</v>
          </cell>
          <cell r="B342" t="str">
            <v>07</v>
          </cell>
          <cell r="C342" t="str">
            <v>12</v>
          </cell>
          <cell r="D342" t="str">
            <v>4</v>
          </cell>
          <cell r="E342" t="str">
            <v>0006</v>
          </cell>
          <cell r="F342" t="str">
            <v>0001</v>
          </cell>
          <cell r="G342" t="str">
            <v>10101</v>
          </cell>
          <cell r="H342" t="str">
            <v>支现金</v>
          </cell>
          <cell r="I342" t="b">
            <v>1</v>
          </cell>
          <cell r="J342">
            <v>550000</v>
          </cell>
          <cell r="K342">
            <v>0</v>
          </cell>
          <cell r="L342">
            <v>0</v>
          </cell>
        </row>
        <row r="343">
          <cell r="A343" t="str">
            <v>12</v>
          </cell>
          <cell r="B343" t="str">
            <v>21</v>
          </cell>
          <cell r="C343" t="str">
            <v>12</v>
          </cell>
          <cell r="D343" t="str">
            <v>4</v>
          </cell>
          <cell r="E343" t="str">
            <v>0046</v>
          </cell>
          <cell r="F343" t="str">
            <v>0001</v>
          </cell>
          <cell r="G343" t="str">
            <v>10101</v>
          </cell>
          <cell r="H343" t="str">
            <v>支现金</v>
          </cell>
          <cell r="I343" t="b">
            <v>1</v>
          </cell>
          <cell r="J343">
            <v>2140000</v>
          </cell>
          <cell r="K343">
            <v>0</v>
          </cell>
          <cell r="L343">
            <v>0</v>
          </cell>
        </row>
        <row r="344">
          <cell r="A344" t="str">
            <v>02</v>
          </cell>
          <cell r="B344" t="str">
            <v>22</v>
          </cell>
          <cell r="C344" t="str">
            <v>02</v>
          </cell>
          <cell r="D344" t="str">
            <v>1</v>
          </cell>
          <cell r="E344" t="str">
            <v>0016</v>
          </cell>
          <cell r="F344" t="str">
            <v>0001</v>
          </cell>
          <cell r="G344" t="str">
            <v>10102</v>
          </cell>
          <cell r="H344" t="str">
            <v>暂借款</v>
          </cell>
          <cell r="I344" t="b">
            <v>1</v>
          </cell>
          <cell r="J344">
            <v>57960</v>
          </cell>
          <cell r="K344">
            <v>7000</v>
          </cell>
          <cell r="L344">
            <v>0</v>
          </cell>
        </row>
        <row r="345">
          <cell r="A345" t="str">
            <v>02</v>
          </cell>
          <cell r="B345" t="str">
            <v>22</v>
          </cell>
          <cell r="C345" t="str">
            <v>02</v>
          </cell>
          <cell r="D345" t="str">
            <v>2</v>
          </cell>
          <cell r="E345" t="str">
            <v>0044</v>
          </cell>
          <cell r="F345" t="str">
            <v>0002</v>
          </cell>
          <cell r="G345" t="str">
            <v>10102</v>
          </cell>
          <cell r="H345" t="str">
            <v>付奖金USD7000.00*8.28</v>
          </cell>
          <cell r="I345" t="b">
            <v>0</v>
          </cell>
          <cell r="J345">
            <v>57960</v>
          </cell>
          <cell r="K345">
            <v>7000</v>
          </cell>
          <cell r="L345">
            <v>0</v>
          </cell>
        </row>
        <row r="346">
          <cell r="A346" t="str">
            <v>04</v>
          </cell>
          <cell r="B346" t="str">
            <v>20</v>
          </cell>
          <cell r="C346" t="str">
            <v>04</v>
          </cell>
          <cell r="D346" t="str">
            <v>1</v>
          </cell>
          <cell r="E346" t="str">
            <v>0004</v>
          </cell>
          <cell r="F346" t="str">
            <v>0001</v>
          </cell>
          <cell r="G346" t="str">
            <v>10102</v>
          </cell>
          <cell r="H346" t="str">
            <v>暂借款USD8000.00*8.2659</v>
          </cell>
          <cell r="I346" t="b">
            <v>1</v>
          </cell>
          <cell r="J346">
            <v>66127.199999999997</v>
          </cell>
          <cell r="K346">
            <v>8000</v>
          </cell>
          <cell r="L346">
            <v>0</v>
          </cell>
        </row>
        <row r="347">
          <cell r="A347" t="str">
            <v>04</v>
          </cell>
          <cell r="B347" t="str">
            <v>20</v>
          </cell>
          <cell r="C347" t="str">
            <v>04</v>
          </cell>
          <cell r="D347" t="str">
            <v>2</v>
          </cell>
          <cell r="E347" t="str">
            <v>0012</v>
          </cell>
          <cell r="F347" t="str">
            <v>0002</v>
          </cell>
          <cell r="G347" t="str">
            <v>10102</v>
          </cell>
          <cell r="H347" t="str">
            <v>暂借款USD8000.00*8.2659</v>
          </cell>
          <cell r="I347" t="b">
            <v>0</v>
          </cell>
          <cell r="J347">
            <v>66127.199999999997</v>
          </cell>
          <cell r="K347">
            <v>8000</v>
          </cell>
          <cell r="L347">
            <v>0</v>
          </cell>
        </row>
        <row r="348">
          <cell r="A348" t="str">
            <v>06</v>
          </cell>
          <cell r="B348" t="str">
            <v>15</v>
          </cell>
          <cell r="C348" t="str">
            <v>06</v>
          </cell>
          <cell r="D348" t="str">
            <v>2</v>
          </cell>
          <cell r="E348" t="str">
            <v>0013</v>
          </cell>
          <cell r="F348" t="str">
            <v>0002</v>
          </cell>
          <cell r="G348" t="str">
            <v>10102</v>
          </cell>
          <cell r="H348" t="str">
            <v>付费用USD99.82*8.2649</v>
          </cell>
          <cell r="I348" t="b">
            <v>0</v>
          </cell>
          <cell r="J348">
            <v>825</v>
          </cell>
          <cell r="K348">
            <v>99.82</v>
          </cell>
          <cell r="L348">
            <v>0</v>
          </cell>
        </row>
        <row r="349">
          <cell r="A349" t="str">
            <v>07</v>
          </cell>
          <cell r="B349" t="str">
            <v>20</v>
          </cell>
          <cell r="C349" t="str">
            <v>07</v>
          </cell>
          <cell r="D349" t="str">
            <v>1</v>
          </cell>
          <cell r="E349" t="str">
            <v>0009</v>
          </cell>
          <cell r="F349" t="str">
            <v>0001</v>
          </cell>
          <cell r="G349" t="str">
            <v>10102</v>
          </cell>
          <cell r="H349" t="str">
            <v>暂借款</v>
          </cell>
          <cell r="I349" t="b">
            <v>1</v>
          </cell>
          <cell r="J349">
            <v>247989</v>
          </cell>
          <cell r="K349">
            <v>30000</v>
          </cell>
          <cell r="L349">
            <v>0</v>
          </cell>
        </row>
        <row r="350">
          <cell r="A350" t="str">
            <v>07</v>
          </cell>
          <cell r="B350" t="str">
            <v>17</v>
          </cell>
          <cell r="C350" t="str">
            <v>07</v>
          </cell>
          <cell r="D350" t="str">
            <v>2</v>
          </cell>
          <cell r="E350" t="str">
            <v>0014</v>
          </cell>
          <cell r="F350" t="str">
            <v>0002</v>
          </cell>
          <cell r="G350" t="str">
            <v>10102</v>
          </cell>
          <cell r="H350" t="str">
            <v>调汇USD30000.00*8.2663</v>
          </cell>
          <cell r="I350" t="b">
            <v>0</v>
          </cell>
          <cell r="J350">
            <v>247989</v>
          </cell>
          <cell r="K350">
            <v>30000</v>
          </cell>
          <cell r="L350">
            <v>0</v>
          </cell>
        </row>
        <row r="351">
          <cell r="A351" t="str">
            <v>11</v>
          </cell>
          <cell r="B351" t="str">
            <v>25</v>
          </cell>
          <cell r="C351" t="str">
            <v>11</v>
          </cell>
          <cell r="D351" t="str">
            <v>1</v>
          </cell>
          <cell r="E351" t="str">
            <v>0004</v>
          </cell>
          <cell r="F351" t="str">
            <v>0001</v>
          </cell>
          <cell r="G351" t="str">
            <v>10102</v>
          </cell>
          <cell r="H351" t="str">
            <v>暂借款</v>
          </cell>
          <cell r="I351" t="b">
            <v>1</v>
          </cell>
          <cell r="J351">
            <v>16530.2</v>
          </cell>
          <cell r="K351">
            <v>2000</v>
          </cell>
          <cell r="L351">
            <v>0</v>
          </cell>
        </row>
        <row r="352">
          <cell r="A352" t="str">
            <v>11</v>
          </cell>
          <cell r="B352" t="str">
            <v>15</v>
          </cell>
          <cell r="C352" t="str">
            <v>11</v>
          </cell>
          <cell r="D352" t="str">
            <v>2</v>
          </cell>
          <cell r="E352" t="str">
            <v>0020</v>
          </cell>
          <cell r="F352" t="str">
            <v>0003</v>
          </cell>
          <cell r="G352" t="str">
            <v>10102</v>
          </cell>
          <cell r="H352" t="str">
            <v>付招待费.差旅费</v>
          </cell>
          <cell r="I352" t="b">
            <v>0</v>
          </cell>
          <cell r="J352">
            <v>22055.08</v>
          </cell>
          <cell r="K352">
            <v>2668.46</v>
          </cell>
          <cell r="L352">
            <v>0</v>
          </cell>
        </row>
        <row r="353">
          <cell r="A353" t="str">
            <v>02</v>
          </cell>
          <cell r="B353" t="str">
            <v>08</v>
          </cell>
          <cell r="C353" t="str">
            <v>02</v>
          </cell>
          <cell r="D353" t="str">
            <v>3</v>
          </cell>
          <cell r="E353" t="str">
            <v>0004</v>
          </cell>
          <cell r="F353" t="str">
            <v>0002</v>
          </cell>
          <cell r="G353" t="str">
            <v>1020101</v>
          </cell>
          <cell r="H353" t="str">
            <v>收存款利息</v>
          </cell>
          <cell r="I353" t="b">
            <v>1</v>
          </cell>
          <cell r="J353">
            <v>1329.48</v>
          </cell>
          <cell r="K353">
            <v>0</v>
          </cell>
          <cell r="L353">
            <v>0</v>
          </cell>
        </row>
        <row r="354">
          <cell r="A354" t="str">
            <v>02</v>
          </cell>
          <cell r="B354" t="str">
            <v>01</v>
          </cell>
          <cell r="C354" t="str">
            <v>02</v>
          </cell>
          <cell r="D354" t="str">
            <v>4</v>
          </cell>
          <cell r="E354" t="str">
            <v>0002</v>
          </cell>
          <cell r="F354" t="str">
            <v>0001</v>
          </cell>
          <cell r="G354" t="str">
            <v>1020101</v>
          </cell>
          <cell r="H354" t="str">
            <v>转户</v>
          </cell>
          <cell r="I354" t="b">
            <v>1</v>
          </cell>
          <cell r="J354">
            <v>141171</v>
          </cell>
          <cell r="K354">
            <v>0</v>
          </cell>
          <cell r="L354">
            <v>0</v>
          </cell>
        </row>
        <row r="355">
          <cell r="A355" t="str">
            <v>03</v>
          </cell>
          <cell r="B355" t="str">
            <v>02</v>
          </cell>
          <cell r="C355" t="str">
            <v>03</v>
          </cell>
          <cell r="D355" t="str">
            <v>4</v>
          </cell>
          <cell r="E355" t="str">
            <v>0006</v>
          </cell>
          <cell r="F355" t="str">
            <v>0001</v>
          </cell>
          <cell r="G355" t="str">
            <v>1020101</v>
          </cell>
          <cell r="H355" t="str">
            <v>转户</v>
          </cell>
          <cell r="I355" t="b">
            <v>1</v>
          </cell>
          <cell r="J355">
            <v>28000</v>
          </cell>
          <cell r="K355">
            <v>0</v>
          </cell>
          <cell r="L355">
            <v>0</v>
          </cell>
        </row>
        <row r="356">
          <cell r="A356" t="str">
            <v>04</v>
          </cell>
          <cell r="B356" t="str">
            <v>01</v>
          </cell>
          <cell r="C356" t="str">
            <v>04</v>
          </cell>
          <cell r="D356" t="str">
            <v>3</v>
          </cell>
          <cell r="E356" t="str">
            <v>0001</v>
          </cell>
          <cell r="F356" t="str">
            <v>0001</v>
          </cell>
          <cell r="G356" t="str">
            <v>1020101</v>
          </cell>
          <cell r="H356" t="str">
            <v>收存款利息</v>
          </cell>
          <cell r="I356" t="b">
            <v>1</v>
          </cell>
          <cell r="J356">
            <v>1782.31</v>
          </cell>
          <cell r="K356">
            <v>0</v>
          </cell>
          <cell r="L356">
            <v>0</v>
          </cell>
        </row>
        <row r="357">
          <cell r="A357" t="str">
            <v>05</v>
          </cell>
          <cell r="B357" t="str">
            <v>23</v>
          </cell>
          <cell r="C357" t="str">
            <v>05</v>
          </cell>
          <cell r="D357" t="str">
            <v>4</v>
          </cell>
          <cell r="E357" t="str">
            <v>0024</v>
          </cell>
          <cell r="F357" t="str">
            <v>0004</v>
          </cell>
          <cell r="G357" t="str">
            <v>1020101</v>
          </cell>
          <cell r="H357" t="str">
            <v>转户</v>
          </cell>
          <cell r="I357" t="b">
            <v>0</v>
          </cell>
          <cell r="J357">
            <v>750000</v>
          </cell>
          <cell r="K357">
            <v>0</v>
          </cell>
          <cell r="L357">
            <v>0</v>
          </cell>
        </row>
        <row r="358">
          <cell r="A358" t="str">
            <v>05</v>
          </cell>
          <cell r="B358" t="str">
            <v>24</v>
          </cell>
          <cell r="C358" t="str">
            <v>05</v>
          </cell>
          <cell r="D358" t="str">
            <v>4</v>
          </cell>
          <cell r="E358" t="str">
            <v>0025</v>
          </cell>
          <cell r="F358" t="str">
            <v>0004</v>
          </cell>
          <cell r="G358" t="str">
            <v>1020101</v>
          </cell>
          <cell r="H358" t="str">
            <v>付工本费</v>
          </cell>
          <cell r="I358" t="b">
            <v>0</v>
          </cell>
          <cell r="J358">
            <v>20</v>
          </cell>
          <cell r="K358">
            <v>0</v>
          </cell>
          <cell r="L358">
            <v>0</v>
          </cell>
        </row>
        <row r="359">
          <cell r="A359" t="str">
            <v>06</v>
          </cell>
          <cell r="B359" t="str">
            <v>20</v>
          </cell>
          <cell r="C359" t="str">
            <v>06</v>
          </cell>
          <cell r="D359" t="str">
            <v>3</v>
          </cell>
          <cell r="E359" t="str">
            <v>0002</v>
          </cell>
          <cell r="F359" t="str">
            <v>0001</v>
          </cell>
          <cell r="G359" t="str">
            <v>1020101</v>
          </cell>
          <cell r="H359" t="str">
            <v>收出口退税款</v>
          </cell>
          <cell r="I359" t="b">
            <v>1</v>
          </cell>
          <cell r="J359">
            <v>1529891.68</v>
          </cell>
          <cell r="K359">
            <v>0</v>
          </cell>
          <cell r="L359">
            <v>0</v>
          </cell>
        </row>
        <row r="360">
          <cell r="A360" t="str">
            <v>07</v>
          </cell>
          <cell r="B360" t="str">
            <v>05</v>
          </cell>
          <cell r="C360" t="str">
            <v>07</v>
          </cell>
          <cell r="D360" t="str">
            <v>3</v>
          </cell>
          <cell r="E360" t="str">
            <v>0002</v>
          </cell>
          <cell r="F360" t="str">
            <v>0003</v>
          </cell>
          <cell r="G360" t="str">
            <v>1020101</v>
          </cell>
          <cell r="H360" t="str">
            <v>收存款</v>
          </cell>
          <cell r="I360" t="b">
            <v>1</v>
          </cell>
          <cell r="J360">
            <v>1866181.69</v>
          </cell>
          <cell r="K360">
            <v>0</v>
          </cell>
          <cell r="L360">
            <v>0</v>
          </cell>
        </row>
        <row r="361">
          <cell r="A361" t="str">
            <v>07</v>
          </cell>
          <cell r="B361" t="str">
            <v>10</v>
          </cell>
          <cell r="C361" t="str">
            <v>07</v>
          </cell>
          <cell r="D361" t="str">
            <v>3</v>
          </cell>
          <cell r="E361" t="str">
            <v>0003</v>
          </cell>
          <cell r="F361" t="str">
            <v>0002</v>
          </cell>
          <cell r="G361" t="str">
            <v>1020101</v>
          </cell>
          <cell r="H361" t="str">
            <v>收存款利息</v>
          </cell>
          <cell r="I361" t="b">
            <v>1</v>
          </cell>
          <cell r="J361">
            <v>1543.17</v>
          </cell>
          <cell r="K361">
            <v>0</v>
          </cell>
          <cell r="L361">
            <v>0</v>
          </cell>
        </row>
        <row r="362">
          <cell r="A362" t="str">
            <v>07</v>
          </cell>
          <cell r="B362" t="str">
            <v>01</v>
          </cell>
          <cell r="C362" t="str">
            <v>07</v>
          </cell>
          <cell r="D362" t="str">
            <v>4</v>
          </cell>
          <cell r="E362" t="str">
            <v>0001</v>
          </cell>
          <cell r="F362" t="str">
            <v>0005</v>
          </cell>
          <cell r="G362" t="str">
            <v>1020101</v>
          </cell>
          <cell r="H362" t="str">
            <v>转户</v>
          </cell>
          <cell r="I362" t="b">
            <v>0</v>
          </cell>
          <cell r="J362">
            <v>1500000</v>
          </cell>
          <cell r="K362">
            <v>0</v>
          </cell>
          <cell r="L362">
            <v>0</v>
          </cell>
        </row>
        <row r="363">
          <cell r="A363" t="str">
            <v>07</v>
          </cell>
          <cell r="B363" t="str">
            <v>15</v>
          </cell>
          <cell r="C363" t="str">
            <v>07</v>
          </cell>
          <cell r="D363" t="str">
            <v>4</v>
          </cell>
          <cell r="E363" t="str">
            <v>0011</v>
          </cell>
          <cell r="F363" t="str">
            <v>0002</v>
          </cell>
          <cell r="G363" t="str">
            <v>1020101</v>
          </cell>
          <cell r="H363" t="str">
            <v>转户</v>
          </cell>
          <cell r="I363" t="b">
            <v>0</v>
          </cell>
          <cell r="J363">
            <v>1900000</v>
          </cell>
          <cell r="K363">
            <v>0</v>
          </cell>
          <cell r="L363">
            <v>0</v>
          </cell>
        </row>
        <row r="364">
          <cell r="A364" t="str">
            <v>09</v>
          </cell>
          <cell r="B364" t="str">
            <v>10</v>
          </cell>
          <cell r="C364" t="str">
            <v>09</v>
          </cell>
          <cell r="D364" t="str">
            <v>3</v>
          </cell>
          <cell r="E364" t="str">
            <v>0005</v>
          </cell>
          <cell r="F364" t="str">
            <v>0001</v>
          </cell>
          <cell r="G364" t="str">
            <v>1020101</v>
          </cell>
          <cell r="H364" t="str">
            <v>收出口退税</v>
          </cell>
          <cell r="I364" t="b">
            <v>1</v>
          </cell>
          <cell r="J364">
            <v>337911.45</v>
          </cell>
          <cell r="K364">
            <v>0</v>
          </cell>
          <cell r="L364">
            <v>0</v>
          </cell>
        </row>
        <row r="365">
          <cell r="A365" t="str">
            <v>10</v>
          </cell>
          <cell r="B365" t="str">
            <v>10</v>
          </cell>
          <cell r="C365" t="str">
            <v>10</v>
          </cell>
          <cell r="D365" t="str">
            <v>3</v>
          </cell>
          <cell r="E365" t="str">
            <v>0002</v>
          </cell>
          <cell r="F365" t="str">
            <v>0001</v>
          </cell>
          <cell r="G365" t="str">
            <v>1020101</v>
          </cell>
          <cell r="H365" t="str">
            <v>收存款利息</v>
          </cell>
          <cell r="I365" t="b">
            <v>1</v>
          </cell>
          <cell r="J365">
            <v>879.42</v>
          </cell>
          <cell r="K365">
            <v>0</v>
          </cell>
          <cell r="L365">
            <v>0</v>
          </cell>
        </row>
        <row r="366">
          <cell r="A366" t="str">
            <v>12</v>
          </cell>
          <cell r="B366" t="str">
            <v>22</v>
          </cell>
          <cell r="C366" t="str">
            <v>12</v>
          </cell>
          <cell r="D366" t="str">
            <v>3</v>
          </cell>
          <cell r="E366" t="str">
            <v>0015</v>
          </cell>
          <cell r="F366" t="str">
            <v>0002</v>
          </cell>
          <cell r="G366" t="str">
            <v>1020101</v>
          </cell>
          <cell r="H366" t="str">
            <v>收存款利息</v>
          </cell>
          <cell r="I366" t="b">
            <v>1</v>
          </cell>
          <cell r="J366">
            <v>935.27</v>
          </cell>
          <cell r="K366">
            <v>0</v>
          </cell>
          <cell r="L366">
            <v>0</v>
          </cell>
        </row>
        <row r="367">
          <cell r="A367" t="str">
            <v>12</v>
          </cell>
          <cell r="B367" t="str">
            <v>01</v>
          </cell>
          <cell r="C367" t="str">
            <v>12</v>
          </cell>
          <cell r="D367" t="str">
            <v>4</v>
          </cell>
          <cell r="E367" t="str">
            <v>0001</v>
          </cell>
          <cell r="F367" t="str">
            <v>0001</v>
          </cell>
          <cell r="G367" t="str">
            <v>1020101</v>
          </cell>
          <cell r="H367" t="str">
            <v>转户</v>
          </cell>
          <cell r="I367" t="b">
            <v>1</v>
          </cell>
          <cell r="J367">
            <v>129000</v>
          </cell>
          <cell r="K367">
            <v>0</v>
          </cell>
          <cell r="L367">
            <v>0</v>
          </cell>
        </row>
        <row r="368">
          <cell r="A368" t="str">
            <v>02</v>
          </cell>
          <cell r="B368" t="str">
            <v>12</v>
          </cell>
          <cell r="C368" t="str">
            <v>02</v>
          </cell>
          <cell r="D368" t="str">
            <v>4</v>
          </cell>
          <cell r="E368" t="str">
            <v>0012</v>
          </cell>
          <cell r="F368" t="str">
            <v>0003</v>
          </cell>
          <cell r="G368" t="str">
            <v>1020102</v>
          </cell>
          <cell r="H368" t="str">
            <v>付饭费.住宿费</v>
          </cell>
          <cell r="I368" t="b">
            <v>0</v>
          </cell>
          <cell r="J368">
            <v>1970</v>
          </cell>
          <cell r="K368">
            <v>0</v>
          </cell>
          <cell r="L368">
            <v>0</v>
          </cell>
        </row>
        <row r="369">
          <cell r="A369" t="str">
            <v>04</v>
          </cell>
          <cell r="B369" t="str">
            <v>01</v>
          </cell>
          <cell r="C369" t="str">
            <v>04</v>
          </cell>
          <cell r="D369" t="str">
            <v>4</v>
          </cell>
          <cell r="E369" t="str">
            <v>0001</v>
          </cell>
          <cell r="F369" t="str">
            <v>0004</v>
          </cell>
          <cell r="G369" t="str">
            <v>1020102</v>
          </cell>
          <cell r="H369" t="str">
            <v>付住宿费.餐费</v>
          </cell>
          <cell r="I369" t="b">
            <v>0</v>
          </cell>
          <cell r="J369">
            <v>2670.65</v>
          </cell>
          <cell r="K369">
            <v>0</v>
          </cell>
          <cell r="L369">
            <v>0</v>
          </cell>
        </row>
        <row r="370">
          <cell r="A370" t="str">
            <v>07</v>
          </cell>
          <cell r="B370" t="str">
            <v>16</v>
          </cell>
          <cell r="C370" t="str">
            <v>07</v>
          </cell>
          <cell r="D370" t="str">
            <v>4</v>
          </cell>
          <cell r="E370" t="str">
            <v>0015</v>
          </cell>
          <cell r="F370" t="str">
            <v>0002</v>
          </cell>
          <cell r="G370" t="str">
            <v>1020102</v>
          </cell>
          <cell r="H370" t="str">
            <v>付餐费</v>
          </cell>
          <cell r="I370" t="b">
            <v>0</v>
          </cell>
          <cell r="J370">
            <v>1245</v>
          </cell>
          <cell r="K370">
            <v>0</v>
          </cell>
          <cell r="L370">
            <v>0</v>
          </cell>
        </row>
        <row r="371">
          <cell r="A371" t="str">
            <v>08</v>
          </cell>
          <cell r="B371" t="str">
            <v>04</v>
          </cell>
          <cell r="C371" t="str">
            <v>08</v>
          </cell>
          <cell r="D371" t="str">
            <v>4</v>
          </cell>
          <cell r="E371" t="str">
            <v>0006</v>
          </cell>
          <cell r="F371" t="str">
            <v>0003</v>
          </cell>
          <cell r="G371" t="str">
            <v>1020102</v>
          </cell>
          <cell r="H371" t="str">
            <v>付房费</v>
          </cell>
          <cell r="I371" t="b">
            <v>0</v>
          </cell>
          <cell r="J371">
            <v>2917.33</v>
          </cell>
          <cell r="K371">
            <v>0</v>
          </cell>
          <cell r="L371">
            <v>0</v>
          </cell>
        </row>
        <row r="372">
          <cell r="A372" t="str">
            <v>09</v>
          </cell>
          <cell r="B372" t="str">
            <v>03</v>
          </cell>
          <cell r="C372" t="str">
            <v>09</v>
          </cell>
          <cell r="D372" t="str">
            <v>4</v>
          </cell>
          <cell r="E372" t="str">
            <v>0004</v>
          </cell>
          <cell r="F372" t="str">
            <v>0005</v>
          </cell>
          <cell r="G372" t="str">
            <v>1020102</v>
          </cell>
          <cell r="H372" t="str">
            <v>付差旅费.招待费</v>
          </cell>
          <cell r="I372" t="b">
            <v>0</v>
          </cell>
          <cell r="J372">
            <v>5345.1</v>
          </cell>
          <cell r="K372">
            <v>0</v>
          </cell>
          <cell r="L372">
            <v>0</v>
          </cell>
        </row>
        <row r="373">
          <cell r="A373" t="str">
            <v>10</v>
          </cell>
          <cell r="B373" t="str">
            <v>01</v>
          </cell>
          <cell r="C373" t="str">
            <v>10</v>
          </cell>
          <cell r="D373" t="str">
            <v>2</v>
          </cell>
          <cell r="E373" t="str">
            <v>0001</v>
          </cell>
          <cell r="F373" t="str">
            <v>0003</v>
          </cell>
          <cell r="G373" t="str">
            <v>1020102</v>
          </cell>
          <cell r="H373" t="str">
            <v>存现金</v>
          </cell>
          <cell r="I373" t="b">
            <v>1</v>
          </cell>
          <cell r="J373">
            <v>20578.3</v>
          </cell>
          <cell r="K373">
            <v>0</v>
          </cell>
          <cell r="L373">
            <v>0</v>
          </cell>
        </row>
        <row r="374">
          <cell r="A374" t="str">
            <v>10</v>
          </cell>
          <cell r="B374" t="str">
            <v>10</v>
          </cell>
          <cell r="C374" t="str">
            <v>10</v>
          </cell>
          <cell r="D374" t="str">
            <v>4</v>
          </cell>
          <cell r="E374" t="str">
            <v>0012</v>
          </cell>
          <cell r="F374" t="str">
            <v>0005</v>
          </cell>
          <cell r="G374" t="str">
            <v>1020102</v>
          </cell>
          <cell r="H374" t="str">
            <v>付招待费</v>
          </cell>
          <cell r="I374" t="b">
            <v>0</v>
          </cell>
          <cell r="J374">
            <v>1537</v>
          </cell>
          <cell r="K374">
            <v>0</v>
          </cell>
          <cell r="L374">
            <v>0</v>
          </cell>
        </row>
        <row r="375">
          <cell r="A375" t="str">
            <v>12</v>
          </cell>
          <cell r="B375" t="str">
            <v>10</v>
          </cell>
          <cell r="C375" t="str">
            <v>12</v>
          </cell>
          <cell r="D375" t="str">
            <v>4</v>
          </cell>
          <cell r="E375" t="str">
            <v>0020</v>
          </cell>
          <cell r="F375" t="str">
            <v>0003</v>
          </cell>
          <cell r="G375" t="str">
            <v>1020102</v>
          </cell>
          <cell r="H375" t="str">
            <v>付招待费.差旅费</v>
          </cell>
          <cell r="I375" t="b">
            <v>0</v>
          </cell>
          <cell r="J375">
            <v>11521.6</v>
          </cell>
          <cell r="K375">
            <v>0</v>
          </cell>
          <cell r="L375">
            <v>0</v>
          </cell>
        </row>
        <row r="376">
          <cell r="A376" t="str">
            <v>02</v>
          </cell>
          <cell r="B376" t="str">
            <v>15</v>
          </cell>
          <cell r="C376" t="str">
            <v>02</v>
          </cell>
          <cell r="D376" t="str">
            <v>2</v>
          </cell>
          <cell r="E376" t="str">
            <v>0028</v>
          </cell>
          <cell r="F376" t="str">
            <v>0001</v>
          </cell>
          <cell r="G376" t="str">
            <v>1020103</v>
          </cell>
          <cell r="H376" t="str">
            <v>存现金</v>
          </cell>
          <cell r="I376" t="b">
            <v>1</v>
          </cell>
          <cell r="J376">
            <v>50000</v>
          </cell>
          <cell r="K376">
            <v>0</v>
          </cell>
          <cell r="L376">
            <v>0</v>
          </cell>
        </row>
        <row r="377">
          <cell r="A377" t="str">
            <v>02</v>
          </cell>
          <cell r="B377" t="str">
            <v>03</v>
          </cell>
          <cell r="C377" t="str">
            <v>02</v>
          </cell>
          <cell r="D377" t="str">
            <v>3</v>
          </cell>
          <cell r="E377" t="str">
            <v>0002</v>
          </cell>
          <cell r="F377" t="str">
            <v>0001</v>
          </cell>
          <cell r="G377" t="str">
            <v>1020103</v>
          </cell>
          <cell r="H377" t="str">
            <v>存现金</v>
          </cell>
          <cell r="I377" t="b">
            <v>1</v>
          </cell>
          <cell r="J377">
            <v>130000</v>
          </cell>
          <cell r="K377">
            <v>0</v>
          </cell>
          <cell r="L377">
            <v>0</v>
          </cell>
        </row>
        <row r="378">
          <cell r="A378" t="str">
            <v>02</v>
          </cell>
          <cell r="B378" t="str">
            <v>05</v>
          </cell>
          <cell r="C378" t="str">
            <v>02</v>
          </cell>
          <cell r="D378" t="str">
            <v>3</v>
          </cell>
          <cell r="E378" t="str">
            <v>0003</v>
          </cell>
          <cell r="F378" t="str">
            <v>0001</v>
          </cell>
          <cell r="G378" t="str">
            <v>1020103</v>
          </cell>
          <cell r="H378" t="str">
            <v>销苹果浓汁.山楂浓汁</v>
          </cell>
          <cell r="I378" t="b">
            <v>1</v>
          </cell>
          <cell r="J378">
            <v>59919</v>
          </cell>
          <cell r="K378">
            <v>0</v>
          </cell>
          <cell r="L378">
            <v>0</v>
          </cell>
        </row>
        <row r="379">
          <cell r="A379" t="str">
            <v>02</v>
          </cell>
          <cell r="B379" t="str">
            <v>08</v>
          </cell>
          <cell r="C379" t="str">
            <v>02</v>
          </cell>
          <cell r="D379" t="str">
            <v>3</v>
          </cell>
          <cell r="E379" t="str">
            <v>0004</v>
          </cell>
          <cell r="F379" t="str">
            <v>0001</v>
          </cell>
          <cell r="G379" t="str">
            <v>1020103</v>
          </cell>
          <cell r="H379" t="str">
            <v>收存款利息</v>
          </cell>
          <cell r="I379" t="b">
            <v>1</v>
          </cell>
          <cell r="J379">
            <v>6281.82</v>
          </cell>
          <cell r="K379">
            <v>0</v>
          </cell>
          <cell r="L379">
            <v>0</v>
          </cell>
        </row>
        <row r="380">
          <cell r="A380" t="str">
            <v>02</v>
          </cell>
          <cell r="B380" t="str">
            <v>10</v>
          </cell>
          <cell r="C380" t="str">
            <v>02</v>
          </cell>
          <cell r="D380" t="str">
            <v>3</v>
          </cell>
          <cell r="E380" t="str">
            <v>0006</v>
          </cell>
          <cell r="F380" t="str">
            <v>0001</v>
          </cell>
          <cell r="G380" t="str">
            <v>1020103</v>
          </cell>
          <cell r="H380" t="str">
            <v>收存款</v>
          </cell>
          <cell r="I380" t="b">
            <v>1</v>
          </cell>
          <cell r="J380">
            <v>1045000</v>
          </cell>
          <cell r="K380">
            <v>0</v>
          </cell>
          <cell r="L380">
            <v>0</v>
          </cell>
        </row>
        <row r="381">
          <cell r="A381" t="str">
            <v>02</v>
          </cell>
          <cell r="B381" t="str">
            <v>20</v>
          </cell>
          <cell r="C381" t="str">
            <v>02</v>
          </cell>
          <cell r="D381" t="str">
            <v>3</v>
          </cell>
          <cell r="E381" t="str">
            <v>0008</v>
          </cell>
          <cell r="F381" t="str">
            <v>0001</v>
          </cell>
          <cell r="G381" t="str">
            <v>1020103</v>
          </cell>
          <cell r="H381" t="str">
            <v>收存款</v>
          </cell>
          <cell r="I381" t="b">
            <v>1</v>
          </cell>
          <cell r="J381">
            <v>2500000</v>
          </cell>
          <cell r="K381">
            <v>0</v>
          </cell>
          <cell r="L381">
            <v>0</v>
          </cell>
        </row>
        <row r="382">
          <cell r="A382" t="str">
            <v>02</v>
          </cell>
          <cell r="B382" t="str">
            <v>01</v>
          </cell>
          <cell r="C382" t="str">
            <v>02</v>
          </cell>
          <cell r="D382" t="str">
            <v>4</v>
          </cell>
          <cell r="E382" t="str">
            <v>0001</v>
          </cell>
          <cell r="F382" t="str">
            <v>0002</v>
          </cell>
          <cell r="G382" t="str">
            <v>1020103</v>
          </cell>
          <cell r="H382" t="str">
            <v>付借款利息</v>
          </cell>
          <cell r="I382" t="b">
            <v>0</v>
          </cell>
          <cell r="J382">
            <v>83583.75</v>
          </cell>
          <cell r="K382">
            <v>0</v>
          </cell>
          <cell r="L382">
            <v>0</v>
          </cell>
        </row>
        <row r="383">
          <cell r="A383" t="str">
            <v>02</v>
          </cell>
          <cell r="B383" t="str">
            <v>01</v>
          </cell>
          <cell r="C383" t="str">
            <v>02</v>
          </cell>
          <cell r="D383" t="str">
            <v>4</v>
          </cell>
          <cell r="E383" t="str">
            <v>0001</v>
          </cell>
          <cell r="F383" t="str">
            <v>0004</v>
          </cell>
          <cell r="G383" t="str">
            <v>1020103</v>
          </cell>
          <cell r="H383" t="str">
            <v>支现金</v>
          </cell>
          <cell r="I383" t="b">
            <v>0</v>
          </cell>
          <cell r="J383">
            <v>795251.5</v>
          </cell>
          <cell r="K383">
            <v>0</v>
          </cell>
          <cell r="L383">
            <v>0</v>
          </cell>
        </row>
        <row r="384">
          <cell r="A384" t="str">
            <v>02</v>
          </cell>
          <cell r="B384" t="str">
            <v>01</v>
          </cell>
          <cell r="C384" t="str">
            <v>02</v>
          </cell>
          <cell r="D384" t="str">
            <v>4</v>
          </cell>
          <cell r="E384" t="str">
            <v>0002</v>
          </cell>
          <cell r="F384" t="str">
            <v>0002</v>
          </cell>
          <cell r="G384" t="str">
            <v>1020103</v>
          </cell>
          <cell r="H384" t="str">
            <v>转户</v>
          </cell>
          <cell r="I384" t="b">
            <v>0</v>
          </cell>
          <cell r="J384">
            <v>141171</v>
          </cell>
          <cell r="K384">
            <v>0</v>
          </cell>
          <cell r="L384">
            <v>0</v>
          </cell>
        </row>
        <row r="385">
          <cell r="A385" t="str">
            <v>02</v>
          </cell>
          <cell r="B385" t="str">
            <v>01</v>
          </cell>
          <cell r="C385" t="str">
            <v>02</v>
          </cell>
          <cell r="D385" t="str">
            <v>4</v>
          </cell>
          <cell r="E385" t="str">
            <v>0002</v>
          </cell>
          <cell r="F385" t="str">
            <v>0003</v>
          </cell>
          <cell r="G385" t="str">
            <v>1020103</v>
          </cell>
          <cell r="H385" t="str">
            <v>转户</v>
          </cell>
          <cell r="I385" t="b">
            <v>1</v>
          </cell>
          <cell r="J385">
            <v>800000</v>
          </cell>
          <cell r="K385">
            <v>0</v>
          </cell>
          <cell r="L385">
            <v>0</v>
          </cell>
        </row>
        <row r="386">
          <cell r="A386" t="str">
            <v>02</v>
          </cell>
          <cell r="B386" t="str">
            <v>02</v>
          </cell>
          <cell r="C386" t="str">
            <v>02</v>
          </cell>
          <cell r="D386" t="str">
            <v>4</v>
          </cell>
          <cell r="E386" t="str">
            <v>0003</v>
          </cell>
          <cell r="F386" t="str">
            <v>0004</v>
          </cell>
          <cell r="G386" t="str">
            <v>1020103</v>
          </cell>
          <cell r="H386" t="str">
            <v>购制冷配件</v>
          </cell>
          <cell r="I386" t="b">
            <v>0</v>
          </cell>
          <cell r="J386">
            <v>7602.1</v>
          </cell>
          <cell r="K386">
            <v>0</v>
          </cell>
          <cell r="L386">
            <v>0</v>
          </cell>
        </row>
        <row r="387">
          <cell r="A387" t="str">
            <v>02</v>
          </cell>
          <cell r="B387" t="str">
            <v>03</v>
          </cell>
          <cell r="C387" t="str">
            <v>02</v>
          </cell>
          <cell r="D387" t="str">
            <v>4</v>
          </cell>
          <cell r="E387" t="str">
            <v>0004</v>
          </cell>
          <cell r="F387" t="str">
            <v>0006</v>
          </cell>
          <cell r="G387" t="str">
            <v>1020103</v>
          </cell>
          <cell r="H387" t="str">
            <v>付税款</v>
          </cell>
          <cell r="I387" t="b">
            <v>0</v>
          </cell>
          <cell r="J387">
            <v>48885.75</v>
          </cell>
          <cell r="K387">
            <v>0</v>
          </cell>
          <cell r="L387">
            <v>0</v>
          </cell>
        </row>
        <row r="388">
          <cell r="A388" t="str">
            <v>02</v>
          </cell>
          <cell r="B388" t="str">
            <v>05</v>
          </cell>
          <cell r="C388" t="str">
            <v>02</v>
          </cell>
          <cell r="D388" t="str">
            <v>4</v>
          </cell>
          <cell r="E388" t="str">
            <v>0005</v>
          </cell>
          <cell r="F388" t="str">
            <v>0004</v>
          </cell>
          <cell r="G388" t="str">
            <v>1020103</v>
          </cell>
          <cell r="H388" t="str">
            <v>支现金</v>
          </cell>
          <cell r="I388" t="b">
            <v>0</v>
          </cell>
          <cell r="J388">
            <v>700000</v>
          </cell>
          <cell r="K388">
            <v>0</v>
          </cell>
          <cell r="L388">
            <v>0</v>
          </cell>
        </row>
        <row r="389">
          <cell r="A389" t="str">
            <v>02</v>
          </cell>
          <cell r="B389" t="str">
            <v>05</v>
          </cell>
          <cell r="C389" t="str">
            <v>02</v>
          </cell>
          <cell r="D389" t="str">
            <v>4</v>
          </cell>
          <cell r="E389" t="str">
            <v>0006</v>
          </cell>
          <cell r="F389" t="str">
            <v>0004</v>
          </cell>
          <cell r="G389" t="str">
            <v>1020103</v>
          </cell>
          <cell r="H389" t="str">
            <v>暂借款</v>
          </cell>
          <cell r="I389" t="b">
            <v>0</v>
          </cell>
          <cell r="J389">
            <v>10000</v>
          </cell>
          <cell r="K389">
            <v>0</v>
          </cell>
          <cell r="L389">
            <v>0</v>
          </cell>
        </row>
        <row r="390">
          <cell r="A390" t="str">
            <v>02</v>
          </cell>
          <cell r="B390" t="str">
            <v>06</v>
          </cell>
          <cell r="C390" t="str">
            <v>02</v>
          </cell>
          <cell r="D390" t="str">
            <v>4</v>
          </cell>
          <cell r="E390" t="str">
            <v>0007</v>
          </cell>
          <cell r="F390" t="str">
            <v>0003</v>
          </cell>
          <cell r="G390" t="str">
            <v>1020103</v>
          </cell>
          <cell r="H390" t="str">
            <v>付佣金</v>
          </cell>
          <cell r="I390" t="b">
            <v>0</v>
          </cell>
          <cell r="J390">
            <v>9540.2999999999993</v>
          </cell>
          <cell r="K390">
            <v>0</v>
          </cell>
          <cell r="L390">
            <v>0</v>
          </cell>
        </row>
        <row r="391">
          <cell r="A391" t="str">
            <v>02</v>
          </cell>
          <cell r="B391" t="str">
            <v>10</v>
          </cell>
          <cell r="C391" t="str">
            <v>02</v>
          </cell>
          <cell r="D391" t="str">
            <v>4</v>
          </cell>
          <cell r="E391" t="str">
            <v>0009</v>
          </cell>
          <cell r="F391" t="str">
            <v>0004</v>
          </cell>
          <cell r="G391" t="str">
            <v>1020103</v>
          </cell>
          <cell r="H391" t="str">
            <v>购材料</v>
          </cell>
          <cell r="I391" t="b">
            <v>0</v>
          </cell>
          <cell r="J391">
            <v>39174.199999999997</v>
          </cell>
          <cell r="K391">
            <v>0</v>
          </cell>
          <cell r="L391">
            <v>0</v>
          </cell>
        </row>
        <row r="392">
          <cell r="A392" t="str">
            <v>02</v>
          </cell>
          <cell r="B392" t="str">
            <v>10</v>
          </cell>
          <cell r="C392" t="str">
            <v>02</v>
          </cell>
          <cell r="D392" t="str">
            <v>4</v>
          </cell>
          <cell r="E392" t="str">
            <v>0010</v>
          </cell>
          <cell r="F392" t="str">
            <v>0001</v>
          </cell>
          <cell r="G392" t="str">
            <v>1020103</v>
          </cell>
          <cell r="H392" t="str">
            <v>转户</v>
          </cell>
          <cell r="I392" t="b">
            <v>1</v>
          </cell>
          <cell r="J392">
            <v>2000000</v>
          </cell>
          <cell r="K392">
            <v>0</v>
          </cell>
          <cell r="L392">
            <v>0</v>
          </cell>
        </row>
        <row r="393">
          <cell r="A393" t="str">
            <v>02</v>
          </cell>
          <cell r="B393" t="str">
            <v>14</v>
          </cell>
          <cell r="C393" t="str">
            <v>02</v>
          </cell>
          <cell r="D393" t="str">
            <v>4</v>
          </cell>
          <cell r="E393" t="str">
            <v>0014</v>
          </cell>
          <cell r="F393" t="str">
            <v>0004</v>
          </cell>
          <cell r="G393" t="str">
            <v>1020103</v>
          </cell>
          <cell r="H393" t="str">
            <v>购材料</v>
          </cell>
          <cell r="I393" t="b">
            <v>0</v>
          </cell>
          <cell r="J393">
            <v>320951.15000000002</v>
          </cell>
          <cell r="K393">
            <v>0</v>
          </cell>
          <cell r="L393">
            <v>0</v>
          </cell>
        </row>
        <row r="394">
          <cell r="A394" t="str">
            <v>02</v>
          </cell>
          <cell r="B394" t="str">
            <v>15</v>
          </cell>
          <cell r="C394" t="str">
            <v>02</v>
          </cell>
          <cell r="D394" t="str">
            <v>4</v>
          </cell>
          <cell r="E394" t="str">
            <v>0018</v>
          </cell>
          <cell r="F394" t="str">
            <v>0003</v>
          </cell>
          <cell r="G394" t="str">
            <v>1020103</v>
          </cell>
          <cell r="H394" t="str">
            <v>付土地款</v>
          </cell>
          <cell r="I394" t="b">
            <v>0</v>
          </cell>
          <cell r="J394">
            <v>100000</v>
          </cell>
          <cell r="K394">
            <v>0</v>
          </cell>
          <cell r="L394">
            <v>0</v>
          </cell>
        </row>
        <row r="395">
          <cell r="A395" t="str">
            <v>02</v>
          </cell>
          <cell r="B395" t="str">
            <v>18</v>
          </cell>
          <cell r="C395" t="str">
            <v>02</v>
          </cell>
          <cell r="D395" t="str">
            <v>4</v>
          </cell>
          <cell r="E395" t="str">
            <v>0020</v>
          </cell>
          <cell r="F395" t="str">
            <v>0005</v>
          </cell>
          <cell r="G395" t="str">
            <v>1020103</v>
          </cell>
          <cell r="H395" t="str">
            <v>购材料</v>
          </cell>
          <cell r="I395" t="b">
            <v>0</v>
          </cell>
          <cell r="J395">
            <v>31050</v>
          </cell>
          <cell r="K395">
            <v>0</v>
          </cell>
          <cell r="L395">
            <v>0</v>
          </cell>
        </row>
        <row r="396">
          <cell r="A396" t="str">
            <v>02</v>
          </cell>
          <cell r="B396" t="str">
            <v>18</v>
          </cell>
          <cell r="C396" t="str">
            <v>02</v>
          </cell>
          <cell r="D396" t="str">
            <v>4</v>
          </cell>
          <cell r="E396" t="str">
            <v>0024</v>
          </cell>
          <cell r="F396" t="str">
            <v>0003</v>
          </cell>
          <cell r="G396" t="str">
            <v>1020103</v>
          </cell>
          <cell r="H396" t="str">
            <v>付运费</v>
          </cell>
          <cell r="I396" t="b">
            <v>0</v>
          </cell>
          <cell r="J396">
            <v>67567.95</v>
          </cell>
          <cell r="K396">
            <v>0</v>
          </cell>
          <cell r="L396">
            <v>0</v>
          </cell>
        </row>
        <row r="397">
          <cell r="A397" t="str">
            <v>02</v>
          </cell>
          <cell r="B397" t="str">
            <v>19</v>
          </cell>
          <cell r="C397" t="str">
            <v>02</v>
          </cell>
          <cell r="D397" t="str">
            <v>4</v>
          </cell>
          <cell r="E397" t="str">
            <v>0025</v>
          </cell>
          <cell r="F397" t="str">
            <v>0005</v>
          </cell>
          <cell r="G397" t="str">
            <v>1020103</v>
          </cell>
          <cell r="H397" t="str">
            <v>付运费</v>
          </cell>
          <cell r="I397" t="b">
            <v>0</v>
          </cell>
          <cell r="J397">
            <v>53850.09</v>
          </cell>
          <cell r="K397">
            <v>0</v>
          </cell>
          <cell r="L397">
            <v>0</v>
          </cell>
        </row>
        <row r="398">
          <cell r="A398" t="str">
            <v>02</v>
          </cell>
          <cell r="B398" t="str">
            <v>19</v>
          </cell>
          <cell r="C398" t="str">
            <v>02</v>
          </cell>
          <cell r="D398" t="str">
            <v>4</v>
          </cell>
          <cell r="E398" t="str">
            <v>0026</v>
          </cell>
          <cell r="F398" t="str">
            <v>0004</v>
          </cell>
          <cell r="G398" t="str">
            <v>1020103</v>
          </cell>
          <cell r="H398" t="str">
            <v>付运费</v>
          </cell>
          <cell r="I398" t="b">
            <v>0</v>
          </cell>
          <cell r="J398">
            <v>23286.17</v>
          </cell>
          <cell r="K398">
            <v>0</v>
          </cell>
          <cell r="L398">
            <v>0</v>
          </cell>
        </row>
        <row r="399">
          <cell r="A399" t="str">
            <v>02</v>
          </cell>
          <cell r="B399" t="str">
            <v>19</v>
          </cell>
          <cell r="C399" t="str">
            <v>02</v>
          </cell>
          <cell r="D399" t="str">
            <v>4</v>
          </cell>
          <cell r="E399" t="str">
            <v>0027</v>
          </cell>
          <cell r="F399" t="str">
            <v>0002</v>
          </cell>
          <cell r="G399" t="str">
            <v>1020103</v>
          </cell>
          <cell r="H399" t="str">
            <v>支现金</v>
          </cell>
          <cell r="I399" t="b">
            <v>0</v>
          </cell>
          <cell r="J399">
            <v>1350000</v>
          </cell>
          <cell r="K399">
            <v>0</v>
          </cell>
          <cell r="L399">
            <v>0</v>
          </cell>
        </row>
        <row r="400">
          <cell r="A400" t="str">
            <v>02</v>
          </cell>
          <cell r="B400" t="str">
            <v>20</v>
          </cell>
          <cell r="C400" t="str">
            <v>02</v>
          </cell>
          <cell r="D400" t="str">
            <v>4</v>
          </cell>
          <cell r="E400" t="str">
            <v>0030</v>
          </cell>
          <cell r="F400" t="str">
            <v>0003</v>
          </cell>
          <cell r="G400" t="str">
            <v>1020103</v>
          </cell>
          <cell r="H400" t="str">
            <v>暂借款</v>
          </cell>
          <cell r="I400" t="b">
            <v>0</v>
          </cell>
          <cell r="J400">
            <v>5600000</v>
          </cell>
          <cell r="K400">
            <v>0</v>
          </cell>
          <cell r="L400">
            <v>0</v>
          </cell>
        </row>
        <row r="401">
          <cell r="A401" t="str">
            <v>02</v>
          </cell>
          <cell r="B401" t="str">
            <v>21</v>
          </cell>
          <cell r="C401" t="str">
            <v>02</v>
          </cell>
          <cell r="D401" t="str">
            <v>4</v>
          </cell>
          <cell r="E401" t="str">
            <v>0032</v>
          </cell>
          <cell r="F401" t="str">
            <v>0007</v>
          </cell>
          <cell r="G401" t="str">
            <v>1020103</v>
          </cell>
          <cell r="H401" t="str">
            <v>付办公费.排污费.失业保险金等</v>
          </cell>
          <cell r="I401" t="b">
            <v>0</v>
          </cell>
          <cell r="J401">
            <v>36821</v>
          </cell>
          <cell r="K401">
            <v>0</v>
          </cell>
          <cell r="L401">
            <v>0</v>
          </cell>
        </row>
        <row r="402">
          <cell r="A402" t="str">
            <v>02</v>
          </cell>
          <cell r="B402" t="str">
            <v>25</v>
          </cell>
          <cell r="C402" t="str">
            <v>02</v>
          </cell>
          <cell r="D402" t="str">
            <v>4</v>
          </cell>
          <cell r="E402" t="str">
            <v>0042</v>
          </cell>
          <cell r="F402" t="str">
            <v>0002</v>
          </cell>
          <cell r="G402" t="str">
            <v>1020103</v>
          </cell>
          <cell r="H402" t="str">
            <v>付工行借款利息</v>
          </cell>
          <cell r="I402" t="b">
            <v>0</v>
          </cell>
          <cell r="J402">
            <v>83583.75</v>
          </cell>
          <cell r="K402">
            <v>0</v>
          </cell>
          <cell r="L402">
            <v>0</v>
          </cell>
        </row>
        <row r="403">
          <cell r="A403" t="str">
            <v>03</v>
          </cell>
          <cell r="B403" t="str">
            <v>25</v>
          </cell>
          <cell r="C403" t="str">
            <v>03</v>
          </cell>
          <cell r="D403" t="str">
            <v>2</v>
          </cell>
          <cell r="E403" t="str">
            <v>0025</v>
          </cell>
          <cell r="F403" t="str">
            <v>0001</v>
          </cell>
          <cell r="G403" t="str">
            <v>1020103</v>
          </cell>
          <cell r="H403" t="str">
            <v>存现金</v>
          </cell>
          <cell r="I403" t="b">
            <v>1</v>
          </cell>
          <cell r="J403">
            <v>130000</v>
          </cell>
          <cell r="K403">
            <v>0</v>
          </cell>
          <cell r="L403">
            <v>0</v>
          </cell>
        </row>
        <row r="404">
          <cell r="A404" t="str">
            <v>03</v>
          </cell>
          <cell r="B404" t="str">
            <v>01</v>
          </cell>
          <cell r="C404" t="str">
            <v>03</v>
          </cell>
          <cell r="D404" t="str">
            <v>3</v>
          </cell>
          <cell r="E404" t="str">
            <v>0002</v>
          </cell>
          <cell r="F404" t="str">
            <v>0001</v>
          </cell>
          <cell r="G404" t="str">
            <v>1020103</v>
          </cell>
          <cell r="H404" t="str">
            <v>收银行存款</v>
          </cell>
          <cell r="I404" t="b">
            <v>1</v>
          </cell>
          <cell r="J404">
            <v>110744.01</v>
          </cell>
          <cell r="K404">
            <v>0</v>
          </cell>
          <cell r="L404">
            <v>0</v>
          </cell>
        </row>
        <row r="405">
          <cell r="A405" t="str">
            <v>03</v>
          </cell>
          <cell r="B405" t="str">
            <v>02</v>
          </cell>
          <cell r="C405" t="str">
            <v>03</v>
          </cell>
          <cell r="D405" t="str">
            <v>3</v>
          </cell>
          <cell r="E405" t="str">
            <v>0003</v>
          </cell>
          <cell r="F405" t="str">
            <v>0001</v>
          </cell>
          <cell r="G405" t="str">
            <v>1020103</v>
          </cell>
          <cell r="H405" t="str">
            <v>收银行存款</v>
          </cell>
          <cell r="I405" t="b">
            <v>1</v>
          </cell>
          <cell r="J405">
            <v>2162087.4</v>
          </cell>
          <cell r="K405">
            <v>0</v>
          </cell>
          <cell r="L405">
            <v>0</v>
          </cell>
        </row>
        <row r="406">
          <cell r="A406" t="str">
            <v>03</v>
          </cell>
          <cell r="B406" t="str">
            <v>02</v>
          </cell>
          <cell r="C406" t="str">
            <v>03</v>
          </cell>
          <cell r="D406" t="str">
            <v>3</v>
          </cell>
          <cell r="E406" t="str">
            <v>0004</v>
          </cell>
          <cell r="F406" t="str">
            <v>0001</v>
          </cell>
          <cell r="G406" t="str">
            <v>1020103</v>
          </cell>
          <cell r="H406" t="str">
            <v>收银行存款</v>
          </cell>
          <cell r="I406" t="b">
            <v>1</v>
          </cell>
          <cell r="J406">
            <v>4100000</v>
          </cell>
          <cell r="K406">
            <v>0</v>
          </cell>
          <cell r="L406">
            <v>0</v>
          </cell>
        </row>
        <row r="407">
          <cell r="A407" t="str">
            <v>03</v>
          </cell>
          <cell r="B407" t="str">
            <v>10</v>
          </cell>
          <cell r="C407" t="str">
            <v>03</v>
          </cell>
          <cell r="D407" t="str">
            <v>3</v>
          </cell>
          <cell r="E407" t="str">
            <v>0006</v>
          </cell>
          <cell r="F407" t="str">
            <v>0001</v>
          </cell>
          <cell r="G407" t="str">
            <v>1020103</v>
          </cell>
          <cell r="H407" t="str">
            <v>收回货款</v>
          </cell>
          <cell r="I407" t="b">
            <v>1</v>
          </cell>
          <cell r="J407">
            <v>93252.5</v>
          </cell>
          <cell r="K407">
            <v>0</v>
          </cell>
          <cell r="L407">
            <v>0</v>
          </cell>
        </row>
        <row r="408">
          <cell r="A408" t="str">
            <v>03</v>
          </cell>
          <cell r="B408" t="str">
            <v>12</v>
          </cell>
          <cell r="C408" t="str">
            <v>03</v>
          </cell>
          <cell r="D408" t="str">
            <v>3</v>
          </cell>
          <cell r="E408" t="str">
            <v>0007</v>
          </cell>
          <cell r="F408" t="str">
            <v>0001</v>
          </cell>
          <cell r="G408" t="str">
            <v>1020103</v>
          </cell>
          <cell r="H408" t="str">
            <v>收回货款</v>
          </cell>
          <cell r="I408" t="b">
            <v>1</v>
          </cell>
          <cell r="J408">
            <v>7764</v>
          </cell>
          <cell r="K408">
            <v>0</v>
          </cell>
          <cell r="L408">
            <v>0</v>
          </cell>
        </row>
        <row r="409">
          <cell r="A409" t="str">
            <v>03</v>
          </cell>
          <cell r="B409" t="str">
            <v>17</v>
          </cell>
          <cell r="C409" t="str">
            <v>03</v>
          </cell>
          <cell r="D409" t="str">
            <v>3</v>
          </cell>
          <cell r="E409" t="str">
            <v>0013</v>
          </cell>
          <cell r="F409" t="str">
            <v>0001</v>
          </cell>
          <cell r="G409" t="str">
            <v>1020103</v>
          </cell>
          <cell r="H409" t="str">
            <v>收回货款</v>
          </cell>
          <cell r="I409" t="b">
            <v>1</v>
          </cell>
          <cell r="J409">
            <v>2376830.4</v>
          </cell>
          <cell r="K409">
            <v>0</v>
          </cell>
          <cell r="L409">
            <v>0</v>
          </cell>
        </row>
        <row r="410">
          <cell r="A410" t="str">
            <v>03</v>
          </cell>
          <cell r="B410" t="str">
            <v>18</v>
          </cell>
          <cell r="C410" t="str">
            <v>03</v>
          </cell>
          <cell r="D410" t="str">
            <v>3</v>
          </cell>
          <cell r="E410" t="str">
            <v>0014</v>
          </cell>
          <cell r="F410" t="str">
            <v>0001</v>
          </cell>
          <cell r="G410" t="str">
            <v>1020103</v>
          </cell>
          <cell r="H410" t="str">
            <v>收存款利息</v>
          </cell>
          <cell r="I410" t="b">
            <v>1</v>
          </cell>
          <cell r="J410">
            <v>3483.4</v>
          </cell>
          <cell r="K410">
            <v>0</v>
          </cell>
          <cell r="L410">
            <v>0</v>
          </cell>
        </row>
        <row r="411">
          <cell r="A411" t="str">
            <v>03</v>
          </cell>
          <cell r="B411" t="str">
            <v>02</v>
          </cell>
          <cell r="C411" t="str">
            <v>03</v>
          </cell>
          <cell r="D411" t="str">
            <v>4</v>
          </cell>
          <cell r="E411" t="str">
            <v>0003</v>
          </cell>
          <cell r="F411" t="str">
            <v>0004</v>
          </cell>
          <cell r="G411" t="str">
            <v>1020103</v>
          </cell>
          <cell r="H411" t="str">
            <v>付银行存款</v>
          </cell>
          <cell r="I411" t="b">
            <v>0</v>
          </cell>
          <cell r="J411">
            <v>6945.8</v>
          </cell>
          <cell r="K411">
            <v>0</v>
          </cell>
          <cell r="L411">
            <v>0</v>
          </cell>
        </row>
        <row r="412">
          <cell r="A412" t="str">
            <v>03</v>
          </cell>
          <cell r="B412" t="str">
            <v>02</v>
          </cell>
          <cell r="C412" t="str">
            <v>03</v>
          </cell>
          <cell r="D412" t="str">
            <v>4</v>
          </cell>
          <cell r="E412" t="str">
            <v>0004</v>
          </cell>
          <cell r="F412" t="str">
            <v>0002</v>
          </cell>
          <cell r="G412" t="str">
            <v>1020103</v>
          </cell>
          <cell r="H412" t="str">
            <v>预付货款</v>
          </cell>
          <cell r="I412" t="b">
            <v>0</v>
          </cell>
          <cell r="J412">
            <v>88000</v>
          </cell>
          <cell r="K412">
            <v>0</v>
          </cell>
          <cell r="L412">
            <v>0</v>
          </cell>
        </row>
        <row r="413">
          <cell r="A413" t="str">
            <v>03</v>
          </cell>
          <cell r="B413" t="str">
            <v>02</v>
          </cell>
          <cell r="C413" t="str">
            <v>03</v>
          </cell>
          <cell r="D413" t="str">
            <v>4</v>
          </cell>
          <cell r="E413" t="str">
            <v>0005</v>
          </cell>
          <cell r="F413" t="str">
            <v>0003</v>
          </cell>
          <cell r="G413" t="str">
            <v>1020103</v>
          </cell>
          <cell r="H413" t="str">
            <v>付银行存款</v>
          </cell>
          <cell r="I413" t="b">
            <v>0</v>
          </cell>
          <cell r="J413">
            <v>148476.5</v>
          </cell>
          <cell r="K413">
            <v>0</v>
          </cell>
          <cell r="L413">
            <v>0</v>
          </cell>
        </row>
        <row r="414">
          <cell r="A414" t="str">
            <v>03</v>
          </cell>
          <cell r="B414" t="str">
            <v>02</v>
          </cell>
          <cell r="C414" t="str">
            <v>03</v>
          </cell>
          <cell r="D414" t="str">
            <v>4</v>
          </cell>
          <cell r="E414" t="str">
            <v>0006</v>
          </cell>
          <cell r="F414" t="str">
            <v>0003</v>
          </cell>
          <cell r="G414" t="str">
            <v>1020103</v>
          </cell>
          <cell r="H414" t="str">
            <v>付银行存款</v>
          </cell>
          <cell r="I414" t="b">
            <v>0</v>
          </cell>
          <cell r="J414">
            <v>46194.42</v>
          </cell>
          <cell r="K414">
            <v>0</v>
          </cell>
          <cell r="L414">
            <v>0</v>
          </cell>
        </row>
        <row r="415">
          <cell r="A415" t="str">
            <v>03</v>
          </cell>
          <cell r="B415" t="str">
            <v>02</v>
          </cell>
          <cell r="C415" t="str">
            <v>03</v>
          </cell>
          <cell r="D415" t="str">
            <v>4</v>
          </cell>
          <cell r="E415" t="str">
            <v>0007</v>
          </cell>
          <cell r="F415" t="str">
            <v>0003</v>
          </cell>
          <cell r="G415" t="str">
            <v>1020103</v>
          </cell>
          <cell r="H415" t="str">
            <v>付银行存款</v>
          </cell>
          <cell r="I415" t="b">
            <v>0</v>
          </cell>
          <cell r="J415">
            <v>5040</v>
          </cell>
          <cell r="K415">
            <v>0</v>
          </cell>
          <cell r="L415">
            <v>0</v>
          </cell>
        </row>
        <row r="416">
          <cell r="A416" t="str">
            <v>03</v>
          </cell>
          <cell r="B416" t="str">
            <v>03</v>
          </cell>
          <cell r="C416" t="str">
            <v>03</v>
          </cell>
          <cell r="D416" t="str">
            <v>4</v>
          </cell>
          <cell r="E416" t="str">
            <v>0008</v>
          </cell>
          <cell r="F416" t="str">
            <v>0002</v>
          </cell>
          <cell r="G416" t="str">
            <v>1020103</v>
          </cell>
          <cell r="H416" t="str">
            <v>提现金</v>
          </cell>
          <cell r="I416" t="b">
            <v>0</v>
          </cell>
          <cell r="J416">
            <v>11540000</v>
          </cell>
          <cell r="K416">
            <v>0</v>
          </cell>
          <cell r="L416">
            <v>0</v>
          </cell>
        </row>
        <row r="417">
          <cell r="A417" t="str">
            <v>03</v>
          </cell>
          <cell r="B417" t="str">
            <v>06</v>
          </cell>
          <cell r="C417" t="str">
            <v>03</v>
          </cell>
          <cell r="D417" t="str">
            <v>4</v>
          </cell>
          <cell r="E417" t="str">
            <v>0010</v>
          </cell>
          <cell r="F417" t="str">
            <v>0001</v>
          </cell>
          <cell r="G417" t="str">
            <v>1020103</v>
          </cell>
          <cell r="H417" t="str">
            <v>转户</v>
          </cell>
          <cell r="I417" t="b">
            <v>1</v>
          </cell>
          <cell r="J417">
            <v>5000000</v>
          </cell>
          <cell r="K417">
            <v>0</v>
          </cell>
          <cell r="L417">
            <v>0</v>
          </cell>
        </row>
        <row r="418">
          <cell r="A418" t="str">
            <v>03</v>
          </cell>
          <cell r="B418" t="str">
            <v>17</v>
          </cell>
          <cell r="C418" t="str">
            <v>03</v>
          </cell>
          <cell r="D418" t="str">
            <v>4</v>
          </cell>
          <cell r="E418" t="str">
            <v>0026</v>
          </cell>
          <cell r="F418" t="str">
            <v>0003</v>
          </cell>
          <cell r="G418" t="str">
            <v>1020103</v>
          </cell>
          <cell r="H418" t="str">
            <v>付银行存款</v>
          </cell>
          <cell r="I418" t="b">
            <v>0</v>
          </cell>
          <cell r="J418">
            <v>2378137.25</v>
          </cell>
          <cell r="K418">
            <v>0</v>
          </cell>
          <cell r="L418">
            <v>0</v>
          </cell>
        </row>
        <row r="419">
          <cell r="A419" t="str">
            <v>04</v>
          </cell>
          <cell r="B419" t="str">
            <v>01</v>
          </cell>
          <cell r="C419" t="str">
            <v>04</v>
          </cell>
          <cell r="D419" t="str">
            <v>2</v>
          </cell>
          <cell r="E419" t="str">
            <v>0001</v>
          </cell>
          <cell r="F419" t="str">
            <v>0001</v>
          </cell>
          <cell r="G419" t="str">
            <v>1020103</v>
          </cell>
          <cell r="H419" t="str">
            <v>存现金</v>
          </cell>
          <cell r="I419" t="b">
            <v>1</v>
          </cell>
          <cell r="J419">
            <v>90000</v>
          </cell>
          <cell r="K419">
            <v>0</v>
          </cell>
          <cell r="L419">
            <v>0</v>
          </cell>
        </row>
        <row r="420">
          <cell r="A420" t="str">
            <v>04</v>
          </cell>
          <cell r="B420" t="str">
            <v>01</v>
          </cell>
          <cell r="C420" t="str">
            <v>04</v>
          </cell>
          <cell r="D420" t="str">
            <v>3</v>
          </cell>
          <cell r="E420" t="str">
            <v>0001</v>
          </cell>
          <cell r="F420" t="str">
            <v>0003</v>
          </cell>
          <cell r="G420" t="str">
            <v>1020103</v>
          </cell>
          <cell r="H420" t="str">
            <v>收借款</v>
          </cell>
          <cell r="I420" t="b">
            <v>1</v>
          </cell>
          <cell r="J420">
            <v>10000000</v>
          </cell>
          <cell r="K420">
            <v>0</v>
          </cell>
          <cell r="L420">
            <v>0</v>
          </cell>
        </row>
        <row r="421">
          <cell r="A421" t="str">
            <v>04</v>
          </cell>
          <cell r="B421" t="str">
            <v>10</v>
          </cell>
          <cell r="C421" t="str">
            <v>04</v>
          </cell>
          <cell r="D421" t="str">
            <v>3</v>
          </cell>
          <cell r="E421" t="str">
            <v>0002</v>
          </cell>
          <cell r="F421" t="str">
            <v>0002</v>
          </cell>
          <cell r="G421" t="str">
            <v>1020103</v>
          </cell>
          <cell r="H421" t="str">
            <v>收回借款</v>
          </cell>
          <cell r="I421" t="b">
            <v>1</v>
          </cell>
          <cell r="J421">
            <v>600000</v>
          </cell>
          <cell r="K421">
            <v>0</v>
          </cell>
          <cell r="L421">
            <v>0</v>
          </cell>
        </row>
        <row r="422">
          <cell r="A422" t="str">
            <v>04</v>
          </cell>
          <cell r="B422" t="str">
            <v>26</v>
          </cell>
          <cell r="C422" t="str">
            <v>04</v>
          </cell>
          <cell r="D422" t="str">
            <v>3</v>
          </cell>
          <cell r="E422" t="str">
            <v>0005</v>
          </cell>
          <cell r="F422" t="str">
            <v>0001</v>
          </cell>
          <cell r="G422" t="str">
            <v>1020103</v>
          </cell>
          <cell r="H422" t="str">
            <v>暂借款</v>
          </cell>
          <cell r="I422" t="b">
            <v>1</v>
          </cell>
          <cell r="J422">
            <v>4960200</v>
          </cell>
          <cell r="K422">
            <v>0</v>
          </cell>
          <cell r="L422">
            <v>0</v>
          </cell>
        </row>
        <row r="423">
          <cell r="A423" t="str">
            <v>04</v>
          </cell>
          <cell r="B423" t="str">
            <v>01</v>
          </cell>
          <cell r="C423" t="str">
            <v>04</v>
          </cell>
          <cell r="D423" t="str">
            <v>4</v>
          </cell>
          <cell r="E423" t="str">
            <v>0002</v>
          </cell>
          <cell r="F423" t="str">
            <v>0002</v>
          </cell>
          <cell r="G423" t="str">
            <v>1020103</v>
          </cell>
          <cell r="H423" t="str">
            <v>转户</v>
          </cell>
          <cell r="I423" t="b">
            <v>0</v>
          </cell>
          <cell r="J423">
            <v>9000000</v>
          </cell>
          <cell r="K423">
            <v>0</v>
          </cell>
          <cell r="L423">
            <v>0</v>
          </cell>
        </row>
        <row r="424">
          <cell r="A424" t="str">
            <v>04</v>
          </cell>
          <cell r="B424" t="str">
            <v>01</v>
          </cell>
          <cell r="C424" t="str">
            <v>04</v>
          </cell>
          <cell r="D424" t="str">
            <v>4</v>
          </cell>
          <cell r="E424" t="str">
            <v>0003</v>
          </cell>
          <cell r="F424" t="str">
            <v>0002</v>
          </cell>
          <cell r="G424" t="str">
            <v>1020103</v>
          </cell>
          <cell r="H424" t="str">
            <v>支现金</v>
          </cell>
          <cell r="I424" t="b">
            <v>0</v>
          </cell>
          <cell r="J424">
            <v>950000</v>
          </cell>
          <cell r="K424">
            <v>0</v>
          </cell>
          <cell r="L424">
            <v>0</v>
          </cell>
        </row>
        <row r="425">
          <cell r="A425" t="str">
            <v>04</v>
          </cell>
          <cell r="B425" t="str">
            <v>08</v>
          </cell>
          <cell r="C425" t="str">
            <v>04</v>
          </cell>
          <cell r="D425" t="str">
            <v>4</v>
          </cell>
          <cell r="E425" t="str">
            <v>0006</v>
          </cell>
          <cell r="F425" t="str">
            <v>0004</v>
          </cell>
          <cell r="G425" t="str">
            <v>1020103</v>
          </cell>
          <cell r="H425" t="str">
            <v>付工程款</v>
          </cell>
          <cell r="I425" t="b">
            <v>0</v>
          </cell>
          <cell r="J425">
            <v>350000</v>
          </cell>
          <cell r="K425">
            <v>0</v>
          </cell>
          <cell r="L425">
            <v>0</v>
          </cell>
        </row>
        <row r="426">
          <cell r="A426" t="str">
            <v>04</v>
          </cell>
          <cell r="B426" t="str">
            <v>08</v>
          </cell>
          <cell r="C426" t="str">
            <v>04</v>
          </cell>
          <cell r="D426" t="str">
            <v>4</v>
          </cell>
          <cell r="E426" t="str">
            <v>0007</v>
          </cell>
          <cell r="F426" t="str">
            <v>0002</v>
          </cell>
          <cell r="G426" t="str">
            <v>1020103</v>
          </cell>
          <cell r="H426" t="str">
            <v>付邮递费</v>
          </cell>
          <cell r="I426" t="b">
            <v>0</v>
          </cell>
          <cell r="J426">
            <v>8779</v>
          </cell>
          <cell r="K426">
            <v>0</v>
          </cell>
          <cell r="L426">
            <v>0</v>
          </cell>
        </row>
        <row r="427">
          <cell r="A427" t="str">
            <v>04</v>
          </cell>
          <cell r="B427" t="str">
            <v>10</v>
          </cell>
          <cell r="C427" t="str">
            <v>04</v>
          </cell>
          <cell r="D427" t="str">
            <v>4</v>
          </cell>
          <cell r="E427" t="str">
            <v>0008</v>
          </cell>
          <cell r="F427" t="str">
            <v>0002</v>
          </cell>
          <cell r="G427" t="str">
            <v>1020103</v>
          </cell>
          <cell r="H427" t="str">
            <v>付邮递费</v>
          </cell>
          <cell r="I427" t="b">
            <v>0</v>
          </cell>
          <cell r="J427">
            <v>11785</v>
          </cell>
          <cell r="K427">
            <v>0</v>
          </cell>
          <cell r="L427">
            <v>0</v>
          </cell>
        </row>
        <row r="428">
          <cell r="A428" t="str">
            <v>04</v>
          </cell>
          <cell r="B428" t="str">
            <v>10</v>
          </cell>
          <cell r="C428" t="str">
            <v>04</v>
          </cell>
          <cell r="D428" t="str">
            <v>4</v>
          </cell>
          <cell r="E428" t="str">
            <v>0009</v>
          </cell>
          <cell r="F428" t="str">
            <v>0002</v>
          </cell>
          <cell r="G428" t="str">
            <v>1020103</v>
          </cell>
          <cell r="H428" t="str">
            <v>支现金</v>
          </cell>
          <cell r="I428" t="b">
            <v>0</v>
          </cell>
          <cell r="J428">
            <v>324000</v>
          </cell>
          <cell r="K428">
            <v>0</v>
          </cell>
          <cell r="L428">
            <v>0</v>
          </cell>
        </row>
        <row r="429">
          <cell r="A429" t="str">
            <v>04</v>
          </cell>
          <cell r="B429" t="str">
            <v>15</v>
          </cell>
          <cell r="C429" t="str">
            <v>04</v>
          </cell>
          <cell r="D429" t="str">
            <v>4</v>
          </cell>
          <cell r="E429" t="str">
            <v>0013</v>
          </cell>
          <cell r="F429" t="str">
            <v>0005</v>
          </cell>
          <cell r="G429" t="str">
            <v>1020103</v>
          </cell>
          <cell r="H429" t="str">
            <v>付电话费.税务代理费.排污费</v>
          </cell>
          <cell r="I429" t="b">
            <v>0</v>
          </cell>
          <cell r="J429">
            <v>92114</v>
          </cell>
          <cell r="K429">
            <v>0</v>
          </cell>
          <cell r="L429">
            <v>0</v>
          </cell>
        </row>
        <row r="430">
          <cell r="A430" t="str">
            <v>04</v>
          </cell>
          <cell r="B430" t="str">
            <v>15</v>
          </cell>
          <cell r="C430" t="str">
            <v>04</v>
          </cell>
          <cell r="D430" t="str">
            <v>4</v>
          </cell>
          <cell r="E430" t="str">
            <v>0014</v>
          </cell>
          <cell r="F430" t="str">
            <v>0005</v>
          </cell>
          <cell r="G430" t="str">
            <v>1020103</v>
          </cell>
          <cell r="H430" t="str">
            <v>支现金</v>
          </cell>
          <cell r="I430" t="b">
            <v>0</v>
          </cell>
          <cell r="J430">
            <v>230000</v>
          </cell>
          <cell r="K430">
            <v>0</v>
          </cell>
          <cell r="L430">
            <v>0</v>
          </cell>
        </row>
        <row r="431">
          <cell r="A431" t="str">
            <v>04</v>
          </cell>
          <cell r="B431" t="str">
            <v>20</v>
          </cell>
          <cell r="C431" t="str">
            <v>04</v>
          </cell>
          <cell r="D431" t="str">
            <v>4</v>
          </cell>
          <cell r="E431" t="str">
            <v>0027</v>
          </cell>
          <cell r="F431" t="str">
            <v>0002</v>
          </cell>
          <cell r="G431" t="str">
            <v>1020103</v>
          </cell>
          <cell r="H431" t="str">
            <v>付电机修理费</v>
          </cell>
          <cell r="I431" t="b">
            <v>0</v>
          </cell>
          <cell r="J431">
            <v>7308.5</v>
          </cell>
          <cell r="K431">
            <v>0</v>
          </cell>
          <cell r="L431">
            <v>0</v>
          </cell>
        </row>
        <row r="432">
          <cell r="A432" t="str">
            <v>04</v>
          </cell>
          <cell r="B432" t="str">
            <v>20</v>
          </cell>
          <cell r="C432" t="str">
            <v>04</v>
          </cell>
          <cell r="D432" t="str">
            <v>4</v>
          </cell>
          <cell r="E432" t="str">
            <v>0030</v>
          </cell>
          <cell r="F432" t="str">
            <v>0002</v>
          </cell>
          <cell r="G432" t="str">
            <v>1020103</v>
          </cell>
          <cell r="H432" t="str">
            <v>还借款</v>
          </cell>
          <cell r="I432" t="b">
            <v>0</v>
          </cell>
          <cell r="J432">
            <v>3000000</v>
          </cell>
          <cell r="K432">
            <v>0</v>
          </cell>
          <cell r="L432">
            <v>0</v>
          </cell>
        </row>
        <row r="433">
          <cell r="A433" t="str">
            <v>05</v>
          </cell>
          <cell r="B433" t="str">
            <v>01</v>
          </cell>
          <cell r="C433" t="str">
            <v>05</v>
          </cell>
          <cell r="D433" t="str">
            <v>3</v>
          </cell>
          <cell r="E433" t="str">
            <v>0001</v>
          </cell>
          <cell r="F433" t="str">
            <v>0001</v>
          </cell>
          <cell r="G433" t="str">
            <v>1020103</v>
          </cell>
          <cell r="H433" t="str">
            <v>收生育费.产假工资</v>
          </cell>
          <cell r="I433" t="b">
            <v>1</v>
          </cell>
          <cell r="J433">
            <v>11495</v>
          </cell>
          <cell r="K433">
            <v>0</v>
          </cell>
          <cell r="L433">
            <v>0</v>
          </cell>
        </row>
        <row r="434">
          <cell r="A434" t="str">
            <v>05</v>
          </cell>
          <cell r="B434" t="str">
            <v>05</v>
          </cell>
          <cell r="C434" t="str">
            <v>05</v>
          </cell>
          <cell r="D434" t="str">
            <v>3</v>
          </cell>
          <cell r="E434" t="str">
            <v>0002</v>
          </cell>
          <cell r="F434" t="str">
            <v>0001</v>
          </cell>
          <cell r="G434" t="str">
            <v>1020103</v>
          </cell>
          <cell r="H434" t="str">
            <v>暂借款</v>
          </cell>
          <cell r="I434" t="b">
            <v>1</v>
          </cell>
          <cell r="J434">
            <v>4000000</v>
          </cell>
          <cell r="K434">
            <v>0</v>
          </cell>
          <cell r="L434">
            <v>0</v>
          </cell>
        </row>
        <row r="435">
          <cell r="A435" t="str">
            <v>05</v>
          </cell>
          <cell r="B435" t="str">
            <v>22</v>
          </cell>
          <cell r="C435" t="str">
            <v>05</v>
          </cell>
          <cell r="D435" t="str">
            <v>3</v>
          </cell>
          <cell r="E435" t="str">
            <v>0004</v>
          </cell>
          <cell r="F435" t="str">
            <v>0001</v>
          </cell>
          <cell r="G435" t="str">
            <v>1020103</v>
          </cell>
          <cell r="H435" t="str">
            <v>暂借款</v>
          </cell>
          <cell r="I435" t="b">
            <v>1</v>
          </cell>
          <cell r="J435">
            <v>5400000</v>
          </cell>
          <cell r="K435">
            <v>0</v>
          </cell>
          <cell r="L435">
            <v>0</v>
          </cell>
        </row>
        <row r="436">
          <cell r="A436" t="str">
            <v>05</v>
          </cell>
          <cell r="B436" t="str">
            <v>01</v>
          </cell>
          <cell r="C436" t="str">
            <v>05</v>
          </cell>
          <cell r="D436" t="str">
            <v>4</v>
          </cell>
          <cell r="E436" t="str">
            <v>0001</v>
          </cell>
          <cell r="F436" t="str">
            <v>0002</v>
          </cell>
          <cell r="G436" t="str">
            <v>1020103</v>
          </cell>
          <cell r="H436" t="str">
            <v>支现金</v>
          </cell>
          <cell r="I436" t="b">
            <v>0</v>
          </cell>
          <cell r="J436">
            <v>139000</v>
          </cell>
          <cell r="K436">
            <v>0</v>
          </cell>
          <cell r="L436">
            <v>0</v>
          </cell>
        </row>
        <row r="437">
          <cell r="A437" t="str">
            <v>05</v>
          </cell>
          <cell r="B437" t="str">
            <v>09</v>
          </cell>
          <cell r="C437" t="str">
            <v>05</v>
          </cell>
          <cell r="D437" t="str">
            <v>4</v>
          </cell>
          <cell r="E437" t="str">
            <v>0002</v>
          </cell>
          <cell r="F437" t="str">
            <v>0004</v>
          </cell>
          <cell r="G437" t="str">
            <v>1020103</v>
          </cell>
          <cell r="H437" t="str">
            <v>付运费</v>
          </cell>
          <cell r="I437" t="b">
            <v>0</v>
          </cell>
          <cell r="J437">
            <v>4293.2</v>
          </cell>
          <cell r="K437">
            <v>0</v>
          </cell>
          <cell r="L437">
            <v>0</v>
          </cell>
        </row>
        <row r="438">
          <cell r="A438" t="str">
            <v>05</v>
          </cell>
          <cell r="B438" t="str">
            <v>11</v>
          </cell>
          <cell r="C438" t="str">
            <v>05</v>
          </cell>
          <cell r="D438" t="str">
            <v>4</v>
          </cell>
          <cell r="E438" t="str">
            <v>0003</v>
          </cell>
          <cell r="F438" t="str">
            <v>0005</v>
          </cell>
          <cell r="G438" t="str">
            <v>1020103</v>
          </cell>
          <cell r="H438" t="str">
            <v>付电话费.排污费.制作费</v>
          </cell>
          <cell r="I438" t="b">
            <v>0</v>
          </cell>
          <cell r="J438">
            <v>23062</v>
          </cell>
          <cell r="K438">
            <v>0</v>
          </cell>
          <cell r="L438">
            <v>0</v>
          </cell>
        </row>
        <row r="439">
          <cell r="A439" t="str">
            <v>05</v>
          </cell>
          <cell r="B439" t="str">
            <v>11</v>
          </cell>
          <cell r="C439" t="str">
            <v>05</v>
          </cell>
          <cell r="D439" t="str">
            <v>4</v>
          </cell>
          <cell r="E439" t="str">
            <v>0006</v>
          </cell>
          <cell r="F439" t="str">
            <v>0003</v>
          </cell>
          <cell r="G439" t="str">
            <v>1020103</v>
          </cell>
          <cell r="H439" t="str">
            <v>付手续费.利息</v>
          </cell>
          <cell r="I439" t="b">
            <v>0</v>
          </cell>
          <cell r="J439">
            <v>81414.75</v>
          </cell>
          <cell r="K439">
            <v>0</v>
          </cell>
          <cell r="L439">
            <v>0</v>
          </cell>
        </row>
        <row r="440">
          <cell r="A440" t="str">
            <v>05</v>
          </cell>
          <cell r="B440" t="str">
            <v>12</v>
          </cell>
          <cell r="C440" t="str">
            <v>05</v>
          </cell>
          <cell r="D440" t="str">
            <v>4</v>
          </cell>
          <cell r="E440" t="str">
            <v>0007</v>
          </cell>
          <cell r="F440" t="str">
            <v>0004</v>
          </cell>
          <cell r="G440" t="str">
            <v>1020103</v>
          </cell>
          <cell r="H440" t="str">
            <v>付99年度利润</v>
          </cell>
          <cell r="I440" t="b">
            <v>0</v>
          </cell>
          <cell r="J440">
            <v>4705034.0599999996</v>
          </cell>
          <cell r="K440">
            <v>0</v>
          </cell>
          <cell r="L440">
            <v>0</v>
          </cell>
        </row>
        <row r="441">
          <cell r="A441" t="str">
            <v>05</v>
          </cell>
          <cell r="B441" t="str">
            <v>15</v>
          </cell>
          <cell r="C441" t="str">
            <v>05</v>
          </cell>
          <cell r="D441" t="str">
            <v>4</v>
          </cell>
          <cell r="E441" t="str">
            <v>0011</v>
          </cell>
          <cell r="F441" t="str">
            <v>0004</v>
          </cell>
          <cell r="G441" t="str">
            <v>1020103</v>
          </cell>
          <cell r="H441" t="str">
            <v>购材料</v>
          </cell>
          <cell r="I441" t="b">
            <v>0</v>
          </cell>
          <cell r="J441">
            <v>88796.7</v>
          </cell>
          <cell r="K441">
            <v>0</v>
          </cell>
          <cell r="L441">
            <v>0</v>
          </cell>
        </row>
        <row r="442">
          <cell r="A442" t="str">
            <v>05</v>
          </cell>
          <cell r="B442" t="str">
            <v>18</v>
          </cell>
          <cell r="C442" t="str">
            <v>05</v>
          </cell>
          <cell r="D442" t="str">
            <v>4</v>
          </cell>
          <cell r="E442" t="str">
            <v>0018</v>
          </cell>
          <cell r="F442" t="str">
            <v>0004</v>
          </cell>
          <cell r="G442" t="str">
            <v>1020103</v>
          </cell>
          <cell r="H442" t="str">
            <v>购材料</v>
          </cell>
          <cell r="I442" t="b">
            <v>0</v>
          </cell>
          <cell r="J442">
            <v>61738</v>
          </cell>
          <cell r="K442">
            <v>0</v>
          </cell>
          <cell r="L442">
            <v>0</v>
          </cell>
        </row>
        <row r="443">
          <cell r="A443" t="str">
            <v>05</v>
          </cell>
          <cell r="B443" t="str">
            <v>23</v>
          </cell>
          <cell r="C443" t="str">
            <v>05</v>
          </cell>
          <cell r="D443" t="str">
            <v>4</v>
          </cell>
          <cell r="E443" t="str">
            <v>0022</v>
          </cell>
          <cell r="F443" t="str">
            <v>0003</v>
          </cell>
          <cell r="G443" t="str">
            <v>1020103</v>
          </cell>
          <cell r="H443" t="str">
            <v>还借款</v>
          </cell>
          <cell r="I443" t="b">
            <v>0</v>
          </cell>
          <cell r="J443">
            <v>7218240</v>
          </cell>
          <cell r="K443">
            <v>0</v>
          </cell>
          <cell r="L443">
            <v>0</v>
          </cell>
        </row>
        <row r="444">
          <cell r="A444" t="str">
            <v>05</v>
          </cell>
          <cell r="B444" t="str">
            <v>23</v>
          </cell>
          <cell r="C444" t="str">
            <v>05</v>
          </cell>
          <cell r="D444" t="str">
            <v>4</v>
          </cell>
          <cell r="E444" t="str">
            <v>0024</v>
          </cell>
          <cell r="F444" t="str">
            <v>0002</v>
          </cell>
          <cell r="G444" t="str">
            <v>1020103</v>
          </cell>
          <cell r="H444" t="str">
            <v>支现金</v>
          </cell>
          <cell r="I444" t="b">
            <v>0</v>
          </cell>
          <cell r="J444">
            <v>70000</v>
          </cell>
          <cell r="K444">
            <v>0</v>
          </cell>
          <cell r="L444">
            <v>0</v>
          </cell>
        </row>
        <row r="445">
          <cell r="A445" t="str">
            <v>05</v>
          </cell>
          <cell r="B445" t="str">
            <v>23</v>
          </cell>
          <cell r="C445" t="str">
            <v>05</v>
          </cell>
          <cell r="D445" t="str">
            <v>4</v>
          </cell>
          <cell r="E445" t="str">
            <v>0024</v>
          </cell>
          <cell r="F445" t="str">
            <v>0003</v>
          </cell>
          <cell r="G445" t="str">
            <v>1020103</v>
          </cell>
          <cell r="H445" t="str">
            <v>转户</v>
          </cell>
          <cell r="I445" t="b">
            <v>1</v>
          </cell>
          <cell r="J445">
            <v>750000</v>
          </cell>
          <cell r="K445">
            <v>0</v>
          </cell>
          <cell r="L445">
            <v>0</v>
          </cell>
        </row>
        <row r="446">
          <cell r="A446" t="str">
            <v>05</v>
          </cell>
          <cell r="B446" t="str">
            <v>24</v>
          </cell>
          <cell r="C446" t="str">
            <v>05</v>
          </cell>
          <cell r="D446" t="str">
            <v>4</v>
          </cell>
          <cell r="E446" t="str">
            <v>0025</v>
          </cell>
          <cell r="F446" t="str">
            <v>0006</v>
          </cell>
          <cell r="G446" t="str">
            <v>1020103</v>
          </cell>
          <cell r="H446" t="str">
            <v>付劳动保险费</v>
          </cell>
          <cell r="I446" t="b">
            <v>0</v>
          </cell>
          <cell r="J446">
            <v>92080.2</v>
          </cell>
          <cell r="K446">
            <v>0</v>
          </cell>
          <cell r="L446">
            <v>0</v>
          </cell>
        </row>
        <row r="447">
          <cell r="A447" t="str">
            <v>05</v>
          </cell>
          <cell r="B447" t="str">
            <v>24</v>
          </cell>
          <cell r="C447" t="str">
            <v>05</v>
          </cell>
          <cell r="D447" t="str">
            <v>4</v>
          </cell>
          <cell r="E447" t="str">
            <v>0026</v>
          </cell>
          <cell r="F447" t="str">
            <v>0004</v>
          </cell>
          <cell r="G447" t="str">
            <v>1020103</v>
          </cell>
          <cell r="H447" t="str">
            <v>支现金</v>
          </cell>
          <cell r="I447" t="b">
            <v>0</v>
          </cell>
          <cell r="J447">
            <v>1000</v>
          </cell>
          <cell r="K447">
            <v>0</v>
          </cell>
          <cell r="L447">
            <v>0</v>
          </cell>
        </row>
        <row r="448">
          <cell r="A448" t="str">
            <v>06</v>
          </cell>
          <cell r="B448" t="str">
            <v>15</v>
          </cell>
          <cell r="C448" t="str">
            <v>06</v>
          </cell>
          <cell r="D448" t="str">
            <v>2</v>
          </cell>
          <cell r="E448" t="str">
            <v>0013</v>
          </cell>
          <cell r="F448" t="str">
            <v>0003</v>
          </cell>
          <cell r="G448" t="str">
            <v>1020103</v>
          </cell>
          <cell r="H448" t="str">
            <v>存现金</v>
          </cell>
          <cell r="I448" t="b">
            <v>1</v>
          </cell>
          <cell r="J448">
            <v>70000</v>
          </cell>
          <cell r="K448">
            <v>0</v>
          </cell>
          <cell r="L448">
            <v>0</v>
          </cell>
        </row>
        <row r="449">
          <cell r="A449" t="str">
            <v>06</v>
          </cell>
          <cell r="B449" t="str">
            <v>10</v>
          </cell>
          <cell r="C449" t="str">
            <v>06</v>
          </cell>
          <cell r="D449" t="str">
            <v>3</v>
          </cell>
          <cell r="E449" t="str">
            <v>0001</v>
          </cell>
          <cell r="F449" t="str">
            <v>0001</v>
          </cell>
          <cell r="G449" t="str">
            <v>1020103</v>
          </cell>
          <cell r="H449" t="str">
            <v>销旧桶</v>
          </cell>
          <cell r="I449" t="b">
            <v>1</v>
          </cell>
          <cell r="J449">
            <v>21600</v>
          </cell>
          <cell r="K449">
            <v>0</v>
          </cell>
          <cell r="L449">
            <v>0</v>
          </cell>
        </row>
        <row r="450">
          <cell r="A450" t="str">
            <v>06</v>
          </cell>
          <cell r="B450" t="str">
            <v>20</v>
          </cell>
          <cell r="C450" t="str">
            <v>06</v>
          </cell>
          <cell r="D450" t="str">
            <v>3</v>
          </cell>
          <cell r="E450" t="str">
            <v>0002</v>
          </cell>
          <cell r="F450" t="str">
            <v>0002</v>
          </cell>
          <cell r="G450" t="str">
            <v>1020103</v>
          </cell>
          <cell r="H450" t="str">
            <v>收多付住房集资款</v>
          </cell>
          <cell r="I450" t="b">
            <v>1</v>
          </cell>
          <cell r="J450">
            <v>4446</v>
          </cell>
          <cell r="K450">
            <v>0</v>
          </cell>
          <cell r="L450">
            <v>0</v>
          </cell>
        </row>
        <row r="451">
          <cell r="A451" t="str">
            <v>06</v>
          </cell>
          <cell r="B451" t="str">
            <v>20</v>
          </cell>
          <cell r="C451" t="str">
            <v>06</v>
          </cell>
          <cell r="D451" t="str">
            <v>3</v>
          </cell>
          <cell r="E451" t="str">
            <v>0003</v>
          </cell>
          <cell r="F451" t="str">
            <v>0001</v>
          </cell>
          <cell r="G451" t="str">
            <v>1020103</v>
          </cell>
          <cell r="H451" t="str">
            <v>暂借款</v>
          </cell>
          <cell r="I451" t="b">
            <v>1</v>
          </cell>
          <cell r="J451">
            <v>330099.81</v>
          </cell>
          <cell r="K451">
            <v>0</v>
          </cell>
          <cell r="L451">
            <v>0</v>
          </cell>
        </row>
        <row r="452">
          <cell r="A452" t="str">
            <v>06</v>
          </cell>
          <cell r="B452" t="str">
            <v>20</v>
          </cell>
          <cell r="C452" t="str">
            <v>06</v>
          </cell>
          <cell r="D452" t="str">
            <v>3</v>
          </cell>
          <cell r="E452" t="str">
            <v>0004</v>
          </cell>
          <cell r="F452" t="str">
            <v>0001</v>
          </cell>
          <cell r="G452" t="str">
            <v>1020103</v>
          </cell>
          <cell r="H452" t="str">
            <v>收货款</v>
          </cell>
          <cell r="I452" t="b">
            <v>1</v>
          </cell>
          <cell r="J452">
            <v>1211413.8500000001</v>
          </cell>
          <cell r="K452">
            <v>0</v>
          </cell>
          <cell r="L452">
            <v>0</v>
          </cell>
        </row>
        <row r="453">
          <cell r="A453" t="str">
            <v>06</v>
          </cell>
          <cell r="B453" t="str">
            <v>20</v>
          </cell>
          <cell r="C453" t="str">
            <v>06</v>
          </cell>
          <cell r="D453" t="str">
            <v>3</v>
          </cell>
          <cell r="E453" t="str">
            <v>0005</v>
          </cell>
          <cell r="F453" t="str">
            <v>0002</v>
          </cell>
          <cell r="G453" t="str">
            <v>1020103</v>
          </cell>
          <cell r="H453" t="str">
            <v>收货款</v>
          </cell>
          <cell r="I453" t="b">
            <v>1</v>
          </cell>
          <cell r="J453">
            <v>2223906.7999999998</v>
          </cell>
          <cell r="K453">
            <v>0</v>
          </cell>
          <cell r="L453">
            <v>0</v>
          </cell>
        </row>
        <row r="454">
          <cell r="A454" t="str">
            <v>06</v>
          </cell>
          <cell r="B454" t="str">
            <v>15</v>
          </cell>
          <cell r="C454" t="str">
            <v>06</v>
          </cell>
          <cell r="D454" t="str">
            <v>4</v>
          </cell>
          <cell r="E454" t="str">
            <v>0004</v>
          </cell>
          <cell r="F454" t="str">
            <v>0004</v>
          </cell>
          <cell r="G454" t="str">
            <v>1020103</v>
          </cell>
          <cell r="H454" t="str">
            <v>购材料</v>
          </cell>
          <cell r="I454" t="b">
            <v>0</v>
          </cell>
          <cell r="J454">
            <v>128160</v>
          </cell>
          <cell r="K454">
            <v>0</v>
          </cell>
          <cell r="L454">
            <v>0</v>
          </cell>
        </row>
        <row r="455">
          <cell r="A455" t="str">
            <v>06</v>
          </cell>
          <cell r="B455" t="str">
            <v>16</v>
          </cell>
          <cell r="C455" t="str">
            <v>06</v>
          </cell>
          <cell r="D455" t="str">
            <v>4</v>
          </cell>
          <cell r="E455" t="str">
            <v>0006</v>
          </cell>
          <cell r="F455" t="str">
            <v>0004</v>
          </cell>
          <cell r="G455" t="str">
            <v>1020103</v>
          </cell>
          <cell r="H455" t="str">
            <v>付利息</v>
          </cell>
          <cell r="I455" t="b">
            <v>0</v>
          </cell>
          <cell r="J455">
            <v>61717.5</v>
          </cell>
          <cell r="K455">
            <v>0</v>
          </cell>
          <cell r="L455">
            <v>0</v>
          </cell>
        </row>
        <row r="456">
          <cell r="A456" t="str">
            <v>06</v>
          </cell>
          <cell r="B456" t="str">
            <v>18</v>
          </cell>
          <cell r="C456" t="str">
            <v>06</v>
          </cell>
          <cell r="D456" t="str">
            <v>4</v>
          </cell>
          <cell r="E456" t="str">
            <v>0007</v>
          </cell>
          <cell r="F456" t="str">
            <v>0006</v>
          </cell>
          <cell r="G456" t="str">
            <v>1020103</v>
          </cell>
          <cell r="H456" t="str">
            <v>暂借款</v>
          </cell>
          <cell r="I456" t="b">
            <v>0</v>
          </cell>
          <cell r="J456">
            <v>2503750</v>
          </cell>
          <cell r="K456">
            <v>0</v>
          </cell>
          <cell r="L456">
            <v>0</v>
          </cell>
        </row>
        <row r="457">
          <cell r="A457" t="str">
            <v>06</v>
          </cell>
          <cell r="B457" t="str">
            <v>20</v>
          </cell>
          <cell r="C457" t="str">
            <v>06</v>
          </cell>
          <cell r="D457" t="str">
            <v>4</v>
          </cell>
          <cell r="E457" t="str">
            <v>0008</v>
          </cell>
          <cell r="F457" t="str">
            <v>0004</v>
          </cell>
          <cell r="G457" t="str">
            <v>1020103</v>
          </cell>
          <cell r="H457" t="str">
            <v>付工程款</v>
          </cell>
          <cell r="I457" t="b">
            <v>0</v>
          </cell>
          <cell r="J457">
            <v>300000</v>
          </cell>
          <cell r="K457">
            <v>0</v>
          </cell>
          <cell r="L457">
            <v>0</v>
          </cell>
        </row>
        <row r="458">
          <cell r="A458" t="str">
            <v>06</v>
          </cell>
          <cell r="B458" t="str">
            <v>20</v>
          </cell>
          <cell r="C458" t="str">
            <v>06</v>
          </cell>
          <cell r="D458" t="str">
            <v>4</v>
          </cell>
          <cell r="E458" t="str">
            <v>0010</v>
          </cell>
          <cell r="F458" t="str">
            <v>0006</v>
          </cell>
          <cell r="G458" t="str">
            <v>1020103</v>
          </cell>
          <cell r="H458" t="str">
            <v>付货款</v>
          </cell>
          <cell r="I458" t="b">
            <v>0</v>
          </cell>
          <cell r="J458">
            <v>421360</v>
          </cell>
          <cell r="K458">
            <v>0</v>
          </cell>
          <cell r="L458">
            <v>0</v>
          </cell>
        </row>
        <row r="459">
          <cell r="A459" t="str">
            <v>06</v>
          </cell>
          <cell r="B459" t="str">
            <v>20</v>
          </cell>
          <cell r="C459" t="str">
            <v>06</v>
          </cell>
          <cell r="D459" t="str">
            <v>4</v>
          </cell>
          <cell r="E459" t="str">
            <v>0011</v>
          </cell>
          <cell r="F459" t="str">
            <v>0004</v>
          </cell>
          <cell r="G459" t="str">
            <v>1020103</v>
          </cell>
          <cell r="H459" t="str">
            <v>付劳动保险费.排污费.电话费</v>
          </cell>
          <cell r="I459" t="b">
            <v>0</v>
          </cell>
          <cell r="J459">
            <v>84463.18</v>
          </cell>
          <cell r="K459">
            <v>0</v>
          </cell>
          <cell r="L459">
            <v>0</v>
          </cell>
        </row>
        <row r="460">
          <cell r="A460" t="str">
            <v>06</v>
          </cell>
          <cell r="B460" t="str">
            <v>20</v>
          </cell>
          <cell r="C460" t="str">
            <v>06</v>
          </cell>
          <cell r="D460" t="str">
            <v>4</v>
          </cell>
          <cell r="E460" t="str">
            <v>0012</v>
          </cell>
          <cell r="F460" t="str">
            <v>0051</v>
          </cell>
          <cell r="G460" t="str">
            <v>1020103</v>
          </cell>
          <cell r="H460" t="str">
            <v>退住房集资</v>
          </cell>
          <cell r="I460" t="b">
            <v>0</v>
          </cell>
          <cell r="J460">
            <v>218160</v>
          </cell>
          <cell r="K460">
            <v>0</v>
          </cell>
          <cell r="L460">
            <v>0</v>
          </cell>
        </row>
        <row r="461">
          <cell r="A461" t="str">
            <v>06</v>
          </cell>
          <cell r="B461" t="str">
            <v>20</v>
          </cell>
          <cell r="C461" t="str">
            <v>06</v>
          </cell>
          <cell r="D461" t="str">
            <v>4</v>
          </cell>
          <cell r="E461" t="str">
            <v>0013</v>
          </cell>
          <cell r="F461" t="str">
            <v>0011</v>
          </cell>
          <cell r="G461" t="str">
            <v>1020103</v>
          </cell>
          <cell r="H461" t="str">
            <v>付本月工人工资</v>
          </cell>
          <cell r="I461" t="b">
            <v>0</v>
          </cell>
          <cell r="J461">
            <v>294062</v>
          </cell>
          <cell r="K461">
            <v>0</v>
          </cell>
          <cell r="L461">
            <v>0</v>
          </cell>
        </row>
        <row r="462">
          <cell r="A462" t="str">
            <v>07</v>
          </cell>
          <cell r="B462" t="str">
            <v>15</v>
          </cell>
          <cell r="C462" t="str">
            <v>07</v>
          </cell>
          <cell r="D462" t="str">
            <v>2</v>
          </cell>
          <cell r="E462" t="str">
            <v>0011</v>
          </cell>
          <cell r="F462" t="str">
            <v>0001</v>
          </cell>
          <cell r="G462" t="str">
            <v>1020103</v>
          </cell>
          <cell r="H462" t="str">
            <v>存现金</v>
          </cell>
          <cell r="I462" t="b">
            <v>1</v>
          </cell>
          <cell r="J462">
            <v>270000</v>
          </cell>
          <cell r="K462">
            <v>0</v>
          </cell>
          <cell r="L462">
            <v>0</v>
          </cell>
        </row>
        <row r="463">
          <cell r="A463" t="str">
            <v>07</v>
          </cell>
          <cell r="B463" t="str">
            <v>01</v>
          </cell>
          <cell r="C463" t="str">
            <v>07</v>
          </cell>
          <cell r="D463" t="str">
            <v>3</v>
          </cell>
          <cell r="E463" t="str">
            <v>0001</v>
          </cell>
          <cell r="F463" t="str">
            <v>0001</v>
          </cell>
          <cell r="G463" t="str">
            <v>1020103</v>
          </cell>
          <cell r="H463" t="str">
            <v>收借款</v>
          </cell>
          <cell r="I463" t="b">
            <v>1</v>
          </cell>
          <cell r="J463">
            <v>10550000</v>
          </cell>
          <cell r="K463">
            <v>0</v>
          </cell>
          <cell r="L463">
            <v>0</v>
          </cell>
        </row>
        <row r="464">
          <cell r="A464" t="str">
            <v>07</v>
          </cell>
          <cell r="B464" t="str">
            <v>05</v>
          </cell>
          <cell r="C464" t="str">
            <v>07</v>
          </cell>
          <cell r="D464" t="str">
            <v>3</v>
          </cell>
          <cell r="E464" t="str">
            <v>0002</v>
          </cell>
          <cell r="F464" t="str">
            <v>0001</v>
          </cell>
          <cell r="G464" t="str">
            <v>1020103</v>
          </cell>
          <cell r="H464" t="str">
            <v>收存款</v>
          </cell>
          <cell r="I464" t="b">
            <v>1</v>
          </cell>
          <cell r="J464">
            <v>58275</v>
          </cell>
          <cell r="K464">
            <v>0</v>
          </cell>
          <cell r="L464">
            <v>0</v>
          </cell>
        </row>
        <row r="465">
          <cell r="A465" t="str">
            <v>07</v>
          </cell>
          <cell r="B465" t="str">
            <v>10</v>
          </cell>
          <cell r="C465" t="str">
            <v>07</v>
          </cell>
          <cell r="D465" t="str">
            <v>3</v>
          </cell>
          <cell r="E465" t="str">
            <v>0003</v>
          </cell>
          <cell r="F465" t="str">
            <v>0001</v>
          </cell>
          <cell r="G465" t="str">
            <v>1020103</v>
          </cell>
          <cell r="H465" t="str">
            <v>收存款利息</v>
          </cell>
          <cell r="I465" t="b">
            <v>1</v>
          </cell>
          <cell r="J465">
            <v>3522.43</v>
          </cell>
          <cell r="K465">
            <v>0</v>
          </cell>
          <cell r="L465">
            <v>0</v>
          </cell>
        </row>
        <row r="466">
          <cell r="A466" t="str">
            <v>07</v>
          </cell>
          <cell r="B466" t="str">
            <v>26</v>
          </cell>
          <cell r="C466" t="str">
            <v>07</v>
          </cell>
          <cell r="D466" t="str">
            <v>3</v>
          </cell>
          <cell r="E466" t="str">
            <v>0005</v>
          </cell>
          <cell r="F466" t="str">
            <v>0001</v>
          </cell>
          <cell r="G466" t="str">
            <v>1020103</v>
          </cell>
          <cell r="H466" t="str">
            <v>收FVE9991#发票货款</v>
          </cell>
          <cell r="I466" t="b">
            <v>1</v>
          </cell>
          <cell r="J466">
            <v>521116.65</v>
          </cell>
          <cell r="K466">
            <v>0</v>
          </cell>
          <cell r="L466">
            <v>0</v>
          </cell>
        </row>
        <row r="467">
          <cell r="A467" t="str">
            <v>07</v>
          </cell>
          <cell r="B467" t="str">
            <v>26</v>
          </cell>
          <cell r="C467" t="str">
            <v>07</v>
          </cell>
          <cell r="D467" t="str">
            <v>3</v>
          </cell>
          <cell r="E467" t="str">
            <v>0007</v>
          </cell>
          <cell r="F467" t="str">
            <v>0001</v>
          </cell>
          <cell r="G467" t="str">
            <v>1020103</v>
          </cell>
          <cell r="H467" t="str">
            <v>收货款</v>
          </cell>
          <cell r="I467" t="b">
            <v>1</v>
          </cell>
          <cell r="J467">
            <v>1817794.35</v>
          </cell>
          <cell r="K467">
            <v>0</v>
          </cell>
          <cell r="L467">
            <v>0</v>
          </cell>
        </row>
        <row r="468">
          <cell r="A468" t="str">
            <v>07</v>
          </cell>
          <cell r="B468" t="str">
            <v>01</v>
          </cell>
          <cell r="C468" t="str">
            <v>07</v>
          </cell>
          <cell r="D468" t="str">
            <v>4</v>
          </cell>
          <cell r="E468" t="str">
            <v>0001</v>
          </cell>
          <cell r="F468" t="str">
            <v>0003</v>
          </cell>
          <cell r="G468" t="str">
            <v>1020103</v>
          </cell>
          <cell r="H468" t="str">
            <v>储蓄存款</v>
          </cell>
          <cell r="I468" t="b">
            <v>0</v>
          </cell>
          <cell r="J468">
            <v>400000</v>
          </cell>
          <cell r="K468">
            <v>0</v>
          </cell>
          <cell r="L468">
            <v>0</v>
          </cell>
        </row>
        <row r="469">
          <cell r="A469" t="str">
            <v>07</v>
          </cell>
          <cell r="B469" t="str">
            <v>01</v>
          </cell>
          <cell r="C469" t="str">
            <v>07</v>
          </cell>
          <cell r="D469" t="str">
            <v>4</v>
          </cell>
          <cell r="E469" t="str">
            <v>0001</v>
          </cell>
          <cell r="F469" t="str">
            <v>0004</v>
          </cell>
          <cell r="G469" t="str">
            <v>1020103</v>
          </cell>
          <cell r="H469" t="str">
            <v>转户</v>
          </cell>
          <cell r="I469" t="b">
            <v>1</v>
          </cell>
          <cell r="J469">
            <v>1500000</v>
          </cell>
          <cell r="K469">
            <v>0</v>
          </cell>
          <cell r="L469">
            <v>0</v>
          </cell>
        </row>
        <row r="470">
          <cell r="A470" t="str">
            <v>07</v>
          </cell>
          <cell r="B470" t="str">
            <v>01</v>
          </cell>
          <cell r="C470" t="str">
            <v>07</v>
          </cell>
          <cell r="D470" t="str">
            <v>4</v>
          </cell>
          <cell r="E470" t="str">
            <v>0002</v>
          </cell>
          <cell r="F470" t="str">
            <v>0002</v>
          </cell>
          <cell r="G470" t="str">
            <v>1020103</v>
          </cell>
          <cell r="H470" t="str">
            <v>付存款利息</v>
          </cell>
          <cell r="I470" t="b">
            <v>0</v>
          </cell>
          <cell r="J470">
            <v>64724.25</v>
          </cell>
          <cell r="K470">
            <v>0</v>
          </cell>
          <cell r="L470">
            <v>0</v>
          </cell>
        </row>
        <row r="471">
          <cell r="A471" t="str">
            <v>07</v>
          </cell>
          <cell r="B471" t="str">
            <v>01</v>
          </cell>
          <cell r="C471" t="str">
            <v>07</v>
          </cell>
          <cell r="D471" t="str">
            <v>4</v>
          </cell>
          <cell r="E471" t="str">
            <v>0003</v>
          </cell>
          <cell r="F471" t="str">
            <v>0002</v>
          </cell>
          <cell r="G471" t="str">
            <v>1020103</v>
          </cell>
          <cell r="H471" t="str">
            <v>还借款</v>
          </cell>
          <cell r="I471" t="b">
            <v>0</v>
          </cell>
          <cell r="J471">
            <v>10550000</v>
          </cell>
          <cell r="K471">
            <v>0</v>
          </cell>
          <cell r="L471">
            <v>0</v>
          </cell>
        </row>
        <row r="472">
          <cell r="A472" t="str">
            <v>07</v>
          </cell>
          <cell r="B472" t="str">
            <v>06</v>
          </cell>
          <cell r="C472" t="str">
            <v>07</v>
          </cell>
          <cell r="D472" t="str">
            <v>4</v>
          </cell>
          <cell r="E472" t="str">
            <v>0004</v>
          </cell>
          <cell r="F472" t="str">
            <v>0003</v>
          </cell>
          <cell r="G472" t="str">
            <v>1020103</v>
          </cell>
          <cell r="H472" t="str">
            <v>付苹果汁反倾销应诉款</v>
          </cell>
          <cell r="I472" t="b">
            <v>0</v>
          </cell>
          <cell r="J472">
            <v>129500</v>
          </cell>
          <cell r="K472">
            <v>0</v>
          </cell>
          <cell r="L472">
            <v>0</v>
          </cell>
        </row>
        <row r="473">
          <cell r="A473" t="str">
            <v>07</v>
          </cell>
          <cell r="B473" t="str">
            <v>07</v>
          </cell>
          <cell r="C473" t="str">
            <v>07</v>
          </cell>
          <cell r="D473" t="str">
            <v>4</v>
          </cell>
          <cell r="E473" t="str">
            <v>0005</v>
          </cell>
          <cell r="F473" t="str">
            <v>0005</v>
          </cell>
          <cell r="G473" t="str">
            <v>1020103</v>
          </cell>
          <cell r="H473" t="str">
            <v>付劳动保险费.排污费</v>
          </cell>
          <cell r="I473" t="b">
            <v>0</v>
          </cell>
          <cell r="J473">
            <v>64690.400000000001</v>
          </cell>
          <cell r="K473">
            <v>0</v>
          </cell>
          <cell r="L473">
            <v>0</v>
          </cell>
        </row>
        <row r="474">
          <cell r="A474" t="str">
            <v>07</v>
          </cell>
          <cell r="B474" t="str">
            <v>10</v>
          </cell>
          <cell r="C474" t="str">
            <v>07</v>
          </cell>
          <cell r="D474" t="str">
            <v>4</v>
          </cell>
          <cell r="E474" t="str">
            <v>0006</v>
          </cell>
          <cell r="F474" t="str">
            <v>0005</v>
          </cell>
          <cell r="G474" t="str">
            <v>1020103</v>
          </cell>
          <cell r="H474" t="str">
            <v>暂借款</v>
          </cell>
          <cell r="I474" t="b">
            <v>0</v>
          </cell>
          <cell r="J474">
            <v>3600000</v>
          </cell>
          <cell r="K474">
            <v>0</v>
          </cell>
          <cell r="L474">
            <v>0</v>
          </cell>
        </row>
        <row r="475">
          <cell r="A475" t="str">
            <v>07</v>
          </cell>
          <cell r="B475" t="str">
            <v>10</v>
          </cell>
          <cell r="C475" t="str">
            <v>07</v>
          </cell>
          <cell r="D475" t="str">
            <v>4</v>
          </cell>
          <cell r="E475" t="str">
            <v>0007</v>
          </cell>
          <cell r="F475" t="str">
            <v>0006</v>
          </cell>
          <cell r="G475" t="str">
            <v>1020103</v>
          </cell>
          <cell r="H475" t="str">
            <v>付货款</v>
          </cell>
          <cell r="I475" t="b">
            <v>0</v>
          </cell>
          <cell r="J475">
            <v>30000</v>
          </cell>
          <cell r="K475">
            <v>0</v>
          </cell>
          <cell r="L475">
            <v>0</v>
          </cell>
        </row>
        <row r="476">
          <cell r="A476" t="str">
            <v>07</v>
          </cell>
          <cell r="B476" t="str">
            <v>12</v>
          </cell>
          <cell r="C476" t="str">
            <v>07</v>
          </cell>
          <cell r="D476" t="str">
            <v>4</v>
          </cell>
          <cell r="E476" t="str">
            <v>0008</v>
          </cell>
          <cell r="F476" t="str">
            <v>0002</v>
          </cell>
          <cell r="G476" t="str">
            <v>1020103</v>
          </cell>
          <cell r="H476" t="str">
            <v>付手续费</v>
          </cell>
          <cell r="I476" t="b">
            <v>0</v>
          </cell>
          <cell r="J476">
            <v>10</v>
          </cell>
          <cell r="K476">
            <v>0</v>
          </cell>
          <cell r="L476">
            <v>0</v>
          </cell>
        </row>
        <row r="477">
          <cell r="A477" t="str">
            <v>07</v>
          </cell>
          <cell r="B477" t="str">
            <v>15</v>
          </cell>
          <cell r="C477" t="str">
            <v>07</v>
          </cell>
          <cell r="D477" t="str">
            <v>4</v>
          </cell>
          <cell r="E477" t="str">
            <v>0011</v>
          </cell>
          <cell r="F477" t="str">
            <v>0001</v>
          </cell>
          <cell r="G477" t="str">
            <v>1020103</v>
          </cell>
          <cell r="H477" t="str">
            <v>转户</v>
          </cell>
          <cell r="I477" t="b">
            <v>1</v>
          </cell>
          <cell r="J477">
            <v>1900000</v>
          </cell>
          <cell r="K477">
            <v>0</v>
          </cell>
          <cell r="L477">
            <v>0</v>
          </cell>
        </row>
        <row r="478">
          <cell r="A478" t="str">
            <v>07</v>
          </cell>
          <cell r="B478" t="str">
            <v>15</v>
          </cell>
          <cell r="C478" t="str">
            <v>07</v>
          </cell>
          <cell r="D478" t="str">
            <v>4</v>
          </cell>
          <cell r="E478" t="str">
            <v>0011</v>
          </cell>
          <cell r="F478" t="str">
            <v>0005</v>
          </cell>
          <cell r="G478" t="str">
            <v>1020103</v>
          </cell>
          <cell r="H478" t="str">
            <v>付款</v>
          </cell>
          <cell r="I478" t="b">
            <v>0</v>
          </cell>
          <cell r="J478">
            <v>947295</v>
          </cell>
          <cell r="K478">
            <v>0</v>
          </cell>
          <cell r="L478">
            <v>0</v>
          </cell>
        </row>
        <row r="479">
          <cell r="A479" t="str">
            <v>07</v>
          </cell>
          <cell r="B479" t="str">
            <v>19</v>
          </cell>
          <cell r="C479" t="str">
            <v>07</v>
          </cell>
          <cell r="D479" t="str">
            <v>4</v>
          </cell>
          <cell r="E479" t="str">
            <v>0019</v>
          </cell>
          <cell r="F479" t="str">
            <v>0005</v>
          </cell>
          <cell r="G479" t="str">
            <v>1020103</v>
          </cell>
          <cell r="H479" t="str">
            <v>付邮递费</v>
          </cell>
          <cell r="I479" t="b">
            <v>0</v>
          </cell>
          <cell r="J479">
            <v>15061</v>
          </cell>
          <cell r="K479">
            <v>0</v>
          </cell>
          <cell r="L479">
            <v>0</v>
          </cell>
        </row>
        <row r="480">
          <cell r="A480" t="str">
            <v>07</v>
          </cell>
          <cell r="B480" t="str">
            <v>19</v>
          </cell>
          <cell r="C480" t="str">
            <v>07</v>
          </cell>
          <cell r="D480" t="str">
            <v>4</v>
          </cell>
          <cell r="E480" t="str">
            <v>0020</v>
          </cell>
          <cell r="F480" t="str">
            <v>0004</v>
          </cell>
          <cell r="G480" t="str">
            <v>1020103</v>
          </cell>
          <cell r="H480" t="str">
            <v>购材料</v>
          </cell>
          <cell r="I480" t="b">
            <v>0</v>
          </cell>
          <cell r="J480">
            <v>86840.49</v>
          </cell>
          <cell r="K480">
            <v>0</v>
          </cell>
          <cell r="L480">
            <v>0</v>
          </cell>
        </row>
        <row r="481">
          <cell r="A481" t="str">
            <v>08</v>
          </cell>
          <cell r="B481" t="str">
            <v>05</v>
          </cell>
          <cell r="C481" t="str">
            <v>08</v>
          </cell>
          <cell r="D481" t="str">
            <v>3</v>
          </cell>
          <cell r="E481" t="str">
            <v>0003</v>
          </cell>
          <cell r="F481" t="str">
            <v>0001</v>
          </cell>
          <cell r="G481" t="str">
            <v>1020103</v>
          </cell>
          <cell r="H481" t="str">
            <v>收存款</v>
          </cell>
          <cell r="I481" t="b">
            <v>1</v>
          </cell>
          <cell r="J481">
            <v>2406837</v>
          </cell>
          <cell r="K481">
            <v>0</v>
          </cell>
          <cell r="L481">
            <v>0</v>
          </cell>
        </row>
        <row r="482">
          <cell r="A482" t="str">
            <v>08</v>
          </cell>
          <cell r="B482" t="str">
            <v>05</v>
          </cell>
          <cell r="C482" t="str">
            <v>08</v>
          </cell>
          <cell r="D482" t="str">
            <v>3</v>
          </cell>
          <cell r="E482" t="str">
            <v>0004</v>
          </cell>
          <cell r="F482" t="str">
            <v>0001</v>
          </cell>
          <cell r="G482" t="str">
            <v>1020103</v>
          </cell>
          <cell r="H482" t="str">
            <v>退汇一支</v>
          </cell>
          <cell r="I482" t="b">
            <v>1</v>
          </cell>
          <cell r="J482">
            <v>562000</v>
          </cell>
          <cell r="K482">
            <v>0</v>
          </cell>
          <cell r="L482">
            <v>0</v>
          </cell>
        </row>
        <row r="483">
          <cell r="A483" t="str">
            <v>08</v>
          </cell>
          <cell r="B483" t="str">
            <v>14</v>
          </cell>
          <cell r="C483" t="str">
            <v>08</v>
          </cell>
          <cell r="D483" t="str">
            <v>3</v>
          </cell>
          <cell r="E483" t="str">
            <v>0005</v>
          </cell>
          <cell r="F483" t="str">
            <v>0001</v>
          </cell>
          <cell r="G483" t="str">
            <v>1020103</v>
          </cell>
          <cell r="H483" t="str">
            <v>销浓汁</v>
          </cell>
          <cell r="I483" t="b">
            <v>1</v>
          </cell>
          <cell r="J483">
            <v>1170</v>
          </cell>
          <cell r="K483">
            <v>0</v>
          </cell>
          <cell r="L483">
            <v>0</v>
          </cell>
        </row>
        <row r="484">
          <cell r="A484" t="str">
            <v>08</v>
          </cell>
          <cell r="B484" t="str">
            <v>15</v>
          </cell>
          <cell r="C484" t="str">
            <v>08</v>
          </cell>
          <cell r="D484" t="str">
            <v>3</v>
          </cell>
          <cell r="E484" t="str">
            <v>0006</v>
          </cell>
          <cell r="F484" t="str">
            <v>0001</v>
          </cell>
          <cell r="G484" t="str">
            <v>1020103</v>
          </cell>
          <cell r="H484" t="str">
            <v>收产假工资.生育费.药费</v>
          </cell>
          <cell r="I484" t="b">
            <v>1</v>
          </cell>
          <cell r="J484">
            <v>20939.43</v>
          </cell>
          <cell r="K484">
            <v>0</v>
          </cell>
          <cell r="L484">
            <v>0</v>
          </cell>
        </row>
        <row r="485">
          <cell r="A485" t="str">
            <v>08</v>
          </cell>
          <cell r="B485" t="str">
            <v>18</v>
          </cell>
          <cell r="C485" t="str">
            <v>08</v>
          </cell>
          <cell r="D485" t="str">
            <v>3</v>
          </cell>
          <cell r="E485" t="str">
            <v>0007</v>
          </cell>
          <cell r="F485" t="str">
            <v>0002</v>
          </cell>
          <cell r="G485" t="str">
            <v>1020103</v>
          </cell>
          <cell r="H485" t="str">
            <v>暂借款</v>
          </cell>
          <cell r="I485" t="b">
            <v>1</v>
          </cell>
          <cell r="J485">
            <v>1170525.6000000001</v>
          </cell>
          <cell r="K485">
            <v>0</v>
          </cell>
          <cell r="L485">
            <v>0</v>
          </cell>
        </row>
        <row r="486">
          <cell r="A486" t="str">
            <v>08</v>
          </cell>
          <cell r="B486" t="str">
            <v>20</v>
          </cell>
          <cell r="C486" t="str">
            <v>08</v>
          </cell>
          <cell r="D486" t="str">
            <v>3</v>
          </cell>
          <cell r="E486" t="str">
            <v>0010</v>
          </cell>
          <cell r="F486" t="str">
            <v>0001</v>
          </cell>
          <cell r="G486" t="str">
            <v>1020103</v>
          </cell>
          <cell r="H486" t="str">
            <v>收货款</v>
          </cell>
          <cell r="I486" t="b">
            <v>1</v>
          </cell>
          <cell r="J486">
            <v>1788974.83</v>
          </cell>
          <cell r="K486">
            <v>0</v>
          </cell>
          <cell r="L486">
            <v>0</v>
          </cell>
        </row>
        <row r="487">
          <cell r="A487" t="str">
            <v>08</v>
          </cell>
          <cell r="B487" t="str">
            <v>24</v>
          </cell>
          <cell r="C487" t="str">
            <v>08</v>
          </cell>
          <cell r="D487" t="str">
            <v>3</v>
          </cell>
          <cell r="E487" t="str">
            <v>0011</v>
          </cell>
          <cell r="F487" t="str">
            <v>0001</v>
          </cell>
          <cell r="G487" t="str">
            <v>1020103</v>
          </cell>
          <cell r="H487" t="str">
            <v>暂借款</v>
          </cell>
          <cell r="I487" t="b">
            <v>1</v>
          </cell>
          <cell r="J487">
            <v>1000000</v>
          </cell>
          <cell r="K487">
            <v>0</v>
          </cell>
          <cell r="L487">
            <v>0</v>
          </cell>
        </row>
        <row r="488">
          <cell r="A488" t="str">
            <v>08</v>
          </cell>
          <cell r="B488" t="str">
            <v>01</v>
          </cell>
          <cell r="C488" t="str">
            <v>08</v>
          </cell>
          <cell r="D488" t="str">
            <v>4</v>
          </cell>
          <cell r="E488" t="str">
            <v>0001</v>
          </cell>
          <cell r="F488" t="str">
            <v>0002</v>
          </cell>
          <cell r="G488" t="str">
            <v>1020103</v>
          </cell>
          <cell r="H488" t="str">
            <v>付借款利息</v>
          </cell>
          <cell r="I488" t="b">
            <v>0</v>
          </cell>
          <cell r="J488">
            <v>63141.75</v>
          </cell>
          <cell r="K488">
            <v>0</v>
          </cell>
          <cell r="L488">
            <v>0</v>
          </cell>
        </row>
        <row r="489">
          <cell r="A489" t="str">
            <v>08</v>
          </cell>
          <cell r="B489" t="str">
            <v>03</v>
          </cell>
          <cell r="C489" t="str">
            <v>08</v>
          </cell>
          <cell r="D489" t="str">
            <v>4</v>
          </cell>
          <cell r="E489" t="str">
            <v>0005</v>
          </cell>
          <cell r="F489" t="str">
            <v>0004</v>
          </cell>
          <cell r="G489" t="str">
            <v>1020103</v>
          </cell>
          <cell r="H489" t="str">
            <v>付工程款.货款</v>
          </cell>
          <cell r="I489" t="b">
            <v>0</v>
          </cell>
          <cell r="J489">
            <v>2224000</v>
          </cell>
          <cell r="K489">
            <v>0</v>
          </cell>
          <cell r="L489">
            <v>0</v>
          </cell>
        </row>
        <row r="490">
          <cell r="A490" t="str">
            <v>08</v>
          </cell>
          <cell r="B490" t="str">
            <v>05</v>
          </cell>
          <cell r="C490" t="str">
            <v>08</v>
          </cell>
          <cell r="D490" t="str">
            <v>4</v>
          </cell>
          <cell r="E490" t="str">
            <v>0008</v>
          </cell>
          <cell r="F490" t="str">
            <v>0004</v>
          </cell>
          <cell r="G490" t="str">
            <v>1020103</v>
          </cell>
          <cell r="H490" t="str">
            <v>付审计费.清洗费</v>
          </cell>
          <cell r="I490" t="b">
            <v>0</v>
          </cell>
          <cell r="J490">
            <v>73020</v>
          </cell>
          <cell r="K490">
            <v>0</v>
          </cell>
          <cell r="L490">
            <v>0</v>
          </cell>
        </row>
        <row r="491">
          <cell r="A491" t="str">
            <v>08</v>
          </cell>
          <cell r="B491" t="str">
            <v>06</v>
          </cell>
          <cell r="C491" t="str">
            <v>08</v>
          </cell>
          <cell r="D491" t="str">
            <v>4</v>
          </cell>
          <cell r="E491" t="str">
            <v>0010</v>
          </cell>
          <cell r="F491" t="str">
            <v>0004</v>
          </cell>
          <cell r="G491" t="str">
            <v>1020103</v>
          </cell>
          <cell r="H491" t="str">
            <v>购轮胎</v>
          </cell>
          <cell r="I491" t="b">
            <v>0</v>
          </cell>
          <cell r="J491">
            <v>2300</v>
          </cell>
          <cell r="K491">
            <v>0</v>
          </cell>
          <cell r="L491">
            <v>0</v>
          </cell>
        </row>
        <row r="492">
          <cell r="A492" t="str">
            <v>08</v>
          </cell>
          <cell r="B492" t="str">
            <v>08</v>
          </cell>
          <cell r="C492" t="str">
            <v>08</v>
          </cell>
          <cell r="D492" t="str">
            <v>4</v>
          </cell>
          <cell r="E492" t="str">
            <v>0014</v>
          </cell>
          <cell r="F492" t="str">
            <v>0005</v>
          </cell>
          <cell r="G492" t="str">
            <v>1020103</v>
          </cell>
          <cell r="H492" t="str">
            <v>购材料</v>
          </cell>
          <cell r="I492" t="b">
            <v>0</v>
          </cell>
          <cell r="J492">
            <v>76750</v>
          </cell>
          <cell r="K492">
            <v>0</v>
          </cell>
          <cell r="L492">
            <v>0</v>
          </cell>
        </row>
        <row r="493">
          <cell r="A493" t="str">
            <v>08</v>
          </cell>
          <cell r="B493" t="str">
            <v>08</v>
          </cell>
          <cell r="C493" t="str">
            <v>08</v>
          </cell>
          <cell r="D493" t="str">
            <v>4</v>
          </cell>
          <cell r="E493" t="str">
            <v>0015</v>
          </cell>
          <cell r="F493" t="str">
            <v>0008</v>
          </cell>
          <cell r="G493" t="str">
            <v>1020103</v>
          </cell>
          <cell r="H493" t="str">
            <v>付工人工资</v>
          </cell>
          <cell r="I493" t="b">
            <v>0</v>
          </cell>
          <cell r="J493">
            <v>37326</v>
          </cell>
          <cell r="K493">
            <v>0</v>
          </cell>
          <cell r="L493">
            <v>0</v>
          </cell>
        </row>
        <row r="494">
          <cell r="A494" t="str">
            <v>08</v>
          </cell>
          <cell r="B494" t="str">
            <v>15</v>
          </cell>
          <cell r="C494" t="str">
            <v>08</v>
          </cell>
          <cell r="D494" t="str">
            <v>4</v>
          </cell>
          <cell r="E494" t="str">
            <v>0018</v>
          </cell>
          <cell r="F494" t="str">
            <v>0005</v>
          </cell>
          <cell r="G494" t="str">
            <v>1020103</v>
          </cell>
          <cell r="H494" t="str">
            <v>暂借款</v>
          </cell>
          <cell r="I494" t="b">
            <v>0</v>
          </cell>
          <cell r="J494">
            <v>900000</v>
          </cell>
          <cell r="K494">
            <v>0</v>
          </cell>
          <cell r="L494">
            <v>0</v>
          </cell>
        </row>
        <row r="495">
          <cell r="A495" t="str">
            <v>08</v>
          </cell>
          <cell r="B495" t="str">
            <v>15</v>
          </cell>
          <cell r="C495" t="str">
            <v>08</v>
          </cell>
          <cell r="D495" t="str">
            <v>4</v>
          </cell>
          <cell r="E495" t="str">
            <v>0019</v>
          </cell>
          <cell r="F495" t="str">
            <v>0004</v>
          </cell>
          <cell r="G495" t="str">
            <v>1020103</v>
          </cell>
          <cell r="H495" t="str">
            <v>付劳动保险费.排污费</v>
          </cell>
          <cell r="I495" t="b">
            <v>0</v>
          </cell>
          <cell r="J495">
            <v>59600.6</v>
          </cell>
          <cell r="K495">
            <v>0</v>
          </cell>
          <cell r="L495">
            <v>0</v>
          </cell>
        </row>
        <row r="496">
          <cell r="A496" t="str">
            <v>08</v>
          </cell>
          <cell r="B496" t="str">
            <v>18</v>
          </cell>
          <cell r="C496" t="str">
            <v>08</v>
          </cell>
          <cell r="D496" t="str">
            <v>4</v>
          </cell>
          <cell r="E496" t="str">
            <v>0022</v>
          </cell>
          <cell r="F496" t="str">
            <v>0002</v>
          </cell>
          <cell r="G496" t="str">
            <v>1020103</v>
          </cell>
          <cell r="H496" t="str">
            <v>支现金</v>
          </cell>
          <cell r="I496" t="b">
            <v>0</v>
          </cell>
          <cell r="J496">
            <v>3029269.72</v>
          </cell>
          <cell r="K496">
            <v>0</v>
          </cell>
          <cell r="L496">
            <v>0</v>
          </cell>
        </row>
        <row r="497">
          <cell r="A497" t="str">
            <v>08</v>
          </cell>
          <cell r="B497" t="str">
            <v>18</v>
          </cell>
          <cell r="C497" t="str">
            <v>08</v>
          </cell>
          <cell r="D497" t="str">
            <v>4</v>
          </cell>
          <cell r="E497" t="str">
            <v>0023</v>
          </cell>
          <cell r="F497" t="str">
            <v>0002</v>
          </cell>
          <cell r="G497" t="str">
            <v>1020103</v>
          </cell>
          <cell r="H497" t="str">
            <v>付手续费</v>
          </cell>
          <cell r="I497" t="b">
            <v>0</v>
          </cell>
          <cell r="J497">
            <v>22.5</v>
          </cell>
          <cell r="K497">
            <v>0</v>
          </cell>
          <cell r="L497">
            <v>0</v>
          </cell>
        </row>
        <row r="498">
          <cell r="A498" t="str">
            <v>08</v>
          </cell>
          <cell r="B498" t="str">
            <v>20</v>
          </cell>
          <cell r="C498" t="str">
            <v>08</v>
          </cell>
          <cell r="D498" t="str">
            <v>4</v>
          </cell>
          <cell r="E498" t="str">
            <v>0026</v>
          </cell>
          <cell r="F498" t="str">
            <v>0004</v>
          </cell>
          <cell r="G498" t="str">
            <v>1020103</v>
          </cell>
          <cell r="H498" t="str">
            <v>付水电费</v>
          </cell>
          <cell r="I498" t="b">
            <v>0</v>
          </cell>
          <cell r="J498">
            <v>63409.02</v>
          </cell>
          <cell r="K498">
            <v>0</v>
          </cell>
          <cell r="L498">
            <v>0</v>
          </cell>
        </row>
        <row r="499">
          <cell r="A499" t="str">
            <v>08</v>
          </cell>
          <cell r="B499" t="str">
            <v>22</v>
          </cell>
          <cell r="C499" t="str">
            <v>08</v>
          </cell>
          <cell r="D499" t="str">
            <v>4</v>
          </cell>
          <cell r="E499" t="str">
            <v>0029</v>
          </cell>
          <cell r="F499" t="str">
            <v>0005</v>
          </cell>
          <cell r="G499" t="str">
            <v>1020103</v>
          </cell>
          <cell r="H499" t="str">
            <v>付货款</v>
          </cell>
          <cell r="I499" t="b">
            <v>0</v>
          </cell>
          <cell r="J499">
            <v>69960</v>
          </cell>
          <cell r="K499">
            <v>0</v>
          </cell>
          <cell r="L499">
            <v>0</v>
          </cell>
        </row>
        <row r="500">
          <cell r="A500" t="str">
            <v>08</v>
          </cell>
          <cell r="B500" t="str">
            <v>24</v>
          </cell>
          <cell r="C500" t="str">
            <v>08</v>
          </cell>
          <cell r="D500" t="str">
            <v>4</v>
          </cell>
          <cell r="E500" t="str">
            <v>0033</v>
          </cell>
          <cell r="F500" t="str">
            <v>0002</v>
          </cell>
          <cell r="G500" t="str">
            <v>1020103</v>
          </cell>
          <cell r="H500" t="str">
            <v>暂借款</v>
          </cell>
          <cell r="I500" t="b">
            <v>0</v>
          </cell>
          <cell r="J500">
            <v>1000000</v>
          </cell>
          <cell r="K500">
            <v>0</v>
          </cell>
          <cell r="L500">
            <v>0</v>
          </cell>
        </row>
        <row r="501">
          <cell r="A501" t="str">
            <v>09</v>
          </cell>
          <cell r="B501" t="str">
            <v>01</v>
          </cell>
          <cell r="C501" t="str">
            <v>09</v>
          </cell>
          <cell r="D501" t="str">
            <v>2</v>
          </cell>
          <cell r="E501" t="str">
            <v>0001</v>
          </cell>
          <cell r="F501" t="str">
            <v>0001</v>
          </cell>
          <cell r="G501" t="str">
            <v>1020103</v>
          </cell>
          <cell r="H501" t="str">
            <v>存现金</v>
          </cell>
          <cell r="I501" t="b">
            <v>1</v>
          </cell>
          <cell r="J501">
            <v>400000</v>
          </cell>
          <cell r="K501">
            <v>0</v>
          </cell>
          <cell r="L501">
            <v>0</v>
          </cell>
        </row>
        <row r="502">
          <cell r="A502" t="str">
            <v>09</v>
          </cell>
          <cell r="B502" t="str">
            <v>21</v>
          </cell>
          <cell r="C502" t="str">
            <v>09</v>
          </cell>
          <cell r="D502" t="str">
            <v>3</v>
          </cell>
          <cell r="E502" t="str">
            <v>0006</v>
          </cell>
          <cell r="F502" t="str">
            <v>0001</v>
          </cell>
          <cell r="G502" t="str">
            <v>1020103</v>
          </cell>
          <cell r="H502" t="str">
            <v>暂借款</v>
          </cell>
          <cell r="I502" t="b">
            <v>1</v>
          </cell>
          <cell r="J502">
            <v>1000000</v>
          </cell>
          <cell r="K502">
            <v>0</v>
          </cell>
          <cell r="L502">
            <v>0</v>
          </cell>
        </row>
        <row r="503">
          <cell r="A503" t="str">
            <v>09</v>
          </cell>
          <cell r="B503" t="str">
            <v>23</v>
          </cell>
          <cell r="C503" t="str">
            <v>09</v>
          </cell>
          <cell r="D503" t="str">
            <v>3</v>
          </cell>
          <cell r="E503" t="str">
            <v>0007</v>
          </cell>
          <cell r="F503" t="str">
            <v>0001</v>
          </cell>
          <cell r="G503" t="str">
            <v>1020103</v>
          </cell>
          <cell r="H503" t="str">
            <v>收货款</v>
          </cell>
          <cell r="I503" t="b">
            <v>1</v>
          </cell>
          <cell r="J503">
            <v>653.5</v>
          </cell>
          <cell r="K503">
            <v>0</v>
          </cell>
          <cell r="L503">
            <v>0</v>
          </cell>
        </row>
        <row r="504">
          <cell r="A504" t="str">
            <v>09</v>
          </cell>
          <cell r="B504" t="str">
            <v>23</v>
          </cell>
          <cell r="C504" t="str">
            <v>09</v>
          </cell>
          <cell r="D504" t="str">
            <v>3</v>
          </cell>
          <cell r="E504" t="str">
            <v>0008</v>
          </cell>
          <cell r="F504" t="str">
            <v>0001</v>
          </cell>
          <cell r="G504" t="str">
            <v>1020103</v>
          </cell>
          <cell r="H504" t="str">
            <v>销山楂浓汁</v>
          </cell>
          <cell r="I504" t="b">
            <v>1</v>
          </cell>
          <cell r="J504">
            <v>5500</v>
          </cell>
          <cell r="K504">
            <v>0</v>
          </cell>
          <cell r="L504">
            <v>0</v>
          </cell>
        </row>
        <row r="505">
          <cell r="A505" t="str">
            <v>09</v>
          </cell>
          <cell r="B505" t="str">
            <v>23</v>
          </cell>
          <cell r="C505" t="str">
            <v>09</v>
          </cell>
          <cell r="D505" t="str">
            <v>3</v>
          </cell>
          <cell r="E505" t="str">
            <v>0009</v>
          </cell>
          <cell r="F505" t="str">
            <v>0001</v>
          </cell>
          <cell r="G505" t="str">
            <v>1020103</v>
          </cell>
          <cell r="H505" t="str">
            <v>收货款</v>
          </cell>
          <cell r="I505" t="b">
            <v>1</v>
          </cell>
          <cell r="J505">
            <v>4221151.4400000004</v>
          </cell>
          <cell r="K505">
            <v>0</v>
          </cell>
          <cell r="L505">
            <v>0</v>
          </cell>
        </row>
        <row r="506">
          <cell r="A506" t="str">
            <v>09</v>
          </cell>
          <cell r="B506" t="str">
            <v>23</v>
          </cell>
          <cell r="C506" t="str">
            <v>09</v>
          </cell>
          <cell r="D506" t="str">
            <v>3</v>
          </cell>
          <cell r="E506" t="str">
            <v>0011</v>
          </cell>
          <cell r="F506" t="str">
            <v>0001</v>
          </cell>
          <cell r="G506" t="str">
            <v>1020103</v>
          </cell>
          <cell r="H506" t="str">
            <v>收货款</v>
          </cell>
          <cell r="I506" t="b">
            <v>1</v>
          </cell>
          <cell r="J506">
            <v>991588.04</v>
          </cell>
          <cell r="K506">
            <v>0</v>
          </cell>
          <cell r="L506">
            <v>0</v>
          </cell>
        </row>
        <row r="507">
          <cell r="A507" t="str">
            <v>09</v>
          </cell>
          <cell r="B507" t="str">
            <v>01</v>
          </cell>
          <cell r="C507" t="str">
            <v>09</v>
          </cell>
          <cell r="D507" t="str">
            <v>4</v>
          </cell>
          <cell r="E507" t="str">
            <v>0001</v>
          </cell>
          <cell r="F507" t="str">
            <v>0002</v>
          </cell>
          <cell r="G507" t="str">
            <v>1020103</v>
          </cell>
          <cell r="H507" t="str">
            <v>支现金</v>
          </cell>
          <cell r="I507" t="b">
            <v>0</v>
          </cell>
          <cell r="J507">
            <v>1060000</v>
          </cell>
          <cell r="K507">
            <v>0</v>
          </cell>
          <cell r="L507">
            <v>0</v>
          </cell>
        </row>
        <row r="508">
          <cell r="A508" t="str">
            <v>09</v>
          </cell>
          <cell r="B508" t="str">
            <v>01</v>
          </cell>
          <cell r="C508" t="str">
            <v>09</v>
          </cell>
          <cell r="D508" t="str">
            <v>4</v>
          </cell>
          <cell r="E508" t="str">
            <v>0002</v>
          </cell>
          <cell r="F508" t="str">
            <v>0004</v>
          </cell>
          <cell r="G508" t="str">
            <v>1020103</v>
          </cell>
          <cell r="H508" t="str">
            <v>付运费</v>
          </cell>
          <cell r="I508" t="b">
            <v>0</v>
          </cell>
          <cell r="J508">
            <v>10800</v>
          </cell>
          <cell r="K508">
            <v>0</v>
          </cell>
          <cell r="L508">
            <v>0</v>
          </cell>
        </row>
        <row r="509">
          <cell r="A509" t="str">
            <v>09</v>
          </cell>
          <cell r="B509" t="str">
            <v>06</v>
          </cell>
          <cell r="C509" t="str">
            <v>09</v>
          </cell>
          <cell r="D509" t="str">
            <v>4</v>
          </cell>
          <cell r="E509" t="str">
            <v>0007</v>
          </cell>
          <cell r="F509" t="str">
            <v>0003</v>
          </cell>
          <cell r="G509" t="str">
            <v>1020103</v>
          </cell>
          <cell r="H509" t="str">
            <v>付借款利息</v>
          </cell>
          <cell r="I509" t="b">
            <v>0</v>
          </cell>
          <cell r="J509">
            <v>63774.75</v>
          </cell>
          <cell r="K509">
            <v>0</v>
          </cell>
          <cell r="L509">
            <v>0</v>
          </cell>
        </row>
        <row r="510">
          <cell r="A510" t="str">
            <v>09</v>
          </cell>
          <cell r="B510" t="str">
            <v>06</v>
          </cell>
          <cell r="C510" t="str">
            <v>09</v>
          </cell>
          <cell r="D510" t="str">
            <v>4</v>
          </cell>
          <cell r="E510" t="str">
            <v>0010</v>
          </cell>
          <cell r="F510" t="str">
            <v>0009</v>
          </cell>
          <cell r="G510" t="str">
            <v>1020103</v>
          </cell>
          <cell r="H510" t="str">
            <v>付本月工人工资</v>
          </cell>
          <cell r="I510" t="b">
            <v>0</v>
          </cell>
          <cell r="J510">
            <v>58687</v>
          </cell>
          <cell r="K510">
            <v>0</v>
          </cell>
          <cell r="L510">
            <v>0</v>
          </cell>
        </row>
        <row r="511">
          <cell r="A511" t="str">
            <v>09</v>
          </cell>
          <cell r="B511" t="str">
            <v>08</v>
          </cell>
          <cell r="C511" t="str">
            <v>09</v>
          </cell>
          <cell r="D511" t="str">
            <v>4</v>
          </cell>
          <cell r="E511" t="str">
            <v>0011</v>
          </cell>
          <cell r="F511" t="str">
            <v>0005</v>
          </cell>
          <cell r="G511" t="str">
            <v>1020103</v>
          </cell>
          <cell r="H511" t="str">
            <v>暂借款</v>
          </cell>
          <cell r="I511" t="b">
            <v>0</v>
          </cell>
          <cell r="J511">
            <v>450000</v>
          </cell>
          <cell r="K511">
            <v>0</v>
          </cell>
          <cell r="L511">
            <v>0</v>
          </cell>
        </row>
        <row r="512">
          <cell r="A512" t="str">
            <v>09</v>
          </cell>
          <cell r="B512" t="str">
            <v>10</v>
          </cell>
          <cell r="C512" t="str">
            <v>09</v>
          </cell>
          <cell r="D512" t="str">
            <v>4</v>
          </cell>
          <cell r="E512" t="str">
            <v>0012</v>
          </cell>
          <cell r="F512" t="str">
            <v>0002</v>
          </cell>
          <cell r="G512" t="str">
            <v>1020103</v>
          </cell>
          <cell r="H512" t="str">
            <v>支现金</v>
          </cell>
          <cell r="I512" t="b">
            <v>0</v>
          </cell>
          <cell r="J512">
            <v>1500000</v>
          </cell>
          <cell r="K512">
            <v>0</v>
          </cell>
          <cell r="L512">
            <v>0</v>
          </cell>
        </row>
        <row r="513">
          <cell r="A513" t="str">
            <v>09</v>
          </cell>
          <cell r="B513" t="str">
            <v>14</v>
          </cell>
          <cell r="C513" t="str">
            <v>09</v>
          </cell>
          <cell r="D513" t="str">
            <v>4</v>
          </cell>
          <cell r="E513" t="str">
            <v>0016</v>
          </cell>
          <cell r="F513" t="str">
            <v>0004</v>
          </cell>
          <cell r="G513" t="str">
            <v>1020103</v>
          </cell>
          <cell r="H513" t="str">
            <v>购材料</v>
          </cell>
          <cell r="I513" t="b">
            <v>0</v>
          </cell>
          <cell r="J513">
            <v>112206.75</v>
          </cell>
          <cell r="K513">
            <v>0</v>
          </cell>
          <cell r="L513">
            <v>0</v>
          </cell>
        </row>
        <row r="514">
          <cell r="A514" t="str">
            <v>09</v>
          </cell>
          <cell r="B514" t="str">
            <v>14</v>
          </cell>
          <cell r="C514" t="str">
            <v>09</v>
          </cell>
          <cell r="D514" t="str">
            <v>4</v>
          </cell>
          <cell r="E514" t="str">
            <v>0017</v>
          </cell>
          <cell r="F514" t="str">
            <v>0005</v>
          </cell>
          <cell r="G514" t="str">
            <v>1020103</v>
          </cell>
          <cell r="H514" t="str">
            <v>支现金</v>
          </cell>
          <cell r="I514" t="b">
            <v>0</v>
          </cell>
          <cell r="J514">
            <v>1000000</v>
          </cell>
          <cell r="K514">
            <v>0</v>
          </cell>
          <cell r="L514">
            <v>0</v>
          </cell>
        </row>
        <row r="515">
          <cell r="A515" t="str">
            <v>09</v>
          </cell>
          <cell r="B515" t="str">
            <v>15</v>
          </cell>
          <cell r="C515" t="str">
            <v>09</v>
          </cell>
          <cell r="D515" t="str">
            <v>4</v>
          </cell>
          <cell r="E515" t="str">
            <v>0019</v>
          </cell>
          <cell r="F515" t="str">
            <v>0004</v>
          </cell>
          <cell r="G515" t="str">
            <v>1020103</v>
          </cell>
          <cell r="H515" t="str">
            <v>购材料</v>
          </cell>
          <cell r="I515" t="b">
            <v>0</v>
          </cell>
          <cell r="J515">
            <v>38497.120000000003</v>
          </cell>
          <cell r="K515">
            <v>0</v>
          </cell>
          <cell r="L515">
            <v>0</v>
          </cell>
        </row>
        <row r="516">
          <cell r="A516" t="str">
            <v>09</v>
          </cell>
          <cell r="B516" t="str">
            <v>15</v>
          </cell>
          <cell r="C516" t="str">
            <v>09</v>
          </cell>
          <cell r="D516" t="str">
            <v>4</v>
          </cell>
          <cell r="E516" t="str">
            <v>0020</v>
          </cell>
          <cell r="F516" t="str">
            <v>0005</v>
          </cell>
          <cell r="G516" t="str">
            <v>1020103</v>
          </cell>
          <cell r="H516" t="str">
            <v>暂借款</v>
          </cell>
          <cell r="I516" t="b">
            <v>0</v>
          </cell>
          <cell r="J516">
            <v>2000000</v>
          </cell>
          <cell r="K516">
            <v>0</v>
          </cell>
          <cell r="L516">
            <v>0</v>
          </cell>
        </row>
        <row r="517">
          <cell r="A517" t="str">
            <v>09</v>
          </cell>
          <cell r="B517" t="str">
            <v>18</v>
          </cell>
          <cell r="C517" t="str">
            <v>09</v>
          </cell>
          <cell r="D517" t="str">
            <v>4</v>
          </cell>
          <cell r="E517" t="str">
            <v>0021</v>
          </cell>
          <cell r="F517" t="str">
            <v>0003</v>
          </cell>
          <cell r="G517" t="str">
            <v>1020103</v>
          </cell>
          <cell r="H517" t="str">
            <v>付劳动保险费.排污费</v>
          </cell>
          <cell r="I517" t="b">
            <v>0</v>
          </cell>
          <cell r="J517">
            <v>59509.4</v>
          </cell>
          <cell r="K517">
            <v>0</v>
          </cell>
          <cell r="L517">
            <v>0</v>
          </cell>
        </row>
        <row r="518">
          <cell r="A518" t="str">
            <v>09</v>
          </cell>
          <cell r="B518" t="str">
            <v>23</v>
          </cell>
          <cell r="C518" t="str">
            <v>09</v>
          </cell>
          <cell r="D518" t="str">
            <v>4</v>
          </cell>
          <cell r="E518" t="str">
            <v>0023</v>
          </cell>
          <cell r="F518" t="str">
            <v>0001</v>
          </cell>
          <cell r="G518" t="str">
            <v>1020103</v>
          </cell>
          <cell r="H518" t="str">
            <v>转户</v>
          </cell>
          <cell r="I518" t="b">
            <v>1</v>
          </cell>
          <cell r="J518">
            <v>600000</v>
          </cell>
          <cell r="K518">
            <v>0</v>
          </cell>
          <cell r="L518">
            <v>0</v>
          </cell>
        </row>
        <row r="519">
          <cell r="A519" t="str">
            <v>10</v>
          </cell>
          <cell r="B519" t="str">
            <v>01</v>
          </cell>
          <cell r="C519" t="str">
            <v>10</v>
          </cell>
          <cell r="D519" t="str">
            <v>3</v>
          </cell>
          <cell r="E519" t="str">
            <v>0001</v>
          </cell>
          <cell r="F519" t="str">
            <v>0001</v>
          </cell>
          <cell r="G519" t="str">
            <v>1020103</v>
          </cell>
          <cell r="H519" t="str">
            <v>暂借款</v>
          </cell>
          <cell r="I519" t="b">
            <v>1</v>
          </cell>
          <cell r="J519">
            <v>1200000</v>
          </cell>
          <cell r="K519">
            <v>0</v>
          </cell>
          <cell r="L519">
            <v>0</v>
          </cell>
        </row>
        <row r="520">
          <cell r="A520" t="str">
            <v>10</v>
          </cell>
          <cell r="B520" t="str">
            <v>10</v>
          </cell>
          <cell r="C520" t="str">
            <v>10</v>
          </cell>
          <cell r="D520" t="str">
            <v>3</v>
          </cell>
          <cell r="E520" t="str">
            <v>0002</v>
          </cell>
          <cell r="F520" t="str">
            <v>0002</v>
          </cell>
          <cell r="G520" t="str">
            <v>1020103</v>
          </cell>
          <cell r="H520" t="str">
            <v>收存款利息</v>
          </cell>
          <cell r="I520" t="b">
            <v>1</v>
          </cell>
          <cell r="J520">
            <v>2606.83</v>
          </cell>
          <cell r="K520">
            <v>0</v>
          </cell>
          <cell r="L520">
            <v>0</v>
          </cell>
        </row>
        <row r="521">
          <cell r="A521" t="str">
            <v>10</v>
          </cell>
          <cell r="B521" t="str">
            <v>20</v>
          </cell>
          <cell r="C521" t="str">
            <v>10</v>
          </cell>
          <cell r="D521" t="str">
            <v>3</v>
          </cell>
          <cell r="E521" t="str">
            <v>0004</v>
          </cell>
          <cell r="F521" t="str">
            <v>0001</v>
          </cell>
          <cell r="G521" t="str">
            <v>1020103</v>
          </cell>
          <cell r="H521" t="str">
            <v>销山楂浓汁</v>
          </cell>
          <cell r="I521" t="b">
            <v>1</v>
          </cell>
          <cell r="J521">
            <v>33300</v>
          </cell>
          <cell r="K521">
            <v>0</v>
          </cell>
          <cell r="L521">
            <v>0</v>
          </cell>
        </row>
        <row r="522">
          <cell r="A522" t="str">
            <v>10</v>
          </cell>
          <cell r="B522" t="str">
            <v>20</v>
          </cell>
          <cell r="C522" t="str">
            <v>10</v>
          </cell>
          <cell r="D522" t="str">
            <v>3</v>
          </cell>
          <cell r="E522" t="str">
            <v>0007</v>
          </cell>
          <cell r="F522" t="str">
            <v>0001</v>
          </cell>
          <cell r="G522" t="str">
            <v>1020103</v>
          </cell>
          <cell r="H522" t="str">
            <v>收货款</v>
          </cell>
          <cell r="I522" t="b">
            <v>1</v>
          </cell>
          <cell r="J522">
            <v>2130431.98</v>
          </cell>
          <cell r="K522">
            <v>0</v>
          </cell>
          <cell r="L522">
            <v>0</v>
          </cell>
        </row>
        <row r="523">
          <cell r="A523" t="str">
            <v>10</v>
          </cell>
          <cell r="B523" t="str">
            <v>01</v>
          </cell>
          <cell r="C523" t="str">
            <v>10</v>
          </cell>
          <cell r="D523" t="str">
            <v>4</v>
          </cell>
          <cell r="E523" t="str">
            <v>0001</v>
          </cell>
          <cell r="F523" t="str">
            <v>0002</v>
          </cell>
          <cell r="G523" t="str">
            <v>1020103</v>
          </cell>
          <cell r="H523" t="str">
            <v>支现金</v>
          </cell>
          <cell r="I523" t="b">
            <v>0</v>
          </cell>
          <cell r="J523">
            <v>1060000</v>
          </cell>
          <cell r="K523">
            <v>0</v>
          </cell>
          <cell r="L523">
            <v>0</v>
          </cell>
        </row>
        <row r="524">
          <cell r="A524" t="str">
            <v>10</v>
          </cell>
          <cell r="B524" t="str">
            <v>01</v>
          </cell>
          <cell r="C524" t="str">
            <v>10</v>
          </cell>
          <cell r="D524" t="str">
            <v>4</v>
          </cell>
          <cell r="E524" t="str">
            <v>0002</v>
          </cell>
          <cell r="F524" t="str">
            <v>0002</v>
          </cell>
          <cell r="G524" t="str">
            <v>1020103</v>
          </cell>
          <cell r="H524" t="str">
            <v>付利息</v>
          </cell>
          <cell r="I524" t="b">
            <v>0</v>
          </cell>
          <cell r="J524">
            <v>63774.75</v>
          </cell>
          <cell r="K524">
            <v>0</v>
          </cell>
          <cell r="L524">
            <v>0</v>
          </cell>
        </row>
        <row r="525">
          <cell r="A525" t="str">
            <v>10</v>
          </cell>
          <cell r="B525" t="str">
            <v>03</v>
          </cell>
          <cell r="C525" t="str">
            <v>10</v>
          </cell>
          <cell r="D525" t="str">
            <v>4</v>
          </cell>
          <cell r="E525" t="str">
            <v>0006</v>
          </cell>
          <cell r="F525" t="str">
            <v>0003</v>
          </cell>
          <cell r="G525" t="str">
            <v>1020103</v>
          </cell>
          <cell r="H525" t="str">
            <v>付材料运费</v>
          </cell>
          <cell r="I525" t="b">
            <v>0</v>
          </cell>
          <cell r="J525">
            <v>37863.06</v>
          </cell>
          <cell r="K525">
            <v>0</v>
          </cell>
          <cell r="L525">
            <v>0</v>
          </cell>
        </row>
        <row r="526">
          <cell r="A526" t="str">
            <v>10</v>
          </cell>
          <cell r="B526" t="str">
            <v>05</v>
          </cell>
          <cell r="C526" t="str">
            <v>10</v>
          </cell>
          <cell r="D526" t="str">
            <v>4</v>
          </cell>
          <cell r="E526" t="str">
            <v>0007</v>
          </cell>
          <cell r="F526" t="str">
            <v>0005</v>
          </cell>
          <cell r="G526" t="str">
            <v>1020103</v>
          </cell>
          <cell r="H526" t="str">
            <v>付解困资金.教育费附加</v>
          </cell>
          <cell r="I526" t="b">
            <v>0</v>
          </cell>
          <cell r="J526">
            <v>25780.9</v>
          </cell>
          <cell r="K526">
            <v>0</v>
          </cell>
          <cell r="L526">
            <v>0</v>
          </cell>
        </row>
        <row r="527">
          <cell r="A527" t="str">
            <v>10</v>
          </cell>
          <cell r="B527" t="str">
            <v>10</v>
          </cell>
          <cell r="C527" t="str">
            <v>10</v>
          </cell>
          <cell r="D527" t="str">
            <v>4</v>
          </cell>
          <cell r="E527" t="str">
            <v>0011</v>
          </cell>
          <cell r="F527" t="str">
            <v>0003</v>
          </cell>
          <cell r="G527" t="str">
            <v>1020103</v>
          </cell>
          <cell r="H527" t="str">
            <v>付排污费.劳动保险费</v>
          </cell>
          <cell r="I527" t="b">
            <v>0</v>
          </cell>
          <cell r="J527">
            <v>64414.400000000001</v>
          </cell>
          <cell r="K527">
            <v>0</v>
          </cell>
          <cell r="L527">
            <v>0</v>
          </cell>
        </row>
        <row r="528">
          <cell r="A528" t="str">
            <v>10</v>
          </cell>
          <cell r="B528" t="str">
            <v>12</v>
          </cell>
          <cell r="C528" t="str">
            <v>10</v>
          </cell>
          <cell r="D528" t="str">
            <v>4</v>
          </cell>
          <cell r="E528" t="str">
            <v>0013</v>
          </cell>
          <cell r="F528" t="str">
            <v>0002</v>
          </cell>
          <cell r="G528" t="str">
            <v>1020103</v>
          </cell>
          <cell r="H528" t="str">
            <v>付手续费</v>
          </cell>
          <cell r="I528" t="b">
            <v>0</v>
          </cell>
          <cell r="J528">
            <v>2700.22</v>
          </cell>
          <cell r="K528">
            <v>0</v>
          </cell>
          <cell r="L528">
            <v>0</v>
          </cell>
        </row>
        <row r="529">
          <cell r="A529" t="str">
            <v>10</v>
          </cell>
          <cell r="B529" t="str">
            <v>17</v>
          </cell>
          <cell r="C529" t="str">
            <v>10</v>
          </cell>
          <cell r="D529" t="str">
            <v>4</v>
          </cell>
          <cell r="E529" t="str">
            <v>0014</v>
          </cell>
          <cell r="F529" t="str">
            <v>0004</v>
          </cell>
          <cell r="G529" t="str">
            <v>1020103</v>
          </cell>
          <cell r="H529" t="str">
            <v>付工程款</v>
          </cell>
          <cell r="I529" t="b">
            <v>0</v>
          </cell>
          <cell r="J529">
            <v>200000</v>
          </cell>
          <cell r="K529">
            <v>0</v>
          </cell>
          <cell r="L529">
            <v>0</v>
          </cell>
        </row>
        <row r="530">
          <cell r="A530" t="str">
            <v>10</v>
          </cell>
          <cell r="B530" t="str">
            <v>18</v>
          </cell>
          <cell r="C530" t="str">
            <v>10</v>
          </cell>
          <cell r="D530" t="str">
            <v>4</v>
          </cell>
          <cell r="E530" t="str">
            <v>0016</v>
          </cell>
          <cell r="F530" t="str">
            <v>0004</v>
          </cell>
          <cell r="G530" t="str">
            <v>1020103</v>
          </cell>
          <cell r="H530" t="str">
            <v>暂借款</v>
          </cell>
          <cell r="I530" t="b">
            <v>0</v>
          </cell>
          <cell r="J530">
            <v>227163.79</v>
          </cell>
          <cell r="K530">
            <v>0</v>
          </cell>
          <cell r="L530">
            <v>0</v>
          </cell>
        </row>
        <row r="531">
          <cell r="A531" t="str">
            <v>10</v>
          </cell>
          <cell r="B531" t="str">
            <v>20</v>
          </cell>
          <cell r="C531" t="str">
            <v>10</v>
          </cell>
          <cell r="D531" t="str">
            <v>4</v>
          </cell>
          <cell r="E531" t="str">
            <v>0018</v>
          </cell>
          <cell r="F531" t="str">
            <v>0004</v>
          </cell>
          <cell r="G531" t="str">
            <v>1020103</v>
          </cell>
          <cell r="H531" t="str">
            <v>暂借款</v>
          </cell>
          <cell r="I531" t="b">
            <v>0</v>
          </cell>
          <cell r="J531">
            <v>2000000</v>
          </cell>
          <cell r="K531">
            <v>0</v>
          </cell>
          <cell r="L531">
            <v>0</v>
          </cell>
        </row>
        <row r="532">
          <cell r="A532" t="str">
            <v>10</v>
          </cell>
          <cell r="B532" t="str">
            <v>21</v>
          </cell>
          <cell r="C532" t="str">
            <v>10</v>
          </cell>
          <cell r="D532" t="str">
            <v>4</v>
          </cell>
          <cell r="E532" t="str">
            <v>0022</v>
          </cell>
          <cell r="F532" t="str">
            <v>0002</v>
          </cell>
          <cell r="G532" t="str">
            <v>1020103</v>
          </cell>
          <cell r="H532" t="str">
            <v>支现金</v>
          </cell>
          <cell r="I532" t="b">
            <v>0</v>
          </cell>
          <cell r="J532">
            <v>200000</v>
          </cell>
          <cell r="K532">
            <v>0</v>
          </cell>
          <cell r="L532">
            <v>0</v>
          </cell>
        </row>
        <row r="533">
          <cell r="A533" t="str">
            <v>10</v>
          </cell>
          <cell r="B533" t="str">
            <v>22</v>
          </cell>
          <cell r="C533" t="str">
            <v>10</v>
          </cell>
          <cell r="D533" t="str">
            <v>4</v>
          </cell>
          <cell r="E533" t="str">
            <v>0025</v>
          </cell>
          <cell r="F533" t="str">
            <v>0011</v>
          </cell>
          <cell r="G533" t="str">
            <v>1020103</v>
          </cell>
          <cell r="H533" t="str">
            <v>付工人工资</v>
          </cell>
          <cell r="I533" t="b">
            <v>0</v>
          </cell>
          <cell r="J533">
            <v>56543</v>
          </cell>
          <cell r="K533">
            <v>0</v>
          </cell>
          <cell r="L533">
            <v>0</v>
          </cell>
        </row>
        <row r="534">
          <cell r="A534" t="str">
            <v>10</v>
          </cell>
          <cell r="B534" t="str">
            <v>22</v>
          </cell>
          <cell r="C534" t="str">
            <v>10</v>
          </cell>
          <cell r="D534" t="str">
            <v>4</v>
          </cell>
          <cell r="E534" t="str">
            <v>0028</v>
          </cell>
          <cell r="F534" t="str">
            <v>0004</v>
          </cell>
          <cell r="G534" t="str">
            <v>1020103</v>
          </cell>
          <cell r="H534" t="str">
            <v>购材料</v>
          </cell>
          <cell r="I534" t="b">
            <v>0</v>
          </cell>
          <cell r="J534">
            <v>25243.53</v>
          </cell>
          <cell r="K534">
            <v>0</v>
          </cell>
          <cell r="L534">
            <v>0</v>
          </cell>
        </row>
        <row r="535">
          <cell r="A535" t="str">
            <v>11</v>
          </cell>
          <cell r="B535" t="str">
            <v>01</v>
          </cell>
          <cell r="C535" t="str">
            <v>11</v>
          </cell>
          <cell r="D535" t="str">
            <v>3</v>
          </cell>
          <cell r="E535" t="str">
            <v>0001</v>
          </cell>
          <cell r="F535" t="str">
            <v>0003</v>
          </cell>
          <cell r="G535" t="str">
            <v>1020103</v>
          </cell>
          <cell r="H535" t="str">
            <v>收预付果渣加工费</v>
          </cell>
          <cell r="I535" t="b">
            <v>1</v>
          </cell>
          <cell r="J535">
            <v>20000</v>
          </cell>
          <cell r="K535">
            <v>0</v>
          </cell>
          <cell r="L535">
            <v>0</v>
          </cell>
        </row>
        <row r="536">
          <cell r="A536" t="str">
            <v>11</v>
          </cell>
          <cell r="B536" t="str">
            <v>03</v>
          </cell>
          <cell r="C536" t="str">
            <v>11</v>
          </cell>
          <cell r="D536" t="str">
            <v>3</v>
          </cell>
          <cell r="E536" t="str">
            <v>0002</v>
          </cell>
          <cell r="F536" t="str">
            <v>0001</v>
          </cell>
          <cell r="G536" t="str">
            <v>1020103</v>
          </cell>
          <cell r="H536" t="str">
            <v>收借款</v>
          </cell>
          <cell r="I536" t="b">
            <v>1</v>
          </cell>
          <cell r="J536">
            <v>100000</v>
          </cell>
          <cell r="K536">
            <v>0</v>
          </cell>
          <cell r="L536">
            <v>0</v>
          </cell>
        </row>
        <row r="537">
          <cell r="A537" t="str">
            <v>11</v>
          </cell>
          <cell r="B537" t="str">
            <v>21</v>
          </cell>
          <cell r="C537" t="str">
            <v>11</v>
          </cell>
          <cell r="D537" t="str">
            <v>3</v>
          </cell>
          <cell r="E537" t="str">
            <v>0004</v>
          </cell>
          <cell r="F537" t="str">
            <v>0001</v>
          </cell>
          <cell r="G537" t="str">
            <v>1020103</v>
          </cell>
          <cell r="H537" t="str">
            <v>暂借款</v>
          </cell>
          <cell r="I537" t="b">
            <v>1</v>
          </cell>
          <cell r="J537">
            <v>2153200</v>
          </cell>
          <cell r="K537">
            <v>0</v>
          </cell>
          <cell r="L537">
            <v>0</v>
          </cell>
        </row>
        <row r="538">
          <cell r="A538" t="str">
            <v>11</v>
          </cell>
          <cell r="B538" t="str">
            <v>21</v>
          </cell>
          <cell r="C538" t="str">
            <v>11</v>
          </cell>
          <cell r="D538" t="str">
            <v>3</v>
          </cell>
          <cell r="E538" t="str">
            <v>0005</v>
          </cell>
          <cell r="F538" t="str">
            <v>0003</v>
          </cell>
          <cell r="G538" t="str">
            <v>1020103</v>
          </cell>
          <cell r="H538" t="str">
            <v>收果渣加工费</v>
          </cell>
          <cell r="I538" t="b">
            <v>1</v>
          </cell>
          <cell r="J538">
            <v>10000</v>
          </cell>
          <cell r="K538">
            <v>0</v>
          </cell>
          <cell r="L538">
            <v>0</v>
          </cell>
        </row>
        <row r="539">
          <cell r="A539" t="str">
            <v>11</v>
          </cell>
          <cell r="B539" t="str">
            <v>24</v>
          </cell>
          <cell r="C539" t="str">
            <v>11</v>
          </cell>
          <cell r="D539" t="str">
            <v>3</v>
          </cell>
          <cell r="E539" t="str">
            <v>0007</v>
          </cell>
          <cell r="F539" t="str">
            <v>0001</v>
          </cell>
          <cell r="G539" t="str">
            <v>1020103</v>
          </cell>
          <cell r="H539" t="str">
            <v>销苹果浓汁</v>
          </cell>
          <cell r="I539" t="b">
            <v>1</v>
          </cell>
          <cell r="J539">
            <v>304150</v>
          </cell>
          <cell r="K539">
            <v>0</v>
          </cell>
          <cell r="L539">
            <v>0</v>
          </cell>
        </row>
        <row r="540">
          <cell r="A540" t="str">
            <v>11</v>
          </cell>
          <cell r="B540" t="str">
            <v>24</v>
          </cell>
          <cell r="C540" t="str">
            <v>11</v>
          </cell>
          <cell r="D540" t="str">
            <v>3</v>
          </cell>
          <cell r="E540" t="str">
            <v>0008</v>
          </cell>
          <cell r="F540" t="str">
            <v>0001</v>
          </cell>
          <cell r="G540" t="str">
            <v>1020103</v>
          </cell>
          <cell r="H540" t="str">
            <v>收货款</v>
          </cell>
          <cell r="I540" t="b">
            <v>1</v>
          </cell>
          <cell r="J540">
            <v>288489.09000000003</v>
          </cell>
          <cell r="K540">
            <v>0</v>
          </cell>
          <cell r="L540">
            <v>0</v>
          </cell>
        </row>
        <row r="541">
          <cell r="A541" t="str">
            <v>11</v>
          </cell>
          <cell r="B541" t="str">
            <v>01</v>
          </cell>
          <cell r="C541" t="str">
            <v>11</v>
          </cell>
          <cell r="D541" t="str">
            <v>4</v>
          </cell>
          <cell r="E541" t="str">
            <v>0001</v>
          </cell>
          <cell r="F541" t="str">
            <v>0002</v>
          </cell>
          <cell r="G541" t="str">
            <v>1020103</v>
          </cell>
          <cell r="H541" t="str">
            <v>支现金</v>
          </cell>
          <cell r="I541" t="b">
            <v>0</v>
          </cell>
          <cell r="J541">
            <v>700000</v>
          </cell>
          <cell r="K541">
            <v>0</v>
          </cell>
          <cell r="L541">
            <v>0</v>
          </cell>
        </row>
        <row r="542">
          <cell r="A542" t="str">
            <v>11</v>
          </cell>
          <cell r="B542" t="str">
            <v>02</v>
          </cell>
          <cell r="C542" t="str">
            <v>11</v>
          </cell>
          <cell r="D542" t="str">
            <v>4</v>
          </cell>
          <cell r="E542" t="str">
            <v>0003</v>
          </cell>
          <cell r="F542" t="str">
            <v>0004</v>
          </cell>
          <cell r="G542" t="str">
            <v>1020103</v>
          </cell>
          <cell r="H542" t="str">
            <v>付结算手续费.利息</v>
          </cell>
          <cell r="I542" t="b">
            <v>0</v>
          </cell>
          <cell r="J542">
            <v>61742.5</v>
          </cell>
          <cell r="K542">
            <v>0</v>
          </cell>
          <cell r="L542">
            <v>0</v>
          </cell>
        </row>
        <row r="543">
          <cell r="A543" t="str">
            <v>11</v>
          </cell>
          <cell r="B543" t="str">
            <v>03</v>
          </cell>
          <cell r="C543" t="str">
            <v>11</v>
          </cell>
          <cell r="D543" t="str">
            <v>4</v>
          </cell>
          <cell r="E543" t="str">
            <v>0004</v>
          </cell>
          <cell r="F543" t="str">
            <v>0005</v>
          </cell>
          <cell r="G543" t="str">
            <v>1020103</v>
          </cell>
          <cell r="H543" t="str">
            <v>付排污费等</v>
          </cell>
          <cell r="I543" t="b">
            <v>0</v>
          </cell>
          <cell r="J543">
            <v>11591</v>
          </cell>
          <cell r="K543">
            <v>0</v>
          </cell>
          <cell r="L543">
            <v>0</v>
          </cell>
        </row>
        <row r="544">
          <cell r="A544" t="str">
            <v>11</v>
          </cell>
          <cell r="B544" t="str">
            <v>10</v>
          </cell>
          <cell r="C544" t="str">
            <v>11</v>
          </cell>
          <cell r="D544" t="str">
            <v>4</v>
          </cell>
          <cell r="E544" t="str">
            <v>0009</v>
          </cell>
          <cell r="F544" t="str">
            <v>0002</v>
          </cell>
          <cell r="G544" t="str">
            <v>1020103</v>
          </cell>
          <cell r="H544" t="str">
            <v>暂借款</v>
          </cell>
          <cell r="I544" t="b">
            <v>0</v>
          </cell>
          <cell r="J544">
            <v>300000</v>
          </cell>
          <cell r="K544">
            <v>0</v>
          </cell>
          <cell r="L544">
            <v>0</v>
          </cell>
        </row>
        <row r="545">
          <cell r="A545" t="str">
            <v>11</v>
          </cell>
          <cell r="B545" t="str">
            <v>15</v>
          </cell>
          <cell r="C545" t="str">
            <v>11</v>
          </cell>
          <cell r="D545" t="str">
            <v>4</v>
          </cell>
          <cell r="E545" t="str">
            <v>0019</v>
          </cell>
          <cell r="F545" t="str">
            <v>0004</v>
          </cell>
          <cell r="G545" t="str">
            <v>1020103</v>
          </cell>
          <cell r="H545" t="str">
            <v>购材料</v>
          </cell>
          <cell r="I545" t="b">
            <v>0</v>
          </cell>
          <cell r="J545">
            <v>77688.52</v>
          </cell>
          <cell r="K545">
            <v>0</v>
          </cell>
          <cell r="L545">
            <v>0</v>
          </cell>
        </row>
        <row r="546">
          <cell r="A546" t="str">
            <v>11</v>
          </cell>
          <cell r="B546" t="str">
            <v>15</v>
          </cell>
          <cell r="C546" t="str">
            <v>11</v>
          </cell>
          <cell r="D546" t="str">
            <v>4</v>
          </cell>
          <cell r="E546" t="str">
            <v>0027</v>
          </cell>
          <cell r="F546" t="str">
            <v>0012</v>
          </cell>
          <cell r="G546" t="str">
            <v>1020103</v>
          </cell>
          <cell r="H546" t="str">
            <v>付本月工人工资</v>
          </cell>
          <cell r="I546" t="b">
            <v>0</v>
          </cell>
          <cell r="J546">
            <v>49383</v>
          </cell>
          <cell r="K546">
            <v>0</v>
          </cell>
          <cell r="L546">
            <v>0</v>
          </cell>
        </row>
        <row r="547">
          <cell r="A547" t="str">
            <v>11</v>
          </cell>
          <cell r="B547" t="str">
            <v>17</v>
          </cell>
          <cell r="C547" t="str">
            <v>11</v>
          </cell>
          <cell r="D547" t="str">
            <v>4</v>
          </cell>
          <cell r="E547" t="str">
            <v>0028</v>
          </cell>
          <cell r="F547" t="str">
            <v>0002</v>
          </cell>
          <cell r="G547" t="str">
            <v>1020103</v>
          </cell>
          <cell r="H547" t="str">
            <v>支现金</v>
          </cell>
          <cell r="I547" t="b">
            <v>0</v>
          </cell>
          <cell r="J547">
            <v>1103000</v>
          </cell>
          <cell r="K547">
            <v>0</v>
          </cell>
          <cell r="L547">
            <v>0</v>
          </cell>
        </row>
        <row r="548">
          <cell r="A548" t="str">
            <v>11</v>
          </cell>
          <cell r="B548" t="str">
            <v>20</v>
          </cell>
          <cell r="C548" t="str">
            <v>11</v>
          </cell>
          <cell r="D548" t="str">
            <v>4</v>
          </cell>
          <cell r="E548" t="str">
            <v>0032</v>
          </cell>
          <cell r="F548" t="str">
            <v>0002</v>
          </cell>
          <cell r="G548" t="str">
            <v>1020103</v>
          </cell>
          <cell r="H548" t="str">
            <v>付劳动保险费</v>
          </cell>
          <cell r="I548" t="b">
            <v>0</v>
          </cell>
          <cell r="J548">
            <v>47978.400000000001</v>
          </cell>
          <cell r="K548">
            <v>0</v>
          </cell>
          <cell r="L548">
            <v>0</v>
          </cell>
        </row>
        <row r="549">
          <cell r="A549" t="str">
            <v>11</v>
          </cell>
          <cell r="B549" t="str">
            <v>23</v>
          </cell>
          <cell r="C549" t="str">
            <v>11</v>
          </cell>
          <cell r="D549" t="str">
            <v>4</v>
          </cell>
          <cell r="E549" t="str">
            <v>0041</v>
          </cell>
          <cell r="F549" t="str">
            <v>0004</v>
          </cell>
          <cell r="G549" t="str">
            <v>1020103</v>
          </cell>
          <cell r="H549" t="str">
            <v>暂借款</v>
          </cell>
          <cell r="I549" t="b">
            <v>0</v>
          </cell>
          <cell r="J549">
            <v>500000</v>
          </cell>
          <cell r="K549">
            <v>0</v>
          </cell>
          <cell r="L549">
            <v>0</v>
          </cell>
        </row>
        <row r="550">
          <cell r="A550" t="str">
            <v>12</v>
          </cell>
          <cell r="B550" t="str">
            <v>22</v>
          </cell>
          <cell r="C550" t="str">
            <v>12</v>
          </cell>
          <cell r="D550" t="str">
            <v>2</v>
          </cell>
          <cell r="E550" t="str">
            <v>0026</v>
          </cell>
          <cell r="F550" t="str">
            <v>0001</v>
          </cell>
          <cell r="G550" t="str">
            <v>1020103</v>
          </cell>
          <cell r="H550" t="str">
            <v>存现金</v>
          </cell>
          <cell r="I550" t="b">
            <v>1</v>
          </cell>
          <cell r="J550">
            <v>100000</v>
          </cell>
          <cell r="K550">
            <v>0</v>
          </cell>
          <cell r="L550">
            <v>0</v>
          </cell>
        </row>
        <row r="551">
          <cell r="A551" t="str">
            <v>12</v>
          </cell>
          <cell r="B551" t="str">
            <v>03</v>
          </cell>
          <cell r="C551" t="str">
            <v>12</v>
          </cell>
          <cell r="D551" t="str">
            <v>3</v>
          </cell>
          <cell r="E551" t="str">
            <v>0002</v>
          </cell>
          <cell r="F551" t="str">
            <v>0002</v>
          </cell>
          <cell r="G551" t="str">
            <v>1020103</v>
          </cell>
          <cell r="H551" t="str">
            <v>暂借款</v>
          </cell>
          <cell r="I551" t="b">
            <v>1</v>
          </cell>
          <cell r="J551">
            <v>600000</v>
          </cell>
          <cell r="K551">
            <v>0</v>
          </cell>
          <cell r="L551">
            <v>0</v>
          </cell>
        </row>
        <row r="552">
          <cell r="A552" t="str">
            <v>12</v>
          </cell>
          <cell r="B552" t="str">
            <v>04</v>
          </cell>
          <cell r="C552" t="str">
            <v>12</v>
          </cell>
          <cell r="D552" t="str">
            <v>3</v>
          </cell>
          <cell r="E552" t="str">
            <v>0003</v>
          </cell>
          <cell r="F552" t="str">
            <v>0001</v>
          </cell>
          <cell r="G552" t="str">
            <v>1020103</v>
          </cell>
          <cell r="H552" t="str">
            <v>收科技项目款</v>
          </cell>
          <cell r="I552" t="b">
            <v>1</v>
          </cell>
          <cell r="J552">
            <v>200000</v>
          </cell>
          <cell r="K552">
            <v>0</v>
          </cell>
          <cell r="L552">
            <v>0</v>
          </cell>
        </row>
        <row r="553">
          <cell r="A553" t="str">
            <v>12</v>
          </cell>
          <cell r="B553" t="str">
            <v>05</v>
          </cell>
          <cell r="C553" t="str">
            <v>12</v>
          </cell>
          <cell r="D553" t="str">
            <v>3</v>
          </cell>
          <cell r="E553" t="str">
            <v>0004</v>
          </cell>
          <cell r="F553" t="str">
            <v>0001</v>
          </cell>
          <cell r="G553" t="str">
            <v>1020103</v>
          </cell>
          <cell r="H553" t="str">
            <v>收浓汁款</v>
          </cell>
          <cell r="I553" t="b">
            <v>1</v>
          </cell>
          <cell r="J553">
            <v>13320</v>
          </cell>
          <cell r="K553">
            <v>0</v>
          </cell>
          <cell r="L553">
            <v>0</v>
          </cell>
        </row>
        <row r="554">
          <cell r="A554" t="str">
            <v>12</v>
          </cell>
          <cell r="B554" t="str">
            <v>15</v>
          </cell>
          <cell r="C554" t="str">
            <v>12</v>
          </cell>
          <cell r="D554" t="str">
            <v>3</v>
          </cell>
          <cell r="E554" t="str">
            <v>0005</v>
          </cell>
          <cell r="F554" t="str">
            <v>0001</v>
          </cell>
          <cell r="G554" t="str">
            <v>1020103</v>
          </cell>
          <cell r="H554" t="str">
            <v>收存款</v>
          </cell>
          <cell r="I554" t="b">
            <v>1</v>
          </cell>
          <cell r="J554">
            <v>3200</v>
          </cell>
          <cell r="K554">
            <v>0</v>
          </cell>
          <cell r="L554">
            <v>0</v>
          </cell>
        </row>
        <row r="555">
          <cell r="A555" t="str">
            <v>12</v>
          </cell>
          <cell r="B555" t="str">
            <v>22</v>
          </cell>
          <cell r="C555" t="str">
            <v>12</v>
          </cell>
          <cell r="D555" t="str">
            <v>3</v>
          </cell>
          <cell r="E555" t="str">
            <v>0015</v>
          </cell>
          <cell r="F555" t="str">
            <v>0001</v>
          </cell>
          <cell r="G555" t="str">
            <v>1020103</v>
          </cell>
          <cell r="H555" t="str">
            <v>收存款利息</v>
          </cell>
          <cell r="I555" t="b">
            <v>1</v>
          </cell>
          <cell r="J555">
            <v>2049.09</v>
          </cell>
          <cell r="K555">
            <v>0</v>
          </cell>
          <cell r="L555">
            <v>0</v>
          </cell>
        </row>
        <row r="556">
          <cell r="A556" t="str">
            <v>12</v>
          </cell>
          <cell r="B556" t="str">
            <v>25</v>
          </cell>
          <cell r="C556" t="str">
            <v>12</v>
          </cell>
          <cell r="D556" t="str">
            <v>3</v>
          </cell>
          <cell r="E556" t="str">
            <v>0016</v>
          </cell>
          <cell r="F556" t="str">
            <v>0003</v>
          </cell>
          <cell r="G556" t="str">
            <v>1020103</v>
          </cell>
          <cell r="H556" t="str">
            <v>收加工费</v>
          </cell>
          <cell r="I556" t="b">
            <v>1</v>
          </cell>
          <cell r="J556">
            <v>6719.75</v>
          </cell>
          <cell r="K556">
            <v>0</v>
          </cell>
          <cell r="L556">
            <v>0</v>
          </cell>
        </row>
        <row r="557">
          <cell r="A557" t="str">
            <v>12</v>
          </cell>
          <cell r="B557" t="str">
            <v>25</v>
          </cell>
          <cell r="C557" t="str">
            <v>12</v>
          </cell>
          <cell r="D557" t="str">
            <v>3</v>
          </cell>
          <cell r="E557" t="str">
            <v>0017</v>
          </cell>
          <cell r="F557" t="str">
            <v>0001</v>
          </cell>
          <cell r="G557" t="str">
            <v>1020103</v>
          </cell>
          <cell r="H557" t="str">
            <v>收保险公司赔款</v>
          </cell>
          <cell r="I557" t="b">
            <v>1</v>
          </cell>
          <cell r="J557">
            <v>9054</v>
          </cell>
          <cell r="K557">
            <v>0</v>
          </cell>
          <cell r="L557">
            <v>0</v>
          </cell>
        </row>
        <row r="558">
          <cell r="A558" t="str">
            <v>12</v>
          </cell>
          <cell r="B558" t="str">
            <v>25</v>
          </cell>
          <cell r="C558" t="str">
            <v>12</v>
          </cell>
          <cell r="D558" t="str">
            <v>3</v>
          </cell>
          <cell r="E558" t="str">
            <v>0019</v>
          </cell>
          <cell r="F558" t="str">
            <v>0001</v>
          </cell>
          <cell r="G558" t="str">
            <v>1020103</v>
          </cell>
          <cell r="H558" t="str">
            <v>收ZLA00040#发票货款</v>
          </cell>
          <cell r="I558" t="b">
            <v>1</v>
          </cell>
          <cell r="J558">
            <v>133798.85</v>
          </cell>
          <cell r="K558">
            <v>0</v>
          </cell>
          <cell r="L558">
            <v>0</v>
          </cell>
        </row>
        <row r="559">
          <cell r="A559" t="str">
            <v>12</v>
          </cell>
          <cell r="B559" t="str">
            <v>01</v>
          </cell>
          <cell r="C559" t="str">
            <v>12</v>
          </cell>
          <cell r="D559" t="str">
            <v>4</v>
          </cell>
          <cell r="E559" t="str">
            <v>0002</v>
          </cell>
          <cell r="F559" t="str">
            <v>0003</v>
          </cell>
          <cell r="G559" t="str">
            <v>1020103</v>
          </cell>
          <cell r="H559" t="str">
            <v>转户</v>
          </cell>
          <cell r="I559" t="b">
            <v>1</v>
          </cell>
          <cell r="J559">
            <v>1000000</v>
          </cell>
          <cell r="K559">
            <v>0</v>
          </cell>
          <cell r="L559">
            <v>0</v>
          </cell>
        </row>
        <row r="560">
          <cell r="A560" t="str">
            <v>12</v>
          </cell>
          <cell r="B560" t="str">
            <v>04</v>
          </cell>
          <cell r="C560" t="str">
            <v>12</v>
          </cell>
          <cell r="D560" t="str">
            <v>4</v>
          </cell>
          <cell r="E560" t="str">
            <v>0004</v>
          </cell>
          <cell r="F560" t="str">
            <v>0002</v>
          </cell>
          <cell r="G560" t="str">
            <v>1020103</v>
          </cell>
          <cell r="H560" t="str">
            <v>支现金</v>
          </cell>
          <cell r="I560" t="b">
            <v>0</v>
          </cell>
          <cell r="J560">
            <v>700000</v>
          </cell>
          <cell r="K560">
            <v>0</v>
          </cell>
          <cell r="L560">
            <v>0</v>
          </cell>
        </row>
        <row r="561">
          <cell r="A561" t="str">
            <v>12</v>
          </cell>
          <cell r="B561" t="str">
            <v>07</v>
          </cell>
          <cell r="C561" t="str">
            <v>12</v>
          </cell>
          <cell r="D561" t="str">
            <v>4</v>
          </cell>
          <cell r="E561" t="str">
            <v>0006</v>
          </cell>
          <cell r="F561" t="str">
            <v>0002</v>
          </cell>
          <cell r="G561" t="str">
            <v>1020103</v>
          </cell>
          <cell r="H561" t="str">
            <v>支现金</v>
          </cell>
          <cell r="I561" t="b">
            <v>0</v>
          </cell>
          <cell r="J561">
            <v>550000</v>
          </cell>
          <cell r="K561">
            <v>0</v>
          </cell>
          <cell r="L561">
            <v>0</v>
          </cell>
        </row>
        <row r="562">
          <cell r="A562" t="str">
            <v>12</v>
          </cell>
          <cell r="B562" t="str">
            <v>08</v>
          </cell>
          <cell r="C562" t="str">
            <v>12</v>
          </cell>
          <cell r="D562" t="str">
            <v>4</v>
          </cell>
          <cell r="E562" t="str">
            <v>0009</v>
          </cell>
          <cell r="F562" t="str">
            <v>0001</v>
          </cell>
          <cell r="G562" t="str">
            <v>1020103</v>
          </cell>
          <cell r="H562" t="str">
            <v>转户</v>
          </cell>
          <cell r="I562" t="b">
            <v>1</v>
          </cell>
          <cell r="J562">
            <v>600000</v>
          </cell>
          <cell r="K562">
            <v>0</v>
          </cell>
          <cell r="L562">
            <v>0</v>
          </cell>
        </row>
        <row r="563">
          <cell r="A563" t="str">
            <v>12</v>
          </cell>
          <cell r="B563" t="str">
            <v>08</v>
          </cell>
          <cell r="C563" t="str">
            <v>12</v>
          </cell>
          <cell r="D563" t="str">
            <v>4</v>
          </cell>
          <cell r="E563" t="str">
            <v>0011</v>
          </cell>
          <cell r="F563" t="str">
            <v>0003</v>
          </cell>
          <cell r="G563" t="str">
            <v>1020103</v>
          </cell>
          <cell r="H563" t="str">
            <v>暂借款</v>
          </cell>
          <cell r="I563" t="b">
            <v>0</v>
          </cell>
          <cell r="J563">
            <v>764346.29</v>
          </cell>
          <cell r="K563">
            <v>0</v>
          </cell>
          <cell r="L563">
            <v>0</v>
          </cell>
        </row>
        <row r="564">
          <cell r="A564" t="str">
            <v>12</v>
          </cell>
          <cell r="B564" t="str">
            <v>08</v>
          </cell>
          <cell r="C564" t="str">
            <v>12</v>
          </cell>
          <cell r="D564" t="str">
            <v>4</v>
          </cell>
          <cell r="E564" t="str">
            <v>0012</v>
          </cell>
          <cell r="F564" t="str">
            <v>0005</v>
          </cell>
          <cell r="G564" t="str">
            <v>1020103</v>
          </cell>
          <cell r="H564" t="str">
            <v>付科技培训费.收视费</v>
          </cell>
          <cell r="I564" t="b">
            <v>0</v>
          </cell>
          <cell r="J564">
            <v>6070.5</v>
          </cell>
          <cell r="K564">
            <v>0</v>
          </cell>
          <cell r="L564">
            <v>0</v>
          </cell>
        </row>
        <row r="565">
          <cell r="A565" t="str">
            <v>12</v>
          </cell>
          <cell r="B565" t="str">
            <v>08</v>
          </cell>
          <cell r="C565" t="str">
            <v>12</v>
          </cell>
          <cell r="D565" t="str">
            <v>4</v>
          </cell>
          <cell r="E565" t="str">
            <v>0015</v>
          </cell>
          <cell r="F565" t="str">
            <v>0004</v>
          </cell>
          <cell r="G565" t="str">
            <v>1020103</v>
          </cell>
          <cell r="H565" t="str">
            <v>付科技培训费</v>
          </cell>
          <cell r="I565" t="b">
            <v>0</v>
          </cell>
          <cell r="J565">
            <v>50000</v>
          </cell>
          <cell r="K565">
            <v>0</v>
          </cell>
          <cell r="L565">
            <v>0</v>
          </cell>
        </row>
        <row r="566">
          <cell r="A566" t="str">
            <v>12</v>
          </cell>
          <cell r="B566" t="str">
            <v>11</v>
          </cell>
          <cell r="C566" t="str">
            <v>12</v>
          </cell>
          <cell r="D566" t="str">
            <v>4</v>
          </cell>
          <cell r="E566" t="str">
            <v>0022</v>
          </cell>
          <cell r="F566" t="str">
            <v>0003</v>
          </cell>
          <cell r="G566" t="str">
            <v>1020103</v>
          </cell>
          <cell r="H566" t="str">
            <v>付利息</v>
          </cell>
          <cell r="I566" t="b">
            <v>0</v>
          </cell>
          <cell r="J566">
            <v>63774.75</v>
          </cell>
          <cell r="K566">
            <v>0</v>
          </cell>
          <cell r="L566">
            <v>0</v>
          </cell>
        </row>
        <row r="567">
          <cell r="A567" t="str">
            <v>12</v>
          </cell>
          <cell r="B567" t="str">
            <v>15</v>
          </cell>
          <cell r="C567" t="str">
            <v>12</v>
          </cell>
          <cell r="D567" t="str">
            <v>4</v>
          </cell>
          <cell r="E567" t="str">
            <v>0024</v>
          </cell>
          <cell r="F567" t="str">
            <v>0004</v>
          </cell>
          <cell r="G567" t="str">
            <v>1020103</v>
          </cell>
          <cell r="H567" t="str">
            <v>付劳动保险费.排污费</v>
          </cell>
          <cell r="I567" t="b">
            <v>0</v>
          </cell>
          <cell r="J567">
            <v>65959.8</v>
          </cell>
          <cell r="K567">
            <v>0</v>
          </cell>
          <cell r="L567">
            <v>0</v>
          </cell>
        </row>
        <row r="568">
          <cell r="A568" t="str">
            <v>12</v>
          </cell>
          <cell r="B568" t="str">
            <v>19</v>
          </cell>
          <cell r="C568" t="str">
            <v>12</v>
          </cell>
          <cell r="D568" t="str">
            <v>4</v>
          </cell>
          <cell r="E568" t="str">
            <v>0025</v>
          </cell>
          <cell r="F568" t="str">
            <v>0003</v>
          </cell>
          <cell r="G568" t="str">
            <v>1020103</v>
          </cell>
          <cell r="H568" t="str">
            <v>付手续费及利息</v>
          </cell>
          <cell r="I568" t="b">
            <v>0</v>
          </cell>
          <cell r="J568">
            <v>167136.67000000001</v>
          </cell>
          <cell r="K568">
            <v>0</v>
          </cell>
          <cell r="L568">
            <v>0</v>
          </cell>
        </row>
        <row r="569">
          <cell r="A569" t="str">
            <v>12</v>
          </cell>
          <cell r="B569" t="str">
            <v>19</v>
          </cell>
          <cell r="C569" t="str">
            <v>12</v>
          </cell>
          <cell r="D569" t="str">
            <v>4</v>
          </cell>
          <cell r="E569" t="str">
            <v>0027</v>
          </cell>
          <cell r="F569" t="str">
            <v>0001</v>
          </cell>
          <cell r="G569" t="str">
            <v>1020103</v>
          </cell>
          <cell r="H569" t="str">
            <v>转户</v>
          </cell>
          <cell r="I569" t="b">
            <v>1</v>
          </cell>
          <cell r="J569">
            <v>1800000</v>
          </cell>
          <cell r="K569">
            <v>0</v>
          </cell>
          <cell r="L569">
            <v>0</v>
          </cell>
        </row>
        <row r="570">
          <cell r="A570" t="str">
            <v>12</v>
          </cell>
          <cell r="B570" t="str">
            <v>19</v>
          </cell>
          <cell r="C570" t="str">
            <v>12</v>
          </cell>
          <cell r="D570" t="str">
            <v>4</v>
          </cell>
          <cell r="E570" t="str">
            <v>0027</v>
          </cell>
          <cell r="F570" t="str">
            <v>0003</v>
          </cell>
          <cell r="G570" t="str">
            <v>1020103</v>
          </cell>
          <cell r="H570" t="str">
            <v>转户</v>
          </cell>
          <cell r="I570" t="b">
            <v>1</v>
          </cell>
          <cell r="J570">
            <v>1000000</v>
          </cell>
          <cell r="K570">
            <v>0</v>
          </cell>
          <cell r="L570">
            <v>0</v>
          </cell>
        </row>
        <row r="571">
          <cell r="A571" t="str">
            <v>12</v>
          </cell>
          <cell r="B571" t="str">
            <v>19</v>
          </cell>
          <cell r="C571" t="str">
            <v>12</v>
          </cell>
          <cell r="D571" t="str">
            <v>4</v>
          </cell>
          <cell r="E571" t="str">
            <v>0031</v>
          </cell>
          <cell r="F571" t="str">
            <v>0003</v>
          </cell>
          <cell r="G571" t="str">
            <v>1020103</v>
          </cell>
          <cell r="H571" t="str">
            <v>暂借款</v>
          </cell>
          <cell r="I571" t="b">
            <v>0</v>
          </cell>
          <cell r="J571">
            <v>30000</v>
          </cell>
          <cell r="K571">
            <v>0</v>
          </cell>
          <cell r="L571">
            <v>0</v>
          </cell>
        </row>
        <row r="572">
          <cell r="A572" t="str">
            <v>12</v>
          </cell>
          <cell r="B572" t="str">
            <v>20</v>
          </cell>
          <cell r="C572" t="str">
            <v>12</v>
          </cell>
          <cell r="D572" t="str">
            <v>4</v>
          </cell>
          <cell r="E572" t="str">
            <v>0033</v>
          </cell>
          <cell r="F572" t="str">
            <v>0004</v>
          </cell>
          <cell r="G572" t="str">
            <v>1020103</v>
          </cell>
          <cell r="H572" t="str">
            <v>购材料</v>
          </cell>
          <cell r="I572" t="b">
            <v>0</v>
          </cell>
          <cell r="J572">
            <v>79551.3</v>
          </cell>
          <cell r="K572">
            <v>0</v>
          </cell>
          <cell r="L572">
            <v>0</v>
          </cell>
        </row>
        <row r="573">
          <cell r="A573" t="str">
            <v>12</v>
          </cell>
          <cell r="B573" t="str">
            <v>20</v>
          </cell>
          <cell r="C573" t="str">
            <v>12</v>
          </cell>
          <cell r="D573" t="str">
            <v>4</v>
          </cell>
          <cell r="E573" t="str">
            <v>0038</v>
          </cell>
          <cell r="F573" t="str">
            <v>0002</v>
          </cell>
          <cell r="G573" t="str">
            <v>1020103</v>
          </cell>
          <cell r="H573" t="str">
            <v>付果汁款</v>
          </cell>
          <cell r="I573" t="b">
            <v>0</v>
          </cell>
          <cell r="J573">
            <v>50000</v>
          </cell>
          <cell r="K573">
            <v>0</v>
          </cell>
          <cell r="L573">
            <v>0</v>
          </cell>
        </row>
        <row r="574">
          <cell r="A574" t="str">
            <v>12</v>
          </cell>
          <cell r="B574" t="str">
            <v>21</v>
          </cell>
          <cell r="C574" t="str">
            <v>12</v>
          </cell>
          <cell r="D574" t="str">
            <v>4</v>
          </cell>
          <cell r="E574" t="str">
            <v>0046</v>
          </cell>
          <cell r="F574" t="str">
            <v>0002</v>
          </cell>
          <cell r="G574" t="str">
            <v>1020103</v>
          </cell>
          <cell r="H574" t="str">
            <v>支现金</v>
          </cell>
          <cell r="I574" t="b">
            <v>0</v>
          </cell>
          <cell r="J574">
            <v>2140000</v>
          </cell>
          <cell r="K574">
            <v>0</v>
          </cell>
          <cell r="L574">
            <v>0</v>
          </cell>
        </row>
        <row r="575">
          <cell r="A575" t="str">
            <v>12</v>
          </cell>
          <cell r="B575" t="str">
            <v>23</v>
          </cell>
          <cell r="C575" t="str">
            <v>12</v>
          </cell>
          <cell r="D575" t="str">
            <v>4</v>
          </cell>
          <cell r="E575" t="str">
            <v>0052</v>
          </cell>
          <cell r="F575" t="str">
            <v>0004</v>
          </cell>
          <cell r="G575" t="str">
            <v>1020103</v>
          </cell>
          <cell r="H575" t="str">
            <v>购材料</v>
          </cell>
          <cell r="I575" t="b">
            <v>0</v>
          </cell>
          <cell r="J575">
            <v>55539.19</v>
          </cell>
          <cell r="K575">
            <v>0</v>
          </cell>
          <cell r="L575">
            <v>0</v>
          </cell>
        </row>
        <row r="576">
          <cell r="A576" t="str">
            <v>12</v>
          </cell>
          <cell r="B576" t="str">
            <v>23</v>
          </cell>
          <cell r="C576" t="str">
            <v>12</v>
          </cell>
          <cell r="D576" t="str">
            <v>4</v>
          </cell>
          <cell r="E576" t="str">
            <v>0053</v>
          </cell>
          <cell r="F576" t="str">
            <v>0005</v>
          </cell>
          <cell r="G576" t="str">
            <v>1020103</v>
          </cell>
          <cell r="H576" t="str">
            <v>付水电费</v>
          </cell>
          <cell r="I576" t="b">
            <v>0</v>
          </cell>
          <cell r="J576">
            <v>653562.65</v>
          </cell>
          <cell r="K576">
            <v>0</v>
          </cell>
          <cell r="L576">
            <v>0</v>
          </cell>
        </row>
        <row r="577">
          <cell r="A577" t="str">
            <v>12</v>
          </cell>
          <cell r="B577" t="str">
            <v>25</v>
          </cell>
          <cell r="C577" t="str">
            <v>12</v>
          </cell>
          <cell r="D577" t="str">
            <v>4</v>
          </cell>
          <cell r="E577" t="str">
            <v>0055</v>
          </cell>
          <cell r="F577" t="str">
            <v>0003</v>
          </cell>
          <cell r="G577" t="str">
            <v>1020103</v>
          </cell>
          <cell r="H577" t="str">
            <v>付手续费.利息</v>
          </cell>
          <cell r="I577" t="b">
            <v>0</v>
          </cell>
          <cell r="J577">
            <v>61729.94</v>
          </cell>
          <cell r="K577">
            <v>0</v>
          </cell>
          <cell r="L577">
            <v>0</v>
          </cell>
        </row>
        <row r="578">
          <cell r="A578" t="str">
            <v>12</v>
          </cell>
          <cell r="B578" t="str">
            <v>30</v>
          </cell>
          <cell r="C578" t="str">
            <v>12</v>
          </cell>
          <cell r="D578" t="str">
            <v>4</v>
          </cell>
          <cell r="E578" t="str">
            <v>0059</v>
          </cell>
          <cell r="F578" t="str">
            <v>0003</v>
          </cell>
          <cell r="G578" t="str">
            <v>1020103</v>
          </cell>
          <cell r="H578" t="str">
            <v>付工会经费</v>
          </cell>
          <cell r="I578" t="b">
            <v>0</v>
          </cell>
          <cell r="J578">
            <v>75016.34</v>
          </cell>
          <cell r="K578">
            <v>0</v>
          </cell>
          <cell r="L578">
            <v>0</v>
          </cell>
        </row>
        <row r="579">
          <cell r="A579" t="str">
            <v>02</v>
          </cell>
          <cell r="B579" t="str">
            <v>03</v>
          </cell>
          <cell r="C579" t="str">
            <v>02</v>
          </cell>
          <cell r="D579" t="str">
            <v>3</v>
          </cell>
          <cell r="E579" t="str">
            <v>0002</v>
          </cell>
          <cell r="F579" t="str">
            <v>0002</v>
          </cell>
          <cell r="G579" t="str">
            <v>1020104</v>
          </cell>
          <cell r="H579" t="str">
            <v>存现金</v>
          </cell>
          <cell r="I579" t="b">
            <v>1</v>
          </cell>
          <cell r="J579">
            <v>10000</v>
          </cell>
          <cell r="K579">
            <v>0</v>
          </cell>
          <cell r="L579">
            <v>0</v>
          </cell>
        </row>
        <row r="580">
          <cell r="A580" t="str">
            <v>02</v>
          </cell>
          <cell r="B580" t="str">
            <v>08</v>
          </cell>
          <cell r="C580" t="str">
            <v>02</v>
          </cell>
          <cell r="D580" t="str">
            <v>3</v>
          </cell>
          <cell r="E580" t="str">
            <v>0005</v>
          </cell>
          <cell r="F580" t="str">
            <v>0001</v>
          </cell>
          <cell r="G580" t="str">
            <v>1020104</v>
          </cell>
          <cell r="H580" t="str">
            <v>收存款利息</v>
          </cell>
          <cell r="I580" t="b">
            <v>1</v>
          </cell>
          <cell r="J580">
            <v>9362.0499999999993</v>
          </cell>
          <cell r="K580">
            <v>0</v>
          </cell>
          <cell r="L580">
            <v>0</v>
          </cell>
        </row>
        <row r="581">
          <cell r="A581" t="str">
            <v>02</v>
          </cell>
          <cell r="B581" t="str">
            <v>10</v>
          </cell>
          <cell r="C581" t="str">
            <v>02</v>
          </cell>
          <cell r="D581" t="str">
            <v>3</v>
          </cell>
          <cell r="E581" t="str">
            <v>0007</v>
          </cell>
          <cell r="F581" t="str">
            <v>0001</v>
          </cell>
          <cell r="G581" t="str">
            <v>1020104</v>
          </cell>
          <cell r="H581" t="str">
            <v>收存款</v>
          </cell>
          <cell r="I581" t="b">
            <v>1</v>
          </cell>
          <cell r="J581">
            <v>105131.05</v>
          </cell>
          <cell r="K581">
            <v>0</v>
          </cell>
          <cell r="L581">
            <v>0</v>
          </cell>
        </row>
        <row r="582">
          <cell r="A582" t="str">
            <v>02</v>
          </cell>
          <cell r="B582" t="str">
            <v>20</v>
          </cell>
          <cell r="C582" t="str">
            <v>02</v>
          </cell>
          <cell r="D582" t="str">
            <v>3</v>
          </cell>
          <cell r="E582" t="str">
            <v>0008</v>
          </cell>
          <cell r="F582" t="str">
            <v>0003</v>
          </cell>
          <cell r="G582" t="str">
            <v>1020104</v>
          </cell>
          <cell r="H582" t="str">
            <v>收回借款</v>
          </cell>
          <cell r="I582" t="b">
            <v>1</v>
          </cell>
          <cell r="J582">
            <v>4193437.5</v>
          </cell>
          <cell r="K582">
            <v>0</v>
          </cell>
          <cell r="L582">
            <v>0</v>
          </cell>
        </row>
        <row r="583">
          <cell r="A583" t="str">
            <v>02</v>
          </cell>
          <cell r="B583" t="str">
            <v>20</v>
          </cell>
          <cell r="C583" t="str">
            <v>02</v>
          </cell>
          <cell r="D583" t="str">
            <v>3</v>
          </cell>
          <cell r="E583" t="str">
            <v>0009</v>
          </cell>
          <cell r="F583" t="str">
            <v>0001</v>
          </cell>
          <cell r="G583" t="str">
            <v>1020104</v>
          </cell>
          <cell r="H583" t="str">
            <v>收回借款</v>
          </cell>
          <cell r="I583" t="b">
            <v>1</v>
          </cell>
          <cell r="J583">
            <v>165000</v>
          </cell>
          <cell r="K583">
            <v>0</v>
          </cell>
          <cell r="L583">
            <v>0</v>
          </cell>
        </row>
        <row r="584">
          <cell r="A584" t="str">
            <v>02</v>
          </cell>
          <cell r="B584" t="str">
            <v>20</v>
          </cell>
          <cell r="C584" t="str">
            <v>02</v>
          </cell>
          <cell r="D584" t="str">
            <v>3</v>
          </cell>
          <cell r="E584" t="str">
            <v>0010</v>
          </cell>
          <cell r="F584" t="str">
            <v>0001</v>
          </cell>
          <cell r="G584" t="str">
            <v>1020104</v>
          </cell>
          <cell r="H584" t="str">
            <v>收FVE9955#发票货款USD42976.88</v>
          </cell>
          <cell r="I584" t="b">
            <v>1</v>
          </cell>
          <cell r="J584">
            <v>355234</v>
          </cell>
          <cell r="K584">
            <v>0</v>
          </cell>
          <cell r="L584">
            <v>0</v>
          </cell>
        </row>
        <row r="585">
          <cell r="A585" t="str">
            <v>02</v>
          </cell>
          <cell r="B585" t="str">
            <v>20</v>
          </cell>
          <cell r="C585" t="str">
            <v>02</v>
          </cell>
          <cell r="D585" t="str">
            <v>3</v>
          </cell>
          <cell r="E585" t="str">
            <v>0011</v>
          </cell>
          <cell r="F585" t="str">
            <v>0001</v>
          </cell>
          <cell r="G585" t="str">
            <v>1020104</v>
          </cell>
          <cell r="H585" t="str">
            <v>收货款</v>
          </cell>
          <cell r="I585" t="b">
            <v>1</v>
          </cell>
          <cell r="J585">
            <v>2563820.2400000002</v>
          </cell>
          <cell r="K585">
            <v>0</v>
          </cell>
          <cell r="L585">
            <v>0</v>
          </cell>
        </row>
        <row r="586">
          <cell r="A586" t="str">
            <v>02</v>
          </cell>
          <cell r="B586" t="str">
            <v>21</v>
          </cell>
          <cell r="C586" t="str">
            <v>02</v>
          </cell>
          <cell r="D586" t="str">
            <v>3</v>
          </cell>
          <cell r="E586" t="str">
            <v>0012</v>
          </cell>
          <cell r="F586" t="str">
            <v>0001</v>
          </cell>
          <cell r="G586" t="str">
            <v>1020104</v>
          </cell>
          <cell r="H586" t="str">
            <v>收货款</v>
          </cell>
          <cell r="I586" t="b">
            <v>1</v>
          </cell>
          <cell r="J586">
            <v>4226915.0199999996</v>
          </cell>
          <cell r="K586">
            <v>0</v>
          </cell>
          <cell r="L586">
            <v>0</v>
          </cell>
        </row>
        <row r="587">
          <cell r="A587" t="str">
            <v>02</v>
          </cell>
          <cell r="B587" t="str">
            <v>25</v>
          </cell>
          <cell r="C587" t="str">
            <v>02</v>
          </cell>
          <cell r="D587" t="str">
            <v>3</v>
          </cell>
          <cell r="E587" t="str">
            <v>0013</v>
          </cell>
          <cell r="F587" t="str">
            <v>0001</v>
          </cell>
          <cell r="G587" t="str">
            <v>1020104</v>
          </cell>
          <cell r="H587" t="str">
            <v>收货款</v>
          </cell>
          <cell r="I587" t="b">
            <v>1</v>
          </cell>
          <cell r="J587">
            <v>3827111.6</v>
          </cell>
          <cell r="K587">
            <v>0</v>
          </cell>
          <cell r="L587">
            <v>0</v>
          </cell>
        </row>
        <row r="588">
          <cell r="A588" t="str">
            <v>02</v>
          </cell>
          <cell r="B588" t="str">
            <v>25</v>
          </cell>
          <cell r="C588" t="str">
            <v>02</v>
          </cell>
          <cell r="D588" t="str">
            <v>3</v>
          </cell>
          <cell r="E588" t="str">
            <v>0014</v>
          </cell>
          <cell r="F588" t="str">
            <v>0001</v>
          </cell>
          <cell r="G588" t="str">
            <v>1020104</v>
          </cell>
          <cell r="H588" t="str">
            <v>收货款</v>
          </cell>
          <cell r="I588" t="b">
            <v>1</v>
          </cell>
          <cell r="J588">
            <v>3444356.58</v>
          </cell>
          <cell r="K588">
            <v>0</v>
          </cell>
          <cell r="L588">
            <v>0</v>
          </cell>
        </row>
        <row r="589">
          <cell r="A589" t="str">
            <v>02</v>
          </cell>
          <cell r="B589" t="str">
            <v>01</v>
          </cell>
          <cell r="C589" t="str">
            <v>02</v>
          </cell>
          <cell r="D589" t="str">
            <v>4</v>
          </cell>
          <cell r="E589" t="str">
            <v>0002</v>
          </cell>
          <cell r="F589" t="str">
            <v>0004</v>
          </cell>
          <cell r="G589" t="str">
            <v>1020104</v>
          </cell>
          <cell r="H589" t="str">
            <v>转户</v>
          </cell>
          <cell r="I589" t="b">
            <v>0</v>
          </cell>
          <cell r="J589">
            <v>800000</v>
          </cell>
          <cell r="K589">
            <v>0</v>
          </cell>
          <cell r="L589">
            <v>0</v>
          </cell>
        </row>
        <row r="590">
          <cell r="A590" t="str">
            <v>02</v>
          </cell>
          <cell r="B590" t="str">
            <v>02</v>
          </cell>
          <cell r="C590" t="str">
            <v>02</v>
          </cell>
          <cell r="D590" t="str">
            <v>4</v>
          </cell>
          <cell r="E590" t="str">
            <v>0003</v>
          </cell>
          <cell r="F590" t="str">
            <v>0003</v>
          </cell>
          <cell r="G590" t="str">
            <v>1020104</v>
          </cell>
          <cell r="H590" t="str">
            <v>付电机修理费</v>
          </cell>
          <cell r="I590" t="b">
            <v>0</v>
          </cell>
          <cell r="J590">
            <v>7957</v>
          </cell>
          <cell r="K590">
            <v>0</v>
          </cell>
          <cell r="L590">
            <v>0</v>
          </cell>
        </row>
        <row r="591">
          <cell r="A591" t="str">
            <v>02</v>
          </cell>
          <cell r="B591" t="str">
            <v>03</v>
          </cell>
          <cell r="C591" t="str">
            <v>02</v>
          </cell>
          <cell r="D591" t="str">
            <v>4</v>
          </cell>
          <cell r="E591" t="str">
            <v>0004</v>
          </cell>
          <cell r="F591" t="str">
            <v>0005</v>
          </cell>
          <cell r="G591" t="str">
            <v>1020104</v>
          </cell>
          <cell r="H591" t="str">
            <v>付税款</v>
          </cell>
          <cell r="I591" t="b">
            <v>0</v>
          </cell>
          <cell r="J591">
            <v>1000000</v>
          </cell>
          <cell r="K591">
            <v>0</v>
          </cell>
          <cell r="L591">
            <v>0</v>
          </cell>
        </row>
        <row r="592">
          <cell r="A592" t="str">
            <v>02</v>
          </cell>
          <cell r="B592" t="str">
            <v>05</v>
          </cell>
          <cell r="C592" t="str">
            <v>02</v>
          </cell>
          <cell r="D592" t="str">
            <v>4</v>
          </cell>
          <cell r="E592" t="str">
            <v>0006</v>
          </cell>
          <cell r="F592" t="str">
            <v>0005</v>
          </cell>
          <cell r="G592" t="str">
            <v>1020104</v>
          </cell>
          <cell r="H592" t="str">
            <v>暂借款</v>
          </cell>
          <cell r="I592" t="b">
            <v>0</v>
          </cell>
          <cell r="J592">
            <v>3900000</v>
          </cell>
          <cell r="K592">
            <v>0</v>
          </cell>
          <cell r="L592">
            <v>0</v>
          </cell>
        </row>
        <row r="593">
          <cell r="A593" t="str">
            <v>02</v>
          </cell>
          <cell r="B593" t="str">
            <v>06</v>
          </cell>
          <cell r="C593" t="str">
            <v>02</v>
          </cell>
          <cell r="D593" t="str">
            <v>4</v>
          </cell>
          <cell r="E593" t="str">
            <v>0007</v>
          </cell>
          <cell r="F593" t="str">
            <v>0004</v>
          </cell>
          <cell r="G593" t="str">
            <v>1020104</v>
          </cell>
          <cell r="H593" t="str">
            <v>付商检费</v>
          </cell>
          <cell r="I593" t="b">
            <v>0</v>
          </cell>
          <cell r="J593">
            <v>55787</v>
          </cell>
          <cell r="K593">
            <v>0</v>
          </cell>
          <cell r="L593">
            <v>0</v>
          </cell>
        </row>
        <row r="594">
          <cell r="A594" t="str">
            <v>02</v>
          </cell>
          <cell r="B594" t="str">
            <v>08</v>
          </cell>
          <cell r="C594" t="str">
            <v>02</v>
          </cell>
          <cell r="D594" t="str">
            <v>4</v>
          </cell>
          <cell r="E594" t="str">
            <v>0008</v>
          </cell>
          <cell r="F594" t="str">
            <v>0005</v>
          </cell>
          <cell r="G594" t="str">
            <v>1020104</v>
          </cell>
          <cell r="H594" t="str">
            <v>付工程款</v>
          </cell>
          <cell r="I594" t="b">
            <v>0</v>
          </cell>
          <cell r="J594">
            <v>31921.47</v>
          </cell>
          <cell r="K594">
            <v>0</v>
          </cell>
          <cell r="L594">
            <v>0</v>
          </cell>
        </row>
        <row r="595">
          <cell r="A595" t="str">
            <v>02</v>
          </cell>
          <cell r="B595" t="str">
            <v>10</v>
          </cell>
          <cell r="C595" t="str">
            <v>02</v>
          </cell>
          <cell r="D595" t="str">
            <v>4</v>
          </cell>
          <cell r="E595" t="str">
            <v>0010</v>
          </cell>
          <cell r="F595" t="str">
            <v>0002</v>
          </cell>
          <cell r="G595" t="str">
            <v>1020104</v>
          </cell>
          <cell r="H595" t="str">
            <v>转户</v>
          </cell>
          <cell r="I595" t="b">
            <v>0</v>
          </cell>
          <cell r="J595">
            <v>2000000</v>
          </cell>
          <cell r="K595">
            <v>0</v>
          </cell>
          <cell r="L595">
            <v>0</v>
          </cell>
        </row>
        <row r="596">
          <cell r="A596" t="str">
            <v>02</v>
          </cell>
          <cell r="B596" t="str">
            <v>10</v>
          </cell>
          <cell r="C596" t="str">
            <v>02</v>
          </cell>
          <cell r="D596" t="str">
            <v>4</v>
          </cell>
          <cell r="E596" t="str">
            <v>0010</v>
          </cell>
          <cell r="F596" t="str">
            <v>0003</v>
          </cell>
          <cell r="G596" t="str">
            <v>1020104</v>
          </cell>
          <cell r="H596" t="str">
            <v>转户</v>
          </cell>
          <cell r="I596" t="b">
            <v>1</v>
          </cell>
          <cell r="J596">
            <v>20000000</v>
          </cell>
          <cell r="K596">
            <v>0</v>
          </cell>
          <cell r="L596">
            <v>0</v>
          </cell>
        </row>
        <row r="597">
          <cell r="A597" t="str">
            <v>02</v>
          </cell>
          <cell r="B597" t="str">
            <v>10</v>
          </cell>
          <cell r="C597" t="str">
            <v>02</v>
          </cell>
          <cell r="D597" t="str">
            <v>4</v>
          </cell>
          <cell r="E597" t="str">
            <v>0011</v>
          </cell>
          <cell r="F597" t="str">
            <v>0003</v>
          </cell>
          <cell r="G597" t="str">
            <v>1020104</v>
          </cell>
          <cell r="H597" t="str">
            <v>还借款及利息</v>
          </cell>
          <cell r="I597" t="b">
            <v>0</v>
          </cell>
          <cell r="J597">
            <v>739918.7</v>
          </cell>
          <cell r="K597">
            <v>0</v>
          </cell>
          <cell r="L597">
            <v>0</v>
          </cell>
        </row>
        <row r="598">
          <cell r="A598" t="str">
            <v>02</v>
          </cell>
          <cell r="B598" t="str">
            <v>12</v>
          </cell>
          <cell r="C598" t="str">
            <v>02</v>
          </cell>
          <cell r="D598" t="str">
            <v>4</v>
          </cell>
          <cell r="E598" t="str">
            <v>0012</v>
          </cell>
          <cell r="F598" t="str">
            <v>0004</v>
          </cell>
          <cell r="G598" t="str">
            <v>1020104</v>
          </cell>
          <cell r="H598" t="str">
            <v>付住宿费</v>
          </cell>
          <cell r="I598" t="b">
            <v>0</v>
          </cell>
          <cell r="J598">
            <v>8882.66</v>
          </cell>
          <cell r="K598">
            <v>0</v>
          </cell>
          <cell r="L598">
            <v>0</v>
          </cell>
        </row>
        <row r="599">
          <cell r="A599" t="str">
            <v>02</v>
          </cell>
          <cell r="B599" t="str">
            <v>13</v>
          </cell>
          <cell r="C599" t="str">
            <v>02</v>
          </cell>
          <cell r="D599" t="str">
            <v>4</v>
          </cell>
          <cell r="E599" t="str">
            <v>0013</v>
          </cell>
          <cell r="F599" t="str">
            <v>0004</v>
          </cell>
          <cell r="G599" t="str">
            <v>1020104</v>
          </cell>
          <cell r="H599" t="str">
            <v>付邮电费</v>
          </cell>
          <cell r="I599" t="b">
            <v>0</v>
          </cell>
          <cell r="J599">
            <v>2881.26</v>
          </cell>
          <cell r="K599">
            <v>0</v>
          </cell>
          <cell r="L599">
            <v>0</v>
          </cell>
        </row>
        <row r="600">
          <cell r="A600" t="str">
            <v>02</v>
          </cell>
          <cell r="B600" t="str">
            <v>14</v>
          </cell>
          <cell r="C600" t="str">
            <v>02</v>
          </cell>
          <cell r="D600" t="str">
            <v>4</v>
          </cell>
          <cell r="E600" t="str">
            <v>0015</v>
          </cell>
          <cell r="F600" t="str">
            <v>0012</v>
          </cell>
          <cell r="G600" t="str">
            <v>1020104</v>
          </cell>
          <cell r="H600" t="str">
            <v>付1月份工人工资</v>
          </cell>
          <cell r="I600" t="b">
            <v>0</v>
          </cell>
          <cell r="J600">
            <v>214835</v>
          </cell>
          <cell r="K600">
            <v>0</v>
          </cell>
          <cell r="L600">
            <v>0</v>
          </cell>
        </row>
        <row r="601">
          <cell r="A601" t="str">
            <v>02</v>
          </cell>
          <cell r="B601" t="str">
            <v>15</v>
          </cell>
          <cell r="C601" t="str">
            <v>02</v>
          </cell>
          <cell r="D601" t="str">
            <v>4</v>
          </cell>
          <cell r="E601" t="str">
            <v>0016</v>
          </cell>
          <cell r="F601" t="str">
            <v>0004</v>
          </cell>
          <cell r="G601" t="str">
            <v>1020104</v>
          </cell>
          <cell r="H601" t="str">
            <v>付运费</v>
          </cell>
          <cell r="I601" t="b">
            <v>0</v>
          </cell>
          <cell r="J601">
            <v>4079.04</v>
          </cell>
          <cell r="K601">
            <v>0</v>
          </cell>
          <cell r="L601">
            <v>0</v>
          </cell>
        </row>
        <row r="602">
          <cell r="A602" t="str">
            <v>02</v>
          </cell>
          <cell r="B602" t="str">
            <v>15</v>
          </cell>
          <cell r="C602" t="str">
            <v>02</v>
          </cell>
          <cell r="D602" t="str">
            <v>4</v>
          </cell>
          <cell r="E602" t="str">
            <v>0017</v>
          </cell>
          <cell r="F602" t="str">
            <v>0003</v>
          </cell>
          <cell r="G602" t="str">
            <v>1020104</v>
          </cell>
          <cell r="H602" t="str">
            <v>增值税检查调整.付年货款</v>
          </cell>
          <cell r="I602" t="b">
            <v>0</v>
          </cell>
          <cell r="J602">
            <v>89357.78</v>
          </cell>
          <cell r="K602">
            <v>0</v>
          </cell>
          <cell r="L602">
            <v>0</v>
          </cell>
        </row>
        <row r="603">
          <cell r="A603" t="str">
            <v>02</v>
          </cell>
          <cell r="B603" t="str">
            <v>15</v>
          </cell>
          <cell r="C603" t="str">
            <v>02</v>
          </cell>
          <cell r="D603" t="str">
            <v>4</v>
          </cell>
          <cell r="E603" t="str">
            <v>0018</v>
          </cell>
          <cell r="F603" t="str">
            <v>0004</v>
          </cell>
          <cell r="G603" t="str">
            <v>1020104</v>
          </cell>
          <cell r="H603" t="str">
            <v>还借款</v>
          </cell>
          <cell r="I603" t="b">
            <v>0</v>
          </cell>
          <cell r="J603">
            <v>10000000</v>
          </cell>
          <cell r="K603">
            <v>0</v>
          </cell>
          <cell r="L603">
            <v>0</v>
          </cell>
        </row>
        <row r="604">
          <cell r="A604" t="str">
            <v>02</v>
          </cell>
          <cell r="B604" t="str">
            <v>15</v>
          </cell>
          <cell r="C604" t="str">
            <v>02</v>
          </cell>
          <cell r="D604" t="str">
            <v>4</v>
          </cell>
          <cell r="E604" t="str">
            <v>0019</v>
          </cell>
          <cell r="F604" t="str">
            <v>0004</v>
          </cell>
          <cell r="G604" t="str">
            <v>1020104</v>
          </cell>
          <cell r="H604" t="str">
            <v>付工程款等</v>
          </cell>
          <cell r="I604" t="b">
            <v>0</v>
          </cell>
          <cell r="J604">
            <v>8300000</v>
          </cell>
          <cell r="K604">
            <v>0</v>
          </cell>
          <cell r="L604">
            <v>0</v>
          </cell>
        </row>
        <row r="605">
          <cell r="A605" t="str">
            <v>02</v>
          </cell>
          <cell r="B605" t="str">
            <v>18</v>
          </cell>
          <cell r="C605" t="str">
            <v>02</v>
          </cell>
          <cell r="D605" t="str">
            <v>4</v>
          </cell>
          <cell r="E605" t="str">
            <v>0020</v>
          </cell>
          <cell r="F605" t="str">
            <v>0004</v>
          </cell>
          <cell r="G605" t="str">
            <v>1020104</v>
          </cell>
          <cell r="H605" t="str">
            <v>购材料</v>
          </cell>
          <cell r="I605" t="b">
            <v>0</v>
          </cell>
          <cell r="J605">
            <v>134135.1</v>
          </cell>
          <cell r="K605">
            <v>0</v>
          </cell>
          <cell r="L605">
            <v>0</v>
          </cell>
        </row>
        <row r="606">
          <cell r="A606" t="str">
            <v>02</v>
          </cell>
          <cell r="B606" t="str">
            <v>18</v>
          </cell>
          <cell r="C606" t="str">
            <v>02</v>
          </cell>
          <cell r="D606" t="str">
            <v>4</v>
          </cell>
          <cell r="E606" t="str">
            <v>0021</v>
          </cell>
          <cell r="F606" t="str">
            <v>0004</v>
          </cell>
          <cell r="G606" t="str">
            <v>1020104</v>
          </cell>
          <cell r="H606" t="str">
            <v>购材料</v>
          </cell>
          <cell r="I606" t="b">
            <v>0</v>
          </cell>
          <cell r="J606">
            <v>310659.78999999998</v>
          </cell>
          <cell r="K606">
            <v>0</v>
          </cell>
          <cell r="L606">
            <v>0</v>
          </cell>
        </row>
        <row r="607">
          <cell r="A607" t="str">
            <v>02</v>
          </cell>
          <cell r="B607" t="str">
            <v>18</v>
          </cell>
          <cell r="C607" t="str">
            <v>02</v>
          </cell>
          <cell r="D607" t="str">
            <v>4</v>
          </cell>
          <cell r="E607" t="str">
            <v>0022</v>
          </cell>
          <cell r="F607" t="str">
            <v>0010</v>
          </cell>
          <cell r="G607" t="str">
            <v>1020104</v>
          </cell>
          <cell r="H607" t="str">
            <v>付99年12月份215人工人工资</v>
          </cell>
          <cell r="I607" t="b">
            <v>0</v>
          </cell>
          <cell r="J607">
            <v>233617</v>
          </cell>
          <cell r="K607">
            <v>0</v>
          </cell>
          <cell r="L607">
            <v>0</v>
          </cell>
        </row>
        <row r="608">
          <cell r="A608" t="str">
            <v>02</v>
          </cell>
          <cell r="B608" t="str">
            <v>18</v>
          </cell>
          <cell r="C608" t="str">
            <v>02</v>
          </cell>
          <cell r="D608" t="str">
            <v>4</v>
          </cell>
          <cell r="E608" t="str">
            <v>0023</v>
          </cell>
          <cell r="F608" t="str">
            <v>0004</v>
          </cell>
          <cell r="G608" t="str">
            <v>1020104</v>
          </cell>
          <cell r="H608" t="str">
            <v>付运费</v>
          </cell>
          <cell r="I608" t="b">
            <v>0</v>
          </cell>
          <cell r="J608">
            <v>6382.5</v>
          </cell>
          <cell r="K608">
            <v>0</v>
          </cell>
          <cell r="L608">
            <v>0</v>
          </cell>
        </row>
        <row r="609">
          <cell r="A609" t="str">
            <v>02</v>
          </cell>
          <cell r="B609" t="str">
            <v>18</v>
          </cell>
          <cell r="C609" t="str">
            <v>02</v>
          </cell>
          <cell r="D609" t="str">
            <v>4</v>
          </cell>
          <cell r="E609" t="str">
            <v>0024</v>
          </cell>
          <cell r="F609" t="str">
            <v>0004</v>
          </cell>
          <cell r="G609" t="str">
            <v>1020104</v>
          </cell>
          <cell r="H609" t="str">
            <v>付运费</v>
          </cell>
          <cell r="I609" t="b">
            <v>0</v>
          </cell>
          <cell r="J609">
            <v>8632.69</v>
          </cell>
          <cell r="K609">
            <v>0</v>
          </cell>
          <cell r="L609">
            <v>0</v>
          </cell>
        </row>
        <row r="610">
          <cell r="A610" t="str">
            <v>02</v>
          </cell>
          <cell r="B610" t="str">
            <v>19</v>
          </cell>
          <cell r="C610" t="str">
            <v>02</v>
          </cell>
          <cell r="D610" t="str">
            <v>4</v>
          </cell>
          <cell r="E610" t="str">
            <v>0025</v>
          </cell>
          <cell r="F610" t="str">
            <v>0004</v>
          </cell>
          <cell r="G610" t="str">
            <v>1020104</v>
          </cell>
          <cell r="H610" t="str">
            <v>付运费</v>
          </cell>
          <cell r="I610" t="b">
            <v>0</v>
          </cell>
          <cell r="J610">
            <v>8517.6</v>
          </cell>
          <cell r="K610">
            <v>0</v>
          </cell>
          <cell r="L610">
            <v>0</v>
          </cell>
        </row>
        <row r="611">
          <cell r="A611" t="str">
            <v>02</v>
          </cell>
          <cell r="B611" t="str">
            <v>20</v>
          </cell>
          <cell r="C611" t="str">
            <v>02</v>
          </cell>
          <cell r="D611" t="str">
            <v>4</v>
          </cell>
          <cell r="E611" t="str">
            <v>0028</v>
          </cell>
          <cell r="F611" t="str">
            <v>0003</v>
          </cell>
          <cell r="G611" t="str">
            <v>1020104</v>
          </cell>
          <cell r="H611" t="str">
            <v>付FUR9963.9964#发票运杂费</v>
          </cell>
          <cell r="I611" t="b">
            <v>0</v>
          </cell>
          <cell r="J611">
            <v>14495</v>
          </cell>
          <cell r="K611">
            <v>0</v>
          </cell>
          <cell r="L611">
            <v>0</v>
          </cell>
        </row>
        <row r="612">
          <cell r="A612" t="str">
            <v>02</v>
          </cell>
          <cell r="B612" t="str">
            <v>20</v>
          </cell>
          <cell r="C612" t="str">
            <v>02</v>
          </cell>
          <cell r="D612" t="str">
            <v>4</v>
          </cell>
          <cell r="E612" t="str">
            <v>0029</v>
          </cell>
          <cell r="F612" t="str">
            <v>0003</v>
          </cell>
          <cell r="G612" t="str">
            <v>1020104</v>
          </cell>
          <cell r="H612" t="str">
            <v>付运费</v>
          </cell>
          <cell r="I612" t="b">
            <v>0</v>
          </cell>
          <cell r="J612">
            <v>880</v>
          </cell>
          <cell r="K612">
            <v>0</v>
          </cell>
          <cell r="L612">
            <v>0</v>
          </cell>
        </row>
        <row r="613">
          <cell r="A613" t="str">
            <v>02</v>
          </cell>
          <cell r="B613" t="str">
            <v>20</v>
          </cell>
          <cell r="C613" t="str">
            <v>02</v>
          </cell>
          <cell r="D613" t="str">
            <v>4</v>
          </cell>
          <cell r="E613" t="str">
            <v>0030</v>
          </cell>
          <cell r="F613" t="str">
            <v>0004</v>
          </cell>
          <cell r="G613" t="str">
            <v>1020104</v>
          </cell>
          <cell r="H613" t="str">
            <v>暂借款</v>
          </cell>
          <cell r="I613" t="b">
            <v>0</v>
          </cell>
          <cell r="J613">
            <v>10351076.140000001</v>
          </cell>
          <cell r="K613">
            <v>0</v>
          </cell>
          <cell r="L613">
            <v>0</v>
          </cell>
        </row>
        <row r="614">
          <cell r="A614" t="str">
            <v>02</v>
          </cell>
          <cell r="B614" t="str">
            <v>20</v>
          </cell>
          <cell r="C614" t="str">
            <v>02</v>
          </cell>
          <cell r="D614" t="str">
            <v>4</v>
          </cell>
          <cell r="E614" t="str">
            <v>0031</v>
          </cell>
          <cell r="F614" t="str">
            <v>0003</v>
          </cell>
          <cell r="G614" t="str">
            <v>1020104</v>
          </cell>
          <cell r="H614" t="str">
            <v>付果汁广告费.评审费</v>
          </cell>
          <cell r="I614" t="b">
            <v>0</v>
          </cell>
          <cell r="J614">
            <v>267297.94</v>
          </cell>
          <cell r="K614">
            <v>0</v>
          </cell>
          <cell r="L614">
            <v>0</v>
          </cell>
        </row>
        <row r="615">
          <cell r="A615" t="str">
            <v>02</v>
          </cell>
          <cell r="B615" t="str">
            <v>21</v>
          </cell>
          <cell r="C615" t="str">
            <v>02</v>
          </cell>
          <cell r="D615" t="str">
            <v>4</v>
          </cell>
          <cell r="E615" t="str">
            <v>0032</v>
          </cell>
          <cell r="F615" t="str">
            <v>0006</v>
          </cell>
          <cell r="G615" t="str">
            <v>1020104</v>
          </cell>
          <cell r="H615" t="str">
            <v>付办公费.排污费.失业保险金等</v>
          </cell>
          <cell r="I615" t="b">
            <v>0</v>
          </cell>
          <cell r="J615">
            <v>117238</v>
          </cell>
          <cell r="K615">
            <v>0</v>
          </cell>
          <cell r="L615">
            <v>0</v>
          </cell>
        </row>
        <row r="616">
          <cell r="A616" t="str">
            <v>02</v>
          </cell>
          <cell r="B616" t="str">
            <v>22</v>
          </cell>
          <cell r="C616" t="str">
            <v>02</v>
          </cell>
          <cell r="D616" t="str">
            <v>4</v>
          </cell>
          <cell r="E616" t="str">
            <v>0033</v>
          </cell>
          <cell r="F616" t="str">
            <v>0005</v>
          </cell>
          <cell r="G616" t="str">
            <v>1020104</v>
          </cell>
          <cell r="H616" t="str">
            <v>付电费.水费</v>
          </cell>
          <cell r="I616" t="b">
            <v>0</v>
          </cell>
          <cell r="J616">
            <v>201665.75</v>
          </cell>
          <cell r="K616">
            <v>0</v>
          </cell>
          <cell r="L616">
            <v>0</v>
          </cell>
        </row>
        <row r="617">
          <cell r="A617" t="str">
            <v>02</v>
          </cell>
          <cell r="B617" t="str">
            <v>22</v>
          </cell>
          <cell r="C617" t="str">
            <v>02</v>
          </cell>
          <cell r="D617" t="str">
            <v>4</v>
          </cell>
          <cell r="E617" t="str">
            <v>0034</v>
          </cell>
          <cell r="F617" t="str">
            <v>0004</v>
          </cell>
          <cell r="G617" t="str">
            <v>1020104</v>
          </cell>
          <cell r="H617" t="str">
            <v>付运费</v>
          </cell>
          <cell r="I617" t="b">
            <v>0</v>
          </cell>
          <cell r="J617">
            <v>6160</v>
          </cell>
          <cell r="K617">
            <v>0</v>
          </cell>
          <cell r="L617">
            <v>0</v>
          </cell>
        </row>
        <row r="618">
          <cell r="A618" t="str">
            <v>02</v>
          </cell>
          <cell r="B618" t="str">
            <v>22</v>
          </cell>
          <cell r="C618" t="str">
            <v>02</v>
          </cell>
          <cell r="D618" t="str">
            <v>4</v>
          </cell>
          <cell r="E618" t="str">
            <v>0035</v>
          </cell>
          <cell r="F618" t="str">
            <v>0004</v>
          </cell>
          <cell r="G618" t="str">
            <v>1020104</v>
          </cell>
          <cell r="H618" t="str">
            <v>付运费</v>
          </cell>
          <cell r="I618" t="b">
            <v>0</v>
          </cell>
          <cell r="J618">
            <v>18000</v>
          </cell>
          <cell r="K618">
            <v>0</v>
          </cell>
          <cell r="L618">
            <v>0</v>
          </cell>
        </row>
        <row r="619">
          <cell r="A619" t="str">
            <v>02</v>
          </cell>
          <cell r="B619" t="str">
            <v>22</v>
          </cell>
          <cell r="C619" t="str">
            <v>02</v>
          </cell>
          <cell r="D619" t="str">
            <v>4</v>
          </cell>
          <cell r="E619" t="str">
            <v>0036</v>
          </cell>
          <cell r="F619" t="str">
            <v>0004</v>
          </cell>
          <cell r="G619" t="str">
            <v>1020104</v>
          </cell>
          <cell r="H619" t="str">
            <v>付运费</v>
          </cell>
          <cell r="I619" t="b">
            <v>0</v>
          </cell>
          <cell r="J619">
            <v>30000</v>
          </cell>
          <cell r="K619">
            <v>0</v>
          </cell>
          <cell r="L619">
            <v>0</v>
          </cell>
        </row>
        <row r="620">
          <cell r="A620" t="str">
            <v>02</v>
          </cell>
          <cell r="B620" t="str">
            <v>22</v>
          </cell>
          <cell r="C620" t="str">
            <v>02</v>
          </cell>
          <cell r="D620" t="str">
            <v>4</v>
          </cell>
          <cell r="E620" t="str">
            <v>0037</v>
          </cell>
          <cell r="F620" t="str">
            <v>0004</v>
          </cell>
          <cell r="G620" t="str">
            <v>1020104</v>
          </cell>
          <cell r="H620" t="str">
            <v>付运费</v>
          </cell>
          <cell r="I620" t="b">
            <v>0</v>
          </cell>
          <cell r="J620">
            <v>1605</v>
          </cell>
          <cell r="K620">
            <v>0</v>
          </cell>
          <cell r="L620">
            <v>0</v>
          </cell>
        </row>
        <row r="621">
          <cell r="A621" t="str">
            <v>02</v>
          </cell>
          <cell r="B621" t="str">
            <v>22</v>
          </cell>
          <cell r="C621" t="str">
            <v>02</v>
          </cell>
          <cell r="D621" t="str">
            <v>4</v>
          </cell>
          <cell r="E621" t="str">
            <v>0038</v>
          </cell>
          <cell r="F621" t="str">
            <v>0003</v>
          </cell>
          <cell r="G621" t="str">
            <v>1020104</v>
          </cell>
          <cell r="H621" t="str">
            <v>付运费</v>
          </cell>
          <cell r="I621" t="b">
            <v>0</v>
          </cell>
          <cell r="J621">
            <v>8940</v>
          </cell>
          <cell r="K621">
            <v>0</v>
          </cell>
          <cell r="L621">
            <v>0</v>
          </cell>
        </row>
        <row r="622">
          <cell r="A622" t="str">
            <v>02</v>
          </cell>
          <cell r="B622" t="str">
            <v>22</v>
          </cell>
          <cell r="C622" t="str">
            <v>02</v>
          </cell>
          <cell r="D622" t="str">
            <v>4</v>
          </cell>
          <cell r="E622" t="str">
            <v>0039</v>
          </cell>
          <cell r="F622" t="str">
            <v>0004</v>
          </cell>
          <cell r="G622" t="str">
            <v>1020104</v>
          </cell>
          <cell r="H622" t="str">
            <v>付运费</v>
          </cell>
          <cell r="I622" t="b">
            <v>0</v>
          </cell>
          <cell r="J622">
            <v>40937</v>
          </cell>
          <cell r="K622">
            <v>0</v>
          </cell>
          <cell r="L622">
            <v>0</v>
          </cell>
        </row>
        <row r="623">
          <cell r="A623" t="str">
            <v>03</v>
          </cell>
          <cell r="B623" t="str">
            <v>25</v>
          </cell>
          <cell r="C623" t="str">
            <v>03</v>
          </cell>
          <cell r="D623" t="str">
            <v>2</v>
          </cell>
          <cell r="E623" t="str">
            <v>0025</v>
          </cell>
          <cell r="F623" t="str">
            <v>0002</v>
          </cell>
          <cell r="G623" t="str">
            <v>1020104</v>
          </cell>
          <cell r="H623" t="str">
            <v>存现金</v>
          </cell>
          <cell r="I623" t="b">
            <v>1</v>
          </cell>
          <cell r="J623">
            <v>360000</v>
          </cell>
          <cell r="K623">
            <v>0</v>
          </cell>
          <cell r="L623">
            <v>0</v>
          </cell>
        </row>
        <row r="624">
          <cell r="A624" t="str">
            <v>03</v>
          </cell>
          <cell r="B624" t="str">
            <v>05</v>
          </cell>
          <cell r="C624" t="str">
            <v>03</v>
          </cell>
          <cell r="D624" t="str">
            <v>3</v>
          </cell>
          <cell r="E624" t="str">
            <v>0005</v>
          </cell>
          <cell r="F624" t="str">
            <v>0001</v>
          </cell>
          <cell r="G624" t="str">
            <v>1020104</v>
          </cell>
          <cell r="H624" t="str">
            <v>收回借款</v>
          </cell>
          <cell r="I624" t="b">
            <v>1</v>
          </cell>
          <cell r="J624">
            <v>11000000</v>
          </cell>
          <cell r="K624">
            <v>0</v>
          </cell>
          <cell r="L624">
            <v>0</v>
          </cell>
        </row>
        <row r="625">
          <cell r="A625" t="str">
            <v>03</v>
          </cell>
          <cell r="B625" t="str">
            <v>12</v>
          </cell>
          <cell r="C625" t="str">
            <v>03</v>
          </cell>
          <cell r="D625" t="str">
            <v>3</v>
          </cell>
          <cell r="E625" t="str">
            <v>0008</v>
          </cell>
          <cell r="F625" t="str">
            <v>0001</v>
          </cell>
          <cell r="G625" t="str">
            <v>1020104</v>
          </cell>
          <cell r="H625" t="str">
            <v>收回借款</v>
          </cell>
          <cell r="I625" t="b">
            <v>1</v>
          </cell>
          <cell r="J625">
            <v>917003.63</v>
          </cell>
          <cell r="K625">
            <v>0</v>
          </cell>
          <cell r="L625">
            <v>0</v>
          </cell>
        </row>
        <row r="626">
          <cell r="A626" t="str">
            <v>03</v>
          </cell>
          <cell r="B626" t="str">
            <v>15</v>
          </cell>
          <cell r="C626" t="str">
            <v>03</v>
          </cell>
          <cell r="D626" t="str">
            <v>3</v>
          </cell>
          <cell r="E626" t="str">
            <v>0009</v>
          </cell>
          <cell r="F626" t="str">
            <v>0001</v>
          </cell>
          <cell r="G626" t="str">
            <v>1020104</v>
          </cell>
          <cell r="H626" t="str">
            <v>收存款利息</v>
          </cell>
          <cell r="I626" t="b">
            <v>1</v>
          </cell>
          <cell r="J626">
            <v>10403.549999999999</v>
          </cell>
          <cell r="K626">
            <v>0</v>
          </cell>
          <cell r="L626">
            <v>0</v>
          </cell>
        </row>
        <row r="627">
          <cell r="A627" t="str">
            <v>03</v>
          </cell>
          <cell r="B627" t="str">
            <v>16</v>
          </cell>
          <cell r="C627" t="str">
            <v>03</v>
          </cell>
          <cell r="D627" t="str">
            <v>3</v>
          </cell>
          <cell r="E627" t="str">
            <v>0011</v>
          </cell>
          <cell r="F627" t="str">
            <v>0001</v>
          </cell>
          <cell r="G627" t="str">
            <v>1020104</v>
          </cell>
          <cell r="H627" t="str">
            <v>收回货款</v>
          </cell>
          <cell r="I627" t="b">
            <v>1</v>
          </cell>
          <cell r="J627">
            <v>2548575.33</v>
          </cell>
          <cell r="K627">
            <v>0</v>
          </cell>
          <cell r="L627">
            <v>0</v>
          </cell>
        </row>
        <row r="628">
          <cell r="A628" t="str">
            <v>03</v>
          </cell>
          <cell r="B628" t="str">
            <v>17</v>
          </cell>
          <cell r="C628" t="str">
            <v>03</v>
          </cell>
          <cell r="D628" t="str">
            <v>3</v>
          </cell>
          <cell r="E628" t="str">
            <v>0012</v>
          </cell>
          <cell r="F628" t="str">
            <v>0001</v>
          </cell>
          <cell r="G628" t="str">
            <v>1020104</v>
          </cell>
          <cell r="H628" t="str">
            <v>收回货款</v>
          </cell>
          <cell r="I628" t="b">
            <v>1</v>
          </cell>
          <cell r="J628">
            <v>503994.9</v>
          </cell>
          <cell r="K628">
            <v>0</v>
          </cell>
          <cell r="L628">
            <v>0</v>
          </cell>
        </row>
        <row r="629">
          <cell r="A629" t="str">
            <v>03</v>
          </cell>
          <cell r="B629" t="str">
            <v>25</v>
          </cell>
          <cell r="C629" t="str">
            <v>03</v>
          </cell>
          <cell r="D629" t="str">
            <v>3</v>
          </cell>
          <cell r="E629" t="str">
            <v>0015</v>
          </cell>
          <cell r="F629" t="str">
            <v>0001</v>
          </cell>
          <cell r="G629" t="str">
            <v>1020104</v>
          </cell>
          <cell r="H629" t="str">
            <v>收FVE9972#发票货款USD17169.34</v>
          </cell>
          <cell r="I629" t="b">
            <v>1</v>
          </cell>
          <cell r="J629">
            <v>2276948.46</v>
          </cell>
          <cell r="K629">
            <v>0</v>
          </cell>
          <cell r="L629">
            <v>0</v>
          </cell>
        </row>
        <row r="630">
          <cell r="A630" t="str">
            <v>03</v>
          </cell>
          <cell r="B630" t="str">
            <v>03</v>
          </cell>
          <cell r="C630" t="str">
            <v>03</v>
          </cell>
          <cell r="D630" t="str">
            <v>4</v>
          </cell>
          <cell r="E630" t="str">
            <v>0009</v>
          </cell>
          <cell r="F630" t="str">
            <v>0002</v>
          </cell>
          <cell r="G630" t="str">
            <v>1020104</v>
          </cell>
          <cell r="H630" t="str">
            <v>付特快专递费</v>
          </cell>
          <cell r="I630" t="b">
            <v>0</v>
          </cell>
          <cell r="J630">
            <v>12283</v>
          </cell>
          <cell r="K630">
            <v>0</v>
          </cell>
          <cell r="L630">
            <v>0</v>
          </cell>
        </row>
        <row r="631">
          <cell r="A631" t="str">
            <v>03</v>
          </cell>
          <cell r="B631" t="str">
            <v>06</v>
          </cell>
          <cell r="C631" t="str">
            <v>03</v>
          </cell>
          <cell r="D631" t="str">
            <v>4</v>
          </cell>
          <cell r="E631" t="str">
            <v>0010</v>
          </cell>
          <cell r="F631" t="str">
            <v>0003</v>
          </cell>
          <cell r="G631" t="str">
            <v>1020104</v>
          </cell>
          <cell r="H631" t="str">
            <v>转户</v>
          </cell>
          <cell r="I631" t="b">
            <v>0</v>
          </cell>
          <cell r="J631">
            <v>6000000</v>
          </cell>
          <cell r="K631">
            <v>0</v>
          </cell>
          <cell r="L631">
            <v>0</v>
          </cell>
        </row>
        <row r="632">
          <cell r="A632" t="str">
            <v>03</v>
          </cell>
          <cell r="B632" t="str">
            <v>10</v>
          </cell>
          <cell r="C632" t="str">
            <v>03</v>
          </cell>
          <cell r="D632" t="str">
            <v>4</v>
          </cell>
          <cell r="E632" t="str">
            <v>0011</v>
          </cell>
          <cell r="F632" t="str">
            <v>0004</v>
          </cell>
          <cell r="G632" t="str">
            <v>1020104</v>
          </cell>
          <cell r="H632" t="str">
            <v>付银行存款</v>
          </cell>
          <cell r="I632" t="b">
            <v>0</v>
          </cell>
          <cell r="J632">
            <v>214660</v>
          </cell>
          <cell r="K632">
            <v>0</v>
          </cell>
          <cell r="L632">
            <v>0</v>
          </cell>
        </row>
        <row r="633">
          <cell r="A633" t="str">
            <v>03</v>
          </cell>
          <cell r="B633" t="str">
            <v>10</v>
          </cell>
          <cell r="C633" t="str">
            <v>03</v>
          </cell>
          <cell r="D633" t="str">
            <v>4</v>
          </cell>
          <cell r="E633" t="str">
            <v>0012</v>
          </cell>
          <cell r="F633" t="str">
            <v>0004</v>
          </cell>
          <cell r="G633" t="str">
            <v>1020104</v>
          </cell>
          <cell r="H633" t="str">
            <v>付银行存款</v>
          </cell>
          <cell r="I633" t="b">
            <v>0</v>
          </cell>
          <cell r="J633">
            <v>26429.18</v>
          </cell>
          <cell r="K633">
            <v>0</v>
          </cell>
          <cell r="L633">
            <v>0</v>
          </cell>
        </row>
        <row r="634">
          <cell r="A634" t="str">
            <v>03</v>
          </cell>
          <cell r="B634" t="str">
            <v>12</v>
          </cell>
          <cell r="C634" t="str">
            <v>03</v>
          </cell>
          <cell r="D634" t="str">
            <v>4</v>
          </cell>
          <cell r="E634" t="str">
            <v>0013</v>
          </cell>
          <cell r="F634" t="str">
            <v>0003</v>
          </cell>
          <cell r="G634" t="str">
            <v>1020104</v>
          </cell>
          <cell r="H634" t="str">
            <v>付银行存款</v>
          </cell>
          <cell r="I634" t="b">
            <v>0</v>
          </cell>
          <cell r="J634">
            <v>67500</v>
          </cell>
          <cell r="K634">
            <v>0</v>
          </cell>
          <cell r="L634">
            <v>0</v>
          </cell>
        </row>
        <row r="635">
          <cell r="A635" t="str">
            <v>03</v>
          </cell>
          <cell r="B635" t="str">
            <v>12</v>
          </cell>
          <cell r="C635" t="str">
            <v>03</v>
          </cell>
          <cell r="D635" t="str">
            <v>4</v>
          </cell>
          <cell r="E635" t="str">
            <v>0014</v>
          </cell>
          <cell r="F635" t="str">
            <v>0002</v>
          </cell>
          <cell r="G635" t="str">
            <v>1020104</v>
          </cell>
          <cell r="H635" t="str">
            <v>付结算手续费</v>
          </cell>
          <cell r="I635" t="b">
            <v>0</v>
          </cell>
          <cell r="J635">
            <v>135</v>
          </cell>
          <cell r="K635">
            <v>0</v>
          </cell>
          <cell r="L635">
            <v>0</v>
          </cell>
        </row>
        <row r="636">
          <cell r="A636" t="str">
            <v>03</v>
          </cell>
          <cell r="B636" t="str">
            <v>13</v>
          </cell>
          <cell r="C636" t="str">
            <v>03</v>
          </cell>
          <cell r="D636" t="str">
            <v>4</v>
          </cell>
          <cell r="E636" t="str">
            <v>0015</v>
          </cell>
          <cell r="F636" t="str">
            <v>0004</v>
          </cell>
          <cell r="G636" t="str">
            <v>1020104</v>
          </cell>
          <cell r="H636" t="str">
            <v>付银行存款</v>
          </cell>
          <cell r="I636" t="b">
            <v>0</v>
          </cell>
          <cell r="J636">
            <v>200420</v>
          </cell>
          <cell r="K636">
            <v>0</v>
          </cell>
          <cell r="L636">
            <v>0</v>
          </cell>
        </row>
        <row r="637">
          <cell r="A637" t="str">
            <v>03</v>
          </cell>
          <cell r="B637" t="str">
            <v>13</v>
          </cell>
          <cell r="C637" t="str">
            <v>03</v>
          </cell>
          <cell r="D637" t="str">
            <v>4</v>
          </cell>
          <cell r="E637" t="str">
            <v>0016</v>
          </cell>
          <cell r="F637" t="str">
            <v>0004</v>
          </cell>
          <cell r="G637" t="str">
            <v>1020104</v>
          </cell>
          <cell r="H637" t="str">
            <v>付银行存款</v>
          </cell>
          <cell r="I637" t="b">
            <v>0</v>
          </cell>
          <cell r="J637">
            <v>501524.65</v>
          </cell>
          <cell r="K637">
            <v>0</v>
          </cell>
          <cell r="L637">
            <v>0</v>
          </cell>
        </row>
        <row r="638">
          <cell r="A638" t="str">
            <v>03</v>
          </cell>
          <cell r="B638" t="str">
            <v>13</v>
          </cell>
          <cell r="C638" t="str">
            <v>03</v>
          </cell>
          <cell r="D638" t="str">
            <v>4</v>
          </cell>
          <cell r="E638" t="str">
            <v>0017</v>
          </cell>
          <cell r="F638" t="str">
            <v>0004</v>
          </cell>
          <cell r="G638" t="str">
            <v>1020104</v>
          </cell>
          <cell r="H638" t="str">
            <v>付银行存款</v>
          </cell>
          <cell r="I638" t="b">
            <v>0</v>
          </cell>
          <cell r="J638">
            <v>26170</v>
          </cell>
          <cell r="K638">
            <v>0</v>
          </cell>
          <cell r="L638">
            <v>0</v>
          </cell>
        </row>
        <row r="639">
          <cell r="A639" t="str">
            <v>03</v>
          </cell>
          <cell r="B639" t="str">
            <v>14</v>
          </cell>
          <cell r="C639" t="str">
            <v>03</v>
          </cell>
          <cell r="D639" t="str">
            <v>4</v>
          </cell>
          <cell r="E639" t="str">
            <v>0018</v>
          </cell>
          <cell r="F639" t="str">
            <v>0005</v>
          </cell>
          <cell r="G639" t="str">
            <v>1020104</v>
          </cell>
          <cell r="H639" t="str">
            <v>付银行存款</v>
          </cell>
          <cell r="I639" t="b">
            <v>0</v>
          </cell>
          <cell r="J639">
            <v>158860</v>
          </cell>
          <cell r="K639">
            <v>0</v>
          </cell>
          <cell r="L639">
            <v>0</v>
          </cell>
        </row>
        <row r="640">
          <cell r="A640" t="str">
            <v>03</v>
          </cell>
          <cell r="B640" t="str">
            <v>14</v>
          </cell>
          <cell r="C640" t="str">
            <v>03</v>
          </cell>
          <cell r="D640" t="str">
            <v>4</v>
          </cell>
          <cell r="E640" t="str">
            <v>0019</v>
          </cell>
          <cell r="F640" t="str">
            <v>0006</v>
          </cell>
          <cell r="G640" t="str">
            <v>1020104</v>
          </cell>
          <cell r="H640" t="str">
            <v>付银行存款</v>
          </cell>
          <cell r="I640" t="b">
            <v>0</v>
          </cell>
          <cell r="J640">
            <v>16195</v>
          </cell>
          <cell r="K640">
            <v>0</v>
          </cell>
          <cell r="L640">
            <v>0</v>
          </cell>
        </row>
        <row r="641">
          <cell r="A641" t="str">
            <v>03</v>
          </cell>
          <cell r="B641" t="str">
            <v>15</v>
          </cell>
          <cell r="C641" t="str">
            <v>03</v>
          </cell>
          <cell r="D641" t="str">
            <v>4</v>
          </cell>
          <cell r="E641" t="str">
            <v>0020</v>
          </cell>
          <cell r="F641" t="str">
            <v>0004</v>
          </cell>
          <cell r="G641" t="str">
            <v>1020104</v>
          </cell>
          <cell r="H641" t="str">
            <v>付银行存款</v>
          </cell>
          <cell r="I641" t="b">
            <v>0</v>
          </cell>
          <cell r="J641">
            <v>28200</v>
          </cell>
          <cell r="K641">
            <v>0</v>
          </cell>
          <cell r="L641">
            <v>0</v>
          </cell>
        </row>
        <row r="642">
          <cell r="A642" t="str">
            <v>03</v>
          </cell>
          <cell r="B642" t="str">
            <v>16</v>
          </cell>
          <cell r="C642" t="str">
            <v>03</v>
          </cell>
          <cell r="D642" t="str">
            <v>4</v>
          </cell>
          <cell r="E642" t="str">
            <v>0021</v>
          </cell>
          <cell r="F642" t="str">
            <v>0003</v>
          </cell>
          <cell r="G642" t="str">
            <v>1020104</v>
          </cell>
          <cell r="H642" t="str">
            <v>付银行存款</v>
          </cell>
          <cell r="I642" t="b">
            <v>0</v>
          </cell>
          <cell r="J642">
            <v>31893.22</v>
          </cell>
          <cell r="K642">
            <v>0</v>
          </cell>
          <cell r="L642">
            <v>0</v>
          </cell>
        </row>
        <row r="643">
          <cell r="A643" t="str">
            <v>03</v>
          </cell>
          <cell r="B643" t="str">
            <v>16</v>
          </cell>
          <cell r="C643" t="str">
            <v>03</v>
          </cell>
          <cell r="D643" t="str">
            <v>4</v>
          </cell>
          <cell r="E643" t="str">
            <v>0022</v>
          </cell>
          <cell r="F643" t="str">
            <v>0003</v>
          </cell>
          <cell r="G643" t="str">
            <v>1020104</v>
          </cell>
          <cell r="H643" t="str">
            <v>还借款</v>
          </cell>
          <cell r="I643" t="b">
            <v>0</v>
          </cell>
          <cell r="J643">
            <v>10265980</v>
          </cell>
          <cell r="K643">
            <v>0</v>
          </cell>
          <cell r="L643">
            <v>0</v>
          </cell>
        </row>
        <row r="644">
          <cell r="A644" t="str">
            <v>03</v>
          </cell>
          <cell r="B644" t="str">
            <v>18</v>
          </cell>
          <cell r="C644" t="str">
            <v>03</v>
          </cell>
          <cell r="D644" t="str">
            <v>4</v>
          </cell>
          <cell r="E644" t="str">
            <v>0027</v>
          </cell>
          <cell r="F644" t="str">
            <v>0005</v>
          </cell>
          <cell r="G644" t="str">
            <v>1020104</v>
          </cell>
          <cell r="H644" t="str">
            <v>付银行存款</v>
          </cell>
          <cell r="I644" t="b">
            <v>0</v>
          </cell>
          <cell r="J644">
            <v>690984.6</v>
          </cell>
          <cell r="K644">
            <v>0</v>
          </cell>
          <cell r="L644">
            <v>0</v>
          </cell>
        </row>
        <row r="645">
          <cell r="A645" t="str">
            <v>03</v>
          </cell>
          <cell r="B645" t="str">
            <v>20</v>
          </cell>
          <cell r="C645" t="str">
            <v>03</v>
          </cell>
          <cell r="D645" t="str">
            <v>4</v>
          </cell>
          <cell r="E645" t="str">
            <v>0028</v>
          </cell>
          <cell r="F645" t="str">
            <v>0010</v>
          </cell>
          <cell r="G645" t="str">
            <v>1020104</v>
          </cell>
          <cell r="H645" t="str">
            <v>付本月工人工资</v>
          </cell>
          <cell r="I645" t="b">
            <v>0</v>
          </cell>
          <cell r="J645">
            <v>210225</v>
          </cell>
          <cell r="K645">
            <v>0</v>
          </cell>
          <cell r="L645">
            <v>0</v>
          </cell>
        </row>
        <row r="646">
          <cell r="A646" t="str">
            <v>04</v>
          </cell>
          <cell r="B646" t="str">
            <v>10</v>
          </cell>
          <cell r="C646" t="str">
            <v>04</v>
          </cell>
          <cell r="D646" t="str">
            <v>3</v>
          </cell>
          <cell r="E646" t="str">
            <v>0002</v>
          </cell>
          <cell r="F646" t="str">
            <v>0001</v>
          </cell>
          <cell r="G646" t="str">
            <v>1020104</v>
          </cell>
          <cell r="H646" t="str">
            <v>收回借款</v>
          </cell>
          <cell r="I646" t="b">
            <v>1</v>
          </cell>
          <cell r="J646">
            <v>16141968.25</v>
          </cell>
          <cell r="K646">
            <v>0</v>
          </cell>
          <cell r="L646">
            <v>0</v>
          </cell>
        </row>
        <row r="647">
          <cell r="A647" t="str">
            <v>04</v>
          </cell>
          <cell r="B647" t="str">
            <v>26</v>
          </cell>
          <cell r="C647" t="str">
            <v>04</v>
          </cell>
          <cell r="D647" t="str">
            <v>3</v>
          </cell>
          <cell r="E647" t="str">
            <v>0006</v>
          </cell>
          <cell r="F647" t="str">
            <v>0001</v>
          </cell>
          <cell r="G647" t="str">
            <v>1020104</v>
          </cell>
          <cell r="H647" t="str">
            <v>收货款</v>
          </cell>
          <cell r="I647" t="b">
            <v>1</v>
          </cell>
          <cell r="J647">
            <v>3851758.94</v>
          </cell>
          <cell r="K647">
            <v>0</v>
          </cell>
          <cell r="L647">
            <v>0</v>
          </cell>
        </row>
        <row r="648">
          <cell r="A648" t="str">
            <v>04</v>
          </cell>
          <cell r="B648" t="str">
            <v>26</v>
          </cell>
          <cell r="C648" t="str">
            <v>04</v>
          </cell>
          <cell r="D648" t="str">
            <v>3</v>
          </cell>
          <cell r="E648" t="str">
            <v>0007</v>
          </cell>
          <cell r="F648" t="str">
            <v>0001</v>
          </cell>
          <cell r="G648" t="str">
            <v>1020104</v>
          </cell>
          <cell r="H648" t="str">
            <v>收货款</v>
          </cell>
          <cell r="I648" t="b">
            <v>1</v>
          </cell>
          <cell r="J648">
            <v>1812759.53</v>
          </cell>
          <cell r="K648">
            <v>0</v>
          </cell>
          <cell r="L648">
            <v>0</v>
          </cell>
        </row>
        <row r="649">
          <cell r="A649" t="str">
            <v>04</v>
          </cell>
          <cell r="B649" t="str">
            <v>26</v>
          </cell>
          <cell r="C649" t="str">
            <v>04</v>
          </cell>
          <cell r="D649" t="str">
            <v>3</v>
          </cell>
          <cell r="E649" t="str">
            <v>0008</v>
          </cell>
          <cell r="F649" t="str">
            <v>0001</v>
          </cell>
          <cell r="G649" t="str">
            <v>1020104</v>
          </cell>
          <cell r="H649" t="str">
            <v>收货款</v>
          </cell>
          <cell r="I649" t="b">
            <v>1</v>
          </cell>
          <cell r="J649">
            <v>1852168.59</v>
          </cell>
          <cell r="K649">
            <v>0</v>
          </cell>
          <cell r="L649">
            <v>0</v>
          </cell>
        </row>
        <row r="650">
          <cell r="A650" t="str">
            <v>04</v>
          </cell>
          <cell r="B650" t="str">
            <v>01</v>
          </cell>
          <cell r="C650" t="str">
            <v>04</v>
          </cell>
          <cell r="D650" t="str">
            <v>4</v>
          </cell>
          <cell r="E650" t="str">
            <v>0002</v>
          </cell>
          <cell r="F650" t="str">
            <v>0001</v>
          </cell>
          <cell r="G650" t="str">
            <v>1020104</v>
          </cell>
          <cell r="H650" t="str">
            <v>转户</v>
          </cell>
          <cell r="I650" t="b">
            <v>1</v>
          </cell>
          <cell r="J650">
            <v>9000000</v>
          </cell>
          <cell r="K650">
            <v>0</v>
          </cell>
          <cell r="L650">
            <v>0</v>
          </cell>
        </row>
        <row r="651">
          <cell r="A651" t="str">
            <v>04</v>
          </cell>
          <cell r="B651" t="str">
            <v>01</v>
          </cell>
          <cell r="C651" t="str">
            <v>04</v>
          </cell>
          <cell r="D651" t="str">
            <v>4</v>
          </cell>
          <cell r="E651" t="str">
            <v>0002</v>
          </cell>
          <cell r="F651" t="str">
            <v>0004</v>
          </cell>
          <cell r="G651" t="str">
            <v>1020104</v>
          </cell>
          <cell r="H651" t="str">
            <v>还借款</v>
          </cell>
          <cell r="I651" t="b">
            <v>0</v>
          </cell>
          <cell r="J651">
            <v>19500000</v>
          </cell>
          <cell r="K651">
            <v>0</v>
          </cell>
          <cell r="L651">
            <v>0</v>
          </cell>
        </row>
        <row r="652">
          <cell r="A652" t="str">
            <v>04</v>
          </cell>
          <cell r="B652" t="str">
            <v>03</v>
          </cell>
          <cell r="C652" t="str">
            <v>04</v>
          </cell>
          <cell r="D652" t="str">
            <v>4</v>
          </cell>
          <cell r="E652" t="str">
            <v>0004</v>
          </cell>
          <cell r="F652" t="str">
            <v>0003</v>
          </cell>
          <cell r="G652" t="str">
            <v>1020104</v>
          </cell>
          <cell r="H652" t="str">
            <v>付霓虹灯工程款.土地开发费</v>
          </cell>
          <cell r="I652" t="b">
            <v>0</v>
          </cell>
          <cell r="J652">
            <v>450000</v>
          </cell>
          <cell r="K652">
            <v>0</v>
          </cell>
          <cell r="L652">
            <v>0</v>
          </cell>
        </row>
        <row r="653">
          <cell r="A653" t="str">
            <v>04</v>
          </cell>
          <cell r="B653" t="str">
            <v>05</v>
          </cell>
          <cell r="C653" t="str">
            <v>04</v>
          </cell>
          <cell r="D653" t="str">
            <v>4</v>
          </cell>
          <cell r="E653" t="str">
            <v>0005</v>
          </cell>
          <cell r="F653" t="str">
            <v>0002</v>
          </cell>
          <cell r="G653" t="str">
            <v>1020104</v>
          </cell>
          <cell r="H653" t="str">
            <v>付邮电手续费</v>
          </cell>
          <cell r="I653" t="b">
            <v>0</v>
          </cell>
          <cell r="J653">
            <v>1468.93</v>
          </cell>
          <cell r="K653">
            <v>0</v>
          </cell>
          <cell r="L653">
            <v>0</v>
          </cell>
        </row>
        <row r="654">
          <cell r="A654" t="str">
            <v>04</v>
          </cell>
          <cell r="B654" t="str">
            <v>08</v>
          </cell>
          <cell r="C654" t="str">
            <v>04</v>
          </cell>
          <cell r="D654" t="str">
            <v>4</v>
          </cell>
          <cell r="E654" t="str">
            <v>0006</v>
          </cell>
          <cell r="F654" t="str">
            <v>0005</v>
          </cell>
          <cell r="G654" t="str">
            <v>1020104</v>
          </cell>
          <cell r="H654" t="str">
            <v>付货款</v>
          </cell>
          <cell r="I654" t="b">
            <v>0</v>
          </cell>
          <cell r="J654">
            <v>1428000</v>
          </cell>
          <cell r="K654">
            <v>0</v>
          </cell>
          <cell r="L654">
            <v>0</v>
          </cell>
        </row>
        <row r="655">
          <cell r="A655" t="str">
            <v>04</v>
          </cell>
          <cell r="B655" t="str">
            <v>12</v>
          </cell>
          <cell r="C655" t="str">
            <v>04</v>
          </cell>
          <cell r="D655" t="str">
            <v>4</v>
          </cell>
          <cell r="E655" t="str">
            <v>0010</v>
          </cell>
          <cell r="F655" t="str">
            <v>0004</v>
          </cell>
          <cell r="G655" t="str">
            <v>1020104</v>
          </cell>
          <cell r="H655" t="str">
            <v>购材料</v>
          </cell>
          <cell r="I655" t="b">
            <v>0</v>
          </cell>
          <cell r="J655">
            <v>253366.48</v>
          </cell>
          <cell r="K655">
            <v>0</v>
          </cell>
          <cell r="L655">
            <v>0</v>
          </cell>
        </row>
        <row r="656">
          <cell r="A656" t="str">
            <v>04</v>
          </cell>
          <cell r="B656" t="str">
            <v>12</v>
          </cell>
          <cell r="C656" t="str">
            <v>04</v>
          </cell>
          <cell r="D656" t="str">
            <v>4</v>
          </cell>
          <cell r="E656" t="str">
            <v>0011</v>
          </cell>
          <cell r="F656" t="str">
            <v>0003</v>
          </cell>
          <cell r="G656" t="str">
            <v>1020104</v>
          </cell>
          <cell r="H656" t="str">
            <v>付收视费.董事务费.会费</v>
          </cell>
          <cell r="I656" t="b">
            <v>0</v>
          </cell>
          <cell r="J656">
            <v>204682.5</v>
          </cell>
          <cell r="K656">
            <v>0</v>
          </cell>
          <cell r="L656">
            <v>0</v>
          </cell>
        </row>
        <row r="657">
          <cell r="A657" t="str">
            <v>04</v>
          </cell>
          <cell r="B657" t="str">
            <v>15</v>
          </cell>
          <cell r="C657" t="str">
            <v>04</v>
          </cell>
          <cell r="D657" t="str">
            <v>4</v>
          </cell>
          <cell r="E657" t="str">
            <v>0012</v>
          </cell>
          <cell r="F657" t="str">
            <v>0004</v>
          </cell>
          <cell r="G657" t="str">
            <v>1020104</v>
          </cell>
          <cell r="H657" t="str">
            <v>付工程款.设备款</v>
          </cell>
          <cell r="I657" t="b">
            <v>0</v>
          </cell>
          <cell r="J657">
            <v>2010000</v>
          </cell>
          <cell r="K657">
            <v>0</v>
          </cell>
          <cell r="L657">
            <v>0</v>
          </cell>
        </row>
        <row r="658">
          <cell r="A658" t="str">
            <v>04</v>
          </cell>
          <cell r="B658" t="str">
            <v>15</v>
          </cell>
          <cell r="C658" t="str">
            <v>04</v>
          </cell>
          <cell r="D658" t="str">
            <v>4</v>
          </cell>
          <cell r="E658" t="str">
            <v>0014</v>
          </cell>
          <cell r="F658" t="str">
            <v>0003</v>
          </cell>
          <cell r="G658" t="str">
            <v>1020104</v>
          </cell>
          <cell r="H658" t="str">
            <v>付会费.苹果汁反倾销应诉款等</v>
          </cell>
          <cell r="I658" t="b">
            <v>0</v>
          </cell>
          <cell r="J658">
            <v>445000</v>
          </cell>
          <cell r="K658">
            <v>0</v>
          </cell>
          <cell r="L658">
            <v>0</v>
          </cell>
        </row>
        <row r="659">
          <cell r="A659" t="str">
            <v>04</v>
          </cell>
          <cell r="B659" t="str">
            <v>16</v>
          </cell>
          <cell r="C659" t="str">
            <v>04</v>
          </cell>
          <cell r="D659" t="str">
            <v>4</v>
          </cell>
          <cell r="E659" t="str">
            <v>0015</v>
          </cell>
          <cell r="F659" t="str">
            <v>0004</v>
          </cell>
          <cell r="G659" t="str">
            <v>1020104</v>
          </cell>
          <cell r="H659" t="str">
            <v>付运费</v>
          </cell>
          <cell r="I659" t="b">
            <v>0</v>
          </cell>
          <cell r="J659">
            <v>5244</v>
          </cell>
          <cell r="K659">
            <v>0</v>
          </cell>
          <cell r="L659">
            <v>0</v>
          </cell>
        </row>
        <row r="660">
          <cell r="A660" t="str">
            <v>04</v>
          </cell>
          <cell r="B660" t="str">
            <v>16</v>
          </cell>
          <cell r="C660" t="str">
            <v>04</v>
          </cell>
          <cell r="D660" t="str">
            <v>4</v>
          </cell>
          <cell r="E660" t="str">
            <v>0016</v>
          </cell>
          <cell r="F660" t="str">
            <v>0004</v>
          </cell>
          <cell r="G660" t="str">
            <v>1020104</v>
          </cell>
          <cell r="H660" t="str">
            <v>付运费</v>
          </cell>
          <cell r="I660" t="b">
            <v>0</v>
          </cell>
          <cell r="J660">
            <v>20305</v>
          </cell>
          <cell r="K660">
            <v>0</v>
          </cell>
          <cell r="L660">
            <v>0</v>
          </cell>
        </row>
        <row r="661">
          <cell r="A661" t="str">
            <v>04</v>
          </cell>
          <cell r="B661" t="str">
            <v>16</v>
          </cell>
          <cell r="C661" t="str">
            <v>04</v>
          </cell>
          <cell r="D661" t="str">
            <v>4</v>
          </cell>
          <cell r="E661" t="str">
            <v>0017</v>
          </cell>
          <cell r="F661" t="str">
            <v>0005</v>
          </cell>
          <cell r="G661" t="str">
            <v>1020104</v>
          </cell>
          <cell r="H661" t="str">
            <v>付运费</v>
          </cell>
          <cell r="I661" t="b">
            <v>0</v>
          </cell>
          <cell r="J661">
            <v>64200</v>
          </cell>
          <cell r="K661">
            <v>0</v>
          </cell>
          <cell r="L661">
            <v>0</v>
          </cell>
        </row>
        <row r="662">
          <cell r="A662" t="str">
            <v>04</v>
          </cell>
          <cell r="B662" t="str">
            <v>19</v>
          </cell>
          <cell r="C662" t="str">
            <v>04</v>
          </cell>
          <cell r="D662" t="str">
            <v>4</v>
          </cell>
          <cell r="E662" t="str">
            <v>0018</v>
          </cell>
          <cell r="F662" t="str">
            <v>0004</v>
          </cell>
          <cell r="G662" t="str">
            <v>1020104</v>
          </cell>
          <cell r="H662" t="str">
            <v>付运费</v>
          </cell>
          <cell r="I662" t="b">
            <v>0</v>
          </cell>
          <cell r="J662">
            <v>10045</v>
          </cell>
          <cell r="K662">
            <v>0</v>
          </cell>
          <cell r="L662">
            <v>0</v>
          </cell>
        </row>
        <row r="663">
          <cell r="A663" t="str">
            <v>04</v>
          </cell>
          <cell r="B663" t="str">
            <v>19</v>
          </cell>
          <cell r="C663" t="str">
            <v>04</v>
          </cell>
          <cell r="D663" t="str">
            <v>4</v>
          </cell>
          <cell r="E663" t="str">
            <v>0021</v>
          </cell>
          <cell r="F663" t="str">
            <v>0003</v>
          </cell>
          <cell r="G663" t="str">
            <v>1020104</v>
          </cell>
          <cell r="H663" t="str">
            <v>付国投借款手续费及利息</v>
          </cell>
          <cell r="I663" t="b">
            <v>0</v>
          </cell>
          <cell r="J663">
            <v>1327933.33</v>
          </cell>
          <cell r="K663">
            <v>0</v>
          </cell>
          <cell r="L663">
            <v>0</v>
          </cell>
        </row>
        <row r="664">
          <cell r="A664" t="str">
            <v>04</v>
          </cell>
          <cell r="B664" t="str">
            <v>19</v>
          </cell>
          <cell r="C664" t="str">
            <v>04</v>
          </cell>
          <cell r="D664" t="str">
            <v>4</v>
          </cell>
          <cell r="E664" t="str">
            <v>0022</v>
          </cell>
          <cell r="F664" t="str">
            <v>0049</v>
          </cell>
          <cell r="G664" t="str">
            <v>1020104</v>
          </cell>
          <cell r="H664" t="str">
            <v>付本月工人工资</v>
          </cell>
          <cell r="I664" t="b">
            <v>0</v>
          </cell>
          <cell r="J664">
            <v>195151</v>
          </cell>
          <cell r="K664">
            <v>0</v>
          </cell>
          <cell r="L664">
            <v>0</v>
          </cell>
        </row>
        <row r="665">
          <cell r="A665" t="str">
            <v>04</v>
          </cell>
          <cell r="B665" t="str">
            <v>20</v>
          </cell>
          <cell r="C665" t="str">
            <v>04</v>
          </cell>
          <cell r="D665" t="str">
            <v>4</v>
          </cell>
          <cell r="E665" t="str">
            <v>0023</v>
          </cell>
          <cell r="F665" t="str">
            <v>0004</v>
          </cell>
          <cell r="G665" t="str">
            <v>1020104</v>
          </cell>
          <cell r="H665" t="str">
            <v>付运费</v>
          </cell>
          <cell r="I665" t="b">
            <v>0</v>
          </cell>
          <cell r="J665">
            <v>3740</v>
          </cell>
          <cell r="K665">
            <v>0</v>
          </cell>
          <cell r="L665">
            <v>0</v>
          </cell>
        </row>
        <row r="666">
          <cell r="A666" t="str">
            <v>04</v>
          </cell>
          <cell r="B666" t="str">
            <v>20</v>
          </cell>
          <cell r="C666" t="str">
            <v>04</v>
          </cell>
          <cell r="D666" t="str">
            <v>4</v>
          </cell>
          <cell r="E666" t="str">
            <v>0024</v>
          </cell>
          <cell r="F666" t="str">
            <v>0003</v>
          </cell>
          <cell r="G666" t="str">
            <v>1020104</v>
          </cell>
          <cell r="H666" t="str">
            <v>付材料运费</v>
          </cell>
          <cell r="I666" t="b">
            <v>0</v>
          </cell>
          <cell r="J666">
            <v>9240.2999999999993</v>
          </cell>
          <cell r="K666">
            <v>0</v>
          </cell>
          <cell r="L666">
            <v>0</v>
          </cell>
        </row>
        <row r="667">
          <cell r="A667" t="str">
            <v>04</v>
          </cell>
          <cell r="B667" t="str">
            <v>20</v>
          </cell>
          <cell r="C667" t="str">
            <v>04</v>
          </cell>
          <cell r="D667" t="str">
            <v>4</v>
          </cell>
          <cell r="E667" t="str">
            <v>0025</v>
          </cell>
          <cell r="F667" t="str">
            <v>0004</v>
          </cell>
          <cell r="G667" t="str">
            <v>1020104</v>
          </cell>
          <cell r="H667" t="str">
            <v>暂借款</v>
          </cell>
          <cell r="I667" t="b">
            <v>0</v>
          </cell>
          <cell r="J667">
            <v>7000000</v>
          </cell>
          <cell r="K667">
            <v>0</v>
          </cell>
          <cell r="L667">
            <v>0</v>
          </cell>
        </row>
        <row r="668">
          <cell r="A668" t="str">
            <v>04</v>
          </cell>
          <cell r="B668" t="str">
            <v>20</v>
          </cell>
          <cell r="C668" t="str">
            <v>04</v>
          </cell>
          <cell r="D668" t="str">
            <v>4</v>
          </cell>
          <cell r="E668" t="str">
            <v>0026</v>
          </cell>
          <cell r="F668" t="str">
            <v>0007</v>
          </cell>
          <cell r="G668" t="str">
            <v>1020104</v>
          </cell>
          <cell r="H668" t="str">
            <v>交税</v>
          </cell>
          <cell r="I668" t="b">
            <v>0</v>
          </cell>
          <cell r="J668">
            <v>341479.81</v>
          </cell>
          <cell r="K668">
            <v>0</v>
          </cell>
          <cell r="L668">
            <v>0</v>
          </cell>
        </row>
        <row r="669">
          <cell r="A669" t="str">
            <v>04</v>
          </cell>
          <cell r="B669" t="str">
            <v>20</v>
          </cell>
          <cell r="C669" t="str">
            <v>04</v>
          </cell>
          <cell r="D669" t="str">
            <v>4</v>
          </cell>
          <cell r="E669" t="str">
            <v>0028</v>
          </cell>
          <cell r="F669" t="str">
            <v>0002</v>
          </cell>
          <cell r="G669" t="str">
            <v>1020104</v>
          </cell>
          <cell r="H669" t="str">
            <v>付新果汁车间管理费</v>
          </cell>
          <cell r="I669" t="b">
            <v>0</v>
          </cell>
          <cell r="J669">
            <v>129771</v>
          </cell>
          <cell r="K669">
            <v>0</v>
          </cell>
          <cell r="L669">
            <v>0</v>
          </cell>
        </row>
        <row r="670">
          <cell r="A670" t="str">
            <v>04</v>
          </cell>
          <cell r="B670" t="str">
            <v>20</v>
          </cell>
          <cell r="C670" t="str">
            <v>04</v>
          </cell>
          <cell r="D670" t="str">
            <v>4</v>
          </cell>
          <cell r="E670" t="str">
            <v>0029</v>
          </cell>
          <cell r="F670" t="str">
            <v>0002</v>
          </cell>
          <cell r="G670" t="str">
            <v>1020104</v>
          </cell>
          <cell r="H670" t="str">
            <v>付手续费</v>
          </cell>
          <cell r="I670" t="b">
            <v>0</v>
          </cell>
          <cell r="J670">
            <v>73.2</v>
          </cell>
          <cell r="K670">
            <v>0</v>
          </cell>
          <cell r="L670">
            <v>0</v>
          </cell>
        </row>
        <row r="671">
          <cell r="A671" t="str">
            <v>05</v>
          </cell>
          <cell r="B671" t="str">
            <v>05</v>
          </cell>
          <cell r="C671" t="str">
            <v>05</v>
          </cell>
          <cell r="D671" t="str">
            <v>3</v>
          </cell>
          <cell r="E671" t="str">
            <v>0002</v>
          </cell>
          <cell r="F671" t="str">
            <v>0002</v>
          </cell>
          <cell r="G671" t="str">
            <v>1020104</v>
          </cell>
          <cell r="H671" t="str">
            <v>暂借款</v>
          </cell>
          <cell r="I671" t="b">
            <v>1</v>
          </cell>
          <cell r="J671">
            <v>5284127.59</v>
          </cell>
          <cell r="K671">
            <v>0</v>
          </cell>
          <cell r="L671">
            <v>0</v>
          </cell>
        </row>
        <row r="672">
          <cell r="A672" t="str">
            <v>05</v>
          </cell>
          <cell r="B672" t="str">
            <v>22</v>
          </cell>
          <cell r="C672" t="str">
            <v>05</v>
          </cell>
          <cell r="D672" t="str">
            <v>3</v>
          </cell>
          <cell r="E672" t="str">
            <v>0003</v>
          </cell>
          <cell r="F672" t="str">
            <v>0001</v>
          </cell>
          <cell r="G672" t="str">
            <v>1020104</v>
          </cell>
          <cell r="H672" t="str">
            <v>暂借款</v>
          </cell>
          <cell r="I672" t="b">
            <v>1</v>
          </cell>
          <cell r="J672">
            <v>11000000</v>
          </cell>
          <cell r="K672">
            <v>0</v>
          </cell>
          <cell r="L672">
            <v>0</v>
          </cell>
        </row>
        <row r="673">
          <cell r="A673" t="str">
            <v>05</v>
          </cell>
          <cell r="B673" t="str">
            <v>25</v>
          </cell>
          <cell r="C673" t="str">
            <v>05</v>
          </cell>
          <cell r="D673" t="str">
            <v>3</v>
          </cell>
          <cell r="E673" t="str">
            <v>0006</v>
          </cell>
          <cell r="F673" t="str">
            <v>0001</v>
          </cell>
          <cell r="G673" t="str">
            <v>1020104</v>
          </cell>
          <cell r="H673" t="str">
            <v>收货款</v>
          </cell>
          <cell r="I673" t="b">
            <v>1</v>
          </cell>
          <cell r="J673">
            <v>1302389.07</v>
          </cell>
          <cell r="K673">
            <v>0</v>
          </cell>
          <cell r="L673">
            <v>0</v>
          </cell>
        </row>
        <row r="674">
          <cell r="A674" t="str">
            <v>05</v>
          </cell>
          <cell r="B674" t="str">
            <v>25</v>
          </cell>
          <cell r="C674" t="str">
            <v>05</v>
          </cell>
          <cell r="D674" t="str">
            <v>3</v>
          </cell>
          <cell r="E674" t="str">
            <v>0007</v>
          </cell>
          <cell r="F674" t="str">
            <v>0001</v>
          </cell>
          <cell r="G674" t="str">
            <v>1020104</v>
          </cell>
          <cell r="H674" t="str">
            <v>收FVE9959#发票货款</v>
          </cell>
          <cell r="I674" t="b">
            <v>1</v>
          </cell>
          <cell r="J674">
            <v>483663.46</v>
          </cell>
          <cell r="K674">
            <v>0</v>
          </cell>
          <cell r="L674">
            <v>0</v>
          </cell>
        </row>
        <row r="675">
          <cell r="A675" t="str">
            <v>05</v>
          </cell>
          <cell r="B675" t="str">
            <v>11</v>
          </cell>
          <cell r="C675" t="str">
            <v>05</v>
          </cell>
          <cell r="D675" t="str">
            <v>4</v>
          </cell>
          <cell r="E675" t="str">
            <v>0003</v>
          </cell>
          <cell r="F675" t="str">
            <v>0006</v>
          </cell>
          <cell r="G675" t="str">
            <v>1020104</v>
          </cell>
          <cell r="H675" t="str">
            <v>付电话费.排污费.制作费</v>
          </cell>
          <cell r="I675" t="b">
            <v>0</v>
          </cell>
          <cell r="J675">
            <v>66455</v>
          </cell>
          <cell r="K675">
            <v>0</v>
          </cell>
          <cell r="L675">
            <v>0</v>
          </cell>
        </row>
        <row r="676">
          <cell r="A676" t="str">
            <v>05</v>
          </cell>
          <cell r="B676" t="str">
            <v>11</v>
          </cell>
          <cell r="C676" t="str">
            <v>05</v>
          </cell>
          <cell r="D676" t="str">
            <v>4</v>
          </cell>
          <cell r="E676" t="str">
            <v>0004</v>
          </cell>
          <cell r="F676" t="str">
            <v>0004</v>
          </cell>
          <cell r="G676" t="str">
            <v>1020104</v>
          </cell>
          <cell r="H676" t="str">
            <v>付运费</v>
          </cell>
          <cell r="I676" t="b">
            <v>0</v>
          </cell>
          <cell r="J676">
            <v>12950</v>
          </cell>
          <cell r="K676">
            <v>0</v>
          </cell>
          <cell r="L676">
            <v>0</v>
          </cell>
        </row>
        <row r="677">
          <cell r="A677" t="str">
            <v>05</v>
          </cell>
          <cell r="B677" t="str">
            <v>11</v>
          </cell>
          <cell r="C677" t="str">
            <v>05</v>
          </cell>
          <cell r="D677" t="str">
            <v>4</v>
          </cell>
          <cell r="E677" t="str">
            <v>0005</v>
          </cell>
          <cell r="F677" t="str">
            <v>0004</v>
          </cell>
          <cell r="G677" t="str">
            <v>1020104</v>
          </cell>
          <cell r="H677" t="str">
            <v>付工程款</v>
          </cell>
          <cell r="I677" t="b">
            <v>0</v>
          </cell>
          <cell r="J677">
            <v>1400000</v>
          </cell>
          <cell r="K677">
            <v>0</v>
          </cell>
          <cell r="L677">
            <v>0</v>
          </cell>
        </row>
        <row r="678">
          <cell r="A678" t="str">
            <v>05</v>
          </cell>
          <cell r="B678" t="str">
            <v>11</v>
          </cell>
          <cell r="C678" t="str">
            <v>05</v>
          </cell>
          <cell r="D678" t="str">
            <v>4</v>
          </cell>
          <cell r="E678" t="str">
            <v>0006</v>
          </cell>
          <cell r="F678" t="str">
            <v>0004</v>
          </cell>
          <cell r="G678" t="str">
            <v>1020104</v>
          </cell>
          <cell r="H678" t="str">
            <v>付手续费</v>
          </cell>
          <cell r="I678" t="b">
            <v>0</v>
          </cell>
          <cell r="J678">
            <v>261.45</v>
          </cell>
          <cell r="K678">
            <v>0</v>
          </cell>
          <cell r="L678">
            <v>0</v>
          </cell>
        </row>
        <row r="679">
          <cell r="A679" t="str">
            <v>05</v>
          </cell>
          <cell r="B679" t="str">
            <v>12</v>
          </cell>
          <cell r="C679" t="str">
            <v>05</v>
          </cell>
          <cell r="D679" t="str">
            <v>4</v>
          </cell>
          <cell r="E679" t="str">
            <v>0007</v>
          </cell>
          <cell r="F679" t="str">
            <v>0003</v>
          </cell>
          <cell r="G679" t="str">
            <v>1020104</v>
          </cell>
          <cell r="H679" t="str">
            <v>付99年度利润</v>
          </cell>
          <cell r="I679" t="b">
            <v>0</v>
          </cell>
          <cell r="J679">
            <v>2186717</v>
          </cell>
          <cell r="K679">
            <v>0</v>
          </cell>
          <cell r="L679">
            <v>0</v>
          </cell>
        </row>
        <row r="680">
          <cell r="A680" t="str">
            <v>05</v>
          </cell>
          <cell r="B680" t="str">
            <v>12</v>
          </cell>
          <cell r="C680" t="str">
            <v>05</v>
          </cell>
          <cell r="D680" t="str">
            <v>4</v>
          </cell>
          <cell r="E680" t="str">
            <v>0008</v>
          </cell>
          <cell r="F680" t="str">
            <v>0007</v>
          </cell>
          <cell r="G680" t="str">
            <v>1020104</v>
          </cell>
          <cell r="H680" t="str">
            <v>付税款</v>
          </cell>
          <cell r="I680" t="b">
            <v>0</v>
          </cell>
          <cell r="J680">
            <v>544804.18000000005</v>
          </cell>
          <cell r="K680">
            <v>0</v>
          </cell>
          <cell r="L680">
            <v>0</v>
          </cell>
        </row>
        <row r="681">
          <cell r="A681" t="str">
            <v>05</v>
          </cell>
          <cell r="B681" t="str">
            <v>15</v>
          </cell>
          <cell r="C681" t="str">
            <v>05</v>
          </cell>
          <cell r="D681" t="str">
            <v>4</v>
          </cell>
          <cell r="E681" t="str">
            <v>0009</v>
          </cell>
          <cell r="F681" t="str">
            <v>0004</v>
          </cell>
          <cell r="G681" t="str">
            <v>1020104</v>
          </cell>
          <cell r="H681" t="str">
            <v>付运费</v>
          </cell>
          <cell r="I681" t="b">
            <v>0</v>
          </cell>
          <cell r="J681">
            <v>3672</v>
          </cell>
          <cell r="K681">
            <v>0</v>
          </cell>
          <cell r="L681">
            <v>0</v>
          </cell>
        </row>
        <row r="682">
          <cell r="A682" t="str">
            <v>05</v>
          </cell>
          <cell r="B682" t="str">
            <v>15</v>
          </cell>
          <cell r="C682" t="str">
            <v>05</v>
          </cell>
          <cell r="D682" t="str">
            <v>4</v>
          </cell>
          <cell r="E682" t="str">
            <v>0010</v>
          </cell>
          <cell r="F682" t="str">
            <v>0004</v>
          </cell>
          <cell r="G682" t="str">
            <v>1020104</v>
          </cell>
          <cell r="H682" t="str">
            <v>购油款</v>
          </cell>
          <cell r="I682" t="b">
            <v>0</v>
          </cell>
          <cell r="J682">
            <v>4781.2</v>
          </cell>
          <cell r="K682">
            <v>0</v>
          </cell>
          <cell r="L682">
            <v>0</v>
          </cell>
        </row>
        <row r="683">
          <cell r="A683" t="str">
            <v>05</v>
          </cell>
          <cell r="B683" t="str">
            <v>15</v>
          </cell>
          <cell r="C683" t="str">
            <v>05</v>
          </cell>
          <cell r="D683" t="str">
            <v>4</v>
          </cell>
          <cell r="E683" t="str">
            <v>0011</v>
          </cell>
          <cell r="F683" t="str">
            <v>0005</v>
          </cell>
          <cell r="G683" t="str">
            <v>1020104</v>
          </cell>
          <cell r="H683" t="str">
            <v>购材料</v>
          </cell>
          <cell r="I683" t="b">
            <v>0</v>
          </cell>
          <cell r="J683">
            <v>32864.1</v>
          </cell>
          <cell r="K683">
            <v>0</v>
          </cell>
          <cell r="L683">
            <v>0</v>
          </cell>
        </row>
        <row r="684">
          <cell r="A684" t="str">
            <v>05</v>
          </cell>
          <cell r="B684" t="str">
            <v>16</v>
          </cell>
          <cell r="C684" t="str">
            <v>05</v>
          </cell>
          <cell r="D684" t="str">
            <v>4</v>
          </cell>
          <cell r="E684" t="str">
            <v>0012</v>
          </cell>
          <cell r="F684" t="str">
            <v>0004</v>
          </cell>
          <cell r="G684" t="str">
            <v>1020104</v>
          </cell>
          <cell r="H684" t="str">
            <v>付电费.水费</v>
          </cell>
          <cell r="I684" t="b">
            <v>0</v>
          </cell>
          <cell r="J684">
            <v>50091.839999999997</v>
          </cell>
          <cell r="K684">
            <v>0</v>
          </cell>
          <cell r="L684">
            <v>0</v>
          </cell>
        </row>
        <row r="685">
          <cell r="A685" t="str">
            <v>05</v>
          </cell>
          <cell r="B685" t="str">
            <v>16</v>
          </cell>
          <cell r="C685" t="str">
            <v>05</v>
          </cell>
          <cell r="D685" t="str">
            <v>4</v>
          </cell>
          <cell r="E685" t="str">
            <v>0015</v>
          </cell>
          <cell r="F685" t="str">
            <v>0004</v>
          </cell>
          <cell r="G685" t="str">
            <v>1020104</v>
          </cell>
          <cell r="H685" t="str">
            <v>暂借款</v>
          </cell>
          <cell r="I685" t="b">
            <v>0</v>
          </cell>
          <cell r="J685">
            <v>300000</v>
          </cell>
          <cell r="K685">
            <v>0</v>
          </cell>
          <cell r="L685">
            <v>0</v>
          </cell>
        </row>
        <row r="686">
          <cell r="A686" t="str">
            <v>05</v>
          </cell>
          <cell r="B686" t="str">
            <v>17</v>
          </cell>
          <cell r="C686" t="str">
            <v>05</v>
          </cell>
          <cell r="D686" t="str">
            <v>4</v>
          </cell>
          <cell r="E686" t="str">
            <v>0016</v>
          </cell>
          <cell r="F686" t="str">
            <v>0003</v>
          </cell>
          <cell r="G686" t="str">
            <v>1020104</v>
          </cell>
          <cell r="H686" t="str">
            <v>付运费</v>
          </cell>
          <cell r="I686" t="b">
            <v>0</v>
          </cell>
          <cell r="J686">
            <v>12955</v>
          </cell>
          <cell r="K686">
            <v>0</v>
          </cell>
          <cell r="L686">
            <v>0</v>
          </cell>
        </row>
        <row r="687">
          <cell r="A687" t="str">
            <v>05</v>
          </cell>
          <cell r="B687" t="str">
            <v>18</v>
          </cell>
          <cell r="C687" t="str">
            <v>05</v>
          </cell>
          <cell r="D687" t="str">
            <v>4</v>
          </cell>
          <cell r="E687" t="str">
            <v>0017</v>
          </cell>
          <cell r="F687" t="str">
            <v>0004</v>
          </cell>
          <cell r="G687" t="str">
            <v>1020104</v>
          </cell>
          <cell r="H687" t="str">
            <v>付水电费</v>
          </cell>
          <cell r="I687" t="b">
            <v>0</v>
          </cell>
          <cell r="J687">
            <v>36752.89</v>
          </cell>
          <cell r="K687">
            <v>0</v>
          </cell>
          <cell r="L687">
            <v>0</v>
          </cell>
        </row>
        <row r="688">
          <cell r="A688" t="str">
            <v>05</v>
          </cell>
          <cell r="B688" t="str">
            <v>22</v>
          </cell>
          <cell r="C688" t="str">
            <v>05</v>
          </cell>
          <cell r="D688" t="str">
            <v>4</v>
          </cell>
          <cell r="E688" t="str">
            <v>0019</v>
          </cell>
          <cell r="F688" t="str">
            <v>0003</v>
          </cell>
          <cell r="G688" t="str">
            <v>1020104</v>
          </cell>
          <cell r="H688" t="str">
            <v>暂借款</v>
          </cell>
          <cell r="I688" t="b">
            <v>0</v>
          </cell>
          <cell r="J688">
            <v>300000</v>
          </cell>
          <cell r="K688">
            <v>0</v>
          </cell>
          <cell r="L688">
            <v>0</v>
          </cell>
        </row>
        <row r="689">
          <cell r="A689" t="str">
            <v>05</v>
          </cell>
          <cell r="B689" t="str">
            <v>23</v>
          </cell>
          <cell r="C689" t="str">
            <v>05</v>
          </cell>
          <cell r="D689" t="str">
            <v>4</v>
          </cell>
          <cell r="E689" t="str">
            <v>0020</v>
          </cell>
          <cell r="F689" t="str">
            <v>0002</v>
          </cell>
          <cell r="G689" t="str">
            <v>1020104</v>
          </cell>
          <cell r="H689" t="str">
            <v>付手续费</v>
          </cell>
          <cell r="I689" t="b">
            <v>0</v>
          </cell>
          <cell r="J689">
            <v>82.6</v>
          </cell>
          <cell r="K689">
            <v>0</v>
          </cell>
          <cell r="L689">
            <v>0</v>
          </cell>
        </row>
        <row r="690">
          <cell r="A690" t="str">
            <v>05</v>
          </cell>
          <cell r="B690" t="str">
            <v>23</v>
          </cell>
          <cell r="C690" t="str">
            <v>05</v>
          </cell>
          <cell r="D690" t="str">
            <v>4</v>
          </cell>
          <cell r="E690" t="str">
            <v>0021</v>
          </cell>
          <cell r="F690" t="str">
            <v>0005</v>
          </cell>
          <cell r="G690" t="str">
            <v>1020104</v>
          </cell>
          <cell r="H690" t="str">
            <v>付货款</v>
          </cell>
          <cell r="I690" t="b">
            <v>0</v>
          </cell>
          <cell r="J690">
            <v>349509.35</v>
          </cell>
          <cell r="K690">
            <v>0</v>
          </cell>
          <cell r="L690">
            <v>0</v>
          </cell>
        </row>
        <row r="691">
          <cell r="A691" t="str">
            <v>05</v>
          </cell>
          <cell r="B691" t="str">
            <v>23</v>
          </cell>
          <cell r="C691" t="str">
            <v>05</v>
          </cell>
          <cell r="D691" t="str">
            <v>4</v>
          </cell>
          <cell r="E691" t="str">
            <v>0022</v>
          </cell>
          <cell r="F691" t="str">
            <v>0004</v>
          </cell>
          <cell r="G691" t="str">
            <v>1020104</v>
          </cell>
          <cell r="H691" t="str">
            <v>还借款</v>
          </cell>
          <cell r="I691" t="b">
            <v>0</v>
          </cell>
          <cell r="J691">
            <v>13000000</v>
          </cell>
          <cell r="K691">
            <v>0</v>
          </cell>
          <cell r="L691">
            <v>0</v>
          </cell>
        </row>
        <row r="692">
          <cell r="A692" t="str">
            <v>05</v>
          </cell>
          <cell r="B692" t="str">
            <v>23</v>
          </cell>
          <cell r="C692" t="str">
            <v>05</v>
          </cell>
          <cell r="D692" t="str">
            <v>4</v>
          </cell>
          <cell r="E692" t="str">
            <v>0023</v>
          </cell>
          <cell r="F692" t="str">
            <v>0001</v>
          </cell>
          <cell r="G692" t="str">
            <v>1020104</v>
          </cell>
          <cell r="H692" t="str">
            <v>转户</v>
          </cell>
          <cell r="I692" t="b">
            <v>1</v>
          </cell>
          <cell r="J692">
            <v>1500000</v>
          </cell>
          <cell r="K692">
            <v>0</v>
          </cell>
          <cell r="L692">
            <v>0</v>
          </cell>
        </row>
        <row r="693">
          <cell r="A693" t="str">
            <v>05</v>
          </cell>
          <cell r="B693" t="str">
            <v>23</v>
          </cell>
          <cell r="C693" t="str">
            <v>05</v>
          </cell>
          <cell r="D693" t="str">
            <v>4</v>
          </cell>
          <cell r="E693" t="str">
            <v>0023</v>
          </cell>
          <cell r="F693" t="str">
            <v>0004</v>
          </cell>
          <cell r="G693" t="str">
            <v>1020104</v>
          </cell>
          <cell r="H693" t="str">
            <v>转户</v>
          </cell>
          <cell r="I693" t="b">
            <v>0</v>
          </cell>
          <cell r="J693">
            <v>100000</v>
          </cell>
          <cell r="K693">
            <v>0</v>
          </cell>
          <cell r="L693">
            <v>0</v>
          </cell>
        </row>
        <row r="694">
          <cell r="A694" t="str">
            <v>05</v>
          </cell>
          <cell r="B694" t="str">
            <v>24</v>
          </cell>
          <cell r="C694" t="str">
            <v>05</v>
          </cell>
          <cell r="D694" t="str">
            <v>4</v>
          </cell>
          <cell r="E694" t="str">
            <v>0025</v>
          </cell>
          <cell r="F694" t="str">
            <v>0005</v>
          </cell>
          <cell r="G694" t="str">
            <v>1020104</v>
          </cell>
          <cell r="H694" t="str">
            <v>付职工教育基金.管理费等</v>
          </cell>
          <cell r="I694" t="b">
            <v>0</v>
          </cell>
          <cell r="J694">
            <v>25079.279999999999</v>
          </cell>
          <cell r="K694">
            <v>0</v>
          </cell>
          <cell r="L694">
            <v>0</v>
          </cell>
        </row>
        <row r="695">
          <cell r="A695" t="str">
            <v>05</v>
          </cell>
          <cell r="B695" t="str">
            <v>25</v>
          </cell>
          <cell r="C695" t="str">
            <v>05</v>
          </cell>
          <cell r="D695" t="str">
            <v>4</v>
          </cell>
          <cell r="E695" t="str">
            <v>0027</v>
          </cell>
          <cell r="F695" t="str">
            <v>0010</v>
          </cell>
          <cell r="G695" t="str">
            <v>1020104</v>
          </cell>
          <cell r="H695" t="str">
            <v>付本月工人工资</v>
          </cell>
          <cell r="I695" t="b">
            <v>0</v>
          </cell>
          <cell r="J695">
            <v>189624</v>
          </cell>
          <cell r="K695">
            <v>0</v>
          </cell>
          <cell r="L695">
            <v>0</v>
          </cell>
        </row>
        <row r="696">
          <cell r="A696" t="str">
            <v>05</v>
          </cell>
          <cell r="B696" t="str">
            <v>25</v>
          </cell>
          <cell r="C696" t="str">
            <v>05</v>
          </cell>
          <cell r="D696" t="str">
            <v>4</v>
          </cell>
          <cell r="E696" t="str">
            <v>0028</v>
          </cell>
          <cell r="F696" t="str">
            <v>0004</v>
          </cell>
          <cell r="G696" t="str">
            <v>1020104</v>
          </cell>
          <cell r="H696" t="str">
            <v>购材料</v>
          </cell>
          <cell r="I696" t="b">
            <v>0</v>
          </cell>
          <cell r="J696">
            <v>12132.75</v>
          </cell>
          <cell r="K696">
            <v>0</v>
          </cell>
          <cell r="L696">
            <v>0</v>
          </cell>
        </row>
        <row r="697">
          <cell r="A697" t="str">
            <v>06</v>
          </cell>
          <cell r="B697" t="str">
            <v>15</v>
          </cell>
          <cell r="C697" t="str">
            <v>06</v>
          </cell>
          <cell r="D697" t="str">
            <v>2</v>
          </cell>
          <cell r="E697" t="str">
            <v>0013</v>
          </cell>
          <cell r="F697" t="str">
            <v>0004</v>
          </cell>
          <cell r="G697" t="str">
            <v>1020104</v>
          </cell>
          <cell r="H697" t="str">
            <v>存现金</v>
          </cell>
          <cell r="I697" t="b">
            <v>1</v>
          </cell>
          <cell r="J697">
            <v>163320.25</v>
          </cell>
          <cell r="K697">
            <v>0</v>
          </cell>
          <cell r="L697">
            <v>0</v>
          </cell>
        </row>
        <row r="698">
          <cell r="A698" t="str">
            <v>06</v>
          </cell>
          <cell r="B698" t="str">
            <v>20</v>
          </cell>
          <cell r="C698" t="str">
            <v>06</v>
          </cell>
          <cell r="D698" t="str">
            <v>3</v>
          </cell>
          <cell r="E698" t="str">
            <v>0003</v>
          </cell>
          <cell r="F698" t="str">
            <v>0002</v>
          </cell>
          <cell r="G698" t="str">
            <v>1020104</v>
          </cell>
          <cell r="H698" t="str">
            <v>暂借款</v>
          </cell>
          <cell r="I698" t="b">
            <v>1</v>
          </cell>
          <cell r="J698">
            <v>2683881.5299999998</v>
          </cell>
          <cell r="K698">
            <v>0</v>
          </cell>
          <cell r="L698">
            <v>0</v>
          </cell>
        </row>
        <row r="699">
          <cell r="A699" t="str">
            <v>06</v>
          </cell>
          <cell r="B699" t="str">
            <v>20</v>
          </cell>
          <cell r="C699" t="str">
            <v>06</v>
          </cell>
          <cell r="D699" t="str">
            <v>3</v>
          </cell>
          <cell r="E699" t="str">
            <v>0005</v>
          </cell>
          <cell r="F699" t="str">
            <v>0001</v>
          </cell>
          <cell r="G699" t="str">
            <v>1020104</v>
          </cell>
          <cell r="H699" t="str">
            <v>收货款</v>
          </cell>
          <cell r="I699" t="b">
            <v>1</v>
          </cell>
          <cell r="J699">
            <v>1469168.67</v>
          </cell>
          <cell r="K699">
            <v>0</v>
          </cell>
          <cell r="L699">
            <v>0</v>
          </cell>
        </row>
        <row r="700">
          <cell r="A700" t="str">
            <v>06</v>
          </cell>
          <cell r="B700" t="str">
            <v>15</v>
          </cell>
          <cell r="C700" t="str">
            <v>06</v>
          </cell>
          <cell r="D700" t="str">
            <v>4</v>
          </cell>
          <cell r="E700" t="str">
            <v>0001</v>
          </cell>
          <cell r="F700" t="str">
            <v>0005</v>
          </cell>
          <cell r="G700" t="str">
            <v>1020104</v>
          </cell>
          <cell r="H700" t="str">
            <v>付运费</v>
          </cell>
          <cell r="I700" t="b">
            <v>0</v>
          </cell>
          <cell r="J700">
            <v>79180.95</v>
          </cell>
          <cell r="K700">
            <v>0</v>
          </cell>
          <cell r="L700">
            <v>0</v>
          </cell>
        </row>
        <row r="701">
          <cell r="A701" t="str">
            <v>06</v>
          </cell>
          <cell r="B701" t="str">
            <v>15</v>
          </cell>
          <cell r="C701" t="str">
            <v>06</v>
          </cell>
          <cell r="D701" t="str">
            <v>4</v>
          </cell>
          <cell r="E701" t="str">
            <v>0002</v>
          </cell>
          <cell r="F701" t="str">
            <v>0005</v>
          </cell>
          <cell r="G701" t="str">
            <v>1020104</v>
          </cell>
          <cell r="H701" t="str">
            <v>付运费</v>
          </cell>
          <cell r="I701" t="b">
            <v>0</v>
          </cell>
          <cell r="J701">
            <v>18260</v>
          </cell>
          <cell r="K701">
            <v>0</v>
          </cell>
          <cell r="L701">
            <v>0</v>
          </cell>
        </row>
        <row r="702">
          <cell r="A702" t="str">
            <v>06</v>
          </cell>
          <cell r="B702" t="str">
            <v>15</v>
          </cell>
          <cell r="C702" t="str">
            <v>06</v>
          </cell>
          <cell r="D702" t="str">
            <v>4</v>
          </cell>
          <cell r="E702" t="str">
            <v>0003</v>
          </cell>
          <cell r="F702" t="str">
            <v>0004</v>
          </cell>
          <cell r="G702" t="str">
            <v>1020104</v>
          </cell>
          <cell r="H702" t="str">
            <v>付运费</v>
          </cell>
          <cell r="I702" t="b">
            <v>0</v>
          </cell>
          <cell r="J702">
            <v>3317</v>
          </cell>
          <cell r="K702">
            <v>0</v>
          </cell>
          <cell r="L702">
            <v>0</v>
          </cell>
        </row>
        <row r="703">
          <cell r="A703" t="str">
            <v>06</v>
          </cell>
          <cell r="B703" t="str">
            <v>16</v>
          </cell>
          <cell r="C703" t="str">
            <v>06</v>
          </cell>
          <cell r="D703" t="str">
            <v>4</v>
          </cell>
          <cell r="E703" t="str">
            <v>0005</v>
          </cell>
          <cell r="F703" t="str">
            <v>0002</v>
          </cell>
          <cell r="G703" t="str">
            <v>1020104</v>
          </cell>
          <cell r="H703" t="str">
            <v>付税款</v>
          </cell>
          <cell r="I703" t="b">
            <v>0</v>
          </cell>
          <cell r="J703">
            <v>834507.41</v>
          </cell>
          <cell r="K703">
            <v>0</v>
          </cell>
          <cell r="L703">
            <v>0</v>
          </cell>
        </row>
        <row r="704">
          <cell r="A704" t="str">
            <v>06</v>
          </cell>
          <cell r="B704" t="str">
            <v>16</v>
          </cell>
          <cell r="C704" t="str">
            <v>06</v>
          </cell>
          <cell r="D704" t="str">
            <v>4</v>
          </cell>
          <cell r="E704" t="str">
            <v>0006</v>
          </cell>
          <cell r="F704" t="str">
            <v>0003</v>
          </cell>
          <cell r="G704" t="str">
            <v>1020104</v>
          </cell>
          <cell r="H704" t="str">
            <v>付手续费</v>
          </cell>
          <cell r="I704" t="b">
            <v>0</v>
          </cell>
          <cell r="J704">
            <v>1328.53</v>
          </cell>
          <cell r="K704">
            <v>0</v>
          </cell>
          <cell r="L704">
            <v>0</v>
          </cell>
        </row>
        <row r="705">
          <cell r="A705" t="str">
            <v>06</v>
          </cell>
          <cell r="B705" t="str">
            <v>18</v>
          </cell>
          <cell r="C705" t="str">
            <v>06</v>
          </cell>
          <cell r="D705" t="str">
            <v>4</v>
          </cell>
          <cell r="E705" t="str">
            <v>0007</v>
          </cell>
          <cell r="F705" t="str">
            <v>0005</v>
          </cell>
          <cell r="G705" t="str">
            <v>1020104</v>
          </cell>
          <cell r="H705" t="str">
            <v>暂借款</v>
          </cell>
          <cell r="I705" t="b">
            <v>0</v>
          </cell>
          <cell r="J705">
            <v>4050000</v>
          </cell>
          <cell r="K705">
            <v>0</v>
          </cell>
          <cell r="L705">
            <v>0</v>
          </cell>
        </row>
        <row r="706">
          <cell r="A706" t="str">
            <v>06</v>
          </cell>
          <cell r="B706" t="str">
            <v>20</v>
          </cell>
          <cell r="C706" t="str">
            <v>06</v>
          </cell>
          <cell r="D706" t="str">
            <v>4</v>
          </cell>
          <cell r="E706" t="str">
            <v>0008</v>
          </cell>
          <cell r="F706" t="str">
            <v>0005</v>
          </cell>
          <cell r="G706" t="str">
            <v>1020104</v>
          </cell>
          <cell r="H706" t="str">
            <v>付货款</v>
          </cell>
          <cell r="I706" t="b">
            <v>0</v>
          </cell>
          <cell r="J706">
            <v>59374</v>
          </cell>
          <cell r="K706">
            <v>0</v>
          </cell>
          <cell r="L706">
            <v>0</v>
          </cell>
        </row>
        <row r="707">
          <cell r="A707" t="str">
            <v>06</v>
          </cell>
          <cell r="B707" t="str">
            <v>20</v>
          </cell>
          <cell r="C707" t="str">
            <v>06</v>
          </cell>
          <cell r="D707" t="str">
            <v>4</v>
          </cell>
          <cell r="E707" t="str">
            <v>0009</v>
          </cell>
          <cell r="F707" t="str">
            <v>0003</v>
          </cell>
          <cell r="G707" t="str">
            <v>1020104</v>
          </cell>
          <cell r="H707" t="str">
            <v>供电.配电贴费</v>
          </cell>
          <cell r="I707" t="b">
            <v>0</v>
          </cell>
          <cell r="J707">
            <v>506803.6</v>
          </cell>
          <cell r="K707">
            <v>0</v>
          </cell>
          <cell r="L707">
            <v>0</v>
          </cell>
        </row>
        <row r="708">
          <cell r="A708" t="str">
            <v>06</v>
          </cell>
          <cell r="B708" t="str">
            <v>20</v>
          </cell>
          <cell r="C708" t="str">
            <v>06</v>
          </cell>
          <cell r="D708" t="str">
            <v>4</v>
          </cell>
          <cell r="E708" t="str">
            <v>0010</v>
          </cell>
          <cell r="F708" t="str">
            <v>0007</v>
          </cell>
          <cell r="G708" t="str">
            <v>1020104</v>
          </cell>
          <cell r="H708" t="str">
            <v>付货款</v>
          </cell>
          <cell r="I708" t="b">
            <v>0</v>
          </cell>
          <cell r="J708">
            <v>300000</v>
          </cell>
          <cell r="K708">
            <v>0</v>
          </cell>
          <cell r="L708">
            <v>0</v>
          </cell>
        </row>
        <row r="709">
          <cell r="A709" t="str">
            <v>07</v>
          </cell>
          <cell r="B709" t="str">
            <v>15</v>
          </cell>
          <cell r="C709" t="str">
            <v>07</v>
          </cell>
          <cell r="D709" t="str">
            <v>2</v>
          </cell>
          <cell r="E709" t="str">
            <v>0011</v>
          </cell>
          <cell r="F709" t="str">
            <v>0002</v>
          </cell>
          <cell r="G709" t="str">
            <v>1020104</v>
          </cell>
          <cell r="H709" t="str">
            <v>存现金</v>
          </cell>
          <cell r="I709" t="b">
            <v>1</v>
          </cell>
          <cell r="J709">
            <v>110000</v>
          </cell>
          <cell r="K709">
            <v>0</v>
          </cell>
          <cell r="L709">
            <v>0</v>
          </cell>
        </row>
        <row r="710">
          <cell r="A710" t="str">
            <v>07</v>
          </cell>
          <cell r="B710" t="str">
            <v>18</v>
          </cell>
          <cell r="C710" t="str">
            <v>07</v>
          </cell>
          <cell r="D710" t="str">
            <v>2</v>
          </cell>
          <cell r="E710" t="str">
            <v>0015</v>
          </cell>
          <cell r="F710" t="str">
            <v>0002</v>
          </cell>
          <cell r="G710" t="str">
            <v>1020104</v>
          </cell>
          <cell r="H710" t="str">
            <v>存现金</v>
          </cell>
          <cell r="I710" t="b">
            <v>1</v>
          </cell>
          <cell r="J710">
            <v>80734.2</v>
          </cell>
          <cell r="K710">
            <v>0</v>
          </cell>
          <cell r="L710">
            <v>0</v>
          </cell>
        </row>
        <row r="711">
          <cell r="A711" t="str">
            <v>07</v>
          </cell>
          <cell r="B711" t="str">
            <v>05</v>
          </cell>
          <cell r="C711" t="str">
            <v>07</v>
          </cell>
          <cell r="D711" t="str">
            <v>3</v>
          </cell>
          <cell r="E711" t="str">
            <v>0002</v>
          </cell>
          <cell r="F711" t="str">
            <v>0002</v>
          </cell>
          <cell r="G711" t="str">
            <v>1020104</v>
          </cell>
          <cell r="H711" t="str">
            <v>收存款</v>
          </cell>
          <cell r="I711" t="b">
            <v>1</v>
          </cell>
          <cell r="J711">
            <v>1500000</v>
          </cell>
          <cell r="K711">
            <v>0</v>
          </cell>
          <cell r="L711">
            <v>0</v>
          </cell>
        </row>
        <row r="712">
          <cell r="A712" t="str">
            <v>07</v>
          </cell>
          <cell r="B712" t="str">
            <v>10</v>
          </cell>
          <cell r="C712" t="str">
            <v>07</v>
          </cell>
          <cell r="D712" t="str">
            <v>3</v>
          </cell>
          <cell r="E712" t="str">
            <v>0003</v>
          </cell>
          <cell r="F712" t="str">
            <v>0004</v>
          </cell>
          <cell r="G712" t="str">
            <v>1020104</v>
          </cell>
          <cell r="H712" t="str">
            <v>收存款利息</v>
          </cell>
          <cell r="I712" t="b">
            <v>1</v>
          </cell>
          <cell r="J712">
            <v>9267.14</v>
          </cell>
          <cell r="K712">
            <v>0</v>
          </cell>
          <cell r="L712">
            <v>0</v>
          </cell>
        </row>
        <row r="713">
          <cell r="A713" t="str">
            <v>07</v>
          </cell>
          <cell r="B713" t="str">
            <v>15</v>
          </cell>
          <cell r="C713" t="str">
            <v>07</v>
          </cell>
          <cell r="D713" t="str">
            <v>3</v>
          </cell>
          <cell r="E713" t="str">
            <v>0004</v>
          </cell>
          <cell r="F713" t="str">
            <v>0001</v>
          </cell>
          <cell r="G713" t="str">
            <v>1020104</v>
          </cell>
          <cell r="H713" t="str">
            <v>暂借款</v>
          </cell>
          <cell r="I713" t="b">
            <v>1</v>
          </cell>
          <cell r="J713">
            <v>1500000</v>
          </cell>
          <cell r="K713">
            <v>0</v>
          </cell>
          <cell r="L713">
            <v>0</v>
          </cell>
        </row>
        <row r="714">
          <cell r="A714" t="str">
            <v>07</v>
          </cell>
          <cell r="B714" t="str">
            <v>15</v>
          </cell>
          <cell r="C714" t="str">
            <v>07</v>
          </cell>
          <cell r="D714" t="str">
            <v>3</v>
          </cell>
          <cell r="E714" t="str">
            <v>0004</v>
          </cell>
          <cell r="F714" t="str">
            <v>0003</v>
          </cell>
          <cell r="G714" t="str">
            <v>1020104</v>
          </cell>
          <cell r="H714" t="str">
            <v>收存款</v>
          </cell>
          <cell r="I714" t="b">
            <v>1</v>
          </cell>
          <cell r="J714">
            <v>400000</v>
          </cell>
          <cell r="K714">
            <v>0</v>
          </cell>
          <cell r="L714">
            <v>0</v>
          </cell>
        </row>
        <row r="715">
          <cell r="A715" t="str">
            <v>07</v>
          </cell>
          <cell r="B715" t="str">
            <v>26</v>
          </cell>
          <cell r="C715" t="str">
            <v>07</v>
          </cell>
          <cell r="D715" t="str">
            <v>3</v>
          </cell>
          <cell r="E715" t="str">
            <v>0006</v>
          </cell>
          <cell r="F715" t="str">
            <v>0001</v>
          </cell>
          <cell r="G715" t="str">
            <v>1020104</v>
          </cell>
          <cell r="H715" t="str">
            <v>收果楂款</v>
          </cell>
          <cell r="I715" t="b">
            <v>1</v>
          </cell>
          <cell r="J715">
            <v>88843.55</v>
          </cell>
          <cell r="K715">
            <v>0</v>
          </cell>
          <cell r="L715">
            <v>0</v>
          </cell>
        </row>
        <row r="716">
          <cell r="A716" t="str">
            <v>07</v>
          </cell>
          <cell r="B716" t="str">
            <v>26</v>
          </cell>
          <cell r="C716" t="str">
            <v>07</v>
          </cell>
          <cell r="D716" t="str">
            <v>3</v>
          </cell>
          <cell r="E716" t="str">
            <v>0008</v>
          </cell>
          <cell r="F716" t="str">
            <v>0001</v>
          </cell>
          <cell r="G716" t="str">
            <v>1020104</v>
          </cell>
          <cell r="H716" t="str">
            <v>收货款</v>
          </cell>
          <cell r="I716" t="b">
            <v>1</v>
          </cell>
          <cell r="J716">
            <v>1723994.55</v>
          </cell>
          <cell r="K716">
            <v>0</v>
          </cell>
          <cell r="L716">
            <v>0</v>
          </cell>
        </row>
        <row r="717">
          <cell r="A717" t="str">
            <v>07</v>
          </cell>
          <cell r="B717" t="str">
            <v>01</v>
          </cell>
          <cell r="C717" t="str">
            <v>07</v>
          </cell>
          <cell r="D717" t="str">
            <v>4</v>
          </cell>
          <cell r="E717" t="str">
            <v>0001</v>
          </cell>
          <cell r="F717" t="str">
            <v>0002</v>
          </cell>
          <cell r="G717" t="str">
            <v>1020104</v>
          </cell>
          <cell r="H717" t="str">
            <v>储蓄存款</v>
          </cell>
          <cell r="I717" t="b">
            <v>0</v>
          </cell>
          <cell r="J717">
            <v>160000</v>
          </cell>
          <cell r="K717">
            <v>0</v>
          </cell>
          <cell r="L717">
            <v>0</v>
          </cell>
        </row>
        <row r="718">
          <cell r="A718" t="str">
            <v>07</v>
          </cell>
          <cell r="B718" t="str">
            <v>01</v>
          </cell>
          <cell r="C718" t="str">
            <v>07</v>
          </cell>
          <cell r="D718" t="str">
            <v>4</v>
          </cell>
          <cell r="E718" t="str">
            <v>0002</v>
          </cell>
          <cell r="F718" t="str">
            <v>0003</v>
          </cell>
          <cell r="G718" t="str">
            <v>1020104</v>
          </cell>
          <cell r="H718" t="str">
            <v>付存款利息</v>
          </cell>
          <cell r="I718" t="b">
            <v>0</v>
          </cell>
          <cell r="J718">
            <v>246383.97</v>
          </cell>
          <cell r="K718">
            <v>0</v>
          </cell>
          <cell r="L718">
            <v>0</v>
          </cell>
        </row>
        <row r="719">
          <cell r="A719" t="str">
            <v>07</v>
          </cell>
          <cell r="B719" t="str">
            <v>07</v>
          </cell>
          <cell r="C719" t="str">
            <v>07</v>
          </cell>
          <cell r="D719" t="str">
            <v>4</v>
          </cell>
          <cell r="E719" t="str">
            <v>0005</v>
          </cell>
          <cell r="F719" t="str">
            <v>0004</v>
          </cell>
          <cell r="G719" t="str">
            <v>1020104</v>
          </cell>
          <cell r="H719" t="str">
            <v>付电话费</v>
          </cell>
          <cell r="I719" t="b">
            <v>0</v>
          </cell>
          <cell r="J719">
            <v>8521</v>
          </cell>
          <cell r="K719">
            <v>0</v>
          </cell>
          <cell r="L719">
            <v>0</v>
          </cell>
        </row>
        <row r="720">
          <cell r="A720" t="str">
            <v>07</v>
          </cell>
          <cell r="B720" t="str">
            <v>10</v>
          </cell>
          <cell r="C720" t="str">
            <v>07</v>
          </cell>
          <cell r="D720" t="str">
            <v>4</v>
          </cell>
          <cell r="E720" t="str">
            <v>0006</v>
          </cell>
          <cell r="F720" t="str">
            <v>0004</v>
          </cell>
          <cell r="G720" t="str">
            <v>1020104</v>
          </cell>
          <cell r="H720" t="str">
            <v>暂借款</v>
          </cell>
          <cell r="I720" t="b">
            <v>0</v>
          </cell>
          <cell r="J720">
            <v>3100000</v>
          </cell>
          <cell r="K720">
            <v>0</v>
          </cell>
          <cell r="L720">
            <v>0</v>
          </cell>
        </row>
        <row r="721">
          <cell r="A721" t="str">
            <v>07</v>
          </cell>
          <cell r="B721" t="str">
            <v>10</v>
          </cell>
          <cell r="C721" t="str">
            <v>07</v>
          </cell>
          <cell r="D721" t="str">
            <v>4</v>
          </cell>
          <cell r="E721" t="str">
            <v>0007</v>
          </cell>
          <cell r="F721" t="str">
            <v>0005</v>
          </cell>
          <cell r="G721" t="str">
            <v>1020104</v>
          </cell>
          <cell r="H721" t="str">
            <v>付货款</v>
          </cell>
          <cell r="I721" t="b">
            <v>0</v>
          </cell>
          <cell r="J721">
            <v>133000</v>
          </cell>
          <cell r="K721">
            <v>0</v>
          </cell>
          <cell r="L721">
            <v>0</v>
          </cell>
        </row>
        <row r="722">
          <cell r="A722" t="str">
            <v>07</v>
          </cell>
          <cell r="B722" t="str">
            <v>12</v>
          </cell>
          <cell r="C722" t="str">
            <v>07</v>
          </cell>
          <cell r="D722" t="str">
            <v>4</v>
          </cell>
          <cell r="E722" t="str">
            <v>0008</v>
          </cell>
          <cell r="F722" t="str">
            <v>0003</v>
          </cell>
          <cell r="G722" t="str">
            <v>1020104</v>
          </cell>
          <cell r="H722" t="str">
            <v>付手续费</v>
          </cell>
          <cell r="I722" t="b">
            <v>0</v>
          </cell>
          <cell r="J722">
            <v>309.60000000000002</v>
          </cell>
          <cell r="K722">
            <v>0</v>
          </cell>
          <cell r="L722">
            <v>0</v>
          </cell>
        </row>
        <row r="723">
          <cell r="A723" t="str">
            <v>07</v>
          </cell>
          <cell r="B723" t="str">
            <v>12</v>
          </cell>
          <cell r="C723" t="str">
            <v>07</v>
          </cell>
          <cell r="D723" t="str">
            <v>4</v>
          </cell>
          <cell r="E723" t="str">
            <v>0009</v>
          </cell>
          <cell r="F723" t="str">
            <v>0022</v>
          </cell>
          <cell r="G723" t="str">
            <v>1020104</v>
          </cell>
          <cell r="H723" t="str">
            <v>付工人工资</v>
          </cell>
          <cell r="I723" t="b">
            <v>0</v>
          </cell>
          <cell r="J723">
            <v>252422</v>
          </cell>
          <cell r="K723">
            <v>0</v>
          </cell>
          <cell r="L723">
            <v>0</v>
          </cell>
        </row>
        <row r="724">
          <cell r="A724" t="str">
            <v>07</v>
          </cell>
          <cell r="B724" t="str">
            <v>15</v>
          </cell>
          <cell r="C724" t="str">
            <v>07</v>
          </cell>
          <cell r="D724" t="str">
            <v>4</v>
          </cell>
          <cell r="E724" t="str">
            <v>0010</v>
          </cell>
          <cell r="F724" t="str">
            <v>0003</v>
          </cell>
          <cell r="G724" t="str">
            <v>1020104</v>
          </cell>
          <cell r="H724" t="str">
            <v>付认证费</v>
          </cell>
          <cell r="I724" t="b">
            <v>0</v>
          </cell>
          <cell r="J724">
            <v>20795.89</v>
          </cell>
          <cell r="K724">
            <v>0</v>
          </cell>
          <cell r="L724">
            <v>0</v>
          </cell>
        </row>
        <row r="725">
          <cell r="A725" t="str">
            <v>07</v>
          </cell>
          <cell r="B725" t="str">
            <v>15</v>
          </cell>
          <cell r="C725" t="str">
            <v>07</v>
          </cell>
          <cell r="D725" t="str">
            <v>4</v>
          </cell>
          <cell r="E725" t="str">
            <v>0012</v>
          </cell>
          <cell r="F725" t="str">
            <v>0004</v>
          </cell>
          <cell r="G725" t="str">
            <v>1020104</v>
          </cell>
          <cell r="H725" t="str">
            <v>付电费.水费</v>
          </cell>
          <cell r="I725" t="b">
            <v>0</v>
          </cell>
          <cell r="J725">
            <v>51414.239999999998</v>
          </cell>
          <cell r="K725">
            <v>0</v>
          </cell>
          <cell r="L725">
            <v>0</v>
          </cell>
        </row>
        <row r="726">
          <cell r="A726" t="str">
            <v>07</v>
          </cell>
          <cell r="B726" t="str">
            <v>15</v>
          </cell>
          <cell r="C726" t="str">
            <v>07</v>
          </cell>
          <cell r="D726" t="str">
            <v>4</v>
          </cell>
          <cell r="E726" t="str">
            <v>0013</v>
          </cell>
          <cell r="F726" t="str">
            <v>0002</v>
          </cell>
          <cell r="G726" t="str">
            <v>1020104</v>
          </cell>
          <cell r="H726" t="str">
            <v>付4-6月份收视费</v>
          </cell>
          <cell r="I726" t="b">
            <v>0</v>
          </cell>
          <cell r="J726">
            <v>6156</v>
          </cell>
          <cell r="K726">
            <v>0</v>
          </cell>
          <cell r="L726">
            <v>0</v>
          </cell>
        </row>
        <row r="727">
          <cell r="A727" t="str">
            <v>07</v>
          </cell>
          <cell r="B727" t="str">
            <v>15</v>
          </cell>
          <cell r="C727" t="str">
            <v>07</v>
          </cell>
          <cell r="D727" t="str">
            <v>4</v>
          </cell>
          <cell r="E727" t="str">
            <v>0014</v>
          </cell>
          <cell r="F727" t="str">
            <v>0004</v>
          </cell>
          <cell r="G727" t="str">
            <v>1020104</v>
          </cell>
          <cell r="H727" t="str">
            <v>付税款</v>
          </cell>
          <cell r="I727" t="b">
            <v>0</v>
          </cell>
          <cell r="J727">
            <v>148394.41</v>
          </cell>
          <cell r="K727">
            <v>0</v>
          </cell>
          <cell r="L727">
            <v>0</v>
          </cell>
        </row>
        <row r="728">
          <cell r="A728" t="str">
            <v>07</v>
          </cell>
          <cell r="B728" t="str">
            <v>18</v>
          </cell>
          <cell r="C728" t="str">
            <v>07</v>
          </cell>
          <cell r="D728" t="str">
            <v>4</v>
          </cell>
          <cell r="E728" t="str">
            <v>0016</v>
          </cell>
          <cell r="F728" t="str">
            <v>0005</v>
          </cell>
          <cell r="G728" t="str">
            <v>1020104</v>
          </cell>
          <cell r="H728" t="str">
            <v>暂借款</v>
          </cell>
          <cell r="I728" t="b">
            <v>0</v>
          </cell>
          <cell r="J728">
            <v>1780000</v>
          </cell>
          <cell r="K728">
            <v>0</v>
          </cell>
          <cell r="L728">
            <v>0</v>
          </cell>
        </row>
        <row r="729">
          <cell r="A729" t="str">
            <v>07</v>
          </cell>
          <cell r="B729" t="str">
            <v>18</v>
          </cell>
          <cell r="C729" t="str">
            <v>07</v>
          </cell>
          <cell r="D729" t="str">
            <v>4</v>
          </cell>
          <cell r="E729" t="str">
            <v>0017</v>
          </cell>
          <cell r="F729" t="str">
            <v>0002</v>
          </cell>
          <cell r="G729" t="str">
            <v>1020104</v>
          </cell>
          <cell r="H729" t="str">
            <v>付手续费</v>
          </cell>
          <cell r="I729" t="b">
            <v>0</v>
          </cell>
          <cell r="J729">
            <v>48.25</v>
          </cell>
          <cell r="K729">
            <v>0</v>
          </cell>
          <cell r="L729">
            <v>0</v>
          </cell>
        </row>
        <row r="730">
          <cell r="A730" t="str">
            <v>07</v>
          </cell>
          <cell r="B730" t="str">
            <v>19</v>
          </cell>
          <cell r="C730" t="str">
            <v>07</v>
          </cell>
          <cell r="D730" t="str">
            <v>4</v>
          </cell>
          <cell r="E730" t="str">
            <v>0018</v>
          </cell>
          <cell r="F730" t="str">
            <v>0004</v>
          </cell>
          <cell r="G730" t="str">
            <v>1020104</v>
          </cell>
          <cell r="H730" t="str">
            <v>购材料</v>
          </cell>
          <cell r="I730" t="b">
            <v>0</v>
          </cell>
          <cell r="J730">
            <v>45326</v>
          </cell>
          <cell r="K730">
            <v>0</v>
          </cell>
          <cell r="L730">
            <v>0</v>
          </cell>
        </row>
        <row r="731">
          <cell r="A731" t="str">
            <v>08</v>
          </cell>
          <cell r="B731" t="str">
            <v>04</v>
          </cell>
          <cell r="C731" t="str">
            <v>08</v>
          </cell>
          <cell r="D731" t="str">
            <v>2</v>
          </cell>
          <cell r="E731" t="str">
            <v>0006</v>
          </cell>
          <cell r="F731" t="str">
            <v>0001</v>
          </cell>
          <cell r="G731" t="str">
            <v>1020104</v>
          </cell>
          <cell r="H731" t="str">
            <v>存现金</v>
          </cell>
          <cell r="I731" t="b">
            <v>1</v>
          </cell>
          <cell r="J731">
            <v>150000</v>
          </cell>
          <cell r="K731">
            <v>0</v>
          </cell>
          <cell r="L731">
            <v>0</v>
          </cell>
        </row>
        <row r="732">
          <cell r="A732" t="str">
            <v>08</v>
          </cell>
          <cell r="B732" t="str">
            <v>18</v>
          </cell>
          <cell r="C732" t="str">
            <v>08</v>
          </cell>
          <cell r="D732" t="str">
            <v>2</v>
          </cell>
          <cell r="E732" t="str">
            <v>0018</v>
          </cell>
          <cell r="F732" t="str">
            <v>0004</v>
          </cell>
          <cell r="G732" t="str">
            <v>1020104</v>
          </cell>
          <cell r="H732" t="str">
            <v>存现金</v>
          </cell>
          <cell r="I732" t="b">
            <v>1</v>
          </cell>
          <cell r="J732">
            <v>387447.6</v>
          </cell>
          <cell r="K732">
            <v>0</v>
          </cell>
          <cell r="L732">
            <v>0</v>
          </cell>
        </row>
        <row r="733">
          <cell r="A733" t="str">
            <v>08</v>
          </cell>
          <cell r="B733" t="str">
            <v>02</v>
          </cell>
          <cell r="C733" t="str">
            <v>08</v>
          </cell>
          <cell r="D733" t="str">
            <v>3</v>
          </cell>
          <cell r="E733" t="str">
            <v>0002</v>
          </cell>
          <cell r="F733" t="str">
            <v>0001</v>
          </cell>
          <cell r="G733" t="str">
            <v>1020104</v>
          </cell>
          <cell r="H733" t="str">
            <v>暂借款</v>
          </cell>
          <cell r="I733" t="b">
            <v>1</v>
          </cell>
          <cell r="J733">
            <v>9900000</v>
          </cell>
          <cell r="K733">
            <v>0</v>
          </cell>
          <cell r="L733">
            <v>0</v>
          </cell>
        </row>
        <row r="734">
          <cell r="A734" t="str">
            <v>08</v>
          </cell>
          <cell r="B734" t="str">
            <v>05</v>
          </cell>
          <cell r="C734" t="str">
            <v>08</v>
          </cell>
          <cell r="D734" t="str">
            <v>3</v>
          </cell>
          <cell r="E734" t="str">
            <v>0003</v>
          </cell>
          <cell r="F734" t="str">
            <v>0002</v>
          </cell>
          <cell r="G734" t="str">
            <v>1020104</v>
          </cell>
          <cell r="H734" t="str">
            <v>收存款</v>
          </cell>
          <cell r="I734" t="b">
            <v>1</v>
          </cell>
          <cell r="J734">
            <v>900000</v>
          </cell>
          <cell r="K734">
            <v>0</v>
          </cell>
          <cell r="L734">
            <v>0</v>
          </cell>
        </row>
        <row r="735">
          <cell r="A735" t="str">
            <v>08</v>
          </cell>
          <cell r="B735" t="str">
            <v>18</v>
          </cell>
          <cell r="C735" t="str">
            <v>08</v>
          </cell>
          <cell r="D735" t="str">
            <v>3</v>
          </cell>
          <cell r="E735" t="str">
            <v>0007</v>
          </cell>
          <cell r="F735" t="str">
            <v>0001</v>
          </cell>
          <cell r="G735" t="str">
            <v>1020104</v>
          </cell>
          <cell r="H735" t="str">
            <v>暂借款</v>
          </cell>
          <cell r="I735" t="b">
            <v>1</v>
          </cell>
          <cell r="J735">
            <v>3000000</v>
          </cell>
          <cell r="K735">
            <v>0</v>
          </cell>
          <cell r="L735">
            <v>0</v>
          </cell>
        </row>
        <row r="736">
          <cell r="A736" t="str">
            <v>08</v>
          </cell>
          <cell r="B736" t="str">
            <v>20</v>
          </cell>
          <cell r="C736" t="str">
            <v>08</v>
          </cell>
          <cell r="D736" t="str">
            <v>3</v>
          </cell>
          <cell r="E736" t="str">
            <v>0009</v>
          </cell>
          <cell r="F736" t="str">
            <v>0001</v>
          </cell>
          <cell r="G736" t="str">
            <v>1020104</v>
          </cell>
          <cell r="H736" t="str">
            <v>收货款</v>
          </cell>
          <cell r="I736" t="b">
            <v>1</v>
          </cell>
          <cell r="J736">
            <v>2189019.9500000002</v>
          </cell>
          <cell r="K736">
            <v>0</v>
          </cell>
          <cell r="L736">
            <v>0</v>
          </cell>
        </row>
        <row r="737">
          <cell r="A737" t="str">
            <v>08</v>
          </cell>
          <cell r="B737" t="str">
            <v>01</v>
          </cell>
          <cell r="C737" t="str">
            <v>08</v>
          </cell>
          <cell r="D737" t="str">
            <v>4</v>
          </cell>
          <cell r="E737" t="str">
            <v>0002</v>
          </cell>
          <cell r="F737" t="str">
            <v>0003</v>
          </cell>
          <cell r="G737" t="str">
            <v>1020104</v>
          </cell>
          <cell r="H737" t="str">
            <v>付运费</v>
          </cell>
          <cell r="I737" t="b">
            <v>0</v>
          </cell>
          <cell r="J737">
            <v>6390</v>
          </cell>
          <cell r="K737">
            <v>0</v>
          </cell>
          <cell r="L737">
            <v>0</v>
          </cell>
        </row>
        <row r="738">
          <cell r="A738" t="str">
            <v>08</v>
          </cell>
          <cell r="B738" t="str">
            <v>03</v>
          </cell>
          <cell r="C738" t="str">
            <v>08</v>
          </cell>
          <cell r="D738" t="str">
            <v>4</v>
          </cell>
          <cell r="E738" t="str">
            <v>0003</v>
          </cell>
          <cell r="F738" t="str">
            <v>0002</v>
          </cell>
          <cell r="G738" t="str">
            <v>1020104</v>
          </cell>
          <cell r="H738" t="str">
            <v>付手续费</v>
          </cell>
          <cell r="I738" t="b">
            <v>0</v>
          </cell>
          <cell r="J738">
            <v>516.35</v>
          </cell>
          <cell r="K738">
            <v>0</v>
          </cell>
          <cell r="L738">
            <v>0</v>
          </cell>
        </row>
        <row r="739">
          <cell r="A739" t="str">
            <v>08</v>
          </cell>
          <cell r="B739" t="str">
            <v>03</v>
          </cell>
          <cell r="C739" t="str">
            <v>08</v>
          </cell>
          <cell r="D739" t="str">
            <v>4</v>
          </cell>
          <cell r="E739" t="str">
            <v>0004</v>
          </cell>
          <cell r="F739" t="str">
            <v>0003</v>
          </cell>
          <cell r="G739" t="str">
            <v>1020104</v>
          </cell>
          <cell r="H739" t="str">
            <v>付运费</v>
          </cell>
          <cell r="I739" t="b">
            <v>0</v>
          </cell>
          <cell r="J739">
            <v>21892.2</v>
          </cell>
          <cell r="K739">
            <v>0</v>
          </cell>
          <cell r="L739">
            <v>0</v>
          </cell>
        </row>
        <row r="740">
          <cell r="A740" t="str">
            <v>08</v>
          </cell>
          <cell r="B740" t="str">
            <v>03</v>
          </cell>
          <cell r="C740" t="str">
            <v>08</v>
          </cell>
          <cell r="D740" t="str">
            <v>4</v>
          </cell>
          <cell r="E740" t="str">
            <v>0005</v>
          </cell>
          <cell r="F740" t="str">
            <v>0005</v>
          </cell>
          <cell r="G740" t="str">
            <v>1020104</v>
          </cell>
          <cell r="H740" t="str">
            <v>付工程款.货款</v>
          </cell>
          <cell r="I740" t="b">
            <v>0</v>
          </cell>
          <cell r="J740">
            <v>159000</v>
          </cell>
          <cell r="K740">
            <v>0</v>
          </cell>
          <cell r="L740">
            <v>0</v>
          </cell>
        </row>
        <row r="741">
          <cell r="A741" t="str">
            <v>08</v>
          </cell>
          <cell r="B741" t="str">
            <v>05</v>
          </cell>
          <cell r="C741" t="str">
            <v>08</v>
          </cell>
          <cell r="D741" t="str">
            <v>4</v>
          </cell>
          <cell r="E741" t="str">
            <v>0008</v>
          </cell>
          <cell r="F741" t="str">
            <v>0003</v>
          </cell>
          <cell r="G741" t="str">
            <v>1020104</v>
          </cell>
          <cell r="H741" t="str">
            <v>付审计费.清洗费</v>
          </cell>
          <cell r="I741" t="b">
            <v>0</v>
          </cell>
          <cell r="J741">
            <v>21306.28</v>
          </cell>
          <cell r="K741">
            <v>0</v>
          </cell>
          <cell r="L741">
            <v>0</v>
          </cell>
        </row>
        <row r="742">
          <cell r="A742" t="str">
            <v>08</v>
          </cell>
          <cell r="B742" t="str">
            <v>05</v>
          </cell>
          <cell r="C742" t="str">
            <v>08</v>
          </cell>
          <cell r="D742" t="str">
            <v>4</v>
          </cell>
          <cell r="E742" t="str">
            <v>0009</v>
          </cell>
          <cell r="F742" t="str">
            <v>0005</v>
          </cell>
          <cell r="G742" t="str">
            <v>1020104</v>
          </cell>
          <cell r="H742" t="str">
            <v>暂借款</v>
          </cell>
          <cell r="I742" t="b">
            <v>0</v>
          </cell>
          <cell r="J742">
            <v>2900000</v>
          </cell>
          <cell r="K742">
            <v>0</v>
          </cell>
          <cell r="L742">
            <v>0</v>
          </cell>
        </row>
        <row r="743">
          <cell r="A743" t="str">
            <v>08</v>
          </cell>
          <cell r="B743" t="str">
            <v>06</v>
          </cell>
          <cell r="C743" t="str">
            <v>08</v>
          </cell>
          <cell r="D743" t="str">
            <v>4</v>
          </cell>
          <cell r="E743" t="str">
            <v>0010</v>
          </cell>
          <cell r="F743" t="str">
            <v>0003</v>
          </cell>
          <cell r="G743" t="str">
            <v>1020104</v>
          </cell>
          <cell r="H743" t="str">
            <v>购柴油</v>
          </cell>
          <cell r="I743" t="b">
            <v>0</v>
          </cell>
          <cell r="J743">
            <v>20000</v>
          </cell>
          <cell r="K743">
            <v>0</v>
          </cell>
          <cell r="L743">
            <v>0</v>
          </cell>
        </row>
        <row r="744">
          <cell r="A744" t="str">
            <v>08</v>
          </cell>
          <cell r="B744" t="str">
            <v>06</v>
          </cell>
          <cell r="C744" t="str">
            <v>08</v>
          </cell>
          <cell r="D744" t="str">
            <v>4</v>
          </cell>
          <cell r="E744" t="str">
            <v>0011</v>
          </cell>
          <cell r="F744" t="str">
            <v>0002</v>
          </cell>
          <cell r="G744" t="str">
            <v>1020104</v>
          </cell>
          <cell r="H744" t="str">
            <v>付信息费.认证费</v>
          </cell>
          <cell r="I744" t="b">
            <v>0</v>
          </cell>
          <cell r="J744">
            <v>23402.09</v>
          </cell>
          <cell r="K744">
            <v>0</v>
          </cell>
          <cell r="L744">
            <v>0</v>
          </cell>
        </row>
        <row r="745">
          <cell r="A745" t="str">
            <v>08</v>
          </cell>
          <cell r="B745" t="str">
            <v>06</v>
          </cell>
          <cell r="C745" t="str">
            <v>08</v>
          </cell>
          <cell r="D745" t="str">
            <v>4</v>
          </cell>
          <cell r="E745" t="str">
            <v>0012</v>
          </cell>
          <cell r="F745" t="str">
            <v>0005</v>
          </cell>
          <cell r="G745" t="str">
            <v>1020104</v>
          </cell>
          <cell r="H745" t="str">
            <v>付运杂费</v>
          </cell>
          <cell r="I745" t="b">
            <v>0</v>
          </cell>
          <cell r="J745">
            <v>4090</v>
          </cell>
          <cell r="K745">
            <v>0</v>
          </cell>
          <cell r="L745">
            <v>0</v>
          </cell>
        </row>
        <row r="746">
          <cell r="A746" t="str">
            <v>08</v>
          </cell>
          <cell r="B746" t="str">
            <v>06</v>
          </cell>
          <cell r="C746" t="str">
            <v>08</v>
          </cell>
          <cell r="D746" t="str">
            <v>4</v>
          </cell>
          <cell r="E746" t="str">
            <v>0013</v>
          </cell>
          <cell r="F746" t="str">
            <v>0004</v>
          </cell>
          <cell r="G746" t="str">
            <v>1020104</v>
          </cell>
          <cell r="H746" t="str">
            <v>付运费</v>
          </cell>
          <cell r="I746" t="b">
            <v>0</v>
          </cell>
          <cell r="J746">
            <v>12780</v>
          </cell>
          <cell r="K746">
            <v>0</v>
          </cell>
          <cell r="L746">
            <v>0</v>
          </cell>
        </row>
        <row r="747">
          <cell r="A747" t="str">
            <v>08</v>
          </cell>
          <cell r="B747" t="str">
            <v>08</v>
          </cell>
          <cell r="C747" t="str">
            <v>08</v>
          </cell>
          <cell r="D747" t="str">
            <v>4</v>
          </cell>
          <cell r="E747" t="str">
            <v>0014</v>
          </cell>
          <cell r="F747" t="str">
            <v>0004</v>
          </cell>
          <cell r="G747" t="str">
            <v>1020104</v>
          </cell>
          <cell r="H747" t="str">
            <v>购材料</v>
          </cell>
          <cell r="I747" t="b">
            <v>0</v>
          </cell>
          <cell r="J747">
            <v>5090.8</v>
          </cell>
          <cell r="K747">
            <v>0</v>
          </cell>
          <cell r="L747">
            <v>0</v>
          </cell>
        </row>
        <row r="748">
          <cell r="A748" t="str">
            <v>08</v>
          </cell>
          <cell r="B748" t="str">
            <v>08</v>
          </cell>
          <cell r="C748" t="str">
            <v>08</v>
          </cell>
          <cell r="D748" t="str">
            <v>4</v>
          </cell>
          <cell r="E748" t="str">
            <v>0016</v>
          </cell>
          <cell r="F748" t="str">
            <v>0003</v>
          </cell>
          <cell r="G748" t="str">
            <v>1020104</v>
          </cell>
          <cell r="H748" t="str">
            <v>付存款</v>
          </cell>
          <cell r="I748" t="b">
            <v>0</v>
          </cell>
          <cell r="J748">
            <v>5500000</v>
          </cell>
          <cell r="K748">
            <v>0</v>
          </cell>
          <cell r="L748">
            <v>0</v>
          </cell>
        </row>
        <row r="749">
          <cell r="A749" t="str">
            <v>08</v>
          </cell>
          <cell r="B749" t="str">
            <v>10</v>
          </cell>
          <cell r="C749" t="str">
            <v>08</v>
          </cell>
          <cell r="D749" t="str">
            <v>4</v>
          </cell>
          <cell r="E749" t="str">
            <v>0017</v>
          </cell>
          <cell r="F749" t="str">
            <v>0002</v>
          </cell>
          <cell r="G749" t="str">
            <v>1020104</v>
          </cell>
          <cell r="H749" t="str">
            <v>付税款</v>
          </cell>
          <cell r="I749" t="b">
            <v>0</v>
          </cell>
          <cell r="J749">
            <v>201237.74</v>
          </cell>
          <cell r="K749">
            <v>0</v>
          </cell>
          <cell r="L749">
            <v>0</v>
          </cell>
        </row>
        <row r="750">
          <cell r="A750" t="str">
            <v>08</v>
          </cell>
          <cell r="B750" t="str">
            <v>15</v>
          </cell>
          <cell r="C750" t="str">
            <v>08</v>
          </cell>
          <cell r="D750" t="str">
            <v>4</v>
          </cell>
          <cell r="E750" t="str">
            <v>0018</v>
          </cell>
          <cell r="F750" t="str">
            <v>0004</v>
          </cell>
          <cell r="G750" t="str">
            <v>1020104</v>
          </cell>
          <cell r="H750" t="str">
            <v>暂借款</v>
          </cell>
          <cell r="I750" t="b">
            <v>0</v>
          </cell>
          <cell r="J750">
            <v>2900000</v>
          </cell>
          <cell r="K750">
            <v>0</v>
          </cell>
          <cell r="L750">
            <v>0</v>
          </cell>
        </row>
        <row r="751">
          <cell r="A751" t="str">
            <v>08</v>
          </cell>
          <cell r="B751" t="str">
            <v>15</v>
          </cell>
          <cell r="C751" t="str">
            <v>08</v>
          </cell>
          <cell r="D751" t="str">
            <v>4</v>
          </cell>
          <cell r="E751" t="str">
            <v>0019</v>
          </cell>
          <cell r="F751" t="str">
            <v>0005</v>
          </cell>
          <cell r="G751" t="str">
            <v>1020104</v>
          </cell>
          <cell r="H751" t="str">
            <v>付检测费</v>
          </cell>
          <cell r="I751" t="b">
            <v>0</v>
          </cell>
          <cell r="J751">
            <v>7730</v>
          </cell>
          <cell r="K751">
            <v>0</v>
          </cell>
          <cell r="L751">
            <v>0</v>
          </cell>
        </row>
        <row r="752">
          <cell r="A752" t="str">
            <v>08</v>
          </cell>
          <cell r="B752" t="str">
            <v>15</v>
          </cell>
          <cell r="C752" t="str">
            <v>08</v>
          </cell>
          <cell r="D752" t="str">
            <v>4</v>
          </cell>
          <cell r="E752" t="str">
            <v>0020</v>
          </cell>
          <cell r="F752" t="str">
            <v>0004</v>
          </cell>
          <cell r="G752" t="str">
            <v>1020104</v>
          </cell>
          <cell r="H752" t="str">
            <v>付运费</v>
          </cell>
          <cell r="I752" t="b">
            <v>0</v>
          </cell>
          <cell r="J752">
            <v>6930</v>
          </cell>
          <cell r="K752">
            <v>0</v>
          </cell>
          <cell r="L752">
            <v>0</v>
          </cell>
        </row>
        <row r="753">
          <cell r="A753" t="str">
            <v>08</v>
          </cell>
          <cell r="B753" t="str">
            <v>18</v>
          </cell>
          <cell r="C753" t="str">
            <v>08</v>
          </cell>
          <cell r="D753" t="str">
            <v>4</v>
          </cell>
          <cell r="E753" t="str">
            <v>0021</v>
          </cell>
          <cell r="F753" t="str">
            <v>0004</v>
          </cell>
          <cell r="G753" t="str">
            <v>1020104</v>
          </cell>
          <cell r="H753" t="str">
            <v>付运杂费</v>
          </cell>
          <cell r="I753" t="b">
            <v>0</v>
          </cell>
          <cell r="J753">
            <v>5680</v>
          </cell>
          <cell r="K753">
            <v>0</v>
          </cell>
          <cell r="L753">
            <v>0</v>
          </cell>
        </row>
        <row r="754">
          <cell r="A754" t="str">
            <v>08</v>
          </cell>
          <cell r="B754" t="str">
            <v>18</v>
          </cell>
          <cell r="C754" t="str">
            <v>08</v>
          </cell>
          <cell r="D754" t="str">
            <v>4</v>
          </cell>
          <cell r="E754" t="str">
            <v>0023</v>
          </cell>
          <cell r="F754" t="str">
            <v>0003</v>
          </cell>
          <cell r="G754" t="str">
            <v>1020104</v>
          </cell>
          <cell r="H754" t="str">
            <v>付手续费</v>
          </cell>
          <cell r="I754" t="b">
            <v>0</v>
          </cell>
          <cell r="J754">
            <v>1478.98</v>
          </cell>
          <cell r="K754">
            <v>0</v>
          </cell>
          <cell r="L754">
            <v>0</v>
          </cell>
        </row>
        <row r="755">
          <cell r="A755" t="str">
            <v>08</v>
          </cell>
          <cell r="B755" t="str">
            <v>20</v>
          </cell>
          <cell r="C755" t="str">
            <v>08</v>
          </cell>
          <cell r="D755" t="str">
            <v>4</v>
          </cell>
          <cell r="E755" t="str">
            <v>0024</v>
          </cell>
          <cell r="F755" t="str">
            <v>0002</v>
          </cell>
          <cell r="G755" t="str">
            <v>1020104</v>
          </cell>
          <cell r="H755" t="str">
            <v>付邮寄费</v>
          </cell>
          <cell r="I755" t="b">
            <v>0</v>
          </cell>
          <cell r="J755">
            <v>2319</v>
          </cell>
          <cell r="K755">
            <v>0</v>
          </cell>
          <cell r="L755">
            <v>0</v>
          </cell>
        </row>
        <row r="756">
          <cell r="A756" t="str">
            <v>08</v>
          </cell>
          <cell r="B756" t="str">
            <v>20</v>
          </cell>
          <cell r="C756" t="str">
            <v>08</v>
          </cell>
          <cell r="D756" t="str">
            <v>4</v>
          </cell>
          <cell r="E756" t="str">
            <v>0025</v>
          </cell>
          <cell r="F756" t="str">
            <v>0004</v>
          </cell>
          <cell r="G756" t="str">
            <v>1020104</v>
          </cell>
          <cell r="H756" t="str">
            <v>购材料</v>
          </cell>
          <cell r="I756" t="b">
            <v>0</v>
          </cell>
          <cell r="J756">
            <v>37780</v>
          </cell>
          <cell r="K756">
            <v>0</v>
          </cell>
          <cell r="L756">
            <v>0</v>
          </cell>
        </row>
        <row r="757">
          <cell r="A757" t="str">
            <v>08</v>
          </cell>
          <cell r="B757" t="str">
            <v>22</v>
          </cell>
          <cell r="C757" t="str">
            <v>08</v>
          </cell>
          <cell r="D757" t="str">
            <v>4</v>
          </cell>
          <cell r="E757" t="str">
            <v>0030</v>
          </cell>
          <cell r="F757" t="str">
            <v>0005</v>
          </cell>
          <cell r="G757" t="str">
            <v>1020104</v>
          </cell>
          <cell r="H757" t="str">
            <v>付货款</v>
          </cell>
          <cell r="I757" t="b">
            <v>0</v>
          </cell>
          <cell r="J757">
            <v>2467310</v>
          </cell>
          <cell r="K757">
            <v>0</v>
          </cell>
          <cell r="L757">
            <v>0</v>
          </cell>
        </row>
        <row r="758">
          <cell r="A758" t="str">
            <v>08</v>
          </cell>
          <cell r="B758" t="str">
            <v>22</v>
          </cell>
          <cell r="C758" t="str">
            <v>08</v>
          </cell>
          <cell r="D758" t="str">
            <v>4</v>
          </cell>
          <cell r="E758" t="str">
            <v>0031</v>
          </cell>
          <cell r="F758" t="str">
            <v>0004</v>
          </cell>
          <cell r="G758" t="str">
            <v>1020104</v>
          </cell>
          <cell r="H758" t="str">
            <v>付货款</v>
          </cell>
          <cell r="I758" t="b">
            <v>0</v>
          </cell>
          <cell r="J758">
            <v>353950</v>
          </cell>
          <cell r="K758">
            <v>0</v>
          </cell>
          <cell r="L758">
            <v>0</v>
          </cell>
        </row>
        <row r="759">
          <cell r="A759" t="str">
            <v>08</v>
          </cell>
          <cell r="B759" t="str">
            <v>22</v>
          </cell>
          <cell r="C759" t="str">
            <v>08</v>
          </cell>
          <cell r="D759" t="str">
            <v>4</v>
          </cell>
          <cell r="E759" t="str">
            <v>0032</v>
          </cell>
          <cell r="F759" t="str">
            <v>0001</v>
          </cell>
          <cell r="G759" t="str">
            <v>1020104</v>
          </cell>
          <cell r="H759" t="str">
            <v>调汇USD278.80*8.2672</v>
          </cell>
          <cell r="I759" t="b">
            <v>1</v>
          </cell>
          <cell r="J759">
            <v>2304.9</v>
          </cell>
          <cell r="K759">
            <v>0</v>
          </cell>
          <cell r="L759">
            <v>0</v>
          </cell>
        </row>
        <row r="760">
          <cell r="A760" t="str">
            <v>09</v>
          </cell>
          <cell r="B760" t="str">
            <v>01</v>
          </cell>
          <cell r="C760" t="str">
            <v>09</v>
          </cell>
          <cell r="D760" t="str">
            <v>3</v>
          </cell>
          <cell r="E760" t="str">
            <v>0001</v>
          </cell>
          <cell r="F760" t="str">
            <v>0001</v>
          </cell>
          <cell r="G760" t="str">
            <v>1020104</v>
          </cell>
          <cell r="H760" t="str">
            <v>暂借款</v>
          </cell>
          <cell r="I760" t="b">
            <v>1</v>
          </cell>
          <cell r="J760">
            <v>3000000</v>
          </cell>
          <cell r="K760">
            <v>0</v>
          </cell>
          <cell r="L760">
            <v>0</v>
          </cell>
        </row>
        <row r="761">
          <cell r="A761" t="str">
            <v>09</v>
          </cell>
          <cell r="B761" t="str">
            <v>05</v>
          </cell>
          <cell r="C761" t="str">
            <v>09</v>
          </cell>
          <cell r="D761" t="str">
            <v>3</v>
          </cell>
          <cell r="E761" t="str">
            <v>0003</v>
          </cell>
          <cell r="F761" t="str">
            <v>0001</v>
          </cell>
          <cell r="G761" t="str">
            <v>1020104</v>
          </cell>
          <cell r="H761" t="str">
            <v>收借款</v>
          </cell>
          <cell r="I761" t="b">
            <v>1</v>
          </cell>
          <cell r="J761">
            <v>9500000</v>
          </cell>
          <cell r="K761">
            <v>0</v>
          </cell>
          <cell r="L761">
            <v>0</v>
          </cell>
        </row>
        <row r="762">
          <cell r="A762" t="str">
            <v>09</v>
          </cell>
          <cell r="B762" t="str">
            <v>10</v>
          </cell>
          <cell r="C762" t="str">
            <v>09</v>
          </cell>
          <cell r="D762" t="str">
            <v>3</v>
          </cell>
          <cell r="E762" t="str">
            <v>0004</v>
          </cell>
          <cell r="F762" t="str">
            <v>0001</v>
          </cell>
          <cell r="G762" t="str">
            <v>1020104</v>
          </cell>
          <cell r="H762" t="str">
            <v>收存款利息</v>
          </cell>
          <cell r="I762" t="b">
            <v>1</v>
          </cell>
          <cell r="J762">
            <v>5253.28</v>
          </cell>
          <cell r="K762">
            <v>0</v>
          </cell>
          <cell r="L762">
            <v>0</v>
          </cell>
        </row>
        <row r="763">
          <cell r="A763" t="str">
            <v>09</v>
          </cell>
          <cell r="B763" t="str">
            <v>21</v>
          </cell>
          <cell r="C763" t="str">
            <v>09</v>
          </cell>
          <cell r="D763" t="str">
            <v>3</v>
          </cell>
          <cell r="E763" t="str">
            <v>0006</v>
          </cell>
          <cell r="F763" t="str">
            <v>0002</v>
          </cell>
          <cell r="G763" t="str">
            <v>1020104</v>
          </cell>
          <cell r="H763" t="str">
            <v>暂借款</v>
          </cell>
          <cell r="I763" t="b">
            <v>1</v>
          </cell>
          <cell r="J763">
            <v>2700000</v>
          </cell>
          <cell r="K763">
            <v>0</v>
          </cell>
          <cell r="L763">
            <v>0</v>
          </cell>
        </row>
        <row r="764">
          <cell r="A764" t="str">
            <v>09</v>
          </cell>
          <cell r="B764" t="str">
            <v>23</v>
          </cell>
          <cell r="C764" t="str">
            <v>09</v>
          </cell>
          <cell r="D764" t="str">
            <v>3</v>
          </cell>
          <cell r="E764" t="str">
            <v>0010</v>
          </cell>
          <cell r="F764" t="str">
            <v>0001</v>
          </cell>
          <cell r="G764" t="str">
            <v>1020104</v>
          </cell>
          <cell r="H764" t="str">
            <v>收货款</v>
          </cell>
          <cell r="I764" t="b">
            <v>1</v>
          </cell>
          <cell r="J764">
            <v>898726.85</v>
          </cell>
          <cell r="K764">
            <v>0</v>
          </cell>
          <cell r="L764">
            <v>0</v>
          </cell>
        </row>
        <row r="765">
          <cell r="A765" t="str">
            <v>09</v>
          </cell>
          <cell r="B765" t="str">
            <v>23</v>
          </cell>
          <cell r="C765" t="str">
            <v>09</v>
          </cell>
          <cell r="D765" t="str">
            <v>3</v>
          </cell>
          <cell r="E765" t="str">
            <v>0011</v>
          </cell>
          <cell r="F765" t="str">
            <v>0002</v>
          </cell>
          <cell r="G765" t="str">
            <v>1020104</v>
          </cell>
          <cell r="H765" t="str">
            <v>收货款</v>
          </cell>
          <cell r="I765" t="b">
            <v>1</v>
          </cell>
          <cell r="J765">
            <v>149136.62</v>
          </cell>
          <cell r="K765">
            <v>0</v>
          </cell>
          <cell r="L765">
            <v>0</v>
          </cell>
        </row>
        <row r="766">
          <cell r="A766" t="str">
            <v>09</v>
          </cell>
          <cell r="B766" t="str">
            <v>01</v>
          </cell>
          <cell r="C766" t="str">
            <v>09</v>
          </cell>
          <cell r="D766" t="str">
            <v>4</v>
          </cell>
          <cell r="E766" t="str">
            <v>0003</v>
          </cell>
          <cell r="F766" t="str">
            <v>0004</v>
          </cell>
          <cell r="G766" t="str">
            <v>1020104</v>
          </cell>
          <cell r="H766" t="str">
            <v>付运费</v>
          </cell>
          <cell r="I766" t="b">
            <v>0</v>
          </cell>
          <cell r="J766">
            <v>39170.199999999997</v>
          </cell>
          <cell r="K766">
            <v>0</v>
          </cell>
          <cell r="L766">
            <v>0</v>
          </cell>
        </row>
        <row r="767">
          <cell r="A767" t="str">
            <v>09</v>
          </cell>
          <cell r="B767" t="str">
            <v>03</v>
          </cell>
          <cell r="C767" t="str">
            <v>09</v>
          </cell>
          <cell r="D767" t="str">
            <v>4</v>
          </cell>
          <cell r="E767" t="str">
            <v>0004</v>
          </cell>
          <cell r="F767" t="str">
            <v>0004</v>
          </cell>
          <cell r="G767" t="str">
            <v>1020104</v>
          </cell>
          <cell r="H767" t="str">
            <v>付电话费</v>
          </cell>
          <cell r="I767" t="b">
            <v>0</v>
          </cell>
          <cell r="J767">
            <v>10228</v>
          </cell>
          <cell r="K767">
            <v>0</v>
          </cell>
          <cell r="L767">
            <v>0</v>
          </cell>
        </row>
        <row r="768">
          <cell r="A768" t="str">
            <v>09</v>
          </cell>
          <cell r="B768" t="str">
            <v>04</v>
          </cell>
          <cell r="C768" t="str">
            <v>09</v>
          </cell>
          <cell r="D768" t="str">
            <v>4</v>
          </cell>
          <cell r="E768" t="str">
            <v>0005</v>
          </cell>
          <cell r="F768" t="str">
            <v>0003</v>
          </cell>
          <cell r="G768" t="str">
            <v>1020104</v>
          </cell>
          <cell r="H768" t="str">
            <v>付手续费</v>
          </cell>
          <cell r="I768" t="b">
            <v>0</v>
          </cell>
          <cell r="J768">
            <v>136.25</v>
          </cell>
          <cell r="K768">
            <v>0</v>
          </cell>
          <cell r="L768">
            <v>0</v>
          </cell>
        </row>
        <row r="769">
          <cell r="A769" t="str">
            <v>09</v>
          </cell>
          <cell r="B769" t="str">
            <v>04</v>
          </cell>
          <cell r="C769" t="str">
            <v>09</v>
          </cell>
          <cell r="D769" t="str">
            <v>4</v>
          </cell>
          <cell r="E769" t="str">
            <v>0006</v>
          </cell>
          <cell r="F769" t="str">
            <v>0006</v>
          </cell>
          <cell r="G769" t="str">
            <v>1020104</v>
          </cell>
          <cell r="H769" t="str">
            <v>付货款</v>
          </cell>
          <cell r="I769" t="b">
            <v>0</v>
          </cell>
          <cell r="J769">
            <v>1313425.47</v>
          </cell>
          <cell r="K769">
            <v>0</v>
          </cell>
          <cell r="L769">
            <v>0</v>
          </cell>
        </row>
        <row r="770">
          <cell r="A770" t="str">
            <v>09</v>
          </cell>
          <cell r="B770" t="str">
            <v>06</v>
          </cell>
          <cell r="C770" t="str">
            <v>09</v>
          </cell>
          <cell r="D770" t="str">
            <v>4</v>
          </cell>
          <cell r="E770" t="str">
            <v>0007</v>
          </cell>
          <cell r="F770" t="str">
            <v>0004</v>
          </cell>
          <cell r="G770" t="str">
            <v>1020104</v>
          </cell>
          <cell r="H770" t="str">
            <v>付借款利息</v>
          </cell>
          <cell r="I770" t="b">
            <v>0</v>
          </cell>
          <cell r="J770">
            <v>179706.67</v>
          </cell>
          <cell r="K770">
            <v>0</v>
          </cell>
          <cell r="L770">
            <v>0</v>
          </cell>
        </row>
        <row r="771">
          <cell r="A771" t="str">
            <v>09</v>
          </cell>
          <cell r="B771" t="str">
            <v>06</v>
          </cell>
          <cell r="C771" t="str">
            <v>09</v>
          </cell>
          <cell r="D771" t="str">
            <v>4</v>
          </cell>
          <cell r="E771" t="str">
            <v>0008</v>
          </cell>
          <cell r="F771" t="str">
            <v>0004</v>
          </cell>
          <cell r="G771" t="str">
            <v>1020104</v>
          </cell>
          <cell r="H771" t="str">
            <v>购材料</v>
          </cell>
          <cell r="I771" t="b">
            <v>0</v>
          </cell>
          <cell r="J771">
            <v>219050</v>
          </cell>
          <cell r="K771">
            <v>0</v>
          </cell>
          <cell r="L771">
            <v>0</v>
          </cell>
        </row>
        <row r="772">
          <cell r="A772" t="str">
            <v>09</v>
          </cell>
          <cell r="B772" t="str">
            <v>06</v>
          </cell>
          <cell r="C772" t="str">
            <v>09</v>
          </cell>
          <cell r="D772" t="str">
            <v>4</v>
          </cell>
          <cell r="E772" t="str">
            <v>0009</v>
          </cell>
          <cell r="F772" t="str">
            <v>0004</v>
          </cell>
          <cell r="G772" t="str">
            <v>1020104</v>
          </cell>
          <cell r="H772" t="str">
            <v>暂借款</v>
          </cell>
          <cell r="I772" t="b">
            <v>0</v>
          </cell>
          <cell r="J772">
            <v>5706580</v>
          </cell>
          <cell r="K772">
            <v>0</v>
          </cell>
          <cell r="L772">
            <v>0</v>
          </cell>
        </row>
        <row r="773">
          <cell r="A773" t="str">
            <v>09</v>
          </cell>
          <cell r="B773" t="str">
            <v>08</v>
          </cell>
          <cell r="C773" t="str">
            <v>09</v>
          </cell>
          <cell r="D773" t="str">
            <v>4</v>
          </cell>
          <cell r="E773" t="str">
            <v>0011</v>
          </cell>
          <cell r="F773" t="str">
            <v>0004</v>
          </cell>
          <cell r="G773" t="str">
            <v>1020104</v>
          </cell>
          <cell r="H773" t="str">
            <v>暂借款</v>
          </cell>
          <cell r="I773" t="b">
            <v>0</v>
          </cell>
          <cell r="J773">
            <v>2850000</v>
          </cell>
          <cell r="K773">
            <v>0</v>
          </cell>
          <cell r="L773">
            <v>0</v>
          </cell>
        </row>
        <row r="774">
          <cell r="A774" t="str">
            <v>09</v>
          </cell>
          <cell r="B774" t="str">
            <v>12</v>
          </cell>
          <cell r="C774" t="str">
            <v>09</v>
          </cell>
          <cell r="D774" t="str">
            <v>4</v>
          </cell>
          <cell r="E774" t="str">
            <v>0013</v>
          </cell>
          <cell r="F774" t="str">
            <v>0005</v>
          </cell>
          <cell r="G774" t="str">
            <v>1020104</v>
          </cell>
          <cell r="H774" t="str">
            <v>付港杂费</v>
          </cell>
          <cell r="I774" t="b">
            <v>0</v>
          </cell>
          <cell r="J774">
            <v>9058</v>
          </cell>
          <cell r="K774">
            <v>0</v>
          </cell>
          <cell r="L774">
            <v>0</v>
          </cell>
        </row>
        <row r="775">
          <cell r="A775" t="str">
            <v>09</v>
          </cell>
          <cell r="B775" t="str">
            <v>12</v>
          </cell>
          <cell r="C775" t="str">
            <v>09</v>
          </cell>
          <cell r="D775" t="str">
            <v>4</v>
          </cell>
          <cell r="E775" t="str">
            <v>0014</v>
          </cell>
          <cell r="F775" t="str">
            <v>0004</v>
          </cell>
          <cell r="G775" t="str">
            <v>1020104</v>
          </cell>
          <cell r="H775" t="str">
            <v>付港杂费</v>
          </cell>
          <cell r="I775" t="b">
            <v>0</v>
          </cell>
          <cell r="J775">
            <v>7280</v>
          </cell>
          <cell r="K775">
            <v>0</v>
          </cell>
          <cell r="L775">
            <v>0</v>
          </cell>
        </row>
        <row r="776">
          <cell r="A776" t="str">
            <v>09</v>
          </cell>
          <cell r="B776" t="str">
            <v>12</v>
          </cell>
          <cell r="C776" t="str">
            <v>09</v>
          </cell>
          <cell r="D776" t="str">
            <v>4</v>
          </cell>
          <cell r="E776" t="str">
            <v>0015</v>
          </cell>
          <cell r="F776" t="str">
            <v>0002</v>
          </cell>
          <cell r="G776" t="str">
            <v>1020104</v>
          </cell>
          <cell r="H776" t="str">
            <v>付进口无菌袋报关费等</v>
          </cell>
          <cell r="I776" t="b">
            <v>0</v>
          </cell>
          <cell r="J776">
            <v>4546</v>
          </cell>
          <cell r="K776">
            <v>0</v>
          </cell>
          <cell r="L776">
            <v>0</v>
          </cell>
        </row>
        <row r="777">
          <cell r="A777" t="str">
            <v>09</v>
          </cell>
          <cell r="B777" t="str">
            <v>14</v>
          </cell>
          <cell r="C777" t="str">
            <v>09</v>
          </cell>
          <cell r="D777" t="str">
            <v>4</v>
          </cell>
          <cell r="E777" t="str">
            <v>0017</v>
          </cell>
          <cell r="F777" t="str">
            <v>0003</v>
          </cell>
          <cell r="G777" t="str">
            <v>1020104</v>
          </cell>
          <cell r="H777" t="str">
            <v>付水电费</v>
          </cell>
          <cell r="I777" t="b">
            <v>0</v>
          </cell>
          <cell r="J777">
            <v>65941.399999999994</v>
          </cell>
          <cell r="K777">
            <v>0</v>
          </cell>
          <cell r="L777">
            <v>0</v>
          </cell>
        </row>
        <row r="778">
          <cell r="A778" t="str">
            <v>09</v>
          </cell>
          <cell r="B778" t="str">
            <v>15</v>
          </cell>
          <cell r="C778" t="str">
            <v>09</v>
          </cell>
          <cell r="D778" t="str">
            <v>4</v>
          </cell>
          <cell r="E778" t="str">
            <v>0018</v>
          </cell>
          <cell r="F778" t="str">
            <v>0004</v>
          </cell>
          <cell r="G778" t="str">
            <v>1020104</v>
          </cell>
          <cell r="H778" t="str">
            <v>购材料</v>
          </cell>
          <cell r="I778" t="b">
            <v>0</v>
          </cell>
          <cell r="J778">
            <v>52448.13</v>
          </cell>
          <cell r="K778">
            <v>0</v>
          </cell>
          <cell r="L778">
            <v>0</v>
          </cell>
        </row>
        <row r="779">
          <cell r="A779" t="str">
            <v>09</v>
          </cell>
          <cell r="B779" t="str">
            <v>15</v>
          </cell>
          <cell r="C779" t="str">
            <v>09</v>
          </cell>
          <cell r="D779" t="str">
            <v>4</v>
          </cell>
          <cell r="E779" t="str">
            <v>0020</v>
          </cell>
          <cell r="F779" t="str">
            <v>0006</v>
          </cell>
          <cell r="G779" t="str">
            <v>1020104</v>
          </cell>
          <cell r="H779" t="str">
            <v>暂借款</v>
          </cell>
          <cell r="I779" t="b">
            <v>0</v>
          </cell>
          <cell r="J779">
            <v>2100000</v>
          </cell>
          <cell r="K779">
            <v>0</v>
          </cell>
          <cell r="L779">
            <v>0</v>
          </cell>
        </row>
        <row r="780">
          <cell r="A780" t="str">
            <v>09</v>
          </cell>
          <cell r="B780" t="str">
            <v>20</v>
          </cell>
          <cell r="C780" t="str">
            <v>09</v>
          </cell>
          <cell r="D780" t="str">
            <v>4</v>
          </cell>
          <cell r="E780" t="str">
            <v>0022</v>
          </cell>
          <cell r="F780" t="str">
            <v>0003</v>
          </cell>
          <cell r="G780" t="str">
            <v>1020104</v>
          </cell>
          <cell r="H780" t="str">
            <v>付手续费.利息</v>
          </cell>
          <cell r="I780" t="b">
            <v>0</v>
          </cell>
          <cell r="J780">
            <v>114250.59</v>
          </cell>
          <cell r="K780">
            <v>0</v>
          </cell>
          <cell r="L780">
            <v>0</v>
          </cell>
        </row>
        <row r="781">
          <cell r="A781" t="str">
            <v>09</v>
          </cell>
          <cell r="B781" t="str">
            <v>23</v>
          </cell>
          <cell r="C781" t="str">
            <v>09</v>
          </cell>
          <cell r="D781" t="str">
            <v>4</v>
          </cell>
          <cell r="E781" t="str">
            <v>0023</v>
          </cell>
          <cell r="F781" t="str">
            <v>0002</v>
          </cell>
          <cell r="G781" t="str">
            <v>1020104</v>
          </cell>
          <cell r="H781" t="str">
            <v>转户</v>
          </cell>
          <cell r="I781" t="b">
            <v>0</v>
          </cell>
          <cell r="J781">
            <v>600000</v>
          </cell>
          <cell r="K781">
            <v>0</v>
          </cell>
          <cell r="L781">
            <v>0</v>
          </cell>
        </row>
        <row r="782">
          <cell r="A782" t="str">
            <v>09</v>
          </cell>
          <cell r="B782" t="str">
            <v>23</v>
          </cell>
          <cell r="C782" t="str">
            <v>09</v>
          </cell>
          <cell r="D782" t="str">
            <v>4</v>
          </cell>
          <cell r="E782" t="str">
            <v>0023</v>
          </cell>
          <cell r="F782" t="str">
            <v>0005</v>
          </cell>
          <cell r="G782" t="str">
            <v>1020104</v>
          </cell>
          <cell r="H782" t="str">
            <v>暂借款</v>
          </cell>
          <cell r="I782" t="b">
            <v>0</v>
          </cell>
          <cell r="J782">
            <v>2100000</v>
          </cell>
          <cell r="K782">
            <v>0</v>
          </cell>
          <cell r="L782">
            <v>0</v>
          </cell>
        </row>
        <row r="783">
          <cell r="A783" t="str">
            <v>09</v>
          </cell>
          <cell r="B783" t="str">
            <v>23</v>
          </cell>
          <cell r="C783" t="str">
            <v>09</v>
          </cell>
          <cell r="D783" t="str">
            <v>4</v>
          </cell>
          <cell r="E783" t="str">
            <v>0024</v>
          </cell>
          <cell r="F783" t="str">
            <v>0005</v>
          </cell>
          <cell r="G783" t="str">
            <v>1020104</v>
          </cell>
          <cell r="H783" t="str">
            <v>付运费</v>
          </cell>
          <cell r="I783" t="b">
            <v>0</v>
          </cell>
          <cell r="J783">
            <v>7080</v>
          </cell>
          <cell r="K783">
            <v>0</v>
          </cell>
          <cell r="L783">
            <v>0</v>
          </cell>
        </row>
        <row r="784">
          <cell r="A784" t="str">
            <v>09</v>
          </cell>
          <cell r="B784" t="str">
            <v>23</v>
          </cell>
          <cell r="C784" t="str">
            <v>09</v>
          </cell>
          <cell r="D784" t="str">
            <v>4</v>
          </cell>
          <cell r="E784" t="str">
            <v>0025</v>
          </cell>
          <cell r="F784" t="str">
            <v>0007</v>
          </cell>
          <cell r="G784" t="str">
            <v>1020104</v>
          </cell>
          <cell r="H784" t="str">
            <v>付港杂费</v>
          </cell>
          <cell r="I784" t="b">
            <v>0</v>
          </cell>
          <cell r="J784">
            <v>6890</v>
          </cell>
          <cell r="K784">
            <v>0</v>
          </cell>
          <cell r="L784">
            <v>0</v>
          </cell>
        </row>
        <row r="785">
          <cell r="A785" t="str">
            <v>09</v>
          </cell>
          <cell r="B785" t="str">
            <v>23</v>
          </cell>
          <cell r="C785" t="str">
            <v>09</v>
          </cell>
          <cell r="D785" t="str">
            <v>4</v>
          </cell>
          <cell r="E785" t="str">
            <v>0026</v>
          </cell>
          <cell r="F785" t="str">
            <v>0004</v>
          </cell>
          <cell r="G785" t="str">
            <v>1020104</v>
          </cell>
          <cell r="H785" t="str">
            <v>购材料</v>
          </cell>
          <cell r="I785" t="b">
            <v>0</v>
          </cell>
          <cell r="J785">
            <v>557957.5</v>
          </cell>
          <cell r="K785">
            <v>0</v>
          </cell>
          <cell r="L785">
            <v>0</v>
          </cell>
        </row>
        <row r="786">
          <cell r="A786" t="str">
            <v>09</v>
          </cell>
          <cell r="B786" t="str">
            <v>23</v>
          </cell>
          <cell r="C786" t="str">
            <v>09</v>
          </cell>
          <cell r="D786" t="str">
            <v>4</v>
          </cell>
          <cell r="E786" t="str">
            <v>0027</v>
          </cell>
          <cell r="F786" t="str">
            <v>0002</v>
          </cell>
          <cell r="G786" t="str">
            <v>1020104</v>
          </cell>
          <cell r="H786" t="str">
            <v>付ZLB01.02.03#发票港杂费</v>
          </cell>
          <cell r="I786" t="b">
            <v>0</v>
          </cell>
          <cell r="J786">
            <v>157530.9</v>
          </cell>
          <cell r="K786">
            <v>0</v>
          </cell>
          <cell r="L786">
            <v>0</v>
          </cell>
        </row>
        <row r="787">
          <cell r="A787" t="str">
            <v>09</v>
          </cell>
          <cell r="B787" t="str">
            <v>23</v>
          </cell>
          <cell r="C787" t="str">
            <v>09</v>
          </cell>
          <cell r="D787" t="str">
            <v>4</v>
          </cell>
          <cell r="E787" t="str">
            <v>0028</v>
          </cell>
          <cell r="F787" t="str">
            <v>0004</v>
          </cell>
          <cell r="G787" t="str">
            <v>1020104</v>
          </cell>
          <cell r="H787" t="str">
            <v>付货款</v>
          </cell>
          <cell r="I787" t="b">
            <v>0</v>
          </cell>
          <cell r="J787">
            <v>120500</v>
          </cell>
          <cell r="K787">
            <v>0</v>
          </cell>
          <cell r="L787">
            <v>0</v>
          </cell>
        </row>
        <row r="788">
          <cell r="A788" t="str">
            <v>09</v>
          </cell>
          <cell r="B788" t="str">
            <v>23</v>
          </cell>
          <cell r="C788" t="str">
            <v>09</v>
          </cell>
          <cell r="D788" t="str">
            <v>4</v>
          </cell>
          <cell r="E788" t="str">
            <v>0029</v>
          </cell>
          <cell r="F788" t="str">
            <v>0004</v>
          </cell>
          <cell r="G788" t="str">
            <v>1020104</v>
          </cell>
          <cell r="H788" t="str">
            <v>购材料</v>
          </cell>
          <cell r="I788" t="b">
            <v>0</v>
          </cell>
          <cell r="J788">
            <v>59000</v>
          </cell>
          <cell r="K788">
            <v>0</v>
          </cell>
          <cell r="L788">
            <v>0</v>
          </cell>
        </row>
        <row r="789">
          <cell r="A789" t="str">
            <v>10</v>
          </cell>
          <cell r="B789" t="str">
            <v>01</v>
          </cell>
          <cell r="C789" t="str">
            <v>10</v>
          </cell>
          <cell r="D789" t="str">
            <v>3</v>
          </cell>
          <cell r="E789" t="str">
            <v>0001</v>
          </cell>
          <cell r="F789" t="str">
            <v>0002</v>
          </cell>
          <cell r="G789" t="str">
            <v>1020104</v>
          </cell>
          <cell r="H789" t="str">
            <v>暂借款</v>
          </cell>
          <cell r="I789" t="b">
            <v>1</v>
          </cell>
          <cell r="J789">
            <v>750000</v>
          </cell>
          <cell r="K789">
            <v>0</v>
          </cell>
          <cell r="L789">
            <v>0</v>
          </cell>
        </row>
        <row r="790">
          <cell r="A790" t="str">
            <v>10</v>
          </cell>
          <cell r="B790" t="str">
            <v>18</v>
          </cell>
          <cell r="C790" t="str">
            <v>10</v>
          </cell>
          <cell r="D790" t="str">
            <v>3</v>
          </cell>
          <cell r="E790" t="str">
            <v>0003</v>
          </cell>
          <cell r="F790" t="str">
            <v>0001</v>
          </cell>
          <cell r="G790" t="str">
            <v>1020104</v>
          </cell>
          <cell r="H790" t="str">
            <v>收借款</v>
          </cell>
          <cell r="I790" t="b">
            <v>1</v>
          </cell>
          <cell r="J790">
            <v>22000000</v>
          </cell>
          <cell r="K790">
            <v>0</v>
          </cell>
          <cell r="L790">
            <v>0</v>
          </cell>
        </row>
        <row r="791">
          <cell r="A791" t="str">
            <v>10</v>
          </cell>
          <cell r="B791" t="str">
            <v>20</v>
          </cell>
          <cell r="C791" t="str">
            <v>10</v>
          </cell>
          <cell r="D791" t="str">
            <v>3</v>
          </cell>
          <cell r="E791" t="str">
            <v>0006</v>
          </cell>
          <cell r="F791" t="str">
            <v>0001</v>
          </cell>
          <cell r="G791" t="str">
            <v>1020104</v>
          </cell>
          <cell r="H791" t="str">
            <v>收货款</v>
          </cell>
          <cell r="I791" t="b">
            <v>1</v>
          </cell>
          <cell r="J791">
            <v>1196573.02</v>
          </cell>
          <cell r="K791">
            <v>0</v>
          </cell>
          <cell r="L791">
            <v>0</v>
          </cell>
        </row>
        <row r="792">
          <cell r="A792" t="str">
            <v>10</v>
          </cell>
          <cell r="B792" t="str">
            <v>20</v>
          </cell>
          <cell r="C792" t="str">
            <v>10</v>
          </cell>
          <cell r="D792" t="str">
            <v>3</v>
          </cell>
          <cell r="E792" t="str">
            <v>0008</v>
          </cell>
          <cell r="F792" t="str">
            <v>0001</v>
          </cell>
          <cell r="G792" t="str">
            <v>1020104</v>
          </cell>
          <cell r="H792" t="str">
            <v>收货款</v>
          </cell>
          <cell r="I792" t="b">
            <v>1</v>
          </cell>
          <cell r="J792">
            <v>1154807.48</v>
          </cell>
          <cell r="K792">
            <v>0</v>
          </cell>
          <cell r="L792">
            <v>0</v>
          </cell>
        </row>
        <row r="793">
          <cell r="A793" t="str">
            <v>10</v>
          </cell>
          <cell r="B793" t="str">
            <v>01</v>
          </cell>
          <cell r="C793" t="str">
            <v>10</v>
          </cell>
          <cell r="D793" t="str">
            <v>4</v>
          </cell>
          <cell r="E793" t="str">
            <v>0002</v>
          </cell>
          <cell r="F793" t="str">
            <v>0003</v>
          </cell>
          <cell r="G793" t="str">
            <v>1020104</v>
          </cell>
          <cell r="H793" t="str">
            <v>付利息</v>
          </cell>
          <cell r="I793" t="b">
            <v>0</v>
          </cell>
          <cell r="J793">
            <v>227218.53</v>
          </cell>
          <cell r="K793">
            <v>0</v>
          </cell>
          <cell r="L793">
            <v>0</v>
          </cell>
        </row>
        <row r="794">
          <cell r="A794" t="str">
            <v>10</v>
          </cell>
          <cell r="B794" t="str">
            <v>01</v>
          </cell>
          <cell r="C794" t="str">
            <v>10</v>
          </cell>
          <cell r="D794" t="str">
            <v>4</v>
          </cell>
          <cell r="E794" t="str">
            <v>0003</v>
          </cell>
          <cell r="F794" t="str">
            <v>0002</v>
          </cell>
          <cell r="G794" t="str">
            <v>1020104</v>
          </cell>
          <cell r="H794" t="str">
            <v>付决算手续费.土地评估费.登记费</v>
          </cell>
          <cell r="I794" t="b">
            <v>0</v>
          </cell>
          <cell r="J794">
            <v>35551</v>
          </cell>
          <cell r="K794">
            <v>0</v>
          </cell>
          <cell r="L794">
            <v>0</v>
          </cell>
        </row>
        <row r="795">
          <cell r="A795" t="str">
            <v>10</v>
          </cell>
          <cell r="B795" t="str">
            <v>03</v>
          </cell>
          <cell r="C795" t="str">
            <v>10</v>
          </cell>
          <cell r="D795" t="str">
            <v>4</v>
          </cell>
          <cell r="E795" t="str">
            <v>0004</v>
          </cell>
          <cell r="F795" t="str">
            <v>0004</v>
          </cell>
          <cell r="G795" t="str">
            <v>1020104</v>
          </cell>
          <cell r="H795" t="str">
            <v>暂借款</v>
          </cell>
          <cell r="I795" t="b">
            <v>0</v>
          </cell>
          <cell r="J795">
            <v>35369.879999999997</v>
          </cell>
          <cell r="K795">
            <v>0</v>
          </cell>
          <cell r="L795">
            <v>0</v>
          </cell>
        </row>
        <row r="796">
          <cell r="A796" t="str">
            <v>10</v>
          </cell>
          <cell r="B796" t="str">
            <v>03</v>
          </cell>
          <cell r="C796" t="str">
            <v>10</v>
          </cell>
          <cell r="D796" t="str">
            <v>4</v>
          </cell>
          <cell r="E796" t="str">
            <v>0005</v>
          </cell>
          <cell r="F796" t="str">
            <v>0003</v>
          </cell>
          <cell r="G796" t="str">
            <v>1020104</v>
          </cell>
          <cell r="H796" t="str">
            <v>付房费</v>
          </cell>
          <cell r="I796" t="b">
            <v>0</v>
          </cell>
          <cell r="J796">
            <v>61515.4</v>
          </cell>
          <cell r="K796">
            <v>0</v>
          </cell>
          <cell r="L796">
            <v>0</v>
          </cell>
        </row>
        <row r="797">
          <cell r="A797" t="str">
            <v>10</v>
          </cell>
          <cell r="B797" t="str">
            <v>05</v>
          </cell>
          <cell r="C797" t="str">
            <v>10</v>
          </cell>
          <cell r="D797" t="str">
            <v>4</v>
          </cell>
          <cell r="E797" t="str">
            <v>0007</v>
          </cell>
          <cell r="F797" t="str">
            <v>0006</v>
          </cell>
          <cell r="G797" t="str">
            <v>1020104</v>
          </cell>
          <cell r="H797" t="str">
            <v>付电话费.董事会费</v>
          </cell>
          <cell r="I797" t="b">
            <v>0</v>
          </cell>
          <cell r="J797">
            <v>110656</v>
          </cell>
          <cell r="K797">
            <v>0</v>
          </cell>
          <cell r="L797">
            <v>0</v>
          </cell>
        </row>
        <row r="798">
          <cell r="A798" t="str">
            <v>10</v>
          </cell>
          <cell r="B798" t="str">
            <v>05</v>
          </cell>
          <cell r="C798" t="str">
            <v>10</v>
          </cell>
          <cell r="D798" t="str">
            <v>4</v>
          </cell>
          <cell r="E798" t="str">
            <v>0009</v>
          </cell>
          <cell r="F798" t="str">
            <v>0004</v>
          </cell>
          <cell r="G798" t="str">
            <v>1020104</v>
          </cell>
          <cell r="H798" t="str">
            <v>付税款</v>
          </cell>
          <cell r="I798" t="b">
            <v>0</v>
          </cell>
          <cell r="J798">
            <v>1616366.65</v>
          </cell>
          <cell r="K798">
            <v>0</v>
          </cell>
          <cell r="L798">
            <v>0</v>
          </cell>
        </row>
        <row r="799">
          <cell r="A799" t="str">
            <v>10</v>
          </cell>
          <cell r="B799" t="str">
            <v>07</v>
          </cell>
          <cell r="C799" t="str">
            <v>10</v>
          </cell>
          <cell r="D799" t="str">
            <v>4</v>
          </cell>
          <cell r="E799" t="str">
            <v>0010</v>
          </cell>
          <cell r="F799" t="str">
            <v>0002</v>
          </cell>
          <cell r="G799" t="str">
            <v>1020104</v>
          </cell>
          <cell r="H799" t="str">
            <v>付业务费</v>
          </cell>
          <cell r="I799" t="b">
            <v>0</v>
          </cell>
          <cell r="J799">
            <v>51705.98</v>
          </cell>
          <cell r="K799">
            <v>0</v>
          </cell>
          <cell r="L799">
            <v>0</v>
          </cell>
        </row>
        <row r="800">
          <cell r="A800" t="str">
            <v>10</v>
          </cell>
          <cell r="B800" t="str">
            <v>10</v>
          </cell>
          <cell r="C800" t="str">
            <v>10</v>
          </cell>
          <cell r="D800" t="str">
            <v>4</v>
          </cell>
          <cell r="E800" t="str">
            <v>0011</v>
          </cell>
          <cell r="F800" t="str">
            <v>0004</v>
          </cell>
          <cell r="G800" t="str">
            <v>1020104</v>
          </cell>
          <cell r="H800" t="str">
            <v>付待业金</v>
          </cell>
          <cell r="I800" t="b">
            <v>0</v>
          </cell>
          <cell r="J800">
            <v>58600</v>
          </cell>
          <cell r="K800">
            <v>0</v>
          </cell>
          <cell r="L800">
            <v>0</v>
          </cell>
        </row>
        <row r="801">
          <cell r="A801" t="str">
            <v>10</v>
          </cell>
          <cell r="B801" t="str">
            <v>12</v>
          </cell>
          <cell r="C801" t="str">
            <v>10</v>
          </cell>
          <cell r="D801" t="str">
            <v>4</v>
          </cell>
          <cell r="E801" t="str">
            <v>0013</v>
          </cell>
          <cell r="F801" t="str">
            <v>0003</v>
          </cell>
          <cell r="G801" t="str">
            <v>1020104</v>
          </cell>
          <cell r="H801" t="str">
            <v>付手续费</v>
          </cell>
          <cell r="I801" t="b">
            <v>0</v>
          </cell>
          <cell r="J801">
            <v>2386.4</v>
          </cell>
          <cell r="K801">
            <v>0</v>
          </cell>
          <cell r="L801">
            <v>0</v>
          </cell>
        </row>
        <row r="802">
          <cell r="A802" t="str">
            <v>10</v>
          </cell>
          <cell r="B802" t="str">
            <v>17</v>
          </cell>
          <cell r="C802" t="str">
            <v>10</v>
          </cell>
          <cell r="D802" t="str">
            <v>4</v>
          </cell>
          <cell r="E802" t="str">
            <v>0014</v>
          </cell>
          <cell r="F802" t="str">
            <v>0005</v>
          </cell>
          <cell r="G802" t="str">
            <v>1020104</v>
          </cell>
          <cell r="H802" t="str">
            <v>付工程款</v>
          </cell>
          <cell r="I802" t="b">
            <v>0</v>
          </cell>
          <cell r="J802">
            <v>1000000</v>
          </cell>
          <cell r="K802">
            <v>0</v>
          </cell>
          <cell r="L802">
            <v>0</v>
          </cell>
        </row>
        <row r="803">
          <cell r="A803" t="str">
            <v>10</v>
          </cell>
          <cell r="B803" t="str">
            <v>17</v>
          </cell>
          <cell r="C803" t="str">
            <v>10</v>
          </cell>
          <cell r="D803" t="str">
            <v>4</v>
          </cell>
          <cell r="E803" t="str">
            <v>0015</v>
          </cell>
          <cell r="F803" t="str">
            <v>0010</v>
          </cell>
          <cell r="G803" t="str">
            <v>1020104</v>
          </cell>
          <cell r="H803" t="str">
            <v>付运费</v>
          </cell>
          <cell r="I803" t="b">
            <v>0</v>
          </cell>
          <cell r="J803">
            <v>74700</v>
          </cell>
          <cell r="K803">
            <v>0</v>
          </cell>
          <cell r="L803">
            <v>0</v>
          </cell>
        </row>
        <row r="804">
          <cell r="A804" t="str">
            <v>10</v>
          </cell>
          <cell r="B804" t="str">
            <v>18</v>
          </cell>
          <cell r="C804" t="str">
            <v>10</v>
          </cell>
          <cell r="D804" t="str">
            <v>4</v>
          </cell>
          <cell r="E804" t="str">
            <v>0016</v>
          </cell>
          <cell r="F804" t="str">
            <v>0005</v>
          </cell>
          <cell r="G804" t="str">
            <v>1020104</v>
          </cell>
          <cell r="H804" t="str">
            <v>暂借款</v>
          </cell>
          <cell r="I804" t="b">
            <v>0</v>
          </cell>
          <cell r="J804">
            <v>4170000</v>
          </cell>
          <cell r="K804">
            <v>0</v>
          </cell>
          <cell r="L804">
            <v>0</v>
          </cell>
        </row>
        <row r="805">
          <cell r="A805" t="str">
            <v>10</v>
          </cell>
          <cell r="B805" t="str">
            <v>20</v>
          </cell>
          <cell r="C805" t="str">
            <v>10</v>
          </cell>
          <cell r="D805" t="str">
            <v>4</v>
          </cell>
          <cell r="E805" t="str">
            <v>0017</v>
          </cell>
          <cell r="F805" t="str">
            <v>0004</v>
          </cell>
          <cell r="G805" t="str">
            <v>1020104</v>
          </cell>
          <cell r="H805" t="str">
            <v>暂借款</v>
          </cell>
          <cell r="I805" t="b">
            <v>0</v>
          </cell>
          <cell r="J805">
            <v>13015689</v>
          </cell>
          <cell r="K805">
            <v>0</v>
          </cell>
          <cell r="L805">
            <v>0</v>
          </cell>
        </row>
        <row r="806">
          <cell r="A806" t="str">
            <v>10</v>
          </cell>
          <cell r="B806" t="str">
            <v>20</v>
          </cell>
          <cell r="C806" t="str">
            <v>10</v>
          </cell>
          <cell r="D806" t="str">
            <v>4</v>
          </cell>
          <cell r="E806" t="str">
            <v>0018</v>
          </cell>
          <cell r="F806" t="str">
            <v>0005</v>
          </cell>
          <cell r="G806" t="str">
            <v>1020104</v>
          </cell>
          <cell r="H806" t="str">
            <v>暂借款</v>
          </cell>
          <cell r="I806" t="b">
            <v>0</v>
          </cell>
          <cell r="J806">
            <v>4400000</v>
          </cell>
          <cell r="K806">
            <v>0</v>
          </cell>
          <cell r="L806">
            <v>0</v>
          </cell>
        </row>
        <row r="807">
          <cell r="A807" t="str">
            <v>10</v>
          </cell>
          <cell r="B807" t="str">
            <v>20</v>
          </cell>
          <cell r="C807" t="str">
            <v>10</v>
          </cell>
          <cell r="D807" t="str">
            <v>4</v>
          </cell>
          <cell r="E807" t="str">
            <v>0019</v>
          </cell>
          <cell r="F807" t="str">
            <v>0009</v>
          </cell>
          <cell r="G807" t="str">
            <v>1020104</v>
          </cell>
          <cell r="H807" t="str">
            <v>付货款</v>
          </cell>
          <cell r="I807" t="b">
            <v>0</v>
          </cell>
          <cell r="J807">
            <v>226710</v>
          </cell>
          <cell r="K807">
            <v>0</v>
          </cell>
          <cell r="L807">
            <v>0</v>
          </cell>
        </row>
        <row r="808">
          <cell r="A808" t="str">
            <v>10</v>
          </cell>
          <cell r="B808" t="str">
            <v>21</v>
          </cell>
          <cell r="C808" t="str">
            <v>10</v>
          </cell>
          <cell r="D808" t="str">
            <v>4</v>
          </cell>
          <cell r="E808" t="str">
            <v>0020</v>
          </cell>
          <cell r="F808" t="str">
            <v>0005</v>
          </cell>
          <cell r="G808" t="str">
            <v>1020104</v>
          </cell>
          <cell r="H808" t="str">
            <v>付运费</v>
          </cell>
          <cell r="I808" t="b">
            <v>0</v>
          </cell>
          <cell r="J808">
            <v>9775</v>
          </cell>
          <cell r="K808">
            <v>0</v>
          </cell>
          <cell r="L808">
            <v>0</v>
          </cell>
        </row>
        <row r="809">
          <cell r="A809" t="str">
            <v>10</v>
          </cell>
          <cell r="B809" t="str">
            <v>21</v>
          </cell>
          <cell r="C809" t="str">
            <v>10</v>
          </cell>
          <cell r="D809" t="str">
            <v>4</v>
          </cell>
          <cell r="E809" t="str">
            <v>0021</v>
          </cell>
          <cell r="F809" t="str">
            <v>0005</v>
          </cell>
          <cell r="G809" t="str">
            <v>1020104</v>
          </cell>
          <cell r="H809" t="str">
            <v>付运费</v>
          </cell>
          <cell r="I809" t="b">
            <v>0</v>
          </cell>
          <cell r="J809">
            <v>16035</v>
          </cell>
          <cell r="K809">
            <v>0</v>
          </cell>
          <cell r="L809">
            <v>0</v>
          </cell>
        </row>
        <row r="810">
          <cell r="A810" t="str">
            <v>10</v>
          </cell>
          <cell r="B810" t="str">
            <v>22</v>
          </cell>
          <cell r="C810" t="str">
            <v>10</v>
          </cell>
          <cell r="D810" t="str">
            <v>4</v>
          </cell>
          <cell r="E810" t="str">
            <v>0023</v>
          </cell>
          <cell r="F810" t="str">
            <v>0004</v>
          </cell>
          <cell r="G810" t="str">
            <v>1020104</v>
          </cell>
          <cell r="H810" t="str">
            <v>付陆运费</v>
          </cell>
          <cell r="I810" t="b">
            <v>0</v>
          </cell>
          <cell r="J810">
            <v>19670</v>
          </cell>
          <cell r="K810">
            <v>0</v>
          </cell>
          <cell r="L810">
            <v>0</v>
          </cell>
        </row>
        <row r="811">
          <cell r="A811" t="str">
            <v>10</v>
          </cell>
          <cell r="B811" t="str">
            <v>22</v>
          </cell>
          <cell r="C811" t="str">
            <v>10</v>
          </cell>
          <cell r="D811" t="str">
            <v>4</v>
          </cell>
          <cell r="E811" t="str">
            <v>0024</v>
          </cell>
          <cell r="F811" t="str">
            <v>0004</v>
          </cell>
          <cell r="G811" t="str">
            <v>1020104</v>
          </cell>
          <cell r="H811" t="str">
            <v>购材料</v>
          </cell>
          <cell r="I811" t="b">
            <v>0</v>
          </cell>
          <cell r="J811">
            <v>41389.65</v>
          </cell>
          <cell r="K811">
            <v>0</v>
          </cell>
          <cell r="L811">
            <v>0</v>
          </cell>
        </row>
        <row r="812">
          <cell r="A812" t="str">
            <v>10</v>
          </cell>
          <cell r="B812" t="str">
            <v>22</v>
          </cell>
          <cell r="C812" t="str">
            <v>10</v>
          </cell>
          <cell r="D812" t="str">
            <v>4</v>
          </cell>
          <cell r="E812" t="str">
            <v>0026</v>
          </cell>
          <cell r="F812" t="str">
            <v>0005</v>
          </cell>
          <cell r="G812" t="str">
            <v>1020104</v>
          </cell>
          <cell r="H812" t="str">
            <v>购材料</v>
          </cell>
          <cell r="I812" t="b">
            <v>0</v>
          </cell>
          <cell r="J812">
            <v>342645.5</v>
          </cell>
          <cell r="K812">
            <v>0</v>
          </cell>
          <cell r="L812">
            <v>0</v>
          </cell>
        </row>
        <row r="813">
          <cell r="A813" t="str">
            <v>10</v>
          </cell>
          <cell r="B813" t="str">
            <v>22</v>
          </cell>
          <cell r="C813" t="str">
            <v>10</v>
          </cell>
          <cell r="D813" t="str">
            <v>4</v>
          </cell>
          <cell r="E813" t="str">
            <v>0027</v>
          </cell>
          <cell r="F813" t="str">
            <v>0003</v>
          </cell>
          <cell r="G813" t="str">
            <v>1020104</v>
          </cell>
          <cell r="H813" t="str">
            <v>付水费</v>
          </cell>
          <cell r="I813" t="b">
            <v>0</v>
          </cell>
          <cell r="J813">
            <v>25494.85</v>
          </cell>
          <cell r="K813">
            <v>0</v>
          </cell>
          <cell r="L813">
            <v>0</v>
          </cell>
        </row>
        <row r="814">
          <cell r="A814" t="str">
            <v>10</v>
          </cell>
          <cell r="B814" t="str">
            <v>22</v>
          </cell>
          <cell r="C814" t="str">
            <v>10</v>
          </cell>
          <cell r="D814" t="str">
            <v>4</v>
          </cell>
          <cell r="E814" t="str">
            <v>0029</v>
          </cell>
          <cell r="F814" t="str">
            <v>0005</v>
          </cell>
          <cell r="G814" t="str">
            <v>1020104</v>
          </cell>
          <cell r="H814" t="str">
            <v>付海运费</v>
          </cell>
          <cell r="I814" t="b">
            <v>0</v>
          </cell>
          <cell r="J814">
            <v>927265.44</v>
          </cell>
          <cell r="K814">
            <v>0</v>
          </cell>
          <cell r="L814">
            <v>0</v>
          </cell>
        </row>
        <row r="815">
          <cell r="A815" t="str">
            <v>11</v>
          </cell>
          <cell r="B815" t="str">
            <v>01</v>
          </cell>
          <cell r="C815" t="str">
            <v>11</v>
          </cell>
          <cell r="D815" t="str">
            <v>3</v>
          </cell>
          <cell r="E815" t="str">
            <v>0001</v>
          </cell>
          <cell r="F815" t="str">
            <v>0001</v>
          </cell>
          <cell r="G815" t="str">
            <v>1020104</v>
          </cell>
          <cell r="H815" t="str">
            <v>退汇一支</v>
          </cell>
          <cell r="I815" t="b">
            <v>1</v>
          </cell>
          <cell r="J815">
            <v>1500000</v>
          </cell>
          <cell r="K815">
            <v>0</v>
          </cell>
          <cell r="L815">
            <v>0</v>
          </cell>
        </row>
        <row r="816">
          <cell r="A816" t="str">
            <v>11</v>
          </cell>
          <cell r="B816" t="str">
            <v>03</v>
          </cell>
          <cell r="C816" t="str">
            <v>11</v>
          </cell>
          <cell r="D816" t="str">
            <v>3</v>
          </cell>
          <cell r="E816" t="str">
            <v>0002</v>
          </cell>
          <cell r="F816" t="str">
            <v>0003</v>
          </cell>
          <cell r="G816" t="str">
            <v>1020104</v>
          </cell>
          <cell r="H816" t="str">
            <v>收借款</v>
          </cell>
          <cell r="I816" t="b">
            <v>1</v>
          </cell>
          <cell r="J816">
            <v>8000000</v>
          </cell>
          <cell r="K816">
            <v>0</v>
          </cell>
          <cell r="L816">
            <v>0</v>
          </cell>
        </row>
        <row r="817">
          <cell r="A817" t="str">
            <v>11</v>
          </cell>
          <cell r="B817" t="str">
            <v>16</v>
          </cell>
          <cell r="C817" t="str">
            <v>11</v>
          </cell>
          <cell r="D817" t="str">
            <v>3</v>
          </cell>
          <cell r="E817" t="str">
            <v>0003</v>
          </cell>
          <cell r="F817" t="str">
            <v>0001</v>
          </cell>
          <cell r="G817" t="str">
            <v>1020104</v>
          </cell>
          <cell r="H817" t="str">
            <v>收借款</v>
          </cell>
          <cell r="I817" t="b">
            <v>1</v>
          </cell>
          <cell r="J817">
            <v>10000000</v>
          </cell>
          <cell r="K817">
            <v>0</v>
          </cell>
          <cell r="L817">
            <v>0</v>
          </cell>
        </row>
        <row r="818">
          <cell r="A818" t="str">
            <v>11</v>
          </cell>
          <cell r="B818" t="str">
            <v>21</v>
          </cell>
          <cell r="C818" t="str">
            <v>11</v>
          </cell>
          <cell r="D818" t="str">
            <v>3</v>
          </cell>
          <cell r="E818" t="str">
            <v>0004</v>
          </cell>
          <cell r="F818" t="str">
            <v>0002</v>
          </cell>
          <cell r="G818" t="str">
            <v>1020104</v>
          </cell>
          <cell r="H818" t="str">
            <v>暂借款</v>
          </cell>
          <cell r="I818" t="b">
            <v>1</v>
          </cell>
          <cell r="J818">
            <v>1000000</v>
          </cell>
          <cell r="K818">
            <v>0</v>
          </cell>
          <cell r="L818">
            <v>0</v>
          </cell>
        </row>
        <row r="819">
          <cell r="A819" t="str">
            <v>11</v>
          </cell>
          <cell r="B819" t="str">
            <v>21</v>
          </cell>
          <cell r="C819" t="str">
            <v>11</v>
          </cell>
          <cell r="D819" t="str">
            <v>3</v>
          </cell>
          <cell r="E819" t="str">
            <v>0005</v>
          </cell>
          <cell r="F819" t="str">
            <v>0001</v>
          </cell>
          <cell r="G819" t="str">
            <v>1020104</v>
          </cell>
          <cell r="H819" t="str">
            <v>退汇一支</v>
          </cell>
          <cell r="I819" t="b">
            <v>1</v>
          </cell>
          <cell r="J819">
            <v>250</v>
          </cell>
          <cell r="K819">
            <v>0</v>
          </cell>
          <cell r="L819">
            <v>0</v>
          </cell>
        </row>
        <row r="820">
          <cell r="A820" t="str">
            <v>11</v>
          </cell>
          <cell r="B820" t="str">
            <v>24</v>
          </cell>
          <cell r="C820" t="str">
            <v>11</v>
          </cell>
          <cell r="D820" t="str">
            <v>3</v>
          </cell>
          <cell r="E820" t="str">
            <v>0008</v>
          </cell>
          <cell r="F820" t="str">
            <v>0002</v>
          </cell>
          <cell r="G820" t="str">
            <v>1020104</v>
          </cell>
          <cell r="H820" t="str">
            <v>收货款</v>
          </cell>
          <cell r="I820" t="b">
            <v>1</v>
          </cell>
          <cell r="J820">
            <v>1148576.8600000001</v>
          </cell>
          <cell r="K820">
            <v>0</v>
          </cell>
          <cell r="L820">
            <v>0</v>
          </cell>
        </row>
        <row r="821">
          <cell r="A821" t="str">
            <v>11</v>
          </cell>
          <cell r="B821" t="str">
            <v>24</v>
          </cell>
          <cell r="C821" t="str">
            <v>11</v>
          </cell>
          <cell r="D821" t="str">
            <v>3</v>
          </cell>
          <cell r="E821" t="str">
            <v>0009</v>
          </cell>
          <cell r="F821" t="str">
            <v>0001</v>
          </cell>
          <cell r="G821" t="str">
            <v>1020104</v>
          </cell>
          <cell r="H821" t="str">
            <v>收货款</v>
          </cell>
          <cell r="I821" t="b">
            <v>1</v>
          </cell>
          <cell r="J821">
            <v>1868657.56</v>
          </cell>
          <cell r="K821">
            <v>0</v>
          </cell>
          <cell r="L821">
            <v>0</v>
          </cell>
        </row>
        <row r="822">
          <cell r="A822" t="str">
            <v>11</v>
          </cell>
          <cell r="B822" t="str">
            <v>24</v>
          </cell>
          <cell r="C822" t="str">
            <v>11</v>
          </cell>
          <cell r="D822" t="str">
            <v>3</v>
          </cell>
          <cell r="E822" t="str">
            <v>0010</v>
          </cell>
          <cell r="F822" t="str">
            <v>0001</v>
          </cell>
          <cell r="G822" t="str">
            <v>1020104</v>
          </cell>
          <cell r="H822" t="str">
            <v>收货款</v>
          </cell>
          <cell r="I822" t="b">
            <v>1</v>
          </cell>
          <cell r="J822">
            <v>1242779.8999999999</v>
          </cell>
          <cell r="K822">
            <v>0</v>
          </cell>
          <cell r="L822">
            <v>0</v>
          </cell>
        </row>
        <row r="823">
          <cell r="A823" t="str">
            <v>11</v>
          </cell>
          <cell r="B823" t="str">
            <v>24</v>
          </cell>
          <cell r="C823" t="str">
            <v>11</v>
          </cell>
          <cell r="D823" t="str">
            <v>3</v>
          </cell>
          <cell r="E823" t="str">
            <v>0011</v>
          </cell>
          <cell r="F823" t="str">
            <v>0001</v>
          </cell>
          <cell r="G823" t="str">
            <v>1020104</v>
          </cell>
          <cell r="H823" t="str">
            <v>收货款</v>
          </cell>
          <cell r="I823" t="b">
            <v>1</v>
          </cell>
          <cell r="J823">
            <v>1566961.99</v>
          </cell>
          <cell r="K823">
            <v>0</v>
          </cell>
          <cell r="L823">
            <v>0</v>
          </cell>
        </row>
        <row r="824">
          <cell r="A824" t="str">
            <v>11</v>
          </cell>
          <cell r="B824" t="str">
            <v>02</v>
          </cell>
          <cell r="C824" t="str">
            <v>11</v>
          </cell>
          <cell r="D824" t="str">
            <v>4</v>
          </cell>
          <cell r="E824" t="str">
            <v>0003</v>
          </cell>
          <cell r="F824" t="str">
            <v>0003</v>
          </cell>
          <cell r="G824" t="str">
            <v>1020104</v>
          </cell>
          <cell r="H824" t="str">
            <v>付结算手续费</v>
          </cell>
          <cell r="I824" t="b">
            <v>0</v>
          </cell>
          <cell r="J824">
            <v>530.38</v>
          </cell>
          <cell r="K824">
            <v>0</v>
          </cell>
          <cell r="L824">
            <v>0</v>
          </cell>
        </row>
        <row r="825">
          <cell r="A825" t="str">
            <v>11</v>
          </cell>
          <cell r="B825" t="str">
            <v>03</v>
          </cell>
          <cell r="C825" t="str">
            <v>11</v>
          </cell>
          <cell r="D825" t="str">
            <v>4</v>
          </cell>
          <cell r="E825" t="str">
            <v>0004</v>
          </cell>
          <cell r="F825" t="str">
            <v>0006</v>
          </cell>
          <cell r="G825" t="str">
            <v>1020104</v>
          </cell>
          <cell r="H825" t="str">
            <v>购飞机票等</v>
          </cell>
          <cell r="I825" t="b">
            <v>0</v>
          </cell>
          <cell r="J825">
            <v>70186</v>
          </cell>
          <cell r="K825">
            <v>0</v>
          </cell>
          <cell r="L825">
            <v>0</v>
          </cell>
        </row>
        <row r="826">
          <cell r="A826" t="str">
            <v>11</v>
          </cell>
          <cell r="B826" t="str">
            <v>03</v>
          </cell>
          <cell r="C826" t="str">
            <v>11</v>
          </cell>
          <cell r="D826" t="str">
            <v>4</v>
          </cell>
          <cell r="E826" t="str">
            <v>0005</v>
          </cell>
          <cell r="F826" t="str">
            <v>0003</v>
          </cell>
          <cell r="G826" t="str">
            <v>1020104</v>
          </cell>
          <cell r="H826" t="str">
            <v>付苹果汁反倾销应诉款</v>
          </cell>
          <cell r="I826" t="b">
            <v>0</v>
          </cell>
          <cell r="J826">
            <v>3652286</v>
          </cell>
          <cell r="K826">
            <v>0</v>
          </cell>
          <cell r="L826">
            <v>0</v>
          </cell>
        </row>
        <row r="827">
          <cell r="A827" t="str">
            <v>11</v>
          </cell>
          <cell r="B827" t="str">
            <v>06</v>
          </cell>
          <cell r="C827" t="str">
            <v>11</v>
          </cell>
          <cell r="D827" t="str">
            <v>4</v>
          </cell>
          <cell r="E827" t="str">
            <v>0006</v>
          </cell>
          <cell r="F827" t="str">
            <v>0002</v>
          </cell>
          <cell r="G827" t="str">
            <v>1020104</v>
          </cell>
          <cell r="H827" t="str">
            <v>暂借款</v>
          </cell>
          <cell r="I827" t="b">
            <v>0</v>
          </cell>
          <cell r="J827">
            <v>137960.66</v>
          </cell>
          <cell r="K827">
            <v>0</v>
          </cell>
          <cell r="L827">
            <v>0</v>
          </cell>
        </row>
        <row r="828">
          <cell r="A828" t="str">
            <v>11</v>
          </cell>
          <cell r="B828" t="str">
            <v>07</v>
          </cell>
          <cell r="C828" t="str">
            <v>11</v>
          </cell>
          <cell r="D828" t="str">
            <v>4</v>
          </cell>
          <cell r="E828" t="str">
            <v>0007</v>
          </cell>
          <cell r="F828" t="str">
            <v>0004</v>
          </cell>
          <cell r="G828" t="str">
            <v>1020104</v>
          </cell>
          <cell r="H828" t="str">
            <v>暂借款</v>
          </cell>
          <cell r="I828" t="b">
            <v>0</v>
          </cell>
          <cell r="J828">
            <v>96213.96</v>
          </cell>
          <cell r="K828">
            <v>0</v>
          </cell>
          <cell r="L828">
            <v>0</v>
          </cell>
        </row>
        <row r="829">
          <cell r="A829" t="str">
            <v>11</v>
          </cell>
          <cell r="B829" t="str">
            <v>10</v>
          </cell>
          <cell r="C829" t="str">
            <v>11</v>
          </cell>
          <cell r="D829" t="str">
            <v>4</v>
          </cell>
          <cell r="E829" t="str">
            <v>0008</v>
          </cell>
          <cell r="F829" t="str">
            <v>0004</v>
          </cell>
          <cell r="G829" t="str">
            <v>1020104</v>
          </cell>
          <cell r="H829" t="str">
            <v>暂借款</v>
          </cell>
          <cell r="I829" t="b">
            <v>0</v>
          </cell>
          <cell r="J829">
            <v>5300000</v>
          </cell>
          <cell r="K829">
            <v>0</v>
          </cell>
          <cell r="L829">
            <v>0</v>
          </cell>
        </row>
        <row r="830">
          <cell r="A830" t="str">
            <v>11</v>
          </cell>
          <cell r="B830" t="str">
            <v>10</v>
          </cell>
          <cell r="C830" t="str">
            <v>11</v>
          </cell>
          <cell r="D830" t="str">
            <v>4</v>
          </cell>
          <cell r="E830" t="str">
            <v>0009</v>
          </cell>
          <cell r="F830" t="str">
            <v>0003</v>
          </cell>
          <cell r="G830" t="str">
            <v>1020104</v>
          </cell>
          <cell r="H830" t="str">
            <v>暂借款</v>
          </cell>
          <cell r="I830" t="b">
            <v>0</v>
          </cell>
          <cell r="J830">
            <v>1700000</v>
          </cell>
          <cell r="K830">
            <v>0</v>
          </cell>
          <cell r="L830">
            <v>0</v>
          </cell>
        </row>
        <row r="831">
          <cell r="A831" t="str">
            <v>11</v>
          </cell>
          <cell r="B831" t="str">
            <v>10</v>
          </cell>
          <cell r="C831" t="str">
            <v>11</v>
          </cell>
          <cell r="D831" t="str">
            <v>4</v>
          </cell>
          <cell r="E831" t="str">
            <v>0010</v>
          </cell>
          <cell r="F831" t="str">
            <v>0003</v>
          </cell>
          <cell r="G831" t="str">
            <v>1020104</v>
          </cell>
          <cell r="H831" t="str">
            <v>付运费</v>
          </cell>
          <cell r="I831" t="b">
            <v>0</v>
          </cell>
          <cell r="J831">
            <v>40389.839999999997</v>
          </cell>
          <cell r="K831">
            <v>0</v>
          </cell>
          <cell r="L831">
            <v>0</v>
          </cell>
        </row>
        <row r="832">
          <cell r="A832" t="str">
            <v>11</v>
          </cell>
          <cell r="B832" t="str">
            <v>13</v>
          </cell>
          <cell r="C832" t="str">
            <v>11</v>
          </cell>
          <cell r="D832" t="str">
            <v>4</v>
          </cell>
          <cell r="E832" t="str">
            <v>0011</v>
          </cell>
          <cell r="F832" t="str">
            <v>0006</v>
          </cell>
          <cell r="G832" t="str">
            <v>1020104</v>
          </cell>
          <cell r="H832" t="str">
            <v>付运费</v>
          </cell>
          <cell r="I832" t="b">
            <v>0</v>
          </cell>
          <cell r="J832">
            <v>28105</v>
          </cell>
          <cell r="K832">
            <v>0</v>
          </cell>
          <cell r="L832">
            <v>0</v>
          </cell>
        </row>
        <row r="833">
          <cell r="A833" t="str">
            <v>11</v>
          </cell>
          <cell r="B833" t="str">
            <v>13</v>
          </cell>
          <cell r="C833" t="str">
            <v>11</v>
          </cell>
          <cell r="D833" t="str">
            <v>4</v>
          </cell>
          <cell r="E833" t="str">
            <v>0012</v>
          </cell>
          <cell r="F833" t="str">
            <v>0002</v>
          </cell>
          <cell r="G833" t="str">
            <v>1020104</v>
          </cell>
          <cell r="H833" t="str">
            <v>付税款</v>
          </cell>
          <cell r="I833" t="b">
            <v>0</v>
          </cell>
          <cell r="J833">
            <v>367542.89</v>
          </cell>
          <cell r="K833">
            <v>0</v>
          </cell>
          <cell r="L833">
            <v>0</v>
          </cell>
        </row>
        <row r="834">
          <cell r="A834" t="str">
            <v>11</v>
          </cell>
          <cell r="B834" t="str">
            <v>13</v>
          </cell>
          <cell r="C834" t="str">
            <v>11</v>
          </cell>
          <cell r="D834" t="str">
            <v>4</v>
          </cell>
          <cell r="E834" t="str">
            <v>0013</v>
          </cell>
          <cell r="F834" t="str">
            <v>0005</v>
          </cell>
          <cell r="G834" t="str">
            <v>1020104</v>
          </cell>
          <cell r="H834" t="str">
            <v>付运费</v>
          </cell>
          <cell r="I834" t="b">
            <v>0</v>
          </cell>
          <cell r="J834">
            <v>8540</v>
          </cell>
          <cell r="K834">
            <v>0</v>
          </cell>
          <cell r="L834">
            <v>0</v>
          </cell>
        </row>
        <row r="835">
          <cell r="A835" t="str">
            <v>11</v>
          </cell>
          <cell r="B835" t="str">
            <v>13</v>
          </cell>
          <cell r="C835" t="str">
            <v>11</v>
          </cell>
          <cell r="D835" t="str">
            <v>4</v>
          </cell>
          <cell r="E835" t="str">
            <v>0014</v>
          </cell>
          <cell r="F835" t="str">
            <v>0002</v>
          </cell>
          <cell r="G835" t="str">
            <v>1020104</v>
          </cell>
          <cell r="H835" t="str">
            <v>付ZLA00025.ZLA00022/23#杂费</v>
          </cell>
          <cell r="I835" t="b">
            <v>0</v>
          </cell>
          <cell r="J835">
            <v>31393</v>
          </cell>
          <cell r="K835">
            <v>0</v>
          </cell>
          <cell r="L835">
            <v>0</v>
          </cell>
        </row>
        <row r="836">
          <cell r="A836" t="str">
            <v>11</v>
          </cell>
          <cell r="B836" t="str">
            <v>14</v>
          </cell>
          <cell r="C836" t="str">
            <v>11</v>
          </cell>
          <cell r="D836" t="str">
            <v>4</v>
          </cell>
          <cell r="E836" t="str">
            <v>0015</v>
          </cell>
          <cell r="F836" t="str">
            <v>0004</v>
          </cell>
          <cell r="G836" t="str">
            <v>1020104</v>
          </cell>
          <cell r="H836" t="str">
            <v>购材料</v>
          </cell>
          <cell r="I836" t="b">
            <v>0</v>
          </cell>
          <cell r="J836">
            <v>73065.05</v>
          </cell>
          <cell r="K836">
            <v>0</v>
          </cell>
          <cell r="L836">
            <v>0</v>
          </cell>
        </row>
        <row r="837">
          <cell r="A837" t="str">
            <v>11</v>
          </cell>
          <cell r="B837" t="str">
            <v>14</v>
          </cell>
          <cell r="C837" t="str">
            <v>11</v>
          </cell>
          <cell r="D837" t="str">
            <v>4</v>
          </cell>
          <cell r="E837" t="str">
            <v>0016</v>
          </cell>
          <cell r="F837" t="str">
            <v>0004</v>
          </cell>
          <cell r="G837" t="str">
            <v>1020104</v>
          </cell>
          <cell r="H837" t="str">
            <v>付水费</v>
          </cell>
          <cell r="I837" t="b">
            <v>0</v>
          </cell>
          <cell r="J837">
            <v>144032.4</v>
          </cell>
          <cell r="K837">
            <v>0</v>
          </cell>
          <cell r="L837">
            <v>0</v>
          </cell>
        </row>
        <row r="838">
          <cell r="A838" t="str">
            <v>11</v>
          </cell>
          <cell r="B838" t="str">
            <v>15</v>
          </cell>
          <cell r="C838" t="str">
            <v>11</v>
          </cell>
          <cell r="D838" t="str">
            <v>4</v>
          </cell>
          <cell r="E838" t="str">
            <v>0017</v>
          </cell>
          <cell r="F838" t="str">
            <v>0002</v>
          </cell>
          <cell r="G838" t="str">
            <v>1020104</v>
          </cell>
          <cell r="H838" t="str">
            <v>付邮递费</v>
          </cell>
          <cell r="I838" t="b">
            <v>0</v>
          </cell>
          <cell r="J838">
            <v>11353</v>
          </cell>
          <cell r="K838">
            <v>0</v>
          </cell>
          <cell r="L838">
            <v>0</v>
          </cell>
        </row>
        <row r="839">
          <cell r="A839" t="str">
            <v>11</v>
          </cell>
          <cell r="B839" t="str">
            <v>15</v>
          </cell>
          <cell r="C839" t="str">
            <v>11</v>
          </cell>
          <cell r="D839" t="str">
            <v>4</v>
          </cell>
          <cell r="E839" t="str">
            <v>0018</v>
          </cell>
          <cell r="F839" t="str">
            <v>0004</v>
          </cell>
          <cell r="G839" t="str">
            <v>1020104</v>
          </cell>
          <cell r="H839" t="str">
            <v>付运杂费</v>
          </cell>
          <cell r="I839" t="b">
            <v>0</v>
          </cell>
          <cell r="J839">
            <v>10760</v>
          </cell>
          <cell r="K839">
            <v>0</v>
          </cell>
          <cell r="L839">
            <v>0</v>
          </cell>
        </row>
        <row r="840">
          <cell r="A840" t="str">
            <v>11</v>
          </cell>
          <cell r="B840" t="str">
            <v>15</v>
          </cell>
          <cell r="C840" t="str">
            <v>11</v>
          </cell>
          <cell r="D840" t="str">
            <v>4</v>
          </cell>
          <cell r="E840" t="str">
            <v>0020</v>
          </cell>
          <cell r="F840" t="str">
            <v>0002</v>
          </cell>
          <cell r="G840" t="str">
            <v>1020104</v>
          </cell>
          <cell r="H840" t="str">
            <v>付ZLA00004#发票海运费</v>
          </cell>
          <cell r="I840" t="b">
            <v>0</v>
          </cell>
          <cell r="J840">
            <v>101579.45</v>
          </cell>
          <cell r="K840">
            <v>0</v>
          </cell>
          <cell r="L840">
            <v>0</v>
          </cell>
        </row>
        <row r="841">
          <cell r="A841" t="str">
            <v>11</v>
          </cell>
          <cell r="B841" t="str">
            <v>15</v>
          </cell>
          <cell r="C841" t="str">
            <v>11</v>
          </cell>
          <cell r="D841" t="str">
            <v>4</v>
          </cell>
          <cell r="E841" t="str">
            <v>0021</v>
          </cell>
          <cell r="F841" t="str">
            <v>0005</v>
          </cell>
          <cell r="G841" t="str">
            <v>1020104</v>
          </cell>
          <cell r="H841" t="str">
            <v>付货款</v>
          </cell>
          <cell r="I841" t="b">
            <v>0</v>
          </cell>
          <cell r="J841">
            <v>160600</v>
          </cell>
          <cell r="K841">
            <v>0</v>
          </cell>
          <cell r="L841">
            <v>0</v>
          </cell>
        </row>
        <row r="842">
          <cell r="A842" t="str">
            <v>11</v>
          </cell>
          <cell r="B842" t="str">
            <v>15</v>
          </cell>
          <cell r="C842" t="str">
            <v>11</v>
          </cell>
          <cell r="D842" t="str">
            <v>4</v>
          </cell>
          <cell r="E842" t="str">
            <v>0022</v>
          </cell>
          <cell r="F842" t="str">
            <v>0004</v>
          </cell>
          <cell r="G842" t="str">
            <v>1020104</v>
          </cell>
          <cell r="H842" t="str">
            <v>购材料</v>
          </cell>
          <cell r="I842" t="b">
            <v>0</v>
          </cell>
          <cell r="J842">
            <v>73278.5</v>
          </cell>
          <cell r="K842">
            <v>0</v>
          </cell>
          <cell r="L842">
            <v>0</v>
          </cell>
        </row>
        <row r="843">
          <cell r="A843" t="str">
            <v>11</v>
          </cell>
          <cell r="B843" t="str">
            <v>17</v>
          </cell>
          <cell r="C843" t="str">
            <v>11</v>
          </cell>
          <cell r="D843" t="str">
            <v>4</v>
          </cell>
          <cell r="E843" t="str">
            <v>0029</v>
          </cell>
          <cell r="F843" t="str">
            <v>0003</v>
          </cell>
          <cell r="G843" t="str">
            <v>1020104</v>
          </cell>
          <cell r="H843" t="str">
            <v>付货款</v>
          </cell>
          <cell r="I843" t="b">
            <v>0</v>
          </cell>
          <cell r="J843">
            <v>68000</v>
          </cell>
          <cell r="K843">
            <v>0</v>
          </cell>
          <cell r="L843">
            <v>0</v>
          </cell>
        </row>
        <row r="844">
          <cell r="A844" t="str">
            <v>11</v>
          </cell>
          <cell r="B844" t="str">
            <v>20</v>
          </cell>
          <cell r="C844" t="str">
            <v>11</v>
          </cell>
          <cell r="D844" t="str">
            <v>4</v>
          </cell>
          <cell r="E844" t="str">
            <v>0031</v>
          </cell>
          <cell r="F844" t="str">
            <v>0002</v>
          </cell>
          <cell r="G844" t="str">
            <v>1020104</v>
          </cell>
          <cell r="H844" t="str">
            <v>酸苹果基地建设补助费</v>
          </cell>
          <cell r="I844" t="b">
            <v>0</v>
          </cell>
          <cell r="J844">
            <v>100000</v>
          </cell>
          <cell r="K844">
            <v>0</v>
          </cell>
          <cell r="L844">
            <v>0</v>
          </cell>
        </row>
        <row r="845">
          <cell r="A845" t="str">
            <v>11</v>
          </cell>
          <cell r="B845" t="str">
            <v>20</v>
          </cell>
          <cell r="C845" t="str">
            <v>11</v>
          </cell>
          <cell r="D845" t="str">
            <v>4</v>
          </cell>
          <cell r="E845" t="str">
            <v>0033</v>
          </cell>
          <cell r="F845" t="str">
            <v>0002</v>
          </cell>
          <cell r="G845" t="str">
            <v>1020104</v>
          </cell>
          <cell r="H845" t="str">
            <v>暂借款</v>
          </cell>
          <cell r="I845" t="b">
            <v>0</v>
          </cell>
          <cell r="J845">
            <v>4500000</v>
          </cell>
          <cell r="K845">
            <v>0</v>
          </cell>
          <cell r="L845">
            <v>0</v>
          </cell>
        </row>
        <row r="846">
          <cell r="A846" t="str">
            <v>11</v>
          </cell>
          <cell r="B846" t="str">
            <v>22</v>
          </cell>
          <cell r="C846" t="str">
            <v>11</v>
          </cell>
          <cell r="D846" t="str">
            <v>4</v>
          </cell>
          <cell r="E846" t="str">
            <v>0034</v>
          </cell>
          <cell r="F846" t="str">
            <v>0002</v>
          </cell>
          <cell r="G846" t="str">
            <v>1020104</v>
          </cell>
          <cell r="H846" t="str">
            <v>付手续费</v>
          </cell>
          <cell r="I846" t="b">
            <v>0</v>
          </cell>
          <cell r="J846">
            <v>108.45</v>
          </cell>
          <cell r="K846">
            <v>0</v>
          </cell>
          <cell r="L846">
            <v>0</v>
          </cell>
        </row>
        <row r="847">
          <cell r="A847" t="str">
            <v>11</v>
          </cell>
          <cell r="B847" t="str">
            <v>23</v>
          </cell>
          <cell r="C847" t="str">
            <v>11</v>
          </cell>
          <cell r="D847" t="str">
            <v>4</v>
          </cell>
          <cell r="E847" t="str">
            <v>0035</v>
          </cell>
          <cell r="F847" t="str">
            <v>0005</v>
          </cell>
          <cell r="G847" t="str">
            <v>1020104</v>
          </cell>
          <cell r="H847" t="str">
            <v>购材料</v>
          </cell>
          <cell r="I847" t="b">
            <v>0</v>
          </cell>
          <cell r="J847">
            <v>87100</v>
          </cell>
          <cell r="K847">
            <v>0</v>
          </cell>
          <cell r="L847">
            <v>0</v>
          </cell>
        </row>
        <row r="848">
          <cell r="A848" t="str">
            <v>11</v>
          </cell>
          <cell r="B848" t="str">
            <v>23</v>
          </cell>
          <cell r="C848" t="str">
            <v>11</v>
          </cell>
          <cell r="D848" t="str">
            <v>4</v>
          </cell>
          <cell r="E848" t="str">
            <v>0036</v>
          </cell>
          <cell r="F848" t="str">
            <v>0005</v>
          </cell>
          <cell r="G848" t="str">
            <v>1020104</v>
          </cell>
          <cell r="H848" t="str">
            <v>购材料</v>
          </cell>
          <cell r="I848" t="b">
            <v>0</v>
          </cell>
          <cell r="J848">
            <v>1262200</v>
          </cell>
          <cell r="K848">
            <v>0</v>
          </cell>
          <cell r="L848">
            <v>0</v>
          </cell>
        </row>
        <row r="849">
          <cell r="A849" t="str">
            <v>11</v>
          </cell>
          <cell r="B849" t="str">
            <v>23</v>
          </cell>
          <cell r="C849" t="str">
            <v>11</v>
          </cell>
          <cell r="D849" t="str">
            <v>4</v>
          </cell>
          <cell r="E849" t="str">
            <v>0037</v>
          </cell>
          <cell r="F849" t="str">
            <v>0004</v>
          </cell>
          <cell r="G849" t="str">
            <v>1020104</v>
          </cell>
          <cell r="H849" t="str">
            <v>付电费</v>
          </cell>
          <cell r="I849" t="b">
            <v>0</v>
          </cell>
          <cell r="J849">
            <v>195719.88</v>
          </cell>
          <cell r="K849">
            <v>0</v>
          </cell>
          <cell r="L849">
            <v>0</v>
          </cell>
        </row>
        <row r="850">
          <cell r="A850" t="str">
            <v>11</v>
          </cell>
          <cell r="B850" t="str">
            <v>23</v>
          </cell>
          <cell r="C850" t="str">
            <v>11</v>
          </cell>
          <cell r="D850" t="str">
            <v>4</v>
          </cell>
          <cell r="E850" t="str">
            <v>0038</v>
          </cell>
          <cell r="F850" t="str">
            <v>0002</v>
          </cell>
          <cell r="G850" t="str">
            <v>1020104</v>
          </cell>
          <cell r="H850" t="str">
            <v>购铁板</v>
          </cell>
          <cell r="I850" t="b">
            <v>0</v>
          </cell>
          <cell r="J850">
            <v>57394.8</v>
          </cell>
          <cell r="K850">
            <v>0</v>
          </cell>
          <cell r="L850">
            <v>0</v>
          </cell>
        </row>
        <row r="851">
          <cell r="A851" t="str">
            <v>11</v>
          </cell>
          <cell r="B851" t="str">
            <v>23</v>
          </cell>
          <cell r="C851" t="str">
            <v>11</v>
          </cell>
          <cell r="D851" t="str">
            <v>4</v>
          </cell>
          <cell r="E851" t="str">
            <v>0039</v>
          </cell>
          <cell r="F851" t="str">
            <v>0005</v>
          </cell>
          <cell r="G851" t="str">
            <v>1020104</v>
          </cell>
          <cell r="H851" t="str">
            <v>暂借款</v>
          </cell>
          <cell r="I851" t="b">
            <v>0</v>
          </cell>
          <cell r="J851">
            <v>3500000</v>
          </cell>
          <cell r="K851">
            <v>0</v>
          </cell>
          <cell r="L851">
            <v>0</v>
          </cell>
        </row>
        <row r="852">
          <cell r="A852" t="str">
            <v>11</v>
          </cell>
          <cell r="B852" t="str">
            <v>23</v>
          </cell>
          <cell r="C852" t="str">
            <v>11</v>
          </cell>
          <cell r="D852" t="str">
            <v>4</v>
          </cell>
          <cell r="E852" t="str">
            <v>0040</v>
          </cell>
          <cell r="F852" t="str">
            <v>0002</v>
          </cell>
          <cell r="G852" t="str">
            <v>1020104</v>
          </cell>
          <cell r="H852" t="str">
            <v>付手续费</v>
          </cell>
          <cell r="I852" t="b">
            <v>0</v>
          </cell>
          <cell r="J852">
            <v>6.85</v>
          </cell>
          <cell r="K852">
            <v>0</v>
          </cell>
          <cell r="L852">
            <v>0</v>
          </cell>
        </row>
        <row r="853">
          <cell r="A853" t="str">
            <v>11</v>
          </cell>
          <cell r="B853" t="str">
            <v>23</v>
          </cell>
          <cell r="C853" t="str">
            <v>11</v>
          </cell>
          <cell r="D853" t="str">
            <v>4</v>
          </cell>
          <cell r="E853" t="str">
            <v>0041</v>
          </cell>
          <cell r="F853" t="str">
            <v>0003</v>
          </cell>
          <cell r="G853" t="str">
            <v>1020104</v>
          </cell>
          <cell r="H853" t="str">
            <v>暂借款</v>
          </cell>
          <cell r="I853" t="b">
            <v>0</v>
          </cell>
          <cell r="J853">
            <v>1480000</v>
          </cell>
          <cell r="K853">
            <v>0</v>
          </cell>
          <cell r="L853">
            <v>0</v>
          </cell>
        </row>
        <row r="854">
          <cell r="A854" t="str">
            <v>12</v>
          </cell>
          <cell r="B854" t="str">
            <v>01</v>
          </cell>
          <cell r="C854" t="str">
            <v>12</v>
          </cell>
          <cell r="D854" t="str">
            <v>3</v>
          </cell>
          <cell r="E854" t="str">
            <v>0001</v>
          </cell>
          <cell r="F854" t="str">
            <v>0001</v>
          </cell>
          <cell r="G854" t="str">
            <v>1020104</v>
          </cell>
          <cell r="H854" t="str">
            <v>收借款</v>
          </cell>
          <cell r="I854" t="b">
            <v>1</v>
          </cell>
          <cell r="J854">
            <v>10000000</v>
          </cell>
          <cell r="K854">
            <v>0</v>
          </cell>
          <cell r="L854">
            <v>0</v>
          </cell>
        </row>
        <row r="855">
          <cell r="A855" t="str">
            <v>12</v>
          </cell>
          <cell r="B855" t="str">
            <v>03</v>
          </cell>
          <cell r="C855" t="str">
            <v>12</v>
          </cell>
          <cell r="D855" t="str">
            <v>3</v>
          </cell>
          <cell r="E855" t="str">
            <v>0002</v>
          </cell>
          <cell r="F855" t="str">
            <v>0001</v>
          </cell>
          <cell r="G855" t="str">
            <v>1020104</v>
          </cell>
          <cell r="H855" t="str">
            <v>暂借款</v>
          </cell>
          <cell r="I855" t="b">
            <v>1</v>
          </cell>
          <cell r="J855">
            <v>800000</v>
          </cell>
          <cell r="K855">
            <v>0</v>
          </cell>
          <cell r="L855">
            <v>0</v>
          </cell>
        </row>
        <row r="856">
          <cell r="A856" t="str">
            <v>12</v>
          </cell>
          <cell r="B856" t="str">
            <v>15</v>
          </cell>
          <cell r="C856" t="str">
            <v>12</v>
          </cell>
          <cell r="D856" t="str">
            <v>3</v>
          </cell>
          <cell r="E856" t="str">
            <v>0005</v>
          </cell>
          <cell r="F856" t="str">
            <v>0002</v>
          </cell>
          <cell r="G856" t="str">
            <v>1020104</v>
          </cell>
          <cell r="H856" t="str">
            <v>收存款</v>
          </cell>
          <cell r="I856" t="b">
            <v>1</v>
          </cell>
          <cell r="J856">
            <v>494375</v>
          </cell>
          <cell r="K856">
            <v>0</v>
          </cell>
          <cell r="L856">
            <v>0</v>
          </cell>
        </row>
        <row r="857">
          <cell r="A857" t="str">
            <v>12</v>
          </cell>
          <cell r="B857" t="str">
            <v>17</v>
          </cell>
          <cell r="C857" t="str">
            <v>12</v>
          </cell>
          <cell r="D857" t="str">
            <v>3</v>
          </cell>
          <cell r="E857" t="str">
            <v>0006</v>
          </cell>
          <cell r="F857" t="str">
            <v>0001</v>
          </cell>
          <cell r="G857" t="str">
            <v>1020104</v>
          </cell>
          <cell r="H857" t="str">
            <v>暂借款</v>
          </cell>
          <cell r="I857" t="b">
            <v>1</v>
          </cell>
          <cell r="J857">
            <v>1260000</v>
          </cell>
          <cell r="K857">
            <v>0</v>
          </cell>
          <cell r="L857">
            <v>0</v>
          </cell>
        </row>
        <row r="858">
          <cell r="A858" t="str">
            <v>12</v>
          </cell>
          <cell r="B858" t="str">
            <v>18</v>
          </cell>
          <cell r="C858" t="str">
            <v>12</v>
          </cell>
          <cell r="D858" t="str">
            <v>3</v>
          </cell>
          <cell r="E858" t="str">
            <v>0007</v>
          </cell>
          <cell r="F858" t="str">
            <v>0001</v>
          </cell>
          <cell r="G858" t="str">
            <v>1020104</v>
          </cell>
          <cell r="H858" t="str">
            <v>收货款</v>
          </cell>
          <cell r="I858" t="b">
            <v>1</v>
          </cell>
          <cell r="J858">
            <v>1446440.16</v>
          </cell>
          <cell r="K858">
            <v>0</v>
          </cell>
          <cell r="L858">
            <v>0</v>
          </cell>
        </row>
        <row r="859">
          <cell r="A859" t="str">
            <v>12</v>
          </cell>
          <cell r="B859" t="str">
            <v>20</v>
          </cell>
          <cell r="C859" t="str">
            <v>12</v>
          </cell>
          <cell r="D859" t="str">
            <v>3</v>
          </cell>
          <cell r="E859" t="str">
            <v>0008</v>
          </cell>
          <cell r="F859" t="str">
            <v>0001</v>
          </cell>
          <cell r="G859" t="str">
            <v>1020104</v>
          </cell>
          <cell r="H859" t="str">
            <v>收货款</v>
          </cell>
          <cell r="I859" t="b">
            <v>1</v>
          </cell>
          <cell r="J859">
            <v>831051.13</v>
          </cell>
          <cell r="K859">
            <v>0</v>
          </cell>
          <cell r="L859">
            <v>0</v>
          </cell>
        </row>
        <row r="860">
          <cell r="A860" t="str">
            <v>12</v>
          </cell>
          <cell r="B860" t="str">
            <v>20</v>
          </cell>
          <cell r="C860" t="str">
            <v>12</v>
          </cell>
          <cell r="D860" t="str">
            <v>3</v>
          </cell>
          <cell r="E860" t="str">
            <v>0009</v>
          </cell>
          <cell r="F860" t="str">
            <v>0001</v>
          </cell>
          <cell r="G860" t="str">
            <v>1020104</v>
          </cell>
          <cell r="H860" t="str">
            <v>收货款</v>
          </cell>
          <cell r="I860" t="b">
            <v>1</v>
          </cell>
          <cell r="J860">
            <v>2162329.77</v>
          </cell>
          <cell r="K860">
            <v>0</v>
          </cell>
          <cell r="L860">
            <v>0</v>
          </cell>
        </row>
        <row r="861">
          <cell r="A861" t="str">
            <v>12</v>
          </cell>
          <cell r="B861" t="str">
            <v>20</v>
          </cell>
          <cell r="C861" t="str">
            <v>12</v>
          </cell>
          <cell r="D861" t="str">
            <v>3</v>
          </cell>
          <cell r="E861" t="str">
            <v>0010</v>
          </cell>
          <cell r="F861" t="str">
            <v>0001</v>
          </cell>
          <cell r="G861" t="str">
            <v>1020104</v>
          </cell>
          <cell r="H861" t="str">
            <v>收货款</v>
          </cell>
          <cell r="I861" t="b">
            <v>1</v>
          </cell>
          <cell r="J861">
            <v>66459.53</v>
          </cell>
          <cell r="K861">
            <v>0</v>
          </cell>
          <cell r="L861">
            <v>0</v>
          </cell>
        </row>
        <row r="862">
          <cell r="A862" t="str">
            <v>12</v>
          </cell>
          <cell r="B862" t="str">
            <v>20</v>
          </cell>
          <cell r="C862" t="str">
            <v>12</v>
          </cell>
          <cell r="D862" t="str">
            <v>3</v>
          </cell>
          <cell r="E862" t="str">
            <v>0011</v>
          </cell>
          <cell r="F862" t="str">
            <v>0001</v>
          </cell>
          <cell r="G862" t="str">
            <v>1020104</v>
          </cell>
          <cell r="H862" t="str">
            <v>收货款</v>
          </cell>
          <cell r="I862" t="b">
            <v>1</v>
          </cell>
          <cell r="J862">
            <v>1269110.56</v>
          </cell>
          <cell r="K862">
            <v>0</v>
          </cell>
          <cell r="L862">
            <v>0</v>
          </cell>
        </row>
        <row r="863">
          <cell r="A863" t="str">
            <v>12</v>
          </cell>
          <cell r="B863" t="str">
            <v>21</v>
          </cell>
          <cell r="C863" t="str">
            <v>12</v>
          </cell>
          <cell r="D863" t="str">
            <v>3</v>
          </cell>
          <cell r="E863" t="str">
            <v>0012</v>
          </cell>
          <cell r="F863" t="str">
            <v>0001</v>
          </cell>
          <cell r="G863" t="str">
            <v>1020104</v>
          </cell>
          <cell r="H863" t="str">
            <v>收存款利息</v>
          </cell>
          <cell r="I863" t="b">
            <v>1</v>
          </cell>
          <cell r="J863">
            <v>9133.4</v>
          </cell>
          <cell r="K863">
            <v>0</v>
          </cell>
          <cell r="L863">
            <v>0</v>
          </cell>
        </row>
        <row r="864">
          <cell r="A864" t="str">
            <v>12</v>
          </cell>
          <cell r="B864" t="str">
            <v>21</v>
          </cell>
          <cell r="C864" t="str">
            <v>12</v>
          </cell>
          <cell r="D864" t="str">
            <v>3</v>
          </cell>
          <cell r="E864" t="str">
            <v>0013</v>
          </cell>
          <cell r="F864" t="str">
            <v>0001</v>
          </cell>
          <cell r="G864" t="str">
            <v>1020104</v>
          </cell>
          <cell r="H864" t="str">
            <v>暂借款</v>
          </cell>
          <cell r="I864" t="b">
            <v>1</v>
          </cell>
          <cell r="J864">
            <v>13300000</v>
          </cell>
          <cell r="K864">
            <v>0</v>
          </cell>
          <cell r="L864">
            <v>0</v>
          </cell>
        </row>
        <row r="865">
          <cell r="A865" t="str">
            <v>12</v>
          </cell>
          <cell r="B865" t="str">
            <v>21</v>
          </cell>
          <cell r="C865" t="str">
            <v>12</v>
          </cell>
          <cell r="D865" t="str">
            <v>3</v>
          </cell>
          <cell r="E865" t="str">
            <v>0014</v>
          </cell>
          <cell r="F865" t="str">
            <v>0001</v>
          </cell>
          <cell r="G865" t="str">
            <v>1020104</v>
          </cell>
          <cell r="H865" t="str">
            <v>收ZLA00019P#发票货款</v>
          </cell>
          <cell r="I865" t="b">
            <v>1</v>
          </cell>
          <cell r="J865">
            <v>897492.81</v>
          </cell>
          <cell r="K865">
            <v>0</v>
          </cell>
          <cell r="L865">
            <v>0</v>
          </cell>
        </row>
        <row r="866">
          <cell r="A866" t="str">
            <v>12</v>
          </cell>
          <cell r="B866" t="str">
            <v>25</v>
          </cell>
          <cell r="C866" t="str">
            <v>12</v>
          </cell>
          <cell r="D866" t="str">
            <v>3</v>
          </cell>
          <cell r="E866" t="str">
            <v>0016</v>
          </cell>
          <cell r="F866" t="str">
            <v>0001</v>
          </cell>
          <cell r="G866" t="str">
            <v>1020104</v>
          </cell>
          <cell r="H866" t="str">
            <v>收借款</v>
          </cell>
          <cell r="I866" t="b">
            <v>1</v>
          </cell>
          <cell r="J866">
            <v>10000000</v>
          </cell>
          <cell r="K866">
            <v>0</v>
          </cell>
          <cell r="L866">
            <v>0</v>
          </cell>
        </row>
        <row r="867">
          <cell r="A867" t="str">
            <v>12</v>
          </cell>
          <cell r="B867" t="str">
            <v>25</v>
          </cell>
          <cell r="C867" t="str">
            <v>12</v>
          </cell>
          <cell r="D867" t="str">
            <v>3</v>
          </cell>
          <cell r="E867" t="str">
            <v>0019</v>
          </cell>
          <cell r="F867" t="str">
            <v>0003</v>
          </cell>
          <cell r="G867" t="str">
            <v>1020104</v>
          </cell>
          <cell r="H867" t="str">
            <v>收货款</v>
          </cell>
          <cell r="I867" t="b">
            <v>1</v>
          </cell>
          <cell r="J867">
            <v>5785.71</v>
          </cell>
          <cell r="K867">
            <v>0</v>
          </cell>
          <cell r="L867">
            <v>0</v>
          </cell>
        </row>
        <row r="868">
          <cell r="A868" t="str">
            <v>12</v>
          </cell>
          <cell r="B868" t="str">
            <v>29</v>
          </cell>
          <cell r="C868" t="str">
            <v>12</v>
          </cell>
          <cell r="D868" t="str">
            <v>3</v>
          </cell>
          <cell r="E868" t="str">
            <v>0020</v>
          </cell>
          <cell r="F868" t="str">
            <v>0001</v>
          </cell>
          <cell r="G868" t="str">
            <v>1020104</v>
          </cell>
          <cell r="H868" t="str">
            <v>暂借款</v>
          </cell>
          <cell r="I868" t="b">
            <v>1</v>
          </cell>
          <cell r="J868">
            <v>4300000</v>
          </cell>
          <cell r="K868">
            <v>0</v>
          </cell>
          <cell r="L868">
            <v>0</v>
          </cell>
        </row>
        <row r="869">
          <cell r="A869" t="str">
            <v>12</v>
          </cell>
          <cell r="B869" t="str">
            <v>01</v>
          </cell>
          <cell r="C869" t="str">
            <v>12</v>
          </cell>
          <cell r="D869" t="str">
            <v>4</v>
          </cell>
          <cell r="E869" t="str">
            <v>0001</v>
          </cell>
          <cell r="F869" t="str">
            <v>0002</v>
          </cell>
          <cell r="G869" t="str">
            <v>1020104</v>
          </cell>
          <cell r="H869" t="str">
            <v>转户</v>
          </cell>
          <cell r="I869" t="b">
            <v>0</v>
          </cell>
          <cell r="J869">
            <v>129000</v>
          </cell>
          <cell r="K869">
            <v>0</v>
          </cell>
          <cell r="L869">
            <v>0</v>
          </cell>
        </row>
        <row r="870">
          <cell r="A870" t="str">
            <v>12</v>
          </cell>
          <cell r="B870" t="str">
            <v>01</v>
          </cell>
          <cell r="C870" t="str">
            <v>12</v>
          </cell>
          <cell r="D870" t="str">
            <v>4</v>
          </cell>
          <cell r="E870" t="str">
            <v>0002</v>
          </cell>
          <cell r="F870" t="str">
            <v>0002</v>
          </cell>
          <cell r="G870" t="str">
            <v>1020104</v>
          </cell>
          <cell r="H870" t="str">
            <v>转户</v>
          </cell>
          <cell r="I870" t="b">
            <v>0</v>
          </cell>
          <cell r="J870">
            <v>800000</v>
          </cell>
          <cell r="K870">
            <v>0</v>
          </cell>
          <cell r="L870">
            <v>0</v>
          </cell>
        </row>
        <row r="871">
          <cell r="A871" t="str">
            <v>12</v>
          </cell>
          <cell r="B871" t="str">
            <v>01</v>
          </cell>
          <cell r="C871" t="str">
            <v>12</v>
          </cell>
          <cell r="D871" t="str">
            <v>4</v>
          </cell>
          <cell r="E871" t="str">
            <v>0002</v>
          </cell>
          <cell r="F871" t="str">
            <v>0004</v>
          </cell>
          <cell r="G871" t="str">
            <v>1020104</v>
          </cell>
          <cell r="H871" t="str">
            <v>转户</v>
          </cell>
          <cell r="I871" t="b">
            <v>0</v>
          </cell>
          <cell r="J871">
            <v>1000000</v>
          </cell>
          <cell r="K871">
            <v>0</v>
          </cell>
          <cell r="L871">
            <v>0</v>
          </cell>
        </row>
        <row r="872">
          <cell r="A872" t="str">
            <v>12</v>
          </cell>
          <cell r="B872" t="str">
            <v>04</v>
          </cell>
          <cell r="C872" t="str">
            <v>12</v>
          </cell>
          <cell r="D872" t="str">
            <v>4</v>
          </cell>
          <cell r="E872" t="str">
            <v>0003</v>
          </cell>
          <cell r="F872" t="str">
            <v>0002</v>
          </cell>
          <cell r="G872" t="str">
            <v>1020104</v>
          </cell>
          <cell r="H872" t="str">
            <v>付业务推销费</v>
          </cell>
          <cell r="I872" t="b">
            <v>0</v>
          </cell>
          <cell r="J872">
            <v>19250</v>
          </cell>
          <cell r="K872">
            <v>0</v>
          </cell>
          <cell r="L872">
            <v>0</v>
          </cell>
        </row>
        <row r="873">
          <cell r="A873" t="str">
            <v>12</v>
          </cell>
          <cell r="B873" t="str">
            <v>07</v>
          </cell>
          <cell r="C873" t="str">
            <v>12</v>
          </cell>
          <cell r="D873" t="str">
            <v>4</v>
          </cell>
          <cell r="E873" t="str">
            <v>0005</v>
          </cell>
          <cell r="F873" t="str">
            <v>0004</v>
          </cell>
          <cell r="G873" t="str">
            <v>1020104</v>
          </cell>
          <cell r="H873" t="str">
            <v>付货款</v>
          </cell>
          <cell r="I873" t="b">
            <v>0</v>
          </cell>
          <cell r="J873">
            <v>166000</v>
          </cell>
          <cell r="K873">
            <v>0</v>
          </cell>
          <cell r="L873">
            <v>0</v>
          </cell>
        </row>
        <row r="874">
          <cell r="A874" t="str">
            <v>12</v>
          </cell>
          <cell r="B874" t="str">
            <v>07</v>
          </cell>
          <cell r="C874" t="str">
            <v>12</v>
          </cell>
          <cell r="D874" t="str">
            <v>4</v>
          </cell>
          <cell r="E874" t="str">
            <v>0007</v>
          </cell>
          <cell r="F874" t="str">
            <v>0002</v>
          </cell>
          <cell r="G874" t="str">
            <v>1020104</v>
          </cell>
          <cell r="H874" t="str">
            <v>付中国信达信托投资公司利息</v>
          </cell>
          <cell r="I874" t="b">
            <v>0</v>
          </cell>
          <cell r="J874">
            <v>179706.67</v>
          </cell>
          <cell r="K874">
            <v>0</v>
          </cell>
          <cell r="L874">
            <v>0</v>
          </cell>
        </row>
        <row r="875">
          <cell r="A875" t="str">
            <v>12</v>
          </cell>
          <cell r="B875" t="str">
            <v>08</v>
          </cell>
          <cell r="C875" t="str">
            <v>12</v>
          </cell>
          <cell r="D875" t="str">
            <v>4</v>
          </cell>
          <cell r="E875" t="str">
            <v>0008</v>
          </cell>
          <cell r="F875" t="str">
            <v>0004</v>
          </cell>
          <cell r="G875" t="str">
            <v>1020104</v>
          </cell>
          <cell r="H875" t="str">
            <v>付果汁款</v>
          </cell>
          <cell r="I875" t="b">
            <v>0</v>
          </cell>
          <cell r="J875">
            <v>670424.93999999994</v>
          </cell>
          <cell r="K875">
            <v>0</v>
          </cell>
          <cell r="L875">
            <v>0</v>
          </cell>
        </row>
        <row r="876">
          <cell r="A876" t="str">
            <v>12</v>
          </cell>
          <cell r="B876" t="str">
            <v>08</v>
          </cell>
          <cell r="C876" t="str">
            <v>12</v>
          </cell>
          <cell r="D876" t="str">
            <v>4</v>
          </cell>
          <cell r="E876" t="str">
            <v>0009</v>
          </cell>
          <cell r="F876" t="str">
            <v>0002</v>
          </cell>
          <cell r="G876" t="str">
            <v>1020104</v>
          </cell>
          <cell r="H876" t="str">
            <v>转户</v>
          </cell>
          <cell r="I876" t="b">
            <v>0</v>
          </cell>
          <cell r="J876">
            <v>600000</v>
          </cell>
          <cell r="K876">
            <v>0</v>
          </cell>
          <cell r="L876">
            <v>0</v>
          </cell>
        </row>
        <row r="877">
          <cell r="A877" t="str">
            <v>12</v>
          </cell>
          <cell r="B877" t="str">
            <v>08</v>
          </cell>
          <cell r="C877" t="str">
            <v>12</v>
          </cell>
          <cell r="D877" t="str">
            <v>4</v>
          </cell>
          <cell r="E877" t="str">
            <v>0009</v>
          </cell>
          <cell r="F877" t="str">
            <v>0003</v>
          </cell>
          <cell r="G877" t="str">
            <v>1020104</v>
          </cell>
          <cell r="H877" t="str">
            <v>转户</v>
          </cell>
          <cell r="I877" t="b">
            <v>1</v>
          </cell>
          <cell r="J877">
            <v>200000</v>
          </cell>
          <cell r="K877">
            <v>0</v>
          </cell>
          <cell r="L877">
            <v>0</v>
          </cell>
        </row>
        <row r="878">
          <cell r="A878" t="str">
            <v>12</v>
          </cell>
          <cell r="B878" t="str">
            <v>08</v>
          </cell>
          <cell r="C878" t="str">
            <v>12</v>
          </cell>
          <cell r="D878" t="str">
            <v>4</v>
          </cell>
          <cell r="E878" t="str">
            <v>0010</v>
          </cell>
          <cell r="F878" t="str">
            <v>0010</v>
          </cell>
          <cell r="G878" t="str">
            <v>1020104</v>
          </cell>
          <cell r="H878" t="str">
            <v>付工人工资</v>
          </cell>
          <cell r="I878" t="b">
            <v>0</v>
          </cell>
          <cell r="J878">
            <v>60823</v>
          </cell>
          <cell r="K878">
            <v>0</v>
          </cell>
          <cell r="L878">
            <v>0</v>
          </cell>
        </row>
        <row r="879">
          <cell r="A879" t="str">
            <v>12</v>
          </cell>
          <cell r="B879" t="str">
            <v>08</v>
          </cell>
          <cell r="C879" t="str">
            <v>12</v>
          </cell>
          <cell r="D879" t="str">
            <v>4</v>
          </cell>
          <cell r="E879" t="str">
            <v>0011</v>
          </cell>
          <cell r="F879" t="str">
            <v>0004</v>
          </cell>
          <cell r="G879" t="str">
            <v>1020104</v>
          </cell>
          <cell r="H879" t="str">
            <v>暂借款</v>
          </cell>
          <cell r="I879" t="b">
            <v>0</v>
          </cell>
          <cell r="J879">
            <v>791856.96</v>
          </cell>
          <cell r="K879">
            <v>0</v>
          </cell>
          <cell r="L879">
            <v>0</v>
          </cell>
        </row>
        <row r="880">
          <cell r="A880" t="str">
            <v>12</v>
          </cell>
          <cell r="B880" t="str">
            <v>08</v>
          </cell>
          <cell r="C880" t="str">
            <v>12</v>
          </cell>
          <cell r="D880" t="str">
            <v>4</v>
          </cell>
          <cell r="E880" t="str">
            <v>0012</v>
          </cell>
          <cell r="F880" t="str">
            <v>0003</v>
          </cell>
          <cell r="G880" t="str">
            <v>1020104</v>
          </cell>
          <cell r="H880" t="str">
            <v>付电话费</v>
          </cell>
          <cell r="I880" t="b">
            <v>0</v>
          </cell>
          <cell r="J880">
            <v>11428</v>
          </cell>
          <cell r="K880">
            <v>0</v>
          </cell>
          <cell r="L880">
            <v>0</v>
          </cell>
        </row>
        <row r="881">
          <cell r="A881" t="str">
            <v>12</v>
          </cell>
          <cell r="B881" t="str">
            <v>08</v>
          </cell>
          <cell r="C881" t="str">
            <v>12</v>
          </cell>
          <cell r="D881" t="str">
            <v>4</v>
          </cell>
          <cell r="E881" t="str">
            <v>0013</v>
          </cell>
          <cell r="F881" t="str">
            <v>0005</v>
          </cell>
          <cell r="G881" t="str">
            <v>1020104</v>
          </cell>
          <cell r="H881" t="str">
            <v>暂借款</v>
          </cell>
          <cell r="I881" t="b">
            <v>0</v>
          </cell>
          <cell r="J881">
            <v>3440000</v>
          </cell>
          <cell r="K881">
            <v>0</v>
          </cell>
          <cell r="L881">
            <v>0</v>
          </cell>
        </row>
        <row r="882">
          <cell r="A882" t="str">
            <v>12</v>
          </cell>
          <cell r="B882" t="str">
            <v>08</v>
          </cell>
          <cell r="C882" t="str">
            <v>12</v>
          </cell>
          <cell r="D882" t="str">
            <v>4</v>
          </cell>
          <cell r="E882" t="str">
            <v>0014</v>
          </cell>
          <cell r="F882" t="str">
            <v>0003</v>
          </cell>
          <cell r="G882" t="str">
            <v>1020104</v>
          </cell>
          <cell r="H882" t="str">
            <v>暂借款</v>
          </cell>
          <cell r="I882" t="b">
            <v>0</v>
          </cell>
          <cell r="J882">
            <v>4600000</v>
          </cell>
          <cell r="K882">
            <v>0</v>
          </cell>
          <cell r="L882">
            <v>0</v>
          </cell>
        </row>
        <row r="883">
          <cell r="A883" t="str">
            <v>12</v>
          </cell>
          <cell r="B883" t="str">
            <v>08</v>
          </cell>
          <cell r="C883" t="str">
            <v>12</v>
          </cell>
          <cell r="D883" t="str">
            <v>4</v>
          </cell>
          <cell r="E883" t="str">
            <v>0015</v>
          </cell>
          <cell r="F883" t="str">
            <v>0005</v>
          </cell>
          <cell r="G883" t="str">
            <v>1020104</v>
          </cell>
          <cell r="H883" t="str">
            <v>付工程款</v>
          </cell>
          <cell r="I883" t="b">
            <v>0</v>
          </cell>
          <cell r="J883">
            <v>450000</v>
          </cell>
          <cell r="K883">
            <v>0</v>
          </cell>
          <cell r="L883">
            <v>0</v>
          </cell>
        </row>
        <row r="884">
          <cell r="A884" t="str">
            <v>12</v>
          </cell>
          <cell r="B884" t="str">
            <v>10</v>
          </cell>
          <cell r="C884" t="str">
            <v>12</v>
          </cell>
          <cell r="D884" t="str">
            <v>4</v>
          </cell>
          <cell r="E884" t="str">
            <v>0016</v>
          </cell>
          <cell r="F884" t="str">
            <v>0004</v>
          </cell>
          <cell r="G884" t="str">
            <v>1020104</v>
          </cell>
          <cell r="H884" t="str">
            <v>付运费</v>
          </cell>
          <cell r="I884" t="b">
            <v>0</v>
          </cell>
          <cell r="J884">
            <v>7200</v>
          </cell>
          <cell r="K884">
            <v>0</v>
          </cell>
          <cell r="L884">
            <v>0</v>
          </cell>
        </row>
        <row r="885">
          <cell r="A885" t="str">
            <v>12</v>
          </cell>
          <cell r="B885" t="str">
            <v>10</v>
          </cell>
          <cell r="C885" t="str">
            <v>12</v>
          </cell>
          <cell r="D885" t="str">
            <v>4</v>
          </cell>
          <cell r="E885" t="str">
            <v>0017</v>
          </cell>
          <cell r="F885" t="str">
            <v>0002</v>
          </cell>
          <cell r="G885" t="str">
            <v>1020104</v>
          </cell>
          <cell r="H885" t="str">
            <v>付税款</v>
          </cell>
          <cell r="I885" t="b">
            <v>0</v>
          </cell>
          <cell r="J885">
            <v>300000</v>
          </cell>
          <cell r="K885">
            <v>0</v>
          </cell>
          <cell r="L885">
            <v>0</v>
          </cell>
        </row>
        <row r="886">
          <cell r="A886" t="str">
            <v>12</v>
          </cell>
          <cell r="B886" t="str">
            <v>10</v>
          </cell>
          <cell r="C886" t="str">
            <v>12</v>
          </cell>
          <cell r="D886" t="str">
            <v>4</v>
          </cell>
          <cell r="E886" t="str">
            <v>0018</v>
          </cell>
          <cell r="F886" t="str">
            <v>0002</v>
          </cell>
          <cell r="G886" t="str">
            <v>1020104</v>
          </cell>
          <cell r="H886" t="str">
            <v>付结算手续费</v>
          </cell>
          <cell r="I886" t="b">
            <v>0</v>
          </cell>
          <cell r="J886">
            <v>1196.01</v>
          </cell>
          <cell r="K886">
            <v>0</v>
          </cell>
          <cell r="L886">
            <v>0</v>
          </cell>
        </row>
        <row r="887">
          <cell r="A887" t="str">
            <v>12</v>
          </cell>
          <cell r="B887" t="str">
            <v>10</v>
          </cell>
          <cell r="C887" t="str">
            <v>12</v>
          </cell>
          <cell r="D887" t="str">
            <v>4</v>
          </cell>
          <cell r="E887" t="str">
            <v>0019</v>
          </cell>
          <cell r="F887" t="str">
            <v>0005</v>
          </cell>
          <cell r="G887" t="str">
            <v>1020104</v>
          </cell>
          <cell r="H887" t="str">
            <v>购予涂板</v>
          </cell>
          <cell r="I887" t="b">
            <v>0</v>
          </cell>
          <cell r="J887">
            <v>98050.75</v>
          </cell>
          <cell r="K887">
            <v>0</v>
          </cell>
          <cell r="L887">
            <v>0</v>
          </cell>
        </row>
        <row r="888">
          <cell r="A888" t="str">
            <v>12</v>
          </cell>
          <cell r="B888" t="str">
            <v>11</v>
          </cell>
          <cell r="C888" t="str">
            <v>12</v>
          </cell>
          <cell r="D888" t="str">
            <v>4</v>
          </cell>
          <cell r="E888" t="str">
            <v>0021</v>
          </cell>
          <cell r="F888" t="str">
            <v>0004</v>
          </cell>
          <cell r="G888" t="str">
            <v>1020104</v>
          </cell>
          <cell r="H888" t="str">
            <v>付货款</v>
          </cell>
          <cell r="I888" t="b">
            <v>0</v>
          </cell>
          <cell r="J888">
            <v>169174.3</v>
          </cell>
          <cell r="K888">
            <v>0</v>
          </cell>
          <cell r="L888">
            <v>0</v>
          </cell>
        </row>
        <row r="889">
          <cell r="A889" t="str">
            <v>12</v>
          </cell>
          <cell r="B889" t="str">
            <v>11</v>
          </cell>
          <cell r="C889" t="str">
            <v>12</v>
          </cell>
          <cell r="D889" t="str">
            <v>4</v>
          </cell>
          <cell r="E889" t="str">
            <v>0022</v>
          </cell>
          <cell r="F889" t="str">
            <v>0004</v>
          </cell>
          <cell r="G889" t="str">
            <v>1020104</v>
          </cell>
          <cell r="H889" t="str">
            <v>付手续费</v>
          </cell>
          <cell r="I889" t="b">
            <v>0</v>
          </cell>
          <cell r="J889">
            <v>13.7</v>
          </cell>
          <cell r="K889">
            <v>0</v>
          </cell>
          <cell r="L889">
            <v>0</v>
          </cell>
        </row>
        <row r="890">
          <cell r="A890" t="str">
            <v>12</v>
          </cell>
          <cell r="B890" t="str">
            <v>15</v>
          </cell>
          <cell r="C890" t="str">
            <v>12</v>
          </cell>
          <cell r="D890" t="str">
            <v>4</v>
          </cell>
          <cell r="E890" t="str">
            <v>0024</v>
          </cell>
          <cell r="F890" t="str">
            <v>0005</v>
          </cell>
          <cell r="G890" t="str">
            <v>1020104</v>
          </cell>
          <cell r="H890" t="str">
            <v>订报纸</v>
          </cell>
          <cell r="I890" t="b">
            <v>0</v>
          </cell>
          <cell r="J890">
            <v>14094.92</v>
          </cell>
          <cell r="K890">
            <v>0</v>
          </cell>
          <cell r="L890">
            <v>0</v>
          </cell>
        </row>
        <row r="891">
          <cell r="A891" t="str">
            <v>12</v>
          </cell>
          <cell r="B891" t="str">
            <v>19</v>
          </cell>
          <cell r="C891" t="str">
            <v>12</v>
          </cell>
          <cell r="D891" t="str">
            <v>4</v>
          </cell>
          <cell r="E891" t="str">
            <v>0027</v>
          </cell>
          <cell r="F891" t="str">
            <v>0002</v>
          </cell>
          <cell r="G891" t="str">
            <v>1020104</v>
          </cell>
          <cell r="H891" t="str">
            <v>转户</v>
          </cell>
          <cell r="I891" t="b">
            <v>0</v>
          </cell>
          <cell r="J891">
            <v>1800000</v>
          </cell>
          <cell r="K891">
            <v>0</v>
          </cell>
          <cell r="L891">
            <v>0</v>
          </cell>
        </row>
        <row r="892">
          <cell r="A892" t="str">
            <v>12</v>
          </cell>
          <cell r="B892" t="str">
            <v>19</v>
          </cell>
          <cell r="C892" t="str">
            <v>12</v>
          </cell>
          <cell r="D892" t="str">
            <v>4</v>
          </cell>
          <cell r="E892" t="str">
            <v>0027</v>
          </cell>
          <cell r="F892" t="str">
            <v>0004</v>
          </cell>
          <cell r="G892" t="str">
            <v>1020104</v>
          </cell>
          <cell r="H892" t="str">
            <v>转户</v>
          </cell>
          <cell r="I892" t="b">
            <v>0</v>
          </cell>
          <cell r="J892">
            <v>1000000</v>
          </cell>
          <cell r="K892">
            <v>0</v>
          </cell>
          <cell r="L892">
            <v>0</v>
          </cell>
        </row>
        <row r="893">
          <cell r="A893" t="str">
            <v>12</v>
          </cell>
          <cell r="B893" t="str">
            <v>19</v>
          </cell>
          <cell r="C893" t="str">
            <v>12</v>
          </cell>
          <cell r="D893" t="str">
            <v>4</v>
          </cell>
          <cell r="E893" t="str">
            <v>0030</v>
          </cell>
          <cell r="F893" t="str">
            <v>0002</v>
          </cell>
          <cell r="G893" t="str">
            <v>1020104</v>
          </cell>
          <cell r="H893" t="str">
            <v>暂借款</v>
          </cell>
          <cell r="I893" t="b">
            <v>0</v>
          </cell>
          <cell r="J893">
            <v>22200</v>
          </cell>
          <cell r="K893">
            <v>0</v>
          </cell>
          <cell r="L893">
            <v>0</v>
          </cell>
        </row>
        <row r="894">
          <cell r="A894" t="str">
            <v>12</v>
          </cell>
          <cell r="B894" t="str">
            <v>19</v>
          </cell>
          <cell r="C894" t="str">
            <v>12</v>
          </cell>
          <cell r="D894" t="str">
            <v>4</v>
          </cell>
          <cell r="E894" t="str">
            <v>0031</v>
          </cell>
          <cell r="F894" t="str">
            <v>0004</v>
          </cell>
          <cell r="G894" t="str">
            <v>1020104</v>
          </cell>
          <cell r="H894" t="str">
            <v>付项目款</v>
          </cell>
          <cell r="I894" t="b">
            <v>0</v>
          </cell>
          <cell r="J894">
            <v>50000</v>
          </cell>
          <cell r="K894">
            <v>0</v>
          </cell>
          <cell r="L894">
            <v>0</v>
          </cell>
        </row>
        <row r="895">
          <cell r="A895" t="str">
            <v>12</v>
          </cell>
          <cell r="B895" t="str">
            <v>20</v>
          </cell>
          <cell r="C895" t="str">
            <v>12</v>
          </cell>
          <cell r="D895" t="str">
            <v>4</v>
          </cell>
          <cell r="E895" t="str">
            <v>0033</v>
          </cell>
          <cell r="F895" t="str">
            <v>0005</v>
          </cell>
          <cell r="G895" t="str">
            <v>1020104</v>
          </cell>
          <cell r="H895" t="str">
            <v>购材料</v>
          </cell>
          <cell r="I895" t="b">
            <v>0</v>
          </cell>
          <cell r="J895">
            <v>131516.12</v>
          </cell>
          <cell r="K895">
            <v>0</v>
          </cell>
          <cell r="L895">
            <v>0</v>
          </cell>
        </row>
        <row r="896">
          <cell r="A896" t="str">
            <v>12</v>
          </cell>
          <cell r="B896" t="str">
            <v>20</v>
          </cell>
          <cell r="C896" t="str">
            <v>12</v>
          </cell>
          <cell r="D896" t="str">
            <v>4</v>
          </cell>
          <cell r="E896" t="str">
            <v>0035</v>
          </cell>
          <cell r="F896" t="str">
            <v>0002</v>
          </cell>
          <cell r="G896" t="str">
            <v>1020104</v>
          </cell>
          <cell r="H896" t="str">
            <v>付ZLA00043#发票港杂费</v>
          </cell>
          <cell r="I896" t="b">
            <v>0</v>
          </cell>
          <cell r="J896">
            <v>2330</v>
          </cell>
          <cell r="K896">
            <v>0</v>
          </cell>
          <cell r="L896">
            <v>0</v>
          </cell>
        </row>
        <row r="897">
          <cell r="A897" t="str">
            <v>12</v>
          </cell>
          <cell r="B897" t="str">
            <v>20</v>
          </cell>
          <cell r="C897" t="str">
            <v>12</v>
          </cell>
          <cell r="D897" t="str">
            <v>4</v>
          </cell>
          <cell r="E897" t="str">
            <v>0036</v>
          </cell>
          <cell r="F897" t="str">
            <v>0009</v>
          </cell>
          <cell r="G897" t="str">
            <v>1020104</v>
          </cell>
          <cell r="H897" t="str">
            <v>付港杂费</v>
          </cell>
          <cell r="I897" t="b">
            <v>0</v>
          </cell>
          <cell r="J897">
            <v>11685</v>
          </cell>
          <cell r="K897">
            <v>0</v>
          </cell>
          <cell r="L897">
            <v>0</v>
          </cell>
        </row>
        <row r="898">
          <cell r="A898" t="str">
            <v>12</v>
          </cell>
          <cell r="B898" t="str">
            <v>20</v>
          </cell>
          <cell r="C898" t="str">
            <v>12</v>
          </cell>
          <cell r="D898" t="str">
            <v>4</v>
          </cell>
          <cell r="E898" t="str">
            <v>0037</v>
          </cell>
          <cell r="F898" t="str">
            <v>0004</v>
          </cell>
          <cell r="G898" t="str">
            <v>1020104</v>
          </cell>
          <cell r="H898" t="str">
            <v>付电.水费</v>
          </cell>
          <cell r="I898" t="b">
            <v>0</v>
          </cell>
          <cell r="J898">
            <v>736281.21</v>
          </cell>
          <cell r="K898">
            <v>0</v>
          </cell>
          <cell r="L898">
            <v>0</v>
          </cell>
        </row>
        <row r="899">
          <cell r="A899" t="str">
            <v>12</v>
          </cell>
          <cell r="B899" t="str">
            <v>20</v>
          </cell>
          <cell r="C899" t="str">
            <v>12</v>
          </cell>
          <cell r="D899" t="str">
            <v>4</v>
          </cell>
          <cell r="E899" t="str">
            <v>0039</v>
          </cell>
          <cell r="F899" t="str">
            <v>0003</v>
          </cell>
          <cell r="G899" t="str">
            <v>1020104</v>
          </cell>
          <cell r="H899" t="str">
            <v>付货款</v>
          </cell>
          <cell r="I899" t="b">
            <v>0</v>
          </cell>
          <cell r="J899">
            <v>3260000</v>
          </cell>
          <cell r="K899">
            <v>0</v>
          </cell>
          <cell r="L899">
            <v>0</v>
          </cell>
        </row>
        <row r="900">
          <cell r="A900" t="str">
            <v>12</v>
          </cell>
          <cell r="B900" t="str">
            <v>20</v>
          </cell>
          <cell r="C900" t="str">
            <v>12</v>
          </cell>
          <cell r="D900" t="str">
            <v>4</v>
          </cell>
          <cell r="E900" t="str">
            <v>0040</v>
          </cell>
          <cell r="F900" t="str">
            <v>0004</v>
          </cell>
          <cell r="G900" t="str">
            <v>1020104</v>
          </cell>
          <cell r="H900" t="str">
            <v>付运费</v>
          </cell>
          <cell r="I900" t="b">
            <v>0</v>
          </cell>
          <cell r="J900">
            <v>4115</v>
          </cell>
          <cell r="K900">
            <v>0</v>
          </cell>
          <cell r="L900">
            <v>0</v>
          </cell>
        </row>
        <row r="901">
          <cell r="A901" t="str">
            <v>12</v>
          </cell>
          <cell r="B901" t="str">
            <v>20</v>
          </cell>
          <cell r="C901" t="str">
            <v>12</v>
          </cell>
          <cell r="D901" t="str">
            <v>4</v>
          </cell>
          <cell r="E901" t="str">
            <v>0041</v>
          </cell>
          <cell r="F901" t="str">
            <v>0008</v>
          </cell>
          <cell r="G901" t="str">
            <v>1020104</v>
          </cell>
          <cell r="H901" t="str">
            <v>付运杂费</v>
          </cell>
          <cell r="I901" t="b">
            <v>0</v>
          </cell>
          <cell r="J901">
            <v>10025</v>
          </cell>
          <cell r="K901">
            <v>0</v>
          </cell>
          <cell r="L901">
            <v>0</v>
          </cell>
        </row>
        <row r="902">
          <cell r="A902" t="str">
            <v>12</v>
          </cell>
          <cell r="B902" t="str">
            <v>20</v>
          </cell>
          <cell r="C902" t="str">
            <v>12</v>
          </cell>
          <cell r="D902" t="str">
            <v>4</v>
          </cell>
          <cell r="E902" t="str">
            <v>0042</v>
          </cell>
          <cell r="F902" t="str">
            <v>0002</v>
          </cell>
          <cell r="G902" t="str">
            <v>1020104</v>
          </cell>
          <cell r="H902" t="str">
            <v>付运费</v>
          </cell>
          <cell r="I902" t="b">
            <v>0</v>
          </cell>
          <cell r="J902">
            <v>3400</v>
          </cell>
          <cell r="K902">
            <v>0</v>
          </cell>
          <cell r="L902">
            <v>0</v>
          </cell>
        </row>
        <row r="903">
          <cell r="A903" t="str">
            <v>12</v>
          </cell>
          <cell r="B903" t="str">
            <v>21</v>
          </cell>
          <cell r="C903" t="str">
            <v>12</v>
          </cell>
          <cell r="D903" t="str">
            <v>4</v>
          </cell>
          <cell r="E903" t="str">
            <v>0047</v>
          </cell>
          <cell r="F903" t="str">
            <v>0002</v>
          </cell>
          <cell r="G903" t="str">
            <v>1020104</v>
          </cell>
          <cell r="H903" t="str">
            <v>付土地补偿费</v>
          </cell>
          <cell r="I903" t="b">
            <v>0</v>
          </cell>
          <cell r="J903">
            <v>100000</v>
          </cell>
          <cell r="K903">
            <v>0</v>
          </cell>
          <cell r="L903">
            <v>0</v>
          </cell>
        </row>
        <row r="904">
          <cell r="A904" t="str">
            <v>12</v>
          </cell>
          <cell r="B904" t="str">
            <v>22</v>
          </cell>
          <cell r="C904" t="str">
            <v>12</v>
          </cell>
          <cell r="D904" t="str">
            <v>4</v>
          </cell>
          <cell r="E904" t="str">
            <v>0048</v>
          </cell>
          <cell r="F904" t="str">
            <v>0004</v>
          </cell>
          <cell r="G904" t="str">
            <v>1020104</v>
          </cell>
          <cell r="H904" t="str">
            <v>暂借款</v>
          </cell>
          <cell r="I904" t="b">
            <v>0</v>
          </cell>
          <cell r="J904">
            <v>2700000</v>
          </cell>
          <cell r="K904">
            <v>0</v>
          </cell>
          <cell r="L904">
            <v>0</v>
          </cell>
        </row>
        <row r="905">
          <cell r="A905" t="str">
            <v>12</v>
          </cell>
          <cell r="B905" t="str">
            <v>22</v>
          </cell>
          <cell r="C905" t="str">
            <v>12</v>
          </cell>
          <cell r="D905" t="str">
            <v>4</v>
          </cell>
          <cell r="E905" t="str">
            <v>0049</v>
          </cell>
          <cell r="F905" t="str">
            <v>0002</v>
          </cell>
          <cell r="G905" t="str">
            <v>1020104</v>
          </cell>
          <cell r="H905" t="str">
            <v>付中行借款利息</v>
          </cell>
          <cell r="I905" t="b">
            <v>0</v>
          </cell>
          <cell r="J905">
            <v>1046329.27</v>
          </cell>
          <cell r="K905">
            <v>0</v>
          </cell>
          <cell r="L905">
            <v>0</v>
          </cell>
        </row>
        <row r="906">
          <cell r="A906" t="str">
            <v>12</v>
          </cell>
          <cell r="B906" t="str">
            <v>23</v>
          </cell>
          <cell r="C906" t="str">
            <v>12</v>
          </cell>
          <cell r="D906" t="str">
            <v>4</v>
          </cell>
          <cell r="E906" t="str">
            <v>0050</v>
          </cell>
          <cell r="F906" t="str">
            <v>0002</v>
          </cell>
          <cell r="G906" t="str">
            <v>1020104</v>
          </cell>
          <cell r="H906" t="str">
            <v>还贷款</v>
          </cell>
          <cell r="I906" t="b">
            <v>0</v>
          </cell>
          <cell r="J906">
            <v>10000000</v>
          </cell>
          <cell r="K906">
            <v>0</v>
          </cell>
          <cell r="L906">
            <v>0</v>
          </cell>
        </row>
        <row r="907">
          <cell r="A907" t="str">
            <v>12</v>
          </cell>
          <cell r="B907" t="str">
            <v>23</v>
          </cell>
          <cell r="C907" t="str">
            <v>12</v>
          </cell>
          <cell r="D907" t="str">
            <v>4</v>
          </cell>
          <cell r="E907" t="str">
            <v>0051</v>
          </cell>
          <cell r="F907" t="str">
            <v>0002</v>
          </cell>
          <cell r="G907" t="str">
            <v>1020104</v>
          </cell>
          <cell r="H907" t="str">
            <v>付手续费</v>
          </cell>
          <cell r="I907" t="b">
            <v>0</v>
          </cell>
          <cell r="J907">
            <v>558.20000000000005</v>
          </cell>
          <cell r="K907">
            <v>0</v>
          </cell>
          <cell r="L907">
            <v>0</v>
          </cell>
        </row>
        <row r="908">
          <cell r="A908" t="str">
            <v>12</v>
          </cell>
          <cell r="B908" t="str">
            <v>23</v>
          </cell>
          <cell r="C908" t="str">
            <v>12</v>
          </cell>
          <cell r="D908" t="str">
            <v>4</v>
          </cell>
          <cell r="E908" t="str">
            <v>0052</v>
          </cell>
          <cell r="F908" t="str">
            <v>0005</v>
          </cell>
          <cell r="G908" t="str">
            <v>1020104</v>
          </cell>
          <cell r="H908" t="str">
            <v>购材料</v>
          </cell>
          <cell r="I908" t="b">
            <v>0</v>
          </cell>
          <cell r="J908">
            <v>29000</v>
          </cell>
          <cell r="K908">
            <v>0</v>
          </cell>
          <cell r="L908">
            <v>0</v>
          </cell>
        </row>
        <row r="909">
          <cell r="A909" t="str">
            <v>12</v>
          </cell>
          <cell r="B909" t="str">
            <v>25</v>
          </cell>
          <cell r="C909" t="str">
            <v>12</v>
          </cell>
          <cell r="D909" t="str">
            <v>4</v>
          </cell>
          <cell r="E909" t="str">
            <v>0054</v>
          </cell>
          <cell r="F909" t="str">
            <v>0002</v>
          </cell>
          <cell r="G909" t="str">
            <v>1020104</v>
          </cell>
          <cell r="H909" t="str">
            <v>还借款</v>
          </cell>
          <cell r="I909" t="b">
            <v>0</v>
          </cell>
          <cell r="J909">
            <v>10000000</v>
          </cell>
          <cell r="K909">
            <v>0</v>
          </cell>
          <cell r="L909">
            <v>0</v>
          </cell>
        </row>
        <row r="910">
          <cell r="A910" t="str">
            <v>12</v>
          </cell>
          <cell r="B910" t="str">
            <v>25</v>
          </cell>
          <cell r="C910" t="str">
            <v>12</v>
          </cell>
          <cell r="D910" t="str">
            <v>4</v>
          </cell>
          <cell r="E910" t="str">
            <v>0055</v>
          </cell>
          <cell r="F910" t="str">
            <v>0004</v>
          </cell>
          <cell r="G910" t="str">
            <v>1020104</v>
          </cell>
          <cell r="H910" t="str">
            <v>付手续费</v>
          </cell>
          <cell r="I910" t="b">
            <v>0</v>
          </cell>
          <cell r="J910">
            <v>161.05000000000001</v>
          </cell>
          <cell r="K910">
            <v>0</v>
          </cell>
          <cell r="L910">
            <v>0</v>
          </cell>
        </row>
        <row r="911">
          <cell r="A911" t="str">
            <v>12</v>
          </cell>
          <cell r="B911" t="str">
            <v>25</v>
          </cell>
          <cell r="C911" t="str">
            <v>12</v>
          </cell>
          <cell r="D911" t="str">
            <v>4</v>
          </cell>
          <cell r="E911" t="str">
            <v>0056</v>
          </cell>
          <cell r="F911" t="str">
            <v>0004</v>
          </cell>
          <cell r="G911" t="str">
            <v>1020104</v>
          </cell>
          <cell r="H911" t="str">
            <v>付土地款.果汁款</v>
          </cell>
          <cell r="I911" t="b">
            <v>0</v>
          </cell>
          <cell r="J911">
            <v>250000</v>
          </cell>
          <cell r="K911">
            <v>0</v>
          </cell>
          <cell r="L911">
            <v>0</v>
          </cell>
        </row>
        <row r="912">
          <cell r="A912" t="str">
            <v>12</v>
          </cell>
          <cell r="B912" t="str">
            <v>30</v>
          </cell>
          <cell r="C912" t="str">
            <v>12</v>
          </cell>
          <cell r="D912" t="str">
            <v>4</v>
          </cell>
          <cell r="E912" t="str">
            <v>0057</v>
          </cell>
          <cell r="F912" t="str">
            <v>0002</v>
          </cell>
          <cell r="G912" t="str">
            <v>1020104</v>
          </cell>
          <cell r="H912" t="str">
            <v>暂借款</v>
          </cell>
          <cell r="I912" t="b">
            <v>0</v>
          </cell>
          <cell r="J912">
            <v>1700000</v>
          </cell>
          <cell r="K912">
            <v>0</v>
          </cell>
          <cell r="L912">
            <v>0</v>
          </cell>
        </row>
        <row r="913">
          <cell r="A913" t="str">
            <v>12</v>
          </cell>
          <cell r="B913" t="str">
            <v>31</v>
          </cell>
          <cell r="C913" t="str">
            <v>12</v>
          </cell>
          <cell r="D913" t="str">
            <v>4</v>
          </cell>
          <cell r="E913" t="str">
            <v>0058</v>
          </cell>
          <cell r="F913" t="str">
            <v>0002</v>
          </cell>
          <cell r="G913" t="str">
            <v>1020104</v>
          </cell>
          <cell r="H913" t="str">
            <v>暂借款</v>
          </cell>
          <cell r="I913" t="b">
            <v>0</v>
          </cell>
          <cell r="J913">
            <v>600000</v>
          </cell>
          <cell r="K913">
            <v>0</v>
          </cell>
          <cell r="L913">
            <v>0</v>
          </cell>
        </row>
        <row r="914">
          <cell r="A914" t="str">
            <v>02</v>
          </cell>
          <cell r="B914" t="str">
            <v>08</v>
          </cell>
          <cell r="C914" t="str">
            <v>02</v>
          </cell>
          <cell r="D914" t="str">
            <v>3</v>
          </cell>
          <cell r="E914" t="str">
            <v>0004</v>
          </cell>
          <cell r="F914" t="str">
            <v>0003</v>
          </cell>
          <cell r="G914" t="str">
            <v>1020105</v>
          </cell>
          <cell r="H914" t="str">
            <v>收存款利息</v>
          </cell>
          <cell r="I914" t="b">
            <v>1</v>
          </cell>
          <cell r="J914">
            <v>7.8</v>
          </cell>
          <cell r="K914">
            <v>0</v>
          </cell>
          <cell r="L914">
            <v>0</v>
          </cell>
        </row>
        <row r="915">
          <cell r="A915" t="str">
            <v>08</v>
          </cell>
          <cell r="B915" t="str">
            <v>01</v>
          </cell>
          <cell r="C915" t="str">
            <v>08</v>
          </cell>
          <cell r="D915" t="str">
            <v>3</v>
          </cell>
          <cell r="E915" t="str">
            <v>0001</v>
          </cell>
          <cell r="F915" t="str">
            <v>0002</v>
          </cell>
          <cell r="G915" t="str">
            <v>1020105</v>
          </cell>
          <cell r="H915" t="str">
            <v>收存款利息</v>
          </cell>
          <cell r="I915" t="b">
            <v>1</v>
          </cell>
          <cell r="J915">
            <v>15.74</v>
          </cell>
          <cell r="K915">
            <v>0</v>
          </cell>
          <cell r="L915">
            <v>0</v>
          </cell>
        </row>
        <row r="916">
          <cell r="A916" t="str">
            <v>12</v>
          </cell>
          <cell r="B916" t="str">
            <v>03</v>
          </cell>
          <cell r="C916" t="str">
            <v>12</v>
          </cell>
          <cell r="D916" t="str">
            <v>3</v>
          </cell>
          <cell r="E916" t="str">
            <v>0002</v>
          </cell>
          <cell r="F916" t="str">
            <v>0003</v>
          </cell>
          <cell r="G916" t="str">
            <v>1020105</v>
          </cell>
          <cell r="H916" t="str">
            <v>暂借款</v>
          </cell>
          <cell r="I916" t="b">
            <v>1</v>
          </cell>
          <cell r="J916">
            <v>200000</v>
          </cell>
          <cell r="K916">
            <v>0</v>
          </cell>
          <cell r="L916">
            <v>0</v>
          </cell>
        </row>
        <row r="917">
          <cell r="A917" t="str">
            <v>12</v>
          </cell>
          <cell r="B917" t="str">
            <v>08</v>
          </cell>
          <cell r="C917" t="str">
            <v>12</v>
          </cell>
          <cell r="D917" t="str">
            <v>4</v>
          </cell>
          <cell r="E917" t="str">
            <v>0009</v>
          </cell>
          <cell r="F917" t="str">
            <v>0004</v>
          </cell>
          <cell r="G917" t="str">
            <v>1020105</v>
          </cell>
          <cell r="H917" t="str">
            <v>转户</v>
          </cell>
          <cell r="I917" t="b">
            <v>0</v>
          </cell>
          <cell r="J917">
            <v>200000</v>
          </cell>
          <cell r="K917">
            <v>0</v>
          </cell>
          <cell r="L917">
            <v>0</v>
          </cell>
        </row>
        <row r="918">
          <cell r="A918" t="str">
            <v>03</v>
          </cell>
          <cell r="B918" t="str">
            <v>01</v>
          </cell>
          <cell r="C918" t="str">
            <v>03</v>
          </cell>
          <cell r="D918" t="str">
            <v>4</v>
          </cell>
          <cell r="E918" t="str">
            <v>0002</v>
          </cell>
          <cell r="F918" t="str">
            <v>0002</v>
          </cell>
          <cell r="G918" t="str">
            <v>1020106</v>
          </cell>
          <cell r="H918" t="str">
            <v>付卡费</v>
          </cell>
          <cell r="I918" t="b">
            <v>0</v>
          </cell>
          <cell r="J918">
            <v>200</v>
          </cell>
          <cell r="K918">
            <v>0</v>
          </cell>
          <cell r="L918">
            <v>0</v>
          </cell>
        </row>
        <row r="919">
          <cell r="A919" t="str">
            <v>04</v>
          </cell>
          <cell r="B919" t="str">
            <v>01</v>
          </cell>
          <cell r="C919" t="str">
            <v>04</v>
          </cell>
          <cell r="D919" t="str">
            <v>4</v>
          </cell>
          <cell r="E919" t="str">
            <v>0001</v>
          </cell>
          <cell r="F919" t="str">
            <v>0003</v>
          </cell>
          <cell r="G919" t="str">
            <v>1020106</v>
          </cell>
          <cell r="H919" t="str">
            <v>付住宿费</v>
          </cell>
          <cell r="I919" t="b">
            <v>0</v>
          </cell>
          <cell r="J919">
            <v>1044.4000000000001</v>
          </cell>
          <cell r="K919">
            <v>0</v>
          </cell>
          <cell r="L919">
            <v>0</v>
          </cell>
        </row>
        <row r="920">
          <cell r="A920" t="str">
            <v>08</v>
          </cell>
          <cell r="B920" t="str">
            <v>01</v>
          </cell>
          <cell r="C920" t="str">
            <v>08</v>
          </cell>
          <cell r="D920" t="str">
            <v>3</v>
          </cell>
          <cell r="E920" t="str">
            <v>0001</v>
          </cell>
          <cell r="F920" t="str">
            <v>0003</v>
          </cell>
          <cell r="G920" t="str">
            <v>1020106</v>
          </cell>
          <cell r="H920" t="str">
            <v>收存款利息</v>
          </cell>
          <cell r="I920" t="b">
            <v>1</v>
          </cell>
          <cell r="J920">
            <v>2445.0300000000002</v>
          </cell>
          <cell r="K920">
            <v>0</v>
          </cell>
          <cell r="L920">
            <v>0</v>
          </cell>
        </row>
        <row r="921">
          <cell r="A921" t="str">
            <v>08</v>
          </cell>
          <cell r="B921" t="str">
            <v>04</v>
          </cell>
          <cell r="C921" t="str">
            <v>08</v>
          </cell>
          <cell r="D921" t="str">
            <v>4</v>
          </cell>
          <cell r="E921" t="str">
            <v>0006</v>
          </cell>
          <cell r="F921" t="str">
            <v>0002</v>
          </cell>
          <cell r="G921" t="str">
            <v>1020106</v>
          </cell>
          <cell r="H921" t="str">
            <v>付房费</v>
          </cell>
          <cell r="I921" t="b">
            <v>0</v>
          </cell>
          <cell r="J921">
            <v>412</v>
          </cell>
          <cell r="K921">
            <v>0</v>
          </cell>
          <cell r="L921">
            <v>0</v>
          </cell>
        </row>
        <row r="922">
          <cell r="A922" t="str">
            <v>09</v>
          </cell>
          <cell r="B922" t="str">
            <v>03</v>
          </cell>
          <cell r="C922" t="str">
            <v>09</v>
          </cell>
          <cell r="D922" t="str">
            <v>4</v>
          </cell>
          <cell r="E922" t="str">
            <v>0004</v>
          </cell>
          <cell r="F922" t="str">
            <v>0006</v>
          </cell>
          <cell r="G922" t="str">
            <v>1020106</v>
          </cell>
          <cell r="H922" t="str">
            <v>付差旅费</v>
          </cell>
          <cell r="I922" t="b">
            <v>0</v>
          </cell>
          <cell r="J922">
            <v>962.9</v>
          </cell>
          <cell r="K922">
            <v>0</v>
          </cell>
          <cell r="L922">
            <v>0</v>
          </cell>
        </row>
        <row r="923">
          <cell r="A923" t="str">
            <v>10</v>
          </cell>
          <cell r="B923" t="str">
            <v>10</v>
          </cell>
          <cell r="C923" t="str">
            <v>10</v>
          </cell>
          <cell r="D923" t="str">
            <v>4</v>
          </cell>
          <cell r="E923" t="str">
            <v>0012</v>
          </cell>
          <cell r="F923" t="str">
            <v>0003</v>
          </cell>
          <cell r="G923" t="str">
            <v>1020106</v>
          </cell>
          <cell r="H923" t="str">
            <v>付招待费.差旅费</v>
          </cell>
          <cell r="I923" t="b">
            <v>0</v>
          </cell>
          <cell r="J923">
            <v>3948.16</v>
          </cell>
          <cell r="K923">
            <v>0</v>
          </cell>
          <cell r="L923">
            <v>0</v>
          </cell>
        </row>
        <row r="924">
          <cell r="A924" t="str">
            <v>02</v>
          </cell>
          <cell r="B924" t="str">
            <v>08</v>
          </cell>
          <cell r="C924" t="str">
            <v>02</v>
          </cell>
          <cell r="D924" t="str">
            <v>3</v>
          </cell>
          <cell r="E924" t="str">
            <v>0005</v>
          </cell>
          <cell r="F924" t="str">
            <v>0003</v>
          </cell>
          <cell r="G924" t="str">
            <v>1020108</v>
          </cell>
          <cell r="H924" t="str">
            <v>收存款利息</v>
          </cell>
          <cell r="I924" t="b">
            <v>1</v>
          </cell>
          <cell r="J924">
            <v>71.7</v>
          </cell>
          <cell r="K924">
            <v>0</v>
          </cell>
          <cell r="L924">
            <v>0</v>
          </cell>
        </row>
        <row r="925">
          <cell r="A925" t="str">
            <v>02</v>
          </cell>
          <cell r="B925" t="str">
            <v>13</v>
          </cell>
          <cell r="C925" t="str">
            <v>02</v>
          </cell>
          <cell r="D925" t="str">
            <v>4</v>
          </cell>
          <cell r="E925" t="str">
            <v>0013</v>
          </cell>
          <cell r="F925" t="str">
            <v>0003</v>
          </cell>
          <cell r="G925" t="str">
            <v>1020108</v>
          </cell>
          <cell r="H925" t="str">
            <v>付邮电费</v>
          </cell>
          <cell r="I925" t="b">
            <v>0</v>
          </cell>
          <cell r="J925">
            <v>12.24</v>
          </cell>
          <cell r="K925">
            <v>0</v>
          </cell>
          <cell r="L925">
            <v>0</v>
          </cell>
        </row>
        <row r="926">
          <cell r="A926" t="str">
            <v>03</v>
          </cell>
          <cell r="B926" t="str">
            <v>01</v>
          </cell>
          <cell r="C926" t="str">
            <v>03</v>
          </cell>
          <cell r="D926" t="str">
            <v>3</v>
          </cell>
          <cell r="E926" t="str">
            <v>0001</v>
          </cell>
          <cell r="F926" t="str">
            <v>0002</v>
          </cell>
          <cell r="G926" t="str">
            <v>1020108</v>
          </cell>
          <cell r="H926" t="str">
            <v>收回借款</v>
          </cell>
          <cell r="I926" t="b">
            <v>1</v>
          </cell>
          <cell r="J926">
            <v>1500000</v>
          </cell>
          <cell r="K926">
            <v>0</v>
          </cell>
          <cell r="L926">
            <v>0</v>
          </cell>
        </row>
        <row r="927">
          <cell r="A927" t="str">
            <v>03</v>
          </cell>
          <cell r="B927" t="str">
            <v>01</v>
          </cell>
          <cell r="C927" t="str">
            <v>03</v>
          </cell>
          <cell r="D927" t="str">
            <v>4</v>
          </cell>
          <cell r="E927" t="str">
            <v>0001</v>
          </cell>
          <cell r="F927" t="str">
            <v>0003</v>
          </cell>
          <cell r="G927" t="str">
            <v>1020108</v>
          </cell>
          <cell r="H927" t="str">
            <v>付银行存款</v>
          </cell>
          <cell r="I927" t="b">
            <v>0</v>
          </cell>
          <cell r="J927">
            <v>1000020</v>
          </cell>
          <cell r="K927">
            <v>0</v>
          </cell>
          <cell r="L927">
            <v>0</v>
          </cell>
        </row>
        <row r="928">
          <cell r="A928" t="str">
            <v>03</v>
          </cell>
          <cell r="B928" t="str">
            <v>06</v>
          </cell>
          <cell r="C928" t="str">
            <v>03</v>
          </cell>
          <cell r="D928" t="str">
            <v>4</v>
          </cell>
          <cell r="E928" t="str">
            <v>0010</v>
          </cell>
          <cell r="F928" t="str">
            <v>0002</v>
          </cell>
          <cell r="G928" t="str">
            <v>1020108</v>
          </cell>
          <cell r="H928" t="str">
            <v>转户</v>
          </cell>
          <cell r="I928" t="b">
            <v>1</v>
          </cell>
          <cell r="J928">
            <v>1000000</v>
          </cell>
          <cell r="K928">
            <v>0</v>
          </cell>
          <cell r="L928">
            <v>0</v>
          </cell>
        </row>
        <row r="929">
          <cell r="A929" t="str">
            <v>03</v>
          </cell>
          <cell r="B929" t="str">
            <v>17</v>
          </cell>
          <cell r="C929" t="str">
            <v>03</v>
          </cell>
          <cell r="D929" t="str">
            <v>4</v>
          </cell>
          <cell r="E929" t="str">
            <v>0025</v>
          </cell>
          <cell r="F929" t="str">
            <v>0002</v>
          </cell>
          <cell r="G929" t="str">
            <v>1020108</v>
          </cell>
          <cell r="H929" t="str">
            <v>还贷款</v>
          </cell>
          <cell r="I929" t="b">
            <v>0</v>
          </cell>
          <cell r="J929">
            <v>1000000</v>
          </cell>
          <cell r="K929">
            <v>0</v>
          </cell>
          <cell r="L929">
            <v>0</v>
          </cell>
        </row>
        <row r="930">
          <cell r="A930" t="str">
            <v>04</v>
          </cell>
          <cell r="B930" t="str">
            <v>01</v>
          </cell>
          <cell r="C930" t="str">
            <v>04</v>
          </cell>
          <cell r="D930" t="str">
            <v>3</v>
          </cell>
          <cell r="E930" t="str">
            <v>0001</v>
          </cell>
          <cell r="F930" t="str">
            <v>0002</v>
          </cell>
          <cell r="G930" t="str">
            <v>1020108</v>
          </cell>
          <cell r="H930" t="str">
            <v>收存款利息</v>
          </cell>
          <cell r="I930" t="b">
            <v>1</v>
          </cell>
          <cell r="J930">
            <v>401.87</v>
          </cell>
          <cell r="K930">
            <v>0</v>
          </cell>
          <cell r="L930">
            <v>0</v>
          </cell>
        </row>
        <row r="931">
          <cell r="A931" t="str">
            <v>05</v>
          </cell>
          <cell r="B931" t="str">
            <v>22</v>
          </cell>
          <cell r="C931" t="str">
            <v>05</v>
          </cell>
          <cell r="D931" t="str">
            <v>3</v>
          </cell>
          <cell r="E931" t="str">
            <v>0003</v>
          </cell>
          <cell r="F931" t="str">
            <v>0002</v>
          </cell>
          <cell r="G931" t="str">
            <v>1020108</v>
          </cell>
          <cell r="H931" t="str">
            <v>暂借款</v>
          </cell>
          <cell r="I931" t="b">
            <v>1</v>
          </cell>
          <cell r="J931">
            <v>1000000</v>
          </cell>
          <cell r="K931">
            <v>0</v>
          </cell>
          <cell r="L931">
            <v>0</v>
          </cell>
        </row>
        <row r="932">
          <cell r="A932" t="str">
            <v>05</v>
          </cell>
          <cell r="B932" t="str">
            <v>23</v>
          </cell>
          <cell r="C932" t="str">
            <v>05</v>
          </cell>
          <cell r="D932" t="str">
            <v>4</v>
          </cell>
          <cell r="E932" t="str">
            <v>0023</v>
          </cell>
          <cell r="F932" t="str">
            <v>0002</v>
          </cell>
          <cell r="G932" t="str">
            <v>1020108</v>
          </cell>
          <cell r="H932" t="str">
            <v>转户</v>
          </cell>
          <cell r="I932" t="b">
            <v>0</v>
          </cell>
          <cell r="J932">
            <v>1500000</v>
          </cell>
          <cell r="K932">
            <v>0</v>
          </cell>
          <cell r="L932">
            <v>0</v>
          </cell>
        </row>
        <row r="933">
          <cell r="A933" t="str">
            <v>07</v>
          </cell>
          <cell r="B933" t="str">
            <v>10</v>
          </cell>
          <cell r="C933" t="str">
            <v>07</v>
          </cell>
          <cell r="D933" t="str">
            <v>3</v>
          </cell>
          <cell r="E933" t="str">
            <v>0003</v>
          </cell>
          <cell r="F933" t="str">
            <v>0003</v>
          </cell>
          <cell r="G933" t="str">
            <v>1020108</v>
          </cell>
          <cell r="H933" t="str">
            <v>收存款利息</v>
          </cell>
          <cell r="I933" t="b">
            <v>1</v>
          </cell>
          <cell r="J933">
            <v>1558.64</v>
          </cell>
          <cell r="K933">
            <v>0</v>
          </cell>
          <cell r="L933">
            <v>0</v>
          </cell>
        </row>
        <row r="934">
          <cell r="A934" t="str">
            <v>09</v>
          </cell>
          <cell r="B934" t="str">
            <v>10</v>
          </cell>
          <cell r="C934" t="str">
            <v>09</v>
          </cell>
          <cell r="D934" t="str">
            <v>3</v>
          </cell>
          <cell r="E934" t="str">
            <v>0004</v>
          </cell>
          <cell r="F934" t="str">
            <v>0002</v>
          </cell>
          <cell r="G934" t="str">
            <v>1020108</v>
          </cell>
          <cell r="H934" t="str">
            <v>收存款利息</v>
          </cell>
          <cell r="I934" t="b">
            <v>1</v>
          </cell>
          <cell r="J934">
            <v>77.58</v>
          </cell>
          <cell r="K934">
            <v>0</v>
          </cell>
          <cell r="L934">
            <v>0</v>
          </cell>
        </row>
        <row r="935">
          <cell r="A935" t="str">
            <v>12</v>
          </cell>
          <cell r="B935" t="str">
            <v>04</v>
          </cell>
          <cell r="C935" t="str">
            <v>12</v>
          </cell>
          <cell r="D935" t="str">
            <v>3</v>
          </cell>
          <cell r="E935" t="str">
            <v>0003</v>
          </cell>
          <cell r="F935" t="str">
            <v>0003</v>
          </cell>
          <cell r="G935" t="str">
            <v>1020108</v>
          </cell>
          <cell r="H935" t="str">
            <v>收住房管理中心拨维修款</v>
          </cell>
          <cell r="I935" t="b">
            <v>1</v>
          </cell>
          <cell r="J935">
            <v>41902.800000000003</v>
          </cell>
          <cell r="K935">
            <v>0</v>
          </cell>
          <cell r="L935">
            <v>0</v>
          </cell>
        </row>
        <row r="936">
          <cell r="A936" t="str">
            <v>12</v>
          </cell>
          <cell r="B936" t="str">
            <v>22</v>
          </cell>
          <cell r="C936" t="str">
            <v>12</v>
          </cell>
          <cell r="D936" t="str">
            <v>3</v>
          </cell>
          <cell r="E936" t="str">
            <v>0015</v>
          </cell>
          <cell r="F936" t="str">
            <v>0003</v>
          </cell>
          <cell r="G936" t="str">
            <v>1020108</v>
          </cell>
          <cell r="H936" t="str">
            <v>收存款利息</v>
          </cell>
          <cell r="I936" t="b">
            <v>1</v>
          </cell>
          <cell r="J936">
            <v>552.07000000000005</v>
          </cell>
          <cell r="K936">
            <v>0</v>
          </cell>
          <cell r="L936">
            <v>0</v>
          </cell>
        </row>
        <row r="937">
          <cell r="A937" t="str">
            <v>12</v>
          </cell>
          <cell r="B937" t="str">
            <v>01</v>
          </cell>
          <cell r="C937" t="str">
            <v>12</v>
          </cell>
          <cell r="D937" t="str">
            <v>4</v>
          </cell>
          <cell r="E937" t="str">
            <v>0002</v>
          </cell>
          <cell r="F937" t="str">
            <v>0001</v>
          </cell>
          <cell r="G937" t="str">
            <v>1020108</v>
          </cell>
          <cell r="H937" t="str">
            <v>转户</v>
          </cell>
          <cell r="I937" t="b">
            <v>1</v>
          </cell>
          <cell r="J937">
            <v>800000</v>
          </cell>
          <cell r="K937">
            <v>0</v>
          </cell>
          <cell r="L937">
            <v>0</v>
          </cell>
        </row>
        <row r="938">
          <cell r="A938" t="str">
            <v>12</v>
          </cell>
          <cell r="B938" t="str">
            <v>08</v>
          </cell>
          <cell r="C938" t="str">
            <v>12</v>
          </cell>
          <cell r="D938" t="str">
            <v>4</v>
          </cell>
          <cell r="E938" t="str">
            <v>0012</v>
          </cell>
          <cell r="F938" t="str">
            <v>0004</v>
          </cell>
          <cell r="G938" t="str">
            <v>1020108</v>
          </cell>
          <cell r="H938" t="str">
            <v>付工会经费.购支票</v>
          </cell>
          <cell r="I938" t="b">
            <v>0</v>
          </cell>
          <cell r="J938">
            <v>15020</v>
          </cell>
          <cell r="K938">
            <v>0</v>
          </cell>
          <cell r="L938">
            <v>0</v>
          </cell>
        </row>
        <row r="939">
          <cell r="A939" t="str">
            <v>12</v>
          </cell>
          <cell r="B939" t="str">
            <v>19</v>
          </cell>
          <cell r="C939" t="str">
            <v>12</v>
          </cell>
          <cell r="D939" t="str">
            <v>4</v>
          </cell>
          <cell r="E939" t="str">
            <v>0026</v>
          </cell>
          <cell r="F939" t="str">
            <v>0003</v>
          </cell>
          <cell r="G939" t="str">
            <v>1020108</v>
          </cell>
          <cell r="H939" t="str">
            <v>付电机修理费.吊车费</v>
          </cell>
          <cell r="I939" t="b">
            <v>0</v>
          </cell>
          <cell r="J939">
            <v>20451</v>
          </cell>
          <cell r="K939">
            <v>0</v>
          </cell>
          <cell r="L939">
            <v>0</v>
          </cell>
        </row>
        <row r="940">
          <cell r="A940" t="str">
            <v>12</v>
          </cell>
          <cell r="B940" t="str">
            <v>19</v>
          </cell>
          <cell r="C940" t="str">
            <v>12</v>
          </cell>
          <cell r="D940" t="str">
            <v>4</v>
          </cell>
          <cell r="E940" t="str">
            <v>0028</v>
          </cell>
          <cell r="F940" t="str">
            <v>0004</v>
          </cell>
          <cell r="G940" t="str">
            <v>1020108</v>
          </cell>
          <cell r="H940" t="str">
            <v>付运费</v>
          </cell>
          <cell r="I940" t="b">
            <v>0</v>
          </cell>
          <cell r="J940">
            <v>8198.4</v>
          </cell>
          <cell r="K940">
            <v>0</v>
          </cell>
          <cell r="L940">
            <v>0</v>
          </cell>
        </row>
        <row r="941">
          <cell r="A941" t="str">
            <v>12</v>
          </cell>
          <cell r="B941" t="str">
            <v>19</v>
          </cell>
          <cell r="C941" t="str">
            <v>12</v>
          </cell>
          <cell r="D941" t="str">
            <v>4</v>
          </cell>
          <cell r="E941" t="str">
            <v>0029</v>
          </cell>
          <cell r="F941" t="str">
            <v>0004</v>
          </cell>
          <cell r="G941" t="str">
            <v>1020108</v>
          </cell>
          <cell r="H941" t="str">
            <v>暂借款</v>
          </cell>
          <cell r="I941" t="b">
            <v>0</v>
          </cell>
          <cell r="J941">
            <v>68131.649999999994</v>
          </cell>
          <cell r="K941">
            <v>0</v>
          </cell>
          <cell r="L941">
            <v>0</v>
          </cell>
        </row>
        <row r="942">
          <cell r="A942" t="str">
            <v>12</v>
          </cell>
          <cell r="B942" t="str">
            <v>19</v>
          </cell>
          <cell r="C942" t="str">
            <v>12</v>
          </cell>
          <cell r="D942" t="str">
            <v>4</v>
          </cell>
          <cell r="E942" t="str">
            <v>0032</v>
          </cell>
          <cell r="F942" t="str">
            <v>0002</v>
          </cell>
          <cell r="G942" t="str">
            <v>1020108</v>
          </cell>
          <cell r="H942" t="str">
            <v>付邮递费</v>
          </cell>
          <cell r="I942" t="b">
            <v>0</v>
          </cell>
          <cell r="J942">
            <v>29029</v>
          </cell>
          <cell r="K942">
            <v>0</v>
          </cell>
          <cell r="L942">
            <v>0</v>
          </cell>
        </row>
        <row r="943">
          <cell r="A943" t="str">
            <v>12</v>
          </cell>
          <cell r="B943" t="str">
            <v>20</v>
          </cell>
          <cell r="C943" t="str">
            <v>12</v>
          </cell>
          <cell r="D943" t="str">
            <v>4</v>
          </cell>
          <cell r="E943" t="str">
            <v>0034</v>
          </cell>
          <cell r="F943" t="str">
            <v>0003</v>
          </cell>
          <cell r="G943" t="str">
            <v>1020108</v>
          </cell>
          <cell r="H943" t="str">
            <v>付招待费.会务费</v>
          </cell>
          <cell r="I943" t="b">
            <v>0</v>
          </cell>
          <cell r="J943">
            <v>9581.7000000000007</v>
          </cell>
          <cell r="K943">
            <v>0</v>
          </cell>
          <cell r="L943">
            <v>0</v>
          </cell>
        </row>
        <row r="944">
          <cell r="A944" t="str">
            <v>12</v>
          </cell>
          <cell r="B944" t="str">
            <v>22</v>
          </cell>
          <cell r="C944" t="str">
            <v>12</v>
          </cell>
          <cell r="D944" t="str">
            <v>4</v>
          </cell>
          <cell r="E944" t="str">
            <v>0048</v>
          </cell>
          <cell r="F944" t="str">
            <v>0005</v>
          </cell>
          <cell r="G944" t="str">
            <v>1020108</v>
          </cell>
          <cell r="H944" t="str">
            <v>暂借款</v>
          </cell>
          <cell r="I944" t="b">
            <v>0</v>
          </cell>
          <cell r="J944">
            <v>300000</v>
          </cell>
          <cell r="K944">
            <v>0</v>
          </cell>
          <cell r="L944">
            <v>0</v>
          </cell>
        </row>
        <row r="945">
          <cell r="A945" t="str">
            <v>02</v>
          </cell>
          <cell r="B945" t="str">
            <v>08</v>
          </cell>
          <cell r="C945" t="str">
            <v>02</v>
          </cell>
          <cell r="D945" t="str">
            <v>3</v>
          </cell>
          <cell r="E945" t="str">
            <v>0005</v>
          </cell>
          <cell r="F945" t="str">
            <v>0002</v>
          </cell>
          <cell r="G945" t="str">
            <v>1020109</v>
          </cell>
          <cell r="H945" t="str">
            <v>收存款利息</v>
          </cell>
          <cell r="I945" t="b">
            <v>1</v>
          </cell>
          <cell r="J945">
            <v>66.42</v>
          </cell>
          <cell r="K945">
            <v>0</v>
          </cell>
          <cell r="L945">
            <v>0</v>
          </cell>
        </row>
        <row r="946">
          <cell r="A946" t="str">
            <v>03</v>
          </cell>
          <cell r="B946" t="str">
            <v>01</v>
          </cell>
          <cell r="C946" t="str">
            <v>03</v>
          </cell>
          <cell r="D946" t="str">
            <v>3</v>
          </cell>
          <cell r="E946" t="str">
            <v>0001</v>
          </cell>
          <cell r="F946" t="str">
            <v>0001</v>
          </cell>
          <cell r="G946" t="str">
            <v>1020109</v>
          </cell>
          <cell r="H946" t="str">
            <v>收回借款</v>
          </cell>
          <cell r="I946" t="b">
            <v>1</v>
          </cell>
          <cell r="J946">
            <v>300000</v>
          </cell>
          <cell r="K946">
            <v>0</v>
          </cell>
          <cell r="L946">
            <v>0</v>
          </cell>
        </row>
        <row r="947">
          <cell r="A947" t="str">
            <v>08</v>
          </cell>
          <cell r="B947" t="str">
            <v>01</v>
          </cell>
          <cell r="C947" t="str">
            <v>08</v>
          </cell>
          <cell r="D947" t="str">
            <v>3</v>
          </cell>
          <cell r="E947" t="str">
            <v>0001</v>
          </cell>
          <cell r="F947" t="str">
            <v>0001</v>
          </cell>
          <cell r="G947" t="str">
            <v>1020109</v>
          </cell>
          <cell r="H947" t="str">
            <v>收存款利息</v>
          </cell>
          <cell r="I947" t="b">
            <v>1</v>
          </cell>
          <cell r="J947">
            <v>1066.75</v>
          </cell>
          <cell r="K947">
            <v>0</v>
          </cell>
          <cell r="L947">
            <v>0</v>
          </cell>
        </row>
        <row r="948">
          <cell r="A948" t="str">
            <v>08</v>
          </cell>
          <cell r="B948" t="str">
            <v>05</v>
          </cell>
          <cell r="C948" t="str">
            <v>08</v>
          </cell>
          <cell r="D948" t="str">
            <v>4</v>
          </cell>
          <cell r="E948" t="str">
            <v>0009</v>
          </cell>
          <cell r="F948" t="str">
            <v>0004</v>
          </cell>
          <cell r="G948" t="str">
            <v>1020109</v>
          </cell>
          <cell r="H948" t="str">
            <v>暂借款</v>
          </cell>
          <cell r="I948" t="b">
            <v>0</v>
          </cell>
          <cell r="J948">
            <v>200000</v>
          </cell>
          <cell r="K948">
            <v>0</v>
          </cell>
          <cell r="L948">
            <v>0</v>
          </cell>
        </row>
        <row r="949">
          <cell r="A949" t="str">
            <v>10</v>
          </cell>
          <cell r="B949" t="str">
            <v>10</v>
          </cell>
          <cell r="C949" t="str">
            <v>10</v>
          </cell>
          <cell r="D949" t="str">
            <v>3</v>
          </cell>
          <cell r="E949" t="str">
            <v>0002</v>
          </cell>
          <cell r="F949" t="str">
            <v>0003</v>
          </cell>
          <cell r="G949" t="str">
            <v>1020109</v>
          </cell>
          <cell r="H949" t="str">
            <v>收存款利息</v>
          </cell>
          <cell r="I949" t="b">
            <v>1</v>
          </cell>
          <cell r="J949">
            <v>488.01</v>
          </cell>
          <cell r="K949">
            <v>0</v>
          </cell>
          <cell r="L949">
            <v>0</v>
          </cell>
        </row>
        <row r="950">
          <cell r="A950" t="str">
            <v>12</v>
          </cell>
          <cell r="B950" t="str">
            <v>22</v>
          </cell>
          <cell r="C950" t="str">
            <v>12</v>
          </cell>
          <cell r="D950" t="str">
            <v>3</v>
          </cell>
          <cell r="E950" t="str">
            <v>0015</v>
          </cell>
          <cell r="F950" t="str">
            <v>0004</v>
          </cell>
          <cell r="G950" t="str">
            <v>1020109</v>
          </cell>
          <cell r="H950" t="str">
            <v>收存款利息</v>
          </cell>
          <cell r="I950" t="b">
            <v>1</v>
          </cell>
          <cell r="J950">
            <v>320.72000000000003</v>
          </cell>
          <cell r="K950">
            <v>0</v>
          </cell>
          <cell r="L950">
            <v>0</v>
          </cell>
        </row>
        <row r="951">
          <cell r="A951" t="str">
            <v>02</v>
          </cell>
          <cell r="B951" t="str">
            <v>03</v>
          </cell>
          <cell r="C951" t="str">
            <v>02</v>
          </cell>
          <cell r="D951" t="str">
            <v>3</v>
          </cell>
          <cell r="E951" t="str">
            <v>0002</v>
          </cell>
          <cell r="F951" t="str">
            <v>0003</v>
          </cell>
          <cell r="G951" t="str">
            <v>1020110</v>
          </cell>
          <cell r="H951" t="str">
            <v>存现金</v>
          </cell>
          <cell r="I951" t="b">
            <v>1</v>
          </cell>
          <cell r="J951">
            <v>368</v>
          </cell>
          <cell r="K951">
            <v>0</v>
          </cell>
          <cell r="L951">
            <v>0</v>
          </cell>
        </row>
        <row r="952">
          <cell r="A952" t="str">
            <v>06</v>
          </cell>
          <cell r="B952" t="str">
            <v>01</v>
          </cell>
          <cell r="C952" t="str">
            <v>06</v>
          </cell>
          <cell r="D952" t="str">
            <v>2</v>
          </cell>
          <cell r="E952" t="str">
            <v>0001</v>
          </cell>
          <cell r="F952" t="str">
            <v>0001</v>
          </cell>
          <cell r="G952" t="str">
            <v>1020110</v>
          </cell>
          <cell r="H952" t="str">
            <v>存现金</v>
          </cell>
          <cell r="I952" t="b">
            <v>1</v>
          </cell>
          <cell r="J952">
            <v>770</v>
          </cell>
          <cell r="K952">
            <v>0</v>
          </cell>
          <cell r="L952">
            <v>0</v>
          </cell>
        </row>
        <row r="953">
          <cell r="A953" t="str">
            <v>11</v>
          </cell>
          <cell r="B953" t="str">
            <v>25</v>
          </cell>
          <cell r="C953" t="str">
            <v>11</v>
          </cell>
          <cell r="D953" t="str">
            <v>2</v>
          </cell>
          <cell r="E953" t="str">
            <v>0028</v>
          </cell>
          <cell r="F953" t="str">
            <v>0001</v>
          </cell>
          <cell r="G953" t="str">
            <v>1020110</v>
          </cell>
          <cell r="H953" t="str">
            <v>订回2000年6月2-1号凭证错制</v>
          </cell>
          <cell r="I953" t="b">
            <v>1</v>
          </cell>
          <cell r="J953">
            <v>-770</v>
          </cell>
          <cell r="K953">
            <v>0</v>
          </cell>
          <cell r="L953">
            <v>0</v>
          </cell>
        </row>
        <row r="954">
          <cell r="A954" t="str">
            <v>02</v>
          </cell>
          <cell r="B954" t="str">
            <v>08</v>
          </cell>
          <cell r="C954" t="str">
            <v>02</v>
          </cell>
          <cell r="D954" t="str">
            <v>3</v>
          </cell>
          <cell r="E954" t="str">
            <v>0005</v>
          </cell>
          <cell r="F954" t="str">
            <v>0004</v>
          </cell>
          <cell r="G954" t="str">
            <v>1020112</v>
          </cell>
          <cell r="H954" t="str">
            <v>收存款利息</v>
          </cell>
          <cell r="I954" t="b">
            <v>1</v>
          </cell>
          <cell r="J954">
            <v>3257.55</v>
          </cell>
          <cell r="K954">
            <v>0</v>
          </cell>
          <cell r="L954">
            <v>0</v>
          </cell>
        </row>
        <row r="955">
          <cell r="A955" t="str">
            <v>02</v>
          </cell>
          <cell r="B955" t="str">
            <v>10</v>
          </cell>
          <cell r="C955" t="str">
            <v>02</v>
          </cell>
          <cell r="D955" t="str">
            <v>3</v>
          </cell>
          <cell r="E955" t="str">
            <v>0007</v>
          </cell>
          <cell r="F955" t="str">
            <v>0003</v>
          </cell>
          <cell r="G955" t="str">
            <v>1020112</v>
          </cell>
          <cell r="H955" t="str">
            <v>收借款</v>
          </cell>
          <cell r="I955" t="b">
            <v>1</v>
          </cell>
          <cell r="J955">
            <v>20000000</v>
          </cell>
          <cell r="K955">
            <v>0</v>
          </cell>
          <cell r="L955">
            <v>0</v>
          </cell>
        </row>
        <row r="956">
          <cell r="A956" t="str">
            <v>02</v>
          </cell>
          <cell r="B956" t="str">
            <v>10</v>
          </cell>
          <cell r="C956" t="str">
            <v>02</v>
          </cell>
          <cell r="D956" t="str">
            <v>4</v>
          </cell>
          <cell r="E956" t="str">
            <v>0010</v>
          </cell>
          <cell r="F956" t="str">
            <v>0004</v>
          </cell>
          <cell r="G956" t="str">
            <v>1020112</v>
          </cell>
          <cell r="H956" t="str">
            <v>转户</v>
          </cell>
          <cell r="I956" t="b">
            <v>0</v>
          </cell>
          <cell r="J956">
            <v>20000000</v>
          </cell>
          <cell r="K956">
            <v>0</v>
          </cell>
          <cell r="L956">
            <v>0</v>
          </cell>
        </row>
        <row r="957">
          <cell r="A957" t="str">
            <v>02</v>
          </cell>
          <cell r="B957" t="str">
            <v>13</v>
          </cell>
          <cell r="C957" t="str">
            <v>02</v>
          </cell>
          <cell r="D957" t="str">
            <v>4</v>
          </cell>
          <cell r="E957" t="str">
            <v>0013</v>
          </cell>
          <cell r="F957" t="str">
            <v>0002</v>
          </cell>
          <cell r="G957" t="str">
            <v>1020112</v>
          </cell>
          <cell r="H957" t="str">
            <v>付邮电费</v>
          </cell>
          <cell r="I957" t="b">
            <v>0</v>
          </cell>
          <cell r="J957">
            <v>18.8</v>
          </cell>
          <cell r="K957">
            <v>0</v>
          </cell>
          <cell r="L957">
            <v>0</v>
          </cell>
        </row>
        <row r="958">
          <cell r="A958" t="str">
            <v>05</v>
          </cell>
          <cell r="B958" t="str">
            <v>23</v>
          </cell>
          <cell r="C958" t="str">
            <v>05</v>
          </cell>
          <cell r="D958" t="str">
            <v>4</v>
          </cell>
          <cell r="E958" t="str">
            <v>0023</v>
          </cell>
          <cell r="F958" t="str">
            <v>0003</v>
          </cell>
          <cell r="G958" t="str">
            <v>1020112</v>
          </cell>
          <cell r="H958" t="str">
            <v>转户</v>
          </cell>
          <cell r="I958" t="b">
            <v>1</v>
          </cell>
          <cell r="J958">
            <v>100000</v>
          </cell>
          <cell r="K958">
            <v>0</v>
          </cell>
          <cell r="L958">
            <v>0</v>
          </cell>
        </row>
        <row r="959">
          <cell r="A959" t="str">
            <v>05</v>
          </cell>
          <cell r="B959" t="str">
            <v>24</v>
          </cell>
          <cell r="C959" t="str">
            <v>05</v>
          </cell>
          <cell r="D959" t="str">
            <v>4</v>
          </cell>
          <cell r="E959" t="str">
            <v>0025</v>
          </cell>
          <cell r="F959" t="str">
            <v>0003</v>
          </cell>
          <cell r="G959" t="str">
            <v>1020112</v>
          </cell>
          <cell r="H959" t="str">
            <v>付工本费</v>
          </cell>
          <cell r="I959" t="b">
            <v>0</v>
          </cell>
          <cell r="J959">
            <v>20</v>
          </cell>
          <cell r="K959">
            <v>0</v>
          </cell>
          <cell r="L959">
            <v>0</v>
          </cell>
        </row>
        <row r="960">
          <cell r="A960" t="str">
            <v>08</v>
          </cell>
          <cell r="B960" t="str">
            <v>05</v>
          </cell>
          <cell r="C960" t="str">
            <v>08</v>
          </cell>
          <cell r="D960" t="str">
            <v>4</v>
          </cell>
          <cell r="E960" t="str">
            <v>0007</v>
          </cell>
          <cell r="F960" t="str">
            <v>0003</v>
          </cell>
          <cell r="G960" t="str">
            <v>1020112</v>
          </cell>
          <cell r="H960" t="str">
            <v>付商检费</v>
          </cell>
          <cell r="I960" t="b">
            <v>0</v>
          </cell>
          <cell r="J960">
            <v>6658</v>
          </cell>
          <cell r="K960">
            <v>0</v>
          </cell>
          <cell r="L960">
            <v>0</v>
          </cell>
        </row>
        <row r="961">
          <cell r="A961" t="str">
            <v>08</v>
          </cell>
          <cell r="B961" t="str">
            <v>22</v>
          </cell>
          <cell r="C961" t="str">
            <v>08</v>
          </cell>
          <cell r="D961" t="str">
            <v>4</v>
          </cell>
          <cell r="E961" t="str">
            <v>0029</v>
          </cell>
          <cell r="F961" t="str">
            <v>0004</v>
          </cell>
          <cell r="G961" t="str">
            <v>1020112</v>
          </cell>
          <cell r="H961" t="str">
            <v>付货款</v>
          </cell>
          <cell r="I961" t="b">
            <v>0</v>
          </cell>
          <cell r="J961">
            <v>12600</v>
          </cell>
          <cell r="K961">
            <v>0</v>
          </cell>
          <cell r="L961">
            <v>0</v>
          </cell>
        </row>
        <row r="962">
          <cell r="A962" t="str">
            <v>09</v>
          </cell>
          <cell r="B962" t="str">
            <v>04</v>
          </cell>
          <cell r="C962" t="str">
            <v>09</v>
          </cell>
          <cell r="D962" t="str">
            <v>4</v>
          </cell>
          <cell r="E962" t="str">
            <v>0005</v>
          </cell>
          <cell r="F962" t="str">
            <v>0002</v>
          </cell>
          <cell r="G962" t="str">
            <v>1020112</v>
          </cell>
          <cell r="H962" t="str">
            <v>付手续费</v>
          </cell>
          <cell r="I962" t="b">
            <v>0</v>
          </cell>
          <cell r="J962">
            <v>30</v>
          </cell>
          <cell r="K962">
            <v>0</v>
          </cell>
          <cell r="L962">
            <v>0</v>
          </cell>
        </row>
        <row r="963">
          <cell r="A963" t="str">
            <v>10</v>
          </cell>
          <cell r="B963" t="str">
            <v>05</v>
          </cell>
          <cell r="C963" t="str">
            <v>10</v>
          </cell>
          <cell r="D963" t="str">
            <v>4</v>
          </cell>
          <cell r="E963" t="str">
            <v>0008</v>
          </cell>
          <cell r="F963" t="str">
            <v>0002</v>
          </cell>
          <cell r="G963" t="str">
            <v>1020112</v>
          </cell>
          <cell r="H963" t="str">
            <v>付进口无菌袋卫检费</v>
          </cell>
          <cell r="I963" t="b">
            <v>0</v>
          </cell>
          <cell r="J963">
            <v>2167</v>
          </cell>
          <cell r="K963">
            <v>0</v>
          </cell>
          <cell r="L963">
            <v>0</v>
          </cell>
        </row>
        <row r="964">
          <cell r="A964" t="str">
            <v>11</v>
          </cell>
          <cell r="B964" t="str">
            <v>22</v>
          </cell>
          <cell r="C964" t="str">
            <v>11</v>
          </cell>
          <cell r="D964" t="str">
            <v>3</v>
          </cell>
          <cell r="E964" t="str">
            <v>0006</v>
          </cell>
          <cell r="F964" t="str">
            <v>0001</v>
          </cell>
          <cell r="G964" t="str">
            <v>1020112</v>
          </cell>
          <cell r="H964" t="str">
            <v>收存款利息</v>
          </cell>
          <cell r="I964" t="b">
            <v>1</v>
          </cell>
          <cell r="J964">
            <v>14462.74</v>
          </cell>
          <cell r="K964">
            <v>0</v>
          </cell>
          <cell r="L964">
            <v>0</v>
          </cell>
        </row>
        <row r="965">
          <cell r="A965" t="str">
            <v>11</v>
          </cell>
          <cell r="B965" t="str">
            <v>01</v>
          </cell>
          <cell r="C965" t="str">
            <v>11</v>
          </cell>
          <cell r="D965" t="str">
            <v>4</v>
          </cell>
          <cell r="E965" t="str">
            <v>0002</v>
          </cell>
          <cell r="F965" t="str">
            <v>0002</v>
          </cell>
          <cell r="G965" t="str">
            <v>1020112</v>
          </cell>
          <cell r="H965" t="str">
            <v>付商检费</v>
          </cell>
          <cell r="I965" t="b">
            <v>0</v>
          </cell>
          <cell r="J965">
            <v>12559</v>
          </cell>
          <cell r="K965">
            <v>0</v>
          </cell>
          <cell r="L965">
            <v>0</v>
          </cell>
        </row>
        <row r="966">
          <cell r="A966" t="str">
            <v>11</v>
          </cell>
          <cell r="B966" t="str">
            <v>18</v>
          </cell>
          <cell r="C966" t="str">
            <v>11</v>
          </cell>
          <cell r="D966" t="str">
            <v>4</v>
          </cell>
          <cell r="E966" t="str">
            <v>0030</v>
          </cell>
          <cell r="F966" t="str">
            <v>0002</v>
          </cell>
          <cell r="G966" t="str">
            <v>1020112</v>
          </cell>
          <cell r="H966" t="str">
            <v>付商检费</v>
          </cell>
          <cell r="I966" t="b">
            <v>0</v>
          </cell>
          <cell r="J966">
            <v>1427</v>
          </cell>
          <cell r="K966">
            <v>0</v>
          </cell>
          <cell r="L966">
            <v>0</v>
          </cell>
        </row>
        <row r="967">
          <cell r="A967" t="str">
            <v>11</v>
          </cell>
          <cell r="B967" t="str">
            <v>22</v>
          </cell>
          <cell r="C967" t="str">
            <v>11</v>
          </cell>
          <cell r="D967" t="str">
            <v>4</v>
          </cell>
          <cell r="E967" t="str">
            <v>0034</v>
          </cell>
          <cell r="F967" t="str">
            <v>0003</v>
          </cell>
          <cell r="G967" t="str">
            <v>1020112</v>
          </cell>
          <cell r="H967" t="str">
            <v>付手续费</v>
          </cell>
          <cell r="I967" t="b">
            <v>0</v>
          </cell>
          <cell r="J967">
            <v>50</v>
          </cell>
          <cell r="K967">
            <v>0</v>
          </cell>
          <cell r="L967">
            <v>0</v>
          </cell>
        </row>
        <row r="968">
          <cell r="A968" t="str">
            <v>12</v>
          </cell>
          <cell r="B968" t="str">
            <v>15</v>
          </cell>
          <cell r="C968" t="str">
            <v>12</v>
          </cell>
          <cell r="D968" t="str">
            <v>4</v>
          </cell>
          <cell r="E968" t="str">
            <v>0023</v>
          </cell>
          <cell r="F968" t="str">
            <v>0003</v>
          </cell>
          <cell r="G968" t="str">
            <v>1020112</v>
          </cell>
          <cell r="H968" t="str">
            <v>付商检费</v>
          </cell>
          <cell r="I968" t="b">
            <v>0</v>
          </cell>
          <cell r="J968">
            <v>34933</v>
          </cell>
          <cell r="K968">
            <v>0</v>
          </cell>
          <cell r="L968">
            <v>0</v>
          </cell>
        </row>
        <row r="969">
          <cell r="A969" t="str">
            <v>02</v>
          </cell>
          <cell r="B969" t="str">
            <v>05</v>
          </cell>
          <cell r="C969" t="str">
            <v>02</v>
          </cell>
          <cell r="D969" t="str">
            <v>4</v>
          </cell>
          <cell r="E969" t="str">
            <v>0005</v>
          </cell>
          <cell r="F969" t="str">
            <v>0002</v>
          </cell>
          <cell r="G969" t="str">
            <v>1020113</v>
          </cell>
          <cell r="H969" t="str">
            <v>付商检费</v>
          </cell>
          <cell r="I969" t="b">
            <v>0</v>
          </cell>
          <cell r="J969">
            <v>21429</v>
          </cell>
          <cell r="K969">
            <v>0</v>
          </cell>
          <cell r="L969">
            <v>0</v>
          </cell>
        </row>
        <row r="970">
          <cell r="A970" t="str">
            <v>04</v>
          </cell>
          <cell r="B970" t="str">
            <v>20</v>
          </cell>
          <cell r="C970" t="str">
            <v>04</v>
          </cell>
          <cell r="D970" t="str">
            <v>4</v>
          </cell>
          <cell r="E970" t="str">
            <v>0023</v>
          </cell>
          <cell r="F970" t="str">
            <v>0003</v>
          </cell>
          <cell r="G970" t="str">
            <v>1020113</v>
          </cell>
          <cell r="H970" t="str">
            <v>付商检费</v>
          </cell>
          <cell r="I970" t="b">
            <v>0</v>
          </cell>
          <cell r="J970">
            <v>3957</v>
          </cell>
          <cell r="K970">
            <v>0</v>
          </cell>
          <cell r="L970">
            <v>0</v>
          </cell>
        </row>
        <row r="971">
          <cell r="A971" t="str">
            <v>09</v>
          </cell>
          <cell r="B971" t="str">
            <v>05</v>
          </cell>
          <cell r="C971" t="str">
            <v>09</v>
          </cell>
          <cell r="D971" t="str">
            <v>3</v>
          </cell>
          <cell r="E971" t="str">
            <v>0002</v>
          </cell>
          <cell r="F971" t="str">
            <v>0001</v>
          </cell>
          <cell r="G971" t="str">
            <v>1020113</v>
          </cell>
          <cell r="H971" t="str">
            <v>收存款利息</v>
          </cell>
          <cell r="I971" t="b">
            <v>1</v>
          </cell>
          <cell r="J971">
            <v>3491.8</v>
          </cell>
          <cell r="K971">
            <v>0</v>
          </cell>
          <cell r="L971">
            <v>0</v>
          </cell>
        </row>
        <row r="972">
          <cell r="A972" t="str">
            <v>02</v>
          </cell>
          <cell r="B972" t="str">
            <v>01</v>
          </cell>
          <cell r="C972" t="str">
            <v>02</v>
          </cell>
          <cell r="D972" t="str">
            <v>3</v>
          </cell>
          <cell r="E972" t="str">
            <v>0001</v>
          </cell>
          <cell r="F972" t="str">
            <v>0003</v>
          </cell>
          <cell r="G972" t="str">
            <v>1020201</v>
          </cell>
          <cell r="H972" t="str">
            <v>收存款利息USD66.65*8.3</v>
          </cell>
          <cell r="I972" t="b">
            <v>1</v>
          </cell>
          <cell r="J972">
            <v>553.20000000000005</v>
          </cell>
          <cell r="K972">
            <v>66.650000000000006</v>
          </cell>
          <cell r="L972">
            <v>0</v>
          </cell>
        </row>
        <row r="973">
          <cell r="A973" t="str">
            <v>03</v>
          </cell>
          <cell r="B973" t="str">
            <v>17</v>
          </cell>
          <cell r="C973" t="str">
            <v>03</v>
          </cell>
          <cell r="D973" t="str">
            <v>4</v>
          </cell>
          <cell r="E973" t="str">
            <v>0024</v>
          </cell>
          <cell r="F973" t="str">
            <v>0001</v>
          </cell>
          <cell r="G973" t="str">
            <v>1020201</v>
          </cell>
          <cell r="H973" t="str">
            <v>转户</v>
          </cell>
          <cell r="I973" t="b">
            <v>1</v>
          </cell>
          <cell r="J973">
            <v>5.95</v>
          </cell>
          <cell r="K973">
            <v>0.72</v>
          </cell>
          <cell r="L973">
            <v>0</v>
          </cell>
        </row>
        <row r="974">
          <cell r="A974" t="str">
            <v>08</v>
          </cell>
          <cell r="B974" t="str">
            <v>22</v>
          </cell>
          <cell r="C974" t="str">
            <v>08</v>
          </cell>
          <cell r="D974" t="str">
            <v>4</v>
          </cell>
          <cell r="E974" t="str">
            <v>0032</v>
          </cell>
          <cell r="F974" t="str">
            <v>0002</v>
          </cell>
          <cell r="G974" t="str">
            <v>1020201</v>
          </cell>
          <cell r="H974" t="str">
            <v>调汇USD278.80*8.2672</v>
          </cell>
          <cell r="I974" t="b">
            <v>0</v>
          </cell>
          <cell r="J974">
            <v>2304.9</v>
          </cell>
          <cell r="K974">
            <v>278.8</v>
          </cell>
          <cell r="L974">
            <v>0</v>
          </cell>
        </row>
        <row r="975">
          <cell r="A975" t="str">
            <v>12</v>
          </cell>
          <cell r="B975" t="str">
            <v>25</v>
          </cell>
          <cell r="C975" t="str">
            <v>12</v>
          </cell>
          <cell r="D975" t="str">
            <v>3</v>
          </cell>
          <cell r="E975" t="str">
            <v>0018</v>
          </cell>
          <cell r="F975" t="str">
            <v>0002</v>
          </cell>
          <cell r="G975" t="str">
            <v>1020201</v>
          </cell>
          <cell r="H975" t="str">
            <v>收存款利息</v>
          </cell>
          <cell r="I975" t="b">
            <v>1</v>
          </cell>
          <cell r="J975">
            <v>27.94</v>
          </cell>
          <cell r="K975">
            <v>3.38</v>
          </cell>
          <cell r="L975">
            <v>0</v>
          </cell>
        </row>
        <row r="976">
          <cell r="A976" t="str">
            <v>02</v>
          </cell>
          <cell r="B976" t="str">
            <v>01</v>
          </cell>
          <cell r="C976" t="str">
            <v>02</v>
          </cell>
          <cell r="D976" t="str">
            <v>3</v>
          </cell>
          <cell r="E976" t="str">
            <v>0001</v>
          </cell>
          <cell r="F976" t="str">
            <v>0001</v>
          </cell>
          <cell r="G976" t="str">
            <v>1020202</v>
          </cell>
          <cell r="H976" t="str">
            <v>收押汇借款USD71640.00*8.2653</v>
          </cell>
          <cell r="I976" t="b">
            <v>1</v>
          </cell>
          <cell r="J976">
            <v>592126.1</v>
          </cell>
          <cell r="K976">
            <v>71640</v>
          </cell>
          <cell r="L976">
            <v>0</v>
          </cell>
        </row>
        <row r="977">
          <cell r="A977" t="str">
            <v>02</v>
          </cell>
          <cell r="B977" t="str">
            <v>25</v>
          </cell>
          <cell r="C977" t="str">
            <v>02</v>
          </cell>
          <cell r="D977" t="str">
            <v>4</v>
          </cell>
          <cell r="E977" t="str">
            <v>0040</v>
          </cell>
          <cell r="F977" t="str">
            <v>0005</v>
          </cell>
          <cell r="G977" t="str">
            <v>1020202</v>
          </cell>
          <cell r="H977" t="str">
            <v>付海运费</v>
          </cell>
          <cell r="I977" t="b">
            <v>0</v>
          </cell>
          <cell r="J977">
            <v>407892.56</v>
          </cell>
          <cell r="K977">
            <v>49350</v>
          </cell>
          <cell r="L977">
            <v>0</v>
          </cell>
        </row>
        <row r="978">
          <cell r="A978" t="str">
            <v>02</v>
          </cell>
          <cell r="B978" t="str">
            <v>25</v>
          </cell>
          <cell r="C978" t="str">
            <v>02</v>
          </cell>
          <cell r="D978" t="str">
            <v>4</v>
          </cell>
          <cell r="E978" t="str">
            <v>0041</v>
          </cell>
          <cell r="F978" t="str">
            <v>0003</v>
          </cell>
          <cell r="G978" t="str">
            <v>1020202</v>
          </cell>
          <cell r="H978" t="str">
            <v>付海运费</v>
          </cell>
          <cell r="I978" t="b">
            <v>0</v>
          </cell>
          <cell r="J978">
            <v>59510.16</v>
          </cell>
          <cell r="K978">
            <v>7200</v>
          </cell>
          <cell r="L978">
            <v>0</v>
          </cell>
        </row>
        <row r="979">
          <cell r="A979" t="str">
            <v>02</v>
          </cell>
          <cell r="B979" t="str">
            <v>25</v>
          </cell>
          <cell r="C979" t="str">
            <v>02</v>
          </cell>
          <cell r="D979" t="str">
            <v>4</v>
          </cell>
          <cell r="E979" t="str">
            <v>0043</v>
          </cell>
          <cell r="F979" t="str">
            <v>0004</v>
          </cell>
          <cell r="G979" t="str">
            <v>1020202</v>
          </cell>
          <cell r="H979" t="str">
            <v>付海运费</v>
          </cell>
          <cell r="I979" t="b">
            <v>0</v>
          </cell>
          <cell r="J979">
            <v>124723.38</v>
          </cell>
          <cell r="K979">
            <v>15090</v>
          </cell>
          <cell r="L979">
            <v>0</v>
          </cell>
        </row>
        <row r="980">
          <cell r="A980" t="str">
            <v>03</v>
          </cell>
          <cell r="B980" t="str">
            <v>16</v>
          </cell>
          <cell r="C980" t="str">
            <v>03</v>
          </cell>
          <cell r="D980" t="str">
            <v>3</v>
          </cell>
          <cell r="E980" t="str">
            <v>0010</v>
          </cell>
          <cell r="F980" t="str">
            <v>0001</v>
          </cell>
          <cell r="G980" t="str">
            <v>1020202</v>
          </cell>
          <cell r="H980" t="str">
            <v>收回货款(FVE9959)</v>
          </cell>
          <cell r="I980" t="b">
            <v>1</v>
          </cell>
          <cell r="J980">
            <v>792560.28</v>
          </cell>
          <cell r="K980">
            <v>95880.8</v>
          </cell>
          <cell r="L980">
            <v>0</v>
          </cell>
        </row>
        <row r="981">
          <cell r="A981" t="str">
            <v>03</v>
          </cell>
          <cell r="B981" t="str">
            <v>16</v>
          </cell>
          <cell r="C981" t="str">
            <v>03</v>
          </cell>
          <cell r="D981" t="str">
            <v>4</v>
          </cell>
          <cell r="E981" t="str">
            <v>0023</v>
          </cell>
          <cell r="F981" t="str">
            <v>0002</v>
          </cell>
          <cell r="G981" t="str">
            <v>1020202</v>
          </cell>
          <cell r="H981" t="str">
            <v>付佣金</v>
          </cell>
          <cell r="I981" t="b">
            <v>0</v>
          </cell>
          <cell r="J981">
            <v>240588.41</v>
          </cell>
          <cell r="K981">
            <v>29105.08</v>
          </cell>
          <cell r="L981">
            <v>0</v>
          </cell>
        </row>
        <row r="982">
          <cell r="A982" t="str">
            <v>03</v>
          </cell>
          <cell r="B982" t="str">
            <v>17</v>
          </cell>
          <cell r="C982" t="str">
            <v>03</v>
          </cell>
          <cell r="D982" t="str">
            <v>4</v>
          </cell>
          <cell r="E982" t="str">
            <v>0024</v>
          </cell>
          <cell r="F982" t="str">
            <v>0004</v>
          </cell>
          <cell r="G982" t="str">
            <v>1020202</v>
          </cell>
          <cell r="H982" t="str">
            <v>付银行存款</v>
          </cell>
          <cell r="I982" t="b">
            <v>0</v>
          </cell>
          <cell r="J982">
            <v>547641.69999999995</v>
          </cell>
          <cell r="K982">
            <v>66250.720000000001</v>
          </cell>
          <cell r="L982">
            <v>0</v>
          </cell>
        </row>
        <row r="983">
          <cell r="A983" t="str">
            <v>04</v>
          </cell>
          <cell r="B983" t="str">
            <v>10</v>
          </cell>
          <cell r="C983" t="str">
            <v>04</v>
          </cell>
          <cell r="D983" t="str">
            <v>3</v>
          </cell>
          <cell r="E983" t="str">
            <v>0003</v>
          </cell>
          <cell r="F983" t="str">
            <v>0001</v>
          </cell>
          <cell r="G983" t="str">
            <v>1020202</v>
          </cell>
          <cell r="H983" t="str">
            <v>收押汇借款USD4725.00*8.2663</v>
          </cell>
          <cell r="I983" t="b">
            <v>1</v>
          </cell>
          <cell r="J983">
            <v>39058.269999999997</v>
          </cell>
          <cell r="K983">
            <v>4725</v>
          </cell>
          <cell r="L983">
            <v>0</v>
          </cell>
        </row>
        <row r="984">
          <cell r="A984" t="str">
            <v>04</v>
          </cell>
          <cell r="B984" t="str">
            <v>20</v>
          </cell>
          <cell r="C984" t="str">
            <v>04</v>
          </cell>
          <cell r="D984" t="str">
            <v>3</v>
          </cell>
          <cell r="E984" t="str">
            <v>0004</v>
          </cell>
          <cell r="F984" t="str">
            <v>0001</v>
          </cell>
          <cell r="G984" t="str">
            <v>1020202</v>
          </cell>
          <cell r="H984" t="str">
            <v>押汇借款USD962.5*8.2663</v>
          </cell>
          <cell r="I984" t="b">
            <v>1</v>
          </cell>
          <cell r="J984">
            <v>7956.31</v>
          </cell>
          <cell r="K984">
            <v>962.5</v>
          </cell>
          <cell r="L984">
            <v>0</v>
          </cell>
        </row>
        <row r="985">
          <cell r="A985" t="str">
            <v>04</v>
          </cell>
          <cell r="B985" t="str">
            <v>26</v>
          </cell>
          <cell r="C985" t="str">
            <v>04</v>
          </cell>
          <cell r="D985" t="str">
            <v>3</v>
          </cell>
          <cell r="E985" t="str">
            <v>0008</v>
          </cell>
          <cell r="F985" t="str">
            <v>0004</v>
          </cell>
          <cell r="G985" t="str">
            <v>1020202</v>
          </cell>
          <cell r="H985" t="str">
            <v>收押汇借款</v>
          </cell>
          <cell r="I985" t="b">
            <v>1</v>
          </cell>
          <cell r="J985">
            <v>103906</v>
          </cell>
          <cell r="K985">
            <v>12569.68</v>
          </cell>
          <cell r="L985">
            <v>0</v>
          </cell>
        </row>
        <row r="986">
          <cell r="A986" t="str">
            <v>04</v>
          </cell>
          <cell r="B986" t="str">
            <v>19</v>
          </cell>
          <cell r="C986" t="str">
            <v>04</v>
          </cell>
          <cell r="D986" t="str">
            <v>4</v>
          </cell>
          <cell r="E986" t="str">
            <v>0019</v>
          </cell>
          <cell r="F986" t="str">
            <v>0002</v>
          </cell>
          <cell r="G986" t="str">
            <v>1020202</v>
          </cell>
          <cell r="H986" t="str">
            <v>付手续费USD12.56*8.2663</v>
          </cell>
          <cell r="I986" t="b">
            <v>0</v>
          </cell>
          <cell r="J986">
            <v>103.82</v>
          </cell>
          <cell r="K986">
            <v>12.56</v>
          </cell>
          <cell r="L986">
            <v>0</v>
          </cell>
        </row>
        <row r="987">
          <cell r="A987" t="str">
            <v>04</v>
          </cell>
          <cell r="B987" t="str">
            <v>19</v>
          </cell>
          <cell r="C987" t="str">
            <v>04</v>
          </cell>
          <cell r="D987" t="str">
            <v>4</v>
          </cell>
          <cell r="E987" t="str">
            <v>0020</v>
          </cell>
          <cell r="F987" t="str">
            <v>0002</v>
          </cell>
          <cell r="G987" t="str">
            <v>1020202</v>
          </cell>
          <cell r="H987" t="str">
            <v>付佣金.运费</v>
          </cell>
          <cell r="I987" t="b">
            <v>0</v>
          </cell>
          <cell r="J987">
            <v>147199</v>
          </cell>
          <cell r="K987">
            <v>17807.12</v>
          </cell>
          <cell r="L987">
            <v>0</v>
          </cell>
        </row>
        <row r="988">
          <cell r="A988" t="str">
            <v>04</v>
          </cell>
          <cell r="B988" t="str">
            <v>20</v>
          </cell>
          <cell r="C988" t="str">
            <v>04</v>
          </cell>
          <cell r="D988" t="str">
            <v>4</v>
          </cell>
          <cell r="E988" t="str">
            <v>0031</v>
          </cell>
          <cell r="F988" t="str">
            <v>0002</v>
          </cell>
          <cell r="G988" t="str">
            <v>1020202</v>
          </cell>
          <cell r="H988" t="str">
            <v>付佣金</v>
          </cell>
          <cell r="I988" t="b">
            <v>0</v>
          </cell>
          <cell r="J988">
            <v>7956.31</v>
          </cell>
          <cell r="K988">
            <v>962.5</v>
          </cell>
          <cell r="L988">
            <v>0</v>
          </cell>
        </row>
        <row r="989">
          <cell r="A989" t="str">
            <v>05</v>
          </cell>
          <cell r="B989" t="str">
            <v>25</v>
          </cell>
          <cell r="C989" t="str">
            <v>05</v>
          </cell>
          <cell r="D989" t="str">
            <v>3</v>
          </cell>
          <cell r="E989" t="str">
            <v>0005</v>
          </cell>
          <cell r="F989" t="str">
            <v>0001</v>
          </cell>
          <cell r="G989" t="str">
            <v>1020202</v>
          </cell>
          <cell r="H989" t="str">
            <v>收押汇借款USD14437.50*8.2675</v>
          </cell>
          <cell r="I989" t="b">
            <v>1</v>
          </cell>
          <cell r="J989">
            <v>119362.03</v>
          </cell>
          <cell r="K989">
            <v>14437.5</v>
          </cell>
          <cell r="L989">
            <v>0</v>
          </cell>
        </row>
        <row r="990">
          <cell r="A990" t="str">
            <v>05</v>
          </cell>
          <cell r="B990" t="str">
            <v>25</v>
          </cell>
          <cell r="C990" t="str">
            <v>05</v>
          </cell>
          <cell r="D990" t="str">
            <v>3</v>
          </cell>
          <cell r="E990" t="str">
            <v>0006</v>
          </cell>
          <cell r="F990" t="str">
            <v>0002</v>
          </cell>
          <cell r="G990" t="str">
            <v>1020202</v>
          </cell>
          <cell r="H990" t="str">
            <v>收货款</v>
          </cell>
          <cell r="I990" t="b">
            <v>1</v>
          </cell>
          <cell r="J990">
            <v>291348.11</v>
          </cell>
          <cell r="K990">
            <v>35241.54</v>
          </cell>
          <cell r="L990">
            <v>0</v>
          </cell>
        </row>
        <row r="991">
          <cell r="A991" t="str">
            <v>05</v>
          </cell>
          <cell r="B991" t="str">
            <v>25</v>
          </cell>
          <cell r="C991" t="str">
            <v>05</v>
          </cell>
          <cell r="D991" t="str">
            <v>3</v>
          </cell>
          <cell r="E991" t="str">
            <v>0007</v>
          </cell>
          <cell r="F991" t="str">
            <v>0003</v>
          </cell>
          <cell r="G991" t="str">
            <v>1020202</v>
          </cell>
          <cell r="H991" t="str">
            <v>收FVE9959#发票货款</v>
          </cell>
          <cell r="I991" t="b">
            <v>1</v>
          </cell>
          <cell r="J991">
            <v>43402.28</v>
          </cell>
          <cell r="K991">
            <v>5250</v>
          </cell>
          <cell r="L991">
            <v>0</v>
          </cell>
        </row>
        <row r="992">
          <cell r="A992" t="str">
            <v>05</v>
          </cell>
          <cell r="B992" t="str">
            <v>16</v>
          </cell>
          <cell r="C992" t="str">
            <v>05</v>
          </cell>
          <cell r="D992" t="str">
            <v>4</v>
          </cell>
          <cell r="E992" t="str">
            <v>0013</v>
          </cell>
          <cell r="F992" t="str">
            <v>0003</v>
          </cell>
          <cell r="G992" t="str">
            <v>1020202</v>
          </cell>
          <cell r="H992" t="str">
            <v>付费用</v>
          </cell>
          <cell r="I992" t="b">
            <v>0</v>
          </cell>
          <cell r="J992">
            <v>184191.96</v>
          </cell>
          <cell r="K992">
            <v>22279.040000000001</v>
          </cell>
          <cell r="L992">
            <v>0</v>
          </cell>
        </row>
        <row r="993">
          <cell r="A993" t="str">
            <v>05</v>
          </cell>
          <cell r="B993" t="str">
            <v>16</v>
          </cell>
          <cell r="C993" t="str">
            <v>05</v>
          </cell>
          <cell r="D993" t="str">
            <v>4</v>
          </cell>
          <cell r="E993" t="str">
            <v>0014</v>
          </cell>
          <cell r="F993" t="str">
            <v>0004</v>
          </cell>
          <cell r="G993" t="str">
            <v>1020202</v>
          </cell>
          <cell r="H993" t="str">
            <v>付海运费</v>
          </cell>
          <cell r="I993" t="b">
            <v>0</v>
          </cell>
          <cell r="J993">
            <v>142614.38</v>
          </cell>
          <cell r="K993">
            <v>17250</v>
          </cell>
          <cell r="L993">
            <v>0</v>
          </cell>
        </row>
        <row r="994">
          <cell r="A994" t="str">
            <v>05</v>
          </cell>
          <cell r="B994" t="str">
            <v>24</v>
          </cell>
          <cell r="C994" t="str">
            <v>05</v>
          </cell>
          <cell r="D994" t="str">
            <v>4</v>
          </cell>
          <cell r="E994" t="str">
            <v>0026</v>
          </cell>
          <cell r="F994" t="str">
            <v>0002</v>
          </cell>
          <cell r="G994" t="str">
            <v>1020202</v>
          </cell>
          <cell r="H994" t="str">
            <v>付手续费</v>
          </cell>
          <cell r="I994" t="b">
            <v>0</v>
          </cell>
          <cell r="J994">
            <v>127319.5</v>
          </cell>
          <cell r="K994">
            <v>15400</v>
          </cell>
          <cell r="L994">
            <v>0</v>
          </cell>
        </row>
        <row r="995">
          <cell r="A995" t="str">
            <v>08</v>
          </cell>
          <cell r="B995" t="str">
            <v>20</v>
          </cell>
          <cell r="C995" t="str">
            <v>08</v>
          </cell>
          <cell r="D995" t="str">
            <v>3</v>
          </cell>
          <cell r="E995" t="str">
            <v>0008</v>
          </cell>
          <cell r="F995" t="str">
            <v>0001</v>
          </cell>
          <cell r="G995" t="str">
            <v>1020202</v>
          </cell>
          <cell r="H995" t="str">
            <v>收押汇借款USD51318.67*8.2668</v>
          </cell>
          <cell r="I995" t="b">
            <v>1</v>
          </cell>
          <cell r="J995">
            <v>424241.18</v>
          </cell>
          <cell r="K995">
            <v>51318.67</v>
          </cell>
          <cell r="L995">
            <v>0</v>
          </cell>
        </row>
        <row r="996">
          <cell r="A996" t="str">
            <v>08</v>
          </cell>
          <cell r="B996" t="str">
            <v>20</v>
          </cell>
          <cell r="C996" t="str">
            <v>08</v>
          </cell>
          <cell r="D996" t="str">
            <v>4</v>
          </cell>
          <cell r="E996" t="str">
            <v>0027</v>
          </cell>
          <cell r="F996" t="str">
            <v>0005</v>
          </cell>
          <cell r="G996" t="str">
            <v>1020202</v>
          </cell>
          <cell r="H996" t="str">
            <v>付海运费</v>
          </cell>
          <cell r="I996" t="b">
            <v>0</v>
          </cell>
          <cell r="J996">
            <v>246515.97</v>
          </cell>
          <cell r="K996">
            <v>29820</v>
          </cell>
          <cell r="L996">
            <v>0</v>
          </cell>
        </row>
        <row r="997">
          <cell r="A997" t="str">
            <v>08</v>
          </cell>
          <cell r="B997" t="str">
            <v>20</v>
          </cell>
          <cell r="C997" t="str">
            <v>08</v>
          </cell>
          <cell r="D997" t="str">
            <v>4</v>
          </cell>
          <cell r="E997" t="str">
            <v>0028</v>
          </cell>
          <cell r="F997" t="str">
            <v>0002</v>
          </cell>
          <cell r="G997" t="str">
            <v>1020202</v>
          </cell>
          <cell r="H997" t="str">
            <v>付费用USD21498.67</v>
          </cell>
          <cell r="I997" t="b">
            <v>0</v>
          </cell>
          <cell r="J997">
            <v>177703.41</v>
          </cell>
          <cell r="K997">
            <v>21498.67</v>
          </cell>
          <cell r="L997">
            <v>0</v>
          </cell>
        </row>
        <row r="998">
          <cell r="A998" t="str">
            <v>10</v>
          </cell>
          <cell r="B998" t="str">
            <v>20</v>
          </cell>
          <cell r="C998" t="str">
            <v>10</v>
          </cell>
          <cell r="D998" t="str">
            <v>3</v>
          </cell>
          <cell r="E998" t="str">
            <v>0008</v>
          </cell>
          <cell r="F998" t="str">
            <v>0002</v>
          </cell>
          <cell r="G998" t="str">
            <v>1020202</v>
          </cell>
          <cell r="H998" t="str">
            <v>收货款</v>
          </cell>
          <cell r="I998" t="b">
            <v>1</v>
          </cell>
          <cell r="J998">
            <v>188526.56</v>
          </cell>
          <cell r="K998">
            <v>22805.54</v>
          </cell>
          <cell r="L998">
            <v>0</v>
          </cell>
        </row>
        <row r="999">
          <cell r="A999" t="str">
            <v>10</v>
          </cell>
          <cell r="B999" t="str">
            <v>22</v>
          </cell>
          <cell r="C999" t="str">
            <v>10</v>
          </cell>
          <cell r="D999" t="str">
            <v>4</v>
          </cell>
          <cell r="E999" t="str">
            <v>0030</v>
          </cell>
          <cell r="F999" t="str">
            <v>0002</v>
          </cell>
          <cell r="G999" t="str">
            <v>1020202</v>
          </cell>
          <cell r="H999" t="str">
            <v>付费用</v>
          </cell>
          <cell r="I999" t="b">
            <v>0</v>
          </cell>
          <cell r="J999">
            <v>188526.56</v>
          </cell>
          <cell r="K999">
            <v>22805.54</v>
          </cell>
          <cell r="L999">
            <v>0</v>
          </cell>
        </row>
        <row r="1000">
          <cell r="A1000" t="str">
            <v>11</v>
          </cell>
          <cell r="B1000" t="str">
            <v>24</v>
          </cell>
          <cell r="C1000" t="str">
            <v>11</v>
          </cell>
          <cell r="D1000" t="str">
            <v>3</v>
          </cell>
          <cell r="E1000" t="str">
            <v>0011</v>
          </cell>
          <cell r="F1000" t="str">
            <v>0002</v>
          </cell>
          <cell r="G1000" t="str">
            <v>1020202</v>
          </cell>
          <cell r="H1000" t="str">
            <v>收货款</v>
          </cell>
          <cell r="I1000" t="b">
            <v>1</v>
          </cell>
          <cell r="J1000">
            <v>519594.39</v>
          </cell>
          <cell r="K1000">
            <v>62859.23</v>
          </cell>
          <cell r="L1000">
            <v>0</v>
          </cell>
        </row>
        <row r="1001">
          <cell r="A1001" t="str">
            <v>11</v>
          </cell>
          <cell r="B1001" t="str">
            <v>24</v>
          </cell>
          <cell r="C1001" t="str">
            <v>11</v>
          </cell>
          <cell r="D1001" t="str">
            <v>3</v>
          </cell>
          <cell r="E1001" t="str">
            <v>0011</v>
          </cell>
          <cell r="F1001" t="str">
            <v>0003</v>
          </cell>
          <cell r="G1001" t="str">
            <v>1020202</v>
          </cell>
          <cell r="H1001" t="str">
            <v>收货款</v>
          </cell>
          <cell r="I1001" t="b">
            <v>1</v>
          </cell>
          <cell r="J1001">
            <v>203275.56</v>
          </cell>
          <cell r="K1001">
            <v>24596.53</v>
          </cell>
          <cell r="L1001">
            <v>0</v>
          </cell>
        </row>
        <row r="1002">
          <cell r="A1002" t="str">
            <v>11</v>
          </cell>
          <cell r="B1002" t="str">
            <v>24</v>
          </cell>
          <cell r="C1002" t="str">
            <v>11</v>
          </cell>
          <cell r="D1002" t="str">
            <v>3</v>
          </cell>
          <cell r="E1002" t="str">
            <v>0011</v>
          </cell>
          <cell r="F1002" t="str">
            <v>0007</v>
          </cell>
          <cell r="G1002" t="str">
            <v>1020202</v>
          </cell>
          <cell r="H1002" t="str">
            <v>调汇率差</v>
          </cell>
          <cell r="I1002" t="b">
            <v>0</v>
          </cell>
          <cell r="J1002">
            <v>39.35</v>
          </cell>
          <cell r="K1002">
            <v>0</v>
          </cell>
          <cell r="L1002">
            <v>0</v>
          </cell>
        </row>
        <row r="1003">
          <cell r="A1003" t="str">
            <v>11</v>
          </cell>
          <cell r="B1003" t="str">
            <v>15</v>
          </cell>
          <cell r="C1003" t="str">
            <v>11</v>
          </cell>
          <cell r="D1003" t="str">
            <v>4</v>
          </cell>
          <cell r="E1003" t="str">
            <v>0023</v>
          </cell>
          <cell r="F1003" t="str">
            <v>0002</v>
          </cell>
          <cell r="G1003" t="str">
            <v>1020202</v>
          </cell>
          <cell r="H1003" t="str">
            <v>付手续费</v>
          </cell>
          <cell r="I1003" t="b">
            <v>0</v>
          </cell>
          <cell r="J1003">
            <v>797.83</v>
          </cell>
          <cell r="K1003">
            <v>96.53</v>
          </cell>
          <cell r="L1003">
            <v>0</v>
          </cell>
        </row>
        <row r="1004">
          <cell r="A1004" t="str">
            <v>11</v>
          </cell>
          <cell r="B1004" t="str">
            <v>15</v>
          </cell>
          <cell r="C1004" t="str">
            <v>11</v>
          </cell>
          <cell r="D1004" t="str">
            <v>4</v>
          </cell>
          <cell r="E1004" t="str">
            <v>0024</v>
          </cell>
          <cell r="F1004" t="str">
            <v>0003</v>
          </cell>
          <cell r="G1004" t="str">
            <v>1020202</v>
          </cell>
          <cell r="H1004" t="str">
            <v>付海运费</v>
          </cell>
          <cell r="I1004" t="b">
            <v>0</v>
          </cell>
          <cell r="J1004">
            <v>202494.95</v>
          </cell>
          <cell r="K1004">
            <v>24500</v>
          </cell>
          <cell r="L1004">
            <v>0</v>
          </cell>
        </row>
        <row r="1005">
          <cell r="A1005" t="str">
            <v>11</v>
          </cell>
          <cell r="B1005" t="str">
            <v>15</v>
          </cell>
          <cell r="C1005" t="str">
            <v>11</v>
          </cell>
          <cell r="D1005" t="str">
            <v>4</v>
          </cell>
          <cell r="E1005" t="str">
            <v>0025</v>
          </cell>
          <cell r="F1005" t="str">
            <v>0004</v>
          </cell>
          <cell r="G1005" t="str">
            <v>1020202</v>
          </cell>
          <cell r="H1005" t="str">
            <v>付海运费</v>
          </cell>
          <cell r="I1005" t="b">
            <v>0</v>
          </cell>
          <cell r="J1005">
            <v>359531.85</v>
          </cell>
          <cell r="K1005">
            <v>43500</v>
          </cell>
          <cell r="L1005">
            <v>0</v>
          </cell>
        </row>
        <row r="1006">
          <cell r="A1006" t="str">
            <v>11</v>
          </cell>
          <cell r="B1006" t="str">
            <v>15</v>
          </cell>
          <cell r="C1006" t="str">
            <v>11</v>
          </cell>
          <cell r="D1006" t="str">
            <v>4</v>
          </cell>
          <cell r="E1006" t="str">
            <v>0026</v>
          </cell>
          <cell r="F1006" t="str">
            <v>0002</v>
          </cell>
          <cell r="G1006" t="str">
            <v>1020202</v>
          </cell>
          <cell r="H1006" t="str">
            <v>付费用</v>
          </cell>
          <cell r="I1006" t="b">
            <v>0</v>
          </cell>
          <cell r="J1006">
            <v>160005.97</v>
          </cell>
          <cell r="K1006">
            <v>19359.23</v>
          </cell>
          <cell r="L1006">
            <v>0</v>
          </cell>
        </row>
        <row r="1007">
          <cell r="A1007" t="str">
            <v>12</v>
          </cell>
          <cell r="B1007" t="str">
            <v>20</v>
          </cell>
          <cell r="C1007" t="str">
            <v>12</v>
          </cell>
          <cell r="D1007" t="str">
            <v>3</v>
          </cell>
          <cell r="E1007" t="str">
            <v>0010</v>
          </cell>
          <cell r="F1007" t="str">
            <v>0002</v>
          </cell>
          <cell r="G1007" t="str">
            <v>1020202</v>
          </cell>
          <cell r="H1007" t="str">
            <v>收货款</v>
          </cell>
          <cell r="I1007" t="b">
            <v>1</v>
          </cell>
          <cell r="J1007">
            <v>532426.43999999994</v>
          </cell>
          <cell r="K1007">
            <v>64422.53</v>
          </cell>
          <cell r="L1007">
            <v>0</v>
          </cell>
        </row>
        <row r="1008">
          <cell r="A1008" t="str">
            <v>12</v>
          </cell>
          <cell r="B1008" t="str">
            <v>20</v>
          </cell>
          <cell r="C1008" t="str">
            <v>12</v>
          </cell>
          <cell r="D1008" t="str">
            <v>4</v>
          </cell>
          <cell r="E1008" t="str">
            <v>0043</v>
          </cell>
          <cell r="F1008" t="str">
            <v>0002</v>
          </cell>
          <cell r="G1008" t="str">
            <v>1020202</v>
          </cell>
          <cell r="H1008" t="str">
            <v>付手续费</v>
          </cell>
          <cell r="I1008" t="b">
            <v>0</v>
          </cell>
          <cell r="J1008">
            <v>554.37</v>
          </cell>
          <cell r="K1008">
            <v>72.53</v>
          </cell>
          <cell r="L1008">
            <v>0</v>
          </cell>
        </row>
        <row r="1009">
          <cell r="A1009" t="str">
            <v>12</v>
          </cell>
          <cell r="B1009" t="str">
            <v>21</v>
          </cell>
          <cell r="C1009" t="str">
            <v>12</v>
          </cell>
          <cell r="D1009" t="str">
            <v>4</v>
          </cell>
          <cell r="E1009" t="str">
            <v>0044</v>
          </cell>
          <cell r="F1009" t="str">
            <v>0002</v>
          </cell>
          <cell r="G1009" t="str">
            <v>1020202</v>
          </cell>
          <cell r="H1009" t="str">
            <v>付ZLA00043#发票海运费</v>
          </cell>
          <cell r="I1009" t="b">
            <v>0</v>
          </cell>
          <cell r="J1009">
            <v>52897.919999999998</v>
          </cell>
          <cell r="K1009">
            <v>6400</v>
          </cell>
          <cell r="L1009">
            <v>0</v>
          </cell>
        </row>
        <row r="1010">
          <cell r="A1010" t="str">
            <v>12</v>
          </cell>
          <cell r="B1010" t="str">
            <v>21</v>
          </cell>
          <cell r="C1010" t="str">
            <v>12</v>
          </cell>
          <cell r="D1010" t="str">
            <v>4</v>
          </cell>
          <cell r="E1010" t="str">
            <v>0045</v>
          </cell>
          <cell r="F1010" t="str">
            <v>0009</v>
          </cell>
          <cell r="G1010" t="str">
            <v>1020202</v>
          </cell>
          <cell r="H1010" t="str">
            <v>付海运费</v>
          </cell>
          <cell r="I1010" t="b">
            <v>0</v>
          </cell>
          <cell r="J1010">
            <v>478974.15</v>
          </cell>
          <cell r="K1010">
            <v>57950</v>
          </cell>
          <cell r="L1010">
            <v>0</v>
          </cell>
        </row>
        <row r="1011">
          <cell r="A1011" t="str">
            <v>07</v>
          </cell>
          <cell r="B1011" t="str">
            <v>26</v>
          </cell>
          <cell r="C1011" t="str">
            <v>07</v>
          </cell>
          <cell r="D1011" t="str">
            <v>3</v>
          </cell>
          <cell r="E1011" t="str">
            <v>0009</v>
          </cell>
          <cell r="F1011" t="str">
            <v>0001</v>
          </cell>
          <cell r="G1011" t="str">
            <v>1020204</v>
          </cell>
          <cell r="H1011" t="str">
            <v>收货款</v>
          </cell>
          <cell r="I1011" t="b">
            <v>1</v>
          </cell>
          <cell r="J1011">
            <v>1388120.49</v>
          </cell>
          <cell r="K1011">
            <v>167909</v>
          </cell>
          <cell r="L1011">
            <v>0</v>
          </cell>
        </row>
        <row r="1012">
          <cell r="A1012" t="str">
            <v>10</v>
          </cell>
          <cell r="B1012" t="str">
            <v>20</v>
          </cell>
          <cell r="C1012" t="str">
            <v>10</v>
          </cell>
          <cell r="D1012" t="str">
            <v>3</v>
          </cell>
          <cell r="E1012" t="str">
            <v>0005</v>
          </cell>
          <cell r="F1012" t="str">
            <v>0001</v>
          </cell>
          <cell r="G1012" t="str">
            <v>1020204</v>
          </cell>
          <cell r="H1012" t="str">
            <v>收存款利息</v>
          </cell>
          <cell r="I1012" t="b">
            <v>1</v>
          </cell>
          <cell r="J1012">
            <v>4472.6400000000003</v>
          </cell>
          <cell r="K1012">
            <v>541.04999999999995</v>
          </cell>
          <cell r="L1012">
            <v>0</v>
          </cell>
        </row>
        <row r="1013">
          <cell r="A1013" t="str">
            <v>10</v>
          </cell>
          <cell r="B1013" t="str">
            <v>22</v>
          </cell>
          <cell r="C1013" t="str">
            <v>10</v>
          </cell>
          <cell r="D1013" t="str">
            <v>4</v>
          </cell>
          <cell r="E1013" t="str">
            <v>0031</v>
          </cell>
          <cell r="F1013" t="str">
            <v>0003</v>
          </cell>
          <cell r="G1013" t="str">
            <v>1020204</v>
          </cell>
          <cell r="H1013" t="str">
            <v>购无菌袋</v>
          </cell>
          <cell r="I1013" t="b">
            <v>0</v>
          </cell>
          <cell r="J1013">
            <v>1294800</v>
          </cell>
          <cell r="K1013">
            <v>156000</v>
          </cell>
          <cell r="L1013">
            <v>0</v>
          </cell>
        </row>
        <row r="1014">
          <cell r="A1014" t="str">
            <v>12</v>
          </cell>
          <cell r="B1014" t="str">
            <v>25</v>
          </cell>
          <cell r="C1014" t="str">
            <v>12</v>
          </cell>
          <cell r="D1014" t="str">
            <v>3</v>
          </cell>
          <cell r="E1014" t="str">
            <v>0018</v>
          </cell>
          <cell r="F1014" t="str">
            <v>0001</v>
          </cell>
          <cell r="G1014" t="str">
            <v>1020204</v>
          </cell>
          <cell r="H1014" t="str">
            <v>收存款利息</v>
          </cell>
          <cell r="I1014" t="b">
            <v>1</v>
          </cell>
          <cell r="J1014">
            <v>2288.5</v>
          </cell>
          <cell r="K1014">
            <v>276.88</v>
          </cell>
          <cell r="L1014">
            <v>0</v>
          </cell>
        </row>
        <row r="1015">
          <cell r="A1015" t="str">
            <v>07</v>
          </cell>
          <cell r="B1015" t="str">
            <v>18</v>
          </cell>
          <cell r="C1015" t="str">
            <v>07</v>
          </cell>
          <cell r="D1015" t="str">
            <v>2</v>
          </cell>
          <cell r="E1015" t="str">
            <v>0015</v>
          </cell>
          <cell r="F1015" t="str">
            <v>0001</v>
          </cell>
          <cell r="G1015" t="str">
            <v>109</v>
          </cell>
          <cell r="H1015" t="str">
            <v>储蓄存款</v>
          </cell>
          <cell r="I1015" t="b">
            <v>1</v>
          </cell>
          <cell r="J1015">
            <v>240000</v>
          </cell>
          <cell r="K1015">
            <v>0</v>
          </cell>
          <cell r="L1015">
            <v>0</v>
          </cell>
        </row>
        <row r="1016">
          <cell r="A1016" t="str">
            <v>07</v>
          </cell>
          <cell r="B1016" t="str">
            <v>15</v>
          </cell>
          <cell r="C1016" t="str">
            <v>07</v>
          </cell>
          <cell r="D1016" t="str">
            <v>3</v>
          </cell>
          <cell r="E1016" t="str">
            <v>0004</v>
          </cell>
          <cell r="F1016" t="str">
            <v>0004</v>
          </cell>
          <cell r="G1016" t="str">
            <v>109</v>
          </cell>
          <cell r="H1016" t="str">
            <v>收存款</v>
          </cell>
          <cell r="I1016" t="b">
            <v>0</v>
          </cell>
          <cell r="J1016">
            <v>400000</v>
          </cell>
          <cell r="K1016">
            <v>0</v>
          </cell>
          <cell r="L1016">
            <v>0</v>
          </cell>
        </row>
        <row r="1017">
          <cell r="A1017" t="str">
            <v>07</v>
          </cell>
          <cell r="B1017" t="str">
            <v>01</v>
          </cell>
          <cell r="C1017" t="str">
            <v>07</v>
          </cell>
          <cell r="D1017" t="str">
            <v>4</v>
          </cell>
          <cell r="E1017" t="str">
            <v>0001</v>
          </cell>
          <cell r="F1017" t="str">
            <v>0001</v>
          </cell>
          <cell r="G1017" t="str">
            <v>109</v>
          </cell>
          <cell r="H1017" t="str">
            <v>储蓄存款</v>
          </cell>
          <cell r="I1017" t="b">
            <v>1</v>
          </cell>
          <cell r="J1017">
            <v>560000</v>
          </cell>
          <cell r="K1017">
            <v>0</v>
          </cell>
          <cell r="L1017">
            <v>0</v>
          </cell>
        </row>
        <row r="1018">
          <cell r="A1018" t="str">
            <v>10</v>
          </cell>
          <cell r="B1018" t="str">
            <v>13</v>
          </cell>
          <cell r="C1018" t="str">
            <v>10</v>
          </cell>
          <cell r="D1018" t="str">
            <v>1</v>
          </cell>
          <cell r="E1018" t="str">
            <v>0004</v>
          </cell>
          <cell r="F1018" t="str">
            <v>0002</v>
          </cell>
          <cell r="G1018" t="str">
            <v>109</v>
          </cell>
          <cell r="H1018" t="str">
            <v>收存款</v>
          </cell>
          <cell r="I1018" t="b">
            <v>0</v>
          </cell>
          <cell r="J1018">
            <v>30000</v>
          </cell>
          <cell r="K1018">
            <v>0</v>
          </cell>
          <cell r="L1018">
            <v>0</v>
          </cell>
        </row>
        <row r="1019">
          <cell r="A1019" t="str">
            <v>10</v>
          </cell>
          <cell r="B1019" t="str">
            <v>15</v>
          </cell>
          <cell r="C1019" t="str">
            <v>10</v>
          </cell>
          <cell r="D1019" t="str">
            <v>2</v>
          </cell>
          <cell r="E1019" t="str">
            <v>0014</v>
          </cell>
          <cell r="F1019" t="str">
            <v>0001</v>
          </cell>
          <cell r="G1019" t="str">
            <v>109</v>
          </cell>
          <cell r="H1019" t="str">
            <v>存款</v>
          </cell>
          <cell r="I1019" t="b">
            <v>1</v>
          </cell>
          <cell r="J1019">
            <v>10000</v>
          </cell>
          <cell r="K1019">
            <v>0</v>
          </cell>
          <cell r="L1019">
            <v>0</v>
          </cell>
        </row>
        <row r="1020">
          <cell r="A1020" t="str">
            <v>02</v>
          </cell>
          <cell r="B1020" t="str">
            <v>01</v>
          </cell>
          <cell r="C1020" t="str">
            <v>02</v>
          </cell>
          <cell r="D1020" t="str">
            <v>2</v>
          </cell>
          <cell r="E1020" t="str">
            <v>0002</v>
          </cell>
          <cell r="F1020" t="str">
            <v>0001</v>
          </cell>
          <cell r="G1020" t="str">
            <v>113</v>
          </cell>
          <cell r="H1020" t="str">
            <v>代垫运费</v>
          </cell>
          <cell r="I1020" t="b">
            <v>1</v>
          </cell>
          <cell r="J1020">
            <v>555.4</v>
          </cell>
          <cell r="K1020">
            <v>0</v>
          </cell>
          <cell r="L1020">
            <v>0</v>
          </cell>
        </row>
        <row r="1021">
          <cell r="A1021" t="str">
            <v>02</v>
          </cell>
          <cell r="B1021" t="str">
            <v>10</v>
          </cell>
          <cell r="C1021" t="str">
            <v>02</v>
          </cell>
          <cell r="D1021" t="str">
            <v>3</v>
          </cell>
          <cell r="E1021" t="str">
            <v>0006</v>
          </cell>
          <cell r="F1021" t="str">
            <v>0003</v>
          </cell>
          <cell r="G1021" t="str">
            <v>113</v>
          </cell>
          <cell r="H1021" t="str">
            <v>收回货款</v>
          </cell>
          <cell r="I1021" t="b">
            <v>0</v>
          </cell>
          <cell r="J1021">
            <v>6800</v>
          </cell>
          <cell r="K1021">
            <v>0</v>
          </cell>
          <cell r="L1021">
            <v>0</v>
          </cell>
        </row>
        <row r="1022">
          <cell r="A1022" t="str">
            <v>02</v>
          </cell>
          <cell r="B1022" t="str">
            <v>10</v>
          </cell>
          <cell r="C1022" t="str">
            <v>02</v>
          </cell>
          <cell r="D1022" t="str">
            <v>3</v>
          </cell>
          <cell r="E1022" t="str">
            <v>0006</v>
          </cell>
          <cell r="F1022" t="str">
            <v>0004</v>
          </cell>
          <cell r="G1022" t="str">
            <v>113</v>
          </cell>
          <cell r="H1022" t="str">
            <v>收回货款</v>
          </cell>
          <cell r="I1022" t="b">
            <v>0</v>
          </cell>
          <cell r="J1022">
            <v>38200</v>
          </cell>
          <cell r="K1022">
            <v>0</v>
          </cell>
          <cell r="L1022">
            <v>0</v>
          </cell>
        </row>
        <row r="1023">
          <cell r="A1023" t="str">
            <v>02</v>
          </cell>
          <cell r="B1023" t="str">
            <v>20</v>
          </cell>
          <cell r="C1023" t="str">
            <v>02</v>
          </cell>
          <cell r="D1023" t="str">
            <v>3</v>
          </cell>
          <cell r="E1023" t="str">
            <v>0010</v>
          </cell>
          <cell r="F1023" t="str">
            <v>0002</v>
          </cell>
          <cell r="G1023" t="str">
            <v>113</v>
          </cell>
          <cell r="H1023" t="str">
            <v>收FVE9955#发票货款USD42976.88</v>
          </cell>
          <cell r="I1023" t="b">
            <v>0</v>
          </cell>
          <cell r="J1023">
            <v>355234</v>
          </cell>
          <cell r="K1023">
            <v>0</v>
          </cell>
          <cell r="L1023">
            <v>0</v>
          </cell>
        </row>
        <row r="1024">
          <cell r="A1024" t="str">
            <v>02</v>
          </cell>
          <cell r="B1024" t="str">
            <v>20</v>
          </cell>
          <cell r="C1024" t="str">
            <v>02</v>
          </cell>
          <cell r="D1024" t="str">
            <v>3</v>
          </cell>
          <cell r="E1024" t="str">
            <v>0011</v>
          </cell>
          <cell r="F1024" t="str">
            <v>0002</v>
          </cell>
          <cell r="G1024" t="str">
            <v>113</v>
          </cell>
          <cell r="H1024" t="str">
            <v>收FVE9947-9951#发票货款</v>
          </cell>
          <cell r="I1024" t="b">
            <v>0</v>
          </cell>
          <cell r="J1024">
            <v>491394.13</v>
          </cell>
          <cell r="K1024">
            <v>0</v>
          </cell>
          <cell r="L1024">
            <v>0</v>
          </cell>
        </row>
        <row r="1025">
          <cell r="A1025" t="str">
            <v>02</v>
          </cell>
          <cell r="B1025" t="str">
            <v>20</v>
          </cell>
          <cell r="C1025" t="str">
            <v>02</v>
          </cell>
          <cell r="D1025" t="str">
            <v>3</v>
          </cell>
          <cell r="E1025" t="str">
            <v>0011</v>
          </cell>
          <cell r="F1025" t="str">
            <v>0003</v>
          </cell>
          <cell r="G1025" t="str">
            <v>113</v>
          </cell>
          <cell r="H1025" t="str">
            <v>收FVE9931-9932#发票货款</v>
          </cell>
          <cell r="I1025" t="b">
            <v>0</v>
          </cell>
          <cell r="J1025">
            <v>398706.11</v>
          </cell>
          <cell r="K1025">
            <v>0</v>
          </cell>
          <cell r="L1025">
            <v>0</v>
          </cell>
        </row>
        <row r="1026">
          <cell r="A1026" t="str">
            <v>02</v>
          </cell>
          <cell r="B1026" t="str">
            <v>20</v>
          </cell>
          <cell r="C1026" t="str">
            <v>02</v>
          </cell>
          <cell r="D1026" t="str">
            <v>3</v>
          </cell>
          <cell r="E1026" t="str">
            <v>0011</v>
          </cell>
          <cell r="F1026" t="str">
            <v>0004</v>
          </cell>
          <cell r="G1026" t="str">
            <v>113</v>
          </cell>
          <cell r="H1026" t="str">
            <v>收FVE9934/9935#发票货款</v>
          </cell>
          <cell r="I1026" t="b">
            <v>0</v>
          </cell>
          <cell r="J1026">
            <v>1084219.45</v>
          </cell>
          <cell r="K1026">
            <v>0</v>
          </cell>
          <cell r="L1026">
            <v>0</v>
          </cell>
        </row>
        <row r="1027">
          <cell r="A1027" t="str">
            <v>02</v>
          </cell>
          <cell r="B1027" t="str">
            <v>20</v>
          </cell>
          <cell r="C1027" t="str">
            <v>02</v>
          </cell>
          <cell r="D1027" t="str">
            <v>3</v>
          </cell>
          <cell r="E1027" t="str">
            <v>0011</v>
          </cell>
          <cell r="F1027" t="str">
            <v>0005</v>
          </cell>
          <cell r="G1027" t="str">
            <v>113</v>
          </cell>
          <cell r="H1027" t="str">
            <v>收FVE9956#发票货款</v>
          </cell>
          <cell r="I1027" t="b">
            <v>0</v>
          </cell>
          <cell r="J1027">
            <v>589500.55000000005</v>
          </cell>
          <cell r="K1027">
            <v>0</v>
          </cell>
          <cell r="L1027">
            <v>0</v>
          </cell>
        </row>
        <row r="1028">
          <cell r="A1028" t="str">
            <v>02</v>
          </cell>
          <cell r="B1028" t="str">
            <v>21</v>
          </cell>
          <cell r="C1028" t="str">
            <v>02</v>
          </cell>
          <cell r="D1028" t="str">
            <v>3</v>
          </cell>
          <cell r="E1028" t="str">
            <v>0012</v>
          </cell>
          <cell r="F1028" t="str">
            <v>0002</v>
          </cell>
          <cell r="G1028" t="str">
            <v>113</v>
          </cell>
          <cell r="H1028" t="str">
            <v>收FVE9965#发票货款USD79762.51</v>
          </cell>
          <cell r="I1028" t="b">
            <v>0</v>
          </cell>
          <cell r="J1028">
            <v>659261.06999999995</v>
          </cell>
          <cell r="K1028">
            <v>0</v>
          </cell>
          <cell r="L1028">
            <v>0</v>
          </cell>
        </row>
        <row r="1029">
          <cell r="A1029" t="str">
            <v>02</v>
          </cell>
          <cell r="B1029" t="str">
            <v>21</v>
          </cell>
          <cell r="C1029" t="str">
            <v>02</v>
          </cell>
          <cell r="D1029" t="str">
            <v>3</v>
          </cell>
          <cell r="E1029" t="str">
            <v>0012</v>
          </cell>
          <cell r="F1029" t="str">
            <v>0003</v>
          </cell>
          <cell r="G1029" t="str">
            <v>113</v>
          </cell>
          <cell r="H1029" t="str">
            <v>收FVE9967#发票货款USD345697.52</v>
          </cell>
          <cell r="I1029" t="b">
            <v>0</v>
          </cell>
          <cell r="J1029">
            <v>2857466.56</v>
          </cell>
          <cell r="K1029">
            <v>0</v>
          </cell>
          <cell r="L1029">
            <v>0</v>
          </cell>
        </row>
        <row r="1030">
          <cell r="A1030" t="str">
            <v>02</v>
          </cell>
          <cell r="B1030" t="str">
            <v>21</v>
          </cell>
          <cell r="C1030" t="str">
            <v>02</v>
          </cell>
          <cell r="D1030" t="str">
            <v>3</v>
          </cell>
          <cell r="E1030" t="str">
            <v>0012</v>
          </cell>
          <cell r="F1030" t="str">
            <v>0004</v>
          </cell>
          <cell r="G1030" t="str">
            <v>113</v>
          </cell>
          <cell r="H1030" t="str">
            <v>收FVE9962#发票货款USD86075.00</v>
          </cell>
          <cell r="I1030" t="b">
            <v>0</v>
          </cell>
          <cell r="J1030">
            <v>710187.39</v>
          </cell>
          <cell r="K1030">
            <v>0</v>
          </cell>
          <cell r="L1030">
            <v>0</v>
          </cell>
        </row>
        <row r="1031">
          <cell r="A1031" t="str">
            <v>02</v>
          </cell>
          <cell r="B1031" t="str">
            <v>25</v>
          </cell>
          <cell r="C1031" t="str">
            <v>02</v>
          </cell>
          <cell r="D1031" t="str">
            <v>3</v>
          </cell>
          <cell r="E1031" t="str">
            <v>0013</v>
          </cell>
          <cell r="F1031" t="str">
            <v>0002</v>
          </cell>
          <cell r="G1031" t="str">
            <v>113</v>
          </cell>
          <cell r="H1031" t="str">
            <v>收FVE9952.53#发票货款USD31465.</v>
          </cell>
          <cell r="I1031" t="b">
            <v>0</v>
          </cell>
          <cell r="J1031">
            <v>258948.57</v>
          </cell>
          <cell r="K1031">
            <v>0</v>
          </cell>
          <cell r="L1031">
            <v>0</v>
          </cell>
        </row>
        <row r="1032">
          <cell r="A1032" t="str">
            <v>02</v>
          </cell>
          <cell r="B1032" t="str">
            <v>25</v>
          </cell>
          <cell r="C1032" t="str">
            <v>02</v>
          </cell>
          <cell r="D1032" t="str">
            <v>3</v>
          </cell>
          <cell r="E1032" t="str">
            <v>0013</v>
          </cell>
          <cell r="F1032" t="str">
            <v>0003</v>
          </cell>
          <cell r="G1032" t="str">
            <v>113</v>
          </cell>
          <cell r="H1032" t="str">
            <v>收FVE9942-9946#发票货款</v>
          </cell>
          <cell r="I1032" t="b">
            <v>0</v>
          </cell>
          <cell r="J1032">
            <v>3161107.03</v>
          </cell>
          <cell r="K1032">
            <v>0</v>
          </cell>
          <cell r="L1032">
            <v>0</v>
          </cell>
        </row>
        <row r="1033">
          <cell r="A1033" t="str">
            <v>02</v>
          </cell>
          <cell r="B1033" t="str">
            <v>25</v>
          </cell>
          <cell r="C1033" t="str">
            <v>02</v>
          </cell>
          <cell r="D1033" t="str">
            <v>3</v>
          </cell>
          <cell r="E1033" t="str">
            <v>0013</v>
          </cell>
          <cell r="F1033" t="str">
            <v>0004</v>
          </cell>
          <cell r="G1033" t="str">
            <v>113</v>
          </cell>
          <cell r="H1033" t="str">
            <v>收FVE9960#发票货款USD32826.35</v>
          </cell>
          <cell r="I1033" t="b">
            <v>0</v>
          </cell>
          <cell r="J1033">
            <v>271372.15000000002</v>
          </cell>
          <cell r="K1033">
            <v>0</v>
          </cell>
          <cell r="L1033">
            <v>0</v>
          </cell>
        </row>
        <row r="1034">
          <cell r="A1034" t="str">
            <v>02</v>
          </cell>
          <cell r="B1034" t="str">
            <v>25</v>
          </cell>
          <cell r="C1034" t="str">
            <v>02</v>
          </cell>
          <cell r="D1034" t="str">
            <v>3</v>
          </cell>
          <cell r="E1034" t="str">
            <v>0013</v>
          </cell>
          <cell r="F1034" t="str">
            <v>0005</v>
          </cell>
          <cell r="G1034" t="str">
            <v>113</v>
          </cell>
          <cell r="H1034" t="str">
            <v>收FVE9958#发票货款USD16412.31</v>
          </cell>
          <cell r="I1034" t="b">
            <v>0</v>
          </cell>
          <cell r="J1034">
            <v>135683.85</v>
          </cell>
          <cell r="K1034">
            <v>0</v>
          </cell>
          <cell r="L1034">
            <v>0</v>
          </cell>
        </row>
        <row r="1035">
          <cell r="A1035" t="str">
            <v>02</v>
          </cell>
          <cell r="B1035" t="str">
            <v>25</v>
          </cell>
          <cell r="C1035" t="str">
            <v>02</v>
          </cell>
          <cell r="D1035" t="str">
            <v>3</v>
          </cell>
          <cell r="E1035" t="str">
            <v>0014</v>
          </cell>
          <cell r="F1035" t="str">
            <v>0002</v>
          </cell>
          <cell r="G1035" t="str">
            <v>113</v>
          </cell>
          <cell r="H1035" t="str">
            <v>收FVE9920#发票货款USD74160.69</v>
          </cell>
          <cell r="I1035" t="b">
            <v>0</v>
          </cell>
          <cell r="J1035">
            <v>613101.26</v>
          </cell>
          <cell r="K1035">
            <v>0</v>
          </cell>
          <cell r="L1035">
            <v>0</v>
          </cell>
        </row>
        <row r="1036">
          <cell r="A1036" t="str">
            <v>02</v>
          </cell>
          <cell r="B1036" t="str">
            <v>25</v>
          </cell>
          <cell r="C1036" t="str">
            <v>02</v>
          </cell>
          <cell r="D1036" t="str">
            <v>3</v>
          </cell>
          <cell r="E1036" t="str">
            <v>0014</v>
          </cell>
          <cell r="F1036" t="str">
            <v>0003</v>
          </cell>
          <cell r="G1036" t="str">
            <v>113</v>
          </cell>
          <cell r="H1036" t="str">
            <v>收FVE9912#发票货款USD81503.32</v>
          </cell>
          <cell r="I1036" t="b">
            <v>0</v>
          </cell>
          <cell r="J1036">
            <v>673828.7</v>
          </cell>
          <cell r="K1036">
            <v>0</v>
          </cell>
          <cell r="L1036">
            <v>0</v>
          </cell>
        </row>
        <row r="1037">
          <cell r="A1037" t="str">
            <v>02</v>
          </cell>
          <cell r="B1037" t="str">
            <v>25</v>
          </cell>
          <cell r="C1037" t="str">
            <v>02</v>
          </cell>
          <cell r="D1037" t="str">
            <v>3</v>
          </cell>
          <cell r="E1037" t="str">
            <v>0014</v>
          </cell>
          <cell r="F1037" t="str">
            <v>0004</v>
          </cell>
          <cell r="G1037" t="str">
            <v>113</v>
          </cell>
          <cell r="H1037" t="str">
            <v>收FVE9911#发票货款USD97841.99</v>
          </cell>
          <cell r="I1037" t="b">
            <v>0</v>
          </cell>
          <cell r="J1037">
            <v>808908.65</v>
          </cell>
          <cell r="K1037">
            <v>0</v>
          </cell>
          <cell r="L1037">
            <v>0</v>
          </cell>
        </row>
        <row r="1038">
          <cell r="A1038" t="str">
            <v>02</v>
          </cell>
          <cell r="B1038" t="str">
            <v>25</v>
          </cell>
          <cell r="C1038" t="str">
            <v>02</v>
          </cell>
          <cell r="D1038" t="str">
            <v>3</v>
          </cell>
          <cell r="E1038" t="str">
            <v>0014</v>
          </cell>
          <cell r="F1038" t="str">
            <v>0005</v>
          </cell>
          <cell r="G1038" t="str">
            <v>113</v>
          </cell>
          <cell r="H1038" t="str">
            <v>收FVE9915/9916#发票货款</v>
          </cell>
          <cell r="I1038" t="b">
            <v>0</v>
          </cell>
          <cell r="J1038">
            <v>1348517.97</v>
          </cell>
          <cell r="K1038">
            <v>0</v>
          </cell>
          <cell r="L1038">
            <v>0</v>
          </cell>
        </row>
        <row r="1039">
          <cell r="A1039" t="str">
            <v>02</v>
          </cell>
          <cell r="B1039" t="str">
            <v>22</v>
          </cell>
          <cell r="C1039" t="str">
            <v>02</v>
          </cell>
          <cell r="D1039" t="str">
            <v>5</v>
          </cell>
          <cell r="E1039" t="str">
            <v>0006</v>
          </cell>
          <cell r="F1039" t="str">
            <v>0003</v>
          </cell>
          <cell r="G1039" t="str">
            <v>113</v>
          </cell>
          <cell r="H1039" t="str">
            <v>转销苹果浓汁0.78吨</v>
          </cell>
          <cell r="I1039" t="b">
            <v>1</v>
          </cell>
          <cell r="J1039">
            <v>6240</v>
          </cell>
          <cell r="K1039">
            <v>0</v>
          </cell>
          <cell r="L1039">
            <v>0</v>
          </cell>
        </row>
        <row r="1040">
          <cell r="A1040" t="str">
            <v>02</v>
          </cell>
          <cell r="B1040" t="str">
            <v>22</v>
          </cell>
          <cell r="C1040" t="str">
            <v>02</v>
          </cell>
          <cell r="D1040" t="str">
            <v>5</v>
          </cell>
          <cell r="E1040" t="str">
            <v>0006</v>
          </cell>
          <cell r="F1040" t="str">
            <v>0004</v>
          </cell>
          <cell r="G1040" t="str">
            <v>113</v>
          </cell>
          <cell r="H1040" t="str">
            <v>转销苹果浓汁10.175吨</v>
          </cell>
          <cell r="I1040" t="b">
            <v>1</v>
          </cell>
          <cell r="J1040">
            <v>84452.5</v>
          </cell>
          <cell r="K1040">
            <v>0</v>
          </cell>
          <cell r="L1040">
            <v>0</v>
          </cell>
        </row>
        <row r="1041">
          <cell r="A1041" t="str">
            <v>02</v>
          </cell>
          <cell r="B1041" t="str">
            <v>22</v>
          </cell>
          <cell r="C1041" t="str">
            <v>02</v>
          </cell>
          <cell r="D1041" t="str">
            <v>5</v>
          </cell>
          <cell r="E1041" t="str">
            <v>0006</v>
          </cell>
          <cell r="F1041" t="str">
            <v>0005</v>
          </cell>
          <cell r="G1041" t="str">
            <v>113</v>
          </cell>
          <cell r="H1041" t="str">
            <v>转销苹果浓汁10.14吨</v>
          </cell>
          <cell r="I1041" t="b">
            <v>1</v>
          </cell>
          <cell r="J1041">
            <v>71487</v>
          </cell>
          <cell r="K1041">
            <v>0</v>
          </cell>
          <cell r="L1041">
            <v>0</v>
          </cell>
        </row>
        <row r="1042">
          <cell r="A1042" t="str">
            <v>02</v>
          </cell>
          <cell r="B1042" t="str">
            <v>22</v>
          </cell>
          <cell r="C1042" t="str">
            <v>02</v>
          </cell>
          <cell r="D1042" t="str">
            <v>5</v>
          </cell>
          <cell r="E1042" t="str">
            <v>0006</v>
          </cell>
          <cell r="F1042" t="str">
            <v>0006</v>
          </cell>
          <cell r="G1042" t="str">
            <v>113</v>
          </cell>
          <cell r="H1042" t="str">
            <v>转销苹果浓汁5.85吨</v>
          </cell>
          <cell r="I1042" t="b">
            <v>1</v>
          </cell>
          <cell r="J1042">
            <v>50310</v>
          </cell>
          <cell r="K1042">
            <v>0</v>
          </cell>
          <cell r="L1042">
            <v>0</v>
          </cell>
        </row>
        <row r="1043">
          <cell r="A1043" t="str">
            <v>02</v>
          </cell>
          <cell r="B1043" t="str">
            <v>22</v>
          </cell>
          <cell r="C1043" t="str">
            <v>02</v>
          </cell>
          <cell r="D1043" t="str">
            <v>5</v>
          </cell>
          <cell r="E1043" t="str">
            <v>0006</v>
          </cell>
          <cell r="F1043" t="str">
            <v>0007</v>
          </cell>
          <cell r="G1043" t="str">
            <v>113</v>
          </cell>
          <cell r="H1043" t="str">
            <v>转销苹果浓汁0.975吨</v>
          </cell>
          <cell r="I1043" t="b">
            <v>1</v>
          </cell>
          <cell r="J1043">
            <v>7800</v>
          </cell>
          <cell r="K1043">
            <v>0</v>
          </cell>
          <cell r="L1043">
            <v>0</v>
          </cell>
        </row>
        <row r="1044">
          <cell r="A1044" t="str">
            <v>02</v>
          </cell>
          <cell r="B1044" t="str">
            <v>22</v>
          </cell>
          <cell r="C1044" t="str">
            <v>02</v>
          </cell>
          <cell r="D1044" t="str">
            <v>5</v>
          </cell>
          <cell r="E1044" t="str">
            <v>0007</v>
          </cell>
          <cell r="F1044" t="str">
            <v>0004</v>
          </cell>
          <cell r="G1044" t="str">
            <v>113</v>
          </cell>
          <cell r="H1044" t="str">
            <v>转订正99年8月5-7#凭证错制</v>
          </cell>
          <cell r="I1044" t="b">
            <v>0</v>
          </cell>
          <cell r="J1044">
            <v>1299.3699999999999</v>
          </cell>
          <cell r="K1044">
            <v>0</v>
          </cell>
          <cell r="L1044">
            <v>0</v>
          </cell>
        </row>
        <row r="1045">
          <cell r="A1045" t="str">
            <v>02</v>
          </cell>
          <cell r="B1045" t="str">
            <v>28</v>
          </cell>
          <cell r="C1045" t="str">
            <v>02</v>
          </cell>
          <cell r="D1045" t="str">
            <v>5</v>
          </cell>
          <cell r="E1045" t="str">
            <v>0028</v>
          </cell>
          <cell r="F1045" t="str">
            <v>0001</v>
          </cell>
          <cell r="G1045" t="str">
            <v>113</v>
          </cell>
          <cell r="H1045" t="str">
            <v>转JA990629发票出口收入</v>
          </cell>
          <cell r="I1045" t="b">
            <v>1</v>
          </cell>
          <cell r="J1045">
            <v>550502.57999999996</v>
          </cell>
          <cell r="K1045">
            <v>0</v>
          </cell>
          <cell r="L1045">
            <v>0</v>
          </cell>
        </row>
        <row r="1046">
          <cell r="A1046" t="str">
            <v>02</v>
          </cell>
          <cell r="B1046" t="str">
            <v>28</v>
          </cell>
          <cell r="C1046" t="str">
            <v>02</v>
          </cell>
          <cell r="D1046" t="str">
            <v>5</v>
          </cell>
          <cell r="E1046" t="str">
            <v>0028</v>
          </cell>
          <cell r="F1046" t="str">
            <v>0004</v>
          </cell>
          <cell r="G1046" t="str">
            <v>113</v>
          </cell>
          <cell r="H1046" t="str">
            <v>转FVE9942-9946#发票出口收入</v>
          </cell>
          <cell r="I1046" t="b">
            <v>1</v>
          </cell>
          <cell r="J1046">
            <v>3166462.43</v>
          </cell>
          <cell r="K1046">
            <v>0</v>
          </cell>
          <cell r="L1046">
            <v>0</v>
          </cell>
        </row>
        <row r="1047">
          <cell r="A1047" t="str">
            <v>02</v>
          </cell>
          <cell r="B1047" t="str">
            <v>28</v>
          </cell>
          <cell r="C1047" t="str">
            <v>02</v>
          </cell>
          <cell r="D1047" t="str">
            <v>5</v>
          </cell>
          <cell r="E1047" t="str">
            <v>0028</v>
          </cell>
          <cell r="F1047" t="str">
            <v>0007</v>
          </cell>
          <cell r="G1047" t="str">
            <v>113</v>
          </cell>
          <cell r="H1047" t="str">
            <v>转FVE9915#发票出口收入</v>
          </cell>
          <cell r="I1047" t="b">
            <v>1</v>
          </cell>
          <cell r="J1047">
            <v>675223.56</v>
          </cell>
          <cell r="K1047">
            <v>0</v>
          </cell>
          <cell r="L1047">
            <v>0</v>
          </cell>
        </row>
        <row r="1048">
          <cell r="A1048" t="str">
            <v>02</v>
          </cell>
          <cell r="B1048" t="str">
            <v>28</v>
          </cell>
          <cell r="C1048" t="str">
            <v>02</v>
          </cell>
          <cell r="D1048" t="str">
            <v>5</v>
          </cell>
          <cell r="E1048" t="str">
            <v>0028</v>
          </cell>
          <cell r="F1048" t="str">
            <v>0010</v>
          </cell>
          <cell r="G1048" t="str">
            <v>113</v>
          </cell>
          <cell r="H1048" t="str">
            <v>转FVE9916#发票出口收入</v>
          </cell>
          <cell r="I1048" t="b">
            <v>1</v>
          </cell>
          <cell r="J1048">
            <v>675223.56</v>
          </cell>
          <cell r="K1048">
            <v>0</v>
          </cell>
          <cell r="L1048">
            <v>0</v>
          </cell>
        </row>
        <row r="1049">
          <cell r="A1049" t="str">
            <v>02</v>
          </cell>
          <cell r="B1049" t="str">
            <v>28</v>
          </cell>
          <cell r="C1049" t="str">
            <v>02</v>
          </cell>
          <cell r="D1049" t="str">
            <v>5</v>
          </cell>
          <cell r="E1049" t="str">
            <v>0028</v>
          </cell>
          <cell r="F1049" t="str">
            <v>0013</v>
          </cell>
          <cell r="G1049" t="str">
            <v>113</v>
          </cell>
          <cell r="H1049" t="str">
            <v>转FVE9931#发票出口收入</v>
          </cell>
          <cell r="I1049" t="b">
            <v>1</v>
          </cell>
          <cell r="J1049">
            <v>270086.15999999997</v>
          </cell>
          <cell r="K1049">
            <v>0</v>
          </cell>
          <cell r="L1049">
            <v>0</v>
          </cell>
        </row>
        <row r="1050">
          <cell r="A1050" t="str">
            <v>02</v>
          </cell>
          <cell r="B1050" t="str">
            <v>28</v>
          </cell>
          <cell r="C1050" t="str">
            <v>02</v>
          </cell>
          <cell r="D1050" t="str">
            <v>5</v>
          </cell>
          <cell r="E1050" t="str">
            <v>0028</v>
          </cell>
          <cell r="F1050" t="str">
            <v>0016</v>
          </cell>
          <cell r="G1050" t="str">
            <v>113</v>
          </cell>
          <cell r="H1050" t="str">
            <v>转FVE9932#发票出口收入</v>
          </cell>
          <cell r="I1050" t="b">
            <v>1</v>
          </cell>
          <cell r="J1050">
            <v>546719.86</v>
          </cell>
          <cell r="K1050">
            <v>0</v>
          </cell>
          <cell r="L1050">
            <v>0</v>
          </cell>
        </row>
        <row r="1051">
          <cell r="A1051" t="str">
            <v>02</v>
          </cell>
          <cell r="B1051" t="str">
            <v>28</v>
          </cell>
          <cell r="C1051" t="str">
            <v>02</v>
          </cell>
          <cell r="D1051" t="str">
            <v>5</v>
          </cell>
          <cell r="E1051" t="str">
            <v>0028</v>
          </cell>
          <cell r="F1051" t="str">
            <v>0019</v>
          </cell>
          <cell r="G1051" t="str">
            <v>113</v>
          </cell>
          <cell r="H1051" t="str">
            <v>转FVE9934#发票出口收入</v>
          </cell>
          <cell r="I1051" t="b">
            <v>1</v>
          </cell>
          <cell r="J1051">
            <v>540165.78</v>
          </cell>
          <cell r="K1051">
            <v>0</v>
          </cell>
          <cell r="L1051">
            <v>0</v>
          </cell>
        </row>
        <row r="1052">
          <cell r="A1052" t="str">
            <v>02</v>
          </cell>
          <cell r="B1052" t="str">
            <v>28</v>
          </cell>
          <cell r="C1052" t="str">
            <v>02</v>
          </cell>
          <cell r="D1052" t="str">
            <v>5</v>
          </cell>
          <cell r="E1052" t="str">
            <v>0028</v>
          </cell>
          <cell r="F1052" t="str">
            <v>0022</v>
          </cell>
          <cell r="G1052" t="str">
            <v>113</v>
          </cell>
          <cell r="H1052" t="str">
            <v>转FVE9935#发票出口收入</v>
          </cell>
          <cell r="I1052" t="b">
            <v>1</v>
          </cell>
          <cell r="J1052">
            <v>546713.24</v>
          </cell>
          <cell r="K1052">
            <v>0</v>
          </cell>
          <cell r="L1052">
            <v>0</v>
          </cell>
        </row>
        <row r="1053">
          <cell r="A1053" t="str">
            <v>02</v>
          </cell>
          <cell r="B1053" t="str">
            <v>28</v>
          </cell>
          <cell r="C1053" t="str">
            <v>02</v>
          </cell>
          <cell r="D1053" t="str">
            <v>5</v>
          </cell>
          <cell r="E1053" t="str">
            <v>0028</v>
          </cell>
          <cell r="F1053" t="str">
            <v>0025</v>
          </cell>
          <cell r="G1053" t="str">
            <v>113</v>
          </cell>
          <cell r="H1053" t="str">
            <v>转FVE9947#发票出口收入</v>
          </cell>
          <cell r="I1053" t="b">
            <v>1</v>
          </cell>
          <cell r="J1053">
            <v>540159.25</v>
          </cell>
          <cell r="K1053">
            <v>0</v>
          </cell>
          <cell r="L1053">
            <v>0</v>
          </cell>
        </row>
        <row r="1054">
          <cell r="A1054" t="str">
            <v>02</v>
          </cell>
          <cell r="B1054" t="str">
            <v>28</v>
          </cell>
          <cell r="C1054" t="str">
            <v>02</v>
          </cell>
          <cell r="D1054" t="str">
            <v>5</v>
          </cell>
          <cell r="E1054" t="str">
            <v>0029</v>
          </cell>
          <cell r="F1054" t="str">
            <v>0001</v>
          </cell>
          <cell r="G1054" t="str">
            <v>113</v>
          </cell>
          <cell r="H1054" t="str">
            <v>转FVE9948#发票出口收入</v>
          </cell>
          <cell r="I1054" t="b">
            <v>1</v>
          </cell>
          <cell r="J1054">
            <v>540159.25</v>
          </cell>
          <cell r="K1054">
            <v>0</v>
          </cell>
          <cell r="L1054">
            <v>0</v>
          </cell>
        </row>
        <row r="1055">
          <cell r="A1055" t="str">
            <v>02</v>
          </cell>
          <cell r="B1055" t="str">
            <v>28</v>
          </cell>
          <cell r="C1055" t="str">
            <v>02</v>
          </cell>
          <cell r="D1055" t="str">
            <v>5</v>
          </cell>
          <cell r="E1055" t="str">
            <v>0029</v>
          </cell>
          <cell r="F1055" t="str">
            <v>0004</v>
          </cell>
          <cell r="G1055" t="str">
            <v>113</v>
          </cell>
          <cell r="H1055" t="str">
            <v>转FVE9949#发票出口收入</v>
          </cell>
          <cell r="I1055" t="b">
            <v>1</v>
          </cell>
          <cell r="J1055">
            <v>270079.62</v>
          </cell>
          <cell r="K1055">
            <v>0</v>
          </cell>
          <cell r="L1055">
            <v>0</v>
          </cell>
        </row>
        <row r="1056">
          <cell r="A1056" t="str">
            <v>02</v>
          </cell>
          <cell r="B1056" t="str">
            <v>28</v>
          </cell>
          <cell r="C1056" t="str">
            <v>02</v>
          </cell>
          <cell r="D1056" t="str">
            <v>5</v>
          </cell>
          <cell r="E1056" t="str">
            <v>0029</v>
          </cell>
          <cell r="F1056" t="str">
            <v>0007</v>
          </cell>
          <cell r="G1056" t="str">
            <v>113</v>
          </cell>
          <cell r="H1056" t="str">
            <v>转FVE9950#发票出口收入</v>
          </cell>
          <cell r="I1056" t="b">
            <v>1</v>
          </cell>
          <cell r="J1056">
            <v>683383.29</v>
          </cell>
          <cell r="K1056">
            <v>0</v>
          </cell>
          <cell r="L1056">
            <v>0</v>
          </cell>
        </row>
        <row r="1057">
          <cell r="A1057" t="str">
            <v>02</v>
          </cell>
          <cell r="B1057" t="str">
            <v>28</v>
          </cell>
          <cell r="C1057" t="str">
            <v>02</v>
          </cell>
          <cell r="D1057" t="str">
            <v>5</v>
          </cell>
          <cell r="E1057" t="str">
            <v>0029</v>
          </cell>
          <cell r="F1057" t="str">
            <v>0010</v>
          </cell>
          <cell r="G1057" t="str">
            <v>113</v>
          </cell>
          <cell r="H1057" t="str">
            <v>转FVE9951#发票出口收入</v>
          </cell>
          <cell r="I1057" t="b">
            <v>1</v>
          </cell>
          <cell r="J1057">
            <v>540159.25</v>
          </cell>
          <cell r="K1057">
            <v>0</v>
          </cell>
          <cell r="L1057">
            <v>0</v>
          </cell>
        </row>
        <row r="1058">
          <cell r="A1058" t="str">
            <v>02</v>
          </cell>
          <cell r="B1058" t="str">
            <v>28</v>
          </cell>
          <cell r="C1058" t="str">
            <v>02</v>
          </cell>
          <cell r="D1058" t="str">
            <v>5</v>
          </cell>
          <cell r="E1058" t="str">
            <v>0029</v>
          </cell>
          <cell r="F1058" t="str">
            <v>0013</v>
          </cell>
          <cell r="G1058" t="str">
            <v>113</v>
          </cell>
          <cell r="H1058" t="str">
            <v>转FVE9952#发票出口收入</v>
          </cell>
          <cell r="I1058" t="b">
            <v>1</v>
          </cell>
          <cell r="J1058">
            <v>128105.95</v>
          </cell>
          <cell r="K1058">
            <v>0</v>
          </cell>
          <cell r="L1058">
            <v>0</v>
          </cell>
        </row>
        <row r="1059">
          <cell r="A1059" t="str">
            <v>02</v>
          </cell>
          <cell r="B1059" t="str">
            <v>28</v>
          </cell>
          <cell r="C1059" t="str">
            <v>02</v>
          </cell>
          <cell r="D1059" t="str">
            <v>5</v>
          </cell>
          <cell r="E1059" t="str">
            <v>0029</v>
          </cell>
          <cell r="F1059" t="str">
            <v>0016</v>
          </cell>
          <cell r="G1059" t="str">
            <v>113</v>
          </cell>
          <cell r="H1059" t="str">
            <v>转FVE9953#发票出口收入</v>
          </cell>
          <cell r="I1059" t="b">
            <v>1</v>
          </cell>
          <cell r="J1059">
            <v>132880.07999999999</v>
          </cell>
          <cell r="K1059">
            <v>0</v>
          </cell>
          <cell r="L1059">
            <v>0</v>
          </cell>
        </row>
        <row r="1060">
          <cell r="A1060" t="str">
            <v>02</v>
          </cell>
          <cell r="B1060" t="str">
            <v>28</v>
          </cell>
          <cell r="C1060" t="str">
            <v>02</v>
          </cell>
          <cell r="D1060" t="str">
            <v>5</v>
          </cell>
          <cell r="E1060" t="str">
            <v>0029</v>
          </cell>
          <cell r="F1060" t="str">
            <v>0019</v>
          </cell>
          <cell r="G1060" t="str">
            <v>113</v>
          </cell>
          <cell r="H1060" t="str">
            <v>转FVE9955#发票出口收入</v>
          </cell>
          <cell r="I1060" t="b">
            <v>1</v>
          </cell>
          <cell r="J1060">
            <v>356416.98</v>
          </cell>
          <cell r="K1060">
            <v>0</v>
          </cell>
          <cell r="L1060">
            <v>0</v>
          </cell>
        </row>
        <row r="1061">
          <cell r="A1061" t="str">
            <v>02</v>
          </cell>
          <cell r="B1061" t="str">
            <v>28</v>
          </cell>
          <cell r="C1061" t="str">
            <v>02</v>
          </cell>
          <cell r="D1061" t="str">
            <v>5</v>
          </cell>
          <cell r="E1061" t="str">
            <v>0029</v>
          </cell>
          <cell r="F1061" t="str">
            <v>0022</v>
          </cell>
          <cell r="G1061" t="str">
            <v>113</v>
          </cell>
          <cell r="H1061" t="str">
            <v>转FVE9956#发票出口收入</v>
          </cell>
          <cell r="I1061" t="b">
            <v>1</v>
          </cell>
          <cell r="J1061">
            <v>2546297.6</v>
          </cell>
          <cell r="K1061">
            <v>0</v>
          </cell>
          <cell r="L1061">
            <v>0</v>
          </cell>
        </row>
        <row r="1062">
          <cell r="A1062" t="str">
            <v>02</v>
          </cell>
          <cell r="B1062" t="str">
            <v>28</v>
          </cell>
          <cell r="C1062" t="str">
            <v>02</v>
          </cell>
          <cell r="D1062" t="str">
            <v>5</v>
          </cell>
          <cell r="E1062" t="str">
            <v>0029</v>
          </cell>
          <cell r="F1062" t="str">
            <v>0025</v>
          </cell>
          <cell r="G1062" t="str">
            <v>113</v>
          </cell>
          <cell r="H1062" t="str">
            <v>转FVE9958#发票出口收入</v>
          </cell>
          <cell r="I1062" t="b">
            <v>1</v>
          </cell>
          <cell r="J1062">
            <v>136863.5</v>
          </cell>
          <cell r="K1062">
            <v>0</v>
          </cell>
          <cell r="L1062">
            <v>0</v>
          </cell>
        </row>
        <row r="1063">
          <cell r="A1063" t="str">
            <v>02</v>
          </cell>
          <cell r="B1063" t="str">
            <v>28</v>
          </cell>
          <cell r="C1063" t="str">
            <v>02</v>
          </cell>
          <cell r="D1063" t="str">
            <v>5</v>
          </cell>
          <cell r="E1063" t="str">
            <v>0029</v>
          </cell>
          <cell r="F1063" t="str">
            <v>0028</v>
          </cell>
          <cell r="G1063" t="str">
            <v>113</v>
          </cell>
          <cell r="H1063" t="str">
            <v>转FVE9960#发票出口收入</v>
          </cell>
          <cell r="I1063" t="b">
            <v>1</v>
          </cell>
          <cell r="J1063">
            <v>272125.68</v>
          </cell>
          <cell r="K1063">
            <v>0</v>
          </cell>
          <cell r="L1063">
            <v>0</v>
          </cell>
        </row>
        <row r="1064">
          <cell r="A1064" t="str">
            <v>02</v>
          </cell>
          <cell r="B1064" t="str">
            <v>28</v>
          </cell>
          <cell r="C1064" t="str">
            <v>02</v>
          </cell>
          <cell r="D1064" t="str">
            <v>5</v>
          </cell>
          <cell r="E1064" t="str">
            <v>0029</v>
          </cell>
          <cell r="F1064" t="str">
            <v>0031</v>
          </cell>
          <cell r="G1064" t="str">
            <v>113</v>
          </cell>
          <cell r="H1064" t="str">
            <v>转FVE9962#发票出口收入</v>
          </cell>
          <cell r="I1064" t="b">
            <v>1</v>
          </cell>
          <cell r="J1064">
            <v>712028.1</v>
          </cell>
          <cell r="K1064">
            <v>0</v>
          </cell>
          <cell r="L1064">
            <v>0</v>
          </cell>
        </row>
        <row r="1065">
          <cell r="A1065" t="str">
            <v>02</v>
          </cell>
          <cell r="B1065" t="str">
            <v>28</v>
          </cell>
          <cell r="C1065" t="str">
            <v>02</v>
          </cell>
          <cell r="D1065" t="str">
            <v>5</v>
          </cell>
          <cell r="E1065" t="str">
            <v>0029</v>
          </cell>
          <cell r="F1065" t="str">
            <v>0034</v>
          </cell>
          <cell r="G1065" t="str">
            <v>113</v>
          </cell>
          <cell r="H1065" t="str">
            <v>转FVE9965#发票出口收入</v>
          </cell>
          <cell r="I1065" t="b">
            <v>1</v>
          </cell>
          <cell r="J1065">
            <v>660294.15</v>
          </cell>
          <cell r="K1065">
            <v>0</v>
          </cell>
          <cell r="L1065">
            <v>0</v>
          </cell>
        </row>
        <row r="1066">
          <cell r="A1066" t="str">
            <v>02</v>
          </cell>
          <cell r="B1066" t="str">
            <v>28</v>
          </cell>
          <cell r="C1066" t="str">
            <v>02</v>
          </cell>
          <cell r="D1066" t="str">
            <v>5</v>
          </cell>
          <cell r="E1066" t="str">
            <v>0029</v>
          </cell>
          <cell r="F1066" t="str">
            <v>0037</v>
          </cell>
          <cell r="G1066" t="str">
            <v>113</v>
          </cell>
          <cell r="H1066" t="str">
            <v>转FVE9967#发票出口收入</v>
          </cell>
          <cell r="I1066" t="b">
            <v>1</v>
          </cell>
          <cell r="J1066">
            <v>2880465.98</v>
          </cell>
          <cell r="K1066">
            <v>0</v>
          </cell>
          <cell r="L1066">
            <v>0</v>
          </cell>
        </row>
        <row r="1067">
          <cell r="A1067" t="str">
            <v>02</v>
          </cell>
          <cell r="B1067" t="str">
            <v>28</v>
          </cell>
          <cell r="C1067" t="str">
            <v>02</v>
          </cell>
          <cell r="D1067" t="str">
            <v>5</v>
          </cell>
          <cell r="E1067" t="str">
            <v>0030</v>
          </cell>
          <cell r="F1067" t="str">
            <v>0003</v>
          </cell>
          <cell r="G1067" t="str">
            <v>113</v>
          </cell>
          <cell r="H1067" t="str">
            <v>转FVE9955#发票中行扣费等</v>
          </cell>
          <cell r="I1067" t="b">
            <v>0</v>
          </cell>
          <cell r="J1067">
            <v>1182.98</v>
          </cell>
          <cell r="K1067">
            <v>0</v>
          </cell>
          <cell r="L1067">
            <v>0</v>
          </cell>
        </row>
        <row r="1068">
          <cell r="A1068" t="str">
            <v>02</v>
          </cell>
          <cell r="B1068" t="str">
            <v>28</v>
          </cell>
          <cell r="C1068" t="str">
            <v>02</v>
          </cell>
          <cell r="D1068" t="str">
            <v>5</v>
          </cell>
          <cell r="E1068" t="str">
            <v>0031</v>
          </cell>
          <cell r="F1068" t="str">
            <v>0005</v>
          </cell>
          <cell r="G1068" t="str">
            <v>113</v>
          </cell>
          <cell r="H1068" t="str">
            <v>转FVE9915/9916.9920#中行扣费等</v>
          </cell>
          <cell r="I1068" t="b">
            <v>0</v>
          </cell>
          <cell r="J1068">
            <v>5930.6</v>
          </cell>
          <cell r="K1068">
            <v>0</v>
          </cell>
          <cell r="L1068">
            <v>0</v>
          </cell>
        </row>
        <row r="1069">
          <cell r="A1069" t="str">
            <v>02</v>
          </cell>
          <cell r="B1069" t="str">
            <v>28</v>
          </cell>
          <cell r="C1069" t="str">
            <v>02</v>
          </cell>
          <cell r="D1069" t="str">
            <v>5</v>
          </cell>
          <cell r="E1069" t="str">
            <v>0032</v>
          </cell>
          <cell r="F1069" t="str">
            <v>0005</v>
          </cell>
          <cell r="G1069" t="str">
            <v>113</v>
          </cell>
          <cell r="H1069" t="str">
            <v>转FVE9931/9932#发票扣押汇借款</v>
          </cell>
          <cell r="I1069" t="b">
            <v>0</v>
          </cell>
          <cell r="J1069">
            <v>418099.91</v>
          </cell>
          <cell r="K1069">
            <v>0</v>
          </cell>
          <cell r="L1069">
            <v>0</v>
          </cell>
        </row>
        <row r="1070">
          <cell r="A1070" t="str">
            <v>02</v>
          </cell>
          <cell r="B1070" t="str">
            <v>28</v>
          </cell>
          <cell r="C1070" t="str">
            <v>02</v>
          </cell>
          <cell r="D1070" t="str">
            <v>5</v>
          </cell>
          <cell r="E1070" t="str">
            <v>0034</v>
          </cell>
          <cell r="F1070" t="str">
            <v>0005</v>
          </cell>
          <cell r="G1070" t="str">
            <v>113</v>
          </cell>
          <cell r="H1070" t="str">
            <v>转FVE9947-9951#发票扣押汇借款</v>
          </cell>
          <cell r="I1070" t="b">
            <v>0</v>
          </cell>
          <cell r="J1070">
            <v>2082546.53</v>
          </cell>
          <cell r="K1070">
            <v>0</v>
          </cell>
          <cell r="L1070">
            <v>0</v>
          </cell>
        </row>
        <row r="1071">
          <cell r="A1071" t="str">
            <v>02</v>
          </cell>
          <cell r="B1071" t="str">
            <v>28</v>
          </cell>
          <cell r="C1071" t="str">
            <v>02</v>
          </cell>
          <cell r="D1071" t="str">
            <v>5</v>
          </cell>
          <cell r="E1071" t="str">
            <v>0035</v>
          </cell>
          <cell r="F1071" t="str">
            <v>0005</v>
          </cell>
          <cell r="G1071" t="str">
            <v>113</v>
          </cell>
          <cell r="H1071" t="str">
            <v>转FVE9956#发票中行扣押汇借款等</v>
          </cell>
          <cell r="I1071" t="b">
            <v>0</v>
          </cell>
          <cell r="J1071">
            <v>1956797.05</v>
          </cell>
          <cell r="K1071">
            <v>0</v>
          </cell>
          <cell r="L1071">
            <v>0</v>
          </cell>
        </row>
        <row r="1072">
          <cell r="A1072" t="str">
            <v>02</v>
          </cell>
          <cell r="B1072" t="str">
            <v>28</v>
          </cell>
          <cell r="C1072" t="str">
            <v>02</v>
          </cell>
          <cell r="D1072" t="str">
            <v>5</v>
          </cell>
          <cell r="E1072" t="str">
            <v>0036</v>
          </cell>
          <cell r="F1072" t="str">
            <v>0004</v>
          </cell>
          <cell r="G1072" t="str">
            <v>113</v>
          </cell>
          <cell r="H1072" t="str">
            <v>转FVE9965#发票中行扣费等</v>
          </cell>
          <cell r="I1072" t="b">
            <v>0</v>
          </cell>
          <cell r="J1072">
            <v>28532.78</v>
          </cell>
          <cell r="K1072">
            <v>0</v>
          </cell>
          <cell r="L1072">
            <v>0</v>
          </cell>
        </row>
        <row r="1073">
          <cell r="A1073" t="str">
            <v>02</v>
          </cell>
          <cell r="B1073" t="str">
            <v>28</v>
          </cell>
          <cell r="C1073" t="str">
            <v>02</v>
          </cell>
          <cell r="D1073" t="str">
            <v>5</v>
          </cell>
          <cell r="E1073" t="str">
            <v>0037</v>
          </cell>
          <cell r="F1073" t="str">
            <v>0003</v>
          </cell>
          <cell r="G1073" t="str">
            <v>113</v>
          </cell>
          <cell r="H1073" t="str">
            <v>转FVE9942-9946#发票受益人付费</v>
          </cell>
          <cell r="I1073" t="b">
            <v>0</v>
          </cell>
          <cell r="J1073">
            <v>5355.4</v>
          </cell>
          <cell r="K1073">
            <v>0</v>
          </cell>
          <cell r="L1073">
            <v>0</v>
          </cell>
        </row>
        <row r="1074">
          <cell r="A1074" t="str">
            <v>02</v>
          </cell>
          <cell r="B1074" t="str">
            <v>28</v>
          </cell>
          <cell r="C1074" t="str">
            <v>02</v>
          </cell>
          <cell r="D1074" t="str">
            <v>5</v>
          </cell>
          <cell r="E1074" t="str">
            <v>0038</v>
          </cell>
          <cell r="F1074" t="str">
            <v>0003</v>
          </cell>
          <cell r="G1074" t="str">
            <v>113</v>
          </cell>
          <cell r="H1074" t="str">
            <v>转FVE9952.53#发票受益人付费</v>
          </cell>
          <cell r="I1074" t="b">
            <v>0</v>
          </cell>
          <cell r="J1074">
            <v>2037.46</v>
          </cell>
          <cell r="K1074">
            <v>0</v>
          </cell>
          <cell r="L1074">
            <v>0</v>
          </cell>
        </row>
        <row r="1075">
          <cell r="A1075" t="str">
            <v>02</v>
          </cell>
          <cell r="B1075" t="str">
            <v>28</v>
          </cell>
          <cell r="C1075" t="str">
            <v>02</v>
          </cell>
          <cell r="D1075" t="str">
            <v>5</v>
          </cell>
          <cell r="E1075" t="str">
            <v>0039</v>
          </cell>
          <cell r="F1075" t="str">
            <v>0003</v>
          </cell>
          <cell r="G1075" t="str">
            <v>113</v>
          </cell>
          <cell r="H1075" t="str">
            <v>转FVE9958#发票受益人付费</v>
          </cell>
          <cell r="I1075" t="b">
            <v>0</v>
          </cell>
          <cell r="J1075">
            <v>1179.6500000000001</v>
          </cell>
          <cell r="K1075">
            <v>0</v>
          </cell>
          <cell r="L1075">
            <v>0</v>
          </cell>
        </row>
        <row r="1076">
          <cell r="A1076" t="str">
            <v>02</v>
          </cell>
          <cell r="B1076" t="str">
            <v>28</v>
          </cell>
          <cell r="C1076" t="str">
            <v>02</v>
          </cell>
          <cell r="D1076" t="str">
            <v>5</v>
          </cell>
          <cell r="E1076" t="str">
            <v>0040</v>
          </cell>
          <cell r="F1076" t="str">
            <v>0002</v>
          </cell>
          <cell r="G1076" t="str">
            <v>113</v>
          </cell>
          <cell r="H1076" t="str">
            <v>转FVE9960#发票受益人付费</v>
          </cell>
          <cell r="I1076" t="b">
            <v>0</v>
          </cell>
          <cell r="J1076">
            <v>753.53</v>
          </cell>
          <cell r="K1076">
            <v>0</v>
          </cell>
          <cell r="L1076">
            <v>0</v>
          </cell>
        </row>
        <row r="1077">
          <cell r="A1077" t="str">
            <v>03</v>
          </cell>
          <cell r="B1077" t="str">
            <v>01</v>
          </cell>
          <cell r="C1077" t="str">
            <v>03</v>
          </cell>
          <cell r="D1077" t="str">
            <v>3</v>
          </cell>
          <cell r="E1077" t="str">
            <v>0002</v>
          </cell>
          <cell r="F1077" t="str">
            <v>0002</v>
          </cell>
          <cell r="G1077" t="str">
            <v>113</v>
          </cell>
          <cell r="H1077" t="str">
            <v>收回货款</v>
          </cell>
          <cell r="I1077" t="b">
            <v>0</v>
          </cell>
          <cell r="J1077">
            <v>110744.01</v>
          </cell>
          <cell r="K1077">
            <v>0</v>
          </cell>
          <cell r="L1077">
            <v>0</v>
          </cell>
        </row>
        <row r="1078">
          <cell r="A1078" t="str">
            <v>03</v>
          </cell>
          <cell r="B1078" t="str">
            <v>10</v>
          </cell>
          <cell r="C1078" t="str">
            <v>03</v>
          </cell>
          <cell r="D1078" t="str">
            <v>3</v>
          </cell>
          <cell r="E1078" t="str">
            <v>0006</v>
          </cell>
          <cell r="F1078" t="str">
            <v>0002</v>
          </cell>
          <cell r="G1078" t="str">
            <v>113</v>
          </cell>
          <cell r="H1078" t="str">
            <v>收回货款</v>
          </cell>
          <cell r="I1078" t="b">
            <v>0</v>
          </cell>
          <cell r="J1078">
            <v>84452.5</v>
          </cell>
          <cell r="K1078">
            <v>0</v>
          </cell>
          <cell r="L1078">
            <v>0</v>
          </cell>
        </row>
        <row r="1079">
          <cell r="A1079" t="str">
            <v>03</v>
          </cell>
          <cell r="B1079" t="str">
            <v>10</v>
          </cell>
          <cell r="C1079" t="str">
            <v>03</v>
          </cell>
          <cell r="D1079" t="str">
            <v>3</v>
          </cell>
          <cell r="E1079" t="str">
            <v>0006</v>
          </cell>
          <cell r="F1079" t="str">
            <v>0003</v>
          </cell>
          <cell r="G1079" t="str">
            <v>113</v>
          </cell>
          <cell r="H1079" t="str">
            <v>收回货款</v>
          </cell>
          <cell r="I1079" t="b">
            <v>0</v>
          </cell>
          <cell r="J1079">
            <v>8800</v>
          </cell>
          <cell r="K1079">
            <v>0</v>
          </cell>
          <cell r="L1079">
            <v>0</v>
          </cell>
        </row>
        <row r="1080">
          <cell r="A1080" t="str">
            <v>03</v>
          </cell>
          <cell r="B1080" t="str">
            <v>16</v>
          </cell>
          <cell r="C1080" t="str">
            <v>03</v>
          </cell>
          <cell r="D1080" t="str">
            <v>3</v>
          </cell>
          <cell r="E1080" t="str">
            <v>0010</v>
          </cell>
          <cell r="F1080" t="str">
            <v>0002</v>
          </cell>
          <cell r="G1080" t="str">
            <v>113</v>
          </cell>
          <cell r="H1080" t="str">
            <v>收回货款(FVE9959)</v>
          </cell>
          <cell r="I1080" t="b">
            <v>0</v>
          </cell>
          <cell r="J1080">
            <v>792560.28</v>
          </cell>
          <cell r="K1080">
            <v>0</v>
          </cell>
          <cell r="L1080">
            <v>0</v>
          </cell>
        </row>
        <row r="1081">
          <cell r="A1081" t="str">
            <v>03</v>
          </cell>
          <cell r="B1081" t="str">
            <v>16</v>
          </cell>
          <cell r="C1081" t="str">
            <v>03</v>
          </cell>
          <cell r="D1081" t="str">
            <v>3</v>
          </cell>
          <cell r="E1081" t="str">
            <v>0011</v>
          </cell>
          <cell r="F1081" t="str">
            <v>0002</v>
          </cell>
          <cell r="G1081" t="str">
            <v>113</v>
          </cell>
          <cell r="H1081" t="str">
            <v>收回货款(FVE9954)</v>
          </cell>
          <cell r="I1081" t="b">
            <v>0</v>
          </cell>
          <cell r="J1081">
            <v>130913.21</v>
          </cell>
          <cell r="K1081">
            <v>0</v>
          </cell>
          <cell r="L1081">
            <v>0</v>
          </cell>
        </row>
        <row r="1082">
          <cell r="A1082" t="str">
            <v>03</v>
          </cell>
          <cell r="B1082" t="str">
            <v>16</v>
          </cell>
          <cell r="C1082" t="str">
            <v>03</v>
          </cell>
          <cell r="D1082" t="str">
            <v>3</v>
          </cell>
          <cell r="E1082" t="str">
            <v>0011</v>
          </cell>
          <cell r="F1082" t="str">
            <v>0003</v>
          </cell>
          <cell r="G1082" t="str">
            <v>113</v>
          </cell>
          <cell r="H1082" t="str">
            <v>收回货款(FVE9977)</v>
          </cell>
          <cell r="I1082" t="b">
            <v>0</v>
          </cell>
          <cell r="J1082">
            <v>128913.62</v>
          </cell>
          <cell r="K1082">
            <v>0</v>
          </cell>
          <cell r="L1082">
            <v>0</v>
          </cell>
        </row>
        <row r="1083">
          <cell r="A1083" t="str">
            <v>03</v>
          </cell>
          <cell r="B1083" t="str">
            <v>16</v>
          </cell>
          <cell r="C1083" t="str">
            <v>03</v>
          </cell>
          <cell r="D1083" t="str">
            <v>3</v>
          </cell>
          <cell r="E1083" t="str">
            <v>0011</v>
          </cell>
          <cell r="F1083" t="str">
            <v>0004</v>
          </cell>
          <cell r="G1083" t="str">
            <v>113</v>
          </cell>
          <cell r="H1083" t="str">
            <v>收回货款(FVE9959)</v>
          </cell>
          <cell r="I1083" t="b">
            <v>0</v>
          </cell>
          <cell r="J1083">
            <v>1315456.57</v>
          </cell>
          <cell r="K1083">
            <v>0</v>
          </cell>
          <cell r="L1083">
            <v>0</v>
          </cell>
        </row>
        <row r="1084">
          <cell r="A1084" t="str">
            <v>03</v>
          </cell>
          <cell r="B1084" t="str">
            <v>16</v>
          </cell>
          <cell r="C1084" t="str">
            <v>03</v>
          </cell>
          <cell r="D1084" t="str">
            <v>3</v>
          </cell>
          <cell r="E1084" t="str">
            <v>0011</v>
          </cell>
          <cell r="F1084" t="str">
            <v>0005</v>
          </cell>
          <cell r="G1084" t="str">
            <v>113</v>
          </cell>
          <cell r="H1084" t="str">
            <v>收回货款(FUR038)</v>
          </cell>
          <cell r="I1084" t="b">
            <v>0</v>
          </cell>
          <cell r="J1084">
            <v>486808.4</v>
          </cell>
          <cell r="K1084">
            <v>0</v>
          </cell>
          <cell r="L1084">
            <v>0</v>
          </cell>
        </row>
        <row r="1085">
          <cell r="A1085" t="str">
            <v>03</v>
          </cell>
          <cell r="B1085" t="str">
            <v>16</v>
          </cell>
          <cell r="C1085" t="str">
            <v>03</v>
          </cell>
          <cell r="D1085" t="str">
            <v>3</v>
          </cell>
          <cell r="E1085" t="str">
            <v>0011</v>
          </cell>
          <cell r="F1085" t="str">
            <v>0006</v>
          </cell>
          <cell r="G1085" t="str">
            <v>113</v>
          </cell>
          <cell r="H1085" t="str">
            <v>收回货款(FVE9966)</v>
          </cell>
          <cell r="I1085" t="b">
            <v>0</v>
          </cell>
          <cell r="J1085">
            <v>486483.53</v>
          </cell>
          <cell r="K1085">
            <v>0</v>
          </cell>
          <cell r="L1085">
            <v>0</v>
          </cell>
        </row>
        <row r="1086">
          <cell r="A1086" t="str">
            <v>03</v>
          </cell>
          <cell r="B1086" t="str">
            <v>17</v>
          </cell>
          <cell r="C1086" t="str">
            <v>03</v>
          </cell>
          <cell r="D1086" t="str">
            <v>3</v>
          </cell>
          <cell r="E1086" t="str">
            <v>0012</v>
          </cell>
          <cell r="F1086" t="str">
            <v>0002</v>
          </cell>
          <cell r="G1086" t="str">
            <v>113</v>
          </cell>
          <cell r="H1086" t="str">
            <v>收回货款(FVE9961)</v>
          </cell>
          <cell r="I1086" t="b">
            <v>0</v>
          </cell>
          <cell r="J1086">
            <v>355199.62</v>
          </cell>
          <cell r="K1086">
            <v>0</v>
          </cell>
          <cell r="L1086">
            <v>0</v>
          </cell>
        </row>
        <row r="1087">
          <cell r="A1087" t="str">
            <v>03</v>
          </cell>
          <cell r="B1087" t="str">
            <v>17</v>
          </cell>
          <cell r="C1087" t="str">
            <v>03</v>
          </cell>
          <cell r="D1087" t="str">
            <v>3</v>
          </cell>
          <cell r="E1087" t="str">
            <v>0012</v>
          </cell>
          <cell r="F1087" t="str">
            <v>0003</v>
          </cell>
          <cell r="G1087" t="str">
            <v>113</v>
          </cell>
          <cell r="H1087" t="str">
            <v>收回货款(FVE9975)</v>
          </cell>
          <cell r="I1087" t="b">
            <v>0</v>
          </cell>
          <cell r="J1087">
            <v>148497.70000000001</v>
          </cell>
          <cell r="K1087">
            <v>0</v>
          </cell>
          <cell r="L1087">
            <v>0</v>
          </cell>
        </row>
        <row r="1088">
          <cell r="A1088" t="str">
            <v>03</v>
          </cell>
          <cell r="B1088" t="str">
            <v>17</v>
          </cell>
          <cell r="C1088" t="str">
            <v>03</v>
          </cell>
          <cell r="D1088" t="str">
            <v>3</v>
          </cell>
          <cell r="E1088" t="str">
            <v>0013</v>
          </cell>
          <cell r="F1088" t="str">
            <v>0002</v>
          </cell>
          <cell r="G1088" t="str">
            <v>113</v>
          </cell>
          <cell r="H1088" t="str">
            <v>收回货款(FVE9971)</v>
          </cell>
          <cell r="I1088" t="b">
            <v>0</v>
          </cell>
          <cell r="J1088">
            <v>2376830.4</v>
          </cell>
          <cell r="K1088">
            <v>0</v>
          </cell>
          <cell r="L1088">
            <v>0</v>
          </cell>
        </row>
        <row r="1089">
          <cell r="A1089" t="str">
            <v>03</v>
          </cell>
          <cell r="B1089" t="str">
            <v>25</v>
          </cell>
          <cell r="C1089" t="str">
            <v>03</v>
          </cell>
          <cell r="D1089" t="str">
            <v>3</v>
          </cell>
          <cell r="E1089" t="str">
            <v>0015</v>
          </cell>
          <cell r="F1089" t="str">
            <v>0002</v>
          </cell>
          <cell r="G1089" t="str">
            <v>113</v>
          </cell>
          <cell r="H1089" t="str">
            <v>收FVE9972#发票货款USD17169.34</v>
          </cell>
          <cell r="I1089" t="b">
            <v>0</v>
          </cell>
          <cell r="J1089">
            <v>141913.18</v>
          </cell>
          <cell r="K1089">
            <v>0</v>
          </cell>
          <cell r="L1089">
            <v>0</v>
          </cell>
        </row>
        <row r="1090">
          <cell r="A1090" t="str">
            <v>03</v>
          </cell>
          <cell r="B1090" t="str">
            <v>25</v>
          </cell>
          <cell r="C1090" t="str">
            <v>03</v>
          </cell>
          <cell r="D1090" t="str">
            <v>3</v>
          </cell>
          <cell r="E1090" t="str">
            <v>0015</v>
          </cell>
          <cell r="F1090" t="str">
            <v>0003</v>
          </cell>
          <cell r="G1090" t="str">
            <v>113</v>
          </cell>
          <cell r="H1090" t="str">
            <v>收FVE9957#发票货款USD15546.27</v>
          </cell>
          <cell r="I1090" t="b">
            <v>0</v>
          </cell>
          <cell r="J1090">
            <v>128527.23</v>
          </cell>
          <cell r="K1090">
            <v>0</v>
          </cell>
          <cell r="L1090">
            <v>0</v>
          </cell>
        </row>
        <row r="1091">
          <cell r="A1091" t="str">
            <v>03</v>
          </cell>
          <cell r="B1091" t="str">
            <v>25</v>
          </cell>
          <cell r="C1091" t="str">
            <v>03</v>
          </cell>
          <cell r="D1091" t="str">
            <v>3</v>
          </cell>
          <cell r="E1091" t="str">
            <v>0015</v>
          </cell>
          <cell r="F1091" t="str">
            <v>0004</v>
          </cell>
          <cell r="G1091" t="str">
            <v>113</v>
          </cell>
          <cell r="H1091" t="str">
            <v>收FVE9963#发票货款USD80002.18</v>
          </cell>
          <cell r="I1091" t="b">
            <v>0</v>
          </cell>
          <cell r="J1091">
            <v>661274.02</v>
          </cell>
          <cell r="K1091">
            <v>0</v>
          </cell>
          <cell r="L1091">
            <v>0</v>
          </cell>
        </row>
        <row r="1092">
          <cell r="A1092" t="str">
            <v>03</v>
          </cell>
          <cell r="B1092" t="str">
            <v>25</v>
          </cell>
          <cell r="C1092" t="str">
            <v>03</v>
          </cell>
          <cell r="D1092" t="str">
            <v>3</v>
          </cell>
          <cell r="E1092" t="str">
            <v>0015</v>
          </cell>
          <cell r="F1092" t="str">
            <v>0005</v>
          </cell>
          <cell r="G1092" t="str">
            <v>113</v>
          </cell>
          <cell r="H1092" t="str">
            <v>收FVE9966#发票货款USD162725.33</v>
          </cell>
          <cell r="I1092" t="b">
            <v>0</v>
          </cell>
          <cell r="J1092">
            <v>1345234.03</v>
          </cell>
          <cell r="K1092">
            <v>0</v>
          </cell>
          <cell r="L1092">
            <v>0</v>
          </cell>
        </row>
        <row r="1093">
          <cell r="A1093" t="str">
            <v>03</v>
          </cell>
          <cell r="B1093" t="str">
            <v>27</v>
          </cell>
          <cell r="C1093" t="str">
            <v>03</v>
          </cell>
          <cell r="D1093" t="str">
            <v>5</v>
          </cell>
          <cell r="E1093" t="str">
            <v>0006</v>
          </cell>
          <cell r="F1093" t="str">
            <v>0003</v>
          </cell>
          <cell r="G1093" t="str">
            <v>113</v>
          </cell>
          <cell r="H1093" t="str">
            <v>转山楂汁款</v>
          </cell>
          <cell r="I1093" t="b">
            <v>1</v>
          </cell>
          <cell r="J1093">
            <v>27750</v>
          </cell>
          <cell r="K1093">
            <v>0</v>
          </cell>
          <cell r="L1093">
            <v>0</v>
          </cell>
        </row>
        <row r="1094">
          <cell r="A1094" t="str">
            <v>03</v>
          </cell>
          <cell r="B1094" t="str">
            <v>27</v>
          </cell>
          <cell r="C1094" t="str">
            <v>03</v>
          </cell>
          <cell r="D1094" t="str">
            <v>5</v>
          </cell>
          <cell r="E1094" t="str">
            <v>0009</v>
          </cell>
          <cell r="F1094" t="str">
            <v>0003</v>
          </cell>
          <cell r="G1094" t="str">
            <v>113</v>
          </cell>
          <cell r="H1094" t="str">
            <v>转FVE9971手续费及国外费用</v>
          </cell>
          <cell r="I1094" t="b">
            <v>0</v>
          </cell>
          <cell r="J1094">
            <v>314.83</v>
          </cell>
          <cell r="K1094">
            <v>0</v>
          </cell>
          <cell r="L1094">
            <v>0</v>
          </cell>
        </row>
        <row r="1095">
          <cell r="A1095" t="str">
            <v>03</v>
          </cell>
          <cell r="B1095" t="str">
            <v>27</v>
          </cell>
          <cell r="C1095" t="str">
            <v>03</v>
          </cell>
          <cell r="D1095" t="str">
            <v>5</v>
          </cell>
          <cell r="E1095" t="str">
            <v>0009</v>
          </cell>
          <cell r="F1095" t="str">
            <v>0004</v>
          </cell>
          <cell r="G1095" t="str">
            <v>113</v>
          </cell>
          <cell r="H1095" t="str">
            <v>转FVE9959手续费</v>
          </cell>
          <cell r="I1095" t="b">
            <v>0</v>
          </cell>
          <cell r="J1095">
            <v>4639.93</v>
          </cell>
          <cell r="K1095">
            <v>0</v>
          </cell>
          <cell r="L1095">
            <v>0</v>
          </cell>
        </row>
        <row r="1096">
          <cell r="A1096" t="str">
            <v>03</v>
          </cell>
          <cell r="B1096" t="str">
            <v>27</v>
          </cell>
          <cell r="C1096" t="str">
            <v>03</v>
          </cell>
          <cell r="D1096" t="str">
            <v>5</v>
          </cell>
          <cell r="E1096" t="str">
            <v>0009</v>
          </cell>
          <cell r="F1096" t="str">
            <v>0005</v>
          </cell>
          <cell r="G1096" t="str">
            <v>113</v>
          </cell>
          <cell r="H1096" t="str">
            <v>转FVE9954手续费及国外费用</v>
          </cell>
          <cell r="I1096" t="b">
            <v>0</v>
          </cell>
          <cell r="J1096">
            <v>1934.73</v>
          </cell>
          <cell r="K1096">
            <v>0</v>
          </cell>
          <cell r="L1096">
            <v>0</v>
          </cell>
        </row>
        <row r="1097">
          <cell r="A1097" t="str">
            <v>03</v>
          </cell>
          <cell r="B1097" t="str">
            <v>27</v>
          </cell>
          <cell r="C1097" t="str">
            <v>03</v>
          </cell>
          <cell r="D1097" t="str">
            <v>5</v>
          </cell>
          <cell r="E1097" t="str">
            <v>0009</v>
          </cell>
          <cell r="F1097" t="str">
            <v>0006</v>
          </cell>
          <cell r="G1097" t="str">
            <v>113</v>
          </cell>
          <cell r="H1097" t="str">
            <v>转FVE9977手续费及国外费用</v>
          </cell>
          <cell r="I1097" t="b">
            <v>0</v>
          </cell>
          <cell r="J1097">
            <v>1568.35</v>
          </cell>
          <cell r="K1097">
            <v>0</v>
          </cell>
          <cell r="L1097">
            <v>0</v>
          </cell>
        </row>
        <row r="1098">
          <cell r="A1098" t="str">
            <v>03</v>
          </cell>
          <cell r="B1098" t="str">
            <v>27</v>
          </cell>
          <cell r="C1098" t="str">
            <v>03</v>
          </cell>
          <cell r="D1098" t="str">
            <v>5</v>
          </cell>
          <cell r="E1098" t="str">
            <v>0009</v>
          </cell>
          <cell r="F1098" t="str">
            <v>0007</v>
          </cell>
          <cell r="G1098" t="str">
            <v>113</v>
          </cell>
          <cell r="H1098" t="str">
            <v>转FVE9961手续费及国外费用</v>
          </cell>
          <cell r="I1098" t="b">
            <v>0</v>
          </cell>
          <cell r="J1098">
            <v>1182.8699999999999</v>
          </cell>
          <cell r="K1098">
            <v>0</v>
          </cell>
          <cell r="L1098">
            <v>0</v>
          </cell>
        </row>
        <row r="1099">
          <cell r="A1099" t="str">
            <v>03</v>
          </cell>
          <cell r="B1099" t="str">
            <v>27</v>
          </cell>
          <cell r="C1099" t="str">
            <v>03</v>
          </cell>
          <cell r="D1099" t="str">
            <v>5</v>
          </cell>
          <cell r="E1099" t="str">
            <v>0009</v>
          </cell>
          <cell r="F1099" t="str">
            <v>0008</v>
          </cell>
          <cell r="G1099" t="str">
            <v>113</v>
          </cell>
          <cell r="H1099" t="str">
            <v>转FVE9975手续费</v>
          </cell>
          <cell r="I1099" t="b">
            <v>0</v>
          </cell>
          <cell r="J1099">
            <v>272.77</v>
          </cell>
          <cell r="K1099">
            <v>0</v>
          </cell>
          <cell r="L1099">
            <v>0</v>
          </cell>
        </row>
        <row r="1100">
          <cell r="A1100" t="str">
            <v>03</v>
          </cell>
          <cell r="B1100" t="str">
            <v>28</v>
          </cell>
          <cell r="C1100" t="str">
            <v>03</v>
          </cell>
          <cell r="D1100" t="str">
            <v>5</v>
          </cell>
          <cell r="E1100" t="str">
            <v>0015</v>
          </cell>
          <cell r="F1100" t="str">
            <v>0001</v>
          </cell>
          <cell r="G1100" t="str">
            <v>113</v>
          </cell>
          <cell r="H1100" t="str">
            <v>转FVE9911发票出口收入</v>
          </cell>
          <cell r="I1100" t="b">
            <v>1</v>
          </cell>
          <cell r="J1100">
            <v>810297.68</v>
          </cell>
          <cell r="K1100">
            <v>0</v>
          </cell>
          <cell r="L1100">
            <v>0</v>
          </cell>
        </row>
        <row r="1101">
          <cell r="A1101" t="str">
            <v>03</v>
          </cell>
          <cell r="B1101" t="str">
            <v>28</v>
          </cell>
          <cell r="C1101" t="str">
            <v>03</v>
          </cell>
          <cell r="D1101" t="str">
            <v>5</v>
          </cell>
          <cell r="E1101" t="str">
            <v>0015</v>
          </cell>
          <cell r="F1101" t="str">
            <v>0004</v>
          </cell>
          <cell r="G1101" t="str">
            <v>113</v>
          </cell>
          <cell r="H1101" t="str">
            <v>转FVE9912发票出口收入</v>
          </cell>
          <cell r="I1101" t="b">
            <v>1</v>
          </cell>
          <cell r="J1101">
            <v>675248.08</v>
          </cell>
          <cell r="K1101">
            <v>0</v>
          </cell>
          <cell r="L1101">
            <v>0</v>
          </cell>
        </row>
        <row r="1102">
          <cell r="A1102" t="str">
            <v>03</v>
          </cell>
          <cell r="B1102" t="str">
            <v>28</v>
          </cell>
          <cell r="C1102" t="str">
            <v>03</v>
          </cell>
          <cell r="D1102" t="str">
            <v>5</v>
          </cell>
          <cell r="E1102" t="str">
            <v>0015</v>
          </cell>
          <cell r="F1102" t="str">
            <v>0007</v>
          </cell>
          <cell r="G1102" t="str">
            <v>113</v>
          </cell>
          <cell r="H1102" t="str">
            <v>转FVE9920发票出口收入</v>
          </cell>
          <cell r="I1102" t="b">
            <v>1</v>
          </cell>
          <cell r="J1102">
            <v>614294.30000000005</v>
          </cell>
          <cell r="K1102">
            <v>0</v>
          </cell>
          <cell r="L1102">
            <v>0</v>
          </cell>
        </row>
        <row r="1103">
          <cell r="A1103" t="str">
            <v>03</v>
          </cell>
          <cell r="B1103" t="str">
            <v>28</v>
          </cell>
          <cell r="C1103" t="str">
            <v>03</v>
          </cell>
          <cell r="D1103" t="str">
            <v>5</v>
          </cell>
          <cell r="E1103" t="str">
            <v>0015</v>
          </cell>
          <cell r="F1103" t="str">
            <v>0010</v>
          </cell>
          <cell r="G1103" t="str">
            <v>113</v>
          </cell>
          <cell r="H1103" t="str">
            <v>转FVE9954发票出口收入</v>
          </cell>
          <cell r="I1103" t="b">
            <v>1</v>
          </cell>
          <cell r="J1103">
            <v>132847.94</v>
          </cell>
          <cell r="K1103">
            <v>0</v>
          </cell>
          <cell r="L1103">
            <v>0</v>
          </cell>
        </row>
        <row r="1104">
          <cell r="A1104" t="str">
            <v>03</v>
          </cell>
          <cell r="B1104" t="str">
            <v>28</v>
          </cell>
          <cell r="C1104" t="str">
            <v>03</v>
          </cell>
          <cell r="D1104" t="str">
            <v>5</v>
          </cell>
          <cell r="E1104" t="str">
            <v>0015</v>
          </cell>
          <cell r="F1104" t="str">
            <v>0013</v>
          </cell>
          <cell r="G1104" t="str">
            <v>113</v>
          </cell>
          <cell r="H1104" t="str">
            <v>转FVE9957发票出口收入</v>
          </cell>
          <cell r="I1104" t="b">
            <v>1</v>
          </cell>
          <cell r="J1104">
            <v>130500.91</v>
          </cell>
          <cell r="K1104">
            <v>0</v>
          </cell>
          <cell r="L1104">
            <v>0</v>
          </cell>
        </row>
        <row r="1105">
          <cell r="A1105" t="str">
            <v>03</v>
          </cell>
          <cell r="B1105" t="str">
            <v>28</v>
          </cell>
          <cell r="C1105" t="str">
            <v>03</v>
          </cell>
          <cell r="D1105" t="str">
            <v>5</v>
          </cell>
          <cell r="E1105" t="str">
            <v>0015</v>
          </cell>
          <cell r="F1105" t="str">
            <v>0016</v>
          </cell>
          <cell r="G1105" t="str">
            <v>113</v>
          </cell>
          <cell r="H1105" t="str">
            <v>转FVE9961发票出口收入</v>
          </cell>
          <cell r="I1105" t="b">
            <v>1</v>
          </cell>
          <cell r="J1105">
            <v>356382.49</v>
          </cell>
          <cell r="K1105">
            <v>0</v>
          </cell>
          <cell r="L1105">
            <v>0</v>
          </cell>
        </row>
        <row r="1106">
          <cell r="A1106" t="str">
            <v>03</v>
          </cell>
          <cell r="B1106" t="str">
            <v>28</v>
          </cell>
          <cell r="C1106" t="str">
            <v>03</v>
          </cell>
          <cell r="D1106" t="str">
            <v>5</v>
          </cell>
          <cell r="E1106" t="str">
            <v>0015</v>
          </cell>
          <cell r="F1106" t="str">
            <v>0019</v>
          </cell>
          <cell r="G1106" t="str">
            <v>113</v>
          </cell>
          <cell r="H1106" t="str">
            <v>转FVE9963发票出口收入</v>
          </cell>
          <cell r="I1106" t="b">
            <v>1</v>
          </cell>
          <cell r="J1106">
            <v>664303.98</v>
          </cell>
          <cell r="K1106">
            <v>0</v>
          </cell>
          <cell r="L1106">
            <v>0</v>
          </cell>
        </row>
        <row r="1107">
          <cell r="A1107" t="str">
            <v>03</v>
          </cell>
          <cell r="B1107" t="str">
            <v>28</v>
          </cell>
          <cell r="C1107" t="str">
            <v>03</v>
          </cell>
          <cell r="D1107" t="str">
            <v>5</v>
          </cell>
          <cell r="E1107" t="str">
            <v>0015</v>
          </cell>
          <cell r="F1107" t="str">
            <v>0022</v>
          </cell>
          <cell r="G1107" t="str">
            <v>113</v>
          </cell>
          <cell r="H1107" t="str">
            <v>转FVE9971发票出口收入</v>
          </cell>
          <cell r="I1107" t="b">
            <v>1</v>
          </cell>
          <cell r="J1107">
            <v>2377145.23</v>
          </cell>
          <cell r="K1107">
            <v>0</v>
          </cell>
          <cell r="L1107">
            <v>0</v>
          </cell>
        </row>
        <row r="1108">
          <cell r="A1108" t="str">
            <v>03</v>
          </cell>
          <cell r="B1108" t="str">
            <v>28</v>
          </cell>
          <cell r="C1108" t="str">
            <v>03</v>
          </cell>
          <cell r="D1108" t="str">
            <v>5</v>
          </cell>
          <cell r="E1108" t="str">
            <v>0017</v>
          </cell>
          <cell r="F1108" t="str">
            <v>0005</v>
          </cell>
          <cell r="G1108" t="str">
            <v>113</v>
          </cell>
          <cell r="H1108" t="str">
            <v>转FVE9966#发票中行扣押汇借款等</v>
          </cell>
          <cell r="I1108" t="b">
            <v>0</v>
          </cell>
          <cell r="J1108">
            <v>603059.88</v>
          </cell>
          <cell r="K1108">
            <v>0</v>
          </cell>
          <cell r="L1108">
            <v>0</v>
          </cell>
        </row>
        <row r="1109">
          <cell r="A1109" t="str">
            <v>03</v>
          </cell>
          <cell r="B1109" t="str">
            <v>28</v>
          </cell>
          <cell r="C1109" t="str">
            <v>03</v>
          </cell>
          <cell r="D1109" t="str">
            <v>5</v>
          </cell>
          <cell r="E1109" t="str">
            <v>0019</v>
          </cell>
          <cell r="F1109" t="str">
            <v>0003</v>
          </cell>
          <cell r="G1109" t="str">
            <v>113</v>
          </cell>
          <cell r="H1109" t="str">
            <v>转FVE9963#发票国外扣费等</v>
          </cell>
          <cell r="I1109" t="b">
            <v>0</v>
          </cell>
          <cell r="J1109">
            <v>3029.96</v>
          </cell>
          <cell r="K1109">
            <v>0</v>
          </cell>
          <cell r="L1109">
            <v>0</v>
          </cell>
        </row>
        <row r="1110">
          <cell r="A1110" t="str">
            <v>03</v>
          </cell>
          <cell r="B1110" t="str">
            <v>28</v>
          </cell>
          <cell r="C1110" t="str">
            <v>03</v>
          </cell>
          <cell r="D1110" t="str">
            <v>5</v>
          </cell>
          <cell r="E1110" t="str">
            <v>0020</v>
          </cell>
          <cell r="F1110" t="str">
            <v>0003</v>
          </cell>
          <cell r="G1110" t="str">
            <v>113</v>
          </cell>
          <cell r="H1110" t="str">
            <v>转FVE9972#发票国外扣费等</v>
          </cell>
          <cell r="I1110" t="b">
            <v>0</v>
          </cell>
          <cell r="J1110">
            <v>1286.6099999999999</v>
          </cell>
          <cell r="K1110">
            <v>0</v>
          </cell>
          <cell r="L1110">
            <v>0</v>
          </cell>
        </row>
        <row r="1111">
          <cell r="A1111" t="str">
            <v>03</v>
          </cell>
          <cell r="B1111" t="str">
            <v>28</v>
          </cell>
          <cell r="C1111" t="str">
            <v>03</v>
          </cell>
          <cell r="D1111" t="str">
            <v>5</v>
          </cell>
          <cell r="E1111" t="str">
            <v>0022</v>
          </cell>
          <cell r="F1111" t="str">
            <v>0003</v>
          </cell>
          <cell r="G1111" t="str">
            <v>113</v>
          </cell>
          <cell r="H1111" t="str">
            <v>转FVE9957#发票国外扣费等</v>
          </cell>
          <cell r="I1111" t="b">
            <v>0</v>
          </cell>
          <cell r="J1111">
            <v>1973.68</v>
          </cell>
          <cell r="K1111">
            <v>0</v>
          </cell>
          <cell r="L1111">
            <v>0</v>
          </cell>
        </row>
        <row r="1112">
          <cell r="A1112" t="str">
            <v>04</v>
          </cell>
          <cell r="B1112" t="str">
            <v>26</v>
          </cell>
          <cell r="C1112" t="str">
            <v>04</v>
          </cell>
          <cell r="D1112" t="str">
            <v>3</v>
          </cell>
          <cell r="E1112" t="str">
            <v>0006</v>
          </cell>
          <cell r="F1112" t="str">
            <v>0002</v>
          </cell>
          <cell r="G1112" t="str">
            <v>113</v>
          </cell>
          <cell r="H1112" t="str">
            <v>收FVE9969#发票货款USD224322.85</v>
          </cell>
          <cell r="I1112" t="b">
            <v>0</v>
          </cell>
          <cell r="J1112">
            <v>1854499.43</v>
          </cell>
          <cell r="K1112">
            <v>0</v>
          </cell>
          <cell r="L1112">
            <v>0</v>
          </cell>
        </row>
        <row r="1113">
          <cell r="A1113" t="str">
            <v>04</v>
          </cell>
          <cell r="B1113" t="str">
            <v>26</v>
          </cell>
          <cell r="C1113" t="str">
            <v>04</v>
          </cell>
          <cell r="D1113" t="str">
            <v>3</v>
          </cell>
          <cell r="E1113" t="str">
            <v>0006</v>
          </cell>
          <cell r="F1113" t="str">
            <v>0003</v>
          </cell>
          <cell r="G1113" t="str">
            <v>113</v>
          </cell>
          <cell r="H1113" t="str">
            <v>收FVE9968#发票货款USD227789.39</v>
          </cell>
          <cell r="I1113" t="b">
            <v>0</v>
          </cell>
          <cell r="J1113">
            <v>1883066.55</v>
          </cell>
          <cell r="K1113">
            <v>0</v>
          </cell>
          <cell r="L1113">
            <v>0</v>
          </cell>
        </row>
        <row r="1114">
          <cell r="A1114" t="str">
            <v>04</v>
          </cell>
          <cell r="B1114" t="str">
            <v>26</v>
          </cell>
          <cell r="C1114" t="str">
            <v>04</v>
          </cell>
          <cell r="D1114" t="str">
            <v>3</v>
          </cell>
          <cell r="E1114" t="str">
            <v>0006</v>
          </cell>
          <cell r="F1114" t="str">
            <v>0004</v>
          </cell>
          <cell r="G1114" t="str">
            <v>113</v>
          </cell>
          <cell r="H1114" t="str">
            <v>收FVE9981#发票货款USD13812.94</v>
          </cell>
          <cell r="I1114" t="b">
            <v>0</v>
          </cell>
          <cell r="J1114">
            <v>114192.96000000001</v>
          </cell>
          <cell r="K1114">
            <v>0</v>
          </cell>
          <cell r="L1114">
            <v>0</v>
          </cell>
        </row>
        <row r="1115">
          <cell r="A1115" t="str">
            <v>04</v>
          </cell>
          <cell r="B1115" t="str">
            <v>26</v>
          </cell>
          <cell r="C1115" t="str">
            <v>04</v>
          </cell>
          <cell r="D1115" t="str">
            <v>3</v>
          </cell>
          <cell r="E1115" t="str">
            <v>0007</v>
          </cell>
          <cell r="F1115" t="str">
            <v>0002</v>
          </cell>
          <cell r="G1115" t="str">
            <v>113</v>
          </cell>
          <cell r="H1115" t="str">
            <v>收FVE9964#发票货款</v>
          </cell>
          <cell r="I1115" t="b">
            <v>0</v>
          </cell>
          <cell r="J1115">
            <v>1451095.35</v>
          </cell>
          <cell r="K1115">
            <v>0</v>
          </cell>
          <cell r="L1115">
            <v>0</v>
          </cell>
        </row>
        <row r="1116">
          <cell r="A1116" t="str">
            <v>04</v>
          </cell>
          <cell r="B1116" t="str">
            <v>26</v>
          </cell>
          <cell r="C1116" t="str">
            <v>04</v>
          </cell>
          <cell r="D1116" t="str">
            <v>3</v>
          </cell>
          <cell r="E1116" t="str">
            <v>0007</v>
          </cell>
          <cell r="F1116" t="str">
            <v>0003</v>
          </cell>
          <cell r="G1116" t="str">
            <v>113</v>
          </cell>
          <cell r="H1116" t="str">
            <v>收FVE9970#发票货款</v>
          </cell>
          <cell r="I1116" t="b">
            <v>0</v>
          </cell>
          <cell r="J1116">
            <v>361664.18</v>
          </cell>
          <cell r="K1116">
            <v>0</v>
          </cell>
          <cell r="L1116">
            <v>0</v>
          </cell>
        </row>
        <row r="1117">
          <cell r="A1117" t="str">
            <v>04</v>
          </cell>
          <cell r="B1117" t="str">
            <v>26</v>
          </cell>
          <cell r="C1117" t="str">
            <v>04</v>
          </cell>
          <cell r="D1117" t="str">
            <v>3</v>
          </cell>
          <cell r="E1117" t="str">
            <v>0008</v>
          </cell>
          <cell r="F1117" t="str">
            <v>0002</v>
          </cell>
          <cell r="G1117" t="str">
            <v>113</v>
          </cell>
          <cell r="H1117" t="str">
            <v>收FVE9979#发票货款</v>
          </cell>
          <cell r="I1117" t="b">
            <v>0</v>
          </cell>
          <cell r="J1117">
            <v>422833.72</v>
          </cell>
          <cell r="K1117">
            <v>0</v>
          </cell>
          <cell r="L1117">
            <v>0</v>
          </cell>
        </row>
        <row r="1118">
          <cell r="A1118" t="str">
            <v>04</v>
          </cell>
          <cell r="B1118" t="str">
            <v>26</v>
          </cell>
          <cell r="C1118" t="str">
            <v>04</v>
          </cell>
          <cell r="D1118" t="str">
            <v>3</v>
          </cell>
          <cell r="E1118" t="str">
            <v>0008</v>
          </cell>
          <cell r="F1118" t="str">
            <v>0003</v>
          </cell>
          <cell r="G1118" t="str">
            <v>113</v>
          </cell>
          <cell r="H1118" t="str">
            <v>收FVE9986#发票货款</v>
          </cell>
          <cell r="I1118" t="b">
            <v>0</v>
          </cell>
          <cell r="J1118">
            <v>1429334.87</v>
          </cell>
          <cell r="K1118">
            <v>0</v>
          </cell>
          <cell r="L1118">
            <v>0</v>
          </cell>
        </row>
        <row r="1119">
          <cell r="A1119" t="str">
            <v>04</v>
          </cell>
          <cell r="B1119" t="str">
            <v>26</v>
          </cell>
          <cell r="C1119" t="str">
            <v>04</v>
          </cell>
          <cell r="D1119" t="str">
            <v>3</v>
          </cell>
          <cell r="E1119" t="str">
            <v>0008</v>
          </cell>
          <cell r="F1119" t="str">
            <v>0005</v>
          </cell>
          <cell r="G1119" t="str">
            <v>113</v>
          </cell>
          <cell r="H1119" t="str">
            <v>收押汇借款</v>
          </cell>
          <cell r="I1119" t="b">
            <v>0</v>
          </cell>
          <cell r="J1119">
            <v>103906</v>
          </cell>
          <cell r="K1119">
            <v>0</v>
          </cell>
          <cell r="L1119">
            <v>0</v>
          </cell>
        </row>
        <row r="1120">
          <cell r="A1120" t="str">
            <v>04</v>
          </cell>
          <cell r="B1120" t="str">
            <v>20</v>
          </cell>
          <cell r="C1120" t="str">
            <v>04</v>
          </cell>
          <cell r="D1120" t="str">
            <v>5</v>
          </cell>
          <cell r="E1120" t="str">
            <v>0005</v>
          </cell>
          <cell r="F1120" t="str">
            <v>0005</v>
          </cell>
          <cell r="G1120" t="str">
            <v>113</v>
          </cell>
          <cell r="H1120" t="str">
            <v>转收果汁款</v>
          </cell>
          <cell r="I1120" t="b">
            <v>0</v>
          </cell>
          <cell r="J1120">
            <v>18525</v>
          </cell>
          <cell r="K1120">
            <v>0</v>
          </cell>
          <cell r="L1120">
            <v>0</v>
          </cell>
        </row>
        <row r="1121">
          <cell r="A1121" t="str">
            <v>04</v>
          </cell>
          <cell r="B1121" t="str">
            <v>24</v>
          </cell>
          <cell r="C1121" t="str">
            <v>04</v>
          </cell>
          <cell r="D1121" t="str">
            <v>5</v>
          </cell>
          <cell r="E1121" t="str">
            <v>0016</v>
          </cell>
          <cell r="F1121" t="str">
            <v>0001</v>
          </cell>
          <cell r="G1121" t="str">
            <v>113</v>
          </cell>
          <cell r="H1121" t="str">
            <v>转户</v>
          </cell>
          <cell r="I1121" t="b">
            <v>1</v>
          </cell>
          <cell r="J1121">
            <v>1000</v>
          </cell>
          <cell r="K1121">
            <v>0</v>
          </cell>
          <cell r="L1121">
            <v>0</v>
          </cell>
        </row>
        <row r="1122">
          <cell r="A1122" t="str">
            <v>04</v>
          </cell>
          <cell r="B1122" t="str">
            <v>24</v>
          </cell>
          <cell r="C1122" t="str">
            <v>04</v>
          </cell>
          <cell r="D1122" t="str">
            <v>5</v>
          </cell>
          <cell r="E1122" t="str">
            <v>0018</v>
          </cell>
          <cell r="F1122" t="str">
            <v>0003</v>
          </cell>
          <cell r="G1122" t="str">
            <v>113</v>
          </cell>
          <cell r="H1122" t="str">
            <v>转订出山楂浓汁0.185吨</v>
          </cell>
          <cell r="I1122" t="b">
            <v>1</v>
          </cell>
          <cell r="J1122">
            <v>-2497.5</v>
          </cell>
          <cell r="K1122">
            <v>0</v>
          </cell>
          <cell r="L1122">
            <v>0</v>
          </cell>
        </row>
        <row r="1123">
          <cell r="A1123" t="str">
            <v>04</v>
          </cell>
          <cell r="B1123" t="str">
            <v>24</v>
          </cell>
          <cell r="C1123" t="str">
            <v>04</v>
          </cell>
          <cell r="D1123" t="str">
            <v>5</v>
          </cell>
          <cell r="E1123" t="str">
            <v>0018</v>
          </cell>
          <cell r="F1123" t="str">
            <v>0006</v>
          </cell>
          <cell r="G1123" t="str">
            <v>113</v>
          </cell>
          <cell r="H1123" t="str">
            <v>转销山楂浓汁0.185吨</v>
          </cell>
          <cell r="I1123" t="b">
            <v>1</v>
          </cell>
          <cell r="J1123">
            <v>3032.4</v>
          </cell>
          <cell r="K1123">
            <v>0</v>
          </cell>
          <cell r="L1123">
            <v>0</v>
          </cell>
        </row>
        <row r="1124">
          <cell r="A1124" t="str">
            <v>04</v>
          </cell>
          <cell r="B1124" t="str">
            <v>26</v>
          </cell>
          <cell r="C1124" t="str">
            <v>04</v>
          </cell>
          <cell r="D1124" t="str">
            <v>5</v>
          </cell>
          <cell r="E1124" t="str">
            <v>0024</v>
          </cell>
          <cell r="F1124" t="str">
            <v>0001</v>
          </cell>
          <cell r="G1124" t="str">
            <v>113</v>
          </cell>
          <cell r="H1124" t="str">
            <v>转FVE9966发票出口收入</v>
          </cell>
          <cell r="I1124" t="b">
            <v>1</v>
          </cell>
          <cell r="J1124">
            <v>2434777.44</v>
          </cell>
          <cell r="K1124">
            <v>0</v>
          </cell>
          <cell r="L1124">
            <v>0</v>
          </cell>
        </row>
        <row r="1125">
          <cell r="A1125" t="str">
            <v>04</v>
          </cell>
          <cell r="B1125" t="str">
            <v>26</v>
          </cell>
          <cell r="C1125" t="str">
            <v>04</v>
          </cell>
          <cell r="D1125" t="str">
            <v>5</v>
          </cell>
          <cell r="E1125" t="str">
            <v>0024</v>
          </cell>
          <cell r="F1125" t="str">
            <v>0004</v>
          </cell>
          <cell r="G1125" t="str">
            <v>113</v>
          </cell>
          <cell r="H1125" t="str">
            <v>转FVE9968发票出口收入</v>
          </cell>
          <cell r="I1125" t="b">
            <v>1</v>
          </cell>
          <cell r="J1125">
            <v>1885737.6</v>
          </cell>
          <cell r="K1125">
            <v>0</v>
          </cell>
          <cell r="L1125">
            <v>0</v>
          </cell>
        </row>
        <row r="1126">
          <cell r="A1126" t="str">
            <v>04</v>
          </cell>
          <cell r="B1126" t="str">
            <v>26</v>
          </cell>
          <cell r="C1126" t="str">
            <v>04</v>
          </cell>
          <cell r="D1126" t="str">
            <v>5</v>
          </cell>
          <cell r="E1126" t="str">
            <v>0024</v>
          </cell>
          <cell r="F1126" t="str">
            <v>0007</v>
          </cell>
          <cell r="G1126" t="str">
            <v>113</v>
          </cell>
          <cell r="H1126" t="str">
            <v>转FVE9969发票出口收入</v>
          </cell>
          <cell r="I1126" t="b">
            <v>1</v>
          </cell>
          <cell r="J1126">
            <v>1857183.35</v>
          </cell>
          <cell r="K1126">
            <v>0</v>
          </cell>
          <cell r="L1126">
            <v>0</v>
          </cell>
        </row>
        <row r="1127">
          <cell r="A1127" t="str">
            <v>04</v>
          </cell>
          <cell r="B1127" t="str">
            <v>26</v>
          </cell>
          <cell r="C1127" t="str">
            <v>04</v>
          </cell>
          <cell r="D1127" t="str">
            <v>5</v>
          </cell>
          <cell r="E1127" t="str">
            <v>0024</v>
          </cell>
          <cell r="F1127" t="str">
            <v>0010</v>
          </cell>
          <cell r="G1127" t="str">
            <v>113</v>
          </cell>
          <cell r="H1127" t="str">
            <v>转FVE9975发票出口收入</v>
          </cell>
          <cell r="I1127" t="b">
            <v>1</v>
          </cell>
          <cell r="J1127">
            <v>148770.47</v>
          </cell>
          <cell r="K1127">
            <v>0</v>
          </cell>
          <cell r="L1127">
            <v>0</v>
          </cell>
        </row>
        <row r="1128">
          <cell r="A1128" t="str">
            <v>04</v>
          </cell>
          <cell r="B1128" t="str">
            <v>26</v>
          </cell>
          <cell r="C1128" t="str">
            <v>04</v>
          </cell>
          <cell r="D1128" t="str">
            <v>5</v>
          </cell>
          <cell r="E1128" t="str">
            <v>0024</v>
          </cell>
          <cell r="F1128" t="str">
            <v>0013</v>
          </cell>
          <cell r="G1128" t="str">
            <v>113</v>
          </cell>
          <cell r="H1128" t="str">
            <v>转FVE9981发票出口收入</v>
          </cell>
          <cell r="I1128" t="b">
            <v>1</v>
          </cell>
          <cell r="J1128">
            <v>153571.72</v>
          </cell>
          <cell r="K1128">
            <v>0</v>
          </cell>
          <cell r="L1128">
            <v>0</v>
          </cell>
        </row>
        <row r="1129">
          <cell r="A1129" t="str">
            <v>04</v>
          </cell>
          <cell r="B1129" t="str">
            <v>26</v>
          </cell>
          <cell r="C1129" t="str">
            <v>04</v>
          </cell>
          <cell r="D1129" t="str">
            <v>5</v>
          </cell>
          <cell r="E1129" t="str">
            <v>0026</v>
          </cell>
          <cell r="F1129" t="str">
            <v>0003</v>
          </cell>
          <cell r="G1129" t="str">
            <v>113</v>
          </cell>
          <cell r="H1129" t="str">
            <v>转FVE9968#发票中行扣费等</v>
          </cell>
          <cell r="I1129" t="b">
            <v>0</v>
          </cell>
          <cell r="J1129">
            <v>2671.05</v>
          </cell>
          <cell r="K1129">
            <v>0</v>
          </cell>
          <cell r="L1129">
            <v>0</v>
          </cell>
        </row>
        <row r="1130">
          <cell r="A1130" t="str">
            <v>04</v>
          </cell>
          <cell r="B1130" t="str">
            <v>26</v>
          </cell>
          <cell r="C1130" t="str">
            <v>04</v>
          </cell>
          <cell r="D1130" t="str">
            <v>5</v>
          </cell>
          <cell r="E1130" t="str">
            <v>0027</v>
          </cell>
          <cell r="F1130" t="str">
            <v>0004</v>
          </cell>
          <cell r="G1130" t="str">
            <v>113</v>
          </cell>
          <cell r="H1130" t="str">
            <v>转FVE9981#发票扣海运费等</v>
          </cell>
          <cell r="I1130" t="b">
            <v>0</v>
          </cell>
          <cell r="J1130">
            <v>39378.76</v>
          </cell>
          <cell r="K1130">
            <v>0</v>
          </cell>
          <cell r="L1130">
            <v>0</v>
          </cell>
        </row>
        <row r="1131">
          <cell r="A1131" t="str">
            <v>04</v>
          </cell>
          <cell r="B1131" t="str">
            <v>26</v>
          </cell>
          <cell r="C1131" t="str">
            <v>04</v>
          </cell>
          <cell r="D1131" t="str">
            <v>5</v>
          </cell>
          <cell r="E1131" t="str">
            <v>0028</v>
          </cell>
          <cell r="F1131" t="str">
            <v>0003</v>
          </cell>
          <cell r="G1131" t="str">
            <v>113</v>
          </cell>
          <cell r="H1131" t="str">
            <v>转FVE9969#发票中行扣费等</v>
          </cell>
          <cell r="I1131" t="b">
            <v>0</v>
          </cell>
          <cell r="J1131">
            <v>2683.92</v>
          </cell>
          <cell r="K1131">
            <v>0</v>
          </cell>
          <cell r="L1131">
            <v>0</v>
          </cell>
        </row>
        <row r="1132">
          <cell r="A1132" t="str">
            <v>05</v>
          </cell>
          <cell r="B1132" t="str">
            <v>25</v>
          </cell>
          <cell r="C1132" t="str">
            <v>05</v>
          </cell>
          <cell r="D1132" t="str">
            <v>3</v>
          </cell>
          <cell r="E1132" t="str">
            <v>0006</v>
          </cell>
          <cell r="F1132" t="str">
            <v>0003</v>
          </cell>
          <cell r="G1132" t="str">
            <v>113</v>
          </cell>
          <cell r="H1132" t="str">
            <v>收FVE9979#发票货款</v>
          </cell>
          <cell r="I1132" t="b">
            <v>0</v>
          </cell>
          <cell r="J1132">
            <v>131731.68</v>
          </cell>
          <cell r="K1132">
            <v>0</v>
          </cell>
          <cell r="L1132">
            <v>0</v>
          </cell>
        </row>
        <row r="1133">
          <cell r="A1133" t="str">
            <v>05</v>
          </cell>
          <cell r="B1133" t="str">
            <v>25</v>
          </cell>
          <cell r="C1133" t="str">
            <v>05</v>
          </cell>
          <cell r="D1133" t="str">
            <v>3</v>
          </cell>
          <cell r="E1133" t="str">
            <v>0006</v>
          </cell>
          <cell r="F1133" t="str">
            <v>0004</v>
          </cell>
          <cell r="G1133" t="str">
            <v>113</v>
          </cell>
          <cell r="H1133" t="str">
            <v>收FVE9964#发票货款</v>
          </cell>
          <cell r="I1133" t="b">
            <v>0</v>
          </cell>
          <cell r="J1133">
            <v>1462005.5</v>
          </cell>
          <cell r="K1133">
            <v>0</v>
          </cell>
          <cell r="L1133">
            <v>0</v>
          </cell>
        </row>
        <row r="1134">
          <cell r="A1134" t="str">
            <v>05</v>
          </cell>
          <cell r="B1134" t="str">
            <v>25</v>
          </cell>
          <cell r="C1134" t="str">
            <v>05</v>
          </cell>
          <cell r="D1134" t="str">
            <v>3</v>
          </cell>
          <cell r="E1134" t="str">
            <v>0007</v>
          </cell>
          <cell r="F1134" t="str">
            <v>0002</v>
          </cell>
          <cell r="G1134" t="str">
            <v>113</v>
          </cell>
          <cell r="H1134" t="str">
            <v>收FVE9959#发票货款</v>
          </cell>
          <cell r="I1134" t="b">
            <v>0</v>
          </cell>
          <cell r="J1134">
            <v>483663.46</v>
          </cell>
          <cell r="K1134">
            <v>0</v>
          </cell>
          <cell r="L1134">
            <v>0</v>
          </cell>
        </row>
        <row r="1135">
          <cell r="A1135" t="str">
            <v>05</v>
          </cell>
          <cell r="B1135" t="str">
            <v>25</v>
          </cell>
          <cell r="C1135" t="str">
            <v>05</v>
          </cell>
          <cell r="D1135" t="str">
            <v>3</v>
          </cell>
          <cell r="E1135" t="str">
            <v>0007</v>
          </cell>
          <cell r="F1135" t="str">
            <v>0004</v>
          </cell>
          <cell r="G1135" t="str">
            <v>113</v>
          </cell>
          <cell r="H1135" t="str">
            <v>收FVE9959#发票货款</v>
          </cell>
          <cell r="I1135" t="b">
            <v>0</v>
          </cell>
          <cell r="J1135">
            <v>43402.28</v>
          </cell>
          <cell r="K1135">
            <v>0</v>
          </cell>
          <cell r="L1135">
            <v>0</v>
          </cell>
        </row>
        <row r="1136">
          <cell r="A1136" t="str">
            <v>05</v>
          </cell>
          <cell r="B1136" t="str">
            <v>25</v>
          </cell>
          <cell r="C1136" t="str">
            <v>05</v>
          </cell>
          <cell r="D1136" t="str">
            <v>5</v>
          </cell>
          <cell r="E1136" t="str">
            <v>0004</v>
          </cell>
          <cell r="F1136" t="str">
            <v>0001</v>
          </cell>
          <cell r="G1136" t="str">
            <v>113</v>
          </cell>
          <cell r="H1136" t="str">
            <v>转FVE9959发票出口收入</v>
          </cell>
          <cell r="I1136" t="b">
            <v>1</v>
          </cell>
          <cell r="J1136">
            <v>2641496.17</v>
          </cell>
          <cell r="K1136">
            <v>0</v>
          </cell>
          <cell r="L1136">
            <v>0</v>
          </cell>
        </row>
        <row r="1137">
          <cell r="A1137" t="str">
            <v>05</v>
          </cell>
          <cell r="B1137" t="str">
            <v>25</v>
          </cell>
          <cell r="C1137" t="str">
            <v>05</v>
          </cell>
          <cell r="D1137" t="str">
            <v>5</v>
          </cell>
          <cell r="E1137" t="str">
            <v>0004</v>
          </cell>
          <cell r="F1137" t="str">
            <v>0004</v>
          </cell>
          <cell r="G1137" t="str">
            <v>113</v>
          </cell>
          <cell r="H1137" t="str">
            <v>转FVE9964发票出口收入</v>
          </cell>
          <cell r="I1137" t="b">
            <v>1</v>
          </cell>
          <cell r="J1137">
            <v>2925688.37</v>
          </cell>
          <cell r="K1137">
            <v>0</v>
          </cell>
          <cell r="L1137">
            <v>0</v>
          </cell>
        </row>
        <row r="1138">
          <cell r="A1138" t="str">
            <v>05</v>
          </cell>
          <cell r="B1138" t="str">
            <v>25</v>
          </cell>
          <cell r="C1138" t="str">
            <v>05</v>
          </cell>
          <cell r="D1138" t="str">
            <v>5</v>
          </cell>
          <cell r="E1138" t="str">
            <v>0004</v>
          </cell>
          <cell r="F1138" t="str">
            <v>0007</v>
          </cell>
          <cell r="G1138" t="str">
            <v>113</v>
          </cell>
          <cell r="H1138" t="str">
            <v>转FVE9970发票出口收入</v>
          </cell>
          <cell r="I1138" t="b">
            <v>1</v>
          </cell>
          <cell r="J1138">
            <v>362812.3</v>
          </cell>
          <cell r="K1138">
            <v>0</v>
          </cell>
          <cell r="L1138">
            <v>0</v>
          </cell>
        </row>
        <row r="1139">
          <cell r="A1139" t="str">
            <v>05</v>
          </cell>
          <cell r="B1139" t="str">
            <v>25</v>
          </cell>
          <cell r="C1139" t="str">
            <v>05</v>
          </cell>
          <cell r="D1139" t="str">
            <v>5</v>
          </cell>
          <cell r="E1139" t="str">
            <v>0004</v>
          </cell>
          <cell r="F1139" t="str">
            <v>0010</v>
          </cell>
          <cell r="G1139" t="str">
            <v>113</v>
          </cell>
          <cell r="H1139" t="str">
            <v>转FVE9972发票出口收入</v>
          </cell>
          <cell r="I1139" t="b">
            <v>1</v>
          </cell>
          <cell r="J1139">
            <v>143199.79</v>
          </cell>
          <cell r="K1139">
            <v>0</v>
          </cell>
          <cell r="L1139">
            <v>0</v>
          </cell>
        </row>
        <row r="1140">
          <cell r="A1140" t="str">
            <v>05</v>
          </cell>
          <cell r="B1140" t="str">
            <v>25</v>
          </cell>
          <cell r="C1140" t="str">
            <v>05</v>
          </cell>
          <cell r="D1140" t="str">
            <v>5</v>
          </cell>
          <cell r="E1140" t="str">
            <v>0004</v>
          </cell>
          <cell r="F1140" t="str">
            <v>0013</v>
          </cell>
          <cell r="G1140" t="str">
            <v>113</v>
          </cell>
          <cell r="H1140" t="str">
            <v>转FVE9977发票出口收入</v>
          </cell>
          <cell r="I1140" t="b">
            <v>1</v>
          </cell>
          <cell r="J1140">
            <v>130481.97</v>
          </cell>
          <cell r="K1140">
            <v>0</v>
          </cell>
          <cell r="L1140">
            <v>0</v>
          </cell>
        </row>
        <row r="1141">
          <cell r="A1141" t="str">
            <v>05</v>
          </cell>
          <cell r="B1141" t="str">
            <v>25</v>
          </cell>
          <cell r="C1141" t="str">
            <v>05</v>
          </cell>
          <cell r="D1141" t="str">
            <v>5</v>
          </cell>
          <cell r="E1141" t="str">
            <v>0004</v>
          </cell>
          <cell r="F1141" t="str">
            <v>0016</v>
          </cell>
          <cell r="G1141" t="str">
            <v>113</v>
          </cell>
          <cell r="H1141" t="str">
            <v>转FVE9979发票出口收入</v>
          </cell>
          <cell r="I1141" t="b">
            <v>1</v>
          </cell>
          <cell r="J1141">
            <v>660398.01</v>
          </cell>
          <cell r="K1141">
            <v>0</v>
          </cell>
          <cell r="L1141">
            <v>0</v>
          </cell>
        </row>
        <row r="1142">
          <cell r="A1142" t="str">
            <v>05</v>
          </cell>
          <cell r="B1142" t="str">
            <v>25</v>
          </cell>
          <cell r="C1142" t="str">
            <v>05</v>
          </cell>
          <cell r="D1142" t="str">
            <v>5</v>
          </cell>
          <cell r="E1142" t="str">
            <v>0004</v>
          </cell>
          <cell r="F1142" t="str">
            <v>0019</v>
          </cell>
          <cell r="G1142" t="str">
            <v>113</v>
          </cell>
          <cell r="H1142" t="str">
            <v>转FVE9986发票出口收入</v>
          </cell>
          <cell r="I1142" t="b">
            <v>1</v>
          </cell>
          <cell r="J1142">
            <v>1432257.75</v>
          </cell>
          <cell r="K1142">
            <v>0</v>
          </cell>
          <cell r="L1142">
            <v>0</v>
          </cell>
        </row>
        <row r="1143">
          <cell r="A1143" t="str">
            <v>05</v>
          </cell>
          <cell r="B1143" t="str">
            <v>25</v>
          </cell>
          <cell r="C1143" t="str">
            <v>05</v>
          </cell>
          <cell r="D1143" t="str">
            <v>5</v>
          </cell>
          <cell r="E1143" t="str">
            <v>0005</v>
          </cell>
          <cell r="F1143" t="str">
            <v>0002</v>
          </cell>
          <cell r="G1143" t="str">
            <v>113</v>
          </cell>
          <cell r="H1143" t="str">
            <v>转户</v>
          </cell>
          <cell r="I1143" t="b">
            <v>0</v>
          </cell>
          <cell r="J1143">
            <v>510048</v>
          </cell>
          <cell r="K1143">
            <v>0</v>
          </cell>
          <cell r="L1143">
            <v>0</v>
          </cell>
        </row>
        <row r="1144">
          <cell r="A1144" t="str">
            <v>05</v>
          </cell>
          <cell r="B1144" t="str">
            <v>26</v>
          </cell>
          <cell r="C1144" t="str">
            <v>05</v>
          </cell>
          <cell r="D1144" t="str">
            <v>5</v>
          </cell>
          <cell r="E1144" t="str">
            <v>0019</v>
          </cell>
          <cell r="F1144" t="str">
            <v>0004</v>
          </cell>
          <cell r="G1144" t="str">
            <v>113</v>
          </cell>
          <cell r="H1144" t="str">
            <v>转FVE9964#发票中行扣押汇借款等</v>
          </cell>
          <cell r="I1144" t="b">
            <v>0</v>
          </cell>
          <cell r="J1144">
            <v>11138.79</v>
          </cell>
          <cell r="K1144">
            <v>0</v>
          </cell>
          <cell r="L1144">
            <v>0</v>
          </cell>
        </row>
        <row r="1145">
          <cell r="A1145" t="str">
            <v>05</v>
          </cell>
          <cell r="B1145" t="str">
            <v>26</v>
          </cell>
          <cell r="C1145" t="str">
            <v>05</v>
          </cell>
          <cell r="D1145" t="str">
            <v>5</v>
          </cell>
          <cell r="E1145" t="str">
            <v>0020</v>
          </cell>
          <cell r="F1145" t="str">
            <v>0003</v>
          </cell>
          <cell r="G1145" t="str">
            <v>113</v>
          </cell>
          <cell r="H1145" t="str">
            <v>转FVE9986#发票国外扣费等</v>
          </cell>
          <cell r="I1145" t="b">
            <v>0</v>
          </cell>
          <cell r="J1145">
            <v>2922.88</v>
          </cell>
          <cell r="K1145">
            <v>0</v>
          </cell>
          <cell r="L1145">
            <v>0</v>
          </cell>
        </row>
        <row r="1146">
          <cell r="A1146" t="str">
            <v>05</v>
          </cell>
          <cell r="B1146" t="str">
            <v>26</v>
          </cell>
          <cell r="C1146" t="str">
            <v>05</v>
          </cell>
          <cell r="D1146" t="str">
            <v>5</v>
          </cell>
          <cell r="E1146" t="str">
            <v>0021</v>
          </cell>
          <cell r="F1146" t="str">
            <v>0003</v>
          </cell>
          <cell r="G1146" t="str">
            <v>113</v>
          </cell>
          <cell r="H1146" t="str">
            <v>转FVE9970#发票中行扣费USD73.89</v>
          </cell>
          <cell r="I1146" t="b">
            <v>0</v>
          </cell>
          <cell r="J1146">
            <v>1148.1199999999999</v>
          </cell>
          <cell r="K1146">
            <v>0</v>
          </cell>
          <cell r="L1146">
            <v>0</v>
          </cell>
        </row>
        <row r="1147">
          <cell r="A1147" t="str">
            <v>05</v>
          </cell>
          <cell r="B1147" t="str">
            <v>26</v>
          </cell>
          <cell r="C1147" t="str">
            <v>05</v>
          </cell>
          <cell r="D1147" t="str">
            <v>5</v>
          </cell>
          <cell r="E1147" t="str">
            <v>0022</v>
          </cell>
          <cell r="F1147" t="str">
            <v>0003</v>
          </cell>
          <cell r="G1147" t="str">
            <v>113</v>
          </cell>
          <cell r="H1147" t="str">
            <v>转FVE9979#发票国外扣费</v>
          </cell>
          <cell r="I1147" t="b">
            <v>0</v>
          </cell>
          <cell r="J1147">
            <v>1926.61</v>
          </cell>
          <cell r="K1147">
            <v>0</v>
          </cell>
          <cell r="L1147">
            <v>0</v>
          </cell>
        </row>
        <row r="1148">
          <cell r="A1148" t="str">
            <v>05</v>
          </cell>
          <cell r="B1148" t="str">
            <v>26</v>
          </cell>
          <cell r="C1148" t="str">
            <v>05</v>
          </cell>
          <cell r="D1148" t="str">
            <v>5</v>
          </cell>
          <cell r="E1148" t="str">
            <v>0024</v>
          </cell>
          <cell r="F1148" t="str">
            <v>0003</v>
          </cell>
          <cell r="G1148" t="str">
            <v>113</v>
          </cell>
          <cell r="H1148" t="str">
            <v>转FVE9959#发票国外费用</v>
          </cell>
          <cell r="I1148" t="b">
            <v>0</v>
          </cell>
          <cell r="J1148">
            <v>1284.51</v>
          </cell>
          <cell r="K1148">
            <v>0</v>
          </cell>
          <cell r="L1148">
            <v>0</v>
          </cell>
        </row>
        <row r="1149">
          <cell r="A1149" t="str">
            <v>05</v>
          </cell>
          <cell r="B1149" t="str">
            <v>26</v>
          </cell>
          <cell r="C1149" t="str">
            <v>05</v>
          </cell>
          <cell r="D1149" t="str">
            <v>5</v>
          </cell>
          <cell r="E1149" t="str">
            <v>0025</v>
          </cell>
          <cell r="F1149" t="str">
            <v>0002</v>
          </cell>
          <cell r="G1149" t="str">
            <v>113</v>
          </cell>
          <cell r="H1149" t="str">
            <v>转FVE9964#发票中行扣手续费</v>
          </cell>
          <cell r="I1149" t="b">
            <v>0</v>
          </cell>
          <cell r="J1149">
            <v>1448.73</v>
          </cell>
          <cell r="K1149">
            <v>0</v>
          </cell>
          <cell r="L1149">
            <v>0</v>
          </cell>
        </row>
        <row r="1150">
          <cell r="A1150" t="str">
            <v>05</v>
          </cell>
          <cell r="B1150" t="str">
            <v>26</v>
          </cell>
          <cell r="C1150" t="str">
            <v>05</v>
          </cell>
          <cell r="D1150" t="str">
            <v>5</v>
          </cell>
          <cell r="E1150" t="str">
            <v>0026</v>
          </cell>
          <cell r="F1150" t="str">
            <v>0002</v>
          </cell>
          <cell r="G1150" t="str">
            <v>113</v>
          </cell>
          <cell r="H1150" t="str">
            <v>补3月份5-9号凭证59#发票少计</v>
          </cell>
          <cell r="I1150" t="b">
            <v>0</v>
          </cell>
          <cell r="J1150">
            <v>489.14</v>
          </cell>
          <cell r="K1150">
            <v>0</v>
          </cell>
          <cell r="L1150">
            <v>0</v>
          </cell>
        </row>
        <row r="1151">
          <cell r="A1151" t="str">
            <v>06</v>
          </cell>
          <cell r="B1151" t="str">
            <v>20</v>
          </cell>
          <cell r="C1151" t="str">
            <v>06</v>
          </cell>
          <cell r="D1151" t="str">
            <v>3</v>
          </cell>
          <cell r="E1151" t="str">
            <v>0004</v>
          </cell>
          <cell r="F1151" t="str">
            <v>0002</v>
          </cell>
          <cell r="G1151" t="str">
            <v>113</v>
          </cell>
          <cell r="H1151" t="str">
            <v>收FVE9992#发票货款USD18200.15</v>
          </cell>
          <cell r="I1151" t="b">
            <v>0</v>
          </cell>
          <cell r="J1151">
            <v>150429.70000000001</v>
          </cell>
          <cell r="K1151">
            <v>0</v>
          </cell>
          <cell r="L1151">
            <v>0</v>
          </cell>
        </row>
        <row r="1152">
          <cell r="A1152" t="str">
            <v>06</v>
          </cell>
          <cell r="B1152" t="str">
            <v>20</v>
          </cell>
          <cell r="C1152" t="str">
            <v>06</v>
          </cell>
          <cell r="D1152" t="str">
            <v>3</v>
          </cell>
          <cell r="E1152" t="str">
            <v>0004</v>
          </cell>
          <cell r="F1152" t="str">
            <v>0003</v>
          </cell>
          <cell r="G1152" t="str">
            <v>113</v>
          </cell>
          <cell r="H1152" t="str">
            <v>收FVE9989#发票货款USD18510.25</v>
          </cell>
          <cell r="I1152" t="b">
            <v>0</v>
          </cell>
          <cell r="J1152">
            <v>153007.57999999999</v>
          </cell>
          <cell r="K1152">
            <v>0</v>
          </cell>
          <cell r="L1152">
            <v>0</v>
          </cell>
        </row>
        <row r="1153">
          <cell r="A1153" t="str">
            <v>06</v>
          </cell>
          <cell r="B1153" t="str">
            <v>20</v>
          </cell>
          <cell r="C1153" t="str">
            <v>06</v>
          </cell>
          <cell r="D1153" t="str">
            <v>3</v>
          </cell>
          <cell r="E1153" t="str">
            <v>0004</v>
          </cell>
          <cell r="F1153" t="str">
            <v>0004</v>
          </cell>
          <cell r="G1153" t="str">
            <v>113</v>
          </cell>
          <cell r="H1153" t="str">
            <v>收FVE9980#发票货款USD42769.00</v>
          </cell>
          <cell r="I1153" t="b">
            <v>0</v>
          </cell>
          <cell r="J1153">
            <v>353460.12</v>
          </cell>
          <cell r="K1153">
            <v>0</v>
          </cell>
          <cell r="L1153">
            <v>0</v>
          </cell>
        </row>
        <row r="1154">
          <cell r="A1154" t="str">
            <v>06</v>
          </cell>
          <cell r="B1154" t="str">
            <v>20</v>
          </cell>
          <cell r="C1154" t="str">
            <v>06</v>
          </cell>
          <cell r="D1154" t="str">
            <v>3</v>
          </cell>
          <cell r="E1154" t="str">
            <v>0004</v>
          </cell>
          <cell r="F1154" t="str">
            <v>0005</v>
          </cell>
          <cell r="G1154" t="str">
            <v>113</v>
          </cell>
          <cell r="H1154" t="str">
            <v>收FVE9982#发票货款USD67097.00</v>
          </cell>
          <cell r="I1154" t="b">
            <v>0</v>
          </cell>
          <cell r="J1154">
            <v>554516.44999999995</v>
          </cell>
          <cell r="K1154">
            <v>0</v>
          </cell>
          <cell r="L1154">
            <v>0</v>
          </cell>
        </row>
        <row r="1155">
          <cell r="A1155" t="str">
            <v>06</v>
          </cell>
          <cell r="B1155" t="str">
            <v>20</v>
          </cell>
          <cell r="C1155" t="str">
            <v>06</v>
          </cell>
          <cell r="D1155" t="str">
            <v>3</v>
          </cell>
          <cell r="E1155" t="str">
            <v>0005</v>
          </cell>
          <cell r="F1155" t="str">
            <v>0003</v>
          </cell>
          <cell r="G1155" t="str">
            <v>113</v>
          </cell>
          <cell r="H1155" t="str">
            <v>收FVE9987#发票货款</v>
          </cell>
          <cell r="I1155" t="b">
            <v>0</v>
          </cell>
          <cell r="J1155">
            <v>1469168.67</v>
          </cell>
          <cell r="K1155">
            <v>0</v>
          </cell>
          <cell r="L1155">
            <v>0</v>
          </cell>
        </row>
        <row r="1156">
          <cell r="A1156" t="str">
            <v>06</v>
          </cell>
          <cell r="B1156" t="str">
            <v>20</v>
          </cell>
          <cell r="C1156" t="str">
            <v>06</v>
          </cell>
          <cell r="D1156" t="str">
            <v>3</v>
          </cell>
          <cell r="E1156" t="str">
            <v>0005</v>
          </cell>
          <cell r="F1156" t="str">
            <v>0004</v>
          </cell>
          <cell r="G1156" t="str">
            <v>113</v>
          </cell>
          <cell r="H1156" t="str">
            <v>收FVE9976#发票货款</v>
          </cell>
          <cell r="I1156" t="b">
            <v>0</v>
          </cell>
          <cell r="J1156">
            <v>2223906.7999999998</v>
          </cell>
          <cell r="K1156">
            <v>0</v>
          </cell>
          <cell r="L1156">
            <v>0</v>
          </cell>
        </row>
        <row r="1157">
          <cell r="A1157" t="str">
            <v>06</v>
          </cell>
          <cell r="B1157" t="str">
            <v>23</v>
          </cell>
          <cell r="C1157" t="str">
            <v>06</v>
          </cell>
          <cell r="D1157" t="str">
            <v>5</v>
          </cell>
          <cell r="E1157" t="str">
            <v>0012</v>
          </cell>
          <cell r="F1157" t="str">
            <v>0002</v>
          </cell>
          <cell r="G1157" t="str">
            <v>113</v>
          </cell>
          <cell r="H1157" t="str">
            <v>转果汁货款</v>
          </cell>
          <cell r="I1157" t="b">
            <v>0</v>
          </cell>
          <cell r="J1157">
            <v>3032.4</v>
          </cell>
          <cell r="K1157">
            <v>0</v>
          </cell>
          <cell r="L1157">
            <v>0</v>
          </cell>
        </row>
        <row r="1158">
          <cell r="A1158" t="str">
            <v>06</v>
          </cell>
          <cell r="B1158" t="str">
            <v>23</v>
          </cell>
          <cell r="C1158" t="str">
            <v>06</v>
          </cell>
          <cell r="D1158" t="str">
            <v>5</v>
          </cell>
          <cell r="E1158" t="str">
            <v>0013</v>
          </cell>
          <cell r="F1158" t="str">
            <v>0004</v>
          </cell>
          <cell r="G1158" t="str">
            <v>113</v>
          </cell>
          <cell r="H1158" t="str">
            <v>转FVE9987#发票中行扣押汇借款等</v>
          </cell>
          <cell r="I1158" t="b">
            <v>0</v>
          </cell>
          <cell r="J1158">
            <v>121728.33</v>
          </cell>
          <cell r="K1158">
            <v>0</v>
          </cell>
          <cell r="L1158">
            <v>0</v>
          </cell>
        </row>
        <row r="1159">
          <cell r="A1159" t="str">
            <v>06</v>
          </cell>
          <cell r="B1159" t="str">
            <v>23</v>
          </cell>
          <cell r="C1159" t="str">
            <v>06</v>
          </cell>
          <cell r="D1159" t="str">
            <v>5</v>
          </cell>
          <cell r="E1159" t="str">
            <v>0015</v>
          </cell>
          <cell r="F1159" t="str">
            <v>0005</v>
          </cell>
          <cell r="G1159" t="str">
            <v>113</v>
          </cell>
          <cell r="H1159" t="str">
            <v>转FVE9982.9980#发票扣费</v>
          </cell>
          <cell r="I1159" t="b">
            <v>0</v>
          </cell>
          <cell r="J1159">
            <v>1256.19</v>
          </cell>
          <cell r="K1159">
            <v>0</v>
          </cell>
          <cell r="L1159">
            <v>0</v>
          </cell>
        </row>
        <row r="1160">
          <cell r="A1160" t="str">
            <v>06</v>
          </cell>
          <cell r="B1160" t="str">
            <v>23</v>
          </cell>
          <cell r="C1160" t="str">
            <v>06</v>
          </cell>
          <cell r="D1160" t="str">
            <v>5</v>
          </cell>
          <cell r="E1160" t="str">
            <v>0016</v>
          </cell>
          <cell r="F1160" t="str">
            <v>0003</v>
          </cell>
          <cell r="G1160" t="str">
            <v>113</v>
          </cell>
          <cell r="H1160" t="str">
            <v>转FVE9992#发票境外扣费USD71.35</v>
          </cell>
          <cell r="I1160" t="b">
            <v>0</v>
          </cell>
          <cell r="J1160">
            <v>721.97</v>
          </cell>
          <cell r="K1160">
            <v>0</v>
          </cell>
          <cell r="L1160">
            <v>0</v>
          </cell>
        </row>
        <row r="1161">
          <cell r="A1161" t="str">
            <v>06</v>
          </cell>
          <cell r="B1161" t="str">
            <v>23</v>
          </cell>
          <cell r="C1161" t="str">
            <v>06</v>
          </cell>
          <cell r="D1161" t="str">
            <v>5</v>
          </cell>
          <cell r="E1161" t="str">
            <v>0017</v>
          </cell>
          <cell r="F1161" t="str">
            <v>0003</v>
          </cell>
          <cell r="G1161" t="str">
            <v>113</v>
          </cell>
          <cell r="H1161" t="str">
            <v>转FVE9989#发票境外扣费USD50.00</v>
          </cell>
          <cell r="I1161" t="b">
            <v>0</v>
          </cell>
          <cell r="J1161">
            <v>545.55999999999995</v>
          </cell>
          <cell r="K1161">
            <v>0</v>
          </cell>
          <cell r="L1161">
            <v>0</v>
          </cell>
        </row>
        <row r="1162">
          <cell r="A1162" t="str">
            <v>06</v>
          </cell>
          <cell r="B1162" t="str">
            <v>23</v>
          </cell>
          <cell r="C1162" t="str">
            <v>06</v>
          </cell>
          <cell r="D1162" t="str">
            <v>5</v>
          </cell>
          <cell r="E1162" t="str">
            <v>0018</v>
          </cell>
          <cell r="F1162" t="str">
            <v>0001</v>
          </cell>
          <cell r="G1162" t="str">
            <v>113</v>
          </cell>
          <cell r="H1162" t="str">
            <v>转FVE9980发票出口收入</v>
          </cell>
          <cell r="I1162" t="b">
            <v>1</v>
          </cell>
          <cell r="J1162">
            <v>353964.25</v>
          </cell>
          <cell r="K1162">
            <v>0</v>
          </cell>
          <cell r="L1162">
            <v>0</v>
          </cell>
        </row>
        <row r="1163">
          <cell r="A1163" t="str">
            <v>06</v>
          </cell>
          <cell r="B1163" t="str">
            <v>23</v>
          </cell>
          <cell r="C1163" t="str">
            <v>06</v>
          </cell>
          <cell r="D1163" t="str">
            <v>5</v>
          </cell>
          <cell r="E1163" t="str">
            <v>0018</v>
          </cell>
          <cell r="F1163" t="str">
            <v>0003</v>
          </cell>
          <cell r="G1163" t="str">
            <v>113</v>
          </cell>
          <cell r="H1163" t="str">
            <v>转FVE9982发票出口收入</v>
          </cell>
          <cell r="I1163" t="b">
            <v>1</v>
          </cell>
          <cell r="J1163">
            <v>555268.51</v>
          </cell>
          <cell r="K1163">
            <v>0</v>
          </cell>
          <cell r="L1163">
            <v>0</v>
          </cell>
        </row>
        <row r="1164">
          <cell r="A1164" t="str">
            <v>06</v>
          </cell>
          <cell r="B1164" t="str">
            <v>23</v>
          </cell>
          <cell r="C1164" t="str">
            <v>06</v>
          </cell>
          <cell r="D1164" t="str">
            <v>5</v>
          </cell>
          <cell r="E1164" t="str">
            <v>0018</v>
          </cell>
          <cell r="F1164" t="str">
            <v>0006</v>
          </cell>
          <cell r="G1164" t="str">
            <v>113</v>
          </cell>
          <cell r="H1164" t="str">
            <v>转FVE9987发票出口收入</v>
          </cell>
          <cell r="I1164" t="b">
            <v>1</v>
          </cell>
          <cell r="J1164">
            <v>1590897</v>
          </cell>
          <cell r="K1164">
            <v>0</v>
          </cell>
          <cell r="L1164">
            <v>0</v>
          </cell>
        </row>
        <row r="1165">
          <cell r="A1165" t="str">
            <v>06</v>
          </cell>
          <cell r="B1165" t="str">
            <v>23</v>
          </cell>
          <cell r="C1165" t="str">
            <v>06</v>
          </cell>
          <cell r="D1165" t="str">
            <v>5</v>
          </cell>
          <cell r="E1165" t="str">
            <v>0018</v>
          </cell>
          <cell r="F1165" t="str">
            <v>0009</v>
          </cell>
          <cell r="G1165" t="str">
            <v>113</v>
          </cell>
          <cell r="H1165" t="str">
            <v>转FVE9989发票出口收入</v>
          </cell>
          <cell r="I1165" t="b">
            <v>1</v>
          </cell>
          <cell r="J1165">
            <v>153553.14000000001</v>
          </cell>
          <cell r="K1165">
            <v>0</v>
          </cell>
          <cell r="L1165">
            <v>0</v>
          </cell>
        </row>
        <row r="1166">
          <cell r="A1166" t="str">
            <v>06</v>
          </cell>
          <cell r="B1166" t="str">
            <v>23</v>
          </cell>
          <cell r="C1166" t="str">
            <v>06</v>
          </cell>
          <cell r="D1166" t="str">
            <v>5</v>
          </cell>
          <cell r="E1166" t="str">
            <v>0018</v>
          </cell>
          <cell r="F1166" t="str">
            <v>0012</v>
          </cell>
          <cell r="G1166" t="str">
            <v>113</v>
          </cell>
          <cell r="H1166" t="str">
            <v>转FVE9992发票出口收入</v>
          </cell>
          <cell r="I1166" t="b">
            <v>1</v>
          </cell>
          <cell r="J1166">
            <v>151151.67000000001</v>
          </cell>
          <cell r="K1166">
            <v>0</v>
          </cell>
          <cell r="L1166">
            <v>0</v>
          </cell>
        </row>
        <row r="1167">
          <cell r="A1167" t="str">
            <v>07</v>
          </cell>
          <cell r="B1167" t="str">
            <v>05</v>
          </cell>
          <cell r="C1167" t="str">
            <v>07</v>
          </cell>
          <cell r="D1167" t="str">
            <v>3</v>
          </cell>
          <cell r="E1167" t="str">
            <v>0002</v>
          </cell>
          <cell r="F1167" t="str">
            <v>0004</v>
          </cell>
          <cell r="G1167" t="str">
            <v>113</v>
          </cell>
          <cell r="H1167" t="str">
            <v>收货款</v>
          </cell>
          <cell r="I1167" t="b">
            <v>0</v>
          </cell>
          <cell r="J1167">
            <v>58275</v>
          </cell>
          <cell r="K1167">
            <v>0</v>
          </cell>
          <cell r="L1167">
            <v>0</v>
          </cell>
        </row>
        <row r="1168">
          <cell r="A1168" t="str">
            <v>07</v>
          </cell>
          <cell r="B1168" t="str">
            <v>26</v>
          </cell>
          <cell r="C1168" t="str">
            <v>07</v>
          </cell>
          <cell r="D1168" t="str">
            <v>3</v>
          </cell>
          <cell r="E1168" t="str">
            <v>0005</v>
          </cell>
          <cell r="F1168" t="str">
            <v>0002</v>
          </cell>
          <cell r="G1168" t="str">
            <v>113</v>
          </cell>
          <cell r="H1168" t="str">
            <v>收FVE9991#发票货款</v>
          </cell>
          <cell r="I1168" t="b">
            <v>0</v>
          </cell>
          <cell r="J1168">
            <v>521116.65</v>
          </cell>
          <cell r="K1168">
            <v>0</v>
          </cell>
          <cell r="L1168">
            <v>0</v>
          </cell>
        </row>
        <row r="1169">
          <cell r="A1169" t="str">
            <v>07</v>
          </cell>
          <cell r="B1169" t="str">
            <v>26</v>
          </cell>
          <cell r="C1169" t="str">
            <v>07</v>
          </cell>
          <cell r="D1169" t="str">
            <v>3</v>
          </cell>
          <cell r="E1169" t="str">
            <v>0007</v>
          </cell>
          <cell r="F1169" t="str">
            <v>0002</v>
          </cell>
          <cell r="G1169" t="str">
            <v>113</v>
          </cell>
          <cell r="H1169" t="str">
            <v>收FVE99101#发票货款</v>
          </cell>
          <cell r="I1169" t="b">
            <v>0</v>
          </cell>
          <cell r="J1169">
            <v>152216.60999999999</v>
          </cell>
          <cell r="K1169">
            <v>0</v>
          </cell>
          <cell r="L1169">
            <v>0</v>
          </cell>
        </row>
        <row r="1170">
          <cell r="A1170" t="str">
            <v>07</v>
          </cell>
          <cell r="B1170" t="str">
            <v>26</v>
          </cell>
          <cell r="C1170" t="str">
            <v>07</v>
          </cell>
          <cell r="D1170" t="str">
            <v>3</v>
          </cell>
          <cell r="E1170" t="str">
            <v>0007</v>
          </cell>
          <cell r="F1170" t="str">
            <v>0003</v>
          </cell>
          <cell r="G1170" t="str">
            <v>113</v>
          </cell>
          <cell r="H1170" t="str">
            <v>收FVE9984#发票货款</v>
          </cell>
          <cell r="I1170" t="b">
            <v>0</v>
          </cell>
          <cell r="J1170">
            <v>1665577.74</v>
          </cell>
          <cell r="K1170">
            <v>0</v>
          </cell>
          <cell r="L1170">
            <v>0</v>
          </cell>
        </row>
        <row r="1171">
          <cell r="A1171" t="str">
            <v>07</v>
          </cell>
          <cell r="B1171" t="str">
            <v>26</v>
          </cell>
          <cell r="C1171" t="str">
            <v>07</v>
          </cell>
          <cell r="D1171" t="str">
            <v>3</v>
          </cell>
          <cell r="E1171" t="str">
            <v>0008</v>
          </cell>
          <cell r="F1171" t="str">
            <v>0002</v>
          </cell>
          <cell r="G1171" t="str">
            <v>113</v>
          </cell>
          <cell r="H1171" t="str">
            <v>收FVE99104#发票货款</v>
          </cell>
          <cell r="I1171" t="b">
            <v>0</v>
          </cell>
          <cell r="J1171">
            <v>149586.31</v>
          </cell>
          <cell r="K1171">
            <v>0</v>
          </cell>
          <cell r="L1171">
            <v>0</v>
          </cell>
        </row>
        <row r="1172">
          <cell r="A1172" t="str">
            <v>07</v>
          </cell>
          <cell r="B1172" t="str">
            <v>26</v>
          </cell>
          <cell r="C1172" t="str">
            <v>07</v>
          </cell>
          <cell r="D1172" t="str">
            <v>3</v>
          </cell>
          <cell r="E1172" t="str">
            <v>0008</v>
          </cell>
          <cell r="F1172" t="str">
            <v>0003</v>
          </cell>
          <cell r="G1172" t="str">
            <v>113</v>
          </cell>
          <cell r="H1172" t="str">
            <v>收FVE99103#发票货款</v>
          </cell>
          <cell r="I1172" t="b">
            <v>0</v>
          </cell>
          <cell r="J1172">
            <v>1429061.18</v>
          </cell>
          <cell r="K1172">
            <v>0</v>
          </cell>
          <cell r="L1172">
            <v>0</v>
          </cell>
        </row>
        <row r="1173">
          <cell r="A1173" t="str">
            <v>07</v>
          </cell>
          <cell r="B1173" t="str">
            <v>26</v>
          </cell>
          <cell r="C1173" t="str">
            <v>07</v>
          </cell>
          <cell r="D1173" t="str">
            <v>3</v>
          </cell>
          <cell r="E1173" t="str">
            <v>0008</v>
          </cell>
          <cell r="F1173" t="str">
            <v>0004</v>
          </cell>
          <cell r="G1173" t="str">
            <v>113</v>
          </cell>
          <cell r="H1173" t="str">
            <v>收ZLB04#发票货款</v>
          </cell>
          <cell r="I1173" t="b">
            <v>0</v>
          </cell>
          <cell r="J1173">
            <v>145347.06</v>
          </cell>
          <cell r="K1173">
            <v>0</v>
          </cell>
          <cell r="L1173">
            <v>0</v>
          </cell>
        </row>
        <row r="1174">
          <cell r="A1174" t="str">
            <v>07</v>
          </cell>
          <cell r="B1174" t="str">
            <v>26</v>
          </cell>
          <cell r="C1174" t="str">
            <v>07</v>
          </cell>
          <cell r="D1174" t="str">
            <v>3</v>
          </cell>
          <cell r="E1174" t="str">
            <v>0009</v>
          </cell>
          <cell r="F1174" t="str">
            <v>0002</v>
          </cell>
          <cell r="G1174" t="str">
            <v>113</v>
          </cell>
          <cell r="H1174" t="str">
            <v>收FVE9983#发票货款</v>
          </cell>
          <cell r="I1174" t="b">
            <v>0</v>
          </cell>
          <cell r="J1174">
            <v>1388120.49</v>
          </cell>
          <cell r="K1174">
            <v>0</v>
          </cell>
          <cell r="L1174">
            <v>0</v>
          </cell>
        </row>
        <row r="1175">
          <cell r="A1175" t="str">
            <v>07</v>
          </cell>
          <cell r="B1175" t="str">
            <v>24</v>
          </cell>
          <cell r="C1175" t="str">
            <v>07</v>
          </cell>
          <cell r="D1175" t="str">
            <v>5</v>
          </cell>
          <cell r="E1175" t="str">
            <v>0011</v>
          </cell>
          <cell r="F1175" t="str">
            <v>0006</v>
          </cell>
          <cell r="G1175" t="str">
            <v>113</v>
          </cell>
          <cell r="H1175" t="str">
            <v>转尚进代收果汁款</v>
          </cell>
          <cell r="I1175" t="b">
            <v>0</v>
          </cell>
          <cell r="J1175">
            <v>50310</v>
          </cell>
          <cell r="K1175">
            <v>0</v>
          </cell>
          <cell r="L1175">
            <v>0</v>
          </cell>
        </row>
        <row r="1176">
          <cell r="A1176" t="str">
            <v>07</v>
          </cell>
          <cell r="B1176" t="str">
            <v>24</v>
          </cell>
          <cell r="C1176" t="str">
            <v>07</v>
          </cell>
          <cell r="D1176" t="str">
            <v>5</v>
          </cell>
          <cell r="E1176" t="str">
            <v>0011</v>
          </cell>
          <cell r="F1176" t="str">
            <v>0007</v>
          </cell>
          <cell r="G1176" t="str">
            <v>113</v>
          </cell>
          <cell r="H1176" t="str">
            <v>转代收尚进果汁款</v>
          </cell>
          <cell r="I1176" t="b">
            <v>1</v>
          </cell>
          <cell r="J1176">
            <v>127050</v>
          </cell>
          <cell r="K1176">
            <v>0</v>
          </cell>
          <cell r="L1176">
            <v>0</v>
          </cell>
        </row>
        <row r="1177">
          <cell r="A1177" t="str">
            <v>07</v>
          </cell>
          <cell r="B1177" t="str">
            <v>25</v>
          </cell>
          <cell r="C1177" t="str">
            <v>07</v>
          </cell>
          <cell r="D1177" t="str">
            <v>5</v>
          </cell>
          <cell r="E1177" t="str">
            <v>0017</v>
          </cell>
          <cell r="F1177" t="str">
            <v>0003</v>
          </cell>
          <cell r="G1177" t="str">
            <v>113</v>
          </cell>
          <cell r="H1177" t="str">
            <v>转销山楂汁2.035吨</v>
          </cell>
          <cell r="I1177" t="b">
            <v>1</v>
          </cell>
          <cell r="J1177">
            <v>30525</v>
          </cell>
          <cell r="K1177">
            <v>0</v>
          </cell>
          <cell r="L1177">
            <v>0</v>
          </cell>
        </row>
        <row r="1178">
          <cell r="A1178" t="str">
            <v>07</v>
          </cell>
          <cell r="B1178" t="str">
            <v>26</v>
          </cell>
          <cell r="C1178" t="str">
            <v>07</v>
          </cell>
          <cell r="D1178" t="str">
            <v>5</v>
          </cell>
          <cell r="E1178" t="str">
            <v>0024</v>
          </cell>
          <cell r="F1178" t="str">
            <v>0003</v>
          </cell>
          <cell r="G1178" t="str">
            <v>113</v>
          </cell>
          <cell r="H1178" t="str">
            <v>转FVE9991#发票中行扣费等</v>
          </cell>
          <cell r="I1178" t="b">
            <v>0</v>
          </cell>
          <cell r="J1178">
            <v>752.3</v>
          </cell>
          <cell r="K1178">
            <v>0</v>
          </cell>
          <cell r="L1178">
            <v>0</v>
          </cell>
        </row>
        <row r="1179">
          <cell r="A1179" t="str">
            <v>07</v>
          </cell>
          <cell r="B1179" t="str">
            <v>27</v>
          </cell>
          <cell r="C1179" t="str">
            <v>07</v>
          </cell>
          <cell r="D1179" t="str">
            <v>5</v>
          </cell>
          <cell r="E1179" t="str">
            <v>0030</v>
          </cell>
          <cell r="F1179" t="str">
            <v>0001</v>
          </cell>
          <cell r="G1179" t="str">
            <v>113</v>
          </cell>
          <cell r="H1179" t="str">
            <v>转FVE9983发票出口收入</v>
          </cell>
          <cell r="I1179" t="b">
            <v>1</v>
          </cell>
          <cell r="J1179">
            <v>1388624.79</v>
          </cell>
          <cell r="K1179">
            <v>0</v>
          </cell>
          <cell r="L1179">
            <v>0</v>
          </cell>
        </row>
        <row r="1180">
          <cell r="A1180" t="str">
            <v>07</v>
          </cell>
          <cell r="B1180" t="str">
            <v>27</v>
          </cell>
          <cell r="C1180" t="str">
            <v>07</v>
          </cell>
          <cell r="D1180" t="str">
            <v>5</v>
          </cell>
          <cell r="E1180" t="str">
            <v>0030</v>
          </cell>
          <cell r="F1180" t="str">
            <v>0004</v>
          </cell>
          <cell r="G1180" t="str">
            <v>113</v>
          </cell>
          <cell r="H1180" t="str">
            <v>转FVE9991发票出口收入</v>
          </cell>
          <cell r="I1180" t="b">
            <v>1</v>
          </cell>
          <cell r="J1180">
            <v>521868.95</v>
          </cell>
          <cell r="K1180">
            <v>0</v>
          </cell>
          <cell r="L1180">
            <v>0</v>
          </cell>
        </row>
        <row r="1181">
          <cell r="A1181" t="str">
            <v>07</v>
          </cell>
          <cell r="B1181" t="str">
            <v>27</v>
          </cell>
          <cell r="C1181" t="str">
            <v>07</v>
          </cell>
          <cell r="D1181" t="str">
            <v>5</v>
          </cell>
          <cell r="E1181" t="str">
            <v>0032</v>
          </cell>
          <cell r="F1181" t="str">
            <v>0003</v>
          </cell>
          <cell r="G1181" t="str">
            <v>113</v>
          </cell>
          <cell r="H1181" t="str">
            <v>转FVE9983#发票国外扣费等</v>
          </cell>
          <cell r="I1181" t="b">
            <v>0</v>
          </cell>
          <cell r="J1181">
            <v>504.3</v>
          </cell>
          <cell r="K1181">
            <v>0</v>
          </cell>
          <cell r="L1181">
            <v>0</v>
          </cell>
        </row>
        <row r="1182">
          <cell r="A1182" t="str">
            <v>07</v>
          </cell>
          <cell r="B1182" t="str">
            <v>27</v>
          </cell>
          <cell r="C1182" t="str">
            <v>07</v>
          </cell>
          <cell r="D1182" t="str">
            <v>5</v>
          </cell>
          <cell r="E1182" t="str">
            <v>0033</v>
          </cell>
          <cell r="F1182" t="str">
            <v>0002</v>
          </cell>
          <cell r="G1182" t="str">
            <v>113</v>
          </cell>
          <cell r="H1182" t="str">
            <v>转费用</v>
          </cell>
          <cell r="I1182" t="b">
            <v>0</v>
          </cell>
          <cell r="J1182">
            <v>21452.93</v>
          </cell>
          <cell r="K1182">
            <v>0</v>
          </cell>
          <cell r="L1182">
            <v>0</v>
          </cell>
        </row>
        <row r="1183">
          <cell r="A1183" t="str">
            <v>08</v>
          </cell>
          <cell r="B1183" t="str">
            <v>20</v>
          </cell>
          <cell r="C1183" t="str">
            <v>08</v>
          </cell>
          <cell r="D1183" t="str">
            <v>3</v>
          </cell>
          <cell r="E1183" t="str">
            <v>0009</v>
          </cell>
          <cell r="F1183" t="str">
            <v>0002</v>
          </cell>
          <cell r="G1183" t="str">
            <v>113</v>
          </cell>
          <cell r="H1183" t="str">
            <v>收FVE99109#发票货款</v>
          </cell>
          <cell r="I1183" t="b">
            <v>0</v>
          </cell>
          <cell r="J1183">
            <v>1004819.63</v>
          </cell>
          <cell r="K1183">
            <v>0</v>
          </cell>
          <cell r="L1183">
            <v>0</v>
          </cell>
        </row>
        <row r="1184">
          <cell r="A1184" t="str">
            <v>08</v>
          </cell>
          <cell r="B1184" t="str">
            <v>20</v>
          </cell>
          <cell r="C1184" t="str">
            <v>08</v>
          </cell>
          <cell r="D1184" t="str">
            <v>3</v>
          </cell>
          <cell r="E1184" t="str">
            <v>0009</v>
          </cell>
          <cell r="F1184" t="str">
            <v>0003</v>
          </cell>
          <cell r="G1184" t="str">
            <v>113</v>
          </cell>
          <cell r="H1184" t="str">
            <v>收ZLB01.02#发票货款</v>
          </cell>
          <cell r="I1184" t="b">
            <v>0</v>
          </cell>
          <cell r="J1184">
            <v>1184200.32</v>
          </cell>
          <cell r="K1184">
            <v>0</v>
          </cell>
          <cell r="L1184">
            <v>0</v>
          </cell>
        </row>
        <row r="1185">
          <cell r="A1185" t="str">
            <v>08</v>
          </cell>
          <cell r="B1185" t="str">
            <v>20</v>
          </cell>
          <cell r="C1185" t="str">
            <v>08</v>
          </cell>
          <cell r="D1185" t="str">
            <v>3</v>
          </cell>
          <cell r="E1185" t="str">
            <v>0010</v>
          </cell>
          <cell r="F1185" t="str">
            <v>0002</v>
          </cell>
          <cell r="G1185" t="str">
            <v>113</v>
          </cell>
          <cell r="H1185" t="str">
            <v>收FVE9976#发票货款</v>
          </cell>
          <cell r="I1185" t="b">
            <v>0</v>
          </cell>
          <cell r="J1185">
            <v>926462.34</v>
          </cell>
          <cell r="K1185">
            <v>0</v>
          </cell>
          <cell r="L1185">
            <v>0</v>
          </cell>
        </row>
        <row r="1186">
          <cell r="A1186" t="str">
            <v>08</v>
          </cell>
          <cell r="B1186" t="str">
            <v>20</v>
          </cell>
          <cell r="C1186" t="str">
            <v>08</v>
          </cell>
          <cell r="D1186" t="str">
            <v>3</v>
          </cell>
          <cell r="E1186" t="str">
            <v>0010</v>
          </cell>
          <cell r="F1186" t="str">
            <v>0003</v>
          </cell>
          <cell r="G1186" t="str">
            <v>113</v>
          </cell>
          <cell r="H1186" t="str">
            <v>收FVE9996#发票货款</v>
          </cell>
          <cell r="I1186" t="b">
            <v>0</v>
          </cell>
          <cell r="J1186">
            <v>347391.53</v>
          </cell>
          <cell r="K1186">
            <v>0</v>
          </cell>
          <cell r="L1186">
            <v>0</v>
          </cell>
        </row>
        <row r="1187">
          <cell r="A1187" t="str">
            <v>08</v>
          </cell>
          <cell r="B1187" t="str">
            <v>20</v>
          </cell>
          <cell r="C1187" t="str">
            <v>08</v>
          </cell>
          <cell r="D1187" t="str">
            <v>3</v>
          </cell>
          <cell r="E1187" t="str">
            <v>0010</v>
          </cell>
          <cell r="F1187" t="str">
            <v>0004</v>
          </cell>
          <cell r="G1187" t="str">
            <v>113</v>
          </cell>
          <cell r="H1187" t="str">
            <v>收FVE9994#发票货款</v>
          </cell>
          <cell r="I1187" t="b">
            <v>0</v>
          </cell>
          <cell r="J1187">
            <v>515120.96</v>
          </cell>
          <cell r="K1187">
            <v>0</v>
          </cell>
          <cell r="L1187">
            <v>0</v>
          </cell>
        </row>
        <row r="1188">
          <cell r="A1188" t="str">
            <v>08</v>
          </cell>
          <cell r="B1188" t="str">
            <v>20</v>
          </cell>
          <cell r="C1188" t="str">
            <v>08</v>
          </cell>
          <cell r="D1188" t="str">
            <v>5</v>
          </cell>
          <cell r="E1188" t="str">
            <v>0004</v>
          </cell>
          <cell r="F1188" t="str">
            <v>0003</v>
          </cell>
          <cell r="G1188" t="str">
            <v>113</v>
          </cell>
          <cell r="H1188" t="str">
            <v>转FVE99101#发票国外扣费等</v>
          </cell>
          <cell r="I1188" t="b">
            <v>0</v>
          </cell>
          <cell r="J1188">
            <v>520.66</v>
          </cell>
          <cell r="K1188">
            <v>0</v>
          </cell>
          <cell r="L1188">
            <v>0</v>
          </cell>
        </row>
        <row r="1189">
          <cell r="A1189" t="str">
            <v>08</v>
          </cell>
          <cell r="B1189" t="str">
            <v>20</v>
          </cell>
          <cell r="C1189" t="str">
            <v>08</v>
          </cell>
          <cell r="D1189" t="str">
            <v>5</v>
          </cell>
          <cell r="E1189" t="str">
            <v>0004</v>
          </cell>
          <cell r="F1189" t="str">
            <v>0005</v>
          </cell>
          <cell r="G1189" t="str">
            <v>113</v>
          </cell>
          <cell r="H1189" t="str">
            <v>转FVE99104#发票中行扣费</v>
          </cell>
          <cell r="I1189" t="b">
            <v>0</v>
          </cell>
          <cell r="J1189">
            <v>149.69999999999999</v>
          </cell>
          <cell r="K1189">
            <v>0</v>
          </cell>
          <cell r="L1189">
            <v>0</v>
          </cell>
        </row>
        <row r="1190">
          <cell r="A1190" t="str">
            <v>08</v>
          </cell>
          <cell r="B1190" t="str">
            <v>20</v>
          </cell>
          <cell r="C1190" t="str">
            <v>08</v>
          </cell>
          <cell r="D1190" t="str">
            <v>5</v>
          </cell>
          <cell r="E1190" t="str">
            <v>0005</v>
          </cell>
          <cell r="F1190" t="str">
            <v>0003</v>
          </cell>
          <cell r="G1190" t="str">
            <v>113</v>
          </cell>
          <cell r="H1190" t="str">
            <v>转FVE9994#发票中行扣费等</v>
          </cell>
          <cell r="I1190" t="b">
            <v>0</v>
          </cell>
          <cell r="J1190">
            <v>504.3</v>
          </cell>
          <cell r="K1190">
            <v>0</v>
          </cell>
          <cell r="L1190">
            <v>0</v>
          </cell>
        </row>
        <row r="1191">
          <cell r="A1191" t="str">
            <v>08</v>
          </cell>
          <cell r="B1191" t="str">
            <v>20</v>
          </cell>
          <cell r="C1191" t="str">
            <v>08</v>
          </cell>
          <cell r="D1191" t="str">
            <v>5</v>
          </cell>
          <cell r="E1191" t="str">
            <v>0006</v>
          </cell>
          <cell r="F1191" t="str">
            <v>0003</v>
          </cell>
          <cell r="G1191" t="str">
            <v>113</v>
          </cell>
          <cell r="H1191" t="str">
            <v>转FVE99103#发票国外扣费等</v>
          </cell>
          <cell r="I1191" t="b">
            <v>0</v>
          </cell>
          <cell r="J1191">
            <v>2798.1</v>
          </cell>
          <cell r="K1191">
            <v>0</v>
          </cell>
          <cell r="L1191">
            <v>0</v>
          </cell>
        </row>
        <row r="1192">
          <cell r="A1192" t="str">
            <v>08</v>
          </cell>
          <cell r="B1192" t="str">
            <v>20</v>
          </cell>
          <cell r="C1192" t="str">
            <v>08</v>
          </cell>
          <cell r="D1192" t="str">
            <v>5</v>
          </cell>
          <cell r="E1192" t="str">
            <v>0007</v>
          </cell>
          <cell r="F1192" t="str">
            <v>0002</v>
          </cell>
          <cell r="G1192" t="str">
            <v>113</v>
          </cell>
          <cell r="H1192" t="str">
            <v>转ZLB04#发票国外扣费USD15.00</v>
          </cell>
          <cell r="I1192" t="b">
            <v>0</v>
          </cell>
          <cell r="J1192">
            <v>123.98</v>
          </cell>
          <cell r="K1192">
            <v>0</v>
          </cell>
          <cell r="L1192">
            <v>0</v>
          </cell>
        </row>
        <row r="1193">
          <cell r="A1193" t="str">
            <v>08</v>
          </cell>
          <cell r="B1193" t="str">
            <v>24</v>
          </cell>
          <cell r="C1193" t="str">
            <v>08</v>
          </cell>
          <cell r="D1193" t="str">
            <v>5</v>
          </cell>
          <cell r="E1193" t="str">
            <v>0011</v>
          </cell>
          <cell r="F1193" t="str">
            <v>0003</v>
          </cell>
          <cell r="G1193" t="str">
            <v>113</v>
          </cell>
          <cell r="H1193" t="str">
            <v>转FVE9996#发票中行扣费</v>
          </cell>
          <cell r="I1193" t="b">
            <v>0</v>
          </cell>
          <cell r="J1193">
            <v>504.27</v>
          </cell>
          <cell r="K1193">
            <v>0</v>
          </cell>
          <cell r="L1193">
            <v>0</v>
          </cell>
        </row>
        <row r="1194">
          <cell r="A1194" t="str">
            <v>08</v>
          </cell>
          <cell r="B1194" t="str">
            <v>24</v>
          </cell>
          <cell r="C1194" t="str">
            <v>08</v>
          </cell>
          <cell r="D1194" t="str">
            <v>5</v>
          </cell>
          <cell r="E1194" t="str">
            <v>0012</v>
          </cell>
          <cell r="F1194" t="str">
            <v>0003</v>
          </cell>
          <cell r="G1194" t="str">
            <v>113</v>
          </cell>
          <cell r="H1194" t="str">
            <v>转FVE9976#发票中行扣费</v>
          </cell>
          <cell r="I1194" t="b">
            <v>0</v>
          </cell>
          <cell r="J1194">
            <v>752.14</v>
          </cell>
          <cell r="K1194">
            <v>0</v>
          </cell>
          <cell r="L1194">
            <v>0</v>
          </cell>
        </row>
        <row r="1195">
          <cell r="A1195" t="str">
            <v>08</v>
          </cell>
          <cell r="B1195" t="str">
            <v>24</v>
          </cell>
          <cell r="C1195" t="str">
            <v>08</v>
          </cell>
          <cell r="D1195" t="str">
            <v>5</v>
          </cell>
          <cell r="E1195" t="str">
            <v>0013</v>
          </cell>
          <cell r="F1195" t="str">
            <v>0005</v>
          </cell>
          <cell r="G1195" t="str">
            <v>113</v>
          </cell>
          <cell r="H1195" t="str">
            <v>转FVE99109#发票中行扣押汇借款</v>
          </cell>
          <cell r="I1195" t="b">
            <v>0</v>
          </cell>
          <cell r="J1195">
            <v>427490.1</v>
          </cell>
          <cell r="K1195">
            <v>0</v>
          </cell>
          <cell r="L1195">
            <v>0</v>
          </cell>
        </row>
        <row r="1196">
          <cell r="A1196" t="str">
            <v>08</v>
          </cell>
          <cell r="B1196" t="str">
            <v>27</v>
          </cell>
          <cell r="C1196" t="str">
            <v>08</v>
          </cell>
          <cell r="D1196" t="str">
            <v>5</v>
          </cell>
          <cell r="E1196" t="str">
            <v>0014</v>
          </cell>
          <cell r="F1196" t="str">
            <v>0001</v>
          </cell>
          <cell r="G1196" t="str">
            <v>113</v>
          </cell>
          <cell r="H1196" t="str">
            <v>转ZLB02发票出口收入</v>
          </cell>
          <cell r="I1196" t="b">
            <v>1</v>
          </cell>
          <cell r="J1196">
            <v>592100.16</v>
          </cell>
          <cell r="K1196">
            <v>0</v>
          </cell>
          <cell r="L1196">
            <v>0</v>
          </cell>
        </row>
        <row r="1197">
          <cell r="A1197" t="str">
            <v>08</v>
          </cell>
          <cell r="B1197" t="str">
            <v>27</v>
          </cell>
          <cell r="C1197" t="str">
            <v>08</v>
          </cell>
          <cell r="D1197" t="str">
            <v>5</v>
          </cell>
          <cell r="E1197" t="str">
            <v>0014</v>
          </cell>
          <cell r="F1197" t="str">
            <v>0004</v>
          </cell>
          <cell r="G1197" t="str">
            <v>113</v>
          </cell>
          <cell r="H1197" t="str">
            <v>转ZLB04发票出口收入</v>
          </cell>
          <cell r="I1197" t="b">
            <v>1</v>
          </cell>
          <cell r="J1197">
            <v>145471.04000000001</v>
          </cell>
          <cell r="K1197">
            <v>0</v>
          </cell>
          <cell r="L1197">
            <v>0</v>
          </cell>
        </row>
        <row r="1198">
          <cell r="A1198" t="str">
            <v>08</v>
          </cell>
          <cell r="B1198" t="str">
            <v>27</v>
          </cell>
          <cell r="C1198" t="str">
            <v>08</v>
          </cell>
          <cell r="D1198" t="str">
            <v>5</v>
          </cell>
          <cell r="E1198" t="str">
            <v>0014</v>
          </cell>
          <cell r="F1198" t="str">
            <v>0007</v>
          </cell>
          <cell r="G1198" t="str">
            <v>113</v>
          </cell>
          <cell r="H1198" t="str">
            <v>转FVE9976发票出口收入</v>
          </cell>
          <cell r="I1198" t="b">
            <v>1</v>
          </cell>
          <cell r="J1198">
            <v>3151121.28</v>
          </cell>
          <cell r="K1198">
            <v>0</v>
          </cell>
          <cell r="L1198">
            <v>0</v>
          </cell>
        </row>
        <row r="1199">
          <cell r="A1199" t="str">
            <v>08</v>
          </cell>
          <cell r="B1199" t="str">
            <v>27</v>
          </cell>
          <cell r="C1199" t="str">
            <v>08</v>
          </cell>
          <cell r="D1199" t="str">
            <v>5</v>
          </cell>
          <cell r="E1199" t="str">
            <v>0014</v>
          </cell>
          <cell r="F1199" t="str">
            <v>0010</v>
          </cell>
          <cell r="G1199" t="str">
            <v>113</v>
          </cell>
          <cell r="H1199" t="str">
            <v>转FVE9994发票出口收入</v>
          </cell>
          <cell r="I1199" t="b">
            <v>1</v>
          </cell>
          <cell r="J1199">
            <v>515625.26</v>
          </cell>
          <cell r="K1199">
            <v>0</v>
          </cell>
          <cell r="L1199">
            <v>0</v>
          </cell>
        </row>
        <row r="1200">
          <cell r="A1200" t="str">
            <v>08</v>
          </cell>
          <cell r="B1200" t="str">
            <v>27</v>
          </cell>
          <cell r="C1200" t="str">
            <v>08</v>
          </cell>
          <cell r="D1200" t="str">
            <v>5</v>
          </cell>
          <cell r="E1200" t="str">
            <v>0014</v>
          </cell>
          <cell r="F1200" t="str">
            <v>0013</v>
          </cell>
          <cell r="G1200" t="str">
            <v>113</v>
          </cell>
          <cell r="H1200" t="str">
            <v>转FVE9996发票出口收入</v>
          </cell>
          <cell r="I1200" t="b">
            <v>1</v>
          </cell>
          <cell r="J1200">
            <v>347895.8</v>
          </cell>
          <cell r="K1200">
            <v>0</v>
          </cell>
          <cell r="L1200">
            <v>0</v>
          </cell>
        </row>
        <row r="1201">
          <cell r="A1201" t="str">
            <v>08</v>
          </cell>
          <cell r="B1201" t="str">
            <v>27</v>
          </cell>
          <cell r="C1201" t="str">
            <v>08</v>
          </cell>
          <cell r="D1201" t="str">
            <v>5</v>
          </cell>
          <cell r="E1201" t="str">
            <v>0014</v>
          </cell>
          <cell r="F1201" t="str">
            <v>0016</v>
          </cell>
          <cell r="G1201" t="str">
            <v>113</v>
          </cell>
          <cell r="H1201" t="str">
            <v>转FVE99101发票出口收入</v>
          </cell>
          <cell r="I1201" t="b">
            <v>1</v>
          </cell>
          <cell r="J1201">
            <v>152737.26999999999</v>
          </cell>
          <cell r="K1201">
            <v>0</v>
          </cell>
          <cell r="L1201">
            <v>0</v>
          </cell>
        </row>
        <row r="1202">
          <cell r="A1202" t="str">
            <v>08</v>
          </cell>
          <cell r="B1202" t="str">
            <v>27</v>
          </cell>
          <cell r="C1202" t="str">
            <v>08</v>
          </cell>
          <cell r="D1202" t="str">
            <v>5</v>
          </cell>
          <cell r="E1202" t="str">
            <v>0014</v>
          </cell>
          <cell r="F1202" t="str">
            <v>0019</v>
          </cell>
          <cell r="G1202" t="str">
            <v>113</v>
          </cell>
          <cell r="H1202" t="str">
            <v>转FVE99103发票出口收入</v>
          </cell>
          <cell r="I1202" t="b">
            <v>1</v>
          </cell>
          <cell r="J1202">
            <v>1431859.28</v>
          </cell>
          <cell r="K1202">
            <v>0</v>
          </cell>
          <cell r="L1202">
            <v>0</v>
          </cell>
        </row>
        <row r="1203">
          <cell r="A1203" t="str">
            <v>08</v>
          </cell>
          <cell r="B1203" t="str">
            <v>27</v>
          </cell>
          <cell r="C1203" t="str">
            <v>08</v>
          </cell>
          <cell r="D1203" t="str">
            <v>5</v>
          </cell>
          <cell r="E1203" t="str">
            <v>0014</v>
          </cell>
          <cell r="F1203" t="str">
            <v>0022</v>
          </cell>
          <cell r="G1203" t="str">
            <v>113</v>
          </cell>
          <cell r="H1203" t="str">
            <v>转FVE99104发票出口收入</v>
          </cell>
          <cell r="I1203" t="b">
            <v>1</v>
          </cell>
          <cell r="J1203">
            <v>149736.01</v>
          </cell>
          <cell r="K1203">
            <v>0</v>
          </cell>
          <cell r="L1203">
            <v>0</v>
          </cell>
        </row>
        <row r="1204">
          <cell r="A1204" t="str">
            <v>08</v>
          </cell>
          <cell r="B1204" t="str">
            <v>27</v>
          </cell>
          <cell r="C1204" t="str">
            <v>08</v>
          </cell>
          <cell r="D1204" t="str">
            <v>5</v>
          </cell>
          <cell r="E1204" t="str">
            <v>0014</v>
          </cell>
          <cell r="F1204" t="str">
            <v>0025</v>
          </cell>
          <cell r="G1204" t="str">
            <v>113</v>
          </cell>
          <cell r="H1204" t="str">
            <v>转FVE99109发票出口收入</v>
          </cell>
          <cell r="I1204" t="b">
            <v>1</v>
          </cell>
          <cell r="J1204">
            <v>1432309.73</v>
          </cell>
          <cell r="K1204">
            <v>0</v>
          </cell>
          <cell r="L1204">
            <v>0</v>
          </cell>
        </row>
        <row r="1205">
          <cell r="A1205" t="str">
            <v>08</v>
          </cell>
          <cell r="B1205" t="str">
            <v>27</v>
          </cell>
          <cell r="C1205" t="str">
            <v>08</v>
          </cell>
          <cell r="D1205" t="str">
            <v>5</v>
          </cell>
          <cell r="E1205" t="str">
            <v>0022</v>
          </cell>
          <cell r="F1205" t="str">
            <v>0001</v>
          </cell>
          <cell r="G1205" t="str">
            <v>113</v>
          </cell>
          <cell r="H1205" t="str">
            <v>转销苹果浓汁0.195吨</v>
          </cell>
          <cell r="I1205" t="b">
            <v>1</v>
          </cell>
          <cell r="J1205">
            <v>1710</v>
          </cell>
          <cell r="K1205">
            <v>0</v>
          </cell>
          <cell r="L1205">
            <v>0</v>
          </cell>
        </row>
        <row r="1206">
          <cell r="A1206" t="str">
            <v>09</v>
          </cell>
          <cell r="B1206" t="str">
            <v>23</v>
          </cell>
          <cell r="C1206" t="str">
            <v>09</v>
          </cell>
          <cell r="D1206" t="str">
            <v>3</v>
          </cell>
          <cell r="E1206" t="str">
            <v>0007</v>
          </cell>
          <cell r="F1206" t="str">
            <v>0002</v>
          </cell>
          <cell r="G1206" t="str">
            <v>113</v>
          </cell>
          <cell r="H1206" t="str">
            <v>收货款</v>
          </cell>
          <cell r="I1206" t="b">
            <v>0</v>
          </cell>
          <cell r="J1206">
            <v>653.5</v>
          </cell>
          <cell r="K1206">
            <v>0</v>
          </cell>
          <cell r="L1206">
            <v>0</v>
          </cell>
        </row>
        <row r="1207">
          <cell r="A1207" t="str">
            <v>09</v>
          </cell>
          <cell r="B1207" t="str">
            <v>23</v>
          </cell>
          <cell r="C1207" t="str">
            <v>09</v>
          </cell>
          <cell r="D1207" t="str">
            <v>3</v>
          </cell>
          <cell r="E1207" t="str">
            <v>0009</v>
          </cell>
          <cell r="F1207" t="str">
            <v>0002</v>
          </cell>
          <cell r="G1207" t="str">
            <v>113</v>
          </cell>
          <cell r="H1207" t="str">
            <v>收FVE99102#发票货款</v>
          </cell>
          <cell r="I1207" t="b">
            <v>0</v>
          </cell>
          <cell r="J1207">
            <v>347378.93</v>
          </cell>
          <cell r="K1207">
            <v>0</v>
          </cell>
          <cell r="L1207">
            <v>0</v>
          </cell>
        </row>
        <row r="1208">
          <cell r="A1208" t="str">
            <v>09</v>
          </cell>
          <cell r="B1208" t="str">
            <v>23</v>
          </cell>
          <cell r="C1208" t="str">
            <v>09</v>
          </cell>
          <cell r="D1208" t="str">
            <v>3</v>
          </cell>
          <cell r="E1208" t="str">
            <v>0009</v>
          </cell>
          <cell r="F1208" t="str">
            <v>0003</v>
          </cell>
          <cell r="G1208" t="str">
            <v>113</v>
          </cell>
          <cell r="H1208" t="str">
            <v>收FVE9984#发票货款</v>
          </cell>
          <cell r="I1208" t="b">
            <v>0</v>
          </cell>
          <cell r="J1208">
            <v>2221154.8199999998</v>
          </cell>
          <cell r="K1208">
            <v>0</v>
          </cell>
          <cell r="L1208">
            <v>0</v>
          </cell>
        </row>
        <row r="1209">
          <cell r="A1209" t="str">
            <v>09</v>
          </cell>
          <cell r="B1209" t="str">
            <v>23</v>
          </cell>
          <cell r="C1209" t="str">
            <v>09</v>
          </cell>
          <cell r="D1209" t="str">
            <v>3</v>
          </cell>
          <cell r="E1209" t="str">
            <v>0009</v>
          </cell>
          <cell r="F1209" t="str">
            <v>0004</v>
          </cell>
          <cell r="G1209" t="str">
            <v>113</v>
          </cell>
          <cell r="H1209" t="str">
            <v>收FVE9993#发票货款</v>
          </cell>
          <cell r="I1209" t="b">
            <v>0</v>
          </cell>
          <cell r="J1209">
            <v>1652617.69</v>
          </cell>
          <cell r="K1209">
            <v>0</v>
          </cell>
          <cell r="L1209">
            <v>0</v>
          </cell>
        </row>
        <row r="1210">
          <cell r="A1210" t="str">
            <v>09</v>
          </cell>
          <cell r="B1210" t="str">
            <v>23</v>
          </cell>
          <cell r="C1210" t="str">
            <v>09</v>
          </cell>
          <cell r="D1210" t="str">
            <v>3</v>
          </cell>
          <cell r="E1210" t="str">
            <v>0010</v>
          </cell>
          <cell r="F1210" t="str">
            <v>0002</v>
          </cell>
          <cell r="G1210" t="str">
            <v>113</v>
          </cell>
          <cell r="H1210" t="str">
            <v>收FVE99114#发票货款</v>
          </cell>
          <cell r="I1210" t="b">
            <v>0</v>
          </cell>
          <cell r="J1210">
            <v>149609.84</v>
          </cell>
          <cell r="K1210">
            <v>0</v>
          </cell>
          <cell r="L1210">
            <v>0</v>
          </cell>
        </row>
        <row r="1211">
          <cell r="A1211" t="str">
            <v>09</v>
          </cell>
          <cell r="B1211" t="str">
            <v>23</v>
          </cell>
          <cell r="C1211" t="str">
            <v>09</v>
          </cell>
          <cell r="D1211" t="str">
            <v>3</v>
          </cell>
          <cell r="E1211" t="str">
            <v>0010</v>
          </cell>
          <cell r="F1211" t="str">
            <v>0003</v>
          </cell>
          <cell r="G1211" t="str">
            <v>113</v>
          </cell>
          <cell r="H1211" t="str">
            <v>收FVE99112#发票货款</v>
          </cell>
          <cell r="I1211" t="b">
            <v>0</v>
          </cell>
          <cell r="J1211">
            <v>157024.01</v>
          </cell>
          <cell r="K1211">
            <v>0</v>
          </cell>
          <cell r="L1211">
            <v>0</v>
          </cell>
        </row>
        <row r="1212">
          <cell r="A1212" t="str">
            <v>09</v>
          </cell>
          <cell r="B1212" t="str">
            <v>23</v>
          </cell>
          <cell r="C1212" t="str">
            <v>09</v>
          </cell>
          <cell r="D1212" t="str">
            <v>3</v>
          </cell>
          <cell r="E1212" t="str">
            <v>0010</v>
          </cell>
          <cell r="F1212" t="str">
            <v>0004</v>
          </cell>
          <cell r="G1212" t="str">
            <v>113</v>
          </cell>
          <cell r="H1212" t="str">
            <v>收ZLB03#发票货款</v>
          </cell>
          <cell r="I1212" t="b">
            <v>0</v>
          </cell>
          <cell r="J1212">
            <v>592093</v>
          </cell>
          <cell r="K1212">
            <v>0</v>
          </cell>
          <cell r="L1212">
            <v>0</v>
          </cell>
        </row>
        <row r="1213">
          <cell r="A1213" t="str">
            <v>09</v>
          </cell>
          <cell r="B1213" t="str">
            <v>23</v>
          </cell>
          <cell r="C1213" t="str">
            <v>09</v>
          </cell>
          <cell r="D1213" t="str">
            <v>3</v>
          </cell>
          <cell r="E1213" t="str">
            <v>0011</v>
          </cell>
          <cell r="F1213" t="str">
            <v>0003</v>
          </cell>
          <cell r="G1213" t="str">
            <v>113</v>
          </cell>
          <cell r="H1213" t="str">
            <v>收FVE99124#发票货款</v>
          </cell>
          <cell r="I1213" t="b">
            <v>0</v>
          </cell>
          <cell r="J1213">
            <v>149136.62</v>
          </cell>
          <cell r="K1213">
            <v>0</v>
          </cell>
          <cell r="L1213">
            <v>0</v>
          </cell>
        </row>
        <row r="1214">
          <cell r="A1214" t="str">
            <v>09</v>
          </cell>
          <cell r="B1214" t="str">
            <v>23</v>
          </cell>
          <cell r="C1214" t="str">
            <v>09</v>
          </cell>
          <cell r="D1214" t="str">
            <v>3</v>
          </cell>
          <cell r="E1214" t="str">
            <v>0011</v>
          </cell>
          <cell r="F1214" t="str">
            <v>0004</v>
          </cell>
          <cell r="G1214" t="str">
            <v>113</v>
          </cell>
          <cell r="H1214" t="str">
            <v>收FVE93#发票货款</v>
          </cell>
          <cell r="I1214" t="b">
            <v>0</v>
          </cell>
          <cell r="J1214">
            <v>991588.04</v>
          </cell>
          <cell r="K1214">
            <v>0</v>
          </cell>
          <cell r="L1214">
            <v>0</v>
          </cell>
        </row>
        <row r="1215">
          <cell r="A1215" t="str">
            <v>09</v>
          </cell>
          <cell r="B1215" t="str">
            <v>24</v>
          </cell>
          <cell r="C1215" t="str">
            <v>09</v>
          </cell>
          <cell r="D1215" t="str">
            <v>5</v>
          </cell>
          <cell r="E1215" t="str">
            <v>0011</v>
          </cell>
          <cell r="F1215" t="str">
            <v>0001</v>
          </cell>
          <cell r="G1215" t="str">
            <v>113</v>
          </cell>
          <cell r="H1215" t="str">
            <v>转ZLB07发票出口海运费</v>
          </cell>
          <cell r="I1215" t="b">
            <v>1</v>
          </cell>
          <cell r="J1215">
            <v>61831.18</v>
          </cell>
          <cell r="K1215">
            <v>0</v>
          </cell>
          <cell r="L1215">
            <v>0</v>
          </cell>
        </row>
        <row r="1216">
          <cell r="A1216" t="str">
            <v>09</v>
          </cell>
          <cell r="B1216" t="str">
            <v>24</v>
          </cell>
          <cell r="C1216" t="str">
            <v>09</v>
          </cell>
          <cell r="D1216" t="str">
            <v>5</v>
          </cell>
          <cell r="E1216" t="str">
            <v>0011</v>
          </cell>
          <cell r="F1216" t="str">
            <v>0002</v>
          </cell>
          <cell r="G1216" t="str">
            <v>113</v>
          </cell>
          <cell r="H1216" t="str">
            <v>转FVE99117.119.121发票海运费</v>
          </cell>
          <cell r="I1216" t="b">
            <v>1</v>
          </cell>
          <cell r="J1216">
            <v>316182.15000000002</v>
          </cell>
          <cell r="K1216">
            <v>0</v>
          </cell>
          <cell r="L1216">
            <v>0</v>
          </cell>
        </row>
        <row r="1217">
          <cell r="A1217" t="str">
            <v>09</v>
          </cell>
          <cell r="B1217" t="str">
            <v>24</v>
          </cell>
          <cell r="C1217" t="str">
            <v>09</v>
          </cell>
          <cell r="D1217" t="str">
            <v>5</v>
          </cell>
          <cell r="E1217" t="str">
            <v>0011</v>
          </cell>
          <cell r="F1217" t="str">
            <v>0003</v>
          </cell>
          <cell r="G1217" t="str">
            <v>113</v>
          </cell>
          <cell r="H1217" t="str">
            <v>转ZLA00001.2.3.5.6发票海运费</v>
          </cell>
          <cell r="I1217" t="b">
            <v>1</v>
          </cell>
          <cell r="J1217">
            <v>309155.88</v>
          </cell>
          <cell r="K1217">
            <v>0</v>
          </cell>
          <cell r="L1217">
            <v>0</v>
          </cell>
        </row>
        <row r="1218">
          <cell r="A1218" t="str">
            <v>09</v>
          </cell>
          <cell r="B1218" t="str">
            <v>25</v>
          </cell>
          <cell r="C1218" t="str">
            <v>09</v>
          </cell>
          <cell r="D1218" t="str">
            <v>5</v>
          </cell>
          <cell r="E1218" t="str">
            <v>0015</v>
          </cell>
          <cell r="F1218" t="str">
            <v>0001</v>
          </cell>
          <cell r="G1218" t="str">
            <v>113</v>
          </cell>
          <cell r="H1218" t="str">
            <v>转FVE99122.23.26发票海运费</v>
          </cell>
          <cell r="I1218" t="b">
            <v>1</v>
          </cell>
          <cell r="J1218">
            <v>252945.72</v>
          </cell>
          <cell r="K1218">
            <v>0</v>
          </cell>
          <cell r="L1218">
            <v>0</v>
          </cell>
        </row>
        <row r="1219">
          <cell r="A1219" t="str">
            <v>09</v>
          </cell>
          <cell r="B1219" t="str">
            <v>25</v>
          </cell>
          <cell r="C1219" t="str">
            <v>09</v>
          </cell>
          <cell r="D1219" t="str">
            <v>5</v>
          </cell>
          <cell r="E1219" t="str">
            <v>0015</v>
          </cell>
          <cell r="F1219" t="str">
            <v>0002</v>
          </cell>
          <cell r="G1219" t="str">
            <v>113</v>
          </cell>
          <cell r="H1219" t="str">
            <v>转FVE99124发票海运费</v>
          </cell>
          <cell r="I1219" t="b">
            <v>1</v>
          </cell>
          <cell r="J1219">
            <v>2149.21</v>
          </cell>
          <cell r="K1219">
            <v>0</v>
          </cell>
          <cell r="L1219">
            <v>0</v>
          </cell>
        </row>
        <row r="1220">
          <cell r="A1220" t="str">
            <v>09</v>
          </cell>
          <cell r="B1220" t="str">
            <v>25</v>
          </cell>
          <cell r="C1220" t="str">
            <v>09</v>
          </cell>
          <cell r="D1220" t="str">
            <v>5</v>
          </cell>
          <cell r="E1220" t="str">
            <v>0015</v>
          </cell>
          <cell r="F1220" t="str">
            <v>0003</v>
          </cell>
          <cell r="G1220" t="str">
            <v>113</v>
          </cell>
          <cell r="H1220" t="str">
            <v>转ZLA00007-00011发票海运费</v>
          </cell>
          <cell r="I1220" t="b">
            <v>1</v>
          </cell>
          <cell r="J1220">
            <v>274024.53000000003</v>
          </cell>
          <cell r="K1220">
            <v>0</v>
          </cell>
          <cell r="L1220">
            <v>0</v>
          </cell>
        </row>
        <row r="1221">
          <cell r="A1221" t="str">
            <v>09</v>
          </cell>
          <cell r="B1221" t="str">
            <v>25</v>
          </cell>
          <cell r="C1221" t="str">
            <v>09</v>
          </cell>
          <cell r="D1221" t="str">
            <v>5</v>
          </cell>
          <cell r="E1221" t="str">
            <v>0017</v>
          </cell>
          <cell r="F1221" t="str">
            <v>0010</v>
          </cell>
          <cell r="G1221" t="str">
            <v>113</v>
          </cell>
          <cell r="H1221" t="str">
            <v>转代收果汁款</v>
          </cell>
          <cell r="I1221" t="b">
            <v>0</v>
          </cell>
          <cell r="J1221">
            <v>1710</v>
          </cell>
          <cell r="K1221">
            <v>0</v>
          </cell>
          <cell r="L1221">
            <v>0</v>
          </cell>
        </row>
        <row r="1222">
          <cell r="A1222" t="str">
            <v>09</v>
          </cell>
          <cell r="B1222" t="str">
            <v>28</v>
          </cell>
          <cell r="C1222" t="str">
            <v>09</v>
          </cell>
          <cell r="D1222" t="str">
            <v>5</v>
          </cell>
          <cell r="E1222" t="str">
            <v>0026</v>
          </cell>
          <cell r="F1222" t="str">
            <v>0001</v>
          </cell>
          <cell r="G1222" t="str">
            <v>113</v>
          </cell>
          <cell r="H1222" t="str">
            <v>转FVE9984发票出口收入</v>
          </cell>
          <cell r="I1222" t="b">
            <v>1</v>
          </cell>
          <cell r="J1222">
            <v>3887732.75</v>
          </cell>
          <cell r="K1222">
            <v>0</v>
          </cell>
          <cell r="L1222">
            <v>0</v>
          </cell>
        </row>
        <row r="1223">
          <cell r="A1223" t="str">
            <v>09</v>
          </cell>
          <cell r="B1223" t="str">
            <v>28</v>
          </cell>
          <cell r="C1223" t="str">
            <v>09</v>
          </cell>
          <cell r="D1223" t="str">
            <v>5</v>
          </cell>
          <cell r="E1223" t="str">
            <v>0026</v>
          </cell>
          <cell r="F1223" t="str">
            <v>0004</v>
          </cell>
          <cell r="G1223" t="str">
            <v>113</v>
          </cell>
          <cell r="H1223" t="str">
            <v>转ZLB01发票出口收入</v>
          </cell>
          <cell r="I1223" t="b">
            <v>1</v>
          </cell>
          <cell r="J1223">
            <v>592100.16</v>
          </cell>
          <cell r="K1223">
            <v>0</v>
          </cell>
          <cell r="L1223">
            <v>0</v>
          </cell>
        </row>
        <row r="1224">
          <cell r="A1224" t="str">
            <v>09</v>
          </cell>
          <cell r="B1224" t="str">
            <v>28</v>
          </cell>
          <cell r="C1224" t="str">
            <v>09</v>
          </cell>
          <cell r="D1224" t="str">
            <v>5</v>
          </cell>
          <cell r="E1224" t="str">
            <v>0026</v>
          </cell>
          <cell r="F1224" t="str">
            <v>0007</v>
          </cell>
          <cell r="G1224" t="str">
            <v>113</v>
          </cell>
          <cell r="H1224" t="str">
            <v>转ZLB03发票出口收入</v>
          </cell>
          <cell r="I1224" t="b">
            <v>1</v>
          </cell>
          <cell r="J1224">
            <v>592093</v>
          </cell>
          <cell r="K1224">
            <v>0</v>
          </cell>
          <cell r="L1224">
            <v>0</v>
          </cell>
        </row>
        <row r="1225">
          <cell r="A1225" t="str">
            <v>09</v>
          </cell>
          <cell r="B1225" t="str">
            <v>28</v>
          </cell>
          <cell r="C1225" t="str">
            <v>09</v>
          </cell>
          <cell r="D1225" t="str">
            <v>5</v>
          </cell>
          <cell r="E1225" t="str">
            <v>0026</v>
          </cell>
          <cell r="F1225" t="str">
            <v>0010</v>
          </cell>
          <cell r="G1225" t="str">
            <v>113</v>
          </cell>
          <cell r="H1225" t="str">
            <v>转FVE99102发票出口收入</v>
          </cell>
          <cell r="I1225" t="b">
            <v>1</v>
          </cell>
          <cell r="J1225">
            <v>347883.18</v>
          </cell>
          <cell r="K1225">
            <v>0</v>
          </cell>
          <cell r="L1225">
            <v>0</v>
          </cell>
        </row>
        <row r="1226">
          <cell r="A1226" t="str">
            <v>09</v>
          </cell>
          <cell r="B1226" t="str">
            <v>28</v>
          </cell>
          <cell r="C1226" t="str">
            <v>09</v>
          </cell>
          <cell r="D1226" t="str">
            <v>5</v>
          </cell>
          <cell r="E1226" t="str">
            <v>0027</v>
          </cell>
          <cell r="F1226" t="str">
            <v>0003</v>
          </cell>
          <cell r="G1226" t="str">
            <v>113</v>
          </cell>
          <cell r="H1226" t="str">
            <v>转FVE9984#发票境外扣费</v>
          </cell>
          <cell r="I1226" t="b">
            <v>0</v>
          </cell>
          <cell r="J1226">
            <v>1000.19</v>
          </cell>
          <cell r="K1226">
            <v>0</v>
          </cell>
          <cell r="L1226">
            <v>0</v>
          </cell>
        </row>
        <row r="1227">
          <cell r="A1227" t="str">
            <v>09</v>
          </cell>
          <cell r="B1227" t="str">
            <v>28</v>
          </cell>
          <cell r="C1227" t="str">
            <v>09</v>
          </cell>
          <cell r="D1227" t="str">
            <v>5</v>
          </cell>
          <cell r="E1227" t="str">
            <v>0028</v>
          </cell>
          <cell r="F1227" t="str">
            <v>0003</v>
          </cell>
          <cell r="G1227" t="str">
            <v>113</v>
          </cell>
          <cell r="H1227" t="str">
            <v>转FVE99102#发票境外扣费</v>
          </cell>
          <cell r="I1227" t="b">
            <v>0</v>
          </cell>
          <cell r="J1227">
            <v>504.25</v>
          </cell>
          <cell r="K1227">
            <v>0</v>
          </cell>
          <cell r="L1227">
            <v>0</v>
          </cell>
        </row>
        <row r="1228">
          <cell r="A1228" t="str">
            <v>10</v>
          </cell>
          <cell r="B1228" t="str">
            <v>20</v>
          </cell>
          <cell r="C1228" t="str">
            <v>10</v>
          </cell>
          <cell r="D1228" t="str">
            <v>3</v>
          </cell>
          <cell r="E1228" t="str">
            <v>0006</v>
          </cell>
          <cell r="F1228" t="str">
            <v>0002</v>
          </cell>
          <cell r="G1228" t="str">
            <v>113</v>
          </cell>
          <cell r="H1228" t="str">
            <v>收FVE99115#发票货款</v>
          </cell>
          <cell r="I1228" t="b">
            <v>0</v>
          </cell>
          <cell r="J1228">
            <v>567561.80000000005</v>
          </cell>
          <cell r="K1228">
            <v>0</v>
          </cell>
          <cell r="L1228">
            <v>0</v>
          </cell>
        </row>
        <row r="1229">
          <cell r="A1229" t="str">
            <v>10</v>
          </cell>
          <cell r="B1229" t="str">
            <v>20</v>
          </cell>
          <cell r="C1229" t="str">
            <v>10</v>
          </cell>
          <cell r="D1229" t="str">
            <v>3</v>
          </cell>
          <cell r="E1229" t="str">
            <v>0006</v>
          </cell>
          <cell r="F1229" t="str">
            <v>0003</v>
          </cell>
          <cell r="G1229" t="str">
            <v>113</v>
          </cell>
          <cell r="H1229" t="str">
            <v>收FVE99113#发票货款</v>
          </cell>
          <cell r="I1229" t="b">
            <v>0</v>
          </cell>
          <cell r="J1229">
            <v>143433.53</v>
          </cell>
          <cell r="K1229">
            <v>0</v>
          </cell>
          <cell r="L1229">
            <v>0</v>
          </cell>
        </row>
        <row r="1230">
          <cell r="A1230" t="str">
            <v>10</v>
          </cell>
          <cell r="B1230" t="str">
            <v>20</v>
          </cell>
          <cell r="C1230" t="str">
            <v>10</v>
          </cell>
          <cell r="D1230" t="str">
            <v>3</v>
          </cell>
          <cell r="E1230" t="str">
            <v>0006</v>
          </cell>
          <cell r="F1230" t="str">
            <v>0004</v>
          </cell>
          <cell r="G1230" t="str">
            <v>113</v>
          </cell>
          <cell r="H1230" t="str">
            <v>收ZLB05.06#发票货款</v>
          </cell>
          <cell r="I1230" t="b">
            <v>0</v>
          </cell>
          <cell r="J1230">
            <v>485577.69</v>
          </cell>
          <cell r="K1230">
            <v>0</v>
          </cell>
          <cell r="L1230">
            <v>0</v>
          </cell>
        </row>
        <row r="1231">
          <cell r="A1231" t="str">
            <v>10</v>
          </cell>
          <cell r="B1231" t="str">
            <v>20</v>
          </cell>
          <cell r="C1231" t="str">
            <v>10</v>
          </cell>
          <cell r="D1231" t="str">
            <v>3</v>
          </cell>
          <cell r="E1231" t="str">
            <v>0007</v>
          </cell>
          <cell r="F1231" t="str">
            <v>0002</v>
          </cell>
          <cell r="G1231" t="str">
            <v>113</v>
          </cell>
          <cell r="H1231" t="str">
            <v>收FVE9993#发票货款</v>
          </cell>
          <cell r="I1231" t="b">
            <v>0</v>
          </cell>
          <cell r="J1231">
            <v>1164102.0900000001</v>
          </cell>
          <cell r="K1231">
            <v>0</v>
          </cell>
          <cell r="L1231">
            <v>0</v>
          </cell>
        </row>
        <row r="1232">
          <cell r="A1232" t="str">
            <v>10</v>
          </cell>
          <cell r="B1232" t="str">
            <v>20</v>
          </cell>
          <cell r="C1232" t="str">
            <v>10</v>
          </cell>
          <cell r="D1232" t="str">
            <v>3</v>
          </cell>
          <cell r="E1232" t="str">
            <v>0007</v>
          </cell>
          <cell r="F1232" t="str">
            <v>0003</v>
          </cell>
          <cell r="G1232" t="str">
            <v>113</v>
          </cell>
          <cell r="H1232" t="str">
            <v>收FVE99116#发票货款</v>
          </cell>
          <cell r="I1232" t="b">
            <v>0</v>
          </cell>
          <cell r="J1232">
            <v>398459.77</v>
          </cell>
          <cell r="K1232">
            <v>0</v>
          </cell>
          <cell r="L1232">
            <v>0</v>
          </cell>
        </row>
        <row r="1233">
          <cell r="A1233" t="str">
            <v>10</v>
          </cell>
          <cell r="B1233" t="str">
            <v>20</v>
          </cell>
          <cell r="C1233" t="str">
            <v>10</v>
          </cell>
          <cell r="D1233" t="str">
            <v>3</v>
          </cell>
          <cell r="E1233" t="str">
            <v>0007</v>
          </cell>
          <cell r="F1233" t="str">
            <v>0004</v>
          </cell>
          <cell r="G1233" t="str">
            <v>113</v>
          </cell>
          <cell r="H1233" t="str">
            <v>收FVE99118#发票货款</v>
          </cell>
          <cell r="I1233" t="b">
            <v>0</v>
          </cell>
          <cell r="J1233">
            <v>567870.12</v>
          </cell>
          <cell r="K1233">
            <v>0</v>
          </cell>
          <cell r="L1233">
            <v>0</v>
          </cell>
        </row>
        <row r="1234">
          <cell r="A1234" t="str">
            <v>10</v>
          </cell>
          <cell r="B1234" t="str">
            <v>20</v>
          </cell>
          <cell r="C1234" t="str">
            <v>10</v>
          </cell>
          <cell r="D1234" t="str">
            <v>3</v>
          </cell>
          <cell r="E1234" t="str">
            <v>0008</v>
          </cell>
          <cell r="F1234" t="str">
            <v>0003</v>
          </cell>
          <cell r="G1234" t="str">
            <v>113</v>
          </cell>
          <cell r="H1234" t="str">
            <v>收ZLA00014#发票货款</v>
          </cell>
          <cell r="I1234" t="b">
            <v>0</v>
          </cell>
          <cell r="J1234">
            <v>1343334.04</v>
          </cell>
          <cell r="K1234">
            <v>0</v>
          </cell>
          <cell r="L1234">
            <v>0</v>
          </cell>
        </row>
        <row r="1235">
          <cell r="A1235" t="str">
            <v>10</v>
          </cell>
          <cell r="B1235" t="str">
            <v>22</v>
          </cell>
          <cell r="C1235" t="str">
            <v>10</v>
          </cell>
          <cell r="D1235" t="str">
            <v>4</v>
          </cell>
          <cell r="E1235" t="str">
            <v>0029</v>
          </cell>
          <cell r="F1235" t="str">
            <v>0001</v>
          </cell>
          <cell r="G1235" t="str">
            <v>113</v>
          </cell>
          <cell r="H1235" t="str">
            <v>付ZLA00014#发票海运费</v>
          </cell>
          <cell r="I1235" t="b">
            <v>1</v>
          </cell>
          <cell r="J1235">
            <v>69395.67</v>
          </cell>
          <cell r="K1235">
            <v>0</v>
          </cell>
          <cell r="L1235">
            <v>0</v>
          </cell>
        </row>
        <row r="1236">
          <cell r="A1236" t="str">
            <v>10</v>
          </cell>
          <cell r="B1236" t="str">
            <v>22</v>
          </cell>
          <cell r="C1236" t="str">
            <v>10</v>
          </cell>
          <cell r="D1236" t="str">
            <v>4</v>
          </cell>
          <cell r="E1236" t="str">
            <v>0029</v>
          </cell>
          <cell r="F1236" t="str">
            <v>0002</v>
          </cell>
          <cell r="G1236" t="str">
            <v>113</v>
          </cell>
          <cell r="H1236" t="str">
            <v>付ZLA00012.13#发票海运费</v>
          </cell>
          <cell r="I1236" t="b">
            <v>1</v>
          </cell>
          <cell r="J1236">
            <v>120634.05</v>
          </cell>
          <cell r="K1236">
            <v>0</v>
          </cell>
          <cell r="L1236">
            <v>0</v>
          </cell>
        </row>
        <row r="1237">
          <cell r="A1237" t="str">
            <v>10</v>
          </cell>
          <cell r="B1237" t="str">
            <v>22</v>
          </cell>
          <cell r="C1237" t="str">
            <v>10</v>
          </cell>
          <cell r="D1237" t="str">
            <v>4</v>
          </cell>
          <cell r="E1237" t="str">
            <v>0029</v>
          </cell>
          <cell r="F1237" t="str">
            <v>0003</v>
          </cell>
          <cell r="G1237" t="str">
            <v>113</v>
          </cell>
          <cell r="H1237" t="str">
            <v>付FVE99125#发票海运费</v>
          </cell>
          <cell r="I1237" t="b">
            <v>1</v>
          </cell>
          <cell r="J1237">
            <v>20395.86</v>
          </cell>
          <cell r="K1237">
            <v>0</v>
          </cell>
          <cell r="L1237">
            <v>0</v>
          </cell>
        </row>
        <row r="1238">
          <cell r="A1238" t="str">
            <v>10</v>
          </cell>
          <cell r="B1238" t="str">
            <v>22</v>
          </cell>
          <cell r="C1238" t="str">
            <v>10</v>
          </cell>
          <cell r="D1238" t="str">
            <v>4</v>
          </cell>
          <cell r="E1238" t="str">
            <v>0029</v>
          </cell>
          <cell r="F1238" t="str">
            <v>0004</v>
          </cell>
          <cell r="G1238" t="str">
            <v>113</v>
          </cell>
          <cell r="H1238" t="str">
            <v>付ZLA00015-00021#发票海运费</v>
          </cell>
          <cell r="I1238" t="b">
            <v>1</v>
          </cell>
          <cell r="J1238">
            <v>716839.86</v>
          </cell>
          <cell r="K1238">
            <v>0</v>
          </cell>
          <cell r="L1238">
            <v>0</v>
          </cell>
        </row>
        <row r="1239">
          <cell r="A1239" t="str">
            <v>10</v>
          </cell>
          <cell r="B1239" t="str">
            <v>28</v>
          </cell>
          <cell r="C1239" t="str">
            <v>10</v>
          </cell>
          <cell r="D1239" t="str">
            <v>5</v>
          </cell>
          <cell r="E1239" t="str">
            <v>0024</v>
          </cell>
          <cell r="F1239" t="str">
            <v>0002</v>
          </cell>
          <cell r="G1239" t="str">
            <v>113</v>
          </cell>
          <cell r="H1239" t="str">
            <v>转FVE9993#发票邮电费</v>
          </cell>
          <cell r="I1239" t="b">
            <v>0</v>
          </cell>
          <cell r="J1239">
            <v>256.24</v>
          </cell>
          <cell r="K1239">
            <v>0</v>
          </cell>
          <cell r="L1239">
            <v>0</v>
          </cell>
        </row>
        <row r="1240">
          <cell r="A1240" t="str">
            <v>10</v>
          </cell>
          <cell r="B1240" t="str">
            <v>28</v>
          </cell>
          <cell r="C1240" t="str">
            <v>10</v>
          </cell>
          <cell r="D1240" t="str">
            <v>5</v>
          </cell>
          <cell r="E1240" t="str">
            <v>0025</v>
          </cell>
          <cell r="F1240" t="str">
            <v>0001</v>
          </cell>
          <cell r="G1240" t="str">
            <v>113</v>
          </cell>
          <cell r="H1240" t="str">
            <v>转FVE9993发票出口收入</v>
          </cell>
          <cell r="I1240" t="b">
            <v>1</v>
          </cell>
          <cell r="J1240">
            <v>3808564.06</v>
          </cell>
          <cell r="K1240">
            <v>0</v>
          </cell>
          <cell r="L1240">
            <v>0</v>
          </cell>
        </row>
        <row r="1241">
          <cell r="A1241" t="str">
            <v>11</v>
          </cell>
          <cell r="B1241" t="str">
            <v>24</v>
          </cell>
          <cell r="C1241" t="str">
            <v>11</v>
          </cell>
          <cell r="D1241" t="str">
            <v>3</v>
          </cell>
          <cell r="E1241" t="str">
            <v>0008</v>
          </cell>
          <cell r="F1241" t="str">
            <v>0003</v>
          </cell>
          <cell r="G1241" t="str">
            <v>113</v>
          </cell>
          <cell r="H1241" t="str">
            <v>收ZLA00002#发票货款</v>
          </cell>
          <cell r="I1241" t="b">
            <v>0</v>
          </cell>
          <cell r="J1241">
            <v>288489.09000000003</v>
          </cell>
          <cell r="K1241">
            <v>0</v>
          </cell>
          <cell r="L1241">
            <v>0</v>
          </cell>
        </row>
        <row r="1242">
          <cell r="A1242" t="str">
            <v>11</v>
          </cell>
          <cell r="B1242" t="str">
            <v>24</v>
          </cell>
          <cell r="C1242" t="str">
            <v>11</v>
          </cell>
          <cell r="D1242" t="str">
            <v>3</v>
          </cell>
          <cell r="E1242" t="str">
            <v>0008</v>
          </cell>
          <cell r="F1242" t="str">
            <v>0004</v>
          </cell>
          <cell r="G1242" t="str">
            <v>113</v>
          </cell>
          <cell r="H1242" t="str">
            <v>收FVE99119#发票货款</v>
          </cell>
          <cell r="I1242" t="b">
            <v>0</v>
          </cell>
          <cell r="J1242">
            <v>398208.27</v>
          </cell>
          <cell r="K1242">
            <v>0</v>
          </cell>
          <cell r="L1242">
            <v>0</v>
          </cell>
        </row>
        <row r="1243">
          <cell r="A1243" t="str">
            <v>11</v>
          </cell>
          <cell r="B1243" t="str">
            <v>24</v>
          </cell>
          <cell r="C1243" t="str">
            <v>11</v>
          </cell>
          <cell r="D1243" t="str">
            <v>3</v>
          </cell>
          <cell r="E1243" t="str">
            <v>0008</v>
          </cell>
          <cell r="F1243" t="str">
            <v>0005</v>
          </cell>
          <cell r="G1243" t="str">
            <v>113</v>
          </cell>
          <cell r="H1243" t="str">
            <v>收ZLA00001#发票货款</v>
          </cell>
          <cell r="I1243" t="b">
            <v>0</v>
          </cell>
          <cell r="J1243">
            <v>750368.59</v>
          </cell>
          <cell r="K1243">
            <v>0</v>
          </cell>
          <cell r="L1243">
            <v>0</v>
          </cell>
        </row>
        <row r="1244">
          <cell r="A1244" t="str">
            <v>11</v>
          </cell>
          <cell r="B1244" t="str">
            <v>24</v>
          </cell>
          <cell r="C1244" t="str">
            <v>11</v>
          </cell>
          <cell r="D1244" t="str">
            <v>3</v>
          </cell>
          <cell r="E1244" t="str">
            <v>0009</v>
          </cell>
          <cell r="F1244" t="str">
            <v>0002</v>
          </cell>
          <cell r="G1244" t="str">
            <v>113</v>
          </cell>
          <cell r="H1244" t="str">
            <v>收ZLA00003#发票货款</v>
          </cell>
          <cell r="I1244" t="b">
            <v>0</v>
          </cell>
          <cell r="J1244">
            <v>750377.67</v>
          </cell>
          <cell r="K1244">
            <v>0</v>
          </cell>
          <cell r="L1244">
            <v>0</v>
          </cell>
        </row>
        <row r="1245">
          <cell r="A1245" t="str">
            <v>11</v>
          </cell>
          <cell r="B1245" t="str">
            <v>24</v>
          </cell>
          <cell r="C1245" t="str">
            <v>11</v>
          </cell>
          <cell r="D1245" t="str">
            <v>3</v>
          </cell>
          <cell r="E1245" t="str">
            <v>0009</v>
          </cell>
          <cell r="F1245" t="str">
            <v>0003</v>
          </cell>
          <cell r="G1245" t="str">
            <v>113</v>
          </cell>
          <cell r="H1245" t="str">
            <v>收ZLA00005#发票货款</v>
          </cell>
          <cell r="I1245" t="b">
            <v>0</v>
          </cell>
          <cell r="J1245">
            <v>288042.95</v>
          </cell>
          <cell r="K1245">
            <v>0</v>
          </cell>
          <cell r="L1245">
            <v>0</v>
          </cell>
        </row>
        <row r="1246">
          <cell r="A1246" t="str">
            <v>11</v>
          </cell>
          <cell r="B1246" t="str">
            <v>24</v>
          </cell>
          <cell r="C1246" t="str">
            <v>11</v>
          </cell>
          <cell r="D1246" t="str">
            <v>3</v>
          </cell>
          <cell r="E1246" t="str">
            <v>0009</v>
          </cell>
          <cell r="F1246" t="str">
            <v>0004</v>
          </cell>
          <cell r="G1246" t="str">
            <v>113</v>
          </cell>
          <cell r="H1246" t="str">
            <v>收ZLA00006#发票货款</v>
          </cell>
          <cell r="I1246" t="b">
            <v>0</v>
          </cell>
          <cell r="J1246">
            <v>432353.68</v>
          </cell>
          <cell r="K1246">
            <v>0</v>
          </cell>
          <cell r="L1246">
            <v>0</v>
          </cell>
        </row>
        <row r="1247">
          <cell r="A1247" t="str">
            <v>11</v>
          </cell>
          <cell r="B1247" t="str">
            <v>24</v>
          </cell>
          <cell r="C1247" t="str">
            <v>11</v>
          </cell>
          <cell r="D1247" t="str">
            <v>3</v>
          </cell>
          <cell r="E1247" t="str">
            <v>0009</v>
          </cell>
          <cell r="F1247" t="str">
            <v>0005</v>
          </cell>
          <cell r="G1247" t="str">
            <v>113</v>
          </cell>
          <cell r="H1247" t="str">
            <v>收FVE99122#发票货款</v>
          </cell>
          <cell r="I1247" t="b">
            <v>0</v>
          </cell>
          <cell r="J1247">
            <v>397883.26</v>
          </cell>
          <cell r="K1247">
            <v>0</v>
          </cell>
          <cell r="L1247">
            <v>0</v>
          </cell>
        </row>
        <row r="1248">
          <cell r="A1248" t="str">
            <v>11</v>
          </cell>
          <cell r="B1248" t="str">
            <v>24</v>
          </cell>
          <cell r="C1248" t="str">
            <v>11</v>
          </cell>
          <cell r="D1248" t="str">
            <v>3</v>
          </cell>
          <cell r="E1248" t="str">
            <v>0010</v>
          </cell>
          <cell r="F1248" t="str">
            <v>0002</v>
          </cell>
          <cell r="G1248" t="str">
            <v>113</v>
          </cell>
          <cell r="H1248" t="str">
            <v>收ZLA00028#发票货款</v>
          </cell>
          <cell r="I1248" t="b">
            <v>0</v>
          </cell>
          <cell r="J1248">
            <v>275156.01</v>
          </cell>
          <cell r="K1248">
            <v>0</v>
          </cell>
          <cell r="L1248">
            <v>0</v>
          </cell>
        </row>
        <row r="1249">
          <cell r="A1249" t="str">
            <v>11</v>
          </cell>
          <cell r="B1249" t="str">
            <v>24</v>
          </cell>
          <cell r="C1249" t="str">
            <v>11</v>
          </cell>
          <cell r="D1249" t="str">
            <v>3</v>
          </cell>
          <cell r="E1249" t="str">
            <v>0010</v>
          </cell>
          <cell r="F1249" t="str">
            <v>0003</v>
          </cell>
          <cell r="G1249" t="str">
            <v>113</v>
          </cell>
          <cell r="H1249" t="str">
            <v>收ZLA00007#发票货款</v>
          </cell>
          <cell r="I1249" t="b">
            <v>0</v>
          </cell>
          <cell r="J1249">
            <v>158555.66</v>
          </cell>
          <cell r="K1249">
            <v>0</v>
          </cell>
          <cell r="L1249">
            <v>0</v>
          </cell>
        </row>
        <row r="1250">
          <cell r="A1250" t="str">
            <v>11</v>
          </cell>
          <cell r="B1250" t="str">
            <v>24</v>
          </cell>
          <cell r="C1250" t="str">
            <v>11</v>
          </cell>
          <cell r="D1250" t="str">
            <v>3</v>
          </cell>
          <cell r="E1250" t="str">
            <v>0010</v>
          </cell>
          <cell r="F1250" t="str">
            <v>0004</v>
          </cell>
          <cell r="G1250" t="str">
            <v>113</v>
          </cell>
          <cell r="H1250" t="str">
            <v>收ZLB06#发票货款</v>
          </cell>
          <cell r="I1250" t="b">
            <v>0</v>
          </cell>
          <cell r="J1250">
            <v>809068.23</v>
          </cell>
          <cell r="K1250">
            <v>0</v>
          </cell>
          <cell r="L1250">
            <v>0</v>
          </cell>
        </row>
        <row r="1251">
          <cell r="A1251" t="str">
            <v>11</v>
          </cell>
          <cell r="B1251" t="str">
            <v>24</v>
          </cell>
          <cell r="C1251" t="str">
            <v>11</v>
          </cell>
          <cell r="D1251" t="str">
            <v>3</v>
          </cell>
          <cell r="E1251" t="str">
            <v>0011</v>
          </cell>
          <cell r="F1251" t="str">
            <v>0004</v>
          </cell>
          <cell r="G1251" t="str">
            <v>113</v>
          </cell>
          <cell r="H1251" t="str">
            <v>收FVE99117#发票货款</v>
          </cell>
          <cell r="I1251" t="b">
            <v>0</v>
          </cell>
          <cell r="J1251">
            <v>797142.7</v>
          </cell>
          <cell r="K1251">
            <v>0</v>
          </cell>
          <cell r="L1251">
            <v>0</v>
          </cell>
        </row>
        <row r="1252">
          <cell r="A1252" t="str">
            <v>11</v>
          </cell>
          <cell r="B1252" t="str">
            <v>24</v>
          </cell>
          <cell r="C1252" t="str">
            <v>11</v>
          </cell>
          <cell r="D1252" t="str">
            <v>3</v>
          </cell>
          <cell r="E1252" t="str">
            <v>0011</v>
          </cell>
          <cell r="F1252" t="str">
            <v>0005</v>
          </cell>
          <cell r="G1252" t="str">
            <v>113</v>
          </cell>
          <cell r="H1252" t="str">
            <v>收ZLA00025#发票货款</v>
          </cell>
          <cell r="I1252" t="b">
            <v>0</v>
          </cell>
          <cell r="J1252">
            <v>1492689.24</v>
          </cell>
          <cell r="K1252">
            <v>0</v>
          </cell>
          <cell r="L1252">
            <v>0</v>
          </cell>
        </row>
        <row r="1253">
          <cell r="A1253" t="str">
            <v>11</v>
          </cell>
          <cell r="B1253" t="str">
            <v>15</v>
          </cell>
          <cell r="C1253" t="str">
            <v>11</v>
          </cell>
          <cell r="D1253" t="str">
            <v>4</v>
          </cell>
          <cell r="E1253" t="str">
            <v>0020</v>
          </cell>
          <cell r="F1253" t="str">
            <v>0001</v>
          </cell>
          <cell r="G1253" t="str">
            <v>113</v>
          </cell>
          <cell r="H1253" t="str">
            <v>付ZLA00004#发票海运费</v>
          </cell>
          <cell r="I1253" t="b">
            <v>1</v>
          </cell>
          <cell r="J1253">
            <v>101579.45</v>
          </cell>
          <cell r="K1253">
            <v>0</v>
          </cell>
          <cell r="L1253">
            <v>0</v>
          </cell>
        </row>
        <row r="1254">
          <cell r="A1254" t="str">
            <v>11</v>
          </cell>
          <cell r="B1254" t="str">
            <v>15</v>
          </cell>
          <cell r="C1254" t="str">
            <v>11</v>
          </cell>
          <cell r="D1254" t="str">
            <v>4</v>
          </cell>
          <cell r="E1254" t="str">
            <v>0024</v>
          </cell>
          <cell r="F1254" t="str">
            <v>0001</v>
          </cell>
          <cell r="G1254" t="str">
            <v>113</v>
          </cell>
          <cell r="H1254" t="str">
            <v>付ZLA00030#.00028#发票海运费</v>
          </cell>
          <cell r="I1254" t="b">
            <v>1</v>
          </cell>
          <cell r="J1254">
            <v>80997.98</v>
          </cell>
          <cell r="K1254">
            <v>0</v>
          </cell>
          <cell r="L1254">
            <v>0</v>
          </cell>
        </row>
        <row r="1255">
          <cell r="A1255" t="str">
            <v>11</v>
          </cell>
          <cell r="B1255" t="str">
            <v>15</v>
          </cell>
          <cell r="C1255" t="str">
            <v>11</v>
          </cell>
          <cell r="D1255" t="str">
            <v>4</v>
          </cell>
          <cell r="E1255" t="str">
            <v>0024</v>
          </cell>
          <cell r="F1255" t="str">
            <v>0002</v>
          </cell>
          <cell r="G1255" t="str">
            <v>113</v>
          </cell>
          <cell r="H1255" t="str">
            <v>付ZLA00029P#发票海运费</v>
          </cell>
          <cell r="I1255" t="b">
            <v>1</v>
          </cell>
          <cell r="J1255">
            <v>121496.97</v>
          </cell>
          <cell r="K1255">
            <v>0</v>
          </cell>
          <cell r="L1255">
            <v>0</v>
          </cell>
        </row>
        <row r="1256">
          <cell r="A1256" t="str">
            <v>11</v>
          </cell>
          <cell r="B1256" t="str">
            <v>15</v>
          </cell>
          <cell r="C1256" t="str">
            <v>11</v>
          </cell>
          <cell r="D1256" t="str">
            <v>4</v>
          </cell>
          <cell r="E1256" t="str">
            <v>0025</v>
          </cell>
          <cell r="F1256" t="str">
            <v>0001</v>
          </cell>
          <cell r="G1256" t="str">
            <v>113</v>
          </cell>
          <cell r="H1256" t="str">
            <v>付FVE99127#发票海运费</v>
          </cell>
          <cell r="I1256" t="b">
            <v>1</v>
          </cell>
          <cell r="J1256">
            <v>2479.5300000000002</v>
          </cell>
          <cell r="K1256">
            <v>0</v>
          </cell>
          <cell r="L1256">
            <v>0</v>
          </cell>
        </row>
        <row r="1257">
          <cell r="A1257" t="str">
            <v>11</v>
          </cell>
          <cell r="B1257" t="str">
            <v>15</v>
          </cell>
          <cell r="C1257" t="str">
            <v>11</v>
          </cell>
          <cell r="D1257" t="str">
            <v>4</v>
          </cell>
          <cell r="E1257" t="str">
            <v>0025</v>
          </cell>
          <cell r="F1257" t="str">
            <v>0002</v>
          </cell>
          <cell r="G1257" t="str">
            <v>113</v>
          </cell>
          <cell r="H1257" t="str">
            <v>付ZLA00024#.22#/23#发票海运费</v>
          </cell>
          <cell r="I1257" t="b">
            <v>1</v>
          </cell>
          <cell r="J1257">
            <v>280186.89</v>
          </cell>
          <cell r="K1257">
            <v>0</v>
          </cell>
          <cell r="L1257">
            <v>0</v>
          </cell>
        </row>
        <row r="1258">
          <cell r="A1258" t="str">
            <v>11</v>
          </cell>
          <cell r="B1258" t="str">
            <v>15</v>
          </cell>
          <cell r="C1258" t="str">
            <v>11</v>
          </cell>
          <cell r="D1258" t="str">
            <v>4</v>
          </cell>
          <cell r="E1258" t="str">
            <v>0025</v>
          </cell>
          <cell r="F1258" t="str">
            <v>0003</v>
          </cell>
          <cell r="G1258" t="str">
            <v>113</v>
          </cell>
          <cell r="H1258" t="str">
            <v>付ZLA00025#发票海运费</v>
          </cell>
          <cell r="I1258" t="b">
            <v>1</v>
          </cell>
          <cell r="J1258">
            <v>76865.429999999993</v>
          </cell>
          <cell r="K1258">
            <v>0</v>
          </cell>
          <cell r="L1258">
            <v>0</v>
          </cell>
        </row>
        <row r="1259">
          <cell r="A1259" t="str">
            <v>11</v>
          </cell>
          <cell r="B1259" t="str">
            <v>26</v>
          </cell>
          <cell r="C1259" t="str">
            <v>11</v>
          </cell>
          <cell r="D1259" t="str">
            <v>5</v>
          </cell>
          <cell r="E1259" t="str">
            <v>0020</v>
          </cell>
          <cell r="F1259" t="str">
            <v>0001</v>
          </cell>
          <cell r="G1259" t="str">
            <v>113</v>
          </cell>
          <cell r="H1259" t="str">
            <v>转ZLA00027发票出口海运费</v>
          </cell>
          <cell r="I1259" t="b">
            <v>1</v>
          </cell>
          <cell r="J1259">
            <v>39672.480000000003</v>
          </cell>
          <cell r="K1259">
            <v>0</v>
          </cell>
          <cell r="L1259">
            <v>0</v>
          </cell>
        </row>
        <row r="1260">
          <cell r="A1260" t="str">
            <v>11</v>
          </cell>
          <cell r="B1260" t="str">
            <v>26</v>
          </cell>
          <cell r="C1260" t="str">
            <v>11</v>
          </cell>
          <cell r="D1260" t="str">
            <v>5</v>
          </cell>
          <cell r="E1260" t="str">
            <v>0020</v>
          </cell>
          <cell r="F1260" t="str">
            <v>0002</v>
          </cell>
          <cell r="G1260" t="str">
            <v>113</v>
          </cell>
          <cell r="H1260" t="str">
            <v>转ZLA00026P发票出口海运费</v>
          </cell>
          <cell r="I1260" t="b">
            <v>1</v>
          </cell>
          <cell r="J1260">
            <v>173567.1</v>
          </cell>
          <cell r="K1260">
            <v>0</v>
          </cell>
          <cell r="L1260">
            <v>0</v>
          </cell>
        </row>
        <row r="1261">
          <cell r="A1261" t="str">
            <v>11</v>
          </cell>
          <cell r="B1261" t="str">
            <v>30</v>
          </cell>
          <cell r="C1261" t="str">
            <v>11</v>
          </cell>
          <cell r="D1261" t="str">
            <v>5</v>
          </cell>
          <cell r="E1261" t="str">
            <v>0029</v>
          </cell>
          <cell r="F1261" t="str">
            <v>0001</v>
          </cell>
          <cell r="G1261" t="str">
            <v>113</v>
          </cell>
          <cell r="H1261" t="str">
            <v>转ZLB05发票出口收入</v>
          </cell>
          <cell r="I1261" t="b">
            <v>1</v>
          </cell>
          <cell r="J1261">
            <v>485577.69</v>
          </cell>
          <cell r="K1261">
            <v>0</v>
          </cell>
          <cell r="L1261">
            <v>0</v>
          </cell>
        </row>
        <row r="1262">
          <cell r="A1262" t="str">
            <v>12</v>
          </cell>
          <cell r="B1262" t="str">
            <v>18</v>
          </cell>
          <cell r="C1262" t="str">
            <v>12</v>
          </cell>
          <cell r="D1262" t="str">
            <v>3</v>
          </cell>
          <cell r="E1262" t="str">
            <v>0007</v>
          </cell>
          <cell r="F1262" t="str">
            <v>0002</v>
          </cell>
          <cell r="G1262" t="str">
            <v>113</v>
          </cell>
          <cell r="H1262" t="str">
            <v>收ZLA00021#发票货款</v>
          </cell>
          <cell r="I1262" t="b">
            <v>0</v>
          </cell>
          <cell r="J1262">
            <v>272782.14</v>
          </cell>
          <cell r="K1262">
            <v>0</v>
          </cell>
          <cell r="L1262">
            <v>0</v>
          </cell>
        </row>
        <row r="1263">
          <cell r="A1263" t="str">
            <v>12</v>
          </cell>
          <cell r="B1263" t="str">
            <v>18</v>
          </cell>
          <cell r="C1263" t="str">
            <v>12</v>
          </cell>
          <cell r="D1263" t="str">
            <v>3</v>
          </cell>
          <cell r="E1263" t="str">
            <v>0007</v>
          </cell>
          <cell r="F1263" t="str">
            <v>0003</v>
          </cell>
          <cell r="G1263" t="str">
            <v>113</v>
          </cell>
          <cell r="H1263" t="str">
            <v>收ZLA00016#发票货款</v>
          </cell>
          <cell r="I1263" t="b">
            <v>0</v>
          </cell>
          <cell r="J1263">
            <v>275960.71000000002</v>
          </cell>
          <cell r="K1263">
            <v>0</v>
          </cell>
          <cell r="L1263">
            <v>0</v>
          </cell>
        </row>
        <row r="1264">
          <cell r="A1264" t="str">
            <v>12</v>
          </cell>
          <cell r="B1264" t="str">
            <v>18</v>
          </cell>
          <cell r="C1264" t="str">
            <v>12</v>
          </cell>
          <cell r="D1264" t="str">
            <v>3</v>
          </cell>
          <cell r="E1264" t="str">
            <v>0007</v>
          </cell>
          <cell r="F1264" t="str">
            <v>0004</v>
          </cell>
          <cell r="G1264" t="str">
            <v>113</v>
          </cell>
          <cell r="H1264" t="str">
            <v>收ZLA00015P#发票货款</v>
          </cell>
          <cell r="I1264" t="b">
            <v>0</v>
          </cell>
          <cell r="J1264">
            <v>897697.31</v>
          </cell>
          <cell r="K1264">
            <v>0</v>
          </cell>
          <cell r="L1264">
            <v>0</v>
          </cell>
        </row>
        <row r="1265">
          <cell r="A1265" t="str">
            <v>12</v>
          </cell>
          <cell r="B1265" t="str">
            <v>20</v>
          </cell>
          <cell r="C1265" t="str">
            <v>12</v>
          </cell>
          <cell r="D1265" t="str">
            <v>3</v>
          </cell>
          <cell r="E1265" t="str">
            <v>0008</v>
          </cell>
          <cell r="F1265" t="str">
            <v>0002</v>
          </cell>
          <cell r="G1265" t="str">
            <v>113</v>
          </cell>
          <cell r="H1265" t="str">
            <v>收ZLA00039#发票货款</v>
          </cell>
          <cell r="I1265" t="b">
            <v>0</v>
          </cell>
          <cell r="J1265">
            <v>276063.51</v>
          </cell>
          <cell r="K1265">
            <v>0</v>
          </cell>
          <cell r="L1265">
            <v>0</v>
          </cell>
        </row>
        <row r="1266">
          <cell r="A1266" t="str">
            <v>12</v>
          </cell>
          <cell r="B1266" t="str">
            <v>20</v>
          </cell>
          <cell r="C1266" t="str">
            <v>12</v>
          </cell>
          <cell r="D1266" t="str">
            <v>3</v>
          </cell>
          <cell r="E1266" t="str">
            <v>0008</v>
          </cell>
          <cell r="F1266" t="str">
            <v>0003</v>
          </cell>
          <cell r="G1266" t="str">
            <v>113</v>
          </cell>
          <cell r="H1266" t="str">
            <v>收ZLA00033#发票货款</v>
          </cell>
          <cell r="I1266" t="b">
            <v>0</v>
          </cell>
          <cell r="J1266">
            <v>414337.01</v>
          </cell>
          <cell r="K1266">
            <v>0</v>
          </cell>
          <cell r="L1266">
            <v>0</v>
          </cell>
        </row>
        <row r="1267">
          <cell r="A1267" t="str">
            <v>12</v>
          </cell>
          <cell r="B1267" t="str">
            <v>20</v>
          </cell>
          <cell r="C1267" t="str">
            <v>12</v>
          </cell>
          <cell r="D1267" t="str">
            <v>3</v>
          </cell>
          <cell r="E1267" t="str">
            <v>0008</v>
          </cell>
          <cell r="F1267" t="str">
            <v>0004</v>
          </cell>
          <cell r="G1267" t="str">
            <v>113</v>
          </cell>
          <cell r="H1267" t="str">
            <v>收ZLA00034#发票货款</v>
          </cell>
          <cell r="I1267" t="b">
            <v>0</v>
          </cell>
          <cell r="J1267">
            <v>140650.60999999999</v>
          </cell>
          <cell r="K1267">
            <v>0</v>
          </cell>
          <cell r="L1267">
            <v>0</v>
          </cell>
        </row>
        <row r="1268">
          <cell r="A1268" t="str">
            <v>12</v>
          </cell>
          <cell r="B1268" t="str">
            <v>20</v>
          </cell>
          <cell r="C1268" t="str">
            <v>12</v>
          </cell>
          <cell r="D1268" t="str">
            <v>3</v>
          </cell>
          <cell r="E1268" t="str">
            <v>0009</v>
          </cell>
          <cell r="F1268" t="str">
            <v>0002</v>
          </cell>
          <cell r="G1268" t="str">
            <v>113</v>
          </cell>
          <cell r="H1268" t="str">
            <v>收ZLA00010#发票货款</v>
          </cell>
          <cell r="I1268" t="b">
            <v>0</v>
          </cell>
          <cell r="J1268">
            <v>682971.79</v>
          </cell>
          <cell r="K1268">
            <v>0</v>
          </cell>
          <cell r="L1268">
            <v>0</v>
          </cell>
        </row>
        <row r="1269">
          <cell r="A1269" t="str">
            <v>12</v>
          </cell>
          <cell r="B1269" t="str">
            <v>20</v>
          </cell>
          <cell r="C1269" t="str">
            <v>12</v>
          </cell>
          <cell r="D1269" t="str">
            <v>3</v>
          </cell>
          <cell r="E1269" t="str">
            <v>0009</v>
          </cell>
          <cell r="F1269" t="str">
            <v>0003</v>
          </cell>
          <cell r="G1269" t="str">
            <v>113</v>
          </cell>
          <cell r="H1269" t="str">
            <v>收FVE99121#发票货款</v>
          </cell>
          <cell r="I1269" t="b">
            <v>0</v>
          </cell>
          <cell r="J1269">
            <v>796518.38</v>
          </cell>
          <cell r="K1269">
            <v>0</v>
          </cell>
          <cell r="L1269">
            <v>0</v>
          </cell>
        </row>
        <row r="1270">
          <cell r="A1270" t="str">
            <v>12</v>
          </cell>
          <cell r="B1270" t="str">
            <v>20</v>
          </cell>
          <cell r="C1270" t="str">
            <v>12</v>
          </cell>
          <cell r="D1270" t="str">
            <v>3</v>
          </cell>
          <cell r="E1270" t="str">
            <v>0009</v>
          </cell>
          <cell r="F1270" t="str">
            <v>0004</v>
          </cell>
          <cell r="G1270" t="str">
            <v>113</v>
          </cell>
          <cell r="H1270" t="str">
            <v>收ZLA00011#发票货款</v>
          </cell>
          <cell r="I1270" t="b">
            <v>0</v>
          </cell>
          <cell r="J1270">
            <v>682839.6</v>
          </cell>
          <cell r="K1270">
            <v>0</v>
          </cell>
          <cell r="L1270">
            <v>0</v>
          </cell>
        </row>
        <row r="1271">
          <cell r="A1271" t="str">
            <v>12</v>
          </cell>
          <cell r="B1271" t="str">
            <v>20</v>
          </cell>
          <cell r="C1271" t="str">
            <v>12</v>
          </cell>
          <cell r="D1271" t="str">
            <v>3</v>
          </cell>
          <cell r="E1271" t="str">
            <v>0010</v>
          </cell>
          <cell r="F1271" t="str">
            <v>0003</v>
          </cell>
          <cell r="G1271" t="str">
            <v>113</v>
          </cell>
          <cell r="H1271" t="str">
            <v>收ZLA00013P#发票货款</v>
          </cell>
          <cell r="I1271" t="b">
            <v>0</v>
          </cell>
          <cell r="J1271">
            <v>598885.97</v>
          </cell>
          <cell r="K1271">
            <v>0</v>
          </cell>
          <cell r="L1271">
            <v>0</v>
          </cell>
        </row>
        <row r="1272">
          <cell r="A1272" t="str">
            <v>12</v>
          </cell>
          <cell r="B1272" t="str">
            <v>20</v>
          </cell>
          <cell r="C1272" t="str">
            <v>12</v>
          </cell>
          <cell r="D1272" t="str">
            <v>3</v>
          </cell>
          <cell r="E1272" t="str">
            <v>0011</v>
          </cell>
          <cell r="F1272" t="str">
            <v>0002</v>
          </cell>
          <cell r="G1272" t="str">
            <v>113</v>
          </cell>
          <cell r="H1272" t="str">
            <v>收FVE99123#发票货款</v>
          </cell>
          <cell r="I1272" t="b">
            <v>0</v>
          </cell>
          <cell r="J1272">
            <v>377490.38</v>
          </cell>
          <cell r="K1272">
            <v>0</v>
          </cell>
          <cell r="L1272">
            <v>0</v>
          </cell>
        </row>
        <row r="1273">
          <cell r="A1273" t="str">
            <v>12</v>
          </cell>
          <cell r="B1273" t="str">
            <v>20</v>
          </cell>
          <cell r="C1273" t="str">
            <v>12</v>
          </cell>
          <cell r="D1273" t="str">
            <v>3</v>
          </cell>
          <cell r="E1273" t="str">
            <v>0011</v>
          </cell>
          <cell r="F1273" t="str">
            <v>0003</v>
          </cell>
          <cell r="G1273" t="str">
            <v>113</v>
          </cell>
          <cell r="H1273" t="str">
            <v>收FVE99125#发票货款</v>
          </cell>
          <cell r="I1273" t="b">
            <v>0</v>
          </cell>
          <cell r="J1273">
            <v>136124.82999999999</v>
          </cell>
          <cell r="K1273">
            <v>0</v>
          </cell>
          <cell r="L1273">
            <v>0</v>
          </cell>
        </row>
        <row r="1274">
          <cell r="A1274" t="str">
            <v>12</v>
          </cell>
          <cell r="B1274" t="str">
            <v>20</v>
          </cell>
          <cell r="C1274" t="str">
            <v>12</v>
          </cell>
          <cell r="D1274" t="str">
            <v>3</v>
          </cell>
          <cell r="E1274" t="str">
            <v>0011</v>
          </cell>
          <cell r="F1274" t="str">
            <v>0004</v>
          </cell>
          <cell r="G1274" t="str">
            <v>113</v>
          </cell>
          <cell r="H1274" t="str">
            <v>收FVE99126#发票货款</v>
          </cell>
          <cell r="I1274" t="b">
            <v>0</v>
          </cell>
          <cell r="J1274">
            <v>755495.35</v>
          </cell>
          <cell r="K1274">
            <v>0</v>
          </cell>
          <cell r="L1274">
            <v>0</v>
          </cell>
        </row>
        <row r="1275">
          <cell r="A1275" t="str">
            <v>12</v>
          </cell>
          <cell r="B1275" t="str">
            <v>21</v>
          </cell>
          <cell r="C1275" t="str">
            <v>12</v>
          </cell>
          <cell r="D1275" t="str">
            <v>3</v>
          </cell>
          <cell r="E1275" t="str">
            <v>0014</v>
          </cell>
          <cell r="F1275" t="str">
            <v>0002</v>
          </cell>
          <cell r="G1275" t="str">
            <v>113</v>
          </cell>
          <cell r="H1275" t="str">
            <v>收ZLA00019P#发票货款</v>
          </cell>
          <cell r="I1275" t="b">
            <v>0</v>
          </cell>
          <cell r="J1275">
            <v>897492.81</v>
          </cell>
          <cell r="K1275">
            <v>0</v>
          </cell>
          <cell r="L1275">
            <v>0</v>
          </cell>
        </row>
        <row r="1276">
          <cell r="A1276" t="str">
            <v>12</v>
          </cell>
          <cell r="B1276" t="str">
            <v>25</v>
          </cell>
          <cell r="C1276" t="str">
            <v>12</v>
          </cell>
          <cell r="D1276" t="str">
            <v>3</v>
          </cell>
          <cell r="E1276" t="str">
            <v>0019</v>
          </cell>
          <cell r="F1276" t="str">
            <v>0002</v>
          </cell>
          <cell r="G1276" t="str">
            <v>113</v>
          </cell>
          <cell r="H1276" t="str">
            <v>收ZLA00040#发票货款</v>
          </cell>
          <cell r="I1276" t="b">
            <v>0</v>
          </cell>
          <cell r="J1276">
            <v>133798.85</v>
          </cell>
          <cell r="K1276">
            <v>0</v>
          </cell>
          <cell r="L1276">
            <v>0</v>
          </cell>
        </row>
        <row r="1277">
          <cell r="A1277" t="str">
            <v>12</v>
          </cell>
          <cell r="B1277" t="str">
            <v>25</v>
          </cell>
          <cell r="C1277" t="str">
            <v>12</v>
          </cell>
          <cell r="D1277" t="str">
            <v>3</v>
          </cell>
          <cell r="E1277" t="str">
            <v>0019</v>
          </cell>
          <cell r="F1277" t="str">
            <v>0004</v>
          </cell>
          <cell r="G1277" t="str">
            <v>113</v>
          </cell>
          <cell r="H1277" t="str">
            <v>收货款</v>
          </cell>
          <cell r="I1277" t="b">
            <v>0</v>
          </cell>
          <cell r="J1277">
            <v>5785.71</v>
          </cell>
          <cell r="K1277">
            <v>0</v>
          </cell>
          <cell r="L1277">
            <v>0</v>
          </cell>
        </row>
        <row r="1278">
          <cell r="A1278" t="str">
            <v>12</v>
          </cell>
          <cell r="B1278" t="str">
            <v>21</v>
          </cell>
          <cell r="C1278" t="str">
            <v>12</v>
          </cell>
          <cell r="D1278" t="str">
            <v>4</v>
          </cell>
          <cell r="E1278" t="str">
            <v>0044</v>
          </cell>
          <cell r="F1278" t="str">
            <v>0001</v>
          </cell>
          <cell r="G1278" t="str">
            <v>113</v>
          </cell>
          <cell r="H1278" t="str">
            <v>付ZLA00043#发票海运费</v>
          </cell>
          <cell r="I1278" t="b">
            <v>1</v>
          </cell>
          <cell r="J1278">
            <v>52897.919999999998</v>
          </cell>
          <cell r="K1278">
            <v>0</v>
          </cell>
          <cell r="L1278">
            <v>0</v>
          </cell>
        </row>
        <row r="1279">
          <cell r="A1279" t="str">
            <v>12</v>
          </cell>
          <cell r="B1279" t="str">
            <v>21</v>
          </cell>
          <cell r="C1279" t="str">
            <v>12</v>
          </cell>
          <cell r="D1279" t="str">
            <v>4</v>
          </cell>
          <cell r="E1279" t="str">
            <v>0045</v>
          </cell>
          <cell r="F1279" t="str">
            <v>0001</v>
          </cell>
          <cell r="G1279" t="str">
            <v>113</v>
          </cell>
          <cell r="H1279" t="str">
            <v>付ZLA00041#发票海运费</v>
          </cell>
          <cell r="I1279" t="b">
            <v>1</v>
          </cell>
          <cell r="J1279">
            <v>26448.959999999999</v>
          </cell>
          <cell r="K1279">
            <v>0</v>
          </cell>
          <cell r="L1279">
            <v>0</v>
          </cell>
        </row>
        <row r="1280">
          <cell r="A1280" t="str">
            <v>12</v>
          </cell>
          <cell r="B1280" t="str">
            <v>21</v>
          </cell>
          <cell r="C1280" t="str">
            <v>12</v>
          </cell>
          <cell r="D1280" t="str">
            <v>4</v>
          </cell>
          <cell r="E1280" t="str">
            <v>0045</v>
          </cell>
          <cell r="F1280" t="str">
            <v>0002</v>
          </cell>
          <cell r="G1280" t="str">
            <v>113</v>
          </cell>
          <cell r="H1280" t="str">
            <v>付ZLA00042P#发票海运费</v>
          </cell>
          <cell r="I1280" t="b">
            <v>1</v>
          </cell>
          <cell r="J1280">
            <v>121499.91</v>
          </cell>
          <cell r="K1280">
            <v>0</v>
          </cell>
          <cell r="L1280">
            <v>0</v>
          </cell>
        </row>
        <row r="1281">
          <cell r="A1281" t="str">
            <v>12</v>
          </cell>
          <cell r="B1281" t="str">
            <v>21</v>
          </cell>
          <cell r="C1281" t="str">
            <v>12</v>
          </cell>
          <cell r="D1281" t="str">
            <v>4</v>
          </cell>
          <cell r="E1281" t="str">
            <v>0045</v>
          </cell>
          <cell r="F1281" t="str">
            <v>0003</v>
          </cell>
          <cell r="G1281" t="str">
            <v>113</v>
          </cell>
          <cell r="H1281" t="str">
            <v>付ZLA00046#发票海运费</v>
          </cell>
          <cell r="I1281" t="b">
            <v>1</v>
          </cell>
          <cell r="J1281">
            <v>77693.820000000007</v>
          </cell>
          <cell r="K1281">
            <v>0</v>
          </cell>
          <cell r="L1281">
            <v>0</v>
          </cell>
        </row>
        <row r="1282">
          <cell r="A1282" t="str">
            <v>12</v>
          </cell>
          <cell r="B1282" t="str">
            <v>21</v>
          </cell>
          <cell r="C1282" t="str">
            <v>12</v>
          </cell>
          <cell r="D1282" t="str">
            <v>4</v>
          </cell>
          <cell r="E1282" t="str">
            <v>0045</v>
          </cell>
          <cell r="F1282" t="str">
            <v>0004</v>
          </cell>
          <cell r="G1282" t="str">
            <v>113</v>
          </cell>
          <cell r="H1282" t="str">
            <v>付ZLA00044#发票海运费</v>
          </cell>
          <cell r="I1282" t="b">
            <v>1</v>
          </cell>
          <cell r="J1282">
            <v>19423.46</v>
          </cell>
          <cell r="K1282">
            <v>0</v>
          </cell>
          <cell r="L1282">
            <v>0</v>
          </cell>
        </row>
        <row r="1283">
          <cell r="A1283" t="str">
            <v>12</v>
          </cell>
          <cell r="B1283" t="str">
            <v>21</v>
          </cell>
          <cell r="C1283" t="str">
            <v>12</v>
          </cell>
          <cell r="D1283" t="str">
            <v>4</v>
          </cell>
          <cell r="E1283" t="str">
            <v>0045</v>
          </cell>
          <cell r="F1283" t="str">
            <v>0005</v>
          </cell>
          <cell r="G1283" t="str">
            <v>113</v>
          </cell>
          <cell r="H1283" t="str">
            <v>付ZLA00045#发票海运费</v>
          </cell>
          <cell r="I1283" t="b">
            <v>1</v>
          </cell>
          <cell r="J1283">
            <v>58270.37</v>
          </cell>
          <cell r="K1283">
            <v>0</v>
          </cell>
          <cell r="L1283">
            <v>0</v>
          </cell>
        </row>
        <row r="1284">
          <cell r="A1284" t="str">
            <v>12</v>
          </cell>
          <cell r="B1284" t="str">
            <v>21</v>
          </cell>
          <cell r="C1284" t="str">
            <v>12</v>
          </cell>
          <cell r="D1284" t="str">
            <v>4</v>
          </cell>
          <cell r="E1284" t="str">
            <v>0045</v>
          </cell>
          <cell r="F1284" t="str">
            <v>0006</v>
          </cell>
          <cell r="G1284" t="str">
            <v>113</v>
          </cell>
          <cell r="H1284" t="str">
            <v>付ZLA00040#发票海运费</v>
          </cell>
          <cell r="I1284" t="b">
            <v>1</v>
          </cell>
          <cell r="J1284">
            <v>20249.990000000002</v>
          </cell>
          <cell r="K1284">
            <v>0</v>
          </cell>
          <cell r="L1284">
            <v>0</v>
          </cell>
        </row>
        <row r="1285">
          <cell r="A1285" t="str">
            <v>12</v>
          </cell>
          <cell r="B1285" t="str">
            <v>21</v>
          </cell>
          <cell r="C1285" t="str">
            <v>12</v>
          </cell>
          <cell r="D1285" t="str">
            <v>4</v>
          </cell>
          <cell r="E1285" t="str">
            <v>0045</v>
          </cell>
          <cell r="F1285" t="str">
            <v>0007</v>
          </cell>
          <cell r="G1285" t="str">
            <v>113</v>
          </cell>
          <cell r="H1285" t="str">
            <v>付ZLA00047P#发票海运费</v>
          </cell>
          <cell r="I1285" t="b">
            <v>1</v>
          </cell>
          <cell r="J1285">
            <v>116540.73</v>
          </cell>
          <cell r="K1285">
            <v>0</v>
          </cell>
          <cell r="L1285">
            <v>0</v>
          </cell>
        </row>
        <row r="1286">
          <cell r="A1286" t="str">
            <v>12</v>
          </cell>
          <cell r="B1286" t="str">
            <v>21</v>
          </cell>
          <cell r="C1286" t="str">
            <v>12</v>
          </cell>
          <cell r="D1286" t="str">
            <v>4</v>
          </cell>
          <cell r="E1286" t="str">
            <v>0045</v>
          </cell>
          <cell r="F1286" t="str">
            <v>0008</v>
          </cell>
          <cell r="G1286" t="str">
            <v>113</v>
          </cell>
          <cell r="H1286" t="str">
            <v>付ZLA00039#发票海运费</v>
          </cell>
          <cell r="I1286" t="b">
            <v>1</v>
          </cell>
          <cell r="J1286">
            <v>38846.910000000003</v>
          </cell>
          <cell r="K1286">
            <v>0</v>
          </cell>
          <cell r="L1286">
            <v>0</v>
          </cell>
        </row>
        <row r="1287">
          <cell r="A1287" t="str">
            <v>12</v>
          </cell>
          <cell r="B1287" t="str">
            <v>22</v>
          </cell>
          <cell r="C1287" t="str">
            <v>12</v>
          </cell>
          <cell r="D1287" t="str">
            <v>5</v>
          </cell>
          <cell r="E1287" t="str">
            <v>0018</v>
          </cell>
          <cell r="F1287" t="str">
            <v>0001</v>
          </cell>
          <cell r="G1287" t="str">
            <v>113</v>
          </cell>
          <cell r="H1287" t="str">
            <v>转ZLA0035.31P.36P.37P#海运费</v>
          </cell>
          <cell r="I1287" t="b">
            <v>1</v>
          </cell>
          <cell r="J1287">
            <v>293418.15000000002</v>
          </cell>
          <cell r="K1287">
            <v>0</v>
          </cell>
          <cell r="L1287">
            <v>0</v>
          </cell>
        </row>
        <row r="1288">
          <cell r="A1288" t="str">
            <v>12</v>
          </cell>
          <cell r="B1288" t="str">
            <v>22</v>
          </cell>
          <cell r="C1288" t="str">
            <v>12</v>
          </cell>
          <cell r="D1288" t="str">
            <v>5</v>
          </cell>
          <cell r="E1288" t="str">
            <v>0018</v>
          </cell>
          <cell r="F1288" t="str">
            <v>0002</v>
          </cell>
          <cell r="G1288" t="str">
            <v>113</v>
          </cell>
          <cell r="H1288" t="str">
            <v>转ZLA0033.34#海运费</v>
          </cell>
          <cell r="I1288" t="b">
            <v>1</v>
          </cell>
          <cell r="J1288">
            <v>80586.679999999993</v>
          </cell>
          <cell r="K1288">
            <v>0</v>
          </cell>
          <cell r="L1288">
            <v>0</v>
          </cell>
        </row>
        <row r="1289">
          <cell r="A1289" t="str">
            <v>12</v>
          </cell>
          <cell r="B1289" t="str">
            <v>22</v>
          </cell>
          <cell r="C1289" t="str">
            <v>12</v>
          </cell>
          <cell r="D1289" t="str">
            <v>5</v>
          </cell>
          <cell r="E1289" t="str">
            <v>0018</v>
          </cell>
          <cell r="F1289" t="str">
            <v>0003</v>
          </cell>
          <cell r="G1289" t="str">
            <v>113</v>
          </cell>
          <cell r="H1289" t="str">
            <v>转ZLA0038海运费</v>
          </cell>
          <cell r="I1289" t="b">
            <v>1</v>
          </cell>
          <cell r="J1289">
            <v>2479.59</v>
          </cell>
          <cell r="K1289">
            <v>0</v>
          </cell>
          <cell r="L1289">
            <v>0</v>
          </cell>
        </row>
        <row r="1290">
          <cell r="A1290" t="str">
            <v>12</v>
          </cell>
          <cell r="B1290" t="str">
            <v>23</v>
          </cell>
          <cell r="C1290" t="str">
            <v>12</v>
          </cell>
          <cell r="D1290" t="str">
            <v>5</v>
          </cell>
          <cell r="E1290" t="str">
            <v>0022</v>
          </cell>
          <cell r="F1290" t="str">
            <v>0001</v>
          </cell>
          <cell r="G1290" t="str">
            <v>113</v>
          </cell>
          <cell r="H1290" t="str">
            <v>转ZLA00032发票海运费</v>
          </cell>
          <cell r="I1290" t="b">
            <v>1</v>
          </cell>
          <cell r="J1290">
            <v>39673.440000000002</v>
          </cell>
          <cell r="K1290">
            <v>0</v>
          </cell>
          <cell r="L1290">
            <v>0</v>
          </cell>
        </row>
        <row r="1291">
          <cell r="A1291" t="str">
            <v>12</v>
          </cell>
          <cell r="B1291" t="str">
            <v>23</v>
          </cell>
          <cell r="C1291" t="str">
            <v>12</v>
          </cell>
          <cell r="D1291" t="str">
            <v>5</v>
          </cell>
          <cell r="E1291" t="str">
            <v>0023</v>
          </cell>
          <cell r="F1291" t="str">
            <v>0004</v>
          </cell>
          <cell r="G1291" t="str">
            <v>113</v>
          </cell>
          <cell r="H1291" t="str">
            <v>转收货款</v>
          </cell>
          <cell r="I1291" t="b">
            <v>0</v>
          </cell>
          <cell r="J1291">
            <v>125125</v>
          </cell>
          <cell r="K1291">
            <v>0</v>
          </cell>
          <cell r="L1291">
            <v>0</v>
          </cell>
        </row>
        <row r="1292">
          <cell r="A1292" t="str">
            <v>12</v>
          </cell>
          <cell r="B1292" t="str">
            <v>27</v>
          </cell>
          <cell r="C1292" t="str">
            <v>12</v>
          </cell>
          <cell r="D1292" t="str">
            <v>5</v>
          </cell>
          <cell r="E1292" t="str">
            <v>0038</v>
          </cell>
          <cell r="F1292" t="str">
            <v>0001</v>
          </cell>
          <cell r="G1292" t="str">
            <v>113</v>
          </cell>
          <cell r="H1292" t="str">
            <v>转代收尚进果汁款</v>
          </cell>
          <cell r="I1292" t="b">
            <v>1</v>
          </cell>
          <cell r="J1292">
            <v>1295.9000000000001</v>
          </cell>
          <cell r="K1292">
            <v>0</v>
          </cell>
          <cell r="L1292">
            <v>0</v>
          </cell>
        </row>
        <row r="1293">
          <cell r="A1293" t="str">
            <v>12</v>
          </cell>
          <cell r="B1293" t="str">
            <v>28</v>
          </cell>
          <cell r="C1293" t="str">
            <v>12</v>
          </cell>
          <cell r="D1293" t="str">
            <v>5</v>
          </cell>
          <cell r="E1293" t="str">
            <v>0046</v>
          </cell>
          <cell r="F1293" t="str">
            <v>0001</v>
          </cell>
          <cell r="G1293" t="str">
            <v>113</v>
          </cell>
          <cell r="H1293" t="str">
            <v>转ZLB06发票出口收入</v>
          </cell>
          <cell r="I1293" t="b">
            <v>1</v>
          </cell>
          <cell r="J1293">
            <v>809068.23</v>
          </cell>
          <cell r="K1293">
            <v>0</v>
          </cell>
          <cell r="L1293">
            <v>0</v>
          </cell>
        </row>
        <row r="1294">
          <cell r="A1294" t="str">
            <v>12</v>
          </cell>
          <cell r="B1294" t="str">
            <v>28</v>
          </cell>
          <cell r="C1294" t="str">
            <v>12</v>
          </cell>
          <cell r="D1294" t="str">
            <v>5</v>
          </cell>
          <cell r="E1294" t="str">
            <v>0046</v>
          </cell>
          <cell r="F1294" t="str">
            <v>0004</v>
          </cell>
          <cell r="G1294" t="str">
            <v>113</v>
          </cell>
          <cell r="H1294" t="str">
            <v>转FVE99112发票出口收入</v>
          </cell>
          <cell r="I1294" t="b">
            <v>1</v>
          </cell>
          <cell r="J1294">
            <v>157512.14000000001</v>
          </cell>
          <cell r="K1294">
            <v>0</v>
          </cell>
          <cell r="L1294">
            <v>0</v>
          </cell>
        </row>
        <row r="1295">
          <cell r="A1295" t="str">
            <v>12</v>
          </cell>
          <cell r="B1295" t="str">
            <v>28</v>
          </cell>
          <cell r="C1295" t="str">
            <v>12</v>
          </cell>
          <cell r="D1295" t="str">
            <v>5</v>
          </cell>
          <cell r="E1295" t="str">
            <v>0046</v>
          </cell>
          <cell r="F1295" t="str">
            <v>0007</v>
          </cell>
          <cell r="G1295" t="str">
            <v>113</v>
          </cell>
          <cell r="H1295" t="str">
            <v>转FVE99113发票出口收入</v>
          </cell>
          <cell r="I1295" t="b">
            <v>1</v>
          </cell>
          <cell r="J1295">
            <v>144804.91</v>
          </cell>
          <cell r="K1295">
            <v>0</v>
          </cell>
          <cell r="L1295">
            <v>0</v>
          </cell>
        </row>
        <row r="1296">
          <cell r="A1296" t="str">
            <v>12</v>
          </cell>
          <cell r="B1296" t="str">
            <v>28</v>
          </cell>
          <cell r="C1296" t="str">
            <v>12</v>
          </cell>
          <cell r="D1296" t="str">
            <v>5</v>
          </cell>
          <cell r="E1296" t="str">
            <v>0046</v>
          </cell>
          <cell r="F1296" t="str">
            <v>0010</v>
          </cell>
          <cell r="G1296" t="str">
            <v>113</v>
          </cell>
          <cell r="H1296" t="str">
            <v>转FVE99114发票出口收入</v>
          </cell>
          <cell r="I1296" t="b">
            <v>1</v>
          </cell>
          <cell r="J1296">
            <v>149759.56</v>
          </cell>
          <cell r="K1296">
            <v>0</v>
          </cell>
          <cell r="L1296">
            <v>0</v>
          </cell>
        </row>
        <row r="1297">
          <cell r="A1297" t="str">
            <v>12</v>
          </cell>
          <cell r="B1297" t="str">
            <v>28</v>
          </cell>
          <cell r="C1297" t="str">
            <v>12</v>
          </cell>
          <cell r="D1297" t="str">
            <v>5</v>
          </cell>
          <cell r="E1297" t="str">
            <v>0046</v>
          </cell>
          <cell r="F1297" t="str">
            <v>0013</v>
          </cell>
          <cell r="G1297" t="str">
            <v>113</v>
          </cell>
          <cell r="H1297" t="str">
            <v>转FVE99115发票出口收入</v>
          </cell>
          <cell r="I1297" t="b">
            <v>1</v>
          </cell>
          <cell r="J1297">
            <v>568460.93999999994</v>
          </cell>
          <cell r="K1297">
            <v>0</v>
          </cell>
          <cell r="L1297">
            <v>0</v>
          </cell>
        </row>
        <row r="1298">
          <cell r="A1298" t="str">
            <v>12</v>
          </cell>
          <cell r="B1298" t="str">
            <v>28</v>
          </cell>
          <cell r="C1298" t="str">
            <v>12</v>
          </cell>
          <cell r="D1298" t="str">
            <v>5</v>
          </cell>
          <cell r="E1298" t="str">
            <v>0046</v>
          </cell>
          <cell r="F1298" t="str">
            <v>0016</v>
          </cell>
          <cell r="G1298" t="str">
            <v>113</v>
          </cell>
          <cell r="H1298" t="str">
            <v>转FVE99116发票出口收入</v>
          </cell>
          <cell r="I1298" t="b">
            <v>1</v>
          </cell>
          <cell r="J1298">
            <v>398947.48</v>
          </cell>
          <cell r="K1298">
            <v>0</v>
          </cell>
          <cell r="L1298">
            <v>0</v>
          </cell>
        </row>
        <row r="1299">
          <cell r="A1299" t="str">
            <v>12</v>
          </cell>
          <cell r="B1299" t="str">
            <v>28</v>
          </cell>
          <cell r="C1299" t="str">
            <v>12</v>
          </cell>
          <cell r="D1299" t="str">
            <v>5</v>
          </cell>
          <cell r="E1299" t="str">
            <v>0046</v>
          </cell>
          <cell r="F1299" t="str">
            <v>0019</v>
          </cell>
          <cell r="G1299" t="str">
            <v>113</v>
          </cell>
          <cell r="H1299" t="str">
            <v>转FVE99117发票出口收入</v>
          </cell>
          <cell r="I1299" t="b">
            <v>1</v>
          </cell>
          <cell r="J1299">
            <v>797721.21</v>
          </cell>
          <cell r="K1299">
            <v>0</v>
          </cell>
          <cell r="L1299">
            <v>0</v>
          </cell>
        </row>
        <row r="1300">
          <cell r="A1300" t="str">
            <v>12</v>
          </cell>
          <cell r="B1300" t="str">
            <v>28</v>
          </cell>
          <cell r="C1300" t="str">
            <v>12</v>
          </cell>
          <cell r="D1300" t="str">
            <v>5</v>
          </cell>
          <cell r="E1300" t="str">
            <v>0046</v>
          </cell>
          <cell r="F1300" t="str">
            <v>0021</v>
          </cell>
          <cell r="G1300" t="str">
            <v>113</v>
          </cell>
          <cell r="H1300" t="str">
            <v>转FVE99117发票出口海运费</v>
          </cell>
          <cell r="I1300" t="b">
            <v>1</v>
          </cell>
          <cell r="J1300">
            <v>-126445.32</v>
          </cell>
          <cell r="K1300">
            <v>0</v>
          </cell>
          <cell r="L1300">
            <v>0</v>
          </cell>
        </row>
        <row r="1301">
          <cell r="A1301" t="str">
            <v>12</v>
          </cell>
          <cell r="B1301" t="str">
            <v>28</v>
          </cell>
          <cell r="C1301" t="str">
            <v>12</v>
          </cell>
          <cell r="D1301" t="str">
            <v>5</v>
          </cell>
          <cell r="E1301" t="str">
            <v>0047</v>
          </cell>
          <cell r="F1301" t="str">
            <v>0003</v>
          </cell>
          <cell r="G1301" t="str">
            <v>113</v>
          </cell>
          <cell r="H1301" t="str">
            <v>转FVE99112#发票中行扣费等</v>
          </cell>
          <cell r="I1301" t="b">
            <v>0</v>
          </cell>
          <cell r="J1301">
            <v>488.13</v>
          </cell>
          <cell r="K1301">
            <v>0</v>
          </cell>
          <cell r="L1301">
            <v>0</v>
          </cell>
        </row>
        <row r="1302">
          <cell r="A1302" t="str">
            <v>12</v>
          </cell>
          <cell r="B1302" t="str">
            <v>28</v>
          </cell>
          <cell r="C1302" t="str">
            <v>12</v>
          </cell>
          <cell r="D1302" t="str">
            <v>5</v>
          </cell>
          <cell r="E1302" t="str">
            <v>0047</v>
          </cell>
          <cell r="F1302" t="str">
            <v>0005</v>
          </cell>
          <cell r="G1302" t="str">
            <v>113</v>
          </cell>
          <cell r="H1302" t="str">
            <v>转FVE99115#发票国外扣费</v>
          </cell>
          <cell r="I1302" t="b">
            <v>0</v>
          </cell>
          <cell r="J1302">
            <v>899.14</v>
          </cell>
          <cell r="K1302">
            <v>0</v>
          </cell>
          <cell r="L1302">
            <v>0</v>
          </cell>
        </row>
        <row r="1303">
          <cell r="A1303" t="str">
            <v>12</v>
          </cell>
          <cell r="B1303" t="str">
            <v>28</v>
          </cell>
          <cell r="C1303" t="str">
            <v>12</v>
          </cell>
          <cell r="D1303" t="str">
            <v>5</v>
          </cell>
          <cell r="E1303" t="str">
            <v>0048</v>
          </cell>
          <cell r="F1303" t="str">
            <v>0003</v>
          </cell>
          <cell r="G1303" t="str">
            <v>113</v>
          </cell>
          <cell r="H1303" t="str">
            <v>转FVE99116#发票中行扣费</v>
          </cell>
          <cell r="I1303" t="b">
            <v>0</v>
          </cell>
          <cell r="J1303">
            <v>487.71</v>
          </cell>
          <cell r="K1303">
            <v>0</v>
          </cell>
          <cell r="L1303">
            <v>0</v>
          </cell>
        </row>
        <row r="1304">
          <cell r="A1304" t="str">
            <v>12</v>
          </cell>
          <cell r="B1304" t="str">
            <v>28</v>
          </cell>
          <cell r="C1304" t="str">
            <v>12</v>
          </cell>
          <cell r="D1304" t="str">
            <v>5</v>
          </cell>
          <cell r="E1304" t="str">
            <v>0049</v>
          </cell>
          <cell r="F1304" t="str">
            <v>0003</v>
          </cell>
          <cell r="G1304" t="str">
            <v>113</v>
          </cell>
          <cell r="H1304" t="str">
            <v>转FVE99118#发票中行扣费</v>
          </cell>
          <cell r="I1304" t="b">
            <v>0</v>
          </cell>
          <cell r="J1304">
            <v>487.68</v>
          </cell>
          <cell r="K1304">
            <v>0</v>
          </cell>
          <cell r="L1304">
            <v>0</v>
          </cell>
        </row>
        <row r="1305">
          <cell r="A1305" t="str">
            <v>12</v>
          </cell>
          <cell r="B1305" t="str">
            <v>28</v>
          </cell>
          <cell r="C1305" t="str">
            <v>12</v>
          </cell>
          <cell r="D1305" t="str">
            <v>5</v>
          </cell>
          <cell r="E1305" t="str">
            <v>0050</v>
          </cell>
          <cell r="F1305" t="str">
            <v>0003</v>
          </cell>
          <cell r="G1305" t="str">
            <v>113</v>
          </cell>
          <cell r="H1305" t="str">
            <v>转FVE99113#发票受益人付费</v>
          </cell>
          <cell r="I1305" t="b">
            <v>0</v>
          </cell>
          <cell r="J1305">
            <v>1371.38</v>
          </cell>
          <cell r="K1305">
            <v>0</v>
          </cell>
          <cell r="L1305">
            <v>0</v>
          </cell>
        </row>
        <row r="1306">
          <cell r="A1306" t="str">
            <v>12</v>
          </cell>
          <cell r="B1306" t="str">
            <v>28</v>
          </cell>
          <cell r="C1306" t="str">
            <v>12</v>
          </cell>
          <cell r="D1306" t="str">
            <v>5</v>
          </cell>
          <cell r="E1306" t="str">
            <v>0051</v>
          </cell>
          <cell r="F1306" t="str">
            <v>0002</v>
          </cell>
          <cell r="G1306" t="str">
            <v>113</v>
          </cell>
          <cell r="H1306" t="str">
            <v>转FVE99114#发票中行扣费</v>
          </cell>
          <cell r="I1306" t="b">
            <v>0</v>
          </cell>
          <cell r="J1306">
            <v>149.72</v>
          </cell>
          <cell r="K1306">
            <v>0</v>
          </cell>
          <cell r="L1306">
            <v>0</v>
          </cell>
        </row>
        <row r="1307">
          <cell r="A1307" t="str">
            <v>12</v>
          </cell>
          <cell r="B1307" t="str">
            <v>28</v>
          </cell>
          <cell r="C1307" t="str">
            <v>12</v>
          </cell>
          <cell r="D1307" t="str">
            <v>5</v>
          </cell>
          <cell r="E1307" t="str">
            <v>0051</v>
          </cell>
          <cell r="F1307" t="str">
            <v>0005</v>
          </cell>
          <cell r="G1307" t="str">
            <v>113</v>
          </cell>
          <cell r="H1307" t="str">
            <v>转FVE99124#发票中行扣费</v>
          </cell>
          <cell r="I1307" t="b">
            <v>0</v>
          </cell>
          <cell r="J1307">
            <v>579.47</v>
          </cell>
          <cell r="K1307">
            <v>0</v>
          </cell>
          <cell r="L1307">
            <v>0</v>
          </cell>
        </row>
        <row r="1308">
          <cell r="A1308" t="str">
            <v>12</v>
          </cell>
          <cell r="B1308" t="str">
            <v>28</v>
          </cell>
          <cell r="C1308" t="str">
            <v>12</v>
          </cell>
          <cell r="D1308" t="str">
            <v>5</v>
          </cell>
          <cell r="E1308" t="str">
            <v>0052</v>
          </cell>
          <cell r="F1308" t="str">
            <v>0003</v>
          </cell>
          <cell r="G1308" t="str">
            <v>113</v>
          </cell>
          <cell r="H1308" t="str">
            <v>转ZLA00002#发票中行扣费</v>
          </cell>
          <cell r="I1308" t="b">
            <v>0</v>
          </cell>
          <cell r="J1308">
            <v>487.72</v>
          </cell>
          <cell r="K1308">
            <v>0</v>
          </cell>
          <cell r="L1308">
            <v>0</v>
          </cell>
        </row>
        <row r="1309">
          <cell r="A1309" t="str">
            <v>12</v>
          </cell>
          <cell r="B1309" t="str">
            <v>28</v>
          </cell>
          <cell r="C1309" t="str">
            <v>12</v>
          </cell>
          <cell r="D1309" t="str">
            <v>5</v>
          </cell>
          <cell r="E1309" t="str">
            <v>0053</v>
          </cell>
          <cell r="F1309" t="str">
            <v>0003</v>
          </cell>
          <cell r="G1309" t="str">
            <v>113</v>
          </cell>
          <cell r="H1309" t="str">
            <v>转ZLA00014#发票国外扣费</v>
          </cell>
          <cell r="I1309" t="b">
            <v>0</v>
          </cell>
          <cell r="J1309">
            <v>2939.39</v>
          </cell>
          <cell r="K1309">
            <v>0</v>
          </cell>
          <cell r="L1309">
            <v>0</v>
          </cell>
        </row>
        <row r="1310">
          <cell r="A1310" t="str">
            <v>12</v>
          </cell>
          <cell r="B1310" t="str">
            <v>28</v>
          </cell>
          <cell r="C1310" t="str">
            <v>12</v>
          </cell>
          <cell r="D1310" t="str">
            <v>5</v>
          </cell>
          <cell r="E1310" t="str">
            <v>0054</v>
          </cell>
          <cell r="F1310" t="str">
            <v>0001</v>
          </cell>
          <cell r="G1310" t="str">
            <v>113</v>
          </cell>
          <cell r="H1310" t="str">
            <v>转FVE99118发票出口收入</v>
          </cell>
          <cell r="I1310" t="b">
            <v>1</v>
          </cell>
          <cell r="J1310">
            <v>568357.80000000005</v>
          </cell>
          <cell r="K1310">
            <v>0</v>
          </cell>
          <cell r="L1310">
            <v>0</v>
          </cell>
        </row>
        <row r="1311">
          <cell r="A1311" t="str">
            <v>12</v>
          </cell>
          <cell r="B1311" t="str">
            <v>28</v>
          </cell>
          <cell r="C1311" t="str">
            <v>12</v>
          </cell>
          <cell r="D1311" t="str">
            <v>5</v>
          </cell>
          <cell r="E1311" t="str">
            <v>0054</v>
          </cell>
          <cell r="F1311" t="str">
            <v>0004</v>
          </cell>
          <cell r="G1311" t="str">
            <v>113</v>
          </cell>
          <cell r="H1311" t="str">
            <v>转FVE99119发票出口收入</v>
          </cell>
          <cell r="I1311" t="b">
            <v>1</v>
          </cell>
          <cell r="J1311">
            <v>398937.83</v>
          </cell>
          <cell r="K1311">
            <v>0</v>
          </cell>
          <cell r="L1311">
            <v>0</v>
          </cell>
        </row>
        <row r="1312">
          <cell r="A1312" t="str">
            <v>12</v>
          </cell>
          <cell r="B1312" t="str">
            <v>28</v>
          </cell>
          <cell r="C1312" t="str">
            <v>12</v>
          </cell>
          <cell r="D1312" t="str">
            <v>5</v>
          </cell>
          <cell r="E1312" t="str">
            <v>0054</v>
          </cell>
          <cell r="F1312" t="str">
            <v>0006</v>
          </cell>
          <cell r="G1312" t="str">
            <v>113</v>
          </cell>
          <cell r="H1312" t="str">
            <v>转FVE99119发票出口海运费</v>
          </cell>
          <cell r="I1312" t="b">
            <v>1</v>
          </cell>
          <cell r="J1312">
            <v>-63234.9</v>
          </cell>
          <cell r="K1312">
            <v>0</v>
          </cell>
          <cell r="L1312">
            <v>0</v>
          </cell>
        </row>
        <row r="1313">
          <cell r="A1313" t="str">
            <v>12</v>
          </cell>
          <cell r="B1313" t="str">
            <v>28</v>
          </cell>
          <cell r="C1313" t="str">
            <v>12</v>
          </cell>
          <cell r="D1313" t="str">
            <v>5</v>
          </cell>
          <cell r="E1313" t="str">
            <v>0054</v>
          </cell>
          <cell r="F1313" t="str">
            <v>0007</v>
          </cell>
          <cell r="G1313" t="str">
            <v>113</v>
          </cell>
          <cell r="H1313" t="str">
            <v>转FVE99121发票出口收入</v>
          </cell>
          <cell r="I1313" t="b">
            <v>1</v>
          </cell>
          <cell r="J1313">
            <v>797894.96</v>
          </cell>
          <cell r="K1313">
            <v>0</v>
          </cell>
          <cell r="L1313">
            <v>0</v>
          </cell>
        </row>
        <row r="1314">
          <cell r="A1314" t="str">
            <v>12</v>
          </cell>
          <cell r="B1314" t="str">
            <v>28</v>
          </cell>
          <cell r="C1314" t="str">
            <v>12</v>
          </cell>
          <cell r="D1314" t="str">
            <v>5</v>
          </cell>
          <cell r="E1314" t="str">
            <v>0054</v>
          </cell>
          <cell r="F1314" t="str">
            <v>0009</v>
          </cell>
          <cell r="G1314" t="str">
            <v>113</v>
          </cell>
          <cell r="H1314" t="str">
            <v>转FVE99121发票出口海运费</v>
          </cell>
          <cell r="I1314" t="b">
            <v>1</v>
          </cell>
          <cell r="J1314">
            <v>-126472.86</v>
          </cell>
          <cell r="K1314">
            <v>0</v>
          </cell>
          <cell r="L1314">
            <v>0</v>
          </cell>
        </row>
        <row r="1315">
          <cell r="A1315" t="str">
            <v>12</v>
          </cell>
          <cell r="B1315" t="str">
            <v>28</v>
          </cell>
          <cell r="C1315" t="str">
            <v>12</v>
          </cell>
          <cell r="D1315" t="str">
            <v>5</v>
          </cell>
          <cell r="E1315" t="str">
            <v>0054</v>
          </cell>
          <cell r="F1315" t="str">
            <v>0010</v>
          </cell>
          <cell r="G1315" t="str">
            <v>113</v>
          </cell>
          <cell r="H1315" t="str">
            <v>转FVE99122发票出口收入</v>
          </cell>
          <cell r="I1315" t="b">
            <v>1</v>
          </cell>
          <cell r="J1315">
            <v>398860.61</v>
          </cell>
          <cell r="K1315">
            <v>0</v>
          </cell>
          <cell r="L1315">
            <v>0</v>
          </cell>
        </row>
        <row r="1316">
          <cell r="A1316" t="str">
            <v>12</v>
          </cell>
          <cell r="B1316" t="str">
            <v>28</v>
          </cell>
          <cell r="C1316" t="str">
            <v>12</v>
          </cell>
          <cell r="D1316" t="str">
            <v>5</v>
          </cell>
          <cell r="E1316" t="str">
            <v>0054</v>
          </cell>
          <cell r="F1316" t="str">
            <v>0012</v>
          </cell>
          <cell r="G1316" t="str">
            <v>113</v>
          </cell>
          <cell r="H1316" t="str">
            <v>转FVE99122发票出口海运费</v>
          </cell>
          <cell r="I1316" t="b">
            <v>1</v>
          </cell>
          <cell r="J1316">
            <v>-63222.66</v>
          </cell>
          <cell r="K1316">
            <v>0</v>
          </cell>
          <cell r="L1316">
            <v>0</v>
          </cell>
        </row>
        <row r="1317">
          <cell r="A1317" t="str">
            <v>12</v>
          </cell>
          <cell r="B1317" t="str">
            <v>28</v>
          </cell>
          <cell r="C1317" t="str">
            <v>12</v>
          </cell>
          <cell r="D1317" t="str">
            <v>5</v>
          </cell>
          <cell r="E1317" t="str">
            <v>0054</v>
          </cell>
          <cell r="F1317" t="str">
            <v>0013</v>
          </cell>
          <cell r="G1317" t="str">
            <v>113</v>
          </cell>
          <cell r="H1317" t="str">
            <v>转FVE99123发票出口收入</v>
          </cell>
          <cell r="I1317" t="b">
            <v>1</v>
          </cell>
          <cell r="J1317">
            <v>378447.42</v>
          </cell>
          <cell r="K1317">
            <v>0</v>
          </cell>
          <cell r="L1317">
            <v>0</v>
          </cell>
        </row>
        <row r="1318">
          <cell r="A1318" t="str">
            <v>12</v>
          </cell>
          <cell r="B1318" t="str">
            <v>28</v>
          </cell>
          <cell r="C1318" t="str">
            <v>12</v>
          </cell>
          <cell r="D1318" t="str">
            <v>5</v>
          </cell>
          <cell r="E1318" t="str">
            <v>0054</v>
          </cell>
          <cell r="F1318" t="str">
            <v>0015</v>
          </cell>
          <cell r="G1318" t="str">
            <v>113</v>
          </cell>
          <cell r="H1318" t="str">
            <v>狥VE99123发票出口海运费</v>
          </cell>
          <cell r="I1318" t="b">
            <v>1</v>
          </cell>
          <cell r="J1318">
            <v>-63229.55</v>
          </cell>
          <cell r="K1318">
            <v>0</v>
          </cell>
          <cell r="L1318">
            <v>0</v>
          </cell>
        </row>
        <row r="1319">
          <cell r="A1319" t="str">
            <v>12</v>
          </cell>
          <cell r="B1319" t="str">
            <v>28</v>
          </cell>
          <cell r="C1319" t="str">
            <v>12</v>
          </cell>
          <cell r="D1319" t="str">
            <v>5</v>
          </cell>
          <cell r="E1319" t="str">
            <v>0054</v>
          </cell>
          <cell r="F1319" t="str">
            <v>0016</v>
          </cell>
          <cell r="G1319" t="str">
            <v>113</v>
          </cell>
          <cell r="H1319" t="str">
            <v>转FVE99124发票出口收入</v>
          </cell>
          <cell r="I1319" t="b">
            <v>1</v>
          </cell>
          <cell r="J1319">
            <v>149716.09</v>
          </cell>
          <cell r="K1319">
            <v>0</v>
          </cell>
          <cell r="L1319">
            <v>0</v>
          </cell>
        </row>
        <row r="1320">
          <cell r="A1320" t="str">
            <v>12</v>
          </cell>
          <cell r="B1320" t="str">
            <v>28</v>
          </cell>
          <cell r="C1320" t="str">
            <v>12</v>
          </cell>
          <cell r="D1320" t="str">
            <v>5</v>
          </cell>
          <cell r="E1320" t="str">
            <v>0054</v>
          </cell>
          <cell r="F1320" t="str">
            <v>0018</v>
          </cell>
          <cell r="G1320" t="str">
            <v>113</v>
          </cell>
          <cell r="H1320" t="str">
            <v>转FVE99124发票出口海运费</v>
          </cell>
          <cell r="I1320" t="b">
            <v>1</v>
          </cell>
          <cell r="J1320">
            <v>-2148.9299999999998</v>
          </cell>
          <cell r="K1320">
            <v>0</v>
          </cell>
          <cell r="L1320">
            <v>0</v>
          </cell>
        </row>
        <row r="1321">
          <cell r="A1321" t="str">
            <v>12</v>
          </cell>
          <cell r="B1321" t="str">
            <v>28</v>
          </cell>
          <cell r="C1321" t="str">
            <v>12</v>
          </cell>
          <cell r="D1321" t="str">
            <v>5</v>
          </cell>
          <cell r="E1321" t="str">
            <v>0054</v>
          </cell>
          <cell r="F1321" t="str">
            <v>0019</v>
          </cell>
          <cell r="G1321" t="str">
            <v>113</v>
          </cell>
          <cell r="H1321" t="str">
            <v>转FVE99125发票出口收入</v>
          </cell>
          <cell r="I1321" t="b">
            <v>1</v>
          </cell>
          <cell r="J1321">
            <v>136840.32000000001</v>
          </cell>
          <cell r="K1321">
            <v>0</v>
          </cell>
          <cell r="L1321">
            <v>0</v>
          </cell>
        </row>
        <row r="1322">
          <cell r="A1322" t="str">
            <v>12</v>
          </cell>
          <cell r="B1322" t="str">
            <v>28</v>
          </cell>
          <cell r="C1322" t="str">
            <v>12</v>
          </cell>
          <cell r="D1322" t="str">
            <v>5</v>
          </cell>
          <cell r="E1322" t="str">
            <v>0054</v>
          </cell>
          <cell r="F1322" t="str">
            <v>0021</v>
          </cell>
          <cell r="G1322" t="str">
            <v>113</v>
          </cell>
          <cell r="H1322" t="str">
            <v>转FVE99125发票出口海运费</v>
          </cell>
          <cell r="I1322" t="b">
            <v>1</v>
          </cell>
          <cell r="J1322">
            <v>-20333.87</v>
          </cell>
          <cell r="K1322">
            <v>0</v>
          </cell>
          <cell r="L1322">
            <v>0</v>
          </cell>
        </row>
        <row r="1323">
          <cell r="A1323" t="str">
            <v>12</v>
          </cell>
          <cell r="B1323" t="str">
            <v>28</v>
          </cell>
          <cell r="C1323" t="str">
            <v>12</v>
          </cell>
          <cell r="D1323" t="str">
            <v>5</v>
          </cell>
          <cell r="E1323" t="str">
            <v>0055</v>
          </cell>
          <cell r="F1323" t="str">
            <v>0003</v>
          </cell>
          <cell r="G1323" t="str">
            <v>113</v>
          </cell>
          <cell r="H1323" t="str">
            <v>转ZLA00025#发票国外扣费</v>
          </cell>
          <cell r="I1323" t="b">
            <v>0</v>
          </cell>
          <cell r="J1323">
            <v>3043.45</v>
          </cell>
          <cell r="K1323">
            <v>0</v>
          </cell>
          <cell r="L1323">
            <v>0</v>
          </cell>
        </row>
        <row r="1324">
          <cell r="A1324" t="str">
            <v>12</v>
          </cell>
          <cell r="B1324" t="str">
            <v>28</v>
          </cell>
          <cell r="C1324" t="str">
            <v>12</v>
          </cell>
          <cell r="D1324" t="str">
            <v>5</v>
          </cell>
          <cell r="E1324" t="str">
            <v>0056</v>
          </cell>
          <cell r="F1324" t="str">
            <v>0003</v>
          </cell>
          <cell r="G1324" t="str">
            <v>113</v>
          </cell>
          <cell r="H1324" t="str">
            <v>转ZLA00028#发票国外扣费</v>
          </cell>
          <cell r="I1324" t="b">
            <v>0</v>
          </cell>
          <cell r="J1324">
            <v>1660.07</v>
          </cell>
          <cell r="K1324">
            <v>0</v>
          </cell>
          <cell r="L1324">
            <v>0</v>
          </cell>
        </row>
        <row r="1325">
          <cell r="A1325" t="str">
            <v>12</v>
          </cell>
          <cell r="B1325" t="str">
            <v>28</v>
          </cell>
          <cell r="C1325" t="str">
            <v>12</v>
          </cell>
          <cell r="D1325" t="str">
            <v>5</v>
          </cell>
          <cell r="E1325" t="str">
            <v>0057</v>
          </cell>
          <cell r="F1325" t="str">
            <v>0003</v>
          </cell>
          <cell r="G1325" t="str">
            <v>113</v>
          </cell>
          <cell r="H1325" t="str">
            <v>转ZLA00013P#发票国外扣费</v>
          </cell>
          <cell r="I1325" t="b">
            <v>0</v>
          </cell>
          <cell r="J1325">
            <v>578.53</v>
          </cell>
          <cell r="K1325">
            <v>0</v>
          </cell>
          <cell r="L1325">
            <v>0</v>
          </cell>
        </row>
        <row r="1326">
          <cell r="A1326" t="str">
            <v>12</v>
          </cell>
          <cell r="B1326" t="str">
            <v>28</v>
          </cell>
          <cell r="C1326" t="str">
            <v>12</v>
          </cell>
          <cell r="D1326" t="str">
            <v>5</v>
          </cell>
          <cell r="E1326" t="str">
            <v>0058</v>
          </cell>
          <cell r="F1326" t="str">
            <v>0003</v>
          </cell>
          <cell r="G1326" t="str">
            <v>113</v>
          </cell>
          <cell r="H1326" t="str">
            <v>转ZLA00011#发票国外扣费</v>
          </cell>
          <cell r="I1326" t="b">
            <v>0</v>
          </cell>
          <cell r="J1326">
            <v>1262.67</v>
          </cell>
          <cell r="K1326">
            <v>0</v>
          </cell>
          <cell r="L1326">
            <v>0</v>
          </cell>
        </row>
        <row r="1327">
          <cell r="A1327" t="str">
            <v>12</v>
          </cell>
          <cell r="B1327" t="str">
            <v>28</v>
          </cell>
          <cell r="C1327" t="str">
            <v>12</v>
          </cell>
          <cell r="D1327" t="str">
            <v>5</v>
          </cell>
          <cell r="E1327" t="str">
            <v>0059</v>
          </cell>
          <cell r="F1327" t="str">
            <v>0003</v>
          </cell>
          <cell r="G1327" t="str">
            <v>113</v>
          </cell>
          <cell r="H1327" t="str">
            <v>转ZLA00010#发票国外扣费</v>
          </cell>
          <cell r="I1327" t="b">
            <v>0</v>
          </cell>
          <cell r="J1327">
            <v>1262.92</v>
          </cell>
          <cell r="K1327">
            <v>0</v>
          </cell>
          <cell r="L1327">
            <v>0</v>
          </cell>
        </row>
        <row r="1328">
          <cell r="A1328" t="str">
            <v>12</v>
          </cell>
          <cell r="B1328" t="str">
            <v>28</v>
          </cell>
          <cell r="C1328" t="str">
            <v>12</v>
          </cell>
          <cell r="D1328" t="str">
            <v>5</v>
          </cell>
          <cell r="E1328" t="str">
            <v>0060</v>
          </cell>
          <cell r="F1328" t="str">
            <v>0001</v>
          </cell>
          <cell r="G1328" t="str">
            <v>113</v>
          </cell>
          <cell r="H1328" t="str">
            <v>转FVE99126发票出口收入</v>
          </cell>
          <cell r="I1328" t="b">
            <v>1</v>
          </cell>
          <cell r="J1328">
            <v>756830.75</v>
          </cell>
          <cell r="K1328">
            <v>0</v>
          </cell>
          <cell r="L1328">
            <v>0</v>
          </cell>
        </row>
        <row r="1329">
          <cell r="A1329" t="str">
            <v>12</v>
          </cell>
          <cell r="B1329" t="str">
            <v>28</v>
          </cell>
          <cell r="C1329" t="str">
            <v>12</v>
          </cell>
          <cell r="D1329" t="str">
            <v>5</v>
          </cell>
          <cell r="E1329" t="str">
            <v>0060</v>
          </cell>
          <cell r="F1329" t="str">
            <v>0003</v>
          </cell>
          <cell r="G1329" t="str">
            <v>113</v>
          </cell>
          <cell r="H1329" t="str">
            <v>转FVE99126发票出口海运费</v>
          </cell>
          <cell r="I1329" t="b">
            <v>1</v>
          </cell>
          <cell r="J1329">
            <v>-126448.38</v>
          </cell>
          <cell r="K1329">
            <v>0</v>
          </cell>
          <cell r="L1329">
            <v>0</v>
          </cell>
        </row>
        <row r="1330">
          <cell r="A1330" t="str">
            <v>12</v>
          </cell>
          <cell r="B1330" t="str">
            <v>28</v>
          </cell>
          <cell r="C1330" t="str">
            <v>12</v>
          </cell>
          <cell r="D1330" t="str">
            <v>5</v>
          </cell>
          <cell r="E1330" t="str">
            <v>0060</v>
          </cell>
          <cell r="F1330" t="str">
            <v>0004</v>
          </cell>
          <cell r="G1330" t="str">
            <v>113</v>
          </cell>
          <cell r="H1330" t="str">
            <v>转ZLA00001发票出口收入</v>
          </cell>
          <cell r="I1330" t="b">
            <v>1</v>
          </cell>
          <cell r="J1330">
            <v>751698.83</v>
          </cell>
          <cell r="K1330">
            <v>0</v>
          </cell>
          <cell r="L1330">
            <v>0</v>
          </cell>
        </row>
        <row r="1331">
          <cell r="A1331" t="str">
            <v>12</v>
          </cell>
          <cell r="B1331" t="str">
            <v>28</v>
          </cell>
          <cell r="C1331" t="str">
            <v>12</v>
          </cell>
          <cell r="D1331" t="str">
            <v>5</v>
          </cell>
          <cell r="E1331" t="str">
            <v>0060</v>
          </cell>
          <cell r="F1331" t="str">
            <v>0006</v>
          </cell>
          <cell r="G1331" t="str">
            <v>113</v>
          </cell>
          <cell r="H1331" t="str">
            <v>转ZLA00001发票出口海运费</v>
          </cell>
          <cell r="I1331" t="b">
            <v>1</v>
          </cell>
          <cell r="J1331">
            <v>-105371.1</v>
          </cell>
          <cell r="K1331">
            <v>0</v>
          </cell>
          <cell r="L1331">
            <v>0</v>
          </cell>
        </row>
        <row r="1332">
          <cell r="A1332" t="str">
            <v>12</v>
          </cell>
          <cell r="B1332" t="str">
            <v>28</v>
          </cell>
          <cell r="C1332" t="str">
            <v>12</v>
          </cell>
          <cell r="D1332" t="str">
            <v>5</v>
          </cell>
          <cell r="E1332" t="str">
            <v>0060</v>
          </cell>
          <cell r="F1332" t="str">
            <v>0007</v>
          </cell>
          <cell r="G1332" t="str">
            <v>113</v>
          </cell>
          <cell r="H1332" t="str">
            <v>转ZLA00002发票出口收入</v>
          </cell>
          <cell r="I1332" t="b">
            <v>1</v>
          </cell>
          <cell r="J1332">
            <v>288976.81</v>
          </cell>
          <cell r="K1332">
            <v>0</v>
          </cell>
          <cell r="L1332">
            <v>0</v>
          </cell>
        </row>
        <row r="1333">
          <cell r="A1333" t="str">
            <v>12</v>
          </cell>
          <cell r="B1333" t="str">
            <v>28</v>
          </cell>
          <cell r="C1333" t="str">
            <v>12</v>
          </cell>
          <cell r="D1333" t="str">
            <v>5</v>
          </cell>
          <cell r="E1333" t="str">
            <v>0060</v>
          </cell>
          <cell r="F1333" t="str">
            <v>0009</v>
          </cell>
          <cell r="G1333" t="str">
            <v>113</v>
          </cell>
          <cell r="H1333" t="str">
            <v>转ZLA00002发票出口海运费</v>
          </cell>
          <cell r="I1333" t="b">
            <v>1</v>
          </cell>
          <cell r="J1333">
            <v>-28105.759999999998</v>
          </cell>
          <cell r="K1333">
            <v>0</v>
          </cell>
          <cell r="L1333">
            <v>0</v>
          </cell>
        </row>
        <row r="1334">
          <cell r="A1334" t="str">
            <v>12</v>
          </cell>
          <cell r="B1334" t="str">
            <v>28</v>
          </cell>
          <cell r="C1334" t="str">
            <v>12</v>
          </cell>
          <cell r="D1334" t="str">
            <v>5</v>
          </cell>
          <cell r="E1334" t="str">
            <v>0060</v>
          </cell>
          <cell r="F1334" t="str">
            <v>0010</v>
          </cell>
          <cell r="G1334" t="str">
            <v>113</v>
          </cell>
          <cell r="H1334" t="str">
            <v>转ZLA00003发票出口收入</v>
          </cell>
          <cell r="I1334" t="b">
            <v>1</v>
          </cell>
          <cell r="J1334">
            <v>751707.93</v>
          </cell>
          <cell r="K1334">
            <v>0</v>
          </cell>
          <cell r="L1334">
            <v>0</v>
          </cell>
        </row>
        <row r="1335">
          <cell r="A1335" t="str">
            <v>12</v>
          </cell>
          <cell r="B1335" t="str">
            <v>28</v>
          </cell>
          <cell r="C1335" t="str">
            <v>12</v>
          </cell>
          <cell r="D1335" t="str">
            <v>5</v>
          </cell>
          <cell r="E1335" t="str">
            <v>0060</v>
          </cell>
          <cell r="F1335" t="str">
            <v>0012</v>
          </cell>
          <cell r="G1335" t="str">
            <v>113</v>
          </cell>
          <cell r="H1335" t="str">
            <v>转ZLA00003发票出口海运费</v>
          </cell>
          <cell r="I1335" t="b">
            <v>1</v>
          </cell>
          <cell r="J1335">
            <v>-105372.38</v>
          </cell>
          <cell r="K1335">
            <v>0</v>
          </cell>
          <cell r="L1335">
            <v>0</v>
          </cell>
        </row>
        <row r="1336">
          <cell r="A1336" t="str">
            <v>12</v>
          </cell>
          <cell r="B1336" t="str">
            <v>28</v>
          </cell>
          <cell r="C1336" t="str">
            <v>12</v>
          </cell>
          <cell r="D1336" t="str">
            <v>5</v>
          </cell>
          <cell r="E1336" t="str">
            <v>0060</v>
          </cell>
          <cell r="F1336" t="str">
            <v>0013</v>
          </cell>
          <cell r="G1336" t="str">
            <v>113</v>
          </cell>
          <cell r="H1336" t="str">
            <v>转ZLA00005发票出口收入</v>
          </cell>
          <cell r="I1336" t="b">
            <v>1</v>
          </cell>
          <cell r="J1336">
            <v>288910.39</v>
          </cell>
          <cell r="K1336">
            <v>0</v>
          </cell>
          <cell r="L1336">
            <v>0</v>
          </cell>
        </row>
        <row r="1337">
          <cell r="A1337" t="str">
            <v>12</v>
          </cell>
          <cell r="B1337" t="str">
            <v>28</v>
          </cell>
          <cell r="C1337" t="str">
            <v>12</v>
          </cell>
          <cell r="D1337" t="str">
            <v>5</v>
          </cell>
          <cell r="E1337" t="str">
            <v>0060</v>
          </cell>
          <cell r="F1337" t="str">
            <v>0015</v>
          </cell>
          <cell r="G1337" t="str">
            <v>113</v>
          </cell>
          <cell r="H1337" t="str">
            <v>转ZLA00005发票出口海运费</v>
          </cell>
          <cell r="I1337" t="b">
            <v>1</v>
          </cell>
          <cell r="J1337">
            <v>-28099.3</v>
          </cell>
          <cell r="K1337">
            <v>0</v>
          </cell>
          <cell r="L1337">
            <v>0</v>
          </cell>
        </row>
        <row r="1338">
          <cell r="A1338" t="str">
            <v>12</v>
          </cell>
          <cell r="B1338" t="str">
            <v>28</v>
          </cell>
          <cell r="C1338" t="str">
            <v>12</v>
          </cell>
          <cell r="D1338" t="str">
            <v>5</v>
          </cell>
          <cell r="E1338" t="str">
            <v>0060</v>
          </cell>
          <cell r="F1338" t="str">
            <v>0016</v>
          </cell>
          <cell r="G1338" t="str">
            <v>113</v>
          </cell>
          <cell r="H1338" t="str">
            <v>转ZLA00006发票出口收入</v>
          </cell>
          <cell r="I1338" t="b">
            <v>1</v>
          </cell>
          <cell r="J1338">
            <v>433365.59</v>
          </cell>
          <cell r="K1338">
            <v>0</v>
          </cell>
          <cell r="L1338">
            <v>0</v>
          </cell>
        </row>
        <row r="1339">
          <cell r="A1339" t="str">
            <v>12</v>
          </cell>
          <cell r="B1339" t="str">
            <v>28</v>
          </cell>
          <cell r="C1339" t="str">
            <v>12</v>
          </cell>
          <cell r="D1339" t="str">
            <v>5</v>
          </cell>
          <cell r="E1339" t="str">
            <v>0060</v>
          </cell>
          <cell r="F1339" t="str">
            <v>0018</v>
          </cell>
          <cell r="G1339" t="str">
            <v>113</v>
          </cell>
          <cell r="H1339" t="str">
            <v>转ZLA00006发票出口海运费</v>
          </cell>
          <cell r="I1339" t="b">
            <v>1</v>
          </cell>
          <cell r="J1339">
            <v>-42148.95</v>
          </cell>
          <cell r="K1339">
            <v>0</v>
          </cell>
          <cell r="L1339">
            <v>0</v>
          </cell>
        </row>
        <row r="1340">
          <cell r="A1340" t="str">
            <v>12</v>
          </cell>
          <cell r="B1340" t="str">
            <v>28</v>
          </cell>
          <cell r="C1340" t="str">
            <v>12</v>
          </cell>
          <cell r="D1340" t="str">
            <v>5</v>
          </cell>
          <cell r="E1340" t="str">
            <v>0061</v>
          </cell>
          <cell r="F1340" t="str">
            <v>0003</v>
          </cell>
          <cell r="G1340" t="str">
            <v>113</v>
          </cell>
          <cell r="H1340" t="str">
            <v>转ZLA00006#发票国外扣费</v>
          </cell>
          <cell r="I1340" t="b">
            <v>0</v>
          </cell>
          <cell r="J1340">
            <v>1011.91</v>
          </cell>
          <cell r="K1340">
            <v>0</v>
          </cell>
          <cell r="L1340">
            <v>0</v>
          </cell>
        </row>
        <row r="1341">
          <cell r="A1341" t="str">
            <v>12</v>
          </cell>
          <cell r="B1341" t="str">
            <v>28</v>
          </cell>
          <cell r="C1341" t="str">
            <v>12</v>
          </cell>
          <cell r="D1341" t="str">
            <v>5</v>
          </cell>
          <cell r="E1341" t="str">
            <v>0062</v>
          </cell>
          <cell r="F1341" t="str">
            <v>0003</v>
          </cell>
          <cell r="G1341" t="str">
            <v>113</v>
          </cell>
          <cell r="H1341" t="str">
            <v>转ZLA00005#发票国外扣费</v>
          </cell>
          <cell r="I1341" t="b">
            <v>0</v>
          </cell>
          <cell r="J1341">
            <v>867.44</v>
          </cell>
          <cell r="K1341">
            <v>0</v>
          </cell>
          <cell r="L1341">
            <v>0</v>
          </cell>
        </row>
        <row r="1342">
          <cell r="A1342" t="str">
            <v>12</v>
          </cell>
          <cell r="B1342" t="str">
            <v>28</v>
          </cell>
          <cell r="C1342" t="str">
            <v>12</v>
          </cell>
          <cell r="D1342" t="str">
            <v>5</v>
          </cell>
          <cell r="E1342" t="str">
            <v>0063</v>
          </cell>
          <cell r="F1342" t="str">
            <v>0003</v>
          </cell>
          <cell r="G1342" t="str">
            <v>113</v>
          </cell>
          <cell r="H1342" t="str">
            <v>转ZLA00003#发票国外扣费</v>
          </cell>
          <cell r="I1342" t="b">
            <v>0</v>
          </cell>
          <cell r="J1342">
            <v>1330.26</v>
          </cell>
          <cell r="K1342">
            <v>0</v>
          </cell>
          <cell r="L1342">
            <v>0</v>
          </cell>
        </row>
        <row r="1343">
          <cell r="A1343" t="str">
            <v>12</v>
          </cell>
          <cell r="B1343" t="str">
            <v>28</v>
          </cell>
          <cell r="C1343" t="str">
            <v>12</v>
          </cell>
          <cell r="D1343" t="str">
            <v>5</v>
          </cell>
          <cell r="E1343" t="str">
            <v>0064</v>
          </cell>
          <cell r="F1343" t="str">
            <v>0003</v>
          </cell>
          <cell r="G1343" t="str">
            <v>113</v>
          </cell>
          <cell r="H1343" t="str">
            <v>转ZLA00001#发票国外扣费</v>
          </cell>
          <cell r="I1343" t="b">
            <v>0</v>
          </cell>
          <cell r="J1343">
            <v>1330.24</v>
          </cell>
          <cell r="K1343">
            <v>0</v>
          </cell>
          <cell r="L1343">
            <v>0</v>
          </cell>
        </row>
        <row r="1344">
          <cell r="A1344" t="str">
            <v>12</v>
          </cell>
          <cell r="B1344" t="str">
            <v>28</v>
          </cell>
          <cell r="C1344" t="str">
            <v>12</v>
          </cell>
          <cell r="D1344" t="str">
            <v>5</v>
          </cell>
          <cell r="E1344" t="str">
            <v>0065</v>
          </cell>
          <cell r="F1344" t="str">
            <v>0003</v>
          </cell>
          <cell r="G1344" t="str">
            <v>113</v>
          </cell>
          <cell r="H1344" t="str">
            <v>转FVE99126#发票国外扣费</v>
          </cell>
          <cell r="I1344" t="b">
            <v>0</v>
          </cell>
          <cell r="J1344">
            <v>1335.4</v>
          </cell>
          <cell r="K1344">
            <v>0</v>
          </cell>
          <cell r="L1344">
            <v>0</v>
          </cell>
        </row>
        <row r="1345">
          <cell r="A1345" t="str">
            <v>12</v>
          </cell>
          <cell r="B1345" t="str">
            <v>28</v>
          </cell>
          <cell r="C1345" t="str">
            <v>12</v>
          </cell>
          <cell r="D1345" t="str">
            <v>5</v>
          </cell>
          <cell r="E1345" t="str">
            <v>0066</v>
          </cell>
          <cell r="F1345" t="str">
            <v>0003</v>
          </cell>
          <cell r="G1345" t="str">
            <v>113</v>
          </cell>
          <cell r="H1345" t="str">
            <v>转FVE99125#发票国外扣费</v>
          </cell>
          <cell r="I1345" t="b">
            <v>0</v>
          </cell>
          <cell r="J1345">
            <v>715.49</v>
          </cell>
          <cell r="K1345">
            <v>0</v>
          </cell>
          <cell r="L1345">
            <v>0</v>
          </cell>
        </row>
        <row r="1346">
          <cell r="A1346" t="str">
            <v>12</v>
          </cell>
          <cell r="B1346" t="str">
            <v>28</v>
          </cell>
          <cell r="C1346" t="str">
            <v>12</v>
          </cell>
          <cell r="D1346" t="str">
            <v>5</v>
          </cell>
          <cell r="E1346" t="str">
            <v>0067</v>
          </cell>
          <cell r="F1346" t="str">
            <v>0003</v>
          </cell>
          <cell r="G1346" t="str">
            <v>113</v>
          </cell>
          <cell r="H1346" t="str">
            <v>转FVE99123#发票国外扣费</v>
          </cell>
          <cell r="I1346" t="b">
            <v>0</v>
          </cell>
          <cell r="J1346">
            <v>957.04</v>
          </cell>
          <cell r="K1346">
            <v>0</v>
          </cell>
          <cell r="L1346">
            <v>0</v>
          </cell>
        </row>
        <row r="1347">
          <cell r="A1347" t="str">
            <v>12</v>
          </cell>
          <cell r="B1347" t="str">
            <v>28</v>
          </cell>
          <cell r="C1347" t="str">
            <v>12</v>
          </cell>
          <cell r="D1347" t="str">
            <v>5</v>
          </cell>
          <cell r="E1347" t="str">
            <v>0068</v>
          </cell>
          <cell r="F1347" t="str">
            <v>0003</v>
          </cell>
          <cell r="G1347" t="str">
            <v>113</v>
          </cell>
          <cell r="H1347" t="str">
            <v>转FVE99122#发票国外扣费</v>
          </cell>
          <cell r="I1347" t="b">
            <v>0</v>
          </cell>
          <cell r="J1347">
            <v>977.35</v>
          </cell>
          <cell r="K1347">
            <v>0</v>
          </cell>
          <cell r="L1347">
            <v>0</v>
          </cell>
        </row>
        <row r="1348">
          <cell r="A1348" t="str">
            <v>12</v>
          </cell>
          <cell r="B1348" t="str">
            <v>28</v>
          </cell>
          <cell r="C1348" t="str">
            <v>12</v>
          </cell>
          <cell r="D1348" t="str">
            <v>5</v>
          </cell>
          <cell r="E1348" t="str">
            <v>0069</v>
          </cell>
          <cell r="F1348" t="str">
            <v>0003</v>
          </cell>
          <cell r="G1348" t="str">
            <v>113</v>
          </cell>
          <cell r="H1348" t="str">
            <v>转FVE99121#发票国外扣费</v>
          </cell>
          <cell r="I1348" t="b">
            <v>0</v>
          </cell>
          <cell r="J1348">
            <v>1376.58</v>
          </cell>
          <cell r="K1348">
            <v>0</v>
          </cell>
          <cell r="L1348">
            <v>0</v>
          </cell>
        </row>
        <row r="1349">
          <cell r="A1349" t="str">
            <v>12</v>
          </cell>
          <cell r="B1349" t="str">
            <v>28</v>
          </cell>
          <cell r="C1349" t="str">
            <v>12</v>
          </cell>
          <cell r="D1349" t="str">
            <v>5</v>
          </cell>
          <cell r="E1349" t="str">
            <v>0070</v>
          </cell>
          <cell r="F1349" t="str">
            <v>0001</v>
          </cell>
          <cell r="G1349" t="str">
            <v>113</v>
          </cell>
          <cell r="H1349" t="str">
            <v>转ZLA00010发票出口收入</v>
          </cell>
          <cell r="I1349" t="b">
            <v>1</v>
          </cell>
          <cell r="J1349">
            <v>684234.71</v>
          </cell>
          <cell r="K1349">
            <v>0</v>
          </cell>
          <cell r="L1349">
            <v>0</v>
          </cell>
        </row>
        <row r="1350">
          <cell r="A1350" t="str">
            <v>12</v>
          </cell>
          <cell r="B1350" t="str">
            <v>28</v>
          </cell>
          <cell r="C1350" t="str">
            <v>12</v>
          </cell>
          <cell r="D1350" t="str">
            <v>5</v>
          </cell>
          <cell r="E1350" t="str">
            <v>0070</v>
          </cell>
          <cell r="F1350" t="str">
            <v>0003</v>
          </cell>
          <cell r="G1350" t="str">
            <v>113</v>
          </cell>
          <cell r="H1350" t="str">
            <v>转ZLA00010发票出口海运费</v>
          </cell>
          <cell r="I1350" t="b">
            <v>1</v>
          </cell>
          <cell r="J1350">
            <v>-70262.7</v>
          </cell>
          <cell r="K1350">
            <v>0</v>
          </cell>
          <cell r="L1350">
            <v>0</v>
          </cell>
        </row>
        <row r="1351">
          <cell r="A1351" t="str">
            <v>12</v>
          </cell>
          <cell r="B1351" t="str">
            <v>28</v>
          </cell>
          <cell r="C1351" t="str">
            <v>12</v>
          </cell>
          <cell r="D1351" t="str">
            <v>5</v>
          </cell>
          <cell r="E1351" t="str">
            <v>0070</v>
          </cell>
          <cell r="F1351" t="str">
            <v>0004</v>
          </cell>
          <cell r="G1351" t="str">
            <v>113</v>
          </cell>
          <cell r="H1351" t="str">
            <v>转ZLA00011发票出口收入</v>
          </cell>
          <cell r="I1351" t="b">
            <v>1</v>
          </cell>
          <cell r="J1351">
            <v>684102.27</v>
          </cell>
          <cell r="K1351">
            <v>0</v>
          </cell>
          <cell r="L1351">
            <v>0</v>
          </cell>
        </row>
        <row r="1352">
          <cell r="A1352" t="str">
            <v>12</v>
          </cell>
          <cell r="B1352" t="str">
            <v>28</v>
          </cell>
          <cell r="C1352" t="str">
            <v>12</v>
          </cell>
          <cell r="D1352" t="str">
            <v>5</v>
          </cell>
          <cell r="E1352" t="str">
            <v>0070</v>
          </cell>
          <cell r="F1352" t="str">
            <v>0006</v>
          </cell>
          <cell r="G1352" t="str">
            <v>113</v>
          </cell>
          <cell r="H1352" t="str">
            <v>转ZLA00011发票出口海运费</v>
          </cell>
          <cell r="I1352" t="b">
            <v>1</v>
          </cell>
          <cell r="J1352">
            <v>-70249.100000000006</v>
          </cell>
          <cell r="K1352">
            <v>0</v>
          </cell>
          <cell r="L1352">
            <v>0</v>
          </cell>
        </row>
        <row r="1353">
          <cell r="A1353" t="str">
            <v>12</v>
          </cell>
          <cell r="B1353" t="str">
            <v>28</v>
          </cell>
          <cell r="C1353" t="str">
            <v>12</v>
          </cell>
          <cell r="D1353" t="str">
            <v>5</v>
          </cell>
          <cell r="E1353" t="str">
            <v>0070</v>
          </cell>
          <cell r="F1353" t="str">
            <v>0007</v>
          </cell>
          <cell r="G1353" t="str">
            <v>113</v>
          </cell>
          <cell r="H1353" t="str">
            <v>转ZLA00014发票出口收入</v>
          </cell>
          <cell r="I1353" t="b">
            <v>1</v>
          </cell>
          <cell r="J1353">
            <v>1346273.43</v>
          </cell>
          <cell r="K1353">
            <v>0</v>
          </cell>
          <cell r="L1353">
            <v>0</v>
          </cell>
        </row>
        <row r="1354">
          <cell r="A1354" t="str">
            <v>12</v>
          </cell>
          <cell r="B1354" t="str">
            <v>28</v>
          </cell>
          <cell r="C1354" t="str">
            <v>12</v>
          </cell>
          <cell r="D1354" t="str">
            <v>5</v>
          </cell>
          <cell r="E1354" t="str">
            <v>0070</v>
          </cell>
          <cell r="F1354" t="str">
            <v>0009</v>
          </cell>
          <cell r="G1354" t="str">
            <v>113</v>
          </cell>
          <cell r="H1354" t="str">
            <v>转ZLA00014发票出口海运费</v>
          </cell>
          <cell r="I1354" t="b">
            <v>1</v>
          </cell>
          <cell r="J1354">
            <v>-69192.28</v>
          </cell>
          <cell r="K1354">
            <v>0</v>
          </cell>
          <cell r="L1354">
            <v>0</v>
          </cell>
        </row>
        <row r="1355">
          <cell r="A1355" t="str">
            <v>12</v>
          </cell>
          <cell r="B1355" t="str">
            <v>28</v>
          </cell>
          <cell r="C1355" t="str">
            <v>12</v>
          </cell>
          <cell r="D1355" t="str">
            <v>5</v>
          </cell>
          <cell r="E1355" t="str">
            <v>0070</v>
          </cell>
          <cell r="F1355" t="str">
            <v>0010</v>
          </cell>
          <cell r="G1355" t="str">
            <v>113</v>
          </cell>
          <cell r="H1355" t="str">
            <v>转ZLA00025发票出口收入</v>
          </cell>
          <cell r="I1355" t="b">
            <v>1</v>
          </cell>
          <cell r="J1355">
            <v>1495732.7</v>
          </cell>
          <cell r="K1355">
            <v>0</v>
          </cell>
          <cell r="L1355">
            <v>0</v>
          </cell>
        </row>
        <row r="1356">
          <cell r="A1356" t="str">
            <v>12</v>
          </cell>
          <cell r="B1356" t="str">
            <v>28</v>
          </cell>
          <cell r="C1356" t="str">
            <v>12</v>
          </cell>
          <cell r="D1356" t="str">
            <v>5</v>
          </cell>
          <cell r="E1356" t="str">
            <v>0070</v>
          </cell>
          <cell r="F1356" t="str">
            <v>0012</v>
          </cell>
          <cell r="G1356" t="str">
            <v>113</v>
          </cell>
          <cell r="H1356" t="str">
            <v>转ZLA00025发票出口海运费</v>
          </cell>
          <cell r="I1356" t="b">
            <v>1</v>
          </cell>
          <cell r="J1356">
            <v>-76873.8</v>
          </cell>
          <cell r="K1356">
            <v>0</v>
          </cell>
          <cell r="L1356">
            <v>0</v>
          </cell>
        </row>
        <row r="1357">
          <cell r="A1357" t="str">
            <v>12</v>
          </cell>
          <cell r="B1357" t="str">
            <v>28</v>
          </cell>
          <cell r="C1357" t="str">
            <v>12</v>
          </cell>
          <cell r="D1357" t="str">
            <v>5</v>
          </cell>
          <cell r="E1357" t="str">
            <v>0070</v>
          </cell>
          <cell r="F1357" t="str">
            <v>0013</v>
          </cell>
          <cell r="G1357" t="str">
            <v>113</v>
          </cell>
          <cell r="H1357" t="str">
            <v>转ZLA00028发票出口收入</v>
          </cell>
          <cell r="I1357" t="b">
            <v>1</v>
          </cell>
          <cell r="J1357">
            <v>276816.08</v>
          </cell>
          <cell r="K1357">
            <v>0</v>
          </cell>
          <cell r="L1357">
            <v>0</v>
          </cell>
        </row>
        <row r="1358">
          <cell r="A1358" t="str">
            <v>12</v>
          </cell>
          <cell r="B1358" t="str">
            <v>28</v>
          </cell>
          <cell r="C1358" t="str">
            <v>12</v>
          </cell>
          <cell r="D1358" t="str">
            <v>5</v>
          </cell>
          <cell r="E1358" t="str">
            <v>0070</v>
          </cell>
          <cell r="F1358" t="str">
            <v>0015</v>
          </cell>
          <cell r="G1358" t="str">
            <v>113</v>
          </cell>
          <cell r="H1358" t="str">
            <v>转ZLA00028发票出口海运费</v>
          </cell>
          <cell r="I1358" t="b">
            <v>1</v>
          </cell>
          <cell r="J1358">
            <v>-40495.56</v>
          </cell>
          <cell r="K1358">
            <v>0</v>
          </cell>
          <cell r="L1358">
            <v>0</v>
          </cell>
        </row>
        <row r="1359">
          <cell r="A1359" t="str">
            <v>12</v>
          </cell>
          <cell r="B1359" t="str">
            <v>28</v>
          </cell>
          <cell r="C1359" t="str">
            <v>12</v>
          </cell>
          <cell r="D1359" t="str">
            <v>5</v>
          </cell>
          <cell r="E1359" t="str">
            <v>0070</v>
          </cell>
          <cell r="F1359" t="str">
            <v>0016</v>
          </cell>
          <cell r="G1359" t="str">
            <v>113</v>
          </cell>
          <cell r="H1359" t="str">
            <v>转ZLA00013P发票出口收入</v>
          </cell>
          <cell r="I1359" t="b">
            <v>1</v>
          </cell>
          <cell r="J1359">
            <v>599464.5</v>
          </cell>
          <cell r="K1359">
            <v>0</v>
          </cell>
          <cell r="L1359">
            <v>0</v>
          </cell>
        </row>
        <row r="1360">
          <cell r="A1360" t="str">
            <v>12</v>
          </cell>
          <cell r="B1360" t="str">
            <v>28</v>
          </cell>
          <cell r="C1360" t="str">
            <v>12</v>
          </cell>
          <cell r="D1360" t="str">
            <v>5</v>
          </cell>
          <cell r="E1360" t="str">
            <v>0070</v>
          </cell>
          <cell r="F1360" t="str">
            <v>0018</v>
          </cell>
          <cell r="G1360" t="str">
            <v>113</v>
          </cell>
          <cell r="H1360" t="str">
            <v>转ZLA00013P发票出口海运费</v>
          </cell>
          <cell r="I1360" t="b">
            <v>1</v>
          </cell>
          <cell r="J1360">
            <v>-80993.08</v>
          </cell>
          <cell r="K1360">
            <v>0</v>
          </cell>
          <cell r="L1360">
            <v>0</v>
          </cell>
        </row>
        <row r="1361">
          <cell r="A1361" t="str">
            <v>12</v>
          </cell>
          <cell r="B1361" t="str">
            <v>28</v>
          </cell>
          <cell r="C1361" t="str">
            <v>12</v>
          </cell>
          <cell r="D1361" t="str">
            <v>5</v>
          </cell>
          <cell r="E1361" t="str">
            <v>0071</v>
          </cell>
          <cell r="F1361" t="str">
            <v>0003</v>
          </cell>
          <cell r="G1361" t="str">
            <v>113</v>
          </cell>
          <cell r="H1361" t="str">
            <v>转FVE99119#发票国外扣费</v>
          </cell>
          <cell r="I1361" t="b">
            <v>0</v>
          </cell>
          <cell r="J1361">
            <v>729.56</v>
          </cell>
          <cell r="K1361">
            <v>0</v>
          </cell>
          <cell r="L1361">
            <v>0</v>
          </cell>
        </row>
        <row r="1362">
          <cell r="A1362" t="str">
            <v>12</v>
          </cell>
          <cell r="B1362" t="str">
            <v>28</v>
          </cell>
          <cell r="C1362" t="str">
            <v>12</v>
          </cell>
          <cell r="D1362" t="str">
            <v>5</v>
          </cell>
          <cell r="E1362" t="str">
            <v>0072</v>
          </cell>
          <cell r="F1362" t="str">
            <v>0003</v>
          </cell>
          <cell r="G1362" t="str">
            <v>113</v>
          </cell>
          <cell r="H1362" t="str">
            <v>转FVE99117#发票国外扣费</v>
          </cell>
          <cell r="I1362" t="b">
            <v>0</v>
          </cell>
          <cell r="J1362">
            <v>578.51</v>
          </cell>
          <cell r="K1362">
            <v>0</v>
          </cell>
          <cell r="L1362">
            <v>0</v>
          </cell>
        </row>
        <row r="1363">
          <cell r="A1363" t="str">
            <v>02</v>
          </cell>
          <cell r="B1363" t="str">
            <v>01</v>
          </cell>
          <cell r="C1363" t="str">
            <v>02</v>
          </cell>
          <cell r="D1363" t="str">
            <v>1</v>
          </cell>
          <cell r="E1363" t="str">
            <v>0001</v>
          </cell>
          <cell r="F1363" t="str">
            <v>0003</v>
          </cell>
          <cell r="G1363" t="str">
            <v>11901</v>
          </cell>
          <cell r="H1363" t="str">
            <v>收回借款</v>
          </cell>
          <cell r="I1363" t="b">
            <v>0</v>
          </cell>
          <cell r="J1363">
            <v>1511</v>
          </cell>
          <cell r="K1363">
            <v>0</v>
          </cell>
          <cell r="L1363">
            <v>0</v>
          </cell>
        </row>
        <row r="1364">
          <cell r="A1364" t="str">
            <v>02</v>
          </cell>
          <cell r="B1364" t="str">
            <v>01</v>
          </cell>
          <cell r="C1364" t="str">
            <v>02</v>
          </cell>
          <cell r="D1364" t="str">
            <v>1</v>
          </cell>
          <cell r="E1364" t="str">
            <v>0001</v>
          </cell>
          <cell r="F1364" t="str">
            <v>0004</v>
          </cell>
          <cell r="G1364" t="str">
            <v>11901</v>
          </cell>
          <cell r="H1364" t="str">
            <v>收回借款</v>
          </cell>
          <cell r="I1364" t="b">
            <v>0</v>
          </cell>
          <cell r="J1364">
            <v>12200</v>
          </cell>
          <cell r="K1364">
            <v>0</v>
          </cell>
          <cell r="L1364">
            <v>0</v>
          </cell>
        </row>
        <row r="1365">
          <cell r="A1365" t="str">
            <v>02</v>
          </cell>
          <cell r="B1365" t="str">
            <v>02</v>
          </cell>
          <cell r="C1365" t="str">
            <v>02</v>
          </cell>
          <cell r="D1365" t="str">
            <v>1</v>
          </cell>
          <cell r="E1365" t="str">
            <v>0002</v>
          </cell>
          <cell r="F1365" t="str">
            <v>0002</v>
          </cell>
          <cell r="G1365" t="str">
            <v>11901</v>
          </cell>
          <cell r="H1365" t="str">
            <v>收回取暖费</v>
          </cell>
          <cell r="I1365" t="b">
            <v>0</v>
          </cell>
          <cell r="J1365">
            <v>594.75</v>
          </cell>
          <cell r="K1365">
            <v>0</v>
          </cell>
          <cell r="L1365">
            <v>0</v>
          </cell>
        </row>
        <row r="1366">
          <cell r="A1366" t="str">
            <v>02</v>
          </cell>
          <cell r="B1366" t="str">
            <v>12</v>
          </cell>
          <cell r="C1366" t="str">
            <v>02</v>
          </cell>
          <cell r="D1366" t="str">
            <v>1</v>
          </cell>
          <cell r="E1366" t="str">
            <v>0007</v>
          </cell>
          <cell r="F1366" t="str">
            <v>0002</v>
          </cell>
          <cell r="G1366" t="str">
            <v>11901</v>
          </cell>
          <cell r="H1366" t="str">
            <v>收回借款</v>
          </cell>
          <cell r="I1366" t="b">
            <v>0</v>
          </cell>
          <cell r="J1366">
            <v>2000</v>
          </cell>
          <cell r="K1366">
            <v>0</v>
          </cell>
          <cell r="L1366">
            <v>0</v>
          </cell>
        </row>
        <row r="1367">
          <cell r="A1367" t="str">
            <v>02</v>
          </cell>
          <cell r="B1367" t="str">
            <v>12</v>
          </cell>
          <cell r="C1367" t="str">
            <v>02</v>
          </cell>
          <cell r="D1367" t="str">
            <v>1</v>
          </cell>
          <cell r="E1367" t="str">
            <v>0007</v>
          </cell>
          <cell r="F1367" t="str">
            <v>0003</v>
          </cell>
          <cell r="G1367" t="str">
            <v>11901</v>
          </cell>
          <cell r="H1367" t="str">
            <v>收回借款</v>
          </cell>
          <cell r="I1367" t="b">
            <v>0</v>
          </cell>
          <cell r="J1367">
            <v>4000</v>
          </cell>
          <cell r="K1367">
            <v>0</v>
          </cell>
          <cell r="L1367">
            <v>0</v>
          </cell>
        </row>
        <row r="1368">
          <cell r="A1368" t="str">
            <v>02</v>
          </cell>
          <cell r="B1368" t="str">
            <v>12</v>
          </cell>
          <cell r="C1368" t="str">
            <v>02</v>
          </cell>
          <cell r="D1368" t="str">
            <v>1</v>
          </cell>
          <cell r="E1368" t="str">
            <v>0007</v>
          </cell>
          <cell r="F1368" t="str">
            <v>0004</v>
          </cell>
          <cell r="G1368" t="str">
            <v>11901</v>
          </cell>
          <cell r="H1368" t="str">
            <v>收回借款</v>
          </cell>
          <cell r="I1368" t="b">
            <v>0</v>
          </cell>
          <cell r="J1368">
            <v>5000</v>
          </cell>
          <cell r="K1368">
            <v>0</v>
          </cell>
          <cell r="L1368">
            <v>0</v>
          </cell>
        </row>
        <row r="1369">
          <cell r="A1369" t="str">
            <v>02</v>
          </cell>
          <cell r="B1369" t="str">
            <v>12</v>
          </cell>
          <cell r="C1369" t="str">
            <v>02</v>
          </cell>
          <cell r="D1369" t="str">
            <v>1</v>
          </cell>
          <cell r="E1369" t="str">
            <v>0007</v>
          </cell>
          <cell r="F1369" t="str">
            <v>0005</v>
          </cell>
          <cell r="G1369" t="str">
            <v>11901</v>
          </cell>
          <cell r="H1369" t="str">
            <v>收回借款</v>
          </cell>
          <cell r="I1369" t="b">
            <v>0</v>
          </cell>
          <cell r="J1369">
            <v>4600</v>
          </cell>
          <cell r="K1369">
            <v>0</v>
          </cell>
          <cell r="L1369">
            <v>0</v>
          </cell>
        </row>
        <row r="1370">
          <cell r="A1370" t="str">
            <v>02</v>
          </cell>
          <cell r="B1370" t="str">
            <v>15</v>
          </cell>
          <cell r="C1370" t="str">
            <v>02</v>
          </cell>
          <cell r="D1370" t="str">
            <v>1</v>
          </cell>
          <cell r="E1370" t="str">
            <v>0008</v>
          </cell>
          <cell r="F1370" t="str">
            <v>0002</v>
          </cell>
          <cell r="G1370" t="str">
            <v>11901</v>
          </cell>
          <cell r="H1370" t="str">
            <v>收回借款</v>
          </cell>
          <cell r="I1370" t="b">
            <v>0</v>
          </cell>
          <cell r="J1370">
            <v>4253</v>
          </cell>
          <cell r="K1370">
            <v>0</v>
          </cell>
          <cell r="L1370">
            <v>0</v>
          </cell>
        </row>
        <row r="1371">
          <cell r="A1371" t="str">
            <v>02</v>
          </cell>
          <cell r="B1371" t="str">
            <v>15</v>
          </cell>
          <cell r="C1371" t="str">
            <v>02</v>
          </cell>
          <cell r="D1371" t="str">
            <v>1</v>
          </cell>
          <cell r="E1371" t="str">
            <v>0008</v>
          </cell>
          <cell r="F1371" t="str">
            <v>0003</v>
          </cell>
          <cell r="G1371" t="str">
            <v>11901</v>
          </cell>
          <cell r="H1371" t="str">
            <v>收回借款</v>
          </cell>
          <cell r="I1371" t="b">
            <v>0</v>
          </cell>
          <cell r="J1371">
            <v>3001</v>
          </cell>
          <cell r="K1371">
            <v>0</v>
          </cell>
          <cell r="L1371">
            <v>0</v>
          </cell>
        </row>
        <row r="1372">
          <cell r="A1372" t="str">
            <v>02</v>
          </cell>
          <cell r="B1372" t="str">
            <v>15</v>
          </cell>
          <cell r="C1372" t="str">
            <v>02</v>
          </cell>
          <cell r="D1372" t="str">
            <v>1</v>
          </cell>
          <cell r="E1372" t="str">
            <v>0008</v>
          </cell>
          <cell r="F1372" t="str">
            <v>0004</v>
          </cell>
          <cell r="G1372" t="str">
            <v>11901</v>
          </cell>
          <cell r="H1372" t="str">
            <v>收回借款</v>
          </cell>
          <cell r="I1372" t="b">
            <v>0</v>
          </cell>
          <cell r="J1372">
            <v>3172.44</v>
          </cell>
          <cell r="K1372">
            <v>0</v>
          </cell>
          <cell r="L1372">
            <v>0</v>
          </cell>
        </row>
        <row r="1373">
          <cell r="A1373" t="str">
            <v>02</v>
          </cell>
          <cell r="B1373" t="str">
            <v>21</v>
          </cell>
          <cell r="C1373" t="str">
            <v>02</v>
          </cell>
          <cell r="D1373" t="str">
            <v>2</v>
          </cell>
          <cell r="E1373" t="str">
            <v>0041</v>
          </cell>
          <cell r="F1373" t="str">
            <v>0001</v>
          </cell>
          <cell r="G1373" t="str">
            <v>11901</v>
          </cell>
          <cell r="H1373" t="str">
            <v>暂借款</v>
          </cell>
          <cell r="I1373" t="b">
            <v>1</v>
          </cell>
          <cell r="J1373">
            <v>20000</v>
          </cell>
          <cell r="K1373">
            <v>0</v>
          </cell>
          <cell r="L1373">
            <v>0</v>
          </cell>
        </row>
        <row r="1374">
          <cell r="A1374" t="str">
            <v>02</v>
          </cell>
          <cell r="B1374" t="str">
            <v>21</v>
          </cell>
          <cell r="C1374" t="str">
            <v>02</v>
          </cell>
          <cell r="D1374" t="str">
            <v>2</v>
          </cell>
          <cell r="E1374" t="str">
            <v>0041</v>
          </cell>
          <cell r="F1374" t="str">
            <v>0002</v>
          </cell>
          <cell r="G1374" t="str">
            <v>11901</v>
          </cell>
          <cell r="H1374" t="str">
            <v>暂借款</v>
          </cell>
          <cell r="I1374" t="b">
            <v>1</v>
          </cell>
          <cell r="J1374">
            <v>1000</v>
          </cell>
          <cell r="K1374">
            <v>0</v>
          </cell>
          <cell r="L1374">
            <v>0</v>
          </cell>
        </row>
        <row r="1375">
          <cell r="A1375" t="str">
            <v>02</v>
          </cell>
          <cell r="B1375" t="str">
            <v>21</v>
          </cell>
          <cell r="C1375" t="str">
            <v>02</v>
          </cell>
          <cell r="D1375" t="str">
            <v>2</v>
          </cell>
          <cell r="E1375" t="str">
            <v>0041</v>
          </cell>
          <cell r="F1375" t="str">
            <v>0003</v>
          </cell>
          <cell r="G1375" t="str">
            <v>11901</v>
          </cell>
          <cell r="H1375" t="str">
            <v>暂借款</v>
          </cell>
          <cell r="I1375" t="b">
            <v>1</v>
          </cell>
          <cell r="J1375">
            <v>3546</v>
          </cell>
          <cell r="K1375">
            <v>0</v>
          </cell>
          <cell r="L1375">
            <v>0</v>
          </cell>
        </row>
        <row r="1376">
          <cell r="A1376" t="str">
            <v>02</v>
          </cell>
          <cell r="B1376" t="str">
            <v>21</v>
          </cell>
          <cell r="C1376" t="str">
            <v>02</v>
          </cell>
          <cell r="D1376" t="str">
            <v>2</v>
          </cell>
          <cell r="E1376" t="str">
            <v>0041</v>
          </cell>
          <cell r="F1376" t="str">
            <v>0004</v>
          </cell>
          <cell r="G1376" t="str">
            <v>11901</v>
          </cell>
          <cell r="H1376" t="str">
            <v>暂借款</v>
          </cell>
          <cell r="I1376" t="b">
            <v>1</v>
          </cell>
          <cell r="J1376">
            <v>2000</v>
          </cell>
          <cell r="K1376">
            <v>0</v>
          </cell>
          <cell r="L1376">
            <v>0</v>
          </cell>
        </row>
        <row r="1377">
          <cell r="A1377" t="str">
            <v>02</v>
          </cell>
          <cell r="B1377" t="str">
            <v>23</v>
          </cell>
          <cell r="C1377" t="str">
            <v>02</v>
          </cell>
          <cell r="D1377" t="str">
            <v>5</v>
          </cell>
          <cell r="E1377" t="str">
            <v>0013</v>
          </cell>
          <cell r="F1377" t="str">
            <v>0004</v>
          </cell>
          <cell r="G1377" t="str">
            <v>11901</v>
          </cell>
          <cell r="H1377" t="str">
            <v>转报销差旅费等</v>
          </cell>
          <cell r="I1377" t="b">
            <v>0</v>
          </cell>
          <cell r="J1377">
            <v>1990.7</v>
          </cell>
          <cell r="K1377">
            <v>0</v>
          </cell>
          <cell r="L1377">
            <v>0</v>
          </cell>
        </row>
        <row r="1378">
          <cell r="A1378" t="str">
            <v>02</v>
          </cell>
          <cell r="B1378" t="str">
            <v>23</v>
          </cell>
          <cell r="C1378" t="str">
            <v>02</v>
          </cell>
          <cell r="D1378" t="str">
            <v>5</v>
          </cell>
          <cell r="E1378" t="str">
            <v>0014</v>
          </cell>
          <cell r="F1378" t="str">
            <v>0002</v>
          </cell>
          <cell r="G1378" t="str">
            <v>11901</v>
          </cell>
          <cell r="H1378" t="str">
            <v>转报销差旅费</v>
          </cell>
          <cell r="I1378" t="b">
            <v>0</v>
          </cell>
          <cell r="J1378">
            <v>747</v>
          </cell>
          <cell r="K1378">
            <v>0</v>
          </cell>
          <cell r="L1378">
            <v>0</v>
          </cell>
        </row>
        <row r="1379">
          <cell r="A1379" t="str">
            <v>02</v>
          </cell>
          <cell r="B1379" t="str">
            <v>23</v>
          </cell>
          <cell r="C1379" t="str">
            <v>02</v>
          </cell>
          <cell r="D1379" t="str">
            <v>5</v>
          </cell>
          <cell r="E1379" t="str">
            <v>0015</v>
          </cell>
          <cell r="F1379" t="str">
            <v>0003</v>
          </cell>
          <cell r="G1379" t="str">
            <v>11901</v>
          </cell>
          <cell r="H1379" t="str">
            <v>转报销差旅费等</v>
          </cell>
          <cell r="I1379" t="b">
            <v>0</v>
          </cell>
          <cell r="J1379">
            <v>737</v>
          </cell>
          <cell r="K1379">
            <v>0</v>
          </cell>
          <cell r="L1379">
            <v>0</v>
          </cell>
        </row>
        <row r="1380">
          <cell r="A1380" t="str">
            <v>02</v>
          </cell>
          <cell r="B1380" t="str">
            <v>23</v>
          </cell>
          <cell r="C1380" t="str">
            <v>02</v>
          </cell>
          <cell r="D1380" t="str">
            <v>5</v>
          </cell>
          <cell r="E1380" t="str">
            <v>0016</v>
          </cell>
          <cell r="F1380" t="str">
            <v>0003</v>
          </cell>
          <cell r="G1380" t="str">
            <v>11901</v>
          </cell>
          <cell r="H1380" t="str">
            <v>转报销出差补助</v>
          </cell>
          <cell r="I1380" t="b">
            <v>0</v>
          </cell>
          <cell r="J1380">
            <v>2115</v>
          </cell>
          <cell r="K1380">
            <v>0</v>
          </cell>
          <cell r="L1380">
            <v>0</v>
          </cell>
        </row>
        <row r="1381">
          <cell r="A1381" t="str">
            <v>02</v>
          </cell>
          <cell r="B1381" t="str">
            <v>23</v>
          </cell>
          <cell r="C1381" t="str">
            <v>02</v>
          </cell>
          <cell r="D1381" t="str">
            <v>5</v>
          </cell>
          <cell r="E1381" t="str">
            <v>0016</v>
          </cell>
          <cell r="F1381" t="str">
            <v>0004</v>
          </cell>
          <cell r="G1381" t="str">
            <v>11901</v>
          </cell>
          <cell r="H1381" t="str">
            <v>转报销差旅费</v>
          </cell>
          <cell r="I1381" t="b">
            <v>0</v>
          </cell>
          <cell r="J1381">
            <v>2671</v>
          </cell>
          <cell r="K1381">
            <v>0</v>
          </cell>
          <cell r="L1381">
            <v>0</v>
          </cell>
        </row>
        <row r="1382">
          <cell r="A1382" t="str">
            <v>03</v>
          </cell>
          <cell r="B1382" t="str">
            <v>24</v>
          </cell>
          <cell r="C1382" t="str">
            <v>03</v>
          </cell>
          <cell r="D1382" t="str">
            <v>2</v>
          </cell>
          <cell r="E1382" t="str">
            <v>0020</v>
          </cell>
          <cell r="F1382" t="str">
            <v>0001</v>
          </cell>
          <cell r="G1382" t="str">
            <v>11901</v>
          </cell>
          <cell r="H1382" t="str">
            <v>暂借款</v>
          </cell>
          <cell r="I1382" t="b">
            <v>1</v>
          </cell>
          <cell r="J1382">
            <v>6000</v>
          </cell>
          <cell r="K1382">
            <v>0</v>
          </cell>
          <cell r="L1382">
            <v>0</v>
          </cell>
        </row>
        <row r="1383">
          <cell r="A1383" t="str">
            <v>03</v>
          </cell>
          <cell r="B1383" t="str">
            <v>24</v>
          </cell>
          <cell r="C1383" t="str">
            <v>03</v>
          </cell>
          <cell r="D1383" t="str">
            <v>2</v>
          </cell>
          <cell r="E1383" t="str">
            <v>0020</v>
          </cell>
          <cell r="F1383" t="str">
            <v>0002</v>
          </cell>
          <cell r="G1383" t="str">
            <v>11901</v>
          </cell>
          <cell r="H1383" t="str">
            <v>暂借款</v>
          </cell>
          <cell r="I1383" t="b">
            <v>1</v>
          </cell>
          <cell r="J1383">
            <v>10000</v>
          </cell>
          <cell r="K1383">
            <v>0</v>
          </cell>
          <cell r="L1383">
            <v>0</v>
          </cell>
        </row>
        <row r="1384">
          <cell r="A1384" t="str">
            <v>03</v>
          </cell>
          <cell r="B1384" t="str">
            <v>24</v>
          </cell>
          <cell r="C1384" t="str">
            <v>03</v>
          </cell>
          <cell r="D1384" t="str">
            <v>2</v>
          </cell>
          <cell r="E1384" t="str">
            <v>0020</v>
          </cell>
          <cell r="F1384" t="str">
            <v>0003</v>
          </cell>
          <cell r="G1384" t="str">
            <v>11901</v>
          </cell>
          <cell r="H1384" t="str">
            <v>暂借款</v>
          </cell>
          <cell r="I1384" t="b">
            <v>1</v>
          </cell>
          <cell r="J1384">
            <v>6000</v>
          </cell>
          <cell r="K1384">
            <v>0</v>
          </cell>
          <cell r="L1384">
            <v>0</v>
          </cell>
        </row>
        <row r="1385">
          <cell r="A1385" t="str">
            <v>03</v>
          </cell>
          <cell r="B1385" t="str">
            <v>24</v>
          </cell>
          <cell r="C1385" t="str">
            <v>03</v>
          </cell>
          <cell r="D1385" t="str">
            <v>2</v>
          </cell>
          <cell r="E1385" t="str">
            <v>0020</v>
          </cell>
          <cell r="F1385" t="str">
            <v>0004</v>
          </cell>
          <cell r="G1385" t="str">
            <v>11901</v>
          </cell>
          <cell r="H1385" t="str">
            <v>暂借款</v>
          </cell>
          <cell r="I1385" t="b">
            <v>1</v>
          </cell>
          <cell r="J1385">
            <v>4300</v>
          </cell>
          <cell r="K1385">
            <v>0</v>
          </cell>
          <cell r="L1385">
            <v>0</v>
          </cell>
        </row>
        <row r="1386">
          <cell r="A1386" t="str">
            <v>03</v>
          </cell>
          <cell r="B1386" t="str">
            <v>27</v>
          </cell>
          <cell r="C1386" t="str">
            <v>03</v>
          </cell>
          <cell r="D1386" t="str">
            <v>2</v>
          </cell>
          <cell r="E1386" t="str">
            <v>0027</v>
          </cell>
          <cell r="F1386" t="str">
            <v>0001</v>
          </cell>
          <cell r="G1386" t="str">
            <v>11901</v>
          </cell>
          <cell r="H1386" t="str">
            <v>暂借款</v>
          </cell>
          <cell r="I1386" t="b">
            <v>1</v>
          </cell>
          <cell r="J1386">
            <v>7000</v>
          </cell>
          <cell r="K1386">
            <v>0</v>
          </cell>
          <cell r="L1386">
            <v>0</v>
          </cell>
        </row>
        <row r="1387">
          <cell r="A1387" t="str">
            <v>04</v>
          </cell>
          <cell r="B1387" t="str">
            <v>17</v>
          </cell>
          <cell r="C1387" t="str">
            <v>04</v>
          </cell>
          <cell r="D1387" t="str">
            <v>2</v>
          </cell>
          <cell r="E1387" t="str">
            <v>0008</v>
          </cell>
          <cell r="F1387" t="str">
            <v>0001</v>
          </cell>
          <cell r="G1387" t="str">
            <v>11901</v>
          </cell>
          <cell r="H1387" t="str">
            <v>暂借款</v>
          </cell>
          <cell r="I1387" t="b">
            <v>1</v>
          </cell>
          <cell r="J1387">
            <v>2000</v>
          </cell>
          <cell r="K1387">
            <v>0</v>
          </cell>
          <cell r="L1387">
            <v>0</v>
          </cell>
        </row>
        <row r="1388">
          <cell r="A1388" t="str">
            <v>04</v>
          </cell>
          <cell r="B1388" t="str">
            <v>17</v>
          </cell>
          <cell r="C1388" t="str">
            <v>04</v>
          </cell>
          <cell r="D1388" t="str">
            <v>2</v>
          </cell>
          <cell r="E1388" t="str">
            <v>0008</v>
          </cell>
          <cell r="F1388" t="str">
            <v>0002</v>
          </cell>
          <cell r="G1388" t="str">
            <v>11901</v>
          </cell>
          <cell r="H1388" t="str">
            <v>暂借款</v>
          </cell>
          <cell r="I1388" t="b">
            <v>1</v>
          </cell>
          <cell r="J1388">
            <v>1000</v>
          </cell>
          <cell r="K1388">
            <v>0</v>
          </cell>
          <cell r="L1388">
            <v>0</v>
          </cell>
        </row>
        <row r="1389">
          <cell r="A1389" t="str">
            <v>04</v>
          </cell>
          <cell r="B1389" t="str">
            <v>17</v>
          </cell>
          <cell r="C1389" t="str">
            <v>04</v>
          </cell>
          <cell r="D1389" t="str">
            <v>2</v>
          </cell>
          <cell r="E1389" t="str">
            <v>0008</v>
          </cell>
          <cell r="F1389" t="str">
            <v>0003</v>
          </cell>
          <cell r="G1389" t="str">
            <v>11901</v>
          </cell>
          <cell r="H1389" t="str">
            <v>暂借款</v>
          </cell>
          <cell r="I1389" t="b">
            <v>1</v>
          </cell>
          <cell r="J1389">
            <v>10000</v>
          </cell>
          <cell r="K1389">
            <v>0</v>
          </cell>
          <cell r="L1389">
            <v>0</v>
          </cell>
        </row>
        <row r="1390">
          <cell r="A1390" t="str">
            <v>04</v>
          </cell>
          <cell r="B1390" t="str">
            <v>19</v>
          </cell>
          <cell r="C1390" t="str">
            <v>04</v>
          </cell>
          <cell r="D1390" t="str">
            <v>4</v>
          </cell>
          <cell r="E1390" t="str">
            <v>0022</v>
          </cell>
          <cell r="F1390" t="str">
            <v>0013</v>
          </cell>
          <cell r="G1390" t="str">
            <v>11901</v>
          </cell>
          <cell r="H1390" t="str">
            <v>收回借款</v>
          </cell>
          <cell r="I1390" t="b">
            <v>0</v>
          </cell>
          <cell r="J1390">
            <v>700</v>
          </cell>
          <cell r="K1390">
            <v>0</v>
          </cell>
          <cell r="L1390">
            <v>0</v>
          </cell>
        </row>
        <row r="1391">
          <cell r="A1391" t="str">
            <v>04</v>
          </cell>
          <cell r="B1391" t="str">
            <v>19</v>
          </cell>
          <cell r="C1391" t="str">
            <v>04</v>
          </cell>
          <cell r="D1391" t="str">
            <v>4</v>
          </cell>
          <cell r="E1391" t="str">
            <v>0022</v>
          </cell>
          <cell r="F1391" t="str">
            <v>0014</v>
          </cell>
          <cell r="G1391" t="str">
            <v>11901</v>
          </cell>
          <cell r="H1391" t="str">
            <v>收回借款</v>
          </cell>
          <cell r="I1391" t="b">
            <v>0</v>
          </cell>
          <cell r="J1391">
            <v>700</v>
          </cell>
          <cell r="K1391">
            <v>0</v>
          </cell>
          <cell r="L1391">
            <v>0</v>
          </cell>
        </row>
        <row r="1392">
          <cell r="A1392" t="str">
            <v>04</v>
          </cell>
          <cell r="B1392" t="str">
            <v>19</v>
          </cell>
          <cell r="C1392" t="str">
            <v>04</v>
          </cell>
          <cell r="D1392" t="str">
            <v>4</v>
          </cell>
          <cell r="E1392" t="str">
            <v>0022</v>
          </cell>
          <cell r="F1392" t="str">
            <v>0015</v>
          </cell>
          <cell r="G1392" t="str">
            <v>11901</v>
          </cell>
          <cell r="H1392" t="str">
            <v>收回借款</v>
          </cell>
          <cell r="I1392" t="b">
            <v>0</v>
          </cell>
          <cell r="J1392">
            <v>800</v>
          </cell>
          <cell r="K1392">
            <v>0</v>
          </cell>
          <cell r="L1392">
            <v>0</v>
          </cell>
        </row>
        <row r="1393">
          <cell r="A1393" t="str">
            <v>04</v>
          </cell>
          <cell r="B1393" t="str">
            <v>19</v>
          </cell>
          <cell r="C1393" t="str">
            <v>04</v>
          </cell>
          <cell r="D1393" t="str">
            <v>4</v>
          </cell>
          <cell r="E1393" t="str">
            <v>0022</v>
          </cell>
          <cell r="F1393" t="str">
            <v>0016</v>
          </cell>
          <cell r="G1393" t="str">
            <v>11901</v>
          </cell>
          <cell r="H1393" t="str">
            <v>收回借款</v>
          </cell>
          <cell r="I1393" t="b">
            <v>0</v>
          </cell>
          <cell r="J1393">
            <v>800</v>
          </cell>
          <cell r="K1393">
            <v>0</v>
          </cell>
          <cell r="L1393">
            <v>0</v>
          </cell>
        </row>
        <row r="1394">
          <cell r="A1394" t="str">
            <v>04</v>
          </cell>
          <cell r="B1394" t="str">
            <v>19</v>
          </cell>
          <cell r="C1394" t="str">
            <v>04</v>
          </cell>
          <cell r="D1394" t="str">
            <v>4</v>
          </cell>
          <cell r="E1394" t="str">
            <v>0022</v>
          </cell>
          <cell r="F1394" t="str">
            <v>0017</v>
          </cell>
          <cell r="G1394" t="str">
            <v>11901</v>
          </cell>
          <cell r="H1394" t="str">
            <v>收回借款</v>
          </cell>
          <cell r="I1394" t="b">
            <v>0</v>
          </cell>
          <cell r="J1394">
            <v>600</v>
          </cell>
          <cell r="K1394">
            <v>0</v>
          </cell>
          <cell r="L1394">
            <v>0</v>
          </cell>
        </row>
        <row r="1395">
          <cell r="A1395" t="str">
            <v>04</v>
          </cell>
          <cell r="B1395" t="str">
            <v>19</v>
          </cell>
          <cell r="C1395" t="str">
            <v>04</v>
          </cell>
          <cell r="D1395" t="str">
            <v>4</v>
          </cell>
          <cell r="E1395" t="str">
            <v>0022</v>
          </cell>
          <cell r="F1395" t="str">
            <v>0018</v>
          </cell>
          <cell r="G1395" t="str">
            <v>11901</v>
          </cell>
          <cell r="H1395" t="str">
            <v>收回借款</v>
          </cell>
          <cell r="I1395" t="b">
            <v>0</v>
          </cell>
          <cell r="J1395">
            <v>12.03</v>
          </cell>
          <cell r="K1395">
            <v>0</v>
          </cell>
          <cell r="L1395">
            <v>0</v>
          </cell>
        </row>
        <row r="1396">
          <cell r="A1396" t="str">
            <v>04</v>
          </cell>
          <cell r="B1396" t="str">
            <v>19</v>
          </cell>
          <cell r="C1396" t="str">
            <v>04</v>
          </cell>
          <cell r="D1396" t="str">
            <v>4</v>
          </cell>
          <cell r="E1396" t="str">
            <v>0022</v>
          </cell>
          <cell r="F1396" t="str">
            <v>0019</v>
          </cell>
          <cell r="G1396" t="str">
            <v>11901</v>
          </cell>
          <cell r="H1396" t="str">
            <v>收回借款</v>
          </cell>
          <cell r="I1396" t="b">
            <v>0</v>
          </cell>
          <cell r="J1396">
            <v>1500</v>
          </cell>
          <cell r="K1396">
            <v>0</v>
          </cell>
          <cell r="L1396">
            <v>0</v>
          </cell>
        </row>
        <row r="1397">
          <cell r="A1397" t="str">
            <v>04</v>
          </cell>
          <cell r="B1397" t="str">
            <v>19</v>
          </cell>
          <cell r="C1397" t="str">
            <v>04</v>
          </cell>
          <cell r="D1397" t="str">
            <v>4</v>
          </cell>
          <cell r="E1397" t="str">
            <v>0022</v>
          </cell>
          <cell r="F1397" t="str">
            <v>0020</v>
          </cell>
          <cell r="G1397" t="str">
            <v>11901</v>
          </cell>
          <cell r="H1397" t="str">
            <v>收回借款</v>
          </cell>
          <cell r="I1397" t="b">
            <v>0</v>
          </cell>
          <cell r="J1397">
            <v>421</v>
          </cell>
          <cell r="K1397">
            <v>0</v>
          </cell>
          <cell r="L1397">
            <v>0</v>
          </cell>
        </row>
        <row r="1398">
          <cell r="A1398" t="str">
            <v>04</v>
          </cell>
          <cell r="B1398" t="str">
            <v>19</v>
          </cell>
          <cell r="C1398" t="str">
            <v>04</v>
          </cell>
          <cell r="D1398" t="str">
            <v>4</v>
          </cell>
          <cell r="E1398" t="str">
            <v>0022</v>
          </cell>
          <cell r="F1398" t="str">
            <v>0021</v>
          </cell>
          <cell r="G1398" t="str">
            <v>11901</v>
          </cell>
          <cell r="H1398" t="str">
            <v>收回借款</v>
          </cell>
          <cell r="I1398" t="b">
            <v>0</v>
          </cell>
          <cell r="J1398">
            <v>700</v>
          </cell>
          <cell r="K1398">
            <v>0</v>
          </cell>
          <cell r="L1398">
            <v>0</v>
          </cell>
        </row>
        <row r="1399">
          <cell r="A1399" t="str">
            <v>04</v>
          </cell>
          <cell r="B1399" t="str">
            <v>19</v>
          </cell>
          <cell r="C1399" t="str">
            <v>04</v>
          </cell>
          <cell r="D1399" t="str">
            <v>4</v>
          </cell>
          <cell r="E1399" t="str">
            <v>0022</v>
          </cell>
          <cell r="F1399" t="str">
            <v>0022</v>
          </cell>
          <cell r="G1399" t="str">
            <v>11901</v>
          </cell>
          <cell r="H1399" t="str">
            <v>收回借款</v>
          </cell>
          <cell r="I1399" t="b">
            <v>0</v>
          </cell>
          <cell r="J1399">
            <v>700</v>
          </cell>
          <cell r="K1399">
            <v>0</v>
          </cell>
          <cell r="L1399">
            <v>0</v>
          </cell>
        </row>
        <row r="1400">
          <cell r="A1400" t="str">
            <v>04</v>
          </cell>
          <cell r="B1400" t="str">
            <v>19</v>
          </cell>
          <cell r="C1400" t="str">
            <v>04</v>
          </cell>
          <cell r="D1400" t="str">
            <v>4</v>
          </cell>
          <cell r="E1400" t="str">
            <v>0022</v>
          </cell>
          <cell r="F1400" t="str">
            <v>0023</v>
          </cell>
          <cell r="G1400" t="str">
            <v>11901</v>
          </cell>
          <cell r="H1400" t="str">
            <v>收回借款</v>
          </cell>
          <cell r="I1400" t="b">
            <v>0</v>
          </cell>
          <cell r="J1400">
            <v>1200</v>
          </cell>
          <cell r="K1400">
            <v>0</v>
          </cell>
          <cell r="L1400">
            <v>0</v>
          </cell>
        </row>
        <row r="1401">
          <cell r="A1401" t="str">
            <v>04</v>
          </cell>
          <cell r="B1401" t="str">
            <v>19</v>
          </cell>
          <cell r="C1401" t="str">
            <v>04</v>
          </cell>
          <cell r="D1401" t="str">
            <v>4</v>
          </cell>
          <cell r="E1401" t="str">
            <v>0022</v>
          </cell>
          <cell r="F1401" t="str">
            <v>0024</v>
          </cell>
          <cell r="G1401" t="str">
            <v>11901</v>
          </cell>
          <cell r="H1401" t="str">
            <v>收回借款</v>
          </cell>
          <cell r="I1401" t="b">
            <v>0</v>
          </cell>
          <cell r="J1401">
            <v>1600</v>
          </cell>
          <cell r="K1401">
            <v>0</v>
          </cell>
          <cell r="L1401">
            <v>0</v>
          </cell>
        </row>
        <row r="1402">
          <cell r="A1402" t="str">
            <v>04</v>
          </cell>
          <cell r="B1402" t="str">
            <v>19</v>
          </cell>
          <cell r="C1402" t="str">
            <v>04</v>
          </cell>
          <cell r="D1402" t="str">
            <v>4</v>
          </cell>
          <cell r="E1402" t="str">
            <v>0022</v>
          </cell>
          <cell r="F1402" t="str">
            <v>0025</v>
          </cell>
          <cell r="G1402" t="str">
            <v>11901</v>
          </cell>
          <cell r="H1402" t="str">
            <v>收回借款</v>
          </cell>
          <cell r="I1402" t="b">
            <v>0</v>
          </cell>
          <cell r="J1402">
            <v>600</v>
          </cell>
          <cell r="K1402">
            <v>0</v>
          </cell>
          <cell r="L1402">
            <v>0</v>
          </cell>
        </row>
        <row r="1403">
          <cell r="A1403" t="str">
            <v>04</v>
          </cell>
          <cell r="B1403" t="str">
            <v>19</v>
          </cell>
          <cell r="C1403" t="str">
            <v>04</v>
          </cell>
          <cell r="D1403" t="str">
            <v>4</v>
          </cell>
          <cell r="E1403" t="str">
            <v>0022</v>
          </cell>
          <cell r="F1403" t="str">
            <v>0026</v>
          </cell>
          <cell r="G1403" t="str">
            <v>11901</v>
          </cell>
          <cell r="H1403" t="str">
            <v>收回借款</v>
          </cell>
          <cell r="I1403" t="b">
            <v>0</v>
          </cell>
          <cell r="J1403">
            <v>900</v>
          </cell>
          <cell r="K1403">
            <v>0</v>
          </cell>
          <cell r="L1403">
            <v>0</v>
          </cell>
        </row>
        <row r="1404">
          <cell r="A1404" t="str">
            <v>04</v>
          </cell>
          <cell r="B1404" t="str">
            <v>19</v>
          </cell>
          <cell r="C1404" t="str">
            <v>04</v>
          </cell>
          <cell r="D1404" t="str">
            <v>4</v>
          </cell>
          <cell r="E1404" t="str">
            <v>0022</v>
          </cell>
          <cell r="F1404" t="str">
            <v>0027</v>
          </cell>
          <cell r="G1404" t="str">
            <v>11901</v>
          </cell>
          <cell r="H1404" t="str">
            <v>收回借款</v>
          </cell>
          <cell r="I1404" t="b">
            <v>0</v>
          </cell>
          <cell r="J1404">
            <v>0.7</v>
          </cell>
          <cell r="K1404">
            <v>0</v>
          </cell>
          <cell r="L1404">
            <v>0</v>
          </cell>
        </row>
        <row r="1405">
          <cell r="A1405" t="str">
            <v>04</v>
          </cell>
          <cell r="B1405" t="str">
            <v>19</v>
          </cell>
          <cell r="C1405" t="str">
            <v>04</v>
          </cell>
          <cell r="D1405" t="str">
            <v>4</v>
          </cell>
          <cell r="E1405" t="str">
            <v>0022</v>
          </cell>
          <cell r="F1405" t="str">
            <v>0028</v>
          </cell>
          <cell r="G1405" t="str">
            <v>11901</v>
          </cell>
          <cell r="H1405" t="str">
            <v>收回借款</v>
          </cell>
          <cell r="I1405" t="b">
            <v>0</v>
          </cell>
          <cell r="J1405">
            <v>800</v>
          </cell>
          <cell r="K1405">
            <v>0</v>
          </cell>
          <cell r="L1405">
            <v>0</v>
          </cell>
        </row>
        <row r="1406">
          <cell r="A1406" t="str">
            <v>04</v>
          </cell>
          <cell r="B1406" t="str">
            <v>19</v>
          </cell>
          <cell r="C1406" t="str">
            <v>04</v>
          </cell>
          <cell r="D1406" t="str">
            <v>4</v>
          </cell>
          <cell r="E1406" t="str">
            <v>0022</v>
          </cell>
          <cell r="F1406" t="str">
            <v>0029</v>
          </cell>
          <cell r="G1406" t="str">
            <v>11901</v>
          </cell>
          <cell r="H1406" t="str">
            <v>收回借款</v>
          </cell>
          <cell r="I1406" t="b">
            <v>0</v>
          </cell>
          <cell r="J1406">
            <v>811.1</v>
          </cell>
          <cell r="K1406">
            <v>0</v>
          </cell>
          <cell r="L1406">
            <v>0</v>
          </cell>
        </row>
        <row r="1407">
          <cell r="A1407" t="str">
            <v>04</v>
          </cell>
          <cell r="B1407" t="str">
            <v>19</v>
          </cell>
          <cell r="C1407" t="str">
            <v>04</v>
          </cell>
          <cell r="D1407" t="str">
            <v>4</v>
          </cell>
          <cell r="E1407" t="str">
            <v>0022</v>
          </cell>
          <cell r="F1407" t="str">
            <v>0030</v>
          </cell>
          <cell r="G1407" t="str">
            <v>11901</v>
          </cell>
          <cell r="H1407" t="str">
            <v>收回借款</v>
          </cell>
          <cell r="I1407" t="b">
            <v>0</v>
          </cell>
          <cell r="J1407">
            <v>900</v>
          </cell>
          <cell r="K1407">
            <v>0</v>
          </cell>
          <cell r="L1407">
            <v>0</v>
          </cell>
        </row>
        <row r="1408">
          <cell r="A1408" t="str">
            <v>04</v>
          </cell>
          <cell r="B1408" t="str">
            <v>19</v>
          </cell>
          <cell r="C1408" t="str">
            <v>04</v>
          </cell>
          <cell r="D1408" t="str">
            <v>4</v>
          </cell>
          <cell r="E1408" t="str">
            <v>0022</v>
          </cell>
          <cell r="F1408" t="str">
            <v>0031</v>
          </cell>
          <cell r="G1408" t="str">
            <v>11901</v>
          </cell>
          <cell r="H1408" t="str">
            <v>收回借款</v>
          </cell>
          <cell r="I1408" t="b">
            <v>0</v>
          </cell>
          <cell r="J1408">
            <v>800</v>
          </cell>
          <cell r="K1408">
            <v>0</v>
          </cell>
          <cell r="L1408">
            <v>0</v>
          </cell>
        </row>
        <row r="1409">
          <cell r="A1409" t="str">
            <v>04</v>
          </cell>
          <cell r="B1409" t="str">
            <v>19</v>
          </cell>
          <cell r="C1409" t="str">
            <v>04</v>
          </cell>
          <cell r="D1409" t="str">
            <v>4</v>
          </cell>
          <cell r="E1409" t="str">
            <v>0022</v>
          </cell>
          <cell r="F1409" t="str">
            <v>0032</v>
          </cell>
          <cell r="G1409" t="str">
            <v>11901</v>
          </cell>
          <cell r="H1409" t="str">
            <v>收回借款</v>
          </cell>
          <cell r="I1409" t="b">
            <v>0</v>
          </cell>
          <cell r="J1409">
            <v>800</v>
          </cell>
          <cell r="K1409">
            <v>0</v>
          </cell>
          <cell r="L1409">
            <v>0</v>
          </cell>
        </row>
        <row r="1410">
          <cell r="A1410" t="str">
            <v>04</v>
          </cell>
          <cell r="B1410" t="str">
            <v>19</v>
          </cell>
          <cell r="C1410" t="str">
            <v>04</v>
          </cell>
          <cell r="D1410" t="str">
            <v>4</v>
          </cell>
          <cell r="E1410" t="str">
            <v>0022</v>
          </cell>
          <cell r="F1410" t="str">
            <v>0033</v>
          </cell>
          <cell r="G1410" t="str">
            <v>11901</v>
          </cell>
          <cell r="H1410" t="str">
            <v>收回借款</v>
          </cell>
          <cell r="I1410" t="b">
            <v>0</v>
          </cell>
          <cell r="J1410">
            <v>48</v>
          </cell>
          <cell r="K1410">
            <v>0</v>
          </cell>
          <cell r="L1410">
            <v>0</v>
          </cell>
        </row>
        <row r="1411">
          <cell r="A1411" t="str">
            <v>04</v>
          </cell>
          <cell r="B1411" t="str">
            <v>19</v>
          </cell>
          <cell r="C1411" t="str">
            <v>04</v>
          </cell>
          <cell r="D1411" t="str">
            <v>4</v>
          </cell>
          <cell r="E1411" t="str">
            <v>0022</v>
          </cell>
          <cell r="F1411" t="str">
            <v>0034</v>
          </cell>
          <cell r="G1411" t="str">
            <v>11901</v>
          </cell>
          <cell r="H1411" t="str">
            <v>收回借款</v>
          </cell>
          <cell r="I1411" t="b">
            <v>0</v>
          </cell>
          <cell r="J1411">
            <v>800</v>
          </cell>
          <cell r="K1411">
            <v>0</v>
          </cell>
          <cell r="L1411">
            <v>0</v>
          </cell>
        </row>
        <row r="1412">
          <cell r="A1412" t="str">
            <v>04</v>
          </cell>
          <cell r="B1412" t="str">
            <v>19</v>
          </cell>
          <cell r="C1412" t="str">
            <v>04</v>
          </cell>
          <cell r="D1412" t="str">
            <v>4</v>
          </cell>
          <cell r="E1412" t="str">
            <v>0022</v>
          </cell>
          <cell r="F1412" t="str">
            <v>0035</v>
          </cell>
          <cell r="G1412" t="str">
            <v>11901</v>
          </cell>
          <cell r="H1412" t="str">
            <v>收回借款</v>
          </cell>
          <cell r="I1412" t="b">
            <v>0</v>
          </cell>
          <cell r="J1412">
            <v>800</v>
          </cell>
          <cell r="K1412">
            <v>0</v>
          </cell>
          <cell r="L1412">
            <v>0</v>
          </cell>
        </row>
        <row r="1413">
          <cell r="A1413" t="str">
            <v>04</v>
          </cell>
          <cell r="B1413" t="str">
            <v>19</v>
          </cell>
          <cell r="C1413" t="str">
            <v>04</v>
          </cell>
          <cell r="D1413" t="str">
            <v>4</v>
          </cell>
          <cell r="E1413" t="str">
            <v>0022</v>
          </cell>
          <cell r="F1413" t="str">
            <v>0036</v>
          </cell>
          <cell r="G1413" t="str">
            <v>11901</v>
          </cell>
          <cell r="H1413" t="str">
            <v>收回借款</v>
          </cell>
          <cell r="I1413" t="b">
            <v>0</v>
          </cell>
          <cell r="J1413">
            <v>11</v>
          </cell>
          <cell r="K1413">
            <v>0</v>
          </cell>
          <cell r="L1413">
            <v>0</v>
          </cell>
        </row>
        <row r="1414">
          <cell r="A1414" t="str">
            <v>04</v>
          </cell>
          <cell r="B1414" t="str">
            <v>19</v>
          </cell>
          <cell r="C1414" t="str">
            <v>04</v>
          </cell>
          <cell r="D1414" t="str">
            <v>4</v>
          </cell>
          <cell r="E1414" t="str">
            <v>0022</v>
          </cell>
          <cell r="F1414" t="str">
            <v>0037</v>
          </cell>
          <cell r="G1414" t="str">
            <v>11901</v>
          </cell>
          <cell r="H1414" t="str">
            <v>收回借款</v>
          </cell>
          <cell r="I1414" t="b">
            <v>0</v>
          </cell>
          <cell r="J1414">
            <v>200</v>
          </cell>
          <cell r="K1414">
            <v>0</v>
          </cell>
          <cell r="L1414">
            <v>0</v>
          </cell>
        </row>
        <row r="1415">
          <cell r="A1415" t="str">
            <v>04</v>
          </cell>
          <cell r="B1415" t="str">
            <v>19</v>
          </cell>
          <cell r="C1415" t="str">
            <v>04</v>
          </cell>
          <cell r="D1415" t="str">
            <v>4</v>
          </cell>
          <cell r="E1415" t="str">
            <v>0022</v>
          </cell>
          <cell r="F1415" t="str">
            <v>0038</v>
          </cell>
          <cell r="G1415" t="str">
            <v>11901</v>
          </cell>
          <cell r="H1415" t="str">
            <v>收回借款</v>
          </cell>
          <cell r="I1415" t="b">
            <v>0</v>
          </cell>
          <cell r="J1415">
            <v>900</v>
          </cell>
          <cell r="K1415">
            <v>0</v>
          </cell>
          <cell r="L1415">
            <v>0</v>
          </cell>
        </row>
        <row r="1416">
          <cell r="A1416" t="str">
            <v>04</v>
          </cell>
          <cell r="B1416" t="str">
            <v>19</v>
          </cell>
          <cell r="C1416" t="str">
            <v>04</v>
          </cell>
          <cell r="D1416" t="str">
            <v>4</v>
          </cell>
          <cell r="E1416" t="str">
            <v>0022</v>
          </cell>
          <cell r="F1416" t="str">
            <v>0039</v>
          </cell>
          <cell r="G1416" t="str">
            <v>11901</v>
          </cell>
          <cell r="H1416" t="str">
            <v>收回借款</v>
          </cell>
          <cell r="I1416" t="b">
            <v>0</v>
          </cell>
          <cell r="J1416">
            <v>100</v>
          </cell>
          <cell r="K1416">
            <v>0</v>
          </cell>
          <cell r="L1416">
            <v>0</v>
          </cell>
        </row>
        <row r="1417">
          <cell r="A1417" t="str">
            <v>04</v>
          </cell>
          <cell r="B1417" t="str">
            <v>19</v>
          </cell>
          <cell r="C1417" t="str">
            <v>04</v>
          </cell>
          <cell r="D1417" t="str">
            <v>4</v>
          </cell>
          <cell r="E1417" t="str">
            <v>0022</v>
          </cell>
          <cell r="F1417" t="str">
            <v>0040</v>
          </cell>
          <cell r="G1417" t="str">
            <v>11901</v>
          </cell>
          <cell r="H1417" t="str">
            <v>收回借款</v>
          </cell>
          <cell r="I1417" t="b">
            <v>0</v>
          </cell>
          <cell r="J1417">
            <v>800</v>
          </cell>
          <cell r="K1417">
            <v>0</v>
          </cell>
          <cell r="L1417">
            <v>0</v>
          </cell>
        </row>
        <row r="1418">
          <cell r="A1418" t="str">
            <v>04</v>
          </cell>
          <cell r="B1418" t="str">
            <v>19</v>
          </cell>
          <cell r="C1418" t="str">
            <v>04</v>
          </cell>
          <cell r="D1418" t="str">
            <v>4</v>
          </cell>
          <cell r="E1418" t="str">
            <v>0022</v>
          </cell>
          <cell r="F1418" t="str">
            <v>0041</v>
          </cell>
          <cell r="G1418" t="str">
            <v>11901</v>
          </cell>
          <cell r="H1418" t="str">
            <v>收回借款</v>
          </cell>
          <cell r="I1418" t="b">
            <v>0</v>
          </cell>
          <cell r="J1418">
            <v>700</v>
          </cell>
          <cell r="K1418">
            <v>0</v>
          </cell>
          <cell r="L1418">
            <v>0</v>
          </cell>
        </row>
        <row r="1419">
          <cell r="A1419" t="str">
            <v>04</v>
          </cell>
          <cell r="B1419" t="str">
            <v>19</v>
          </cell>
          <cell r="C1419" t="str">
            <v>04</v>
          </cell>
          <cell r="D1419" t="str">
            <v>4</v>
          </cell>
          <cell r="E1419" t="str">
            <v>0022</v>
          </cell>
          <cell r="F1419" t="str">
            <v>0042</v>
          </cell>
          <cell r="G1419" t="str">
            <v>11901</v>
          </cell>
          <cell r="H1419" t="str">
            <v>收回借款</v>
          </cell>
          <cell r="I1419" t="b">
            <v>0</v>
          </cell>
          <cell r="J1419">
            <v>700</v>
          </cell>
          <cell r="K1419">
            <v>0</v>
          </cell>
          <cell r="L1419">
            <v>0</v>
          </cell>
        </row>
        <row r="1420">
          <cell r="A1420" t="str">
            <v>04</v>
          </cell>
          <cell r="B1420" t="str">
            <v>19</v>
          </cell>
          <cell r="C1420" t="str">
            <v>04</v>
          </cell>
          <cell r="D1420" t="str">
            <v>4</v>
          </cell>
          <cell r="E1420" t="str">
            <v>0022</v>
          </cell>
          <cell r="F1420" t="str">
            <v>0043</v>
          </cell>
          <cell r="G1420" t="str">
            <v>11901</v>
          </cell>
          <cell r="H1420" t="str">
            <v>收回借款</v>
          </cell>
          <cell r="I1420" t="b">
            <v>0</v>
          </cell>
          <cell r="J1420">
            <v>800</v>
          </cell>
          <cell r="K1420">
            <v>0</v>
          </cell>
          <cell r="L1420">
            <v>0</v>
          </cell>
        </row>
        <row r="1421">
          <cell r="A1421" t="str">
            <v>04</v>
          </cell>
          <cell r="B1421" t="str">
            <v>19</v>
          </cell>
          <cell r="C1421" t="str">
            <v>04</v>
          </cell>
          <cell r="D1421" t="str">
            <v>4</v>
          </cell>
          <cell r="E1421" t="str">
            <v>0022</v>
          </cell>
          <cell r="F1421" t="str">
            <v>0044</v>
          </cell>
          <cell r="G1421" t="str">
            <v>11901</v>
          </cell>
          <cell r="H1421" t="str">
            <v>收回借款</v>
          </cell>
          <cell r="I1421" t="b">
            <v>0</v>
          </cell>
          <cell r="J1421">
            <v>9.3000000000000007</v>
          </cell>
          <cell r="K1421">
            <v>0</v>
          </cell>
          <cell r="L1421">
            <v>0</v>
          </cell>
        </row>
        <row r="1422">
          <cell r="A1422" t="str">
            <v>04</v>
          </cell>
          <cell r="B1422" t="str">
            <v>19</v>
          </cell>
          <cell r="C1422" t="str">
            <v>04</v>
          </cell>
          <cell r="D1422" t="str">
            <v>4</v>
          </cell>
          <cell r="E1422" t="str">
            <v>0022</v>
          </cell>
          <cell r="F1422" t="str">
            <v>0045</v>
          </cell>
          <cell r="G1422" t="str">
            <v>11901</v>
          </cell>
          <cell r="H1422" t="str">
            <v>收回借款</v>
          </cell>
          <cell r="I1422" t="b">
            <v>0</v>
          </cell>
          <cell r="J1422">
            <v>700</v>
          </cell>
          <cell r="K1422">
            <v>0</v>
          </cell>
          <cell r="L1422">
            <v>0</v>
          </cell>
        </row>
        <row r="1423">
          <cell r="A1423" t="str">
            <v>04</v>
          </cell>
          <cell r="B1423" t="str">
            <v>19</v>
          </cell>
          <cell r="C1423" t="str">
            <v>04</v>
          </cell>
          <cell r="D1423" t="str">
            <v>4</v>
          </cell>
          <cell r="E1423" t="str">
            <v>0022</v>
          </cell>
          <cell r="F1423" t="str">
            <v>0046</v>
          </cell>
          <cell r="G1423" t="str">
            <v>11901</v>
          </cell>
          <cell r="H1423" t="str">
            <v>收回借款</v>
          </cell>
          <cell r="I1423" t="b">
            <v>0</v>
          </cell>
          <cell r="J1423">
            <v>1000</v>
          </cell>
          <cell r="K1423">
            <v>0</v>
          </cell>
          <cell r="L1423">
            <v>0</v>
          </cell>
        </row>
        <row r="1424">
          <cell r="A1424" t="str">
            <v>04</v>
          </cell>
          <cell r="B1424" t="str">
            <v>19</v>
          </cell>
          <cell r="C1424" t="str">
            <v>04</v>
          </cell>
          <cell r="D1424" t="str">
            <v>4</v>
          </cell>
          <cell r="E1424" t="str">
            <v>0022</v>
          </cell>
          <cell r="F1424" t="str">
            <v>0047</v>
          </cell>
          <cell r="G1424" t="str">
            <v>11901</v>
          </cell>
          <cell r="H1424" t="str">
            <v>收回借款</v>
          </cell>
          <cell r="I1424" t="b">
            <v>0</v>
          </cell>
          <cell r="J1424">
            <v>1100</v>
          </cell>
          <cell r="K1424">
            <v>0</v>
          </cell>
          <cell r="L1424">
            <v>0</v>
          </cell>
        </row>
        <row r="1425">
          <cell r="A1425" t="str">
            <v>04</v>
          </cell>
          <cell r="B1425" t="str">
            <v>19</v>
          </cell>
          <cell r="C1425" t="str">
            <v>04</v>
          </cell>
          <cell r="D1425" t="str">
            <v>4</v>
          </cell>
          <cell r="E1425" t="str">
            <v>0022</v>
          </cell>
          <cell r="F1425" t="str">
            <v>0048</v>
          </cell>
          <cell r="G1425" t="str">
            <v>11901</v>
          </cell>
          <cell r="H1425" t="str">
            <v>收回借款</v>
          </cell>
          <cell r="I1425" t="b">
            <v>0</v>
          </cell>
          <cell r="J1425">
            <v>800</v>
          </cell>
          <cell r="K1425">
            <v>0</v>
          </cell>
          <cell r="L1425">
            <v>0</v>
          </cell>
        </row>
        <row r="1426">
          <cell r="A1426" t="str">
            <v>04</v>
          </cell>
          <cell r="B1426" t="str">
            <v>20</v>
          </cell>
          <cell r="C1426" t="str">
            <v>04</v>
          </cell>
          <cell r="D1426" t="str">
            <v>5</v>
          </cell>
          <cell r="E1426" t="str">
            <v>0002</v>
          </cell>
          <cell r="F1426" t="str">
            <v>0003</v>
          </cell>
          <cell r="G1426" t="str">
            <v>11901</v>
          </cell>
          <cell r="H1426" t="str">
            <v>转报销产地证费等</v>
          </cell>
          <cell r="I1426" t="b">
            <v>0</v>
          </cell>
          <cell r="J1426">
            <v>17334</v>
          </cell>
          <cell r="K1426">
            <v>0</v>
          </cell>
          <cell r="L1426">
            <v>0</v>
          </cell>
        </row>
        <row r="1427">
          <cell r="A1427" t="str">
            <v>04</v>
          </cell>
          <cell r="B1427" t="str">
            <v>20</v>
          </cell>
          <cell r="C1427" t="str">
            <v>04</v>
          </cell>
          <cell r="D1427" t="str">
            <v>5</v>
          </cell>
          <cell r="E1427" t="str">
            <v>0006</v>
          </cell>
          <cell r="F1427" t="str">
            <v>0002</v>
          </cell>
          <cell r="G1427" t="str">
            <v>11901</v>
          </cell>
          <cell r="H1427" t="str">
            <v>转报销差旅费</v>
          </cell>
          <cell r="I1427" t="b">
            <v>0</v>
          </cell>
          <cell r="J1427">
            <v>3183</v>
          </cell>
          <cell r="K1427">
            <v>0</v>
          </cell>
          <cell r="L1427">
            <v>0</v>
          </cell>
        </row>
        <row r="1428">
          <cell r="A1428" t="str">
            <v>04</v>
          </cell>
          <cell r="B1428" t="str">
            <v>24</v>
          </cell>
          <cell r="C1428" t="str">
            <v>04</v>
          </cell>
          <cell r="D1428" t="str">
            <v>5</v>
          </cell>
          <cell r="E1428" t="str">
            <v>0013</v>
          </cell>
          <cell r="F1428" t="str">
            <v>0002</v>
          </cell>
          <cell r="G1428" t="str">
            <v>11901</v>
          </cell>
          <cell r="H1428" t="str">
            <v>转报销差旅费</v>
          </cell>
          <cell r="I1428" t="b">
            <v>0</v>
          </cell>
          <cell r="J1428">
            <v>6711</v>
          </cell>
          <cell r="K1428">
            <v>0</v>
          </cell>
          <cell r="L1428">
            <v>0</v>
          </cell>
        </row>
        <row r="1429">
          <cell r="A1429" t="str">
            <v>04</v>
          </cell>
          <cell r="B1429" t="str">
            <v>24</v>
          </cell>
          <cell r="C1429" t="str">
            <v>04</v>
          </cell>
          <cell r="D1429" t="str">
            <v>5</v>
          </cell>
          <cell r="E1429" t="str">
            <v>0017</v>
          </cell>
          <cell r="F1429" t="str">
            <v>0002</v>
          </cell>
          <cell r="G1429" t="str">
            <v>11901</v>
          </cell>
          <cell r="H1429" t="str">
            <v>转报销差旅费</v>
          </cell>
          <cell r="I1429" t="b">
            <v>0</v>
          </cell>
          <cell r="J1429">
            <v>7963</v>
          </cell>
          <cell r="K1429">
            <v>0</v>
          </cell>
          <cell r="L1429">
            <v>0</v>
          </cell>
        </row>
        <row r="1430">
          <cell r="A1430" t="str">
            <v>05</v>
          </cell>
          <cell r="B1430" t="str">
            <v>08</v>
          </cell>
          <cell r="C1430" t="str">
            <v>05</v>
          </cell>
          <cell r="D1430" t="str">
            <v>1</v>
          </cell>
          <cell r="E1430" t="str">
            <v>0001</v>
          </cell>
          <cell r="F1430" t="str">
            <v>0003</v>
          </cell>
          <cell r="G1430" t="str">
            <v>11901</v>
          </cell>
          <cell r="H1430" t="str">
            <v>收借款</v>
          </cell>
          <cell r="I1430" t="b">
            <v>0</v>
          </cell>
          <cell r="J1430">
            <v>3798</v>
          </cell>
          <cell r="K1430">
            <v>0</v>
          </cell>
          <cell r="L1430">
            <v>0</v>
          </cell>
        </row>
        <row r="1431">
          <cell r="A1431" t="str">
            <v>05</v>
          </cell>
          <cell r="B1431" t="str">
            <v>08</v>
          </cell>
          <cell r="C1431" t="str">
            <v>05</v>
          </cell>
          <cell r="D1431" t="str">
            <v>1</v>
          </cell>
          <cell r="E1431" t="str">
            <v>0001</v>
          </cell>
          <cell r="F1431" t="str">
            <v>0004</v>
          </cell>
          <cell r="G1431" t="str">
            <v>11901</v>
          </cell>
          <cell r="H1431" t="str">
            <v>收借款</v>
          </cell>
          <cell r="I1431" t="b">
            <v>0</v>
          </cell>
          <cell r="J1431">
            <v>16588.5</v>
          </cell>
          <cell r="K1431">
            <v>0</v>
          </cell>
          <cell r="L1431">
            <v>0</v>
          </cell>
        </row>
        <row r="1432">
          <cell r="A1432" t="str">
            <v>05</v>
          </cell>
          <cell r="B1432" t="str">
            <v>08</v>
          </cell>
          <cell r="C1432" t="str">
            <v>05</v>
          </cell>
          <cell r="D1432" t="str">
            <v>1</v>
          </cell>
          <cell r="E1432" t="str">
            <v>0001</v>
          </cell>
          <cell r="F1432" t="str">
            <v>0005</v>
          </cell>
          <cell r="G1432" t="str">
            <v>11901</v>
          </cell>
          <cell r="H1432" t="str">
            <v>收借款</v>
          </cell>
          <cell r="I1432" t="b">
            <v>0</v>
          </cell>
          <cell r="J1432">
            <v>2000</v>
          </cell>
          <cell r="K1432">
            <v>0</v>
          </cell>
          <cell r="L1432">
            <v>0</v>
          </cell>
        </row>
        <row r="1433">
          <cell r="A1433" t="str">
            <v>05</v>
          </cell>
          <cell r="B1433" t="str">
            <v>08</v>
          </cell>
          <cell r="C1433" t="str">
            <v>05</v>
          </cell>
          <cell r="D1433" t="str">
            <v>1</v>
          </cell>
          <cell r="E1433" t="str">
            <v>0001</v>
          </cell>
          <cell r="F1433" t="str">
            <v>0006</v>
          </cell>
          <cell r="G1433" t="str">
            <v>11901</v>
          </cell>
          <cell r="H1433" t="str">
            <v>收借款</v>
          </cell>
          <cell r="I1433" t="b">
            <v>0</v>
          </cell>
          <cell r="J1433">
            <v>869</v>
          </cell>
          <cell r="K1433">
            <v>0</v>
          </cell>
          <cell r="L1433">
            <v>0</v>
          </cell>
        </row>
        <row r="1434">
          <cell r="A1434" t="str">
            <v>05</v>
          </cell>
          <cell r="B1434" t="str">
            <v>08</v>
          </cell>
          <cell r="C1434" t="str">
            <v>05</v>
          </cell>
          <cell r="D1434" t="str">
            <v>1</v>
          </cell>
          <cell r="E1434" t="str">
            <v>0001</v>
          </cell>
          <cell r="F1434" t="str">
            <v>0007</v>
          </cell>
          <cell r="G1434" t="str">
            <v>11901</v>
          </cell>
          <cell r="H1434" t="str">
            <v>收借款</v>
          </cell>
          <cell r="I1434" t="b">
            <v>0</v>
          </cell>
          <cell r="J1434">
            <v>1011</v>
          </cell>
          <cell r="K1434">
            <v>0</v>
          </cell>
          <cell r="L1434">
            <v>0</v>
          </cell>
        </row>
        <row r="1435">
          <cell r="A1435" t="str">
            <v>05</v>
          </cell>
          <cell r="B1435" t="str">
            <v>08</v>
          </cell>
          <cell r="C1435" t="str">
            <v>05</v>
          </cell>
          <cell r="D1435" t="str">
            <v>1</v>
          </cell>
          <cell r="E1435" t="str">
            <v>0001</v>
          </cell>
          <cell r="F1435" t="str">
            <v>0008</v>
          </cell>
          <cell r="G1435" t="str">
            <v>11901</v>
          </cell>
          <cell r="H1435" t="str">
            <v>收借款</v>
          </cell>
          <cell r="I1435" t="b">
            <v>0</v>
          </cell>
          <cell r="J1435">
            <v>3387</v>
          </cell>
          <cell r="K1435">
            <v>0</v>
          </cell>
          <cell r="L1435">
            <v>0</v>
          </cell>
        </row>
        <row r="1436">
          <cell r="A1436" t="str">
            <v>05</v>
          </cell>
          <cell r="B1436" t="str">
            <v>08</v>
          </cell>
          <cell r="C1436" t="str">
            <v>05</v>
          </cell>
          <cell r="D1436" t="str">
            <v>1</v>
          </cell>
          <cell r="E1436" t="str">
            <v>0001</v>
          </cell>
          <cell r="F1436" t="str">
            <v>0009</v>
          </cell>
          <cell r="G1436" t="str">
            <v>11901</v>
          </cell>
          <cell r="H1436" t="str">
            <v>收借款</v>
          </cell>
          <cell r="I1436" t="b">
            <v>0</v>
          </cell>
          <cell r="J1436">
            <v>1108</v>
          </cell>
          <cell r="K1436">
            <v>0</v>
          </cell>
          <cell r="L1436">
            <v>0</v>
          </cell>
        </row>
        <row r="1437">
          <cell r="A1437" t="str">
            <v>05</v>
          </cell>
          <cell r="B1437" t="str">
            <v>08</v>
          </cell>
          <cell r="C1437" t="str">
            <v>05</v>
          </cell>
          <cell r="D1437" t="str">
            <v>1</v>
          </cell>
          <cell r="E1437" t="str">
            <v>0001</v>
          </cell>
          <cell r="F1437" t="str">
            <v>0010</v>
          </cell>
          <cell r="G1437" t="str">
            <v>11901</v>
          </cell>
          <cell r="H1437" t="str">
            <v>收借款</v>
          </cell>
          <cell r="I1437" t="b">
            <v>0</v>
          </cell>
          <cell r="J1437">
            <v>1000</v>
          </cell>
          <cell r="K1437">
            <v>0</v>
          </cell>
          <cell r="L1437">
            <v>0</v>
          </cell>
        </row>
        <row r="1438">
          <cell r="A1438" t="str">
            <v>05</v>
          </cell>
          <cell r="B1438" t="str">
            <v>08</v>
          </cell>
          <cell r="C1438" t="str">
            <v>05</v>
          </cell>
          <cell r="D1438" t="str">
            <v>1</v>
          </cell>
          <cell r="E1438" t="str">
            <v>0001</v>
          </cell>
          <cell r="F1438" t="str">
            <v>0011</v>
          </cell>
          <cell r="G1438" t="str">
            <v>11901</v>
          </cell>
          <cell r="H1438" t="str">
            <v>收借款</v>
          </cell>
          <cell r="I1438" t="b">
            <v>0</v>
          </cell>
          <cell r="J1438">
            <v>1258</v>
          </cell>
          <cell r="K1438">
            <v>0</v>
          </cell>
          <cell r="L1438">
            <v>0</v>
          </cell>
        </row>
        <row r="1439">
          <cell r="A1439" t="str">
            <v>05</v>
          </cell>
          <cell r="B1439" t="str">
            <v>08</v>
          </cell>
          <cell r="C1439" t="str">
            <v>05</v>
          </cell>
          <cell r="D1439" t="str">
            <v>1</v>
          </cell>
          <cell r="E1439" t="str">
            <v>0001</v>
          </cell>
          <cell r="F1439" t="str">
            <v>0012</v>
          </cell>
          <cell r="G1439" t="str">
            <v>11901</v>
          </cell>
          <cell r="H1439" t="str">
            <v>收借款</v>
          </cell>
          <cell r="I1439" t="b">
            <v>0</v>
          </cell>
          <cell r="J1439">
            <v>1798</v>
          </cell>
          <cell r="K1439">
            <v>0</v>
          </cell>
          <cell r="L1439">
            <v>0</v>
          </cell>
        </row>
        <row r="1440">
          <cell r="A1440" t="str">
            <v>05</v>
          </cell>
          <cell r="B1440" t="str">
            <v>08</v>
          </cell>
          <cell r="C1440" t="str">
            <v>05</v>
          </cell>
          <cell r="D1440" t="str">
            <v>1</v>
          </cell>
          <cell r="E1440" t="str">
            <v>0001</v>
          </cell>
          <cell r="F1440" t="str">
            <v>0013</v>
          </cell>
          <cell r="G1440" t="str">
            <v>11901</v>
          </cell>
          <cell r="H1440" t="str">
            <v>收借款</v>
          </cell>
          <cell r="I1440" t="b">
            <v>0</v>
          </cell>
          <cell r="J1440">
            <v>100</v>
          </cell>
          <cell r="K1440">
            <v>0</v>
          </cell>
          <cell r="L1440">
            <v>0</v>
          </cell>
        </row>
        <row r="1441">
          <cell r="A1441" t="str">
            <v>05</v>
          </cell>
          <cell r="B1441" t="str">
            <v>08</v>
          </cell>
          <cell r="C1441" t="str">
            <v>05</v>
          </cell>
          <cell r="D1441" t="str">
            <v>1</v>
          </cell>
          <cell r="E1441" t="str">
            <v>0001</v>
          </cell>
          <cell r="F1441" t="str">
            <v>0014</v>
          </cell>
          <cell r="G1441" t="str">
            <v>11901</v>
          </cell>
          <cell r="H1441" t="str">
            <v>收借款</v>
          </cell>
          <cell r="I1441" t="b">
            <v>0</v>
          </cell>
          <cell r="J1441">
            <v>2143</v>
          </cell>
          <cell r="K1441">
            <v>0</v>
          </cell>
          <cell r="L1441">
            <v>0</v>
          </cell>
        </row>
        <row r="1442">
          <cell r="A1442" t="str">
            <v>05</v>
          </cell>
          <cell r="B1442" t="str">
            <v>08</v>
          </cell>
          <cell r="C1442" t="str">
            <v>05</v>
          </cell>
          <cell r="D1442" t="str">
            <v>1</v>
          </cell>
          <cell r="E1442" t="str">
            <v>0001</v>
          </cell>
          <cell r="F1442" t="str">
            <v>0015</v>
          </cell>
          <cell r="G1442" t="str">
            <v>11901</v>
          </cell>
          <cell r="H1442" t="str">
            <v>收借款</v>
          </cell>
          <cell r="I1442" t="b">
            <v>0</v>
          </cell>
          <cell r="J1442">
            <v>1011</v>
          </cell>
          <cell r="K1442">
            <v>0</v>
          </cell>
          <cell r="L1442">
            <v>0</v>
          </cell>
        </row>
        <row r="1443">
          <cell r="A1443" t="str">
            <v>05</v>
          </cell>
          <cell r="B1443" t="str">
            <v>08</v>
          </cell>
          <cell r="C1443" t="str">
            <v>05</v>
          </cell>
          <cell r="D1443" t="str">
            <v>1</v>
          </cell>
          <cell r="E1443" t="str">
            <v>0001</v>
          </cell>
          <cell r="F1443" t="str">
            <v>0016</v>
          </cell>
          <cell r="G1443" t="str">
            <v>11901</v>
          </cell>
          <cell r="H1443" t="str">
            <v>收借款</v>
          </cell>
          <cell r="I1443" t="b">
            <v>0</v>
          </cell>
          <cell r="J1443">
            <v>200</v>
          </cell>
          <cell r="K1443">
            <v>0</v>
          </cell>
          <cell r="L1443">
            <v>0</v>
          </cell>
        </row>
        <row r="1444">
          <cell r="A1444" t="str">
            <v>05</v>
          </cell>
          <cell r="B1444" t="str">
            <v>08</v>
          </cell>
          <cell r="C1444" t="str">
            <v>05</v>
          </cell>
          <cell r="D1444" t="str">
            <v>1</v>
          </cell>
          <cell r="E1444" t="str">
            <v>0001</v>
          </cell>
          <cell r="F1444" t="str">
            <v>0017</v>
          </cell>
          <cell r="G1444" t="str">
            <v>11901</v>
          </cell>
          <cell r="H1444" t="str">
            <v>收借款</v>
          </cell>
          <cell r="I1444" t="b">
            <v>0</v>
          </cell>
          <cell r="J1444">
            <v>993.8</v>
          </cell>
          <cell r="K1444">
            <v>0</v>
          </cell>
          <cell r="L1444">
            <v>0</v>
          </cell>
        </row>
        <row r="1445">
          <cell r="A1445" t="str">
            <v>05</v>
          </cell>
          <cell r="B1445" t="str">
            <v>08</v>
          </cell>
          <cell r="C1445" t="str">
            <v>05</v>
          </cell>
          <cell r="D1445" t="str">
            <v>1</v>
          </cell>
          <cell r="E1445" t="str">
            <v>0001</v>
          </cell>
          <cell r="F1445" t="str">
            <v>0018</v>
          </cell>
          <cell r="G1445" t="str">
            <v>11901</v>
          </cell>
          <cell r="H1445" t="str">
            <v>收借款</v>
          </cell>
          <cell r="I1445" t="b">
            <v>0</v>
          </cell>
          <cell r="J1445">
            <v>1027.8</v>
          </cell>
          <cell r="K1445">
            <v>0</v>
          </cell>
          <cell r="L1445">
            <v>0</v>
          </cell>
        </row>
        <row r="1446">
          <cell r="A1446" t="str">
            <v>05</v>
          </cell>
          <cell r="B1446" t="str">
            <v>08</v>
          </cell>
          <cell r="C1446" t="str">
            <v>05</v>
          </cell>
          <cell r="D1446" t="str">
            <v>1</v>
          </cell>
          <cell r="E1446" t="str">
            <v>0001</v>
          </cell>
          <cell r="F1446" t="str">
            <v>0019</v>
          </cell>
          <cell r="G1446" t="str">
            <v>11901</v>
          </cell>
          <cell r="H1446" t="str">
            <v>收借款</v>
          </cell>
          <cell r="I1446" t="b">
            <v>0</v>
          </cell>
          <cell r="J1446">
            <v>657.15</v>
          </cell>
          <cell r="K1446">
            <v>0</v>
          </cell>
          <cell r="L1446">
            <v>0</v>
          </cell>
        </row>
        <row r="1447">
          <cell r="A1447" t="str">
            <v>05</v>
          </cell>
          <cell r="B1447" t="str">
            <v>08</v>
          </cell>
          <cell r="C1447" t="str">
            <v>05</v>
          </cell>
          <cell r="D1447" t="str">
            <v>1</v>
          </cell>
          <cell r="E1447" t="str">
            <v>0001</v>
          </cell>
          <cell r="F1447" t="str">
            <v>0020</v>
          </cell>
          <cell r="G1447" t="str">
            <v>11901</v>
          </cell>
          <cell r="H1447" t="str">
            <v>收借款</v>
          </cell>
          <cell r="I1447" t="b">
            <v>0</v>
          </cell>
          <cell r="J1447">
            <v>2246</v>
          </cell>
          <cell r="K1447">
            <v>0</v>
          </cell>
          <cell r="L1447">
            <v>0</v>
          </cell>
        </row>
        <row r="1448">
          <cell r="A1448" t="str">
            <v>05</v>
          </cell>
          <cell r="B1448" t="str">
            <v>08</v>
          </cell>
          <cell r="C1448" t="str">
            <v>05</v>
          </cell>
          <cell r="D1448" t="str">
            <v>1</v>
          </cell>
          <cell r="E1448" t="str">
            <v>0001</v>
          </cell>
          <cell r="F1448" t="str">
            <v>0021</v>
          </cell>
          <cell r="G1448" t="str">
            <v>11901</v>
          </cell>
          <cell r="H1448" t="str">
            <v>收借款</v>
          </cell>
          <cell r="I1448" t="b">
            <v>0</v>
          </cell>
          <cell r="J1448">
            <v>915</v>
          </cell>
          <cell r="K1448">
            <v>0</v>
          </cell>
          <cell r="L1448">
            <v>0</v>
          </cell>
        </row>
        <row r="1449">
          <cell r="A1449" t="str">
            <v>05</v>
          </cell>
          <cell r="B1449" t="str">
            <v>08</v>
          </cell>
          <cell r="C1449" t="str">
            <v>05</v>
          </cell>
          <cell r="D1449" t="str">
            <v>1</v>
          </cell>
          <cell r="E1449" t="str">
            <v>0001</v>
          </cell>
          <cell r="F1449" t="str">
            <v>0022</v>
          </cell>
          <cell r="G1449" t="str">
            <v>11901</v>
          </cell>
          <cell r="H1449" t="str">
            <v>收借款</v>
          </cell>
          <cell r="I1449" t="b">
            <v>0</v>
          </cell>
          <cell r="J1449">
            <v>3582</v>
          </cell>
          <cell r="K1449">
            <v>0</v>
          </cell>
          <cell r="L1449">
            <v>0</v>
          </cell>
        </row>
        <row r="1450">
          <cell r="A1450" t="str">
            <v>05</v>
          </cell>
          <cell r="B1450" t="str">
            <v>08</v>
          </cell>
          <cell r="C1450" t="str">
            <v>05</v>
          </cell>
          <cell r="D1450" t="str">
            <v>1</v>
          </cell>
          <cell r="E1450" t="str">
            <v>0001</v>
          </cell>
          <cell r="F1450" t="str">
            <v>0023</v>
          </cell>
          <cell r="G1450" t="str">
            <v>11901</v>
          </cell>
          <cell r="H1450" t="str">
            <v>收借款</v>
          </cell>
          <cell r="I1450" t="b">
            <v>0</v>
          </cell>
          <cell r="J1450">
            <v>800</v>
          </cell>
          <cell r="K1450">
            <v>0</v>
          </cell>
          <cell r="L1450">
            <v>0</v>
          </cell>
        </row>
        <row r="1451">
          <cell r="A1451" t="str">
            <v>05</v>
          </cell>
          <cell r="B1451" t="str">
            <v>08</v>
          </cell>
          <cell r="C1451" t="str">
            <v>05</v>
          </cell>
          <cell r="D1451" t="str">
            <v>1</v>
          </cell>
          <cell r="E1451" t="str">
            <v>0001</v>
          </cell>
          <cell r="F1451" t="str">
            <v>0024</v>
          </cell>
          <cell r="G1451" t="str">
            <v>11901</v>
          </cell>
          <cell r="H1451" t="str">
            <v>收借款</v>
          </cell>
          <cell r="I1451" t="b">
            <v>0</v>
          </cell>
          <cell r="J1451">
            <v>1185</v>
          </cell>
          <cell r="K1451">
            <v>0</v>
          </cell>
          <cell r="L1451">
            <v>0</v>
          </cell>
        </row>
        <row r="1452">
          <cell r="A1452" t="str">
            <v>05</v>
          </cell>
          <cell r="B1452" t="str">
            <v>08</v>
          </cell>
          <cell r="C1452" t="str">
            <v>05</v>
          </cell>
          <cell r="D1452" t="str">
            <v>1</v>
          </cell>
          <cell r="E1452" t="str">
            <v>0001</v>
          </cell>
          <cell r="F1452" t="str">
            <v>0025</v>
          </cell>
          <cell r="G1452" t="str">
            <v>11901</v>
          </cell>
          <cell r="H1452" t="str">
            <v>收借款</v>
          </cell>
          <cell r="I1452" t="b">
            <v>0</v>
          </cell>
          <cell r="J1452">
            <v>1000</v>
          </cell>
          <cell r="K1452">
            <v>0</v>
          </cell>
          <cell r="L1452">
            <v>0</v>
          </cell>
        </row>
        <row r="1453">
          <cell r="A1453" t="str">
            <v>05</v>
          </cell>
          <cell r="B1453" t="str">
            <v>08</v>
          </cell>
          <cell r="C1453" t="str">
            <v>05</v>
          </cell>
          <cell r="D1453" t="str">
            <v>1</v>
          </cell>
          <cell r="E1453" t="str">
            <v>0001</v>
          </cell>
          <cell r="F1453" t="str">
            <v>0026</v>
          </cell>
          <cell r="G1453" t="str">
            <v>11901</v>
          </cell>
          <cell r="H1453" t="str">
            <v>收借款</v>
          </cell>
          <cell r="I1453" t="b">
            <v>0</v>
          </cell>
          <cell r="J1453">
            <v>838.5</v>
          </cell>
          <cell r="K1453">
            <v>0</v>
          </cell>
          <cell r="L1453">
            <v>0</v>
          </cell>
        </row>
        <row r="1454">
          <cell r="A1454" t="str">
            <v>05</v>
          </cell>
          <cell r="B1454" t="str">
            <v>08</v>
          </cell>
          <cell r="C1454" t="str">
            <v>05</v>
          </cell>
          <cell r="D1454" t="str">
            <v>1</v>
          </cell>
          <cell r="E1454" t="str">
            <v>0001</v>
          </cell>
          <cell r="F1454" t="str">
            <v>0027</v>
          </cell>
          <cell r="G1454" t="str">
            <v>11901</v>
          </cell>
          <cell r="H1454" t="str">
            <v>收借款</v>
          </cell>
          <cell r="I1454" t="b">
            <v>0</v>
          </cell>
          <cell r="J1454">
            <v>1200</v>
          </cell>
          <cell r="K1454">
            <v>0</v>
          </cell>
          <cell r="L1454">
            <v>0</v>
          </cell>
        </row>
        <row r="1455">
          <cell r="A1455" t="str">
            <v>05</v>
          </cell>
          <cell r="B1455" t="str">
            <v>08</v>
          </cell>
          <cell r="C1455" t="str">
            <v>05</v>
          </cell>
          <cell r="D1455" t="str">
            <v>1</v>
          </cell>
          <cell r="E1455" t="str">
            <v>0001</v>
          </cell>
          <cell r="F1455" t="str">
            <v>0028</v>
          </cell>
          <cell r="G1455" t="str">
            <v>11901</v>
          </cell>
          <cell r="H1455" t="str">
            <v>收借款</v>
          </cell>
          <cell r="I1455" t="b">
            <v>0</v>
          </cell>
          <cell r="J1455">
            <v>9308</v>
          </cell>
          <cell r="K1455">
            <v>0</v>
          </cell>
          <cell r="L1455">
            <v>0</v>
          </cell>
        </row>
        <row r="1456">
          <cell r="A1456" t="str">
            <v>05</v>
          </cell>
          <cell r="B1456" t="str">
            <v>08</v>
          </cell>
          <cell r="C1456" t="str">
            <v>05</v>
          </cell>
          <cell r="D1456" t="str">
            <v>1</v>
          </cell>
          <cell r="E1456" t="str">
            <v>0001</v>
          </cell>
          <cell r="F1456" t="str">
            <v>0029</v>
          </cell>
          <cell r="G1456" t="str">
            <v>11901</v>
          </cell>
          <cell r="H1456" t="str">
            <v>收借款</v>
          </cell>
          <cell r="I1456" t="b">
            <v>0</v>
          </cell>
          <cell r="J1456">
            <v>200</v>
          </cell>
          <cell r="K1456">
            <v>0</v>
          </cell>
          <cell r="L1456">
            <v>0</v>
          </cell>
        </row>
        <row r="1457">
          <cell r="A1457" t="str">
            <v>05</v>
          </cell>
          <cell r="B1457" t="str">
            <v>08</v>
          </cell>
          <cell r="C1457" t="str">
            <v>05</v>
          </cell>
          <cell r="D1457" t="str">
            <v>1</v>
          </cell>
          <cell r="E1457" t="str">
            <v>0001</v>
          </cell>
          <cell r="F1457" t="str">
            <v>0030</v>
          </cell>
          <cell r="G1457" t="str">
            <v>11901</v>
          </cell>
          <cell r="H1457" t="str">
            <v>收借款</v>
          </cell>
          <cell r="I1457" t="b">
            <v>0</v>
          </cell>
          <cell r="J1457">
            <v>5500</v>
          </cell>
          <cell r="K1457">
            <v>0</v>
          </cell>
          <cell r="L1457">
            <v>0</v>
          </cell>
        </row>
        <row r="1458">
          <cell r="A1458" t="str">
            <v>05</v>
          </cell>
          <cell r="B1458" t="str">
            <v>08</v>
          </cell>
          <cell r="C1458" t="str">
            <v>05</v>
          </cell>
          <cell r="D1458" t="str">
            <v>1</v>
          </cell>
          <cell r="E1458" t="str">
            <v>0001</v>
          </cell>
          <cell r="F1458" t="str">
            <v>0031</v>
          </cell>
          <cell r="G1458" t="str">
            <v>11901</v>
          </cell>
          <cell r="H1458" t="str">
            <v>收借款</v>
          </cell>
          <cell r="I1458" t="b">
            <v>0</v>
          </cell>
          <cell r="J1458">
            <v>6248.4</v>
          </cell>
          <cell r="K1458">
            <v>0</v>
          </cell>
          <cell r="L1458">
            <v>0</v>
          </cell>
        </row>
        <row r="1459">
          <cell r="A1459" t="str">
            <v>05</v>
          </cell>
          <cell r="B1459" t="str">
            <v>08</v>
          </cell>
          <cell r="C1459" t="str">
            <v>05</v>
          </cell>
          <cell r="D1459" t="str">
            <v>1</v>
          </cell>
          <cell r="E1459" t="str">
            <v>0001</v>
          </cell>
          <cell r="F1459" t="str">
            <v>0032</v>
          </cell>
          <cell r="G1459" t="str">
            <v>11901</v>
          </cell>
          <cell r="H1459" t="str">
            <v>收借款</v>
          </cell>
          <cell r="I1459" t="b">
            <v>0</v>
          </cell>
          <cell r="J1459">
            <v>2800</v>
          </cell>
          <cell r="K1459">
            <v>0</v>
          </cell>
          <cell r="L1459">
            <v>0</v>
          </cell>
        </row>
        <row r="1460">
          <cell r="A1460" t="str">
            <v>05</v>
          </cell>
          <cell r="B1460" t="str">
            <v>08</v>
          </cell>
          <cell r="C1460" t="str">
            <v>05</v>
          </cell>
          <cell r="D1460" t="str">
            <v>1</v>
          </cell>
          <cell r="E1460" t="str">
            <v>0001</v>
          </cell>
          <cell r="F1460" t="str">
            <v>0033</v>
          </cell>
          <cell r="G1460" t="str">
            <v>11901</v>
          </cell>
          <cell r="H1460" t="str">
            <v>收借款</v>
          </cell>
          <cell r="I1460" t="b">
            <v>0</v>
          </cell>
          <cell r="J1460">
            <v>7200</v>
          </cell>
          <cell r="K1460">
            <v>0</v>
          </cell>
          <cell r="L1460">
            <v>0</v>
          </cell>
        </row>
        <row r="1461">
          <cell r="A1461" t="str">
            <v>05</v>
          </cell>
          <cell r="B1461" t="str">
            <v>08</v>
          </cell>
          <cell r="C1461" t="str">
            <v>05</v>
          </cell>
          <cell r="D1461" t="str">
            <v>1</v>
          </cell>
          <cell r="E1461" t="str">
            <v>0001</v>
          </cell>
          <cell r="F1461" t="str">
            <v>0034</v>
          </cell>
          <cell r="G1461" t="str">
            <v>11901</v>
          </cell>
          <cell r="H1461" t="str">
            <v>收借款</v>
          </cell>
          <cell r="I1461" t="b">
            <v>0</v>
          </cell>
          <cell r="J1461">
            <v>13119</v>
          </cell>
          <cell r="K1461">
            <v>0</v>
          </cell>
          <cell r="L1461">
            <v>0</v>
          </cell>
        </row>
        <row r="1462">
          <cell r="A1462" t="str">
            <v>05</v>
          </cell>
          <cell r="B1462" t="str">
            <v>12</v>
          </cell>
          <cell r="C1462" t="str">
            <v>05</v>
          </cell>
          <cell r="D1462" t="str">
            <v>2</v>
          </cell>
          <cell r="E1462" t="str">
            <v>0003</v>
          </cell>
          <cell r="F1462" t="str">
            <v>0001</v>
          </cell>
          <cell r="G1462" t="str">
            <v>11901</v>
          </cell>
          <cell r="H1462" t="str">
            <v>暂借款</v>
          </cell>
          <cell r="I1462" t="b">
            <v>1</v>
          </cell>
          <cell r="J1462">
            <v>3183</v>
          </cell>
          <cell r="K1462">
            <v>0</v>
          </cell>
          <cell r="L1462">
            <v>0</v>
          </cell>
        </row>
        <row r="1463">
          <cell r="A1463" t="str">
            <v>05</v>
          </cell>
          <cell r="B1463" t="str">
            <v>12</v>
          </cell>
          <cell r="C1463" t="str">
            <v>05</v>
          </cell>
          <cell r="D1463" t="str">
            <v>2</v>
          </cell>
          <cell r="E1463" t="str">
            <v>0003</v>
          </cell>
          <cell r="F1463" t="str">
            <v>0002</v>
          </cell>
          <cell r="G1463" t="str">
            <v>11901</v>
          </cell>
          <cell r="H1463" t="str">
            <v>暂借款</v>
          </cell>
          <cell r="I1463" t="b">
            <v>1</v>
          </cell>
          <cell r="J1463">
            <v>1000</v>
          </cell>
          <cell r="K1463">
            <v>0</v>
          </cell>
          <cell r="L1463">
            <v>0</v>
          </cell>
        </row>
        <row r="1464">
          <cell r="A1464" t="str">
            <v>05</v>
          </cell>
          <cell r="B1464" t="str">
            <v>12</v>
          </cell>
          <cell r="C1464" t="str">
            <v>05</v>
          </cell>
          <cell r="D1464" t="str">
            <v>2</v>
          </cell>
          <cell r="E1464" t="str">
            <v>0003</v>
          </cell>
          <cell r="F1464" t="str">
            <v>0003</v>
          </cell>
          <cell r="G1464" t="str">
            <v>11901</v>
          </cell>
          <cell r="H1464" t="str">
            <v>暂借款</v>
          </cell>
          <cell r="I1464" t="b">
            <v>1</v>
          </cell>
          <cell r="J1464">
            <v>2000</v>
          </cell>
          <cell r="K1464">
            <v>0</v>
          </cell>
          <cell r="L1464">
            <v>0</v>
          </cell>
        </row>
        <row r="1465">
          <cell r="A1465" t="str">
            <v>05</v>
          </cell>
          <cell r="B1465" t="str">
            <v>12</v>
          </cell>
          <cell r="C1465" t="str">
            <v>05</v>
          </cell>
          <cell r="D1465" t="str">
            <v>2</v>
          </cell>
          <cell r="E1465" t="str">
            <v>0003</v>
          </cell>
          <cell r="F1465" t="str">
            <v>0004</v>
          </cell>
          <cell r="G1465" t="str">
            <v>11901</v>
          </cell>
          <cell r="H1465" t="str">
            <v>暂借款</v>
          </cell>
          <cell r="I1465" t="b">
            <v>1</v>
          </cell>
          <cell r="J1465">
            <v>20000</v>
          </cell>
          <cell r="K1465">
            <v>0</v>
          </cell>
          <cell r="L1465">
            <v>0</v>
          </cell>
        </row>
        <row r="1466">
          <cell r="A1466" t="str">
            <v>05</v>
          </cell>
          <cell r="B1466" t="str">
            <v>25</v>
          </cell>
          <cell r="C1466" t="str">
            <v>05</v>
          </cell>
          <cell r="D1466" t="str">
            <v>5</v>
          </cell>
          <cell r="E1466" t="str">
            <v>0007</v>
          </cell>
          <cell r="F1466" t="str">
            <v>0002</v>
          </cell>
          <cell r="G1466" t="str">
            <v>11901</v>
          </cell>
          <cell r="H1466" t="str">
            <v>转报销差旅费</v>
          </cell>
          <cell r="I1466" t="b">
            <v>0</v>
          </cell>
          <cell r="J1466">
            <v>5443</v>
          </cell>
          <cell r="K1466">
            <v>0</v>
          </cell>
          <cell r="L1466">
            <v>0</v>
          </cell>
        </row>
        <row r="1467">
          <cell r="A1467" t="str">
            <v>05</v>
          </cell>
          <cell r="B1467" t="str">
            <v>25</v>
          </cell>
          <cell r="C1467" t="str">
            <v>05</v>
          </cell>
          <cell r="D1467" t="str">
            <v>5</v>
          </cell>
          <cell r="E1467" t="str">
            <v>0008</v>
          </cell>
          <cell r="F1467" t="str">
            <v>0003</v>
          </cell>
          <cell r="G1467" t="str">
            <v>11901</v>
          </cell>
          <cell r="H1467" t="str">
            <v>转报销差旅费等</v>
          </cell>
          <cell r="I1467" t="b">
            <v>0</v>
          </cell>
          <cell r="J1467">
            <v>10827</v>
          </cell>
          <cell r="K1467">
            <v>0</v>
          </cell>
          <cell r="L1467">
            <v>0</v>
          </cell>
        </row>
        <row r="1468">
          <cell r="A1468" t="str">
            <v>05</v>
          </cell>
          <cell r="B1468" t="str">
            <v>25</v>
          </cell>
          <cell r="C1468" t="str">
            <v>05</v>
          </cell>
          <cell r="D1468" t="str">
            <v>5</v>
          </cell>
          <cell r="E1468" t="str">
            <v>0009</v>
          </cell>
          <cell r="F1468" t="str">
            <v>0004</v>
          </cell>
          <cell r="G1468" t="str">
            <v>11901</v>
          </cell>
          <cell r="H1468" t="str">
            <v>转报销购材料</v>
          </cell>
          <cell r="I1468" t="b">
            <v>0</v>
          </cell>
          <cell r="J1468">
            <v>2920</v>
          </cell>
          <cell r="K1468">
            <v>0</v>
          </cell>
          <cell r="L1468">
            <v>0</v>
          </cell>
        </row>
        <row r="1469">
          <cell r="A1469" t="str">
            <v>05</v>
          </cell>
          <cell r="B1469" t="str">
            <v>25</v>
          </cell>
          <cell r="C1469" t="str">
            <v>05</v>
          </cell>
          <cell r="D1469" t="str">
            <v>5</v>
          </cell>
          <cell r="E1469" t="str">
            <v>0013</v>
          </cell>
          <cell r="F1469" t="str">
            <v>0006</v>
          </cell>
          <cell r="G1469" t="str">
            <v>11901</v>
          </cell>
          <cell r="H1469" t="str">
            <v>转二厂代扣王朋先借款</v>
          </cell>
          <cell r="I1469" t="b">
            <v>0</v>
          </cell>
          <cell r="J1469">
            <v>772</v>
          </cell>
          <cell r="K1469">
            <v>0</v>
          </cell>
          <cell r="L1469">
            <v>0</v>
          </cell>
        </row>
        <row r="1470">
          <cell r="A1470" t="str">
            <v>05</v>
          </cell>
          <cell r="B1470" t="str">
            <v>25</v>
          </cell>
          <cell r="C1470" t="str">
            <v>05</v>
          </cell>
          <cell r="D1470" t="str">
            <v>5</v>
          </cell>
          <cell r="E1470" t="str">
            <v>0013</v>
          </cell>
          <cell r="F1470" t="str">
            <v>0007</v>
          </cell>
          <cell r="G1470" t="str">
            <v>11901</v>
          </cell>
          <cell r="H1470" t="str">
            <v>转二厂代扣常甲友借款</v>
          </cell>
          <cell r="I1470" t="b">
            <v>0</v>
          </cell>
          <cell r="J1470">
            <v>1300</v>
          </cell>
          <cell r="K1470">
            <v>0</v>
          </cell>
          <cell r="L1470">
            <v>0</v>
          </cell>
        </row>
        <row r="1471">
          <cell r="A1471" t="str">
            <v>05</v>
          </cell>
          <cell r="B1471" t="str">
            <v>25</v>
          </cell>
          <cell r="C1471" t="str">
            <v>05</v>
          </cell>
          <cell r="D1471" t="str">
            <v>5</v>
          </cell>
          <cell r="E1471" t="str">
            <v>0013</v>
          </cell>
          <cell r="F1471" t="str">
            <v>0008</v>
          </cell>
          <cell r="G1471" t="str">
            <v>11901</v>
          </cell>
          <cell r="H1471" t="str">
            <v>转二厂代扣陶桂峰借款</v>
          </cell>
          <cell r="I1471" t="b">
            <v>0</v>
          </cell>
          <cell r="J1471">
            <v>1800</v>
          </cell>
          <cell r="K1471">
            <v>0</v>
          </cell>
          <cell r="L1471">
            <v>0</v>
          </cell>
        </row>
        <row r="1472">
          <cell r="A1472" t="str">
            <v>05</v>
          </cell>
          <cell r="B1472" t="str">
            <v>25</v>
          </cell>
          <cell r="C1472" t="str">
            <v>05</v>
          </cell>
          <cell r="D1472" t="str">
            <v>5</v>
          </cell>
          <cell r="E1472" t="str">
            <v>0013</v>
          </cell>
          <cell r="F1472" t="str">
            <v>0009</v>
          </cell>
          <cell r="G1472" t="str">
            <v>11901</v>
          </cell>
          <cell r="H1472" t="str">
            <v>转二厂代扣宋英湖借款</v>
          </cell>
          <cell r="I1472" t="b">
            <v>0</v>
          </cell>
          <cell r="J1472">
            <v>1532</v>
          </cell>
          <cell r="K1472">
            <v>0</v>
          </cell>
          <cell r="L1472">
            <v>0</v>
          </cell>
        </row>
        <row r="1473">
          <cell r="A1473" t="str">
            <v>05</v>
          </cell>
          <cell r="B1473" t="str">
            <v>25</v>
          </cell>
          <cell r="C1473" t="str">
            <v>05</v>
          </cell>
          <cell r="D1473" t="str">
            <v>5</v>
          </cell>
          <cell r="E1473" t="str">
            <v>0013</v>
          </cell>
          <cell r="F1473" t="str">
            <v>0010</v>
          </cell>
          <cell r="G1473" t="str">
            <v>11901</v>
          </cell>
          <cell r="H1473" t="str">
            <v>转二厂代扣余多兴借款</v>
          </cell>
          <cell r="I1473" t="b">
            <v>0</v>
          </cell>
          <cell r="J1473">
            <v>1403</v>
          </cell>
          <cell r="K1473">
            <v>0</v>
          </cell>
          <cell r="L1473">
            <v>0</v>
          </cell>
        </row>
        <row r="1474">
          <cell r="A1474" t="str">
            <v>05</v>
          </cell>
          <cell r="B1474" t="str">
            <v>25</v>
          </cell>
          <cell r="C1474" t="str">
            <v>05</v>
          </cell>
          <cell r="D1474" t="str">
            <v>5</v>
          </cell>
          <cell r="E1474" t="str">
            <v>0013</v>
          </cell>
          <cell r="F1474" t="str">
            <v>0011</v>
          </cell>
          <cell r="G1474" t="str">
            <v>11901</v>
          </cell>
          <cell r="H1474" t="str">
            <v>转四厂代扣高利借款</v>
          </cell>
          <cell r="I1474" t="b">
            <v>0</v>
          </cell>
          <cell r="J1474">
            <v>800</v>
          </cell>
          <cell r="K1474">
            <v>0</v>
          </cell>
          <cell r="L1474">
            <v>0</v>
          </cell>
        </row>
        <row r="1475">
          <cell r="A1475" t="str">
            <v>05</v>
          </cell>
          <cell r="B1475" t="str">
            <v>25</v>
          </cell>
          <cell r="C1475" t="str">
            <v>05</v>
          </cell>
          <cell r="D1475" t="str">
            <v>5</v>
          </cell>
          <cell r="E1475" t="str">
            <v>0013</v>
          </cell>
          <cell r="F1475" t="str">
            <v>0012</v>
          </cell>
          <cell r="G1475" t="str">
            <v>11901</v>
          </cell>
          <cell r="H1475" t="str">
            <v>转四厂代扣余多兴借款</v>
          </cell>
          <cell r="I1475" t="b">
            <v>0</v>
          </cell>
          <cell r="J1475">
            <v>300</v>
          </cell>
          <cell r="K1475">
            <v>0</v>
          </cell>
          <cell r="L1475">
            <v>0</v>
          </cell>
        </row>
        <row r="1476">
          <cell r="A1476" t="str">
            <v>05</v>
          </cell>
          <cell r="B1476" t="str">
            <v>25</v>
          </cell>
          <cell r="C1476" t="str">
            <v>05</v>
          </cell>
          <cell r="D1476" t="str">
            <v>5</v>
          </cell>
          <cell r="E1476" t="str">
            <v>0013</v>
          </cell>
          <cell r="F1476" t="str">
            <v>0013</v>
          </cell>
          <cell r="G1476" t="str">
            <v>11901</v>
          </cell>
          <cell r="H1476" t="str">
            <v>转四厂代扣陶桂峰借款</v>
          </cell>
          <cell r="I1476" t="b">
            <v>0</v>
          </cell>
          <cell r="J1476">
            <v>400</v>
          </cell>
          <cell r="K1476">
            <v>0</v>
          </cell>
          <cell r="L1476">
            <v>0</v>
          </cell>
        </row>
        <row r="1477">
          <cell r="A1477" t="str">
            <v>05</v>
          </cell>
          <cell r="B1477" t="str">
            <v>25</v>
          </cell>
          <cell r="C1477" t="str">
            <v>05</v>
          </cell>
          <cell r="D1477" t="str">
            <v>5</v>
          </cell>
          <cell r="E1477" t="str">
            <v>0013</v>
          </cell>
          <cell r="F1477" t="str">
            <v>0014</v>
          </cell>
          <cell r="G1477" t="str">
            <v>11901</v>
          </cell>
          <cell r="H1477" t="str">
            <v>转四厂代扣常甲友借款</v>
          </cell>
          <cell r="I1477" t="b">
            <v>0</v>
          </cell>
          <cell r="J1477">
            <v>300</v>
          </cell>
          <cell r="K1477">
            <v>0</v>
          </cell>
          <cell r="L1477">
            <v>0</v>
          </cell>
        </row>
        <row r="1478">
          <cell r="A1478" t="str">
            <v>06</v>
          </cell>
          <cell r="B1478" t="str">
            <v>14</v>
          </cell>
          <cell r="C1478" t="str">
            <v>06</v>
          </cell>
          <cell r="D1478" t="str">
            <v>2</v>
          </cell>
          <cell r="E1478" t="str">
            <v>0011</v>
          </cell>
          <cell r="F1478" t="str">
            <v>0001</v>
          </cell>
          <cell r="G1478" t="str">
            <v>11901</v>
          </cell>
          <cell r="H1478" t="str">
            <v>暂借款</v>
          </cell>
          <cell r="I1478" t="b">
            <v>1</v>
          </cell>
          <cell r="J1478">
            <v>10000</v>
          </cell>
          <cell r="K1478">
            <v>0</v>
          </cell>
          <cell r="L1478">
            <v>0</v>
          </cell>
        </row>
        <row r="1479">
          <cell r="A1479" t="str">
            <v>06</v>
          </cell>
          <cell r="B1479" t="str">
            <v>14</v>
          </cell>
          <cell r="C1479" t="str">
            <v>06</v>
          </cell>
          <cell r="D1479" t="str">
            <v>2</v>
          </cell>
          <cell r="E1479" t="str">
            <v>0011</v>
          </cell>
          <cell r="F1479" t="str">
            <v>0002</v>
          </cell>
          <cell r="G1479" t="str">
            <v>11901</v>
          </cell>
          <cell r="H1479" t="str">
            <v>暂借款</v>
          </cell>
          <cell r="I1479" t="b">
            <v>1</v>
          </cell>
          <cell r="J1479">
            <v>8500</v>
          </cell>
          <cell r="K1479">
            <v>0</v>
          </cell>
          <cell r="L1479">
            <v>0</v>
          </cell>
        </row>
        <row r="1480">
          <cell r="A1480" t="str">
            <v>06</v>
          </cell>
          <cell r="B1480" t="str">
            <v>14</v>
          </cell>
          <cell r="C1480" t="str">
            <v>06</v>
          </cell>
          <cell r="D1480" t="str">
            <v>2</v>
          </cell>
          <cell r="E1480" t="str">
            <v>0011</v>
          </cell>
          <cell r="F1480" t="str">
            <v>0003</v>
          </cell>
          <cell r="G1480" t="str">
            <v>11901</v>
          </cell>
          <cell r="H1480" t="str">
            <v>暂借款</v>
          </cell>
          <cell r="I1480" t="b">
            <v>1</v>
          </cell>
          <cell r="J1480">
            <v>2000</v>
          </cell>
          <cell r="K1480">
            <v>0</v>
          </cell>
          <cell r="L1480">
            <v>0</v>
          </cell>
        </row>
        <row r="1481">
          <cell r="A1481" t="str">
            <v>06</v>
          </cell>
          <cell r="B1481" t="str">
            <v>14</v>
          </cell>
          <cell r="C1481" t="str">
            <v>06</v>
          </cell>
          <cell r="D1481" t="str">
            <v>2</v>
          </cell>
          <cell r="E1481" t="str">
            <v>0011</v>
          </cell>
          <cell r="F1481" t="str">
            <v>0004</v>
          </cell>
          <cell r="G1481" t="str">
            <v>11901</v>
          </cell>
          <cell r="H1481" t="str">
            <v>暂借款</v>
          </cell>
          <cell r="I1481" t="b">
            <v>1</v>
          </cell>
          <cell r="J1481">
            <v>2000</v>
          </cell>
          <cell r="K1481">
            <v>0</v>
          </cell>
          <cell r="L1481">
            <v>0</v>
          </cell>
        </row>
        <row r="1482">
          <cell r="A1482" t="str">
            <v>06</v>
          </cell>
          <cell r="B1482" t="str">
            <v>14</v>
          </cell>
          <cell r="C1482" t="str">
            <v>06</v>
          </cell>
          <cell r="D1482" t="str">
            <v>2</v>
          </cell>
          <cell r="E1482" t="str">
            <v>0011</v>
          </cell>
          <cell r="F1482" t="str">
            <v>0005</v>
          </cell>
          <cell r="G1482" t="str">
            <v>11901</v>
          </cell>
          <cell r="H1482" t="str">
            <v>暂借款</v>
          </cell>
          <cell r="I1482" t="b">
            <v>1</v>
          </cell>
          <cell r="J1482">
            <v>13000</v>
          </cell>
          <cell r="K1482">
            <v>0</v>
          </cell>
          <cell r="L1482">
            <v>0</v>
          </cell>
        </row>
        <row r="1483">
          <cell r="A1483" t="str">
            <v>06</v>
          </cell>
          <cell r="B1483" t="str">
            <v>14</v>
          </cell>
          <cell r="C1483" t="str">
            <v>06</v>
          </cell>
          <cell r="D1483" t="str">
            <v>2</v>
          </cell>
          <cell r="E1483" t="str">
            <v>0011</v>
          </cell>
          <cell r="F1483" t="str">
            <v>0006</v>
          </cell>
          <cell r="G1483" t="str">
            <v>11901</v>
          </cell>
          <cell r="H1483" t="str">
            <v>暂借款</v>
          </cell>
          <cell r="I1483" t="b">
            <v>1</v>
          </cell>
          <cell r="J1483">
            <v>12000</v>
          </cell>
          <cell r="K1483">
            <v>0</v>
          </cell>
          <cell r="L1483">
            <v>0</v>
          </cell>
        </row>
        <row r="1484">
          <cell r="A1484" t="str">
            <v>06</v>
          </cell>
          <cell r="B1484" t="str">
            <v>14</v>
          </cell>
          <cell r="C1484" t="str">
            <v>06</v>
          </cell>
          <cell r="D1484" t="str">
            <v>2</v>
          </cell>
          <cell r="E1484" t="str">
            <v>0011</v>
          </cell>
          <cell r="F1484" t="str">
            <v>0007</v>
          </cell>
          <cell r="G1484" t="str">
            <v>11901</v>
          </cell>
          <cell r="H1484" t="str">
            <v>暂借款</v>
          </cell>
          <cell r="I1484" t="b">
            <v>1</v>
          </cell>
          <cell r="J1484">
            <v>10500</v>
          </cell>
          <cell r="K1484">
            <v>0</v>
          </cell>
          <cell r="L1484">
            <v>0</v>
          </cell>
        </row>
        <row r="1485">
          <cell r="A1485" t="str">
            <v>07</v>
          </cell>
          <cell r="B1485" t="str">
            <v>03</v>
          </cell>
          <cell r="C1485" t="str">
            <v>07</v>
          </cell>
          <cell r="D1485" t="str">
            <v>1</v>
          </cell>
          <cell r="E1485" t="str">
            <v>0003</v>
          </cell>
          <cell r="F1485" t="str">
            <v>0002</v>
          </cell>
          <cell r="G1485" t="str">
            <v>11901</v>
          </cell>
          <cell r="H1485" t="str">
            <v>收回借款</v>
          </cell>
          <cell r="I1485" t="b">
            <v>0</v>
          </cell>
          <cell r="J1485">
            <v>422.7</v>
          </cell>
          <cell r="K1485">
            <v>0</v>
          </cell>
          <cell r="L1485">
            <v>0</v>
          </cell>
        </row>
        <row r="1486">
          <cell r="A1486" t="str">
            <v>07</v>
          </cell>
          <cell r="B1486" t="str">
            <v>03</v>
          </cell>
          <cell r="C1486" t="str">
            <v>07</v>
          </cell>
          <cell r="D1486" t="str">
            <v>1</v>
          </cell>
          <cell r="E1486" t="str">
            <v>0003</v>
          </cell>
          <cell r="F1486" t="str">
            <v>0003</v>
          </cell>
          <cell r="G1486" t="str">
            <v>11901</v>
          </cell>
          <cell r="H1486" t="str">
            <v>收回借款</v>
          </cell>
          <cell r="I1486" t="b">
            <v>0</v>
          </cell>
          <cell r="J1486">
            <v>130.69999999999999</v>
          </cell>
          <cell r="K1486">
            <v>0</v>
          </cell>
          <cell r="L1486">
            <v>0</v>
          </cell>
        </row>
        <row r="1487">
          <cell r="A1487" t="str">
            <v>07</v>
          </cell>
          <cell r="B1487" t="str">
            <v>03</v>
          </cell>
          <cell r="C1487" t="str">
            <v>07</v>
          </cell>
          <cell r="D1487" t="str">
            <v>1</v>
          </cell>
          <cell r="E1487" t="str">
            <v>0003</v>
          </cell>
          <cell r="F1487" t="str">
            <v>0004</v>
          </cell>
          <cell r="G1487" t="str">
            <v>11901</v>
          </cell>
          <cell r="H1487" t="str">
            <v>收回借款</v>
          </cell>
          <cell r="I1487" t="b">
            <v>0</v>
          </cell>
          <cell r="J1487">
            <v>200</v>
          </cell>
          <cell r="K1487">
            <v>0</v>
          </cell>
          <cell r="L1487">
            <v>0</v>
          </cell>
        </row>
        <row r="1488">
          <cell r="A1488" t="str">
            <v>07</v>
          </cell>
          <cell r="B1488" t="str">
            <v>03</v>
          </cell>
          <cell r="C1488" t="str">
            <v>07</v>
          </cell>
          <cell r="D1488" t="str">
            <v>1</v>
          </cell>
          <cell r="E1488" t="str">
            <v>0003</v>
          </cell>
          <cell r="F1488" t="str">
            <v>0005</v>
          </cell>
          <cell r="G1488" t="str">
            <v>11901</v>
          </cell>
          <cell r="H1488" t="str">
            <v>收回借款</v>
          </cell>
          <cell r="I1488" t="b">
            <v>0</v>
          </cell>
          <cell r="J1488">
            <v>522.70000000000005</v>
          </cell>
          <cell r="K1488">
            <v>0</v>
          </cell>
          <cell r="L1488">
            <v>0</v>
          </cell>
        </row>
        <row r="1489">
          <cell r="A1489" t="str">
            <v>07</v>
          </cell>
          <cell r="B1489" t="str">
            <v>03</v>
          </cell>
          <cell r="C1489" t="str">
            <v>07</v>
          </cell>
          <cell r="D1489" t="str">
            <v>1</v>
          </cell>
          <cell r="E1489" t="str">
            <v>0003</v>
          </cell>
          <cell r="F1489" t="str">
            <v>0006</v>
          </cell>
          <cell r="G1489" t="str">
            <v>11901</v>
          </cell>
          <cell r="H1489" t="str">
            <v>收回借款</v>
          </cell>
          <cell r="I1489" t="b">
            <v>0</v>
          </cell>
          <cell r="J1489">
            <v>254.8</v>
          </cell>
          <cell r="K1489">
            <v>0</v>
          </cell>
          <cell r="L1489">
            <v>0</v>
          </cell>
        </row>
        <row r="1490">
          <cell r="A1490" t="str">
            <v>07</v>
          </cell>
          <cell r="B1490" t="str">
            <v>03</v>
          </cell>
          <cell r="C1490" t="str">
            <v>07</v>
          </cell>
          <cell r="D1490" t="str">
            <v>1</v>
          </cell>
          <cell r="E1490" t="str">
            <v>0003</v>
          </cell>
          <cell r="F1490" t="str">
            <v>0007</v>
          </cell>
          <cell r="G1490" t="str">
            <v>11901</v>
          </cell>
          <cell r="H1490" t="str">
            <v>收回借款</v>
          </cell>
          <cell r="I1490" t="b">
            <v>0</v>
          </cell>
          <cell r="J1490">
            <v>130.69999999999999</v>
          </cell>
          <cell r="K1490">
            <v>0</v>
          </cell>
          <cell r="L1490">
            <v>0</v>
          </cell>
        </row>
        <row r="1491">
          <cell r="A1491" t="str">
            <v>07</v>
          </cell>
          <cell r="B1491" t="str">
            <v>03</v>
          </cell>
          <cell r="C1491" t="str">
            <v>07</v>
          </cell>
          <cell r="D1491" t="str">
            <v>1</v>
          </cell>
          <cell r="E1491" t="str">
            <v>0003</v>
          </cell>
          <cell r="F1491" t="str">
            <v>0008</v>
          </cell>
          <cell r="G1491" t="str">
            <v>11901</v>
          </cell>
          <cell r="H1491" t="str">
            <v>收回借款</v>
          </cell>
          <cell r="I1491" t="b">
            <v>0</v>
          </cell>
          <cell r="J1491">
            <v>130.69999999999999</v>
          </cell>
          <cell r="K1491">
            <v>0</v>
          </cell>
          <cell r="L1491">
            <v>0</v>
          </cell>
        </row>
        <row r="1492">
          <cell r="A1492" t="str">
            <v>07</v>
          </cell>
          <cell r="B1492" t="str">
            <v>03</v>
          </cell>
          <cell r="C1492" t="str">
            <v>07</v>
          </cell>
          <cell r="D1492" t="str">
            <v>1</v>
          </cell>
          <cell r="E1492" t="str">
            <v>0003</v>
          </cell>
          <cell r="F1492" t="str">
            <v>0009</v>
          </cell>
          <cell r="G1492" t="str">
            <v>11901</v>
          </cell>
          <cell r="H1492" t="str">
            <v>收回借款</v>
          </cell>
          <cell r="I1492" t="b">
            <v>0</v>
          </cell>
          <cell r="J1492">
            <v>487.4</v>
          </cell>
          <cell r="K1492">
            <v>0</v>
          </cell>
          <cell r="L1492">
            <v>0</v>
          </cell>
        </row>
        <row r="1493">
          <cell r="A1493" t="str">
            <v>07</v>
          </cell>
          <cell r="B1493" t="str">
            <v>03</v>
          </cell>
          <cell r="C1493" t="str">
            <v>07</v>
          </cell>
          <cell r="D1493" t="str">
            <v>1</v>
          </cell>
          <cell r="E1493" t="str">
            <v>0003</v>
          </cell>
          <cell r="F1493" t="str">
            <v>0010</v>
          </cell>
          <cell r="G1493" t="str">
            <v>11901</v>
          </cell>
          <cell r="H1493" t="str">
            <v>收回借款</v>
          </cell>
          <cell r="I1493" t="b">
            <v>0</v>
          </cell>
          <cell r="J1493">
            <v>522.70000000000005</v>
          </cell>
          <cell r="K1493">
            <v>0</v>
          </cell>
          <cell r="L1493">
            <v>0</v>
          </cell>
        </row>
        <row r="1494">
          <cell r="A1494" t="str">
            <v>07</v>
          </cell>
          <cell r="B1494" t="str">
            <v>03</v>
          </cell>
          <cell r="C1494" t="str">
            <v>07</v>
          </cell>
          <cell r="D1494" t="str">
            <v>1</v>
          </cell>
          <cell r="E1494" t="str">
            <v>0003</v>
          </cell>
          <cell r="F1494" t="str">
            <v>0011</v>
          </cell>
          <cell r="G1494" t="str">
            <v>11901</v>
          </cell>
          <cell r="H1494" t="str">
            <v>收回借款</v>
          </cell>
          <cell r="I1494" t="b">
            <v>0</v>
          </cell>
          <cell r="J1494">
            <v>130.69999999999999</v>
          </cell>
          <cell r="K1494">
            <v>0</v>
          </cell>
          <cell r="L1494">
            <v>0</v>
          </cell>
        </row>
        <row r="1495">
          <cell r="A1495" t="str">
            <v>07</v>
          </cell>
          <cell r="B1495" t="str">
            <v>03</v>
          </cell>
          <cell r="C1495" t="str">
            <v>07</v>
          </cell>
          <cell r="D1495" t="str">
            <v>1</v>
          </cell>
          <cell r="E1495" t="str">
            <v>0003</v>
          </cell>
          <cell r="F1495" t="str">
            <v>0012</v>
          </cell>
          <cell r="G1495" t="str">
            <v>11901</v>
          </cell>
          <cell r="H1495" t="str">
            <v>收回借款</v>
          </cell>
          <cell r="I1495" t="b">
            <v>0</v>
          </cell>
          <cell r="J1495">
            <v>130.69999999999999</v>
          </cell>
          <cell r="K1495">
            <v>0</v>
          </cell>
          <cell r="L1495">
            <v>0</v>
          </cell>
        </row>
        <row r="1496">
          <cell r="A1496" t="str">
            <v>07</v>
          </cell>
          <cell r="B1496" t="str">
            <v>03</v>
          </cell>
          <cell r="C1496" t="str">
            <v>07</v>
          </cell>
          <cell r="D1496" t="str">
            <v>1</v>
          </cell>
          <cell r="E1496" t="str">
            <v>0003</v>
          </cell>
          <cell r="F1496" t="str">
            <v>0013</v>
          </cell>
          <cell r="G1496" t="str">
            <v>11901</v>
          </cell>
          <cell r="H1496" t="str">
            <v>收回借款</v>
          </cell>
          <cell r="I1496" t="b">
            <v>0</v>
          </cell>
          <cell r="J1496">
            <v>422.5</v>
          </cell>
          <cell r="K1496">
            <v>0</v>
          </cell>
          <cell r="L1496">
            <v>0</v>
          </cell>
        </row>
        <row r="1497">
          <cell r="A1497" t="str">
            <v>07</v>
          </cell>
          <cell r="B1497" t="str">
            <v>03</v>
          </cell>
          <cell r="C1497" t="str">
            <v>07</v>
          </cell>
          <cell r="D1497" t="str">
            <v>1</v>
          </cell>
          <cell r="E1497" t="str">
            <v>0003</v>
          </cell>
          <cell r="F1497" t="str">
            <v>0014</v>
          </cell>
          <cell r="G1497" t="str">
            <v>11901</v>
          </cell>
          <cell r="H1497" t="str">
            <v>收回借款</v>
          </cell>
          <cell r="I1497" t="b">
            <v>0</v>
          </cell>
          <cell r="J1497">
            <v>130.69999999999999</v>
          </cell>
          <cell r="K1497">
            <v>0</v>
          </cell>
          <cell r="L1497">
            <v>0</v>
          </cell>
        </row>
        <row r="1498">
          <cell r="A1498" t="str">
            <v>07</v>
          </cell>
          <cell r="B1498" t="str">
            <v>03</v>
          </cell>
          <cell r="C1498" t="str">
            <v>07</v>
          </cell>
          <cell r="D1498" t="str">
            <v>1</v>
          </cell>
          <cell r="E1498" t="str">
            <v>0003</v>
          </cell>
          <cell r="F1498" t="str">
            <v>0015</v>
          </cell>
          <cell r="G1498" t="str">
            <v>11901</v>
          </cell>
          <cell r="H1498" t="str">
            <v>收回借款</v>
          </cell>
          <cell r="I1498" t="b">
            <v>0</v>
          </cell>
          <cell r="J1498">
            <v>200</v>
          </cell>
          <cell r="K1498">
            <v>0</v>
          </cell>
          <cell r="L1498">
            <v>0</v>
          </cell>
        </row>
        <row r="1499">
          <cell r="A1499" t="str">
            <v>07</v>
          </cell>
          <cell r="B1499" t="str">
            <v>03</v>
          </cell>
          <cell r="C1499" t="str">
            <v>07</v>
          </cell>
          <cell r="D1499" t="str">
            <v>1</v>
          </cell>
          <cell r="E1499" t="str">
            <v>0003</v>
          </cell>
          <cell r="F1499" t="str">
            <v>0016</v>
          </cell>
          <cell r="G1499" t="str">
            <v>11901</v>
          </cell>
          <cell r="H1499" t="str">
            <v>收回借款</v>
          </cell>
          <cell r="I1499" t="b">
            <v>0</v>
          </cell>
          <cell r="J1499">
            <v>26.3</v>
          </cell>
          <cell r="K1499">
            <v>0</v>
          </cell>
          <cell r="L1499">
            <v>0</v>
          </cell>
        </row>
        <row r="1500">
          <cell r="A1500" t="str">
            <v>07</v>
          </cell>
          <cell r="B1500" t="str">
            <v>18</v>
          </cell>
          <cell r="C1500" t="str">
            <v>07</v>
          </cell>
          <cell r="D1500" t="str">
            <v>1</v>
          </cell>
          <cell r="E1500" t="str">
            <v>0007</v>
          </cell>
          <cell r="F1500" t="str">
            <v>0003</v>
          </cell>
          <cell r="G1500" t="str">
            <v>11901</v>
          </cell>
          <cell r="H1500" t="str">
            <v>收回借款</v>
          </cell>
          <cell r="I1500" t="b">
            <v>0</v>
          </cell>
          <cell r="J1500">
            <v>3000</v>
          </cell>
          <cell r="K1500">
            <v>0</v>
          </cell>
          <cell r="L1500">
            <v>0</v>
          </cell>
        </row>
        <row r="1501">
          <cell r="A1501" t="str">
            <v>07</v>
          </cell>
          <cell r="B1501" t="str">
            <v>18</v>
          </cell>
          <cell r="C1501" t="str">
            <v>07</v>
          </cell>
          <cell r="D1501" t="str">
            <v>1</v>
          </cell>
          <cell r="E1501" t="str">
            <v>0007</v>
          </cell>
          <cell r="F1501" t="str">
            <v>0004</v>
          </cell>
          <cell r="G1501" t="str">
            <v>11901</v>
          </cell>
          <cell r="H1501" t="str">
            <v>收回借款</v>
          </cell>
          <cell r="I1501" t="b">
            <v>0</v>
          </cell>
          <cell r="J1501">
            <v>4683.8999999999996</v>
          </cell>
          <cell r="K1501">
            <v>0</v>
          </cell>
          <cell r="L1501">
            <v>0</v>
          </cell>
        </row>
        <row r="1502">
          <cell r="A1502" t="str">
            <v>07</v>
          </cell>
          <cell r="B1502" t="str">
            <v>08</v>
          </cell>
          <cell r="C1502" t="str">
            <v>07</v>
          </cell>
          <cell r="D1502" t="str">
            <v>2</v>
          </cell>
          <cell r="E1502" t="str">
            <v>0005</v>
          </cell>
          <cell r="F1502" t="str">
            <v>0001</v>
          </cell>
          <cell r="G1502" t="str">
            <v>11901</v>
          </cell>
          <cell r="H1502" t="str">
            <v>暂借款</v>
          </cell>
          <cell r="I1502" t="b">
            <v>1</v>
          </cell>
          <cell r="J1502">
            <v>3000</v>
          </cell>
          <cell r="K1502">
            <v>0</v>
          </cell>
          <cell r="L1502">
            <v>0</v>
          </cell>
        </row>
        <row r="1503">
          <cell r="A1503" t="str">
            <v>07</v>
          </cell>
          <cell r="B1503" t="str">
            <v>08</v>
          </cell>
          <cell r="C1503" t="str">
            <v>07</v>
          </cell>
          <cell r="D1503" t="str">
            <v>2</v>
          </cell>
          <cell r="E1503" t="str">
            <v>0005</v>
          </cell>
          <cell r="F1503" t="str">
            <v>0002</v>
          </cell>
          <cell r="G1503" t="str">
            <v>11901</v>
          </cell>
          <cell r="H1503" t="str">
            <v>暂借款</v>
          </cell>
          <cell r="I1503" t="b">
            <v>1</v>
          </cell>
          <cell r="J1503">
            <v>5000</v>
          </cell>
          <cell r="K1503">
            <v>0</v>
          </cell>
          <cell r="L1503">
            <v>0</v>
          </cell>
        </row>
        <row r="1504">
          <cell r="A1504" t="str">
            <v>07</v>
          </cell>
          <cell r="B1504" t="str">
            <v>08</v>
          </cell>
          <cell r="C1504" t="str">
            <v>07</v>
          </cell>
          <cell r="D1504" t="str">
            <v>2</v>
          </cell>
          <cell r="E1504" t="str">
            <v>0005</v>
          </cell>
          <cell r="F1504" t="str">
            <v>0003</v>
          </cell>
          <cell r="G1504" t="str">
            <v>11901</v>
          </cell>
          <cell r="H1504" t="str">
            <v>暂借款</v>
          </cell>
          <cell r="I1504" t="b">
            <v>1</v>
          </cell>
          <cell r="J1504">
            <v>7000</v>
          </cell>
          <cell r="K1504">
            <v>0</v>
          </cell>
          <cell r="L1504">
            <v>0</v>
          </cell>
        </row>
        <row r="1505">
          <cell r="A1505" t="str">
            <v>07</v>
          </cell>
          <cell r="B1505" t="str">
            <v>08</v>
          </cell>
          <cell r="C1505" t="str">
            <v>07</v>
          </cell>
          <cell r="D1505" t="str">
            <v>2</v>
          </cell>
          <cell r="E1505" t="str">
            <v>0005</v>
          </cell>
          <cell r="F1505" t="str">
            <v>0004</v>
          </cell>
          <cell r="G1505" t="str">
            <v>11901</v>
          </cell>
          <cell r="H1505" t="str">
            <v>暂借款</v>
          </cell>
          <cell r="I1505" t="b">
            <v>1</v>
          </cell>
          <cell r="J1505">
            <v>1000</v>
          </cell>
          <cell r="K1505">
            <v>0</v>
          </cell>
          <cell r="L1505">
            <v>0</v>
          </cell>
        </row>
        <row r="1506">
          <cell r="A1506" t="str">
            <v>07</v>
          </cell>
          <cell r="B1506" t="str">
            <v>08</v>
          </cell>
          <cell r="C1506" t="str">
            <v>07</v>
          </cell>
          <cell r="D1506" t="str">
            <v>2</v>
          </cell>
          <cell r="E1506" t="str">
            <v>0005</v>
          </cell>
          <cell r="F1506" t="str">
            <v>0005</v>
          </cell>
          <cell r="G1506" t="str">
            <v>11901</v>
          </cell>
          <cell r="H1506" t="str">
            <v>暂借款</v>
          </cell>
          <cell r="I1506" t="b">
            <v>1</v>
          </cell>
          <cell r="J1506">
            <v>5000</v>
          </cell>
          <cell r="K1506">
            <v>0</v>
          </cell>
          <cell r="L1506">
            <v>0</v>
          </cell>
        </row>
        <row r="1507">
          <cell r="A1507" t="str">
            <v>07</v>
          </cell>
          <cell r="B1507" t="str">
            <v>08</v>
          </cell>
          <cell r="C1507" t="str">
            <v>07</v>
          </cell>
          <cell r="D1507" t="str">
            <v>2</v>
          </cell>
          <cell r="E1507" t="str">
            <v>0005</v>
          </cell>
          <cell r="F1507" t="str">
            <v>0006</v>
          </cell>
          <cell r="G1507" t="str">
            <v>11901</v>
          </cell>
          <cell r="H1507" t="str">
            <v>暂借款</v>
          </cell>
          <cell r="I1507" t="b">
            <v>1</v>
          </cell>
          <cell r="J1507">
            <v>1000</v>
          </cell>
          <cell r="K1507">
            <v>0</v>
          </cell>
          <cell r="L1507">
            <v>0</v>
          </cell>
        </row>
        <row r="1508">
          <cell r="A1508" t="str">
            <v>07</v>
          </cell>
          <cell r="B1508" t="str">
            <v>08</v>
          </cell>
          <cell r="C1508" t="str">
            <v>07</v>
          </cell>
          <cell r="D1508" t="str">
            <v>2</v>
          </cell>
          <cell r="E1508" t="str">
            <v>0005</v>
          </cell>
          <cell r="F1508" t="str">
            <v>0007</v>
          </cell>
          <cell r="G1508" t="str">
            <v>11901</v>
          </cell>
          <cell r="H1508" t="str">
            <v>暂借款</v>
          </cell>
          <cell r="I1508" t="b">
            <v>1</v>
          </cell>
          <cell r="J1508">
            <v>3500</v>
          </cell>
          <cell r="K1508">
            <v>0</v>
          </cell>
          <cell r="L1508">
            <v>0</v>
          </cell>
        </row>
        <row r="1509">
          <cell r="A1509" t="str">
            <v>07</v>
          </cell>
          <cell r="B1509" t="str">
            <v>08</v>
          </cell>
          <cell r="C1509" t="str">
            <v>07</v>
          </cell>
          <cell r="D1509" t="str">
            <v>2</v>
          </cell>
          <cell r="E1509" t="str">
            <v>0005</v>
          </cell>
          <cell r="F1509" t="str">
            <v>0008</v>
          </cell>
          <cell r="G1509" t="str">
            <v>11901</v>
          </cell>
          <cell r="H1509" t="str">
            <v>暂借款</v>
          </cell>
          <cell r="I1509" t="b">
            <v>1</v>
          </cell>
          <cell r="J1509">
            <v>3000</v>
          </cell>
          <cell r="K1509">
            <v>0</v>
          </cell>
          <cell r="L1509">
            <v>0</v>
          </cell>
        </row>
        <row r="1510">
          <cell r="A1510" t="str">
            <v>07</v>
          </cell>
          <cell r="B1510" t="str">
            <v>08</v>
          </cell>
          <cell r="C1510" t="str">
            <v>07</v>
          </cell>
          <cell r="D1510" t="str">
            <v>2</v>
          </cell>
          <cell r="E1510" t="str">
            <v>0005</v>
          </cell>
          <cell r="F1510" t="str">
            <v>0009</v>
          </cell>
          <cell r="G1510" t="str">
            <v>11901</v>
          </cell>
          <cell r="H1510" t="str">
            <v>暂借款</v>
          </cell>
          <cell r="I1510" t="b">
            <v>1</v>
          </cell>
          <cell r="J1510">
            <v>3000</v>
          </cell>
          <cell r="K1510">
            <v>0</v>
          </cell>
          <cell r="L1510">
            <v>0</v>
          </cell>
        </row>
        <row r="1511">
          <cell r="A1511" t="str">
            <v>07</v>
          </cell>
          <cell r="B1511" t="str">
            <v>10</v>
          </cell>
          <cell r="C1511" t="str">
            <v>07</v>
          </cell>
          <cell r="D1511" t="str">
            <v>2</v>
          </cell>
          <cell r="E1511" t="str">
            <v>0008</v>
          </cell>
          <cell r="F1511" t="str">
            <v>0001</v>
          </cell>
          <cell r="G1511" t="str">
            <v>11901</v>
          </cell>
          <cell r="H1511" t="str">
            <v>暂借款</v>
          </cell>
          <cell r="I1511" t="b">
            <v>1</v>
          </cell>
          <cell r="J1511">
            <v>4000</v>
          </cell>
          <cell r="K1511">
            <v>0</v>
          </cell>
          <cell r="L1511">
            <v>0</v>
          </cell>
        </row>
        <row r="1512">
          <cell r="A1512" t="str">
            <v>07</v>
          </cell>
          <cell r="B1512" t="str">
            <v>10</v>
          </cell>
          <cell r="C1512" t="str">
            <v>07</v>
          </cell>
          <cell r="D1512" t="str">
            <v>2</v>
          </cell>
          <cell r="E1512" t="str">
            <v>0008</v>
          </cell>
          <cell r="F1512" t="str">
            <v>0002</v>
          </cell>
          <cell r="G1512" t="str">
            <v>11901</v>
          </cell>
          <cell r="H1512" t="str">
            <v>暂借款</v>
          </cell>
          <cell r="I1512" t="b">
            <v>1</v>
          </cell>
          <cell r="J1512">
            <v>2000</v>
          </cell>
          <cell r="K1512">
            <v>0</v>
          </cell>
          <cell r="L1512">
            <v>0</v>
          </cell>
        </row>
        <row r="1513">
          <cell r="A1513" t="str">
            <v>07</v>
          </cell>
          <cell r="B1513" t="str">
            <v>10</v>
          </cell>
          <cell r="C1513" t="str">
            <v>07</v>
          </cell>
          <cell r="D1513" t="str">
            <v>2</v>
          </cell>
          <cell r="E1513" t="str">
            <v>0008</v>
          </cell>
          <cell r="F1513" t="str">
            <v>0003</v>
          </cell>
          <cell r="G1513" t="str">
            <v>11901</v>
          </cell>
          <cell r="H1513" t="str">
            <v>暂借款</v>
          </cell>
          <cell r="I1513" t="b">
            <v>1</v>
          </cell>
          <cell r="J1513">
            <v>3000</v>
          </cell>
          <cell r="K1513">
            <v>0</v>
          </cell>
          <cell r="L1513">
            <v>0</v>
          </cell>
        </row>
        <row r="1514">
          <cell r="A1514" t="str">
            <v>07</v>
          </cell>
          <cell r="B1514" t="str">
            <v>10</v>
          </cell>
          <cell r="C1514" t="str">
            <v>07</v>
          </cell>
          <cell r="D1514" t="str">
            <v>2</v>
          </cell>
          <cell r="E1514" t="str">
            <v>0008</v>
          </cell>
          <cell r="F1514" t="str">
            <v>0004</v>
          </cell>
          <cell r="G1514" t="str">
            <v>11901</v>
          </cell>
          <cell r="H1514" t="str">
            <v>暂借款</v>
          </cell>
          <cell r="I1514" t="b">
            <v>1</v>
          </cell>
          <cell r="J1514">
            <v>5000</v>
          </cell>
          <cell r="K1514">
            <v>0</v>
          </cell>
          <cell r="L1514">
            <v>0</v>
          </cell>
        </row>
        <row r="1515">
          <cell r="A1515" t="str">
            <v>07</v>
          </cell>
          <cell r="B1515" t="str">
            <v>10</v>
          </cell>
          <cell r="C1515" t="str">
            <v>07</v>
          </cell>
          <cell r="D1515" t="str">
            <v>2</v>
          </cell>
          <cell r="E1515" t="str">
            <v>0008</v>
          </cell>
          <cell r="F1515" t="str">
            <v>0005</v>
          </cell>
          <cell r="G1515" t="str">
            <v>11901</v>
          </cell>
          <cell r="H1515" t="str">
            <v>暂借款</v>
          </cell>
          <cell r="I1515" t="b">
            <v>1</v>
          </cell>
          <cell r="J1515">
            <v>1000</v>
          </cell>
          <cell r="K1515">
            <v>0</v>
          </cell>
          <cell r="L1515">
            <v>0</v>
          </cell>
        </row>
        <row r="1516">
          <cell r="A1516" t="str">
            <v>07</v>
          </cell>
          <cell r="B1516" t="str">
            <v>10</v>
          </cell>
          <cell r="C1516" t="str">
            <v>07</v>
          </cell>
          <cell r="D1516" t="str">
            <v>2</v>
          </cell>
          <cell r="E1516" t="str">
            <v>0008</v>
          </cell>
          <cell r="F1516" t="str">
            <v>0006</v>
          </cell>
          <cell r="G1516" t="str">
            <v>11901</v>
          </cell>
          <cell r="H1516" t="str">
            <v>暂借款</v>
          </cell>
          <cell r="I1516" t="b">
            <v>1</v>
          </cell>
          <cell r="J1516">
            <v>14000</v>
          </cell>
          <cell r="K1516">
            <v>0</v>
          </cell>
          <cell r="L1516">
            <v>0</v>
          </cell>
        </row>
        <row r="1517">
          <cell r="A1517" t="str">
            <v>07</v>
          </cell>
          <cell r="B1517" t="str">
            <v>10</v>
          </cell>
          <cell r="C1517" t="str">
            <v>07</v>
          </cell>
          <cell r="D1517" t="str">
            <v>2</v>
          </cell>
          <cell r="E1517" t="str">
            <v>0008</v>
          </cell>
          <cell r="F1517" t="str">
            <v>0007</v>
          </cell>
          <cell r="G1517" t="str">
            <v>11901</v>
          </cell>
          <cell r="H1517" t="str">
            <v>暂借款</v>
          </cell>
          <cell r="I1517" t="b">
            <v>1</v>
          </cell>
          <cell r="J1517">
            <v>1500</v>
          </cell>
          <cell r="K1517">
            <v>0</v>
          </cell>
          <cell r="L1517">
            <v>0</v>
          </cell>
        </row>
        <row r="1518">
          <cell r="A1518" t="str">
            <v>07</v>
          </cell>
          <cell r="B1518" t="str">
            <v>10</v>
          </cell>
          <cell r="C1518" t="str">
            <v>07</v>
          </cell>
          <cell r="D1518" t="str">
            <v>2</v>
          </cell>
          <cell r="E1518" t="str">
            <v>0008</v>
          </cell>
          <cell r="F1518" t="str">
            <v>0008</v>
          </cell>
          <cell r="G1518" t="str">
            <v>11901</v>
          </cell>
          <cell r="H1518" t="str">
            <v>暂借款</v>
          </cell>
          <cell r="I1518" t="b">
            <v>1</v>
          </cell>
          <cell r="J1518">
            <v>3000</v>
          </cell>
          <cell r="K1518">
            <v>0</v>
          </cell>
          <cell r="L1518">
            <v>0</v>
          </cell>
        </row>
        <row r="1519">
          <cell r="A1519" t="str">
            <v>07</v>
          </cell>
          <cell r="B1519" t="str">
            <v>21</v>
          </cell>
          <cell r="C1519" t="str">
            <v>07</v>
          </cell>
          <cell r="D1519" t="str">
            <v>2</v>
          </cell>
          <cell r="E1519" t="str">
            <v>0021</v>
          </cell>
          <cell r="F1519" t="str">
            <v>0002</v>
          </cell>
          <cell r="G1519" t="str">
            <v>11901</v>
          </cell>
          <cell r="H1519" t="str">
            <v>暂借款</v>
          </cell>
          <cell r="I1519" t="b">
            <v>1</v>
          </cell>
          <cell r="J1519">
            <v>500</v>
          </cell>
          <cell r="K1519">
            <v>0</v>
          </cell>
          <cell r="L1519">
            <v>0</v>
          </cell>
        </row>
        <row r="1520">
          <cell r="A1520" t="str">
            <v>07</v>
          </cell>
          <cell r="B1520" t="str">
            <v>21</v>
          </cell>
          <cell r="C1520" t="str">
            <v>07</v>
          </cell>
          <cell r="D1520" t="str">
            <v>2</v>
          </cell>
          <cell r="E1520" t="str">
            <v>0021</v>
          </cell>
          <cell r="F1520" t="str">
            <v>0003</v>
          </cell>
          <cell r="G1520" t="str">
            <v>11901</v>
          </cell>
          <cell r="H1520" t="str">
            <v>暂借款</v>
          </cell>
          <cell r="I1520" t="b">
            <v>1</v>
          </cell>
          <cell r="J1520">
            <v>2000</v>
          </cell>
          <cell r="K1520">
            <v>0</v>
          </cell>
          <cell r="L1520">
            <v>0</v>
          </cell>
        </row>
        <row r="1521">
          <cell r="A1521" t="str">
            <v>07</v>
          </cell>
          <cell r="B1521" t="str">
            <v>12</v>
          </cell>
          <cell r="C1521" t="str">
            <v>07</v>
          </cell>
          <cell r="D1521" t="str">
            <v>4</v>
          </cell>
          <cell r="E1521" t="str">
            <v>0009</v>
          </cell>
          <cell r="F1521" t="str">
            <v>0010</v>
          </cell>
          <cell r="G1521" t="str">
            <v>11901</v>
          </cell>
          <cell r="H1521" t="str">
            <v>代扣借款</v>
          </cell>
          <cell r="I1521" t="b">
            <v>0</v>
          </cell>
          <cell r="J1521">
            <v>1200</v>
          </cell>
          <cell r="K1521">
            <v>0</v>
          </cell>
          <cell r="L1521">
            <v>0</v>
          </cell>
        </row>
        <row r="1522">
          <cell r="A1522" t="str">
            <v>07</v>
          </cell>
          <cell r="B1522" t="str">
            <v>12</v>
          </cell>
          <cell r="C1522" t="str">
            <v>07</v>
          </cell>
          <cell r="D1522" t="str">
            <v>4</v>
          </cell>
          <cell r="E1522" t="str">
            <v>0009</v>
          </cell>
          <cell r="F1522" t="str">
            <v>0011</v>
          </cell>
          <cell r="G1522" t="str">
            <v>11901</v>
          </cell>
          <cell r="H1522" t="str">
            <v>代扣借款</v>
          </cell>
          <cell r="I1522" t="b">
            <v>0</v>
          </cell>
          <cell r="J1522">
            <v>1100</v>
          </cell>
          <cell r="K1522">
            <v>0</v>
          </cell>
          <cell r="L1522">
            <v>0</v>
          </cell>
        </row>
        <row r="1523">
          <cell r="A1523" t="str">
            <v>07</v>
          </cell>
          <cell r="B1523" t="str">
            <v>12</v>
          </cell>
          <cell r="C1523" t="str">
            <v>07</v>
          </cell>
          <cell r="D1523" t="str">
            <v>4</v>
          </cell>
          <cell r="E1523" t="str">
            <v>0009</v>
          </cell>
          <cell r="F1523" t="str">
            <v>0012</v>
          </cell>
          <cell r="G1523" t="str">
            <v>11901</v>
          </cell>
          <cell r="H1523" t="str">
            <v>代扣借款</v>
          </cell>
          <cell r="I1523" t="b">
            <v>0</v>
          </cell>
          <cell r="J1523">
            <v>800</v>
          </cell>
          <cell r="K1523">
            <v>0</v>
          </cell>
          <cell r="L1523">
            <v>0</v>
          </cell>
        </row>
        <row r="1524">
          <cell r="A1524" t="str">
            <v>07</v>
          </cell>
          <cell r="B1524" t="str">
            <v>12</v>
          </cell>
          <cell r="C1524" t="str">
            <v>07</v>
          </cell>
          <cell r="D1524" t="str">
            <v>4</v>
          </cell>
          <cell r="E1524" t="str">
            <v>0009</v>
          </cell>
          <cell r="F1524" t="str">
            <v>0013</v>
          </cell>
          <cell r="G1524" t="str">
            <v>11901</v>
          </cell>
          <cell r="H1524" t="str">
            <v>代扣借款</v>
          </cell>
          <cell r="I1524" t="b">
            <v>0</v>
          </cell>
          <cell r="J1524">
            <v>1000</v>
          </cell>
          <cell r="K1524">
            <v>0</v>
          </cell>
          <cell r="L1524">
            <v>0</v>
          </cell>
        </row>
        <row r="1525">
          <cell r="A1525" t="str">
            <v>07</v>
          </cell>
          <cell r="B1525" t="str">
            <v>12</v>
          </cell>
          <cell r="C1525" t="str">
            <v>07</v>
          </cell>
          <cell r="D1525" t="str">
            <v>4</v>
          </cell>
          <cell r="E1525" t="str">
            <v>0009</v>
          </cell>
          <cell r="F1525" t="str">
            <v>0014</v>
          </cell>
          <cell r="G1525" t="str">
            <v>11901</v>
          </cell>
          <cell r="H1525" t="str">
            <v>代扣借款</v>
          </cell>
          <cell r="I1525" t="b">
            <v>0</v>
          </cell>
          <cell r="J1525">
            <v>1300</v>
          </cell>
          <cell r="K1525">
            <v>0</v>
          </cell>
          <cell r="L1525">
            <v>0</v>
          </cell>
        </row>
        <row r="1526">
          <cell r="A1526" t="str">
            <v>07</v>
          </cell>
          <cell r="B1526" t="str">
            <v>12</v>
          </cell>
          <cell r="C1526" t="str">
            <v>07</v>
          </cell>
          <cell r="D1526" t="str">
            <v>4</v>
          </cell>
          <cell r="E1526" t="str">
            <v>0009</v>
          </cell>
          <cell r="F1526" t="str">
            <v>0015</v>
          </cell>
          <cell r="G1526" t="str">
            <v>11901</v>
          </cell>
          <cell r="H1526" t="str">
            <v>代扣借款</v>
          </cell>
          <cell r="I1526" t="b">
            <v>0</v>
          </cell>
          <cell r="J1526">
            <v>1000</v>
          </cell>
          <cell r="K1526">
            <v>0</v>
          </cell>
          <cell r="L1526">
            <v>0</v>
          </cell>
        </row>
        <row r="1527">
          <cell r="A1527" t="str">
            <v>07</v>
          </cell>
          <cell r="B1527" t="str">
            <v>12</v>
          </cell>
          <cell r="C1527" t="str">
            <v>07</v>
          </cell>
          <cell r="D1527" t="str">
            <v>4</v>
          </cell>
          <cell r="E1527" t="str">
            <v>0009</v>
          </cell>
          <cell r="F1527" t="str">
            <v>0016</v>
          </cell>
          <cell r="G1527" t="str">
            <v>11901</v>
          </cell>
          <cell r="H1527" t="str">
            <v>代扣借款</v>
          </cell>
          <cell r="I1527" t="b">
            <v>0</v>
          </cell>
          <cell r="J1527">
            <v>531</v>
          </cell>
          <cell r="K1527">
            <v>0</v>
          </cell>
          <cell r="L1527">
            <v>0</v>
          </cell>
        </row>
        <row r="1528">
          <cell r="A1528" t="str">
            <v>07</v>
          </cell>
          <cell r="B1528" t="str">
            <v>12</v>
          </cell>
          <cell r="C1528" t="str">
            <v>07</v>
          </cell>
          <cell r="D1528" t="str">
            <v>4</v>
          </cell>
          <cell r="E1528" t="str">
            <v>0009</v>
          </cell>
          <cell r="F1528" t="str">
            <v>0017</v>
          </cell>
          <cell r="G1528" t="str">
            <v>11901</v>
          </cell>
          <cell r="H1528" t="str">
            <v>代扣借款</v>
          </cell>
          <cell r="I1528" t="b">
            <v>0</v>
          </cell>
          <cell r="J1528">
            <v>800</v>
          </cell>
          <cell r="K1528">
            <v>0</v>
          </cell>
          <cell r="L1528">
            <v>0</v>
          </cell>
        </row>
        <row r="1529">
          <cell r="A1529" t="str">
            <v>07</v>
          </cell>
          <cell r="B1529" t="str">
            <v>12</v>
          </cell>
          <cell r="C1529" t="str">
            <v>07</v>
          </cell>
          <cell r="D1529" t="str">
            <v>4</v>
          </cell>
          <cell r="E1529" t="str">
            <v>0009</v>
          </cell>
          <cell r="F1529" t="str">
            <v>0018</v>
          </cell>
          <cell r="G1529" t="str">
            <v>11901</v>
          </cell>
          <cell r="H1529" t="str">
            <v>代扣借款</v>
          </cell>
          <cell r="I1529" t="b">
            <v>0</v>
          </cell>
          <cell r="J1529">
            <v>163</v>
          </cell>
          <cell r="K1529">
            <v>0</v>
          </cell>
          <cell r="L1529">
            <v>0</v>
          </cell>
        </row>
        <row r="1530">
          <cell r="A1530" t="str">
            <v>07</v>
          </cell>
          <cell r="B1530" t="str">
            <v>12</v>
          </cell>
          <cell r="C1530" t="str">
            <v>07</v>
          </cell>
          <cell r="D1530" t="str">
            <v>4</v>
          </cell>
          <cell r="E1530" t="str">
            <v>0009</v>
          </cell>
          <cell r="F1530" t="str">
            <v>0019</v>
          </cell>
          <cell r="G1530" t="str">
            <v>11901</v>
          </cell>
          <cell r="H1530" t="str">
            <v>代扣借款</v>
          </cell>
          <cell r="I1530" t="b">
            <v>0</v>
          </cell>
          <cell r="J1530">
            <v>350</v>
          </cell>
          <cell r="K1530">
            <v>0</v>
          </cell>
          <cell r="L1530">
            <v>0</v>
          </cell>
        </row>
        <row r="1531">
          <cell r="A1531" t="str">
            <v>07</v>
          </cell>
          <cell r="B1531" t="str">
            <v>12</v>
          </cell>
          <cell r="C1531" t="str">
            <v>07</v>
          </cell>
          <cell r="D1531" t="str">
            <v>4</v>
          </cell>
          <cell r="E1531" t="str">
            <v>0009</v>
          </cell>
          <cell r="F1531" t="str">
            <v>0020</v>
          </cell>
          <cell r="G1531" t="str">
            <v>11901</v>
          </cell>
          <cell r="H1531" t="str">
            <v>代扣借款</v>
          </cell>
          <cell r="I1531" t="b">
            <v>0</v>
          </cell>
          <cell r="J1531">
            <v>177.3</v>
          </cell>
          <cell r="K1531">
            <v>0</v>
          </cell>
          <cell r="L1531">
            <v>0</v>
          </cell>
        </row>
        <row r="1532">
          <cell r="A1532" t="str">
            <v>07</v>
          </cell>
          <cell r="B1532" t="str">
            <v>12</v>
          </cell>
          <cell r="C1532" t="str">
            <v>07</v>
          </cell>
          <cell r="D1532" t="str">
            <v>4</v>
          </cell>
          <cell r="E1532" t="str">
            <v>0009</v>
          </cell>
          <cell r="F1532" t="str">
            <v>0021</v>
          </cell>
          <cell r="G1532" t="str">
            <v>11901</v>
          </cell>
          <cell r="H1532" t="str">
            <v>代扣借款</v>
          </cell>
          <cell r="I1532" t="b">
            <v>0</v>
          </cell>
          <cell r="J1532">
            <v>1200</v>
          </cell>
          <cell r="K1532">
            <v>0</v>
          </cell>
          <cell r="L1532">
            <v>0</v>
          </cell>
        </row>
        <row r="1533">
          <cell r="A1533" t="str">
            <v>07</v>
          </cell>
          <cell r="B1533" t="str">
            <v>24</v>
          </cell>
          <cell r="C1533" t="str">
            <v>07</v>
          </cell>
          <cell r="D1533" t="str">
            <v>5</v>
          </cell>
          <cell r="E1533" t="str">
            <v>0012</v>
          </cell>
          <cell r="F1533" t="str">
            <v>0004</v>
          </cell>
          <cell r="G1533" t="str">
            <v>11901</v>
          </cell>
          <cell r="H1533" t="str">
            <v>转报销差旅费等</v>
          </cell>
          <cell r="I1533" t="b">
            <v>0</v>
          </cell>
          <cell r="J1533">
            <v>11415</v>
          </cell>
          <cell r="K1533">
            <v>0</v>
          </cell>
          <cell r="L1533">
            <v>0</v>
          </cell>
        </row>
        <row r="1534">
          <cell r="A1534" t="str">
            <v>07</v>
          </cell>
          <cell r="B1534" t="str">
            <v>24</v>
          </cell>
          <cell r="C1534" t="str">
            <v>07</v>
          </cell>
          <cell r="D1534" t="str">
            <v>5</v>
          </cell>
          <cell r="E1534" t="str">
            <v>0013</v>
          </cell>
          <cell r="F1534" t="str">
            <v>0003</v>
          </cell>
          <cell r="G1534" t="str">
            <v>11901</v>
          </cell>
          <cell r="H1534" t="str">
            <v>转报销会务费及资料费等</v>
          </cell>
          <cell r="I1534" t="b">
            <v>0</v>
          </cell>
          <cell r="J1534">
            <v>9099.6</v>
          </cell>
          <cell r="K1534">
            <v>0</v>
          </cell>
          <cell r="L1534">
            <v>0</v>
          </cell>
        </row>
        <row r="1535">
          <cell r="A1535" t="str">
            <v>07</v>
          </cell>
          <cell r="B1535" t="str">
            <v>25</v>
          </cell>
          <cell r="C1535" t="str">
            <v>07</v>
          </cell>
          <cell r="D1535" t="str">
            <v>5</v>
          </cell>
          <cell r="E1535" t="str">
            <v>0018</v>
          </cell>
          <cell r="F1535" t="str">
            <v>0004</v>
          </cell>
          <cell r="G1535" t="str">
            <v>11901</v>
          </cell>
          <cell r="H1535" t="str">
            <v>转报销材料款</v>
          </cell>
          <cell r="I1535" t="b">
            <v>0</v>
          </cell>
          <cell r="J1535">
            <v>3493.5</v>
          </cell>
          <cell r="K1535">
            <v>0</v>
          </cell>
          <cell r="L1535">
            <v>0</v>
          </cell>
        </row>
        <row r="1536">
          <cell r="A1536" t="str">
            <v>07</v>
          </cell>
          <cell r="B1536" t="str">
            <v>25</v>
          </cell>
          <cell r="C1536" t="str">
            <v>07</v>
          </cell>
          <cell r="D1536" t="str">
            <v>5</v>
          </cell>
          <cell r="E1536" t="str">
            <v>0020</v>
          </cell>
          <cell r="F1536" t="str">
            <v>0002</v>
          </cell>
          <cell r="G1536" t="str">
            <v>11901</v>
          </cell>
          <cell r="H1536" t="str">
            <v>转报销差旅费</v>
          </cell>
          <cell r="I1536" t="b">
            <v>0</v>
          </cell>
          <cell r="J1536">
            <v>1870</v>
          </cell>
          <cell r="K1536">
            <v>0</v>
          </cell>
          <cell r="L1536">
            <v>0</v>
          </cell>
        </row>
        <row r="1537">
          <cell r="A1537" t="str">
            <v>07</v>
          </cell>
          <cell r="B1537" t="str">
            <v>26</v>
          </cell>
          <cell r="C1537" t="str">
            <v>07</v>
          </cell>
          <cell r="D1537" t="str">
            <v>5</v>
          </cell>
          <cell r="E1537" t="str">
            <v>0025</v>
          </cell>
          <cell r="F1537" t="str">
            <v>0002</v>
          </cell>
          <cell r="G1537" t="str">
            <v>11901</v>
          </cell>
          <cell r="H1537" t="str">
            <v>转户</v>
          </cell>
          <cell r="I1537" t="b">
            <v>0</v>
          </cell>
          <cell r="J1537">
            <v>20000</v>
          </cell>
          <cell r="K1537">
            <v>0</v>
          </cell>
          <cell r="L1537">
            <v>0</v>
          </cell>
        </row>
        <row r="1538">
          <cell r="A1538" t="str">
            <v>08</v>
          </cell>
          <cell r="B1538" t="str">
            <v>05</v>
          </cell>
          <cell r="C1538" t="str">
            <v>08</v>
          </cell>
          <cell r="D1538" t="str">
            <v>1</v>
          </cell>
          <cell r="E1538" t="str">
            <v>0003</v>
          </cell>
          <cell r="F1538" t="str">
            <v>0002</v>
          </cell>
          <cell r="G1538" t="str">
            <v>11901</v>
          </cell>
          <cell r="H1538" t="str">
            <v>收回借款</v>
          </cell>
          <cell r="I1538" t="b">
            <v>0</v>
          </cell>
          <cell r="J1538">
            <v>5000</v>
          </cell>
          <cell r="K1538">
            <v>0</v>
          </cell>
          <cell r="L1538">
            <v>0</v>
          </cell>
        </row>
        <row r="1539">
          <cell r="A1539" t="str">
            <v>08</v>
          </cell>
          <cell r="B1539" t="str">
            <v>05</v>
          </cell>
          <cell r="C1539" t="str">
            <v>08</v>
          </cell>
          <cell r="D1539" t="str">
            <v>1</v>
          </cell>
          <cell r="E1539" t="str">
            <v>0003</v>
          </cell>
          <cell r="F1539" t="str">
            <v>0003</v>
          </cell>
          <cell r="G1539" t="str">
            <v>11901</v>
          </cell>
          <cell r="H1539" t="str">
            <v>收回借款</v>
          </cell>
          <cell r="I1539" t="b">
            <v>0</v>
          </cell>
          <cell r="J1539">
            <v>6000</v>
          </cell>
          <cell r="K1539">
            <v>0</v>
          </cell>
          <cell r="L1539">
            <v>0</v>
          </cell>
        </row>
        <row r="1540">
          <cell r="A1540" t="str">
            <v>08</v>
          </cell>
          <cell r="B1540" t="str">
            <v>05</v>
          </cell>
          <cell r="C1540" t="str">
            <v>08</v>
          </cell>
          <cell r="D1540" t="str">
            <v>1</v>
          </cell>
          <cell r="E1540" t="str">
            <v>0003</v>
          </cell>
          <cell r="F1540" t="str">
            <v>0004</v>
          </cell>
          <cell r="G1540" t="str">
            <v>11901</v>
          </cell>
          <cell r="H1540" t="str">
            <v>收回借款</v>
          </cell>
          <cell r="I1540" t="b">
            <v>0</v>
          </cell>
          <cell r="J1540">
            <v>3000</v>
          </cell>
          <cell r="K1540">
            <v>0</v>
          </cell>
          <cell r="L1540">
            <v>0</v>
          </cell>
        </row>
        <row r="1541">
          <cell r="A1541" t="str">
            <v>08</v>
          </cell>
          <cell r="B1541" t="str">
            <v>05</v>
          </cell>
          <cell r="C1541" t="str">
            <v>08</v>
          </cell>
          <cell r="D1541" t="str">
            <v>1</v>
          </cell>
          <cell r="E1541" t="str">
            <v>0003</v>
          </cell>
          <cell r="F1541" t="str">
            <v>0005</v>
          </cell>
          <cell r="G1541" t="str">
            <v>11901</v>
          </cell>
          <cell r="H1541" t="str">
            <v>收回借款</v>
          </cell>
          <cell r="I1541" t="b">
            <v>0</v>
          </cell>
          <cell r="J1541">
            <v>2316.1</v>
          </cell>
          <cell r="K1541">
            <v>0</v>
          </cell>
          <cell r="L1541">
            <v>0</v>
          </cell>
        </row>
        <row r="1542">
          <cell r="A1542" t="str">
            <v>08</v>
          </cell>
          <cell r="B1542" t="str">
            <v>03</v>
          </cell>
          <cell r="C1542" t="str">
            <v>08</v>
          </cell>
          <cell r="D1542" t="str">
            <v>2</v>
          </cell>
          <cell r="E1542" t="str">
            <v>0004</v>
          </cell>
          <cell r="F1542" t="str">
            <v>0001</v>
          </cell>
          <cell r="G1542" t="str">
            <v>11901</v>
          </cell>
          <cell r="H1542" t="str">
            <v>暂借款</v>
          </cell>
          <cell r="I1542" t="b">
            <v>1</v>
          </cell>
          <cell r="J1542">
            <v>1000</v>
          </cell>
          <cell r="K1542">
            <v>0</v>
          </cell>
          <cell r="L1542">
            <v>0</v>
          </cell>
        </row>
        <row r="1543">
          <cell r="A1543" t="str">
            <v>08</v>
          </cell>
          <cell r="B1543" t="str">
            <v>03</v>
          </cell>
          <cell r="C1543" t="str">
            <v>08</v>
          </cell>
          <cell r="D1543" t="str">
            <v>2</v>
          </cell>
          <cell r="E1543" t="str">
            <v>0004</v>
          </cell>
          <cell r="F1543" t="str">
            <v>0002</v>
          </cell>
          <cell r="G1543" t="str">
            <v>11901</v>
          </cell>
          <cell r="H1543" t="str">
            <v>暂借款</v>
          </cell>
          <cell r="I1543" t="b">
            <v>1</v>
          </cell>
          <cell r="J1543">
            <v>2000</v>
          </cell>
          <cell r="K1543">
            <v>0</v>
          </cell>
          <cell r="L1543">
            <v>0</v>
          </cell>
        </row>
        <row r="1544">
          <cell r="A1544" t="str">
            <v>08</v>
          </cell>
          <cell r="B1544" t="str">
            <v>13</v>
          </cell>
          <cell r="C1544" t="str">
            <v>08</v>
          </cell>
          <cell r="D1544" t="str">
            <v>2</v>
          </cell>
          <cell r="E1544" t="str">
            <v>0014</v>
          </cell>
          <cell r="F1544" t="str">
            <v>0001</v>
          </cell>
          <cell r="G1544" t="str">
            <v>11901</v>
          </cell>
          <cell r="H1544" t="str">
            <v>暂借款</v>
          </cell>
          <cell r="I1544" t="b">
            <v>1</v>
          </cell>
          <cell r="J1544">
            <v>3000</v>
          </cell>
          <cell r="K1544">
            <v>0</v>
          </cell>
          <cell r="L1544">
            <v>0</v>
          </cell>
        </row>
        <row r="1545">
          <cell r="A1545" t="str">
            <v>08</v>
          </cell>
          <cell r="B1545" t="str">
            <v>13</v>
          </cell>
          <cell r="C1545" t="str">
            <v>08</v>
          </cell>
          <cell r="D1545" t="str">
            <v>2</v>
          </cell>
          <cell r="E1545" t="str">
            <v>0014</v>
          </cell>
          <cell r="F1545" t="str">
            <v>0002</v>
          </cell>
          <cell r="G1545" t="str">
            <v>11901</v>
          </cell>
          <cell r="H1545" t="str">
            <v>暂借款</v>
          </cell>
          <cell r="I1545" t="b">
            <v>1</v>
          </cell>
          <cell r="J1545">
            <v>500</v>
          </cell>
          <cell r="K1545">
            <v>0</v>
          </cell>
          <cell r="L1545">
            <v>0</v>
          </cell>
        </row>
        <row r="1546">
          <cell r="A1546" t="str">
            <v>08</v>
          </cell>
          <cell r="B1546" t="str">
            <v>13</v>
          </cell>
          <cell r="C1546" t="str">
            <v>08</v>
          </cell>
          <cell r="D1546" t="str">
            <v>2</v>
          </cell>
          <cell r="E1546" t="str">
            <v>0014</v>
          </cell>
          <cell r="F1546" t="str">
            <v>0003</v>
          </cell>
          <cell r="G1546" t="str">
            <v>11901</v>
          </cell>
          <cell r="H1546" t="str">
            <v>暂借款</v>
          </cell>
          <cell r="I1546" t="b">
            <v>1</v>
          </cell>
          <cell r="J1546">
            <v>1000</v>
          </cell>
          <cell r="K1546">
            <v>0</v>
          </cell>
          <cell r="L1546">
            <v>0</v>
          </cell>
        </row>
        <row r="1547">
          <cell r="A1547" t="str">
            <v>08</v>
          </cell>
          <cell r="B1547" t="str">
            <v>13</v>
          </cell>
          <cell r="C1547" t="str">
            <v>08</v>
          </cell>
          <cell r="D1547" t="str">
            <v>2</v>
          </cell>
          <cell r="E1547" t="str">
            <v>0014</v>
          </cell>
          <cell r="F1547" t="str">
            <v>0004</v>
          </cell>
          <cell r="G1547" t="str">
            <v>11901</v>
          </cell>
          <cell r="H1547" t="str">
            <v>暂借款</v>
          </cell>
          <cell r="I1547" t="b">
            <v>1</v>
          </cell>
          <cell r="J1547">
            <v>10000</v>
          </cell>
          <cell r="K1547">
            <v>0</v>
          </cell>
          <cell r="L1547">
            <v>0</v>
          </cell>
        </row>
        <row r="1548">
          <cell r="A1548" t="str">
            <v>08</v>
          </cell>
          <cell r="B1548" t="str">
            <v>13</v>
          </cell>
          <cell r="C1548" t="str">
            <v>08</v>
          </cell>
          <cell r="D1548" t="str">
            <v>2</v>
          </cell>
          <cell r="E1548" t="str">
            <v>0014</v>
          </cell>
          <cell r="F1548" t="str">
            <v>0005</v>
          </cell>
          <cell r="G1548" t="str">
            <v>11901</v>
          </cell>
          <cell r="H1548" t="str">
            <v>暂借款</v>
          </cell>
          <cell r="I1548" t="b">
            <v>1</v>
          </cell>
          <cell r="J1548">
            <v>5000</v>
          </cell>
          <cell r="K1548">
            <v>0</v>
          </cell>
          <cell r="L1548">
            <v>0</v>
          </cell>
        </row>
        <row r="1549">
          <cell r="A1549" t="str">
            <v>08</v>
          </cell>
          <cell r="B1549" t="str">
            <v>13</v>
          </cell>
          <cell r="C1549" t="str">
            <v>08</v>
          </cell>
          <cell r="D1549" t="str">
            <v>2</v>
          </cell>
          <cell r="E1549" t="str">
            <v>0014</v>
          </cell>
          <cell r="F1549" t="str">
            <v>0006</v>
          </cell>
          <cell r="G1549" t="str">
            <v>11901</v>
          </cell>
          <cell r="H1549" t="str">
            <v>暂借款</v>
          </cell>
          <cell r="I1549" t="b">
            <v>1</v>
          </cell>
          <cell r="J1549">
            <v>3000</v>
          </cell>
          <cell r="K1549">
            <v>0</v>
          </cell>
          <cell r="L1549">
            <v>0</v>
          </cell>
        </row>
        <row r="1550">
          <cell r="A1550" t="str">
            <v>08</v>
          </cell>
          <cell r="B1550" t="str">
            <v>13</v>
          </cell>
          <cell r="C1550" t="str">
            <v>08</v>
          </cell>
          <cell r="D1550" t="str">
            <v>2</v>
          </cell>
          <cell r="E1550" t="str">
            <v>0014</v>
          </cell>
          <cell r="F1550" t="str">
            <v>0007</v>
          </cell>
          <cell r="G1550" t="str">
            <v>11901</v>
          </cell>
          <cell r="H1550" t="str">
            <v>暂借款</v>
          </cell>
          <cell r="I1550" t="b">
            <v>1</v>
          </cell>
          <cell r="J1550">
            <v>12000</v>
          </cell>
          <cell r="K1550">
            <v>0</v>
          </cell>
          <cell r="L1550">
            <v>0</v>
          </cell>
        </row>
        <row r="1551">
          <cell r="A1551" t="str">
            <v>08</v>
          </cell>
          <cell r="B1551" t="str">
            <v>13</v>
          </cell>
          <cell r="C1551" t="str">
            <v>08</v>
          </cell>
          <cell r="D1551" t="str">
            <v>2</v>
          </cell>
          <cell r="E1551" t="str">
            <v>0015</v>
          </cell>
          <cell r="F1551" t="str">
            <v>0001</v>
          </cell>
          <cell r="G1551" t="str">
            <v>11901</v>
          </cell>
          <cell r="H1551" t="str">
            <v>暂借款</v>
          </cell>
          <cell r="I1551" t="b">
            <v>1</v>
          </cell>
          <cell r="J1551">
            <v>2000</v>
          </cell>
          <cell r="K1551">
            <v>0</v>
          </cell>
          <cell r="L1551">
            <v>0</v>
          </cell>
        </row>
        <row r="1552">
          <cell r="A1552" t="str">
            <v>08</v>
          </cell>
          <cell r="B1552" t="str">
            <v>13</v>
          </cell>
          <cell r="C1552" t="str">
            <v>08</v>
          </cell>
          <cell r="D1552" t="str">
            <v>2</v>
          </cell>
          <cell r="E1552" t="str">
            <v>0015</v>
          </cell>
          <cell r="F1552" t="str">
            <v>0002</v>
          </cell>
          <cell r="G1552" t="str">
            <v>11901</v>
          </cell>
          <cell r="H1552" t="str">
            <v>暂借款</v>
          </cell>
          <cell r="I1552" t="b">
            <v>1</v>
          </cell>
          <cell r="J1552">
            <v>2000</v>
          </cell>
          <cell r="K1552">
            <v>0</v>
          </cell>
          <cell r="L1552">
            <v>0</v>
          </cell>
        </row>
        <row r="1553">
          <cell r="A1553" t="str">
            <v>08</v>
          </cell>
          <cell r="B1553" t="str">
            <v>13</v>
          </cell>
          <cell r="C1553" t="str">
            <v>08</v>
          </cell>
          <cell r="D1553" t="str">
            <v>2</v>
          </cell>
          <cell r="E1553" t="str">
            <v>0015</v>
          </cell>
          <cell r="F1553" t="str">
            <v>0003</v>
          </cell>
          <cell r="G1553" t="str">
            <v>11901</v>
          </cell>
          <cell r="H1553" t="str">
            <v>暂借款</v>
          </cell>
          <cell r="I1553" t="b">
            <v>1</v>
          </cell>
          <cell r="J1553">
            <v>12000</v>
          </cell>
          <cell r="K1553">
            <v>0</v>
          </cell>
          <cell r="L1553">
            <v>0</v>
          </cell>
        </row>
        <row r="1554">
          <cell r="A1554" t="str">
            <v>08</v>
          </cell>
          <cell r="B1554" t="str">
            <v>13</v>
          </cell>
          <cell r="C1554" t="str">
            <v>08</v>
          </cell>
          <cell r="D1554" t="str">
            <v>2</v>
          </cell>
          <cell r="E1554" t="str">
            <v>0015</v>
          </cell>
          <cell r="F1554" t="str">
            <v>0004</v>
          </cell>
          <cell r="G1554" t="str">
            <v>11901</v>
          </cell>
          <cell r="H1554" t="str">
            <v>暂借款</v>
          </cell>
          <cell r="I1554" t="b">
            <v>1</v>
          </cell>
          <cell r="J1554">
            <v>5000</v>
          </cell>
          <cell r="K1554">
            <v>0</v>
          </cell>
          <cell r="L1554">
            <v>0</v>
          </cell>
        </row>
        <row r="1555">
          <cell r="A1555" t="str">
            <v>08</v>
          </cell>
          <cell r="B1555" t="str">
            <v>27</v>
          </cell>
          <cell r="C1555" t="str">
            <v>08</v>
          </cell>
          <cell r="D1555" t="str">
            <v>5</v>
          </cell>
          <cell r="E1555" t="str">
            <v>0023</v>
          </cell>
          <cell r="F1555" t="str">
            <v>0002</v>
          </cell>
          <cell r="G1555" t="str">
            <v>11901</v>
          </cell>
          <cell r="H1555" t="str">
            <v>转借款</v>
          </cell>
          <cell r="I1555" t="b">
            <v>0</v>
          </cell>
          <cell r="J1555">
            <v>287.3</v>
          </cell>
          <cell r="K1555">
            <v>0</v>
          </cell>
          <cell r="L1555">
            <v>0</v>
          </cell>
        </row>
        <row r="1556">
          <cell r="A1556" t="str">
            <v>09</v>
          </cell>
          <cell r="B1556" t="str">
            <v>06</v>
          </cell>
          <cell r="C1556" t="str">
            <v>09</v>
          </cell>
          <cell r="D1556" t="str">
            <v>1</v>
          </cell>
          <cell r="E1556" t="str">
            <v>0004</v>
          </cell>
          <cell r="F1556" t="str">
            <v>0003</v>
          </cell>
          <cell r="G1556" t="str">
            <v>11901</v>
          </cell>
          <cell r="H1556" t="str">
            <v>收回借款</v>
          </cell>
          <cell r="I1556" t="b">
            <v>0</v>
          </cell>
          <cell r="J1556">
            <v>10000</v>
          </cell>
          <cell r="K1556">
            <v>0</v>
          </cell>
          <cell r="L1556">
            <v>0</v>
          </cell>
        </row>
        <row r="1557">
          <cell r="A1557" t="str">
            <v>09</v>
          </cell>
          <cell r="B1557" t="str">
            <v>06</v>
          </cell>
          <cell r="C1557" t="str">
            <v>09</v>
          </cell>
          <cell r="D1557" t="str">
            <v>1</v>
          </cell>
          <cell r="E1557" t="str">
            <v>0004</v>
          </cell>
          <cell r="F1557" t="str">
            <v>0004</v>
          </cell>
          <cell r="G1557" t="str">
            <v>11901</v>
          </cell>
          <cell r="H1557" t="str">
            <v>收回借款</v>
          </cell>
          <cell r="I1557" t="b">
            <v>0</v>
          </cell>
          <cell r="J1557">
            <v>1200</v>
          </cell>
          <cell r="K1557">
            <v>0</v>
          </cell>
          <cell r="L1557">
            <v>0</v>
          </cell>
        </row>
        <row r="1558">
          <cell r="A1558" t="str">
            <v>09</v>
          </cell>
          <cell r="B1558" t="str">
            <v>18</v>
          </cell>
          <cell r="C1558" t="str">
            <v>09</v>
          </cell>
          <cell r="D1558" t="str">
            <v>5</v>
          </cell>
          <cell r="E1558" t="str">
            <v>0006</v>
          </cell>
          <cell r="F1558" t="str">
            <v>0002</v>
          </cell>
          <cell r="G1558" t="str">
            <v>11901</v>
          </cell>
          <cell r="H1558" t="str">
            <v>转报销个人借款</v>
          </cell>
          <cell r="I1558" t="b">
            <v>0</v>
          </cell>
          <cell r="J1558">
            <v>5869.3</v>
          </cell>
          <cell r="K1558">
            <v>0</v>
          </cell>
          <cell r="L1558">
            <v>0</v>
          </cell>
        </row>
        <row r="1559">
          <cell r="A1559" t="str">
            <v>09</v>
          </cell>
          <cell r="B1559" t="str">
            <v>18</v>
          </cell>
          <cell r="C1559" t="str">
            <v>09</v>
          </cell>
          <cell r="D1559" t="str">
            <v>5</v>
          </cell>
          <cell r="E1559" t="str">
            <v>0006</v>
          </cell>
          <cell r="F1559" t="str">
            <v>0003</v>
          </cell>
          <cell r="G1559" t="str">
            <v>11901</v>
          </cell>
          <cell r="H1559" t="str">
            <v>转报销个人借款</v>
          </cell>
          <cell r="I1559" t="b">
            <v>0</v>
          </cell>
          <cell r="J1559">
            <v>2712.5</v>
          </cell>
          <cell r="K1559">
            <v>0</v>
          </cell>
          <cell r="L1559">
            <v>0</v>
          </cell>
        </row>
        <row r="1560">
          <cell r="A1560" t="str">
            <v>09</v>
          </cell>
          <cell r="B1560" t="str">
            <v>18</v>
          </cell>
          <cell r="C1560" t="str">
            <v>09</v>
          </cell>
          <cell r="D1560" t="str">
            <v>5</v>
          </cell>
          <cell r="E1560" t="str">
            <v>0006</v>
          </cell>
          <cell r="F1560" t="str">
            <v>0004</v>
          </cell>
          <cell r="G1560" t="str">
            <v>11901</v>
          </cell>
          <cell r="H1560" t="str">
            <v>转报销个人借款</v>
          </cell>
          <cell r="I1560" t="b">
            <v>0</v>
          </cell>
          <cell r="J1560">
            <v>6044.1</v>
          </cell>
          <cell r="K1560">
            <v>0</v>
          </cell>
          <cell r="L1560">
            <v>0</v>
          </cell>
        </row>
        <row r="1561">
          <cell r="A1561" t="str">
            <v>09</v>
          </cell>
          <cell r="B1561" t="str">
            <v>18</v>
          </cell>
          <cell r="C1561" t="str">
            <v>09</v>
          </cell>
          <cell r="D1561" t="str">
            <v>5</v>
          </cell>
          <cell r="E1561" t="str">
            <v>0006</v>
          </cell>
          <cell r="F1561" t="str">
            <v>0005</v>
          </cell>
          <cell r="G1561" t="str">
            <v>11901</v>
          </cell>
          <cell r="H1561" t="str">
            <v>转报销个人借款</v>
          </cell>
          <cell r="I1561" t="b">
            <v>0</v>
          </cell>
          <cell r="J1561">
            <v>789</v>
          </cell>
          <cell r="K1561">
            <v>0</v>
          </cell>
          <cell r="L1561">
            <v>0</v>
          </cell>
        </row>
        <row r="1562">
          <cell r="A1562" t="str">
            <v>10</v>
          </cell>
          <cell r="B1562" t="str">
            <v>10</v>
          </cell>
          <cell r="C1562" t="str">
            <v>10</v>
          </cell>
          <cell r="D1562" t="str">
            <v>1</v>
          </cell>
          <cell r="E1562" t="str">
            <v>0003</v>
          </cell>
          <cell r="F1562" t="str">
            <v>0002</v>
          </cell>
          <cell r="G1562" t="str">
            <v>11901</v>
          </cell>
          <cell r="H1562" t="str">
            <v>收回借款</v>
          </cell>
          <cell r="I1562" t="b">
            <v>0</v>
          </cell>
          <cell r="J1562">
            <v>9000</v>
          </cell>
          <cell r="K1562">
            <v>0</v>
          </cell>
          <cell r="L1562">
            <v>0</v>
          </cell>
        </row>
        <row r="1563">
          <cell r="A1563" t="str">
            <v>10</v>
          </cell>
          <cell r="B1563" t="str">
            <v>10</v>
          </cell>
          <cell r="C1563" t="str">
            <v>10</v>
          </cell>
          <cell r="D1563" t="str">
            <v>1</v>
          </cell>
          <cell r="E1563" t="str">
            <v>0003</v>
          </cell>
          <cell r="F1563" t="str">
            <v>0003</v>
          </cell>
          <cell r="G1563" t="str">
            <v>11901</v>
          </cell>
          <cell r="H1563" t="str">
            <v>收回借款</v>
          </cell>
          <cell r="I1563" t="b">
            <v>0</v>
          </cell>
          <cell r="J1563">
            <v>3500</v>
          </cell>
          <cell r="K1563">
            <v>0</v>
          </cell>
          <cell r="L1563">
            <v>0</v>
          </cell>
        </row>
        <row r="1564">
          <cell r="A1564" t="str">
            <v>10</v>
          </cell>
          <cell r="B1564" t="str">
            <v>10</v>
          </cell>
          <cell r="C1564" t="str">
            <v>10</v>
          </cell>
          <cell r="D1564" t="str">
            <v>1</v>
          </cell>
          <cell r="E1564" t="str">
            <v>0003</v>
          </cell>
          <cell r="F1564" t="str">
            <v>0004</v>
          </cell>
          <cell r="G1564" t="str">
            <v>11901</v>
          </cell>
          <cell r="H1564" t="str">
            <v>收回借款</v>
          </cell>
          <cell r="I1564" t="b">
            <v>0</v>
          </cell>
          <cell r="J1564">
            <v>2000</v>
          </cell>
          <cell r="K1564">
            <v>0</v>
          </cell>
          <cell r="L1564">
            <v>0</v>
          </cell>
        </row>
        <row r="1565">
          <cell r="A1565" t="str">
            <v>10</v>
          </cell>
          <cell r="B1565" t="str">
            <v>02</v>
          </cell>
          <cell r="C1565" t="str">
            <v>10</v>
          </cell>
          <cell r="D1565" t="str">
            <v>2</v>
          </cell>
          <cell r="E1565" t="str">
            <v>0003</v>
          </cell>
          <cell r="F1565" t="str">
            <v>0001</v>
          </cell>
          <cell r="G1565" t="str">
            <v>11901</v>
          </cell>
          <cell r="H1565" t="str">
            <v>暂借款</v>
          </cell>
          <cell r="I1565" t="b">
            <v>1</v>
          </cell>
          <cell r="J1565">
            <v>2000</v>
          </cell>
          <cell r="K1565">
            <v>0</v>
          </cell>
          <cell r="L1565">
            <v>0</v>
          </cell>
        </row>
        <row r="1566">
          <cell r="A1566" t="str">
            <v>10</v>
          </cell>
          <cell r="B1566" t="str">
            <v>21</v>
          </cell>
          <cell r="C1566" t="str">
            <v>10</v>
          </cell>
          <cell r="D1566" t="str">
            <v>2</v>
          </cell>
          <cell r="E1566" t="str">
            <v>0015</v>
          </cell>
          <cell r="F1566" t="str">
            <v>0001</v>
          </cell>
          <cell r="G1566" t="str">
            <v>11901</v>
          </cell>
          <cell r="H1566" t="str">
            <v>暂借款</v>
          </cell>
          <cell r="I1566" t="b">
            <v>1</v>
          </cell>
          <cell r="J1566">
            <v>3500</v>
          </cell>
          <cell r="K1566">
            <v>0</v>
          </cell>
          <cell r="L1566">
            <v>0</v>
          </cell>
        </row>
        <row r="1567">
          <cell r="A1567" t="str">
            <v>10</v>
          </cell>
          <cell r="B1567" t="str">
            <v>21</v>
          </cell>
          <cell r="C1567" t="str">
            <v>10</v>
          </cell>
          <cell r="D1567" t="str">
            <v>2</v>
          </cell>
          <cell r="E1567" t="str">
            <v>0015</v>
          </cell>
          <cell r="F1567" t="str">
            <v>0002</v>
          </cell>
          <cell r="G1567" t="str">
            <v>11901</v>
          </cell>
          <cell r="H1567" t="str">
            <v>暂借款</v>
          </cell>
          <cell r="I1567" t="b">
            <v>1</v>
          </cell>
          <cell r="J1567">
            <v>8500</v>
          </cell>
          <cell r="K1567">
            <v>0</v>
          </cell>
          <cell r="L1567">
            <v>0</v>
          </cell>
        </row>
        <row r="1568">
          <cell r="A1568" t="str">
            <v>10</v>
          </cell>
          <cell r="B1568" t="str">
            <v>24</v>
          </cell>
          <cell r="C1568" t="str">
            <v>10</v>
          </cell>
          <cell r="D1568" t="str">
            <v>5</v>
          </cell>
          <cell r="E1568" t="str">
            <v>0001</v>
          </cell>
          <cell r="F1568" t="str">
            <v>0003</v>
          </cell>
          <cell r="G1568" t="str">
            <v>11901</v>
          </cell>
          <cell r="H1568" t="str">
            <v>转报销差旅费等</v>
          </cell>
          <cell r="I1568" t="b">
            <v>0</v>
          </cell>
          <cell r="J1568">
            <v>3561.9</v>
          </cell>
          <cell r="K1568">
            <v>0</v>
          </cell>
          <cell r="L1568">
            <v>0</v>
          </cell>
        </row>
        <row r="1569">
          <cell r="A1569" t="str">
            <v>10</v>
          </cell>
          <cell r="B1569" t="str">
            <v>24</v>
          </cell>
          <cell r="C1569" t="str">
            <v>10</v>
          </cell>
          <cell r="D1569" t="str">
            <v>5</v>
          </cell>
          <cell r="E1569" t="str">
            <v>0002</v>
          </cell>
          <cell r="F1569" t="str">
            <v>0002</v>
          </cell>
          <cell r="G1569" t="str">
            <v>11901</v>
          </cell>
          <cell r="H1569" t="str">
            <v>转报销差旅费</v>
          </cell>
          <cell r="I1569" t="b">
            <v>0</v>
          </cell>
          <cell r="J1569">
            <v>2739.2</v>
          </cell>
          <cell r="K1569">
            <v>0</v>
          </cell>
          <cell r="L1569">
            <v>0</v>
          </cell>
        </row>
        <row r="1570">
          <cell r="A1570" t="str">
            <v>11</v>
          </cell>
          <cell r="B1570" t="str">
            <v>20</v>
          </cell>
          <cell r="C1570" t="str">
            <v>11</v>
          </cell>
          <cell r="D1570" t="str">
            <v>1</v>
          </cell>
          <cell r="E1570" t="str">
            <v>0003</v>
          </cell>
          <cell r="F1570" t="str">
            <v>0002</v>
          </cell>
          <cell r="G1570" t="str">
            <v>11901</v>
          </cell>
          <cell r="H1570" t="str">
            <v>收回借款</v>
          </cell>
          <cell r="I1570" t="b">
            <v>0</v>
          </cell>
          <cell r="J1570">
            <v>5200</v>
          </cell>
          <cell r="K1570">
            <v>0</v>
          </cell>
          <cell r="L1570">
            <v>0</v>
          </cell>
        </row>
        <row r="1571">
          <cell r="A1571" t="str">
            <v>11</v>
          </cell>
          <cell r="B1571" t="str">
            <v>20</v>
          </cell>
          <cell r="C1571" t="str">
            <v>11</v>
          </cell>
          <cell r="D1571" t="str">
            <v>1</v>
          </cell>
          <cell r="E1571" t="str">
            <v>0003</v>
          </cell>
          <cell r="F1571" t="str">
            <v>0003</v>
          </cell>
          <cell r="G1571" t="str">
            <v>11901</v>
          </cell>
          <cell r="H1571" t="str">
            <v>收回取暖费</v>
          </cell>
          <cell r="I1571" t="b">
            <v>0</v>
          </cell>
          <cell r="J1571">
            <v>515</v>
          </cell>
          <cell r="K1571">
            <v>0</v>
          </cell>
          <cell r="L1571">
            <v>0</v>
          </cell>
        </row>
        <row r="1572">
          <cell r="A1572" t="str">
            <v>11</v>
          </cell>
          <cell r="B1572" t="str">
            <v>20</v>
          </cell>
          <cell r="C1572" t="str">
            <v>11</v>
          </cell>
          <cell r="D1572" t="str">
            <v>1</v>
          </cell>
          <cell r="E1572" t="str">
            <v>0003</v>
          </cell>
          <cell r="F1572" t="str">
            <v>0004</v>
          </cell>
          <cell r="G1572" t="str">
            <v>11901</v>
          </cell>
          <cell r="H1572" t="str">
            <v>收回取暖费</v>
          </cell>
          <cell r="I1572" t="b">
            <v>0</v>
          </cell>
          <cell r="J1572">
            <v>575</v>
          </cell>
          <cell r="K1572">
            <v>0</v>
          </cell>
          <cell r="L1572">
            <v>0</v>
          </cell>
        </row>
        <row r="1573">
          <cell r="A1573" t="str">
            <v>11</v>
          </cell>
          <cell r="B1573" t="str">
            <v>20</v>
          </cell>
          <cell r="C1573" t="str">
            <v>11</v>
          </cell>
          <cell r="D1573" t="str">
            <v>1</v>
          </cell>
          <cell r="E1573" t="str">
            <v>0003</v>
          </cell>
          <cell r="F1573" t="str">
            <v>0005</v>
          </cell>
          <cell r="G1573" t="str">
            <v>11901</v>
          </cell>
          <cell r="H1573" t="str">
            <v>收回取暖费</v>
          </cell>
          <cell r="I1573" t="b">
            <v>0</v>
          </cell>
          <cell r="J1573">
            <v>515</v>
          </cell>
          <cell r="K1573">
            <v>0</v>
          </cell>
          <cell r="L1573">
            <v>0</v>
          </cell>
        </row>
        <row r="1574">
          <cell r="A1574" t="str">
            <v>11</v>
          </cell>
          <cell r="B1574" t="str">
            <v>20</v>
          </cell>
          <cell r="C1574" t="str">
            <v>11</v>
          </cell>
          <cell r="D1574" t="str">
            <v>1</v>
          </cell>
          <cell r="E1574" t="str">
            <v>0003</v>
          </cell>
          <cell r="F1574" t="str">
            <v>0006</v>
          </cell>
          <cell r="G1574" t="str">
            <v>11901</v>
          </cell>
          <cell r="H1574" t="str">
            <v>收回取暖费</v>
          </cell>
          <cell r="I1574" t="b">
            <v>0</v>
          </cell>
          <cell r="J1574">
            <v>915</v>
          </cell>
          <cell r="K1574">
            <v>0</v>
          </cell>
          <cell r="L1574">
            <v>0</v>
          </cell>
        </row>
        <row r="1575">
          <cell r="A1575" t="str">
            <v>11</v>
          </cell>
          <cell r="B1575" t="str">
            <v>20</v>
          </cell>
          <cell r="C1575" t="str">
            <v>11</v>
          </cell>
          <cell r="D1575" t="str">
            <v>1</v>
          </cell>
          <cell r="E1575" t="str">
            <v>0003</v>
          </cell>
          <cell r="F1575" t="str">
            <v>0007</v>
          </cell>
          <cell r="G1575" t="str">
            <v>11901</v>
          </cell>
          <cell r="H1575" t="str">
            <v>收回取暖费</v>
          </cell>
          <cell r="I1575" t="b">
            <v>0</v>
          </cell>
          <cell r="J1575">
            <v>515</v>
          </cell>
          <cell r="K1575">
            <v>0</v>
          </cell>
          <cell r="L1575">
            <v>0</v>
          </cell>
        </row>
        <row r="1576">
          <cell r="A1576" t="str">
            <v>11</v>
          </cell>
          <cell r="B1576" t="str">
            <v>20</v>
          </cell>
          <cell r="C1576" t="str">
            <v>11</v>
          </cell>
          <cell r="D1576" t="str">
            <v>1</v>
          </cell>
          <cell r="E1576" t="str">
            <v>0003</v>
          </cell>
          <cell r="F1576" t="str">
            <v>0008</v>
          </cell>
          <cell r="G1576" t="str">
            <v>11901</v>
          </cell>
          <cell r="H1576" t="str">
            <v>收回取暖费</v>
          </cell>
          <cell r="I1576" t="b">
            <v>0</v>
          </cell>
          <cell r="J1576">
            <v>473</v>
          </cell>
          <cell r="K1576">
            <v>0</v>
          </cell>
          <cell r="L1576">
            <v>0</v>
          </cell>
        </row>
        <row r="1577">
          <cell r="A1577" t="str">
            <v>11</v>
          </cell>
          <cell r="B1577" t="str">
            <v>20</v>
          </cell>
          <cell r="C1577" t="str">
            <v>11</v>
          </cell>
          <cell r="D1577" t="str">
            <v>1</v>
          </cell>
          <cell r="E1577" t="str">
            <v>0003</v>
          </cell>
          <cell r="F1577" t="str">
            <v>0009</v>
          </cell>
          <cell r="G1577" t="str">
            <v>11901</v>
          </cell>
          <cell r="H1577" t="str">
            <v>收回取暖费</v>
          </cell>
          <cell r="I1577" t="b">
            <v>0</v>
          </cell>
          <cell r="J1577">
            <v>473</v>
          </cell>
          <cell r="K1577">
            <v>0</v>
          </cell>
          <cell r="L1577">
            <v>0</v>
          </cell>
        </row>
        <row r="1578">
          <cell r="A1578" t="str">
            <v>11</v>
          </cell>
          <cell r="B1578" t="str">
            <v>20</v>
          </cell>
          <cell r="C1578" t="str">
            <v>11</v>
          </cell>
          <cell r="D1578" t="str">
            <v>1</v>
          </cell>
          <cell r="E1578" t="str">
            <v>0003</v>
          </cell>
          <cell r="F1578" t="str">
            <v>0010</v>
          </cell>
          <cell r="G1578" t="str">
            <v>11901</v>
          </cell>
          <cell r="H1578" t="str">
            <v>收回取暖费</v>
          </cell>
          <cell r="I1578" t="b">
            <v>0</v>
          </cell>
          <cell r="J1578">
            <v>473</v>
          </cell>
          <cell r="K1578">
            <v>0</v>
          </cell>
          <cell r="L1578">
            <v>0</v>
          </cell>
        </row>
        <row r="1579">
          <cell r="A1579" t="str">
            <v>11</v>
          </cell>
          <cell r="B1579" t="str">
            <v>20</v>
          </cell>
          <cell r="C1579" t="str">
            <v>11</v>
          </cell>
          <cell r="D1579" t="str">
            <v>1</v>
          </cell>
          <cell r="E1579" t="str">
            <v>0003</v>
          </cell>
          <cell r="F1579" t="str">
            <v>0011</v>
          </cell>
          <cell r="G1579" t="str">
            <v>11901</v>
          </cell>
          <cell r="H1579" t="str">
            <v>收回取暖费</v>
          </cell>
          <cell r="I1579" t="b">
            <v>0</v>
          </cell>
          <cell r="J1579">
            <v>473</v>
          </cell>
          <cell r="K1579">
            <v>0</v>
          </cell>
          <cell r="L1579">
            <v>0</v>
          </cell>
        </row>
        <row r="1580">
          <cell r="A1580" t="str">
            <v>11</v>
          </cell>
          <cell r="B1580" t="str">
            <v>21</v>
          </cell>
          <cell r="C1580" t="str">
            <v>11</v>
          </cell>
          <cell r="D1580" t="str">
            <v>2</v>
          </cell>
          <cell r="E1580" t="str">
            <v>0023</v>
          </cell>
          <cell r="F1580" t="str">
            <v>0001</v>
          </cell>
          <cell r="G1580" t="str">
            <v>11901</v>
          </cell>
          <cell r="H1580" t="str">
            <v>暂借款</v>
          </cell>
          <cell r="I1580" t="b">
            <v>1</v>
          </cell>
          <cell r="J1580">
            <v>8000</v>
          </cell>
          <cell r="K1580">
            <v>0</v>
          </cell>
          <cell r="L1580">
            <v>0</v>
          </cell>
        </row>
        <row r="1581">
          <cell r="A1581" t="str">
            <v>11</v>
          </cell>
          <cell r="B1581" t="str">
            <v>21</v>
          </cell>
          <cell r="C1581" t="str">
            <v>11</v>
          </cell>
          <cell r="D1581" t="str">
            <v>2</v>
          </cell>
          <cell r="E1581" t="str">
            <v>0023</v>
          </cell>
          <cell r="F1581" t="str">
            <v>0002</v>
          </cell>
          <cell r="G1581" t="str">
            <v>11901</v>
          </cell>
          <cell r="H1581" t="str">
            <v>暂借款</v>
          </cell>
          <cell r="I1581" t="b">
            <v>1</v>
          </cell>
          <cell r="J1581">
            <v>5330</v>
          </cell>
          <cell r="K1581">
            <v>0</v>
          </cell>
          <cell r="L1581">
            <v>0</v>
          </cell>
        </row>
        <row r="1582">
          <cell r="A1582" t="str">
            <v>11</v>
          </cell>
          <cell r="B1582" t="str">
            <v>16</v>
          </cell>
          <cell r="C1582" t="str">
            <v>11</v>
          </cell>
          <cell r="D1582" t="str">
            <v>5</v>
          </cell>
          <cell r="E1582" t="str">
            <v>0012</v>
          </cell>
          <cell r="F1582" t="str">
            <v>0003</v>
          </cell>
          <cell r="G1582" t="str">
            <v>11901</v>
          </cell>
          <cell r="H1582" t="str">
            <v>转报销港杂费等</v>
          </cell>
          <cell r="I1582" t="b">
            <v>0</v>
          </cell>
          <cell r="J1582">
            <v>2236</v>
          </cell>
          <cell r="K1582">
            <v>0</v>
          </cell>
          <cell r="L1582">
            <v>0</v>
          </cell>
        </row>
        <row r="1583">
          <cell r="A1583" t="str">
            <v>11</v>
          </cell>
          <cell r="B1583" t="str">
            <v>18</v>
          </cell>
          <cell r="C1583" t="str">
            <v>11</v>
          </cell>
          <cell r="D1583" t="str">
            <v>5</v>
          </cell>
          <cell r="E1583" t="str">
            <v>0013</v>
          </cell>
          <cell r="F1583" t="str">
            <v>0001</v>
          </cell>
          <cell r="G1583" t="str">
            <v>11901</v>
          </cell>
          <cell r="H1583" t="str">
            <v>转出9月5-6#个人借款</v>
          </cell>
          <cell r="I1583" t="b">
            <v>1</v>
          </cell>
          <cell r="J1583">
            <v>789</v>
          </cell>
          <cell r="K1583">
            <v>0</v>
          </cell>
          <cell r="L1583">
            <v>0</v>
          </cell>
        </row>
        <row r="1584">
          <cell r="A1584" t="str">
            <v>11</v>
          </cell>
          <cell r="B1584" t="str">
            <v>18</v>
          </cell>
          <cell r="C1584" t="str">
            <v>11</v>
          </cell>
          <cell r="D1584" t="str">
            <v>5</v>
          </cell>
          <cell r="E1584" t="str">
            <v>0013</v>
          </cell>
          <cell r="F1584" t="str">
            <v>0003</v>
          </cell>
          <cell r="G1584" t="str">
            <v>11901</v>
          </cell>
          <cell r="H1584" t="str">
            <v>转收回王夕龙个人借款</v>
          </cell>
          <cell r="I1584" t="b">
            <v>0</v>
          </cell>
          <cell r="J1584">
            <v>3839</v>
          </cell>
          <cell r="K1584">
            <v>0</v>
          </cell>
          <cell r="L1584">
            <v>0</v>
          </cell>
        </row>
        <row r="1585">
          <cell r="A1585" t="str">
            <v>12</v>
          </cell>
          <cell r="B1585" t="str">
            <v>12</v>
          </cell>
          <cell r="C1585" t="str">
            <v>12</v>
          </cell>
          <cell r="D1585" t="str">
            <v>1</v>
          </cell>
          <cell r="E1585" t="str">
            <v>0003</v>
          </cell>
          <cell r="F1585" t="str">
            <v>0002</v>
          </cell>
          <cell r="G1585" t="str">
            <v>11901</v>
          </cell>
          <cell r="H1585" t="str">
            <v>收回借款</v>
          </cell>
          <cell r="I1585" t="b">
            <v>0</v>
          </cell>
          <cell r="J1585">
            <v>6785.48</v>
          </cell>
          <cell r="K1585">
            <v>0</v>
          </cell>
          <cell r="L1585">
            <v>0</v>
          </cell>
        </row>
        <row r="1586">
          <cell r="A1586" t="str">
            <v>12</v>
          </cell>
          <cell r="B1586" t="str">
            <v>12</v>
          </cell>
          <cell r="C1586" t="str">
            <v>12</v>
          </cell>
          <cell r="D1586" t="str">
            <v>1</v>
          </cell>
          <cell r="E1586" t="str">
            <v>0003</v>
          </cell>
          <cell r="F1586" t="str">
            <v>0003</v>
          </cell>
          <cell r="G1586" t="str">
            <v>11901</v>
          </cell>
          <cell r="H1586" t="str">
            <v>收回借款</v>
          </cell>
          <cell r="I1586" t="b">
            <v>0</v>
          </cell>
          <cell r="J1586">
            <v>500</v>
          </cell>
          <cell r="K1586">
            <v>0</v>
          </cell>
          <cell r="L1586">
            <v>0</v>
          </cell>
        </row>
        <row r="1587">
          <cell r="A1587" t="str">
            <v>12</v>
          </cell>
          <cell r="B1587" t="str">
            <v>12</v>
          </cell>
          <cell r="C1587" t="str">
            <v>12</v>
          </cell>
          <cell r="D1587" t="str">
            <v>1</v>
          </cell>
          <cell r="E1587" t="str">
            <v>0003</v>
          </cell>
          <cell r="F1587" t="str">
            <v>0004</v>
          </cell>
          <cell r="G1587" t="str">
            <v>11901</v>
          </cell>
          <cell r="H1587" t="str">
            <v>收回借款</v>
          </cell>
          <cell r="I1587" t="b">
            <v>0</v>
          </cell>
          <cell r="J1587">
            <v>3000</v>
          </cell>
          <cell r="K1587">
            <v>0</v>
          </cell>
          <cell r="L1587">
            <v>0</v>
          </cell>
        </row>
        <row r="1588">
          <cell r="A1588" t="str">
            <v>12</v>
          </cell>
          <cell r="B1588" t="str">
            <v>12</v>
          </cell>
          <cell r="C1588" t="str">
            <v>12</v>
          </cell>
          <cell r="D1588" t="str">
            <v>1</v>
          </cell>
          <cell r="E1588" t="str">
            <v>0003</v>
          </cell>
          <cell r="F1588" t="str">
            <v>0005</v>
          </cell>
          <cell r="G1588" t="str">
            <v>11901</v>
          </cell>
          <cell r="H1588" t="str">
            <v>收回借款</v>
          </cell>
          <cell r="I1588" t="b">
            <v>0</v>
          </cell>
          <cell r="J1588">
            <v>5000</v>
          </cell>
          <cell r="K1588">
            <v>0</v>
          </cell>
          <cell r="L1588">
            <v>0</v>
          </cell>
        </row>
        <row r="1589">
          <cell r="A1589" t="str">
            <v>12</v>
          </cell>
          <cell r="B1589" t="str">
            <v>12</v>
          </cell>
          <cell r="C1589" t="str">
            <v>12</v>
          </cell>
          <cell r="D1589" t="str">
            <v>1</v>
          </cell>
          <cell r="E1589" t="str">
            <v>0003</v>
          </cell>
          <cell r="F1589" t="str">
            <v>0006</v>
          </cell>
          <cell r="G1589" t="str">
            <v>11901</v>
          </cell>
          <cell r="H1589" t="str">
            <v>收回借款</v>
          </cell>
          <cell r="I1589" t="b">
            <v>0</v>
          </cell>
          <cell r="J1589">
            <v>10000</v>
          </cell>
          <cell r="K1589">
            <v>0</v>
          </cell>
          <cell r="L1589">
            <v>0</v>
          </cell>
        </row>
        <row r="1590">
          <cell r="A1590" t="str">
            <v>12</v>
          </cell>
          <cell r="B1590" t="str">
            <v>05</v>
          </cell>
          <cell r="C1590" t="str">
            <v>12</v>
          </cell>
          <cell r="D1590" t="str">
            <v>2</v>
          </cell>
          <cell r="E1590" t="str">
            <v>0004</v>
          </cell>
          <cell r="F1590" t="str">
            <v>0002</v>
          </cell>
          <cell r="G1590" t="str">
            <v>11901</v>
          </cell>
          <cell r="H1590" t="str">
            <v>暂借款</v>
          </cell>
          <cell r="I1590" t="b">
            <v>1</v>
          </cell>
          <cell r="J1590">
            <v>1000</v>
          </cell>
          <cell r="K1590">
            <v>0</v>
          </cell>
          <cell r="L1590">
            <v>0</v>
          </cell>
        </row>
        <row r="1591">
          <cell r="A1591" t="str">
            <v>12</v>
          </cell>
          <cell r="B1591" t="str">
            <v>21</v>
          </cell>
          <cell r="C1591" t="str">
            <v>12</v>
          </cell>
          <cell r="D1591" t="str">
            <v>2</v>
          </cell>
          <cell r="E1591" t="str">
            <v>0024</v>
          </cell>
          <cell r="F1591" t="str">
            <v>0001</v>
          </cell>
          <cell r="G1591" t="str">
            <v>11901</v>
          </cell>
          <cell r="H1591" t="str">
            <v>暂借款</v>
          </cell>
          <cell r="I1591" t="b">
            <v>1</v>
          </cell>
          <cell r="J1591">
            <v>3000</v>
          </cell>
          <cell r="K1591">
            <v>0</v>
          </cell>
          <cell r="L1591">
            <v>0</v>
          </cell>
        </row>
        <row r="1592">
          <cell r="A1592" t="str">
            <v>12</v>
          </cell>
          <cell r="B1592" t="str">
            <v>21</v>
          </cell>
          <cell r="C1592" t="str">
            <v>12</v>
          </cell>
          <cell r="D1592" t="str">
            <v>2</v>
          </cell>
          <cell r="E1592" t="str">
            <v>0024</v>
          </cell>
          <cell r="F1592" t="str">
            <v>0002</v>
          </cell>
          <cell r="G1592" t="str">
            <v>11901</v>
          </cell>
          <cell r="H1592" t="str">
            <v>暂借款</v>
          </cell>
          <cell r="I1592" t="b">
            <v>1</v>
          </cell>
          <cell r="J1592">
            <v>5000</v>
          </cell>
          <cell r="K1592">
            <v>0</v>
          </cell>
          <cell r="L1592">
            <v>0</v>
          </cell>
        </row>
        <row r="1593">
          <cell r="A1593" t="str">
            <v>12</v>
          </cell>
          <cell r="B1593" t="str">
            <v>20</v>
          </cell>
          <cell r="C1593" t="str">
            <v>12</v>
          </cell>
          <cell r="D1593" t="str">
            <v>5</v>
          </cell>
          <cell r="E1593" t="str">
            <v>0006</v>
          </cell>
          <cell r="F1593" t="str">
            <v>0002</v>
          </cell>
          <cell r="G1593" t="str">
            <v>11901</v>
          </cell>
          <cell r="H1593" t="str">
            <v>转报销药费</v>
          </cell>
          <cell r="I1593" t="b">
            <v>0</v>
          </cell>
          <cell r="J1593">
            <v>316.3</v>
          </cell>
          <cell r="K1593">
            <v>0</v>
          </cell>
          <cell r="L1593">
            <v>0</v>
          </cell>
        </row>
        <row r="1594">
          <cell r="A1594" t="str">
            <v>12</v>
          </cell>
          <cell r="B1594" t="str">
            <v>20</v>
          </cell>
          <cell r="C1594" t="str">
            <v>12</v>
          </cell>
          <cell r="D1594" t="str">
            <v>5</v>
          </cell>
          <cell r="E1594" t="str">
            <v>0006</v>
          </cell>
          <cell r="F1594" t="str">
            <v>0004</v>
          </cell>
          <cell r="G1594" t="str">
            <v>11901</v>
          </cell>
          <cell r="H1594" t="str">
            <v>转报销发箱用电池.业务费等</v>
          </cell>
          <cell r="I1594" t="b">
            <v>0</v>
          </cell>
          <cell r="J1594">
            <v>3514</v>
          </cell>
          <cell r="K1594">
            <v>0</v>
          </cell>
          <cell r="L1594">
            <v>0</v>
          </cell>
        </row>
        <row r="1595">
          <cell r="A1595" t="str">
            <v>12</v>
          </cell>
          <cell r="B1595" t="str">
            <v>20</v>
          </cell>
          <cell r="C1595" t="str">
            <v>12</v>
          </cell>
          <cell r="D1595" t="str">
            <v>5</v>
          </cell>
          <cell r="E1595" t="str">
            <v>0007</v>
          </cell>
          <cell r="F1595" t="str">
            <v>0003</v>
          </cell>
          <cell r="G1595" t="str">
            <v>11901</v>
          </cell>
          <cell r="H1595" t="str">
            <v>转购灯罩等</v>
          </cell>
          <cell r="I1595" t="b">
            <v>0</v>
          </cell>
          <cell r="J1595">
            <v>2719</v>
          </cell>
          <cell r="K1595">
            <v>0</v>
          </cell>
          <cell r="L1595">
            <v>0</v>
          </cell>
        </row>
        <row r="1596">
          <cell r="A1596" t="str">
            <v>12</v>
          </cell>
          <cell r="B1596" t="str">
            <v>20</v>
          </cell>
          <cell r="C1596" t="str">
            <v>12</v>
          </cell>
          <cell r="D1596" t="str">
            <v>5</v>
          </cell>
          <cell r="E1596" t="str">
            <v>0008</v>
          </cell>
          <cell r="F1596" t="str">
            <v>0004</v>
          </cell>
          <cell r="G1596" t="str">
            <v>11901</v>
          </cell>
          <cell r="H1596" t="str">
            <v>转报销差旅费等</v>
          </cell>
          <cell r="I1596" t="b">
            <v>0</v>
          </cell>
          <cell r="J1596">
            <v>937.7</v>
          </cell>
          <cell r="K1596">
            <v>0</v>
          </cell>
          <cell r="L1596">
            <v>0</v>
          </cell>
        </row>
        <row r="1597">
          <cell r="A1597" t="str">
            <v>12</v>
          </cell>
          <cell r="B1597" t="str">
            <v>22</v>
          </cell>
          <cell r="C1597" t="str">
            <v>12</v>
          </cell>
          <cell r="D1597" t="str">
            <v>5</v>
          </cell>
          <cell r="E1597" t="str">
            <v>0019</v>
          </cell>
          <cell r="F1597" t="str">
            <v>0003</v>
          </cell>
          <cell r="G1597" t="str">
            <v>11901</v>
          </cell>
          <cell r="H1597" t="str">
            <v>转报产地证费等</v>
          </cell>
          <cell r="I1597" t="b">
            <v>0</v>
          </cell>
          <cell r="J1597">
            <v>621</v>
          </cell>
          <cell r="K1597">
            <v>0</v>
          </cell>
          <cell r="L1597">
            <v>0</v>
          </cell>
        </row>
        <row r="1598">
          <cell r="A1598" t="str">
            <v>12</v>
          </cell>
          <cell r="B1598" t="str">
            <v>25</v>
          </cell>
          <cell r="C1598" t="str">
            <v>12</v>
          </cell>
          <cell r="D1598" t="str">
            <v>5</v>
          </cell>
          <cell r="E1598" t="str">
            <v>0028</v>
          </cell>
          <cell r="F1598" t="str">
            <v>0001</v>
          </cell>
          <cell r="G1598" t="str">
            <v>11901</v>
          </cell>
          <cell r="H1598" t="str">
            <v>转报销运费</v>
          </cell>
          <cell r="I1598" t="b">
            <v>0</v>
          </cell>
          <cell r="J1598">
            <v>2500</v>
          </cell>
          <cell r="K1598">
            <v>0</v>
          </cell>
          <cell r="L1598">
            <v>0</v>
          </cell>
        </row>
        <row r="1599">
          <cell r="A1599" t="str">
            <v>12</v>
          </cell>
          <cell r="B1599" t="str">
            <v>26</v>
          </cell>
          <cell r="C1599" t="str">
            <v>12</v>
          </cell>
          <cell r="D1599" t="str">
            <v>5</v>
          </cell>
          <cell r="E1599" t="str">
            <v>0030</v>
          </cell>
          <cell r="F1599" t="str">
            <v>0002</v>
          </cell>
          <cell r="G1599" t="str">
            <v>11901</v>
          </cell>
          <cell r="H1599" t="str">
            <v>转出口果汁商检费</v>
          </cell>
          <cell r="I1599" t="b">
            <v>0</v>
          </cell>
          <cell r="J1599">
            <v>6648</v>
          </cell>
          <cell r="K1599">
            <v>0</v>
          </cell>
          <cell r="L1599">
            <v>0</v>
          </cell>
        </row>
        <row r="1600">
          <cell r="A1600" t="str">
            <v>12</v>
          </cell>
          <cell r="B1600" t="str">
            <v>27</v>
          </cell>
          <cell r="C1600" t="str">
            <v>12</v>
          </cell>
          <cell r="D1600" t="str">
            <v>5</v>
          </cell>
          <cell r="E1600" t="str">
            <v>0037</v>
          </cell>
          <cell r="F1600" t="str">
            <v>0003</v>
          </cell>
          <cell r="G1600" t="str">
            <v>11901</v>
          </cell>
          <cell r="H1600" t="str">
            <v>转收回个人借款</v>
          </cell>
          <cell r="I1600" t="b">
            <v>0</v>
          </cell>
          <cell r="J1600">
            <v>221.7</v>
          </cell>
          <cell r="K1600">
            <v>0</v>
          </cell>
          <cell r="L1600">
            <v>0</v>
          </cell>
        </row>
        <row r="1601">
          <cell r="A1601" t="str">
            <v>02</v>
          </cell>
          <cell r="B1601" t="str">
            <v>02</v>
          </cell>
          <cell r="C1601" t="str">
            <v>02</v>
          </cell>
          <cell r="D1601" t="str">
            <v>1</v>
          </cell>
          <cell r="E1601" t="str">
            <v>0003</v>
          </cell>
          <cell r="F1601" t="str">
            <v>0002</v>
          </cell>
          <cell r="G1601" t="str">
            <v>11902</v>
          </cell>
          <cell r="H1601" t="str">
            <v>收损失果汁款</v>
          </cell>
          <cell r="I1601" t="b">
            <v>0</v>
          </cell>
          <cell r="J1601">
            <v>7580</v>
          </cell>
          <cell r="K1601">
            <v>0</v>
          </cell>
          <cell r="L1601">
            <v>0</v>
          </cell>
        </row>
        <row r="1602">
          <cell r="A1602" t="str">
            <v>02</v>
          </cell>
          <cell r="B1602" t="str">
            <v>22</v>
          </cell>
          <cell r="C1602" t="str">
            <v>02</v>
          </cell>
          <cell r="D1602" t="str">
            <v>1</v>
          </cell>
          <cell r="E1602" t="str">
            <v>0016</v>
          </cell>
          <cell r="F1602" t="str">
            <v>0002</v>
          </cell>
          <cell r="G1602" t="str">
            <v>11902</v>
          </cell>
          <cell r="H1602" t="str">
            <v>暂借款</v>
          </cell>
          <cell r="I1602" t="b">
            <v>0</v>
          </cell>
          <cell r="J1602">
            <v>57960</v>
          </cell>
          <cell r="K1602">
            <v>0</v>
          </cell>
          <cell r="L1602">
            <v>0</v>
          </cell>
        </row>
        <row r="1603">
          <cell r="A1603" t="str">
            <v>02</v>
          </cell>
          <cell r="B1603" t="str">
            <v>01</v>
          </cell>
          <cell r="C1603" t="str">
            <v>02</v>
          </cell>
          <cell r="D1603" t="str">
            <v>2</v>
          </cell>
          <cell r="E1603" t="str">
            <v>0002</v>
          </cell>
          <cell r="F1603" t="str">
            <v>0003</v>
          </cell>
          <cell r="G1603" t="str">
            <v>11902</v>
          </cell>
          <cell r="H1603" t="str">
            <v>暂借款</v>
          </cell>
          <cell r="I1603" t="b">
            <v>1</v>
          </cell>
          <cell r="J1603">
            <v>15000</v>
          </cell>
          <cell r="K1603">
            <v>0</v>
          </cell>
          <cell r="L1603">
            <v>0</v>
          </cell>
        </row>
        <row r="1604">
          <cell r="A1604" t="str">
            <v>02</v>
          </cell>
          <cell r="B1604" t="str">
            <v>01</v>
          </cell>
          <cell r="C1604" t="str">
            <v>02</v>
          </cell>
          <cell r="D1604" t="str">
            <v>2</v>
          </cell>
          <cell r="E1604" t="str">
            <v>0005</v>
          </cell>
          <cell r="F1604" t="str">
            <v>0001</v>
          </cell>
          <cell r="G1604" t="str">
            <v>11902</v>
          </cell>
          <cell r="H1604" t="str">
            <v>暂借款</v>
          </cell>
          <cell r="I1604" t="b">
            <v>1</v>
          </cell>
          <cell r="J1604">
            <v>170000</v>
          </cell>
          <cell r="K1604">
            <v>0</v>
          </cell>
          <cell r="L1604">
            <v>0</v>
          </cell>
        </row>
        <row r="1605">
          <cell r="A1605" t="str">
            <v>02</v>
          </cell>
          <cell r="B1605" t="str">
            <v>01</v>
          </cell>
          <cell r="C1605" t="str">
            <v>02</v>
          </cell>
          <cell r="D1605" t="str">
            <v>2</v>
          </cell>
          <cell r="E1605" t="str">
            <v>0005</v>
          </cell>
          <cell r="F1605" t="str">
            <v>0002</v>
          </cell>
          <cell r="G1605" t="str">
            <v>11902</v>
          </cell>
          <cell r="H1605" t="str">
            <v>暂借款</v>
          </cell>
          <cell r="I1605" t="b">
            <v>1</v>
          </cell>
          <cell r="J1605">
            <v>142743.5</v>
          </cell>
          <cell r="K1605">
            <v>0</v>
          </cell>
          <cell r="L1605">
            <v>0</v>
          </cell>
        </row>
        <row r="1606">
          <cell r="A1606" t="str">
            <v>02</v>
          </cell>
          <cell r="B1606" t="str">
            <v>01</v>
          </cell>
          <cell r="C1606" t="str">
            <v>02</v>
          </cell>
          <cell r="D1606" t="str">
            <v>2</v>
          </cell>
          <cell r="E1606" t="str">
            <v>0005</v>
          </cell>
          <cell r="F1606" t="str">
            <v>0003</v>
          </cell>
          <cell r="G1606" t="str">
            <v>11902</v>
          </cell>
          <cell r="H1606" t="str">
            <v>暂借款</v>
          </cell>
          <cell r="I1606" t="b">
            <v>1</v>
          </cell>
          <cell r="J1606">
            <v>70541.399999999994</v>
          </cell>
          <cell r="K1606">
            <v>0</v>
          </cell>
          <cell r="L1606">
            <v>0</v>
          </cell>
        </row>
        <row r="1607">
          <cell r="A1607" t="str">
            <v>02</v>
          </cell>
          <cell r="B1607" t="str">
            <v>19</v>
          </cell>
          <cell r="C1607" t="str">
            <v>02</v>
          </cell>
          <cell r="D1607" t="str">
            <v>2</v>
          </cell>
          <cell r="E1607" t="str">
            <v>0029</v>
          </cell>
          <cell r="F1607" t="str">
            <v>0001</v>
          </cell>
          <cell r="G1607" t="str">
            <v>11902</v>
          </cell>
          <cell r="H1607" t="str">
            <v>暂借款</v>
          </cell>
          <cell r="I1607" t="b">
            <v>1</v>
          </cell>
          <cell r="J1607">
            <v>17000</v>
          </cell>
          <cell r="K1607">
            <v>0</v>
          </cell>
          <cell r="L1607">
            <v>0</v>
          </cell>
        </row>
        <row r="1608">
          <cell r="A1608" t="str">
            <v>02</v>
          </cell>
          <cell r="B1608" t="str">
            <v>19</v>
          </cell>
          <cell r="C1608" t="str">
            <v>02</v>
          </cell>
          <cell r="D1608" t="str">
            <v>2</v>
          </cell>
          <cell r="E1608" t="str">
            <v>0029</v>
          </cell>
          <cell r="F1608" t="str">
            <v>0002</v>
          </cell>
          <cell r="G1608" t="str">
            <v>11902</v>
          </cell>
          <cell r="H1608" t="str">
            <v>暂借款</v>
          </cell>
          <cell r="I1608" t="b">
            <v>1</v>
          </cell>
          <cell r="J1608">
            <v>97043.76</v>
          </cell>
          <cell r="K1608">
            <v>0</v>
          </cell>
          <cell r="L1608">
            <v>0</v>
          </cell>
        </row>
        <row r="1609">
          <cell r="A1609" t="str">
            <v>02</v>
          </cell>
          <cell r="B1609" t="str">
            <v>19</v>
          </cell>
          <cell r="C1609" t="str">
            <v>02</v>
          </cell>
          <cell r="D1609" t="str">
            <v>2</v>
          </cell>
          <cell r="E1609" t="str">
            <v>0029</v>
          </cell>
          <cell r="F1609" t="str">
            <v>0003</v>
          </cell>
          <cell r="G1609" t="str">
            <v>11902</v>
          </cell>
          <cell r="H1609" t="str">
            <v>暂借款</v>
          </cell>
          <cell r="I1609" t="b">
            <v>1</v>
          </cell>
          <cell r="J1609">
            <v>1835000</v>
          </cell>
          <cell r="K1609">
            <v>0</v>
          </cell>
          <cell r="L1609">
            <v>0</v>
          </cell>
        </row>
        <row r="1610">
          <cell r="A1610" t="str">
            <v>02</v>
          </cell>
          <cell r="B1610" t="str">
            <v>21</v>
          </cell>
          <cell r="C1610" t="str">
            <v>02</v>
          </cell>
          <cell r="D1610" t="str">
            <v>2</v>
          </cell>
          <cell r="E1610" t="str">
            <v>0043</v>
          </cell>
          <cell r="F1610" t="str">
            <v>0001</v>
          </cell>
          <cell r="G1610" t="str">
            <v>11902</v>
          </cell>
          <cell r="H1610" t="str">
            <v>代垫运费</v>
          </cell>
          <cell r="I1610" t="b">
            <v>1</v>
          </cell>
          <cell r="J1610">
            <v>15748.68</v>
          </cell>
          <cell r="K1610">
            <v>0</v>
          </cell>
          <cell r="L1610">
            <v>0</v>
          </cell>
        </row>
        <row r="1611">
          <cell r="A1611" t="str">
            <v>02</v>
          </cell>
          <cell r="B1611" t="str">
            <v>10</v>
          </cell>
          <cell r="C1611" t="str">
            <v>02</v>
          </cell>
          <cell r="D1611" t="str">
            <v>3</v>
          </cell>
          <cell r="E1611" t="str">
            <v>0007</v>
          </cell>
          <cell r="F1611" t="str">
            <v>0002</v>
          </cell>
          <cell r="G1611" t="str">
            <v>11902</v>
          </cell>
          <cell r="H1611" t="str">
            <v>收回借款</v>
          </cell>
          <cell r="I1611" t="b">
            <v>0</v>
          </cell>
          <cell r="J1611">
            <v>105131.05</v>
          </cell>
          <cell r="K1611">
            <v>0</v>
          </cell>
          <cell r="L1611">
            <v>0</v>
          </cell>
        </row>
        <row r="1612">
          <cell r="A1612" t="str">
            <v>02</v>
          </cell>
          <cell r="B1612" t="str">
            <v>20</v>
          </cell>
          <cell r="C1612" t="str">
            <v>02</v>
          </cell>
          <cell r="D1612" t="str">
            <v>3</v>
          </cell>
          <cell r="E1612" t="str">
            <v>0008</v>
          </cell>
          <cell r="F1612" t="str">
            <v>0004</v>
          </cell>
          <cell r="G1612" t="str">
            <v>11902</v>
          </cell>
          <cell r="H1612" t="str">
            <v>收回借款</v>
          </cell>
          <cell r="I1612" t="b">
            <v>0</v>
          </cell>
          <cell r="J1612">
            <v>2600000</v>
          </cell>
          <cell r="K1612">
            <v>0</v>
          </cell>
          <cell r="L1612">
            <v>0</v>
          </cell>
        </row>
        <row r="1613">
          <cell r="A1613" t="str">
            <v>02</v>
          </cell>
          <cell r="B1613" t="str">
            <v>20</v>
          </cell>
          <cell r="C1613" t="str">
            <v>02</v>
          </cell>
          <cell r="D1613" t="str">
            <v>3</v>
          </cell>
          <cell r="E1613" t="str">
            <v>0008</v>
          </cell>
          <cell r="F1613" t="str">
            <v>0005</v>
          </cell>
          <cell r="G1613" t="str">
            <v>11902</v>
          </cell>
          <cell r="H1613" t="str">
            <v>收回借款</v>
          </cell>
          <cell r="I1613" t="b">
            <v>0</v>
          </cell>
          <cell r="J1613">
            <v>1593437.5</v>
          </cell>
          <cell r="K1613">
            <v>0</v>
          </cell>
          <cell r="L1613">
            <v>0</v>
          </cell>
        </row>
        <row r="1614">
          <cell r="A1614" t="str">
            <v>02</v>
          </cell>
          <cell r="B1614" t="str">
            <v>20</v>
          </cell>
          <cell r="C1614" t="str">
            <v>02</v>
          </cell>
          <cell r="D1614" t="str">
            <v>3</v>
          </cell>
          <cell r="E1614" t="str">
            <v>0009</v>
          </cell>
          <cell r="F1614" t="str">
            <v>0002</v>
          </cell>
          <cell r="G1614" t="str">
            <v>11902</v>
          </cell>
          <cell r="H1614" t="str">
            <v>收回借款</v>
          </cell>
          <cell r="I1614" t="b">
            <v>0</v>
          </cell>
          <cell r="J1614">
            <v>165000</v>
          </cell>
          <cell r="K1614">
            <v>0</v>
          </cell>
          <cell r="L1614">
            <v>0</v>
          </cell>
        </row>
        <row r="1615">
          <cell r="A1615" t="str">
            <v>02</v>
          </cell>
          <cell r="B1615" t="str">
            <v>02</v>
          </cell>
          <cell r="C1615" t="str">
            <v>02</v>
          </cell>
          <cell r="D1615" t="str">
            <v>4</v>
          </cell>
          <cell r="E1615" t="str">
            <v>0003</v>
          </cell>
          <cell r="F1615" t="str">
            <v>0002</v>
          </cell>
          <cell r="G1615" t="str">
            <v>11902</v>
          </cell>
          <cell r="H1615" t="str">
            <v>付电机修理费</v>
          </cell>
          <cell r="I1615" t="b">
            <v>1</v>
          </cell>
          <cell r="J1615">
            <v>7957</v>
          </cell>
          <cell r="K1615">
            <v>0</v>
          </cell>
          <cell r="L1615">
            <v>0</v>
          </cell>
        </row>
        <row r="1616">
          <cell r="A1616" t="str">
            <v>02</v>
          </cell>
          <cell r="B1616" t="str">
            <v>05</v>
          </cell>
          <cell r="C1616" t="str">
            <v>02</v>
          </cell>
          <cell r="D1616" t="str">
            <v>4</v>
          </cell>
          <cell r="E1616" t="str">
            <v>0006</v>
          </cell>
          <cell r="F1616" t="str">
            <v>0001</v>
          </cell>
          <cell r="G1616" t="str">
            <v>11902</v>
          </cell>
          <cell r="H1616" t="str">
            <v>暂借款</v>
          </cell>
          <cell r="I1616" t="b">
            <v>1</v>
          </cell>
          <cell r="J1616">
            <v>10000</v>
          </cell>
          <cell r="K1616">
            <v>0</v>
          </cell>
          <cell r="L1616">
            <v>0</v>
          </cell>
        </row>
        <row r="1617">
          <cell r="A1617" t="str">
            <v>02</v>
          </cell>
          <cell r="B1617" t="str">
            <v>05</v>
          </cell>
          <cell r="C1617" t="str">
            <v>02</v>
          </cell>
          <cell r="D1617" t="str">
            <v>4</v>
          </cell>
          <cell r="E1617" t="str">
            <v>0006</v>
          </cell>
          <cell r="F1617" t="str">
            <v>0002</v>
          </cell>
          <cell r="G1617" t="str">
            <v>11902</v>
          </cell>
          <cell r="H1617" t="str">
            <v>暂借款</v>
          </cell>
          <cell r="I1617" t="b">
            <v>1</v>
          </cell>
          <cell r="J1617">
            <v>1900000</v>
          </cell>
          <cell r="K1617">
            <v>0</v>
          </cell>
          <cell r="L1617">
            <v>0</v>
          </cell>
        </row>
        <row r="1618">
          <cell r="A1618" t="str">
            <v>02</v>
          </cell>
          <cell r="B1618" t="str">
            <v>05</v>
          </cell>
          <cell r="C1618" t="str">
            <v>02</v>
          </cell>
          <cell r="D1618" t="str">
            <v>4</v>
          </cell>
          <cell r="E1618" t="str">
            <v>0006</v>
          </cell>
          <cell r="F1618" t="str">
            <v>0003</v>
          </cell>
          <cell r="G1618" t="str">
            <v>11902</v>
          </cell>
          <cell r="H1618" t="str">
            <v>暂借款</v>
          </cell>
          <cell r="I1618" t="b">
            <v>1</v>
          </cell>
          <cell r="J1618">
            <v>2000000</v>
          </cell>
          <cell r="K1618">
            <v>0</v>
          </cell>
          <cell r="L1618">
            <v>0</v>
          </cell>
        </row>
        <row r="1619">
          <cell r="A1619" t="str">
            <v>02</v>
          </cell>
          <cell r="B1619" t="str">
            <v>14</v>
          </cell>
          <cell r="C1619" t="str">
            <v>02</v>
          </cell>
          <cell r="D1619" t="str">
            <v>4</v>
          </cell>
          <cell r="E1619" t="str">
            <v>0015</v>
          </cell>
          <cell r="F1619" t="str">
            <v>0008</v>
          </cell>
          <cell r="G1619" t="str">
            <v>11902</v>
          </cell>
          <cell r="H1619" t="str">
            <v>代扣王雷车款</v>
          </cell>
          <cell r="I1619" t="b">
            <v>0</v>
          </cell>
          <cell r="J1619">
            <v>480</v>
          </cell>
          <cell r="K1619">
            <v>0</v>
          </cell>
          <cell r="L1619">
            <v>0</v>
          </cell>
        </row>
        <row r="1620">
          <cell r="A1620" t="str">
            <v>02</v>
          </cell>
          <cell r="B1620" t="str">
            <v>14</v>
          </cell>
          <cell r="C1620" t="str">
            <v>02</v>
          </cell>
          <cell r="D1620" t="str">
            <v>4</v>
          </cell>
          <cell r="E1620" t="str">
            <v>0015</v>
          </cell>
          <cell r="F1620" t="str">
            <v>0009</v>
          </cell>
          <cell r="G1620" t="str">
            <v>11902</v>
          </cell>
          <cell r="H1620" t="str">
            <v>代扣夏云明车款</v>
          </cell>
          <cell r="I1620" t="b">
            <v>0</v>
          </cell>
          <cell r="J1620">
            <v>600</v>
          </cell>
          <cell r="K1620">
            <v>0</v>
          </cell>
          <cell r="L1620">
            <v>0</v>
          </cell>
        </row>
        <row r="1621">
          <cell r="A1621" t="str">
            <v>02</v>
          </cell>
          <cell r="B1621" t="str">
            <v>14</v>
          </cell>
          <cell r="C1621" t="str">
            <v>02</v>
          </cell>
          <cell r="D1621" t="str">
            <v>4</v>
          </cell>
          <cell r="E1621" t="str">
            <v>0015</v>
          </cell>
          <cell r="F1621" t="str">
            <v>0010</v>
          </cell>
          <cell r="G1621" t="str">
            <v>11902</v>
          </cell>
          <cell r="H1621" t="str">
            <v>代扣于性林车款</v>
          </cell>
          <cell r="I1621" t="b">
            <v>0</v>
          </cell>
          <cell r="J1621">
            <v>600</v>
          </cell>
          <cell r="K1621">
            <v>0</v>
          </cell>
          <cell r="L1621">
            <v>0</v>
          </cell>
        </row>
        <row r="1622">
          <cell r="A1622" t="str">
            <v>02</v>
          </cell>
          <cell r="B1622" t="str">
            <v>15</v>
          </cell>
          <cell r="C1622" t="str">
            <v>02</v>
          </cell>
          <cell r="D1622" t="str">
            <v>4</v>
          </cell>
          <cell r="E1622" t="str">
            <v>0016</v>
          </cell>
          <cell r="F1622" t="str">
            <v>0001</v>
          </cell>
          <cell r="G1622" t="str">
            <v>11902</v>
          </cell>
          <cell r="H1622" t="str">
            <v>暂借款</v>
          </cell>
          <cell r="I1622" t="b">
            <v>1</v>
          </cell>
          <cell r="J1622">
            <v>1601.6</v>
          </cell>
          <cell r="K1622">
            <v>0</v>
          </cell>
          <cell r="L1622">
            <v>0</v>
          </cell>
        </row>
        <row r="1623">
          <cell r="A1623" t="str">
            <v>02</v>
          </cell>
          <cell r="B1623" t="str">
            <v>15</v>
          </cell>
          <cell r="C1623" t="str">
            <v>02</v>
          </cell>
          <cell r="D1623" t="str">
            <v>4</v>
          </cell>
          <cell r="E1623" t="str">
            <v>0019</v>
          </cell>
          <cell r="F1623" t="str">
            <v>0001</v>
          </cell>
          <cell r="G1623" t="str">
            <v>11902</v>
          </cell>
          <cell r="H1623" t="str">
            <v>代还借款</v>
          </cell>
          <cell r="I1623" t="b">
            <v>1</v>
          </cell>
          <cell r="J1623">
            <v>8000000</v>
          </cell>
          <cell r="K1623">
            <v>0</v>
          </cell>
          <cell r="L1623">
            <v>0</v>
          </cell>
        </row>
        <row r="1624">
          <cell r="A1624" t="str">
            <v>02</v>
          </cell>
          <cell r="B1624" t="str">
            <v>20</v>
          </cell>
          <cell r="C1624" t="str">
            <v>02</v>
          </cell>
          <cell r="D1624" t="str">
            <v>4</v>
          </cell>
          <cell r="E1624" t="str">
            <v>0030</v>
          </cell>
          <cell r="F1624" t="str">
            <v>0001</v>
          </cell>
          <cell r="G1624" t="str">
            <v>11902</v>
          </cell>
          <cell r="H1624" t="str">
            <v>暂借款</v>
          </cell>
          <cell r="I1624" t="b">
            <v>1</v>
          </cell>
          <cell r="J1624">
            <v>5200000</v>
          </cell>
          <cell r="K1624">
            <v>0</v>
          </cell>
          <cell r="L1624">
            <v>0</v>
          </cell>
        </row>
        <row r="1625">
          <cell r="A1625" t="str">
            <v>02</v>
          </cell>
          <cell r="B1625" t="str">
            <v>20</v>
          </cell>
          <cell r="C1625" t="str">
            <v>02</v>
          </cell>
          <cell r="D1625" t="str">
            <v>4</v>
          </cell>
          <cell r="E1625" t="str">
            <v>0030</v>
          </cell>
          <cell r="F1625" t="str">
            <v>0002</v>
          </cell>
          <cell r="G1625" t="str">
            <v>11902</v>
          </cell>
          <cell r="H1625" t="str">
            <v>暂借款</v>
          </cell>
          <cell r="I1625" t="b">
            <v>1</v>
          </cell>
          <cell r="J1625">
            <v>10751076.140000001</v>
          </cell>
          <cell r="K1625">
            <v>0</v>
          </cell>
          <cell r="L1625">
            <v>0</v>
          </cell>
        </row>
        <row r="1626">
          <cell r="A1626" t="str">
            <v>02</v>
          </cell>
          <cell r="B1626" t="str">
            <v>20</v>
          </cell>
          <cell r="C1626" t="str">
            <v>02</v>
          </cell>
          <cell r="D1626" t="str">
            <v>5</v>
          </cell>
          <cell r="E1626" t="str">
            <v>0001</v>
          </cell>
          <cell r="F1626" t="str">
            <v>0003</v>
          </cell>
          <cell r="G1626" t="str">
            <v>11902</v>
          </cell>
          <cell r="H1626" t="str">
            <v>转99年12月份中鲁酒店工人工资</v>
          </cell>
          <cell r="I1626" t="b">
            <v>1</v>
          </cell>
          <cell r="J1626">
            <v>5707.4</v>
          </cell>
          <cell r="K1626">
            <v>0</v>
          </cell>
          <cell r="L1626">
            <v>0</v>
          </cell>
        </row>
        <row r="1627">
          <cell r="A1627" t="str">
            <v>02</v>
          </cell>
          <cell r="B1627" t="str">
            <v>20</v>
          </cell>
          <cell r="C1627" t="str">
            <v>02</v>
          </cell>
          <cell r="D1627" t="str">
            <v>5</v>
          </cell>
          <cell r="E1627" t="str">
            <v>0003</v>
          </cell>
          <cell r="F1627" t="str">
            <v>0003</v>
          </cell>
          <cell r="G1627" t="str">
            <v>11902</v>
          </cell>
          <cell r="H1627" t="str">
            <v>转1月份中鲁酒店工人工资</v>
          </cell>
          <cell r="I1627" t="b">
            <v>1</v>
          </cell>
          <cell r="J1627">
            <v>5011</v>
          </cell>
          <cell r="K1627">
            <v>0</v>
          </cell>
          <cell r="L1627">
            <v>0</v>
          </cell>
        </row>
        <row r="1628">
          <cell r="A1628" t="str">
            <v>02</v>
          </cell>
          <cell r="B1628" t="str">
            <v>20</v>
          </cell>
          <cell r="C1628" t="str">
            <v>02</v>
          </cell>
          <cell r="D1628" t="str">
            <v>5</v>
          </cell>
          <cell r="E1628" t="str">
            <v>0005</v>
          </cell>
          <cell r="F1628" t="str">
            <v>0004</v>
          </cell>
          <cell r="G1628" t="str">
            <v>11902</v>
          </cell>
          <cell r="H1628" t="str">
            <v>转销卢龙耗材料</v>
          </cell>
          <cell r="I1628" t="b">
            <v>1</v>
          </cell>
          <cell r="J1628">
            <v>16402.23</v>
          </cell>
          <cell r="K1628">
            <v>0</v>
          </cell>
          <cell r="L1628">
            <v>0</v>
          </cell>
        </row>
        <row r="1629">
          <cell r="A1629" t="str">
            <v>02</v>
          </cell>
          <cell r="B1629" t="str">
            <v>22</v>
          </cell>
          <cell r="C1629" t="str">
            <v>02</v>
          </cell>
          <cell r="D1629" t="str">
            <v>5</v>
          </cell>
          <cell r="E1629" t="str">
            <v>0007</v>
          </cell>
          <cell r="F1629" t="str">
            <v>0002</v>
          </cell>
          <cell r="G1629" t="str">
            <v>11902</v>
          </cell>
          <cell r="H1629" t="str">
            <v>转订出99年8月5-7#凭证错制</v>
          </cell>
          <cell r="I1629" t="b">
            <v>0</v>
          </cell>
          <cell r="J1629">
            <v>-1299.3699999999999</v>
          </cell>
          <cell r="K1629">
            <v>0</v>
          </cell>
          <cell r="L1629">
            <v>0</v>
          </cell>
        </row>
        <row r="1630">
          <cell r="A1630" t="str">
            <v>02</v>
          </cell>
          <cell r="B1630" t="str">
            <v>22</v>
          </cell>
          <cell r="C1630" t="str">
            <v>02</v>
          </cell>
          <cell r="D1630" t="str">
            <v>5</v>
          </cell>
          <cell r="E1630" t="str">
            <v>0007</v>
          </cell>
          <cell r="F1630" t="str">
            <v>0003</v>
          </cell>
          <cell r="G1630" t="str">
            <v>11902</v>
          </cell>
          <cell r="H1630" t="str">
            <v>转订正99年8月5-7#凭证错制</v>
          </cell>
          <cell r="I1630" t="b">
            <v>1</v>
          </cell>
          <cell r="J1630">
            <v>1299.3699999999999</v>
          </cell>
          <cell r="K1630">
            <v>0</v>
          </cell>
          <cell r="L1630">
            <v>0</v>
          </cell>
        </row>
        <row r="1631">
          <cell r="A1631" t="str">
            <v>02</v>
          </cell>
          <cell r="B1631" t="str">
            <v>22</v>
          </cell>
          <cell r="C1631" t="str">
            <v>02</v>
          </cell>
          <cell r="D1631" t="str">
            <v>5</v>
          </cell>
          <cell r="E1631" t="str">
            <v>0012</v>
          </cell>
          <cell r="F1631" t="str">
            <v>0001</v>
          </cell>
          <cell r="G1631" t="str">
            <v>11902</v>
          </cell>
          <cell r="H1631" t="str">
            <v>转借款</v>
          </cell>
          <cell r="I1631" t="b">
            <v>1</v>
          </cell>
          <cell r="J1631">
            <v>5222</v>
          </cell>
          <cell r="K1631">
            <v>0</v>
          </cell>
          <cell r="L1631">
            <v>0</v>
          </cell>
        </row>
        <row r="1632">
          <cell r="A1632" t="str">
            <v>02</v>
          </cell>
          <cell r="B1632" t="str">
            <v>22</v>
          </cell>
          <cell r="C1632" t="str">
            <v>02</v>
          </cell>
          <cell r="D1632" t="str">
            <v>5</v>
          </cell>
          <cell r="E1632" t="str">
            <v>0012</v>
          </cell>
          <cell r="F1632" t="str">
            <v>0002</v>
          </cell>
          <cell r="G1632" t="str">
            <v>11902</v>
          </cell>
          <cell r="H1632" t="str">
            <v>转借款</v>
          </cell>
          <cell r="I1632" t="b">
            <v>0</v>
          </cell>
          <cell r="J1632">
            <v>5222</v>
          </cell>
          <cell r="K1632">
            <v>0</v>
          </cell>
          <cell r="L1632">
            <v>0</v>
          </cell>
        </row>
        <row r="1633">
          <cell r="A1633" t="str">
            <v>02</v>
          </cell>
          <cell r="B1633" t="str">
            <v>25</v>
          </cell>
          <cell r="C1633" t="str">
            <v>02</v>
          </cell>
          <cell r="D1633" t="str">
            <v>5</v>
          </cell>
          <cell r="E1633" t="str">
            <v>0017</v>
          </cell>
          <cell r="F1633" t="str">
            <v>0004</v>
          </cell>
          <cell r="G1633" t="str">
            <v>11902</v>
          </cell>
          <cell r="H1633" t="str">
            <v>转收回借款</v>
          </cell>
          <cell r="I1633" t="b">
            <v>0</v>
          </cell>
          <cell r="J1633">
            <v>1179871.43</v>
          </cell>
          <cell r="K1633">
            <v>0</v>
          </cell>
          <cell r="L1633">
            <v>0</v>
          </cell>
        </row>
        <row r="1634">
          <cell r="A1634" t="str">
            <v>02</v>
          </cell>
          <cell r="B1634" t="str">
            <v>25</v>
          </cell>
          <cell r="C1634" t="str">
            <v>02</v>
          </cell>
          <cell r="D1634" t="str">
            <v>5</v>
          </cell>
          <cell r="E1634" t="str">
            <v>0018</v>
          </cell>
          <cell r="F1634" t="str">
            <v>0009</v>
          </cell>
          <cell r="G1634" t="str">
            <v>11902</v>
          </cell>
          <cell r="H1634" t="str">
            <v>转12月份各部门餐费</v>
          </cell>
          <cell r="I1634" t="b">
            <v>0</v>
          </cell>
          <cell r="J1634">
            <v>17711.5</v>
          </cell>
          <cell r="K1634">
            <v>0</v>
          </cell>
          <cell r="L1634">
            <v>0</v>
          </cell>
        </row>
        <row r="1635">
          <cell r="A1635" t="str">
            <v>02</v>
          </cell>
          <cell r="B1635" t="str">
            <v>26</v>
          </cell>
          <cell r="C1635" t="str">
            <v>02</v>
          </cell>
          <cell r="D1635" t="str">
            <v>5</v>
          </cell>
          <cell r="E1635" t="str">
            <v>0019</v>
          </cell>
          <cell r="F1635" t="str">
            <v>0002</v>
          </cell>
          <cell r="G1635" t="str">
            <v>11902</v>
          </cell>
          <cell r="H1635" t="str">
            <v>转1-2月份耗材料款</v>
          </cell>
          <cell r="I1635" t="b">
            <v>1</v>
          </cell>
          <cell r="J1635">
            <v>600.64</v>
          </cell>
          <cell r="K1635">
            <v>0</v>
          </cell>
          <cell r="L1635">
            <v>0</v>
          </cell>
        </row>
        <row r="1636">
          <cell r="A1636" t="str">
            <v>02</v>
          </cell>
          <cell r="B1636" t="str">
            <v>26</v>
          </cell>
          <cell r="C1636" t="str">
            <v>02</v>
          </cell>
          <cell r="D1636" t="str">
            <v>5</v>
          </cell>
          <cell r="E1636" t="str">
            <v>0020</v>
          </cell>
          <cell r="F1636" t="str">
            <v>0001</v>
          </cell>
          <cell r="G1636" t="str">
            <v>11902</v>
          </cell>
          <cell r="H1636" t="str">
            <v>转鲁菱1-2月份耗水及台依水</v>
          </cell>
          <cell r="I1636" t="b">
            <v>1</v>
          </cell>
          <cell r="J1636">
            <v>99315.26</v>
          </cell>
          <cell r="K1636">
            <v>0</v>
          </cell>
          <cell r="L1636">
            <v>0</v>
          </cell>
        </row>
        <row r="1637">
          <cell r="A1637" t="str">
            <v>02</v>
          </cell>
          <cell r="B1637" t="str">
            <v>26</v>
          </cell>
          <cell r="C1637" t="str">
            <v>02</v>
          </cell>
          <cell r="D1637" t="str">
            <v>5</v>
          </cell>
          <cell r="E1637" t="str">
            <v>0020</v>
          </cell>
          <cell r="F1637" t="str">
            <v>0002</v>
          </cell>
          <cell r="G1637" t="str">
            <v>11902</v>
          </cell>
          <cell r="H1637" t="str">
            <v>转四厂1-2月份耗水款</v>
          </cell>
          <cell r="I1637" t="b">
            <v>1</v>
          </cell>
          <cell r="J1637">
            <v>27812.49</v>
          </cell>
          <cell r="K1637">
            <v>0</v>
          </cell>
          <cell r="L1637">
            <v>0</v>
          </cell>
        </row>
        <row r="1638">
          <cell r="A1638" t="str">
            <v>02</v>
          </cell>
          <cell r="B1638" t="str">
            <v>26</v>
          </cell>
          <cell r="C1638" t="str">
            <v>02</v>
          </cell>
          <cell r="D1638" t="str">
            <v>5</v>
          </cell>
          <cell r="E1638" t="str">
            <v>0020</v>
          </cell>
          <cell r="F1638" t="str">
            <v>0003</v>
          </cell>
          <cell r="G1638" t="str">
            <v>11902</v>
          </cell>
          <cell r="H1638" t="str">
            <v>转制桶厂1-2月耗水596方电54792</v>
          </cell>
          <cell r="I1638" t="b">
            <v>1</v>
          </cell>
          <cell r="J1638">
            <v>52087.65</v>
          </cell>
          <cell r="K1638">
            <v>0</v>
          </cell>
          <cell r="L1638">
            <v>0</v>
          </cell>
        </row>
        <row r="1639">
          <cell r="A1639" t="str">
            <v>02</v>
          </cell>
          <cell r="B1639" t="str">
            <v>26</v>
          </cell>
          <cell r="C1639" t="str">
            <v>02</v>
          </cell>
          <cell r="D1639" t="str">
            <v>5</v>
          </cell>
          <cell r="E1639" t="str">
            <v>0022</v>
          </cell>
          <cell r="F1639" t="str">
            <v>0003</v>
          </cell>
          <cell r="G1639" t="str">
            <v>11902</v>
          </cell>
          <cell r="H1639" t="str">
            <v>转购五莲分公司苹果汁</v>
          </cell>
          <cell r="I1639" t="b">
            <v>0</v>
          </cell>
          <cell r="J1639">
            <v>6223513.5</v>
          </cell>
          <cell r="K1639">
            <v>0</v>
          </cell>
          <cell r="L1639">
            <v>0</v>
          </cell>
        </row>
        <row r="1640">
          <cell r="A1640" t="str">
            <v>02</v>
          </cell>
          <cell r="B1640" t="str">
            <v>26</v>
          </cell>
          <cell r="C1640" t="str">
            <v>02</v>
          </cell>
          <cell r="D1640" t="str">
            <v>5</v>
          </cell>
          <cell r="E1640" t="str">
            <v>0023</v>
          </cell>
          <cell r="F1640" t="str">
            <v>0003</v>
          </cell>
          <cell r="G1640" t="str">
            <v>11902</v>
          </cell>
          <cell r="H1640" t="str">
            <v>转购卢龙分公司苹果汁</v>
          </cell>
          <cell r="I1640" t="b">
            <v>0</v>
          </cell>
          <cell r="J1640">
            <v>4492840.5</v>
          </cell>
          <cell r="K1640">
            <v>0</v>
          </cell>
          <cell r="L1640">
            <v>0</v>
          </cell>
        </row>
        <row r="1641">
          <cell r="A1641" t="str">
            <v>02</v>
          </cell>
          <cell r="B1641" t="str">
            <v>28</v>
          </cell>
          <cell r="C1641" t="str">
            <v>02</v>
          </cell>
          <cell r="D1641" t="str">
            <v>5</v>
          </cell>
          <cell r="E1641" t="str">
            <v>0024</v>
          </cell>
          <cell r="F1641" t="str">
            <v>0001</v>
          </cell>
          <cell r="G1641" t="str">
            <v>11902</v>
          </cell>
          <cell r="H1641" t="str">
            <v>转二厂本月耗材料款</v>
          </cell>
          <cell r="I1641" t="b">
            <v>1</v>
          </cell>
          <cell r="J1641">
            <v>575140.96</v>
          </cell>
          <cell r="K1641">
            <v>0</v>
          </cell>
          <cell r="L1641">
            <v>0</v>
          </cell>
        </row>
        <row r="1642">
          <cell r="A1642" t="str">
            <v>02</v>
          </cell>
          <cell r="B1642" t="str">
            <v>28</v>
          </cell>
          <cell r="C1642" t="str">
            <v>02</v>
          </cell>
          <cell r="D1642" t="str">
            <v>5</v>
          </cell>
          <cell r="E1642" t="str">
            <v>0024</v>
          </cell>
          <cell r="F1642" t="str">
            <v>0002</v>
          </cell>
          <cell r="G1642" t="str">
            <v>11902</v>
          </cell>
          <cell r="H1642" t="str">
            <v>转四厂本月耗材料款</v>
          </cell>
          <cell r="I1642" t="b">
            <v>1</v>
          </cell>
          <cell r="J1642">
            <v>317030.90000000002</v>
          </cell>
          <cell r="K1642">
            <v>0</v>
          </cell>
          <cell r="L1642">
            <v>0</v>
          </cell>
        </row>
        <row r="1643">
          <cell r="A1643" t="str">
            <v>02</v>
          </cell>
          <cell r="B1643" t="str">
            <v>28</v>
          </cell>
          <cell r="C1643" t="str">
            <v>02</v>
          </cell>
          <cell r="D1643" t="str">
            <v>5</v>
          </cell>
          <cell r="E1643" t="str">
            <v>0024</v>
          </cell>
          <cell r="F1643" t="str">
            <v>0003</v>
          </cell>
          <cell r="G1643" t="str">
            <v>11902</v>
          </cell>
          <cell r="H1643" t="str">
            <v>转制桶厂本月耗材料款</v>
          </cell>
          <cell r="I1643" t="b">
            <v>1</v>
          </cell>
          <cell r="J1643">
            <v>198.2</v>
          </cell>
          <cell r="K1643">
            <v>0</v>
          </cell>
          <cell r="L1643">
            <v>0</v>
          </cell>
        </row>
        <row r="1644">
          <cell r="A1644" t="str">
            <v>02</v>
          </cell>
          <cell r="B1644" t="str">
            <v>28</v>
          </cell>
          <cell r="C1644" t="str">
            <v>02</v>
          </cell>
          <cell r="D1644" t="str">
            <v>5</v>
          </cell>
          <cell r="E1644" t="str">
            <v>0025</v>
          </cell>
          <cell r="F1644" t="str">
            <v>0004</v>
          </cell>
          <cell r="G1644" t="str">
            <v>11902</v>
          </cell>
          <cell r="H1644" t="str">
            <v>转五莲代扣劳动保险费等</v>
          </cell>
          <cell r="I1644" t="b">
            <v>1</v>
          </cell>
          <cell r="J1644">
            <v>5320.5</v>
          </cell>
          <cell r="K1644">
            <v>0</v>
          </cell>
          <cell r="L1644">
            <v>0</v>
          </cell>
        </row>
        <row r="1645">
          <cell r="A1645" t="str">
            <v>02</v>
          </cell>
          <cell r="B1645" t="str">
            <v>28</v>
          </cell>
          <cell r="C1645" t="str">
            <v>02</v>
          </cell>
          <cell r="D1645" t="str">
            <v>5</v>
          </cell>
          <cell r="E1645" t="str">
            <v>0025</v>
          </cell>
          <cell r="F1645" t="str">
            <v>0005</v>
          </cell>
          <cell r="G1645" t="str">
            <v>11902</v>
          </cell>
          <cell r="H1645" t="str">
            <v>转卢龙代扣劳动保险费等</v>
          </cell>
          <cell r="I1645" t="b">
            <v>1</v>
          </cell>
          <cell r="J1645">
            <v>1768.9</v>
          </cell>
          <cell r="K1645">
            <v>0</v>
          </cell>
          <cell r="L1645">
            <v>0</v>
          </cell>
        </row>
        <row r="1646">
          <cell r="A1646" t="str">
            <v>02</v>
          </cell>
          <cell r="B1646" t="str">
            <v>28</v>
          </cell>
          <cell r="C1646" t="str">
            <v>02</v>
          </cell>
          <cell r="D1646" t="str">
            <v>5</v>
          </cell>
          <cell r="E1646" t="str">
            <v>0026</v>
          </cell>
          <cell r="F1646" t="str">
            <v>0005</v>
          </cell>
          <cell r="G1646" t="str">
            <v>11902</v>
          </cell>
          <cell r="H1646" t="str">
            <v>转尚进代扣水电费等</v>
          </cell>
          <cell r="I1646" t="b">
            <v>1</v>
          </cell>
          <cell r="J1646">
            <v>1877.3</v>
          </cell>
          <cell r="K1646">
            <v>0</v>
          </cell>
          <cell r="L1646">
            <v>0</v>
          </cell>
        </row>
        <row r="1647">
          <cell r="A1647" t="str">
            <v>02</v>
          </cell>
          <cell r="B1647" t="str">
            <v>28</v>
          </cell>
          <cell r="C1647" t="str">
            <v>02</v>
          </cell>
          <cell r="D1647" t="str">
            <v>5</v>
          </cell>
          <cell r="E1647" t="str">
            <v>0026</v>
          </cell>
          <cell r="F1647" t="str">
            <v>0006</v>
          </cell>
          <cell r="G1647" t="str">
            <v>11902</v>
          </cell>
          <cell r="H1647" t="str">
            <v>转鲁菱代扣水电费等</v>
          </cell>
          <cell r="I1647" t="b">
            <v>1</v>
          </cell>
          <cell r="J1647">
            <v>7794.16</v>
          </cell>
          <cell r="K1647">
            <v>0</v>
          </cell>
          <cell r="L1647">
            <v>0</v>
          </cell>
        </row>
        <row r="1648">
          <cell r="A1648" t="str">
            <v>02</v>
          </cell>
          <cell r="B1648" t="str">
            <v>28</v>
          </cell>
          <cell r="C1648" t="str">
            <v>02</v>
          </cell>
          <cell r="D1648" t="str">
            <v>5</v>
          </cell>
          <cell r="E1648" t="str">
            <v>0027</v>
          </cell>
          <cell r="F1648" t="str">
            <v>0001</v>
          </cell>
          <cell r="G1648" t="str">
            <v>11902</v>
          </cell>
          <cell r="H1648" t="str">
            <v>转借款</v>
          </cell>
          <cell r="I1648" t="b">
            <v>1</v>
          </cell>
          <cell r="J1648">
            <v>12056.8</v>
          </cell>
          <cell r="K1648">
            <v>0</v>
          </cell>
          <cell r="L1648">
            <v>0</v>
          </cell>
        </row>
        <row r="1649">
          <cell r="A1649" t="str">
            <v>02</v>
          </cell>
          <cell r="B1649" t="str">
            <v>28</v>
          </cell>
          <cell r="C1649" t="str">
            <v>02</v>
          </cell>
          <cell r="D1649" t="str">
            <v>5</v>
          </cell>
          <cell r="E1649" t="str">
            <v>0027</v>
          </cell>
          <cell r="F1649" t="str">
            <v>0002</v>
          </cell>
          <cell r="G1649" t="str">
            <v>11902</v>
          </cell>
          <cell r="H1649" t="str">
            <v>转借款</v>
          </cell>
          <cell r="I1649" t="b">
            <v>0</v>
          </cell>
          <cell r="J1649">
            <v>12056.8</v>
          </cell>
          <cell r="K1649">
            <v>0</v>
          </cell>
          <cell r="L1649">
            <v>0</v>
          </cell>
        </row>
        <row r="1650">
          <cell r="A1650" t="str">
            <v>02</v>
          </cell>
          <cell r="B1650" t="str">
            <v>28</v>
          </cell>
          <cell r="C1650" t="str">
            <v>02</v>
          </cell>
          <cell r="D1650" t="str">
            <v>5</v>
          </cell>
          <cell r="E1650" t="str">
            <v>0041</v>
          </cell>
          <cell r="F1650" t="str">
            <v>0002</v>
          </cell>
          <cell r="G1650" t="str">
            <v>11902</v>
          </cell>
          <cell r="H1650" t="str">
            <v>转本月二厂共同制造.管理费用</v>
          </cell>
          <cell r="I1650" t="b">
            <v>1</v>
          </cell>
          <cell r="J1650">
            <v>1267343.48</v>
          </cell>
          <cell r="K1650">
            <v>0</v>
          </cell>
          <cell r="L1650">
            <v>0</v>
          </cell>
        </row>
        <row r="1651">
          <cell r="A1651" t="str">
            <v>02</v>
          </cell>
          <cell r="B1651" t="str">
            <v>28</v>
          </cell>
          <cell r="C1651" t="str">
            <v>02</v>
          </cell>
          <cell r="D1651" t="str">
            <v>5</v>
          </cell>
          <cell r="E1651" t="str">
            <v>0041</v>
          </cell>
          <cell r="F1651" t="str">
            <v>0003</v>
          </cell>
          <cell r="G1651" t="str">
            <v>11902</v>
          </cell>
          <cell r="H1651" t="str">
            <v>转本月四厂共同制造.管理费用</v>
          </cell>
          <cell r="I1651" t="b">
            <v>1</v>
          </cell>
          <cell r="J1651">
            <v>410829.74</v>
          </cell>
          <cell r="K1651">
            <v>0</v>
          </cell>
          <cell r="L1651">
            <v>0</v>
          </cell>
        </row>
        <row r="1652">
          <cell r="A1652" t="str">
            <v>02</v>
          </cell>
          <cell r="B1652" t="str">
            <v>29</v>
          </cell>
          <cell r="C1652" t="str">
            <v>02</v>
          </cell>
          <cell r="D1652" t="str">
            <v>5</v>
          </cell>
          <cell r="E1652" t="str">
            <v>0043</v>
          </cell>
          <cell r="F1652" t="str">
            <v>0003</v>
          </cell>
          <cell r="G1652" t="str">
            <v>11902</v>
          </cell>
          <cell r="H1652" t="str">
            <v>转FVE9970/9972#发票海运费</v>
          </cell>
          <cell r="I1652" t="b">
            <v>0</v>
          </cell>
          <cell r="J1652">
            <v>179489.25</v>
          </cell>
          <cell r="K1652">
            <v>0</v>
          </cell>
          <cell r="L1652">
            <v>0</v>
          </cell>
        </row>
        <row r="1653">
          <cell r="A1653" t="str">
            <v>02</v>
          </cell>
          <cell r="B1653" t="str">
            <v>29</v>
          </cell>
          <cell r="C1653" t="str">
            <v>02</v>
          </cell>
          <cell r="D1653" t="str">
            <v>5</v>
          </cell>
          <cell r="E1653" t="str">
            <v>0044</v>
          </cell>
          <cell r="F1653" t="str">
            <v>0004</v>
          </cell>
          <cell r="G1653" t="str">
            <v>11902</v>
          </cell>
          <cell r="H1653" t="str">
            <v>转销旧塑料桶及苹果汁</v>
          </cell>
          <cell r="I1653" t="b">
            <v>1</v>
          </cell>
          <cell r="J1653">
            <v>7580</v>
          </cell>
          <cell r="K1653">
            <v>0</v>
          </cell>
          <cell r="L1653">
            <v>0</v>
          </cell>
        </row>
        <row r="1654">
          <cell r="A1654" t="str">
            <v>02</v>
          </cell>
          <cell r="B1654" t="str">
            <v>29</v>
          </cell>
          <cell r="C1654" t="str">
            <v>02</v>
          </cell>
          <cell r="D1654" t="str">
            <v>5</v>
          </cell>
          <cell r="E1654" t="str">
            <v>0047</v>
          </cell>
          <cell r="F1654" t="str">
            <v>0003</v>
          </cell>
          <cell r="G1654" t="str">
            <v>11902</v>
          </cell>
          <cell r="H1654" t="str">
            <v>转购尚进果汁1000吨</v>
          </cell>
          <cell r="I1654" t="b">
            <v>0</v>
          </cell>
          <cell r="J1654">
            <v>5265000</v>
          </cell>
          <cell r="K1654">
            <v>0</v>
          </cell>
          <cell r="L1654">
            <v>0</v>
          </cell>
        </row>
        <row r="1655">
          <cell r="A1655" t="str">
            <v>03</v>
          </cell>
          <cell r="B1655" t="str">
            <v>14</v>
          </cell>
          <cell r="C1655" t="str">
            <v>03</v>
          </cell>
          <cell r="D1655" t="str">
            <v>1</v>
          </cell>
          <cell r="E1655" t="str">
            <v>0001</v>
          </cell>
          <cell r="F1655" t="str">
            <v>0002</v>
          </cell>
          <cell r="G1655" t="str">
            <v>11902</v>
          </cell>
          <cell r="H1655" t="str">
            <v>收回借款</v>
          </cell>
          <cell r="I1655" t="b">
            <v>0</v>
          </cell>
          <cell r="J1655">
            <v>26087.4</v>
          </cell>
          <cell r="K1655">
            <v>0</v>
          </cell>
          <cell r="L1655">
            <v>0</v>
          </cell>
        </row>
        <row r="1656">
          <cell r="A1656" t="str">
            <v>03</v>
          </cell>
          <cell r="B1656" t="str">
            <v>14</v>
          </cell>
          <cell r="C1656" t="str">
            <v>03</v>
          </cell>
          <cell r="D1656" t="str">
            <v>1</v>
          </cell>
          <cell r="E1656" t="str">
            <v>0001</v>
          </cell>
          <cell r="F1656" t="str">
            <v>0003</v>
          </cell>
          <cell r="G1656" t="str">
            <v>11902</v>
          </cell>
          <cell r="H1656" t="str">
            <v>收回借款</v>
          </cell>
          <cell r="I1656" t="b">
            <v>0</v>
          </cell>
          <cell r="J1656">
            <v>1033.6600000000001</v>
          </cell>
          <cell r="K1656">
            <v>0</v>
          </cell>
          <cell r="L1656">
            <v>0</v>
          </cell>
        </row>
        <row r="1657">
          <cell r="A1657" t="str">
            <v>03</v>
          </cell>
          <cell r="B1657" t="str">
            <v>15</v>
          </cell>
          <cell r="C1657" t="str">
            <v>03</v>
          </cell>
          <cell r="D1657" t="str">
            <v>2</v>
          </cell>
          <cell r="E1657" t="str">
            <v>0013</v>
          </cell>
          <cell r="F1657" t="str">
            <v>0002</v>
          </cell>
          <cell r="G1657" t="str">
            <v>11902</v>
          </cell>
          <cell r="H1657" t="str">
            <v>暂借款</v>
          </cell>
          <cell r="I1657" t="b">
            <v>1</v>
          </cell>
          <cell r="J1657">
            <v>715000</v>
          </cell>
          <cell r="K1657">
            <v>0</v>
          </cell>
          <cell r="L1657">
            <v>0</v>
          </cell>
        </row>
        <row r="1658">
          <cell r="A1658" t="str">
            <v>03</v>
          </cell>
          <cell r="B1658" t="str">
            <v>15</v>
          </cell>
          <cell r="C1658" t="str">
            <v>03</v>
          </cell>
          <cell r="D1658" t="str">
            <v>2</v>
          </cell>
          <cell r="E1658" t="str">
            <v>0013</v>
          </cell>
          <cell r="F1658" t="str">
            <v>0003</v>
          </cell>
          <cell r="G1658" t="str">
            <v>11902</v>
          </cell>
          <cell r="H1658" t="str">
            <v>暂借款</v>
          </cell>
          <cell r="I1658" t="b">
            <v>1</v>
          </cell>
          <cell r="J1658">
            <v>2440000</v>
          </cell>
          <cell r="K1658">
            <v>0</v>
          </cell>
          <cell r="L1658">
            <v>0</v>
          </cell>
        </row>
        <row r="1659">
          <cell r="A1659" t="str">
            <v>03</v>
          </cell>
          <cell r="B1659" t="str">
            <v>25</v>
          </cell>
          <cell r="C1659" t="str">
            <v>03</v>
          </cell>
          <cell r="D1659" t="str">
            <v>2</v>
          </cell>
          <cell r="E1659" t="str">
            <v>0024</v>
          </cell>
          <cell r="F1659" t="str">
            <v>0001</v>
          </cell>
          <cell r="G1659" t="str">
            <v>11902</v>
          </cell>
          <cell r="H1659" t="str">
            <v>暂借款</v>
          </cell>
          <cell r="I1659" t="b">
            <v>1</v>
          </cell>
          <cell r="J1659">
            <v>10000</v>
          </cell>
          <cell r="K1659">
            <v>0</v>
          </cell>
          <cell r="L1659">
            <v>0</v>
          </cell>
        </row>
        <row r="1660">
          <cell r="A1660" t="str">
            <v>03</v>
          </cell>
          <cell r="B1660" t="str">
            <v>25</v>
          </cell>
          <cell r="C1660" t="str">
            <v>03</v>
          </cell>
          <cell r="D1660" t="str">
            <v>2</v>
          </cell>
          <cell r="E1660" t="str">
            <v>0024</v>
          </cell>
          <cell r="F1660" t="str">
            <v>0002</v>
          </cell>
          <cell r="G1660" t="str">
            <v>11902</v>
          </cell>
          <cell r="H1660" t="str">
            <v>暂借款</v>
          </cell>
          <cell r="I1660" t="b">
            <v>1</v>
          </cell>
          <cell r="J1660">
            <v>7500000</v>
          </cell>
          <cell r="K1660">
            <v>0</v>
          </cell>
          <cell r="L1660">
            <v>0</v>
          </cell>
        </row>
        <row r="1661">
          <cell r="A1661" t="str">
            <v>03</v>
          </cell>
          <cell r="B1661" t="str">
            <v>25</v>
          </cell>
          <cell r="C1661" t="str">
            <v>03</v>
          </cell>
          <cell r="D1661" t="str">
            <v>2</v>
          </cell>
          <cell r="E1661" t="str">
            <v>0024</v>
          </cell>
          <cell r="F1661" t="str">
            <v>0003</v>
          </cell>
          <cell r="G1661" t="str">
            <v>11902</v>
          </cell>
          <cell r="H1661" t="str">
            <v>暂借款</v>
          </cell>
          <cell r="I1661" t="b">
            <v>1</v>
          </cell>
          <cell r="J1661">
            <v>2520270.7000000002</v>
          </cell>
          <cell r="K1661">
            <v>0</v>
          </cell>
          <cell r="L1661">
            <v>0</v>
          </cell>
        </row>
        <row r="1662">
          <cell r="A1662" t="str">
            <v>03</v>
          </cell>
          <cell r="B1662" t="str">
            <v>27</v>
          </cell>
          <cell r="C1662" t="str">
            <v>03</v>
          </cell>
          <cell r="D1662" t="str">
            <v>2</v>
          </cell>
          <cell r="E1662" t="str">
            <v>0027</v>
          </cell>
          <cell r="F1662" t="str">
            <v>0002</v>
          </cell>
          <cell r="G1662" t="str">
            <v>11902</v>
          </cell>
          <cell r="H1662" t="str">
            <v>暂借款</v>
          </cell>
          <cell r="I1662" t="b">
            <v>1</v>
          </cell>
          <cell r="J1662">
            <v>5000</v>
          </cell>
          <cell r="K1662">
            <v>0</v>
          </cell>
          <cell r="L1662">
            <v>0</v>
          </cell>
        </row>
        <row r="1663">
          <cell r="A1663" t="str">
            <v>03</v>
          </cell>
          <cell r="B1663" t="str">
            <v>01</v>
          </cell>
          <cell r="C1663" t="str">
            <v>03</v>
          </cell>
          <cell r="D1663" t="str">
            <v>3</v>
          </cell>
          <cell r="E1663" t="str">
            <v>0001</v>
          </cell>
          <cell r="F1663" t="str">
            <v>0003</v>
          </cell>
          <cell r="G1663" t="str">
            <v>11902</v>
          </cell>
          <cell r="H1663" t="str">
            <v>收回借款</v>
          </cell>
          <cell r="I1663" t="b">
            <v>0</v>
          </cell>
          <cell r="J1663">
            <v>1800000</v>
          </cell>
          <cell r="K1663">
            <v>0</v>
          </cell>
          <cell r="L1663">
            <v>0</v>
          </cell>
        </row>
        <row r="1664">
          <cell r="A1664" t="str">
            <v>03</v>
          </cell>
          <cell r="B1664" t="str">
            <v>02</v>
          </cell>
          <cell r="C1664" t="str">
            <v>03</v>
          </cell>
          <cell r="D1664" t="str">
            <v>3</v>
          </cell>
          <cell r="E1664" t="str">
            <v>0004</v>
          </cell>
          <cell r="F1664" t="str">
            <v>0003</v>
          </cell>
          <cell r="G1664" t="str">
            <v>11902</v>
          </cell>
          <cell r="H1664" t="str">
            <v>收回借款</v>
          </cell>
          <cell r="I1664" t="b">
            <v>0</v>
          </cell>
          <cell r="J1664">
            <v>4000000</v>
          </cell>
          <cell r="K1664">
            <v>0</v>
          </cell>
          <cell r="L1664">
            <v>0</v>
          </cell>
        </row>
        <row r="1665">
          <cell r="A1665" t="str">
            <v>03</v>
          </cell>
          <cell r="B1665" t="str">
            <v>05</v>
          </cell>
          <cell r="C1665" t="str">
            <v>03</v>
          </cell>
          <cell r="D1665" t="str">
            <v>3</v>
          </cell>
          <cell r="E1665" t="str">
            <v>0005</v>
          </cell>
          <cell r="F1665" t="str">
            <v>0002</v>
          </cell>
          <cell r="G1665" t="str">
            <v>11902</v>
          </cell>
          <cell r="H1665" t="str">
            <v>收回借款</v>
          </cell>
          <cell r="I1665" t="b">
            <v>0</v>
          </cell>
          <cell r="J1665">
            <v>11000000</v>
          </cell>
          <cell r="K1665">
            <v>0</v>
          </cell>
          <cell r="L1665">
            <v>0</v>
          </cell>
        </row>
        <row r="1666">
          <cell r="A1666" t="str">
            <v>03</v>
          </cell>
          <cell r="B1666" t="str">
            <v>01</v>
          </cell>
          <cell r="C1666" t="str">
            <v>03</v>
          </cell>
          <cell r="D1666" t="str">
            <v>4</v>
          </cell>
          <cell r="E1666" t="str">
            <v>0001</v>
          </cell>
          <cell r="F1666" t="str">
            <v>0002</v>
          </cell>
          <cell r="G1666" t="str">
            <v>11902</v>
          </cell>
          <cell r="H1666" t="str">
            <v>付借款</v>
          </cell>
          <cell r="I1666" t="b">
            <v>1</v>
          </cell>
          <cell r="J1666">
            <v>1000000</v>
          </cell>
          <cell r="K1666">
            <v>0</v>
          </cell>
          <cell r="L1666">
            <v>0</v>
          </cell>
        </row>
        <row r="1667">
          <cell r="A1667" t="str">
            <v>03</v>
          </cell>
          <cell r="B1667" t="str">
            <v>27</v>
          </cell>
          <cell r="C1667" t="str">
            <v>03</v>
          </cell>
          <cell r="D1667" t="str">
            <v>5</v>
          </cell>
          <cell r="E1667" t="str">
            <v>0001</v>
          </cell>
          <cell r="F1667" t="str">
            <v>0002</v>
          </cell>
          <cell r="G1667" t="str">
            <v>11902</v>
          </cell>
          <cell r="H1667" t="str">
            <v>转订出97年7月3-17#凭证错制</v>
          </cell>
          <cell r="I1667" t="b">
            <v>1</v>
          </cell>
          <cell r="J1667">
            <v>9118.9</v>
          </cell>
          <cell r="K1667">
            <v>0</v>
          </cell>
          <cell r="L1667">
            <v>0</v>
          </cell>
        </row>
        <row r="1668">
          <cell r="A1668" t="str">
            <v>03</v>
          </cell>
          <cell r="B1668" t="str">
            <v>27</v>
          </cell>
          <cell r="C1668" t="str">
            <v>03</v>
          </cell>
          <cell r="D1668" t="str">
            <v>5</v>
          </cell>
          <cell r="E1668" t="str">
            <v>0001</v>
          </cell>
          <cell r="F1668" t="str">
            <v>0004</v>
          </cell>
          <cell r="G1668" t="str">
            <v>11902</v>
          </cell>
          <cell r="H1668" t="str">
            <v>转调正97年7月3-17#凭证错制</v>
          </cell>
          <cell r="I1668" t="b">
            <v>0</v>
          </cell>
          <cell r="J1668">
            <v>7390</v>
          </cell>
          <cell r="K1668">
            <v>0</v>
          </cell>
          <cell r="L1668">
            <v>0</v>
          </cell>
        </row>
        <row r="1669">
          <cell r="A1669" t="str">
            <v>03</v>
          </cell>
          <cell r="B1669" t="str">
            <v>27</v>
          </cell>
          <cell r="C1669" t="str">
            <v>03</v>
          </cell>
          <cell r="D1669" t="str">
            <v>5</v>
          </cell>
          <cell r="E1669" t="str">
            <v>0005</v>
          </cell>
          <cell r="F1669" t="str">
            <v>0014</v>
          </cell>
          <cell r="G1669" t="str">
            <v>11902</v>
          </cell>
          <cell r="H1669" t="str">
            <v>转1-2月份各部门餐费等</v>
          </cell>
          <cell r="I1669" t="b">
            <v>0</v>
          </cell>
          <cell r="J1669">
            <v>49329.8</v>
          </cell>
          <cell r="K1669">
            <v>0</v>
          </cell>
          <cell r="L1669">
            <v>0</v>
          </cell>
        </row>
        <row r="1670">
          <cell r="A1670" t="str">
            <v>03</v>
          </cell>
          <cell r="B1670" t="str">
            <v>27</v>
          </cell>
          <cell r="C1670" t="str">
            <v>03</v>
          </cell>
          <cell r="D1670" t="str">
            <v>5</v>
          </cell>
          <cell r="E1670" t="str">
            <v>0013</v>
          </cell>
          <cell r="F1670" t="str">
            <v>0003</v>
          </cell>
          <cell r="G1670" t="str">
            <v>11902</v>
          </cell>
          <cell r="H1670" t="str">
            <v>转本月酒店工人工资</v>
          </cell>
          <cell r="I1670" t="b">
            <v>1</v>
          </cell>
          <cell r="J1670">
            <v>4525</v>
          </cell>
          <cell r="K1670">
            <v>0</v>
          </cell>
          <cell r="L1670">
            <v>0</v>
          </cell>
        </row>
        <row r="1671">
          <cell r="A1671" t="str">
            <v>03</v>
          </cell>
          <cell r="B1671" t="str">
            <v>30</v>
          </cell>
          <cell r="C1671" t="str">
            <v>03</v>
          </cell>
          <cell r="D1671" t="str">
            <v>5</v>
          </cell>
          <cell r="E1671" t="str">
            <v>0024</v>
          </cell>
          <cell r="F1671" t="str">
            <v>0001</v>
          </cell>
          <cell r="G1671" t="str">
            <v>11902</v>
          </cell>
          <cell r="H1671" t="str">
            <v>转本月二厂共同制造.管理费用</v>
          </cell>
          <cell r="I1671" t="b">
            <v>1</v>
          </cell>
          <cell r="J1671">
            <v>614643.39</v>
          </cell>
          <cell r="K1671">
            <v>0</v>
          </cell>
          <cell r="L1671">
            <v>0</v>
          </cell>
        </row>
        <row r="1672">
          <cell r="A1672" t="str">
            <v>03</v>
          </cell>
          <cell r="B1672" t="str">
            <v>30</v>
          </cell>
          <cell r="C1672" t="str">
            <v>03</v>
          </cell>
          <cell r="D1672" t="str">
            <v>5</v>
          </cell>
          <cell r="E1672" t="str">
            <v>0024</v>
          </cell>
          <cell r="F1672" t="str">
            <v>0002</v>
          </cell>
          <cell r="G1672" t="str">
            <v>11902</v>
          </cell>
          <cell r="H1672" t="str">
            <v>转本月四厂共同制造.管理费用</v>
          </cell>
          <cell r="I1672" t="b">
            <v>1</v>
          </cell>
          <cell r="J1672">
            <v>201290.98</v>
          </cell>
          <cell r="K1672">
            <v>0</v>
          </cell>
          <cell r="L1672">
            <v>0</v>
          </cell>
        </row>
        <row r="1673">
          <cell r="A1673" t="str">
            <v>04</v>
          </cell>
          <cell r="B1673" t="str">
            <v>10</v>
          </cell>
          <cell r="C1673" t="str">
            <v>04</v>
          </cell>
          <cell r="D1673" t="str">
            <v>1</v>
          </cell>
          <cell r="E1673" t="str">
            <v>0002</v>
          </cell>
          <cell r="F1673" t="str">
            <v>0002</v>
          </cell>
          <cell r="G1673" t="str">
            <v>11902</v>
          </cell>
          <cell r="H1673" t="str">
            <v>收王雷拖拉机款</v>
          </cell>
          <cell r="I1673" t="b">
            <v>0</v>
          </cell>
          <cell r="J1673">
            <v>1305</v>
          </cell>
          <cell r="K1673">
            <v>0</v>
          </cell>
          <cell r="L1673">
            <v>0</v>
          </cell>
        </row>
        <row r="1674">
          <cell r="A1674" t="str">
            <v>04</v>
          </cell>
          <cell r="B1674" t="str">
            <v>10</v>
          </cell>
          <cell r="C1674" t="str">
            <v>04</v>
          </cell>
          <cell r="D1674" t="str">
            <v>1</v>
          </cell>
          <cell r="E1674" t="str">
            <v>0002</v>
          </cell>
          <cell r="F1674" t="str">
            <v>0003</v>
          </cell>
          <cell r="G1674" t="str">
            <v>11902</v>
          </cell>
          <cell r="H1674" t="str">
            <v>收于性林拖拉机款</v>
          </cell>
          <cell r="I1674" t="b">
            <v>0</v>
          </cell>
          <cell r="J1674">
            <v>1550</v>
          </cell>
          <cell r="K1674">
            <v>0</v>
          </cell>
          <cell r="L1674">
            <v>0</v>
          </cell>
        </row>
        <row r="1675">
          <cell r="A1675" t="str">
            <v>04</v>
          </cell>
          <cell r="B1675" t="str">
            <v>10</v>
          </cell>
          <cell r="C1675" t="str">
            <v>04</v>
          </cell>
          <cell r="D1675" t="str">
            <v>1</v>
          </cell>
          <cell r="E1675" t="str">
            <v>0002</v>
          </cell>
          <cell r="F1675" t="str">
            <v>0004</v>
          </cell>
          <cell r="G1675" t="str">
            <v>11902</v>
          </cell>
          <cell r="H1675" t="str">
            <v>收夏云明拖拉机款</v>
          </cell>
          <cell r="I1675" t="b">
            <v>0</v>
          </cell>
          <cell r="J1675">
            <v>1185</v>
          </cell>
          <cell r="K1675">
            <v>0</v>
          </cell>
          <cell r="L1675">
            <v>0</v>
          </cell>
        </row>
        <row r="1676">
          <cell r="A1676" t="str">
            <v>04</v>
          </cell>
          <cell r="B1676" t="str">
            <v>20</v>
          </cell>
          <cell r="C1676" t="str">
            <v>04</v>
          </cell>
          <cell r="D1676" t="str">
            <v>1</v>
          </cell>
          <cell r="E1676" t="str">
            <v>0004</v>
          </cell>
          <cell r="F1676" t="str">
            <v>0002</v>
          </cell>
          <cell r="G1676" t="str">
            <v>11902</v>
          </cell>
          <cell r="H1676" t="str">
            <v>暂借款USD8000.00*8.2659</v>
          </cell>
          <cell r="I1676" t="b">
            <v>0</v>
          </cell>
          <cell r="J1676">
            <v>66127.199999999997</v>
          </cell>
          <cell r="K1676">
            <v>0</v>
          </cell>
          <cell r="L1676">
            <v>0</v>
          </cell>
        </row>
        <row r="1677">
          <cell r="A1677" t="str">
            <v>04</v>
          </cell>
          <cell r="B1677" t="str">
            <v>17</v>
          </cell>
          <cell r="C1677" t="str">
            <v>04</v>
          </cell>
          <cell r="D1677" t="str">
            <v>2</v>
          </cell>
          <cell r="E1677" t="str">
            <v>0007</v>
          </cell>
          <cell r="F1677" t="str">
            <v>0001</v>
          </cell>
          <cell r="G1677" t="str">
            <v>11902</v>
          </cell>
          <cell r="H1677" t="str">
            <v>暂借款</v>
          </cell>
          <cell r="I1677" t="b">
            <v>1</v>
          </cell>
          <cell r="J1677">
            <v>285000</v>
          </cell>
          <cell r="K1677">
            <v>0</v>
          </cell>
          <cell r="L1677">
            <v>0</v>
          </cell>
        </row>
        <row r="1678">
          <cell r="A1678" t="str">
            <v>04</v>
          </cell>
          <cell r="B1678" t="str">
            <v>17</v>
          </cell>
          <cell r="C1678" t="str">
            <v>04</v>
          </cell>
          <cell r="D1678" t="str">
            <v>2</v>
          </cell>
          <cell r="E1678" t="str">
            <v>0007</v>
          </cell>
          <cell r="F1678" t="str">
            <v>0002</v>
          </cell>
          <cell r="G1678" t="str">
            <v>11902</v>
          </cell>
          <cell r="H1678" t="str">
            <v>暂借款</v>
          </cell>
          <cell r="I1678" t="b">
            <v>1</v>
          </cell>
          <cell r="J1678">
            <v>1150000</v>
          </cell>
          <cell r="K1678">
            <v>0</v>
          </cell>
          <cell r="L1678">
            <v>0</v>
          </cell>
        </row>
        <row r="1679">
          <cell r="A1679" t="str">
            <v>04</v>
          </cell>
          <cell r="B1679" t="str">
            <v>17</v>
          </cell>
          <cell r="C1679" t="str">
            <v>04</v>
          </cell>
          <cell r="D1679" t="str">
            <v>2</v>
          </cell>
          <cell r="E1679" t="str">
            <v>0007</v>
          </cell>
          <cell r="F1679" t="str">
            <v>0003</v>
          </cell>
          <cell r="G1679" t="str">
            <v>11902</v>
          </cell>
          <cell r="H1679" t="str">
            <v>暂借款</v>
          </cell>
          <cell r="I1679" t="b">
            <v>1</v>
          </cell>
          <cell r="J1679">
            <v>2000</v>
          </cell>
          <cell r="K1679">
            <v>0</v>
          </cell>
          <cell r="L1679">
            <v>0</v>
          </cell>
        </row>
        <row r="1680">
          <cell r="A1680" t="str">
            <v>04</v>
          </cell>
          <cell r="B1680" t="str">
            <v>17</v>
          </cell>
          <cell r="C1680" t="str">
            <v>04</v>
          </cell>
          <cell r="D1680" t="str">
            <v>2</v>
          </cell>
          <cell r="E1680" t="str">
            <v>0007</v>
          </cell>
          <cell r="F1680" t="str">
            <v>0004</v>
          </cell>
          <cell r="G1680" t="str">
            <v>11902</v>
          </cell>
          <cell r="H1680" t="str">
            <v>暂借款</v>
          </cell>
          <cell r="I1680" t="b">
            <v>1</v>
          </cell>
          <cell r="J1680">
            <v>10000</v>
          </cell>
          <cell r="K1680">
            <v>0</v>
          </cell>
          <cell r="L1680">
            <v>0</v>
          </cell>
        </row>
        <row r="1681">
          <cell r="A1681" t="str">
            <v>04</v>
          </cell>
          <cell r="B1681" t="str">
            <v>20</v>
          </cell>
          <cell r="C1681" t="str">
            <v>04</v>
          </cell>
          <cell r="D1681" t="str">
            <v>2</v>
          </cell>
          <cell r="E1681" t="str">
            <v>0012</v>
          </cell>
          <cell r="F1681" t="str">
            <v>0001</v>
          </cell>
          <cell r="G1681" t="str">
            <v>11902</v>
          </cell>
          <cell r="H1681" t="str">
            <v>暂借款USD8000.00*8.2659</v>
          </cell>
          <cell r="I1681" t="b">
            <v>1</v>
          </cell>
          <cell r="J1681">
            <v>66127.199999999997</v>
          </cell>
          <cell r="K1681">
            <v>0</v>
          </cell>
          <cell r="L1681">
            <v>0</v>
          </cell>
        </row>
        <row r="1682">
          <cell r="A1682" t="str">
            <v>04</v>
          </cell>
          <cell r="B1682" t="str">
            <v>10</v>
          </cell>
          <cell r="C1682" t="str">
            <v>04</v>
          </cell>
          <cell r="D1682" t="str">
            <v>3</v>
          </cell>
          <cell r="E1682" t="str">
            <v>0002</v>
          </cell>
          <cell r="F1682" t="str">
            <v>0003</v>
          </cell>
          <cell r="G1682" t="str">
            <v>11902</v>
          </cell>
          <cell r="H1682" t="str">
            <v>收回借款</v>
          </cell>
          <cell r="I1682" t="b">
            <v>0</v>
          </cell>
          <cell r="J1682">
            <v>141968.25</v>
          </cell>
          <cell r="K1682">
            <v>0</v>
          </cell>
          <cell r="L1682">
            <v>0</v>
          </cell>
        </row>
        <row r="1683">
          <cell r="A1683" t="str">
            <v>04</v>
          </cell>
          <cell r="B1683" t="str">
            <v>10</v>
          </cell>
          <cell r="C1683" t="str">
            <v>04</v>
          </cell>
          <cell r="D1683" t="str">
            <v>3</v>
          </cell>
          <cell r="E1683" t="str">
            <v>0002</v>
          </cell>
          <cell r="F1683" t="str">
            <v>0004</v>
          </cell>
          <cell r="G1683" t="str">
            <v>11902</v>
          </cell>
          <cell r="H1683" t="str">
            <v>收回借款</v>
          </cell>
          <cell r="I1683" t="b">
            <v>0</v>
          </cell>
          <cell r="J1683">
            <v>16000000</v>
          </cell>
          <cell r="K1683">
            <v>0</v>
          </cell>
          <cell r="L1683">
            <v>0</v>
          </cell>
        </row>
        <row r="1684">
          <cell r="A1684" t="str">
            <v>04</v>
          </cell>
          <cell r="B1684" t="str">
            <v>26</v>
          </cell>
          <cell r="C1684" t="str">
            <v>04</v>
          </cell>
          <cell r="D1684" t="str">
            <v>3</v>
          </cell>
          <cell r="E1684" t="str">
            <v>0005</v>
          </cell>
          <cell r="F1684" t="str">
            <v>0002</v>
          </cell>
          <cell r="G1684" t="str">
            <v>11902</v>
          </cell>
          <cell r="H1684" t="str">
            <v>暂借款</v>
          </cell>
          <cell r="I1684" t="b">
            <v>0</v>
          </cell>
          <cell r="J1684">
            <v>4960200</v>
          </cell>
          <cell r="K1684">
            <v>0</v>
          </cell>
          <cell r="L1684">
            <v>0</v>
          </cell>
        </row>
        <row r="1685">
          <cell r="A1685" t="str">
            <v>04</v>
          </cell>
          <cell r="B1685" t="str">
            <v>15</v>
          </cell>
          <cell r="C1685" t="str">
            <v>04</v>
          </cell>
          <cell r="D1685" t="str">
            <v>4</v>
          </cell>
          <cell r="E1685" t="str">
            <v>0014</v>
          </cell>
          <cell r="F1685" t="str">
            <v>0001</v>
          </cell>
          <cell r="G1685" t="str">
            <v>11902</v>
          </cell>
          <cell r="H1685" t="str">
            <v>暂借款</v>
          </cell>
          <cell r="I1685" t="b">
            <v>1</v>
          </cell>
          <cell r="J1685">
            <v>30000</v>
          </cell>
          <cell r="K1685">
            <v>0</v>
          </cell>
          <cell r="L1685">
            <v>0</v>
          </cell>
        </row>
        <row r="1686">
          <cell r="A1686" t="str">
            <v>04</v>
          </cell>
          <cell r="B1686" t="str">
            <v>15</v>
          </cell>
          <cell r="C1686" t="str">
            <v>04</v>
          </cell>
          <cell r="D1686" t="str">
            <v>4</v>
          </cell>
          <cell r="E1686" t="str">
            <v>0014</v>
          </cell>
          <cell r="F1686" t="str">
            <v>0002</v>
          </cell>
          <cell r="G1686" t="str">
            <v>11902</v>
          </cell>
          <cell r="H1686" t="str">
            <v>付苹果汁反倾销应诉款</v>
          </cell>
          <cell r="I1686" t="b">
            <v>1</v>
          </cell>
          <cell r="J1686">
            <v>415000</v>
          </cell>
          <cell r="K1686">
            <v>0</v>
          </cell>
          <cell r="L1686">
            <v>0</v>
          </cell>
        </row>
        <row r="1687">
          <cell r="A1687" t="str">
            <v>04</v>
          </cell>
          <cell r="B1687" t="str">
            <v>19</v>
          </cell>
          <cell r="C1687" t="str">
            <v>04</v>
          </cell>
          <cell r="D1687" t="str">
            <v>4</v>
          </cell>
          <cell r="E1687" t="str">
            <v>0022</v>
          </cell>
          <cell r="F1687" t="str">
            <v>0012</v>
          </cell>
          <cell r="G1687" t="str">
            <v>11902</v>
          </cell>
          <cell r="H1687" t="str">
            <v>收回借款</v>
          </cell>
          <cell r="I1687" t="b">
            <v>0</v>
          </cell>
          <cell r="J1687">
            <v>1200</v>
          </cell>
          <cell r="K1687">
            <v>0</v>
          </cell>
          <cell r="L1687">
            <v>0</v>
          </cell>
        </row>
        <row r="1688">
          <cell r="A1688" t="str">
            <v>04</v>
          </cell>
          <cell r="B1688" t="str">
            <v>20</v>
          </cell>
          <cell r="C1688" t="str">
            <v>04</v>
          </cell>
          <cell r="D1688" t="str">
            <v>4</v>
          </cell>
          <cell r="E1688" t="str">
            <v>0025</v>
          </cell>
          <cell r="F1688" t="str">
            <v>0001</v>
          </cell>
          <cell r="G1688" t="str">
            <v>11902</v>
          </cell>
          <cell r="H1688" t="str">
            <v>暂借款</v>
          </cell>
          <cell r="I1688" t="b">
            <v>1</v>
          </cell>
          <cell r="J1688">
            <v>5000000</v>
          </cell>
          <cell r="K1688">
            <v>0</v>
          </cell>
          <cell r="L1688">
            <v>0</v>
          </cell>
        </row>
        <row r="1689">
          <cell r="A1689" t="str">
            <v>04</v>
          </cell>
          <cell r="B1689" t="str">
            <v>20</v>
          </cell>
          <cell r="C1689" t="str">
            <v>04</v>
          </cell>
          <cell r="D1689" t="str">
            <v>4</v>
          </cell>
          <cell r="E1689" t="str">
            <v>0025</v>
          </cell>
          <cell r="F1689" t="str">
            <v>0002</v>
          </cell>
          <cell r="G1689" t="str">
            <v>11902</v>
          </cell>
          <cell r="H1689" t="str">
            <v>暂借款</v>
          </cell>
          <cell r="I1689" t="b">
            <v>1</v>
          </cell>
          <cell r="J1689">
            <v>1000000</v>
          </cell>
          <cell r="K1689">
            <v>0</v>
          </cell>
          <cell r="L1689">
            <v>0</v>
          </cell>
        </row>
        <row r="1690">
          <cell r="A1690" t="str">
            <v>04</v>
          </cell>
          <cell r="B1690" t="str">
            <v>20</v>
          </cell>
          <cell r="C1690" t="str">
            <v>04</v>
          </cell>
          <cell r="D1690" t="str">
            <v>4</v>
          </cell>
          <cell r="E1690" t="str">
            <v>0025</v>
          </cell>
          <cell r="F1690" t="str">
            <v>0003</v>
          </cell>
          <cell r="G1690" t="str">
            <v>11902</v>
          </cell>
          <cell r="H1690" t="str">
            <v>暂借款</v>
          </cell>
          <cell r="I1690" t="b">
            <v>1</v>
          </cell>
          <cell r="J1690">
            <v>1000000</v>
          </cell>
          <cell r="K1690">
            <v>0</v>
          </cell>
          <cell r="L1690">
            <v>0</v>
          </cell>
        </row>
        <row r="1691">
          <cell r="A1691" t="str">
            <v>04</v>
          </cell>
          <cell r="B1691" t="str">
            <v>20</v>
          </cell>
          <cell r="C1691" t="str">
            <v>04</v>
          </cell>
          <cell r="D1691" t="str">
            <v>4</v>
          </cell>
          <cell r="E1691" t="str">
            <v>0027</v>
          </cell>
          <cell r="F1691" t="str">
            <v>0001</v>
          </cell>
          <cell r="G1691" t="str">
            <v>11902</v>
          </cell>
          <cell r="H1691" t="str">
            <v>付电机修理费</v>
          </cell>
          <cell r="I1691" t="b">
            <v>1</v>
          </cell>
          <cell r="J1691">
            <v>7308.5</v>
          </cell>
          <cell r="K1691">
            <v>0</v>
          </cell>
          <cell r="L1691">
            <v>0</v>
          </cell>
        </row>
        <row r="1692">
          <cell r="A1692" t="str">
            <v>04</v>
          </cell>
          <cell r="B1692" t="str">
            <v>20</v>
          </cell>
          <cell r="C1692" t="str">
            <v>04</v>
          </cell>
          <cell r="D1692" t="str">
            <v>5</v>
          </cell>
          <cell r="E1692" t="str">
            <v>0003</v>
          </cell>
          <cell r="F1692" t="str">
            <v>0003</v>
          </cell>
          <cell r="G1692" t="str">
            <v>11902</v>
          </cell>
          <cell r="H1692" t="str">
            <v>转购五莲果汁111.094吨</v>
          </cell>
          <cell r="I1692" t="b">
            <v>0</v>
          </cell>
          <cell r="J1692">
            <v>499923</v>
          </cell>
          <cell r="K1692">
            <v>0</v>
          </cell>
          <cell r="L1692">
            <v>0</v>
          </cell>
        </row>
        <row r="1693">
          <cell r="A1693" t="str">
            <v>04</v>
          </cell>
          <cell r="B1693" t="str">
            <v>20</v>
          </cell>
          <cell r="C1693" t="str">
            <v>04</v>
          </cell>
          <cell r="D1693" t="str">
            <v>5</v>
          </cell>
          <cell r="E1693" t="str">
            <v>0004</v>
          </cell>
          <cell r="F1693" t="str">
            <v>0003</v>
          </cell>
          <cell r="G1693" t="str">
            <v>11902</v>
          </cell>
          <cell r="H1693" t="str">
            <v>转收回借款USD138965</v>
          </cell>
          <cell r="I1693" t="b">
            <v>0</v>
          </cell>
          <cell r="J1693">
            <v>1148726.3799999999</v>
          </cell>
          <cell r="K1693">
            <v>0</v>
          </cell>
          <cell r="L1693">
            <v>0</v>
          </cell>
        </row>
        <row r="1694">
          <cell r="A1694" t="str">
            <v>04</v>
          </cell>
          <cell r="B1694" t="str">
            <v>20</v>
          </cell>
          <cell r="C1694" t="str">
            <v>04</v>
          </cell>
          <cell r="D1694" t="str">
            <v>5</v>
          </cell>
          <cell r="E1694" t="str">
            <v>0005</v>
          </cell>
          <cell r="F1694" t="str">
            <v>0001</v>
          </cell>
          <cell r="G1694" t="str">
            <v>11902</v>
          </cell>
          <cell r="H1694" t="str">
            <v>转微机款</v>
          </cell>
          <cell r="I1694" t="b">
            <v>1</v>
          </cell>
          <cell r="J1694">
            <v>67515</v>
          </cell>
          <cell r="K1694">
            <v>0</v>
          </cell>
          <cell r="L1694">
            <v>0</v>
          </cell>
        </row>
        <row r="1695">
          <cell r="A1695" t="str">
            <v>04</v>
          </cell>
          <cell r="B1695" t="str">
            <v>20</v>
          </cell>
          <cell r="C1695" t="str">
            <v>04</v>
          </cell>
          <cell r="D1695" t="str">
            <v>5</v>
          </cell>
          <cell r="E1695" t="str">
            <v>0005</v>
          </cell>
          <cell r="F1695" t="str">
            <v>0002</v>
          </cell>
          <cell r="G1695" t="str">
            <v>11902</v>
          </cell>
          <cell r="H1695" t="str">
            <v>转微机款</v>
          </cell>
          <cell r="I1695" t="b">
            <v>1</v>
          </cell>
          <cell r="J1695">
            <v>22605</v>
          </cell>
          <cell r="K1695">
            <v>0</v>
          </cell>
          <cell r="L1695">
            <v>0</v>
          </cell>
        </row>
        <row r="1696">
          <cell r="A1696" t="str">
            <v>04</v>
          </cell>
          <cell r="B1696" t="str">
            <v>20</v>
          </cell>
          <cell r="C1696" t="str">
            <v>04</v>
          </cell>
          <cell r="D1696" t="str">
            <v>5</v>
          </cell>
          <cell r="E1696" t="str">
            <v>0005</v>
          </cell>
          <cell r="F1696" t="str">
            <v>0004</v>
          </cell>
          <cell r="G1696" t="str">
            <v>11902</v>
          </cell>
          <cell r="H1696" t="str">
            <v>转收果汁款</v>
          </cell>
          <cell r="I1696" t="b">
            <v>1</v>
          </cell>
          <cell r="J1696">
            <v>18525</v>
          </cell>
          <cell r="K1696">
            <v>0</v>
          </cell>
          <cell r="L1696">
            <v>0</v>
          </cell>
        </row>
        <row r="1697">
          <cell r="A1697" t="str">
            <v>04</v>
          </cell>
          <cell r="B1697" t="str">
            <v>20</v>
          </cell>
          <cell r="C1697" t="str">
            <v>04</v>
          </cell>
          <cell r="D1697" t="str">
            <v>5</v>
          </cell>
          <cell r="E1697" t="str">
            <v>0007</v>
          </cell>
          <cell r="F1697" t="str">
            <v>0002</v>
          </cell>
          <cell r="G1697" t="str">
            <v>11902</v>
          </cell>
          <cell r="H1697" t="str">
            <v>转户</v>
          </cell>
          <cell r="I1697" t="b">
            <v>0</v>
          </cell>
          <cell r="J1697">
            <v>891671.65</v>
          </cell>
          <cell r="K1697">
            <v>0</v>
          </cell>
          <cell r="L1697">
            <v>0</v>
          </cell>
        </row>
        <row r="1698">
          <cell r="A1698" t="str">
            <v>04</v>
          </cell>
          <cell r="B1698" t="str">
            <v>20</v>
          </cell>
          <cell r="C1698" t="str">
            <v>04</v>
          </cell>
          <cell r="D1698" t="str">
            <v>5</v>
          </cell>
          <cell r="E1698" t="str">
            <v>0007</v>
          </cell>
          <cell r="F1698" t="str">
            <v>0006</v>
          </cell>
          <cell r="G1698" t="str">
            <v>11902</v>
          </cell>
          <cell r="H1698" t="str">
            <v>转错制代垫刘永涛股本金及差额</v>
          </cell>
          <cell r="I1698" t="b">
            <v>1</v>
          </cell>
          <cell r="J1698">
            <v>-4275</v>
          </cell>
          <cell r="K1698">
            <v>0</v>
          </cell>
          <cell r="L1698">
            <v>0</v>
          </cell>
        </row>
        <row r="1699">
          <cell r="A1699" t="str">
            <v>04</v>
          </cell>
          <cell r="B1699" t="str">
            <v>20</v>
          </cell>
          <cell r="C1699" t="str">
            <v>04</v>
          </cell>
          <cell r="D1699" t="str">
            <v>5</v>
          </cell>
          <cell r="E1699" t="str">
            <v>0010</v>
          </cell>
          <cell r="F1699" t="str">
            <v>0002</v>
          </cell>
          <cell r="G1699" t="str">
            <v>11902</v>
          </cell>
          <cell r="H1699" t="str">
            <v>转招待所3月份耗材料款</v>
          </cell>
          <cell r="I1699" t="b">
            <v>1</v>
          </cell>
          <cell r="J1699">
            <v>827.88</v>
          </cell>
          <cell r="K1699">
            <v>0</v>
          </cell>
          <cell r="L1699">
            <v>0</v>
          </cell>
        </row>
        <row r="1700">
          <cell r="A1700" t="str">
            <v>04</v>
          </cell>
          <cell r="B1700" t="str">
            <v>20</v>
          </cell>
          <cell r="C1700" t="str">
            <v>04</v>
          </cell>
          <cell r="D1700" t="str">
            <v>5</v>
          </cell>
          <cell r="E1700" t="str">
            <v>0011</v>
          </cell>
          <cell r="F1700" t="str">
            <v>0001</v>
          </cell>
          <cell r="G1700" t="str">
            <v>11902</v>
          </cell>
          <cell r="H1700" t="str">
            <v>转鲁菱3月份耗水及台依水</v>
          </cell>
          <cell r="I1700" t="b">
            <v>1</v>
          </cell>
          <cell r="J1700">
            <v>88842.83</v>
          </cell>
          <cell r="K1700">
            <v>0</v>
          </cell>
          <cell r="L1700">
            <v>0</v>
          </cell>
        </row>
        <row r="1701">
          <cell r="A1701" t="str">
            <v>04</v>
          </cell>
          <cell r="B1701" t="str">
            <v>20</v>
          </cell>
          <cell r="C1701" t="str">
            <v>04</v>
          </cell>
          <cell r="D1701" t="str">
            <v>5</v>
          </cell>
          <cell r="E1701" t="str">
            <v>0011</v>
          </cell>
          <cell r="F1701" t="str">
            <v>0002</v>
          </cell>
          <cell r="G1701" t="str">
            <v>11902</v>
          </cell>
          <cell r="H1701" t="str">
            <v>转四厂3月份耗水款</v>
          </cell>
          <cell r="I1701" t="b">
            <v>1</v>
          </cell>
          <cell r="J1701">
            <v>32953.629999999997</v>
          </cell>
          <cell r="K1701">
            <v>0</v>
          </cell>
          <cell r="L1701">
            <v>0</v>
          </cell>
        </row>
        <row r="1702">
          <cell r="A1702" t="str">
            <v>04</v>
          </cell>
          <cell r="B1702" t="str">
            <v>24</v>
          </cell>
          <cell r="C1702" t="str">
            <v>04</v>
          </cell>
          <cell r="D1702" t="str">
            <v>5</v>
          </cell>
          <cell r="E1702" t="str">
            <v>0012</v>
          </cell>
          <cell r="F1702" t="str">
            <v>0001</v>
          </cell>
          <cell r="G1702" t="str">
            <v>11902</v>
          </cell>
          <cell r="H1702" t="str">
            <v>转3月份耗材料</v>
          </cell>
          <cell r="I1702" t="b">
            <v>1</v>
          </cell>
          <cell r="J1702">
            <v>292139.69</v>
          </cell>
          <cell r="K1702">
            <v>0</v>
          </cell>
          <cell r="L1702">
            <v>0</v>
          </cell>
        </row>
        <row r="1703">
          <cell r="A1703" t="str">
            <v>04</v>
          </cell>
          <cell r="B1703" t="str">
            <v>24</v>
          </cell>
          <cell r="C1703" t="str">
            <v>04</v>
          </cell>
          <cell r="D1703" t="str">
            <v>5</v>
          </cell>
          <cell r="E1703" t="str">
            <v>0012</v>
          </cell>
          <cell r="F1703" t="str">
            <v>0002</v>
          </cell>
          <cell r="G1703" t="str">
            <v>11902</v>
          </cell>
          <cell r="H1703" t="str">
            <v>转3月份耗材料</v>
          </cell>
          <cell r="I1703" t="b">
            <v>1</v>
          </cell>
          <cell r="J1703">
            <v>689290.3</v>
          </cell>
          <cell r="K1703">
            <v>0</v>
          </cell>
          <cell r="L1703">
            <v>0</v>
          </cell>
        </row>
        <row r="1704">
          <cell r="A1704" t="str">
            <v>04</v>
          </cell>
          <cell r="B1704" t="str">
            <v>24</v>
          </cell>
          <cell r="C1704" t="str">
            <v>04</v>
          </cell>
          <cell r="D1704" t="str">
            <v>5</v>
          </cell>
          <cell r="E1704" t="str">
            <v>0012</v>
          </cell>
          <cell r="F1704" t="str">
            <v>0003</v>
          </cell>
          <cell r="G1704" t="str">
            <v>11902</v>
          </cell>
          <cell r="H1704" t="str">
            <v>转3月份耗材料</v>
          </cell>
          <cell r="I1704" t="b">
            <v>1</v>
          </cell>
          <cell r="J1704">
            <v>452.91</v>
          </cell>
          <cell r="K1704">
            <v>0</v>
          </cell>
          <cell r="L1704">
            <v>0</v>
          </cell>
        </row>
        <row r="1705">
          <cell r="A1705" t="str">
            <v>04</v>
          </cell>
          <cell r="B1705" t="str">
            <v>24</v>
          </cell>
          <cell r="C1705" t="str">
            <v>04</v>
          </cell>
          <cell r="D1705" t="str">
            <v>5</v>
          </cell>
          <cell r="E1705" t="str">
            <v>0014</v>
          </cell>
          <cell r="F1705" t="str">
            <v>0003</v>
          </cell>
          <cell r="G1705" t="str">
            <v>11902</v>
          </cell>
          <cell r="H1705" t="str">
            <v>转本月中鲁酒店工人工资</v>
          </cell>
          <cell r="I1705" t="b">
            <v>1</v>
          </cell>
          <cell r="J1705">
            <v>4974</v>
          </cell>
          <cell r="K1705">
            <v>0</v>
          </cell>
          <cell r="L1705">
            <v>0</v>
          </cell>
        </row>
        <row r="1706">
          <cell r="A1706" t="str">
            <v>04</v>
          </cell>
          <cell r="B1706" t="str">
            <v>25</v>
          </cell>
          <cell r="C1706" t="str">
            <v>04</v>
          </cell>
          <cell r="D1706" t="str">
            <v>5</v>
          </cell>
          <cell r="E1706" t="str">
            <v>0020</v>
          </cell>
          <cell r="F1706" t="str">
            <v>0001</v>
          </cell>
          <cell r="G1706" t="str">
            <v>11902</v>
          </cell>
          <cell r="H1706" t="str">
            <v>转本月二厂共同制造.管理费用</v>
          </cell>
          <cell r="I1706" t="b">
            <v>1</v>
          </cell>
          <cell r="J1706">
            <v>583569.46</v>
          </cell>
          <cell r="K1706">
            <v>0</v>
          </cell>
          <cell r="L1706">
            <v>0</v>
          </cell>
        </row>
        <row r="1707">
          <cell r="A1707" t="str">
            <v>04</v>
          </cell>
          <cell r="B1707" t="str">
            <v>25</v>
          </cell>
          <cell r="C1707" t="str">
            <v>04</v>
          </cell>
          <cell r="D1707" t="str">
            <v>5</v>
          </cell>
          <cell r="E1707" t="str">
            <v>0020</v>
          </cell>
          <cell r="F1707" t="str">
            <v>0002</v>
          </cell>
          <cell r="G1707" t="str">
            <v>11902</v>
          </cell>
          <cell r="H1707" t="str">
            <v>转本月四厂共同制造.管理费用</v>
          </cell>
          <cell r="I1707" t="b">
            <v>1</v>
          </cell>
          <cell r="J1707">
            <v>177685.65</v>
          </cell>
          <cell r="K1707">
            <v>0</v>
          </cell>
          <cell r="L1707">
            <v>0</v>
          </cell>
        </row>
        <row r="1708">
          <cell r="A1708" t="str">
            <v>05</v>
          </cell>
          <cell r="B1708" t="str">
            <v>08</v>
          </cell>
          <cell r="C1708" t="str">
            <v>05</v>
          </cell>
          <cell r="D1708" t="str">
            <v>1</v>
          </cell>
          <cell r="E1708" t="str">
            <v>0001</v>
          </cell>
          <cell r="F1708" t="str">
            <v>0002</v>
          </cell>
          <cell r="G1708" t="str">
            <v>11902</v>
          </cell>
          <cell r="H1708" t="str">
            <v>收借款</v>
          </cell>
          <cell r="I1708" t="b">
            <v>0</v>
          </cell>
          <cell r="J1708">
            <v>50000</v>
          </cell>
          <cell r="K1708">
            <v>0</v>
          </cell>
          <cell r="L1708">
            <v>0</v>
          </cell>
        </row>
        <row r="1709">
          <cell r="A1709" t="str">
            <v>05</v>
          </cell>
          <cell r="B1709" t="str">
            <v>08</v>
          </cell>
          <cell r="C1709" t="str">
            <v>05</v>
          </cell>
          <cell r="D1709" t="str">
            <v>2</v>
          </cell>
          <cell r="E1709" t="str">
            <v>0001</v>
          </cell>
          <cell r="F1709" t="str">
            <v>0001</v>
          </cell>
          <cell r="G1709" t="str">
            <v>11902</v>
          </cell>
          <cell r="H1709" t="str">
            <v>暂借款</v>
          </cell>
          <cell r="I1709" t="b">
            <v>1</v>
          </cell>
          <cell r="J1709">
            <v>60000</v>
          </cell>
          <cell r="K1709">
            <v>0</v>
          </cell>
          <cell r="L1709">
            <v>0</v>
          </cell>
        </row>
        <row r="1710">
          <cell r="A1710" t="str">
            <v>05</v>
          </cell>
          <cell r="B1710" t="str">
            <v>08</v>
          </cell>
          <cell r="C1710" t="str">
            <v>05</v>
          </cell>
          <cell r="D1710" t="str">
            <v>2</v>
          </cell>
          <cell r="E1710" t="str">
            <v>0001</v>
          </cell>
          <cell r="F1710" t="str">
            <v>0002</v>
          </cell>
          <cell r="G1710" t="str">
            <v>11902</v>
          </cell>
          <cell r="H1710" t="str">
            <v>暂借款</v>
          </cell>
          <cell r="I1710" t="b">
            <v>1</v>
          </cell>
          <cell r="J1710">
            <v>10000</v>
          </cell>
          <cell r="K1710">
            <v>0</v>
          </cell>
          <cell r="L1710">
            <v>0</v>
          </cell>
        </row>
        <row r="1711">
          <cell r="A1711" t="str">
            <v>05</v>
          </cell>
          <cell r="B1711" t="str">
            <v>08</v>
          </cell>
          <cell r="C1711" t="str">
            <v>05</v>
          </cell>
          <cell r="D1711" t="str">
            <v>2</v>
          </cell>
          <cell r="E1711" t="str">
            <v>0001</v>
          </cell>
          <cell r="F1711" t="str">
            <v>0003</v>
          </cell>
          <cell r="G1711" t="str">
            <v>11902</v>
          </cell>
          <cell r="H1711" t="str">
            <v>暂借款</v>
          </cell>
          <cell r="I1711" t="b">
            <v>1</v>
          </cell>
          <cell r="J1711">
            <v>5000</v>
          </cell>
          <cell r="K1711">
            <v>0</v>
          </cell>
          <cell r="L1711">
            <v>0</v>
          </cell>
        </row>
        <row r="1712">
          <cell r="A1712" t="str">
            <v>05</v>
          </cell>
          <cell r="B1712" t="str">
            <v>08</v>
          </cell>
          <cell r="C1712" t="str">
            <v>05</v>
          </cell>
          <cell r="D1712" t="str">
            <v>2</v>
          </cell>
          <cell r="E1712" t="str">
            <v>0001</v>
          </cell>
          <cell r="F1712" t="str">
            <v>0004</v>
          </cell>
          <cell r="G1712" t="str">
            <v>11902</v>
          </cell>
          <cell r="H1712" t="str">
            <v>暂借款</v>
          </cell>
          <cell r="I1712" t="b">
            <v>1</v>
          </cell>
          <cell r="J1712">
            <v>3000</v>
          </cell>
          <cell r="K1712">
            <v>0</v>
          </cell>
          <cell r="L1712">
            <v>0</v>
          </cell>
        </row>
        <row r="1713">
          <cell r="A1713" t="str">
            <v>05</v>
          </cell>
          <cell r="B1713" t="str">
            <v>05</v>
          </cell>
          <cell r="C1713" t="str">
            <v>05</v>
          </cell>
          <cell r="D1713" t="str">
            <v>3</v>
          </cell>
          <cell r="E1713" t="str">
            <v>0002</v>
          </cell>
          <cell r="F1713" t="str">
            <v>0003</v>
          </cell>
          <cell r="G1713" t="str">
            <v>11902</v>
          </cell>
          <cell r="H1713" t="str">
            <v>暂借款</v>
          </cell>
          <cell r="I1713" t="b">
            <v>0</v>
          </cell>
          <cell r="J1713">
            <v>9000000</v>
          </cell>
          <cell r="K1713">
            <v>0</v>
          </cell>
          <cell r="L1713">
            <v>0</v>
          </cell>
        </row>
        <row r="1714">
          <cell r="A1714" t="str">
            <v>05</v>
          </cell>
          <cell r="B1714" t="str">
            <v>05</v>
          </cell>
          <cell r="C1714" t="str">
            <v>05</v>
          </cell>
          <cell r="D1714" t="str">
            <v>3</v>
          </cell>
          <cell r="E1714" t="str">
            <v>0002</v>
          </cell>
          <cell r="F1714" t="str">
            <v>0004</v>
          </cell>
          <cell r="G1714" t="str">
            <v>11902</v>
          </cell>
          <cell r="H1714" t="str">
            <v>暂借款</v>
          </cell>
          <cell r="I1714" t="b">
            <v>0</v>
          </cell>
          <cell r="J1714">
            <v>284127.59000000003</v>
          </cell>
          <cell r="K1714">
            <v>0</v>
          </cell>
          <cell r="L1714">
            <v>0</v>
          </cell>
        </row>
        <row r="1715">
          <cell r="A1715" t="str">
            <v>05</v>
          </cell>
          <cell r="B1715" t="str">
            <v>22</v>
          </cell>
          <cell r="C1715" t="str">
            <v>05</v>
          </cell>
          <cell r="D1715" t="str">
            <v>3</v>
          </cell>
          <cell r="E1715" t="str">
            <v>0003</v>
          </cell>
          <cell r="F1715" t="str">
            <v>0003</v>
          </cell>
          <cell r="G1715" t="str">
            <v>11902</v>
          </cell>
          <cell r="H1715" t="str">
            <v>暂借款</v>
          </cell>
          <cell r="I1715" t="b">
            <v>0</v>
          </cell>
          <cell r="J1715">
            <v>12000000</v>
          </cell>
          <cell r="K1715">
            <v>0</v>
          </cell>
          <cell r="L1715">
            <v>0</v>
          </cell>
        </row>
        <row r="1716">
          <cell r="A1716" t="str">
            <v>05</v>
          </cell>
          <cell r="B1716" t="str">
            <v>22</v>
          </cell>
          <cell r="C1716" t="str">
            <v>05</v>
          </cell>
          <cell r="D1716" t="str">
            <v>3</v>
          </cell>
          <cell r="E1716" t="str">
            <v>0004</v>
          </cell>
          <cell r="F1716" t="str">
            <v>0003</v>
          </cell>
          <cell r="G1716" t="str">
            <v>11902</v>
          </cell>
          <cell r="H1716" t="str">
            <v>暂借款</v>
          </cell>
          <cell r="I1716" t="b">
            <v>0</v>
          </cell>
          <cell r="J1716">
            <v>5000000</v>
          </cell>
          <cell r="K1716">
            <v>0</v>
          </cell>
          <cell r="L1716">
            <v>0</v>
          </cell>
        </row>
        <row r="1717">
          <cell r="A1717" t="str">
            <v>05</v>
          </cell>
          <cell r="B1717" t="str">
            <v>11</v>
          </cell>
          <cell r="C1717" t="str">
            <v>05</v>
          </cell>
          <cell r="D1717" t="str">
            <v>4</v>
          </cell>
          <cell r="E1717" t="str">
            <v>0005</v>
          </cell>
          <cell r="F1717" t="str">
            <v>0001</v>
          </cell>
          <cell r="G1717" t="str">
            <v>11902</v>
          </cell>
          <cell r="H1717" t="str">
            <v>付租赁费</v>
          </cell>
          <cell r="I1717" t="b">
            <v>1</v>
          </cell>
          <cell r="J1717">
            <v>100000</v>
          </cell>
          <cell r="K1717">
            <v>0</v>
          </cell>
          <cell r="L1717">
            <v>0</v>
          </cell>
        </row>
        <row r="1718">
          <cell r="A1718" t="str">
            <v>05</v>
          </cell>
          <cell r="B1718" t="str">
            <v>16</v>
          </cell>
          <cell r="C1718" t="str">
            <v>05</v>
          </cell>
          <cell r="D1718" t="str">
            <v>4</v>
          </cell>
          <cell r="E1718" t="str">
            <v>0015</v>
          </cell>
          <cell r="F1718" t="str">
            <v>0001</v>
          </cell>
          <cell r="G1718" t="str">
            <v>11902</v>
          </cell>
          <cell r="H1718" t="str">
            <v>暂借款</v>
          </cell>
          <cell r="I1718" t="b">
            <v>1</v>
          </cell>
          <cell r="J1718">
            <v>100000</v>
          </cell>
          <cell r="K1718">
            <v>0</v>
          </cell>
          <cell r="L1718">
            <v>0</v>
          </cell>
        </row>
        <row r="1719">
          <cell r="A1719" t="str">
            <v>05</v>
          </cell>
          <cell r="B1719" t="str">
            <v>16</v>
          </cell>
          <cell r="C1719" t="str">
            <v>05</v>
          </cell>
          <cell r="D1719" t="str">
            <v>4</v>
          </cell>
          <cell r="E1719" t="str">
            <v>0015</v>
          </cell>
          <cell r="F1719" t="str">
            <v>0002</v>
          </cell>
          <cell r="G1719" t="str">
            <v>11902</v>
          </cell>
          <cell r="H1719" t="str">
            <v>暂借款</v>
          </cell>
          <cell r="I1719" t="b">
            <v>1</v>
          </cell>
          <cell r="J1719">
            <v>100000</v>
          </cell>
          <cell r="K1719">
            <v>0</v>
          </cell>
          <cell r="L1719">
            <v>0</v>
          </cell>
        </row>
        <row r="1720">
          <cell r="A1720" t="str">
            <v>05</v>
          </cell>
          <cell r="B1720" t="str">
            <v>16</v>
          </cell>
          <cell r="C1720" t="str">
            <v>05</v>
          </cell>
          <cell r="D1720" t="str">
            <v>4</v>
          </cell>
          <cell r="E1720" t="str">
            <v>0015</v>
          </cell>
          <cell r="F1720" t="str">
            <v>0003</v>
          </cell>
          <cell r="G1720" t="str">
            <v>11902</v>
          </cell>
          <cell r="H1720" t="str">
            <v>暂借款</v>
          </cell>
          <cell r="I1720" t="b">
            <v>1</v>
          </cell>
          <cell r="J1720">
            <v>100000</v>
          </cell>
          <cell r="K1720">
            <v>0</v>
          </cell>
          <cell r="L1720">
            <v>0</v>
          </cell>
        </row>
        <row r="1721">
          <cell r="A1721" t="str">
            <v>05</v>
          </cell>
          <cell r="B1721" t="str">
            <v>22</v>
          </cell>
          <cell r="C1721" t="str">
            <v>05</v>
          </cell>
          <cell r="D1721" t="str">
            <v>4</v>
          </cell>
          <cell r="E1721" t="str">
            <v>0019</v>
          </cell>
          <cell r="F1721" t="str">
            <v>0001</v>
          </cell>
          <cell r="G1721" t="str">
            <v>11902</v>
          </cell>
          <cell r="H1721" t="str">
            <v>暂借款</v>
          </cell>
          <cell r="I1721" t="b">
            <v>1</v>
          </cell>
          <cell r="J1721">
            <v>200000</v>
          </cell>
          <cell r="K1721">
            <v>0</v>
          </cell>
          <cell r="L1721">
            <v>0</v>
          </cell>
        </row>
        <row r="1722">
          <cell r="A1722" t="str">
            <v>05</v>
          </cell>
          <cell r="B1722" t="str">
            <v>22</v>
          </cell>
          <cell r="C1722" t="str">
            <v>05</v>
          </cell>
          <cell r="D1722" t="str">
            <v>4</v>
          </cell>
          <cell r="E1722" t="str">
            <v>0019</v>
          </cell>
          <cell r="F1722" t="str">
            <v>0002</v>
          </cell>
          <cell r="G1722" t="str">
            <v>11902</v>
          </cell>
          <cell r="H1722" t="str">
            <v>暂借款</v>
          </cell>
          <cell r="I1722" t="b">
            <v>1</v>
          </cell>
          <cell r="J1722">
            <v>100000</v>
          </cell>
          <cell r="K1722">
            <v>0</v>
          </cell>
          <cell r="L1722">
            <v>0</v>
          </cell>
        </row>
        <row r="1723">
          <cell r="A1723" t="str">
            <v>05</v>
          </cell>
          <cell r="B1723" t="str">
            <v>02</v>
          </cell>
          <cell r="C1723" t="str">
            <v>05</v>
          </cell>
          <cell r="D1723" t="str">
            <v>5</v>
          </cell>
          <cell r="E1723" t="str">
            <v>0001</v>
          </cell>
          <cell r="F1723" t="str">
            <v>0003</v>
          </cell>
          <cell r="G1723" t="str">
            <v>11902</v>
          </cell>
          <cell r="H1723" t="str">
            <v>转本月中鲁酒店工人工资</v>
          </cell>
          <cell r="I1723" t="b">
            <v>1</v>
          </cell>
          <cell r="J1723">
            <v>4097</v>
          </cell>
          <cell r="K1723">
            <v>0</v>
          </cell>
          <cell r="L1723">
            <v>0</v>
          </cell>
        </row>
        <row r="1724">
          <cell r="A1724" t="str">
            <v>05</v>
          </cell>
          <cell r="B1724" t="str">
            <v>02</v>
          </cell>
          <cell r="C1724" t="str">
            <v>05</v>
          </cell>
          <cell r="D1724" t="str">
            <v>5</v>
          </cell>
          <cell r="E1724" t="str">
            <v>0001</v>
          </cell>
          <cell r="F1724" t="str">
            <v>0007</v>
          </cell>
          <cell r="G1724" t="str">
            <v>11902</v>
          </cell>
          <cell r="H1724" t="str">
            <v>转98.11-99.12月应交个人所得税</v>
          </cell>
          <cell r="I1724" t="b">
            <v>1</v>
          </cell>
          <cell r="J1724">
            <v>7306.11</v>
          </cell>
          <cell r="K1724">
            <v>0</v>
          </cell>
          <cell r="L1724">
            <v>0</v>
          </cell>
        </row>
        <row r="1725">
          <cell r="A1725" t="str">
            <v>05</v>
          </cell>
          <cell r="B1725" t="str">
            <v>25</v>
          </cell>
          <cell r="C1725" t="str">
            <v>05</v>
          </cell>
          <cell r="D1725" t="str">
            <v>5</v>
          </cell>
          <cell r="E1725" t="str">
            <v>0003</v>
          </cell>
          <cell r="F1725" t="str">
            <v>0001</v>
          </cell>
          <cell r="G1725" t="str">
            <v>11902</v>
          </cell>
          <cell r="H1725" t="str">
            <v>转鲁菱4-5月份耗水及台依水</v>
          </cell>
          <cell r="I1725" t="b">
            <v>1</v>
          </cell>
          <cell r="J1725">
            <v>1143.24</v>
          </cell>
          <cell r="K1725">
            <v>0</v>
          </cell>
          <cell r="L1725">
            <v>0</v>
          </cell>
        </row>
        <row r="1726">
          <cell r="A1726" t="str">
            <v>05</v>
          </cell>
          <cell r="B1726" t="str">
            <v>25</v>
          </cell>
          <cell r="C1726" t="str">
            <v>05</v>
          </cell>
          <cell r="D1726" t="str">
            <v>5</v>
          </cell>
          <cell r="E1726" t="str">
            <v>0003</v>
          </cell>
          <cell r="F1726" t="str">
            <v>0002</v>
          </cell>
          <cell r="G1726" t="str">
            <v>11902</v>
          </cell>
          <cell r="H1726" t="str">
            <v>转四厂4-5月份耗水款</v>
          </cell>
          <cell r="I1726" t="b">
            <v>1</v>
          </cell>
          <cell r="J1726">
            <v>853.49</v>
          </cell>
          <cell r="K1726">
            <v>0</v>
          </cell>
          <cell r="L1726">
            <v>0</v>
          </cell>
        </row>
        <row r="1727">
          <cell r="A1727" t="str">
            <v>05</v>
          </cell>
          <cell r="B1727" t="str">
            <v>25</v>
          </cell>
          <cell r="C1727" t="str">
            <v>05</v>
          </cell>
          <cell r="D1727" t="str">
            <v>5</v>
          </cell>
          <cell r="E1727" t="str">
            <v>0003</v>
          </cell>
          <cell r="F1727" t="str">
            <v>0003</v>
          </cell>
          <cell r="G1727" t="str">
            <v>11902</v>
          </cell>
          <cell r="H1727" t="str">
            <v>转制桶厂4-5月耗水718方电6345</v>
          </cell>
          <cell r="I1727" t="b">
            <v>1</v>
          </cell>
          <cell r="J1727">
            <v>6905.49</v>
          </cell>
          <cell r="K1727">
            <v>0</v>
          </cell>
          <cell r="L1727">
            <v>0</v>
          </cell>
        </row>
        <row r="1728">
          <cell r="A1728" t="str">
            <v>05</v>
          </cell>
          <cell r="B1728" t="str">
            <v>25</v>
          </cell>
          <cell r="C1728" t="str">
            <v>05</v>
          </cell>
          <cell r="D1728" t="str">
            <v>5</v>
          </cell>
          <cell r="E1728" t="str">
            <v>0005</v>
          </cell>
          <cell r="F1728" t="str">
            <v>0003</v>
          </cell>
          <cell r="G1728" t="str">
            <v>11902</v>
          </cell>
          <cell r="H1728" t="str">
            <v>转车款</v>
          </cell>
          <cell r="I1728" t="b">
            <v>1</v>
          </cell>
          <cell r="J1728">
            <v>1210000</v>
          </cell>
          <cell r="K1728">
            <v>0</v>
          </cell>
          <cell r="L1728">
            <v>0</v>
          </cell>
        </row>
        <row r="1729">
          <cell r="A1729" t="str">
            <v>05</v>
          </cell>
          <cell r="B1729" t="str">
            <v>25</v>
          </cell>
          <cell r="C1729" t="str">
            <v>05</v>
          </cell>
          <cell r="D1729" t="str">
            <v>5</v>
          </cell>
          <cell r="E1729" t="str">
            <v>0006</v>
          </cell>
          <cell r="F1729" t="str">
            <v>0002</v>
          </cell>
          <cell r="G1729" t="str">
            <v>11902</v>
          </cell>
          <cell r="H1729" t="str">
            <v>转收机损赔款费</v>
          </cell>
          <cell r="I1729" t="b">
            <v>0</v>
          </cell>
          <cell r="J1729">
            <v>7957</v>
          </cell>
          <cell r="K1729">
            <v>0</v>
          </cell>
          <cell r="L1729">
            <v>0</v>
          </cell>
        </row>
        <row r="1730">
          <cell r="A1730" t="str">
            <v>05</v>
          </cell>
          <cell r="B1730" t="str">
            <v>25</v>
          </cell>
          <cell r="C1730" t="str">
            <v>05</v>
          </cell>
          <cell r="D1730" t="str">
            <v>5</v>
          </cell>
          <cell r="E1730" t="str">
            <v>0010</v>
          </cell>
          <cell r="F1730" t="str">
            <v>0012</v>
          </cell>
          <cell r="G1730" t="str">
            <v>11902</v>
          </cell>
          <cell r="H1730" t="str">
            <v>转3.4月各部门餐费</v>
          </cell>
          <cell r="I1730" t="b">
            <v>0</v>
          </cell>
          <cell r="J1730">
            <v>28458.799999999999</v>
          </cell>
          <cell r="K1730">
            <v>0</v>
          </cell>
          <cell r="L1730">
            <v>0</v>
          </cell>
        </row>
        <row r="1731">
          <cell r="A1731" t="str">
            <v>05</v>
          </cell>
          <cell r="B1731" t="str">
            <v>25</v>
          </cell>
          <cell r="C1731" t="str">
            <v>05</v>
          </cell>
          <cell r="D1731" t="str">
            <v>5</v>
          </cell>
          <cell r="E1731" t="str">
            <v>0012</v>
          </cell>
          <cell r="F1731" t="str">
            <v>0004</v>
          </cell>
          <cell r="G1731" t="str">
            <v>11902</v>
          </cell>
          <cell r="H1731" t="str">
            <v>转尚进代扣3月份劳动保险费等</v>
          </cell>
          <cell r="I1731" t="b">
            <v>1</v>
          </cell>
          <cell r="J1731">
            <v>1184.8</v>
          </cell>
          <cell r="K1731">
            <v>0</v>
          </cell>
          <cell r="L1731">
            <v>0</v>
          </cell>
        </row>
        <row r="1732">
          <cell r="A1732" t="str">
            <v>05</v>
          </cell>
          <cell r="B1732" t="str">
            <v>25</v>
          </cell>
          <cell r="C1732" t="str">
            <v>05</v>
          </cell>
          <cell r="D1732" t="str">
            <v>5</v>
          </cell>
          <cell r="E1732" t="str">
            <v>0012</v>
          </cell>
          <cell r="F1732" t="str">
            <v>0005</v>
          </cell>
          <cell r="G1732" t="str">
            <v>11902</v>
          </cell>
          <cell r="H1732" t="str">
            <v>转鲁菱代扣3月份劳动保险费等</v>
          </cell>
          <cell r="I1732" t="b">
            <v>1</v>
          </cell>
          <cell r="J1732">
            <v>5338.64</v>
          </cell>
          <cell r="K1732">
            <v>0</v>
          </cell>
          <cell r="L1732">
            <v>0</v>
          </cell>
        </row>
        <row r="1733">
          <cell r="A1733" t="str">
            <v>05</v>
          </cell>
          <cell r="B1733" t="str">
            <v>25</v>
          </cell>
          <cell r="C1733" t="str">
            <v>05</v>
          </cell>
          <cell r="D1733" t="str">
            <v>5</v>
          </cell>
          <cell r="E1733" t="str">
            <v>0013</v>
          </cell>
          <cell r="F1733" t="str">
            <v>0015</v>
          </cell>
          <cell r="G1733" t="str">
            <v>11902</v>
          </cell>
          <cell r="H1733" t="str">
            <v>转四厂代扣4月份水电费.借款等</v>
          </cell>
          <cell r="I1733" t="b">
            <v>1</v>
          </cell>
          <cell r="J1733">
            <v>4727.3999999999996</v>
          </cell>
          <cell r="K1733">
            <v>0</v>
          </cell>
          <cell r="L1733">
            <v>0</v>
          </cell>
        </row>
        <row r="1734">
          <cell r="A1734" t="str">
            <v>05</v>
          </cell>
          <cell r="B1734" t="str">
            <v>25</v>
          </cell>
          <cell r="C1734" t="str">
            <v>05</v>
          </cell>
          <cell r="D1734" t="str">
            <v>5</v>
          </cell>
          <cell r="E1734" t="str">
            <v>0013</v>
          </cell>
          <cell r="F1734" t="str">
            <v>0016</v>
          </cell>
          <cell r="G1734" t="str">
            <v>11902</v>
          </cell>
          <cell r="H1734" t="str">
            <v>转二厂代扣4月份水电费.借款等</v>
          </cell>
          <cell r="I1734" t="b">
            <v>1</v>
          </cell>
          <cell r="J1734">
            <v>15673.38</v>
          </cell>
          <cell r="K1734">
            <v>0</v>
          </cell>
          <cell r="L1734">
            <v>0</v>
          </cell>
        </row>
        <row r="1735">
          <cell r="A1735" t="str">
            <v>05</v>
          </cell>
          <cell r="B1735" t="str">
            <v>25</v>
          </cell>
          <cell r="C1735" t="str">
            <v>05</v>
          </cell>
          <cell r="D1735" t="str">
            <v>5</v>
          </cell>
          <cell r="E1735" t="str">
            <v>0014</v>
          </cell>
          <cell r="F1735" t="str">
            <v>0005</v>
          </cell>
          <cell r="G1735" t="str">
            <v>11902</v>
          </cell>
          <cell r="H1735" t="str">
            <v>转鲁菱公司代扣水电费.收视费等</v>
          </cell>
          <cell r="I1735" t="b">
            <v>1</v>
          </cell>
          <cell r="J1735">
            <v>4267.4799999999996</v>
          </cell>
          <cell r="K1735">
            <v>0</v>
          </cell>
          <cell r="L1735">
            <v>0</v>
          </cell>
        </row>
        <row r="1736">
          <cell r="A1736" t="str">
            <v>05</v>
          </cell>
          <cell r="B1736" t="str">
            <v>25</v>
          </cell>
          <cell r="C1736" t="str">
            <v>05</v>
          </cell>
          <cell r="D1736" t="str">
            <v>5</v>
          </cell>
          <cell r="E1736" t="str">
            <v>0014</v>
          </cell>
          <cell r="F1736" t="str">
            <v>0006</v>
          </cell>
          <cell r="G1736" t="str">
            <v>11902</v>
          </cell>
          <cell r="H1736" t="str">
            <v>转尚进公司代扣水电费.收视费等</v>
          </cell>
          <cell r="I1736" t="b">
            <v>1</v>
          </cell>
          <cell r="J1736">
            <v>1064</v>
          </cell>
          <cell r="K1736">
            <v>0</v>
          </cell>
          <cell r="L1736">
            <v>0</v>
          </cell>
        </row>
        <row r="1737">
          <cell r="A1737" t="str">
            <v>05</v>
          </cell>
          <cell r="B1737" t="str">
            <v>26</v>
          </cell>
          <cell r="C1737" t="str">
            <v>05</v>
          </cell>
          <cell r="D1737" t="str">
            <v>5</v>
          </cell>
          <cell r="E1737" t="str">
            <v>0015</v>
          </cell>
          <cell r="F1737" t="str">
            <v>0001</v>
          </cell>
          <cell r="G1737" t="str">
            <v>11902</v>
          </cell>
          <cell r="H1737" t="str">
            <v>转招待所5月份耗材料款</v>
          </cell>
          <cell r="I1737" t="b">
            <v>1</v>
          </cell>
          <cell r="J1737">
            <v>497.8</v>
          </cell>
          <cell r="K1737">
            <v>0</v>
          </cell>
          <cell r="L1737">
            <v>0</v>
          </cell>
        </row>
        <row r="1738">
          <cell r="A1738" t="str">
            <v>05</v>
          </cell>
          <cell r="B1738" t="str">
            <v>26</v>
          </cell>
          <cell r="C1738" t="str">
            <v>05</v>
          </cell>
          <cell r="D1738" t="str">
            <v>5</v>
          </cell>
          <cell r="E1738" t="str">
            <v>0016</v>
          </cell>
          <cell r="F1738" t="str">
            <v>0001</v>
          </cell>
          <cell r="G1738" t="str">
            <v>11902</v>
          </cell>
          <cell r="H1738" t="str">
            <v>转5月份耗材料</v>
          </cell>
          <cell r="I1738" t="b">
            <v>1</v>
          </cell>
          <cell r="J1738">
            <v>50401.63</v>
          </cell>
          <cell r="K1738">
            <v>0</v>
          </cell>
          <cell r="L1738">
            <v>0</v>
          </cell>
        </row>
        <row r="1739">
          <cell r="A1739" t="str">
            <v>05</v>
          </cell>
          <cell r="B1739" t="str">
            <v>26</v>
          </cell>
          <cell r="C1739" t="str">
            <v>05</v>
          </cell>
          <cell r="D1739" t="str">
            <v>5</v>
          </cell>
          <cell r="E1739" t="str">
            <v>0016</v>
          </cell>
          <cell r="F1739" t="str">
            <v>0002</v>
          </cell>
          <cell r="G1739" t="str">
            <v>11902</v>
          </cell>
          <cell r="H1739" t="str">
            <v>转5月份耗材料</v>
          </cell>
          <cell r="I1739" t="b">
            <v>1</v>
          </cell>
          <cell r="J1739">
            <v>67605.06</v>
          </cell>
          <cell r="K1739">
            <v>0</v>
          </cell>
          <cell r="L1739">
            <v>0</v>
          </cell>
        </row>
        <row r="1740">
          <cell r="A1740" t="str">
            <v>05</v>
          </cell>
          <cell r="B1740" t="str">
            <v>26</v>
          </cell>
          <cell r="C1740" t="str">
            <v>05</v>
          </cell>
          <cell r="D1740" t="str">
            <v>5</v>
          </cell>
          <cell r="E1740" t="str">
            <v>0017</v>
          </cell>
          <cell r="F1740" t="str">
            <v>0003</v>
          </cell>
          <cell r="G1740" t="str">
            <v>11902</v>
          </cell>
          <cell r="H1740" t="str">
            <v>转购尚进果汁1899.5吨</v>
          </cell>
          <cell r="I1740" t="b">
            <v>0</v>
          </cell>
          <cell r="J1740">
            <v>10000867.5</v>
          </cell>
          <cell r="K1740">
            <v>0</v>
          </cell>
          <cell r="L1740">
            <v>0</v>
          </cell>
        </row>
        <row r="1741">
          <cell r="A1741" t="str">
            <v>05</v>
          </cell>
          <cell r="B1741" t="str">
            <v>27</v>
          </cell>
          <cell r="C1741" t="str">
            <v>05</v>
          </cell>
          <cell r="D1741" t="str">
            <v>5</v>
          </cell>
          <cell r="E1741" t="str">
            <v>0029</v>
          </cell>
          <cell r="F1741" t="str">
            <v>0001</v>
          </cell>
          <cell r="G1741" t="str">
            <v>11902</v>
          </cell>
          <cell r="H1741" t="str">
            <v>转本月二厂共同制造.管理费用</v>
          </cell>
          <cell r="I1741" t="b">
            <v>1</v>
          </cell>
          <cell r="J1741">
            <v>647563.85</v>
          </cell>
          <cell r="K1741">
            <v>0</v>
          </cell>
          <cell r="L1741">
            <v>0</v>
          </cell>
        </row>
        <row r="1742">
          <cell r="A1742" t="str">
            <v>05</v>
          </cell>
          <cell r="B1742" t="str">
            <v>27</v>
          </cell>
          <cell r="C1742" t="str">
            <v>05</v>
          </cell>
          <cell r="D1742" t="str">
            <v>5</v>
          </cell>
          <cell r="E1742" t="str">
            <v>0029</v>
          </cell>
          <cell r="F1742" t="str">
            <v>0002</v>
          </cell>
          <cell r="G1742" t="str">
            <v>11902</v>
          </cell>
          <cell r="H1742" t="str">
            <v>转本月四厂共同制造.管理费用</v>
          </cell>
          <cell r="I1742" t="b">
            <v>1</v>
          </cell>
          <cell r="J1742">
            <v>207024.49</v>
          </cell>
          <cell r="K1742">
            <v>0</v>
          </cell>
          <cell r="L1742">
            <v>0</v>
          </cell>
        </row>
        <row r="1743">
          <cell r="A1743" t="str">
            <v>05</v>
          </cell>
          <cell r="B1743" t="str">
            <v>29</v>
          </cell>
          <cell r="C1743" t="str">
            <v>05</v>
          </cell>
          <cell r="D1743" t="str">
            <v>5</v>
          </cell>
          <cell r="E1743" t="str">
            <v>0032</v>
          </cell>
          <cell r="F1743" t="str">
            <v>0004</v>
          </cell>
          <cell r="G1743" t="str">
            <v>11902</v>
          </cell>
          <cell r="H1743" t="str">
            <v>转购铁桶559个</v>
          </cell>
          <cell r="I1743" t="b">
            <v>0</v>
          </cell>
          <cell r="J1743">
            <v>77701</v>
          </cell>
          <cell r="K1743">
            <v>0</v>
          </cell>
          <cell r="L1743">
            <v>0</v>
          </cell>
        </row>
        <row r="1744">
          <cell r="A1744" t="str">
            <v>06</v>
          </cell>
          <cell r="B1744" t="str">
            <v>08</v>
          </cell>
          <cell r="C1744" t="str">
            <v>06</v>
          </cell>
          <cell r="D1744" t="str">
            <v>2</v>
          </cell>
          <cell r="E1744" t="str">
            <v>0007</v>
          </cell>
          <cell r="F1744" t="str">
            <v>0001</v>
          </cell>
          <cell r="G1744" t="str">
            <v>11902</v>
          </cell>
          <cell r="H1744" t="str">
            <v>暂借款</v>
          </cell>
          <cell r="I1744" t="b">
            <v>1</v>
          </cell>
          <cell r="J1744">
            <v>15000</v>
          </cell>
          <cell r="K1744">
            <v>0</v>
          </cell>
          <cell r="L1744">
            <v>0</v>
          </cell>
        </row>
        <row r="1745">
          <cell r="A1745" t="str">
            <v>06</v>
          </cell>
          <cell r="B1745" t="str">
            <v>08</v>
          </cell>
          <cell r="C1745" t="str">
            <v>06</v>
          </cell>
          <cell r="D1745" t="str">
            <v>2</v>
          </cell>
          <cell r="E1745" t="str">
            <v>0007</v>
          </cell>
          <cell r="F1745" t="str">
            <v>0002</v>
          </cell>
          <cell r="G1745" t="str">
            <v>11902</v>
          </cell>
          <cell r="H1745" t="str">
            <v>暂借款</v>
          </cell>
          <cell r="I1745" t="b">
            <v>1</v>
          </cell>
          <cell r="J1745">
            <v>260000</v>
          </cell>
          <cell r="K1745">
            <v>0</v>
          </cell>
          <cell r="L1745">
            <v>0</v>
          </cell>
        </row>
        <row r="1746">
          <cell r="A1746" t="str">
            <v>06</v>
          </cell>
          <cell r="B1746" t="str">
            <v>08</v>
          </cell>
          <cell r="C1746" t="str">
            <v>06</v>
          </cell>
          <cell r="D1746" t="str">
            <v>2</v>
          </cell>
          <cell r="E1746" t="str">
            <v>0007</v>
          </cell>
          <cell r="F1746" t="str">
            <v>0003</v>
          </cell>
          <cell r="G1746" t="str">
            <v>11902</v>
          </cell>
          <cell r="H1746" t="str">
            <v>暂借款</v>
          </cell>
          <cell r="I1746" t="b">
            <v>1</v>
          </cell>
          <cell r="J1746">
            <v>5000</v>
          </cell>
          <cell r="K1746">
            <v>0</v>
          </cell>
          <cell r="L1746">
            <v>0</v>
          </cell>
        </row>
        <row r="1747">
          <cell r="A1747" t="str">
            <v>06</v>
          </cell>
          <cell r="B1747" t="str">
            <v>20</v>
          </cell>
          <cell r="C1747" t="str">
            <v>06</v>
          </cell>
          <cell r="D1747" t="str">
            <v>3</v>
          </cell>
          <cell r="E1747" t="str">
            <v>0003</v>
          </cell>
          <cell r="F1747" t="str">
            <v>0003</v>
          </cell>
          <cell r="G1747" t="str">
            <v>11902</v>
          </cell>
          <cell r="H1747" t="str">
            <v>暂借款</v>
          </cell>
          <cell r="I1747" t="b">
            <v>0</v>
          </cell>
          <cell r="J1747">
            <v>2400000</v>
          </cell>
          <cell r="K1747">
            <v>0</v>
          </cell>
          <cell r="L1747">
            <v>0</v>
          </cell>
        </row>
        <row r="1748">
          <cell r="A1748" t="str">
            <v>06</v>
          </cell>
          <cell r="B1748" t="str">
            <v>20</v>
          </cell>
          <cell r="C1748" t="str">
            <v>06</v>
          </cell>
          <cell r="D1748" t="str">
            <v>3</v>
          </cell>
          <cell r="E1748" t="str">
            <v>0003</v>
          </cell>
          <cell r="F1748" t="str">
            <v>0004</v>
          </cell>
          <cell r="G1748" t="str">
            <v>11902</v>
          </cell>
          <cell r="H1748" t="str">
            <v>收财政贴息款</v>
          </cell>
          <cell r="I1748" t="b">
            <v>0</v>
          </cell>
          <cell r="J1748">
            <v>140099.81</v>
          </cell>
          <cell r="K1748">
            <v>0</v>
          </cell>
          <cell r="L1748">
            <v>0</v>
          </cell>
        </row>
        <row r="1749">
          <cell r="A1749" t="str">
            <v>06</v>
          </cell>
          <cell r="B1749" t="str">
            <v>20</v>
          </cell>
          <cell r="C1749" t="str">
            <v>06</v>
          </cell>
          <cell r="D1749" t="str">
            <v>3</v>
          </cell>
          <cell r="E1749" t="str">
            <v>0003</v>
          </cell>
          <cell r="F1749" t="str">
            <v>0005</v>
          </cell>
          <cell r="G1749" t="str">
            <v>11902</v>
          </cell>
          <cell r="H1749" t="str">
            <v>暂借款</v>
          </cell>
          <cell r="I1749" t="b">
            <v>0</v>
          </cell>
          <cell r="J1749">
            <v>473881.53</v>
          </cell>
          <cell r="K1749">
            <v>0</v>
          </cell>
          <cell r="L1749">
            <v>0</v>
          </cell>
        </row>
        <row r="1750">
          <cell r="A1750" t="str">
            <v>06</v>
          </cell>
          <cell r="B1750" t="str">
            <v>18</v>
          </cell>
          <cell r="C1750" t="str">
            <v>06</v>
          </cell>
          <cell r="D1750" t="str">
            <v>4</v>
          </cell>
          <cell r="E1750" t="str">
            <v>0007</v>
          </cell>
          <cell r="F1750" t="str">
            <v>0001</v>
          </cell>
          <cell r="G1750" t="str">
            <v>11902</v>
          </cell>
          <cell r="H1750" t="str">
            <v>付维修费</v>
          </cell>
          <cell r="I1750" t="b">
            <v>1</v>
          </cell>
          <cell r="J1750">
            <v>3750</v>
          </cell>
          <cell r="K1750">
            <v>0</v>
          </cell>
          <cell r="L1750">
            <v>0</v>
          </cell>
        </row>
        <row r="1751">
          <cell r="A1751" t="str">
            <v>06</v>
          </cell>
          <cell r="B1751" t="str">
            <v>18</v>
          </cell>
          <cell r="C1751" t="str">
            <v>06</v>
          </cell>
          <cell r="D1751" t="str">
            <v>4</v>
          </cell>
          <cell r="E1751" t="str">
            <v>0007</v>
          </cell>
          <cell r="F1751" t="str">
            <v>0002</v>
          </cell>
          <cell r="G1751" t="str">
            <v>11902</v>
          </cell>
          <cell r="H1751" t="str">
            <v>暂借款</v>
          </cell>
          <cell r="I1751" t="b">
            <v>1</v>
          </cell>
          <cell r="J1751">
            <v>2500000</v>
          </cell>
          <cell r="K1751">
            <v>0</v>
          </cell>
          <cell r="L1751">
            <v>0</v>
          </cell>
        </row>
        <row r="1752">
          <cell r="A1752" t="str">
            <v>06</v>
          </cell>
          <cell r="B1752" t="str">
            <v>18</v>
          </cell>
          <cell r="C1752" t="str">
            <v>06</v>
          </cell>
          <cell r="D1752" t="str">
            <v>4</v>
          </cell>
          <cell r="E1752" t="str">
            <v>0007</v>
          </cell>
          <cell r="F1752" t="str">
            <v>0003</v>
          </cell>
          <cell r="G1752" t="str">
            <v>11902</v>
          </cell>
          <cell r="H1752" t="str">
            <v>暂借款</v>
          </cell>
          <cell r="I1752" t="b">
            <v>1</v>
          </cell>
          <cell r="J1752">
            <v>50000</v>
          </cell>
          <cell r="K1752">
            <v>0</v>
          </cell>
          <cell r="L1752">
            <v>0</v>
          </cell>
        </row>
        <row r="1753">
          <cell r="A1753" t="str">
            <v>06</v>
          </cell>
          <cell r="B1753" t="str">
            <v>18</v>
          </cell>
          <cell r="C1753" t="str">
            <v>06</v>
          </cell>
          <cell r="D1753" t="str">
            <v>4</v>
          </cell>
          <cell r="E1753" t="str">
            <v>0007</v>
          </cell>
          <cell r="F1753" t="str">
            <v>0004</v>
          </cell>
          <cell r="G1753" t="str">
            <v>11902</v>
          </cell>
          <cell r="H1753" t="str">
            <v>暂借款</v>
          </cell>
          <cell r="I1753" t="b">
            <v>1</v>
          </cell>
          <cell r="J1753">
            <v>4000000</v>
          </cell>
          <cell r="K1753">
            <v>0</v>
          </cell>
          <cell r="L1753">
            <v>0</v>
          </cell>
        </row>
        <row r="1754">
          <cell r="A1754" t="str">
            <v>06</v>
          </cell>
          <cell r="B1754" t="str">
            <v>16</v>
          </cell>
          <cell r="C1754" t="str">
            <v>06</v>
          </cell>
          <cell r="D1754" t="str">
            <v>5</v>
          </cell>
          <cell r="E1754" t="str">
            <v>0002</v>
          </cell>
          <cell r="F1754" t="str">
            <v>0002</v>
          </cell>
          <cell r="G1754" t="str">
            <v>11902</v>
          </cell>
          <cell r="H1754" t="str">
            <v>转收机损保险费</v>
          </cell>
          <cell r="I1754" t="b">
            <v>0</v>
          </cell>
          <cell r="J1754">
            <v>7308.5</v>
          </cell>
          <cell r="K1754">
            <v>0</v>
          </cell>
          <cell r="L1754">
            <v>0</v>
          </cell>
        </row>
        <row r="1755">
          <cell r="A1755" t="str">
            <v>06</v>
          </cell>
          <cell r="B1755" t="str">
            <v>16</v>
          </cell>
          <cell r="C1755" t="str">
            <v>06</v>
          </cell>
          <cell r="D1755" t="str">
            <v>5</v>
          </cell>
          <cell r="E1755" t="str">
            <v>0004</v>
          </cell>
          <cell r="F1755" t="str">
            <v>0001</v>
          </cell>
          <cell r="G1755" t="str">
            <v>11902</v>
          </cell>
          <cell r="H1755" t="str">
            <v>转收贴息款</v>
          </cell>
          <cell r="I1755" t="b">
            <v>1</v>
          </cell>
          <cell r="J1755">
            <v>188739.81</v>
          </cell>
          <cell r="K1755">
            <v>0</v>
          </cell>
          <cell r="L1755">
            <v>0</v>
          </cell>
        </row>
        <row r="1756">
          <cell r="A1756" t="str">
            <v>06</v>
          </cell>
          <cell r="B1756" t="str">
            <v>16</v>
          </cell>
          <cell r="C1756" t="str">
            <v>06</v>
          </cell>
          <cell r="D1756" t="str">
            <v>5</v>
          </cell>
          <cell r="E1756" t="str">
            <v>0004</v>
          </cell>
          <cell r="F1756" t="str">
            <v>0004</v>
          </cell>
          <cell r="G1756" t="str">
            <v>11902</v>
          </cell>
          <cell r="H1756" t="str">
            <v>转付场地使用费</v>
          </cell>
          <cell r="I1756" t="b">
            <v>0</v>
          </cell>
          <cell r="J1756">
            <v>48640</v>
          </cell>
          <cell r="K1756">
            <v>0</v>
          </cell>
          <cell r="L1756">
            <v>0</v>
          </cell>
        </row>
        <row r="1757">
          <cell r="A1757" t="str">
            <v>06</v>
          </cell>
          <cell r="B1757" t="str">
            <v>20</v>
          </cell>
          <cell r="C1757" t="str">
            <v>06</v>
          </cell>
          <cell r="D1757" t="str">
            <v>5</v>
          </cell>
          <cell r="E1757" t="str">
            <v>0007</v>
          </cell>
          <cell r="F1757" t="str">
            <v>0003</v>
          </cell>
          <cell r="G1757" t="str">
            <v>11902</v>
          </cell>
          <cell r="H1757" t="str">
            <v>转本月中鲁酒店工人工资</v>
          </cell>
          <cell r="I1757" t="b">
            <v>1</v>
          </cell>
          <cell r="J1757">
            <v>5508</v>
          </cell>
          <cell r="K1757">
            <v>0</v>
          </cell>
          <cell r="L1757">
            <v>0</v>
          </cell>
        </row>
        <row r="1758">
          <cell r="A1758" t="str">
            <v>06</v>
          </cell>
          <cell r="B1758" t="str">
            <v>20</v>
          </cell>
          <cell r="C1758" t="str">
            <v>06</v>
          </cell>
          <cell r="D1758" t="str">
            <v>5</v>
          </cell>
          <cell r="E1758" t="str">
            <v>0009</v>
          </cell>
          <cell r="F1758" t="str">
            <v>0011</v>
          </cell>
          <cell r="G1758" t="str">
            <v>11902</v>
          </cell>
          <cell r="H1758" t="str">
            <v>转5-6月份餐费及关系用货款</v>
          </cell>
          <cell r="I1758" t="b">
            <v>0</v>
          </cell>
          <cell r="J1758">
            <v>24956.5</v>
          </cell>
          <cell r="K1758">
            <v>0</v>
          </cell>
          <cell r="L1758">
            <v>0</v>
          </cell>
        </row>
        <row r="1759">
          <cell r="A1759" t="str">
            <v>06</v>
          </cell>
          <cell r="B1759" t="str">
            <v>20</v>
          </cell>
          <cell r="C1759" t="str">
            <v>06</v>
          </cell>
          <cell r="D1759" t="str">
            <v>5</v>
          </cell>
          <cell r="E1759" t="str">
            <v>0010</v>
          </cell>
          <cell r="F1759" t="str">
            <v>0002</v>
          </cell>
          <cell r="G1759" t="str">
            <v>11902</v>
          </cell>
          <cell r="H1759" t="str">
            <v>转借款</v>
          </cell>
          <cell r="I1759" t="b">
            <v>0</v>
          </cell>
          <cell r="J1759">
            <v>52316.82</v>
          </cell>
          <cell r="K1759">
            <v>0</v>
          </cell>
          <cell r="L1759">
            <v>0</v>
          </cell>
        </row>
        <row r="1760">
          <cell r="A1760" t="str">
            <v>06</v>
          </cell>
          <cell r="B1760" t="str">
            <v>20</v>
          </cell>
          <cell r="C1760" t="str">
            <v>06</v>
          </cell>
          <cell r="D1760" t="str">
            <v>5</v>
          </cell>
          <cell r="E1760" t="str">
            <v>0010</v>
          </cell>
          <cell r="F1760" t="str">
            <v>0003</v>
          </cell>
          <cell r="G1760" t="str">
            <v>11902</v>
          </cell>
          <cell r="H1760" t="str">
            <v>转借款</v>
          </cell>
          <cell r="I1760" t="b">
            <v>0</v>
          </cell>
          <cell r="J1760">
            <v>645278.38</v>
          </cell>
          <cell r="K1760">
            <v>0</v>
          </cell>
          <cell r="L1760">
            <v>0</v>
          </cell>
        </row>
        <row r="1761">
          <cell r="A1761" t="str">
            <v>06</v>
          </cell>
          <cell r="B1761" t="str">
            <v>23</v>
          </cell>
          <cell r="C1761" t="str">
            <v>06</v>
          </cell>
          <cell r="D1761" t="str">
            <v>5</v>
          </cell>
          <cell r="E1761" t="str">
            <v>0011</v>
          </cell>
          <cell r="F1761" t="str">
            <v>0005</v>
          </cell>
          <cell r="G1761" t="str">
            <v>11902</v>
          </cell>
          <cell r="H1761" t="str">
            <v>转鲁菱公司代扣水电费.收视费等</v>
          </cell>
          <cell r="I1761" t="b">
            <v>1</v>
          </cell>
          <cell r="J1761">
            <v>4628.88</v>
          </cell>
          <cell r="K1761">
            <v>0</v>
          </cell>
          <cell r="L1761">
            <v>0</v>
          </cell>
        </row>
        <row r="1762">
          <cell r="A1762" t="str">
            <v>06</v>
          </cell>
          <cell r="B1762" t="str">
            <v>23</v>
          </cell>
          <cell r="C1762" t="str">
            <v>06</v>
          </cell>
          <cell r="D1762" t="str">
            <v>5</v>
          </cell>
          <cell r="E1762" t="str">
            <v>0011</v>
          </cell>
          <cell r="F1762" t="str">
            <v>0006</v>
          </cell>
          <cell r="G1762" t="str">
            <v>11902</v>
          </cell>
          <cell r="H1762" t="str">
            <v>转尚进公司代扣水电费.收视费等</v>
          </cell>
          <cell r="I1762" t="b">
            <v>1</v>
          </cell>
          <cell r="J1762">
            <v>1183.0999999999999</v>
          </cell>
          <cell r="K1762">
            <v>0</v>
          </cell>
          <cell r="L1762">
            <v>0</v>
          </cell>
        </row>
        <row r="1763">
          <cell r="A1763" t="str">
            <v>06</v>
          </cell>
          <cell r="B1763" t="str">
            <v>23</v>
          </cell>
          <cell r="C1763" t="str">
            <v>06</v>
          </cell>
          <cell r="D1763" t="str">
            <v>5</v>
          </cell>
          <cell r="E1763" t="str">
            <v>0012</v>
          </cell>
          <cell r="F1763" t="str">
            <v>0001</v>
          </cell>
          <cell r="G1763" t="str">
            <v>11902</v>
          </cell>
          <cell r="H1763" t="str">
            <v>转果汁货款</v>
          </cell>
          <cell r="I1763" t="b">
            <v>1</v>
          </cell>
          <cell r="J1763">
            <v>3032.4</v>
          </cell>
          <cell r="K1763">
            <v>0</v>
          </cell>
          <cell r="L1763">
            <v>0</v>
          </cell>
        </row>
        <row r="1764">
          <cell r="A1764" t="str">
            <v>06</v>
          </cell>
          <cell r="B1764" t="str">
            <v>23</v>
          </cell>
          <cell r="C1764" t="str">
            <v>06</v>
          </cell>
          <cell r="D1764" t="str">
            <v>5</v>
          </cell>
          <cell r="E1764" t="str">
            <v>0020</v>
          </cell>
          <cell r="F1764" t="str">
            <v>0001</v>
          </cell>
          <cell r="G1764" t="str">
            <v>11902</v>
          </cell>
          <cell r="H1764" t="str">
            <v>转本月二厂共同管理费用</v>
          </cell>
          <cell r="I1764" t="b">
            <v>1</v>
          </cell>
          <cell r="J1764">
            <v>364793</v>
          </cell>
          <cell r="K1764">
            <v>0</v>
          </cell>
          <cell r="L1764">
            <v>0</v>
          </cell>
        </row>
        <row r="1765">
          <cell r="A1765" t="str">
            <v>06</v>
          </cell>
          <cell r="B1765" t="str">
            <v>23</v>
          </cell>
          <cell r="C1765" t="str">
            <v>06</v>
          </cell>
          <cell r="D1765" t="str">
            <v>5</v>
          </cell>
          <cell r="E1765" t="str">
            <v>0020</v>
          </cell>
          <cell r="F1765" t="str">
            <v>0002</v>
          </cell>
          <cell r="G1765" t="str">
            <v>11902</v>
          </cell>
          <cell r="H1765" t="str">
            <v>转本月四厂共同制造.管理费用</v>
          </cell>
          <cell r="I1765" t="b">
            <v>1</v>
          </cell>
          <cell r="J1765">
            <v>118312.56</v>
          </cell>
          <cell r="K1765">
            <v>0</v>
          </cell>
          <cell r="L1765">
            <v>0</v>
          </cell>
        </row>
        <row r="1766">
          <cell r="A1766" t="str">
            <v>07</v>
          </cell>
          <cell r="B1766" t="str">
            <v>18</v>
          </cell>
          <cell r="C1766" t="str">
            <v>07</v>
          </cell>
          <cell r="D1766" t="str">
            <v>1</v>
          </cell>
          <cell r="E1766" t="str">
            <v>0007</v>
          </cell>
          <cell r="F1766" t="str">
            <v>0005</v>
          </cell>
          <cell r="G1766" t="str">
            <v>11902</v>
          </cell>
          <cell r="H1766" t="str">
            <v>收回借款</v>
          </cell>
          <cell r="I1766" t="b">
            <v>0</v>
          </cell>
          <cell r="J1766">
            <v>70000</v>
          </cell>
          <cell r="K1766">
            <v>0</v>
          </cell>
          <cell r="L1766">
            <v>0</v>
          </cell>
        </row>
        <row r="1767">
          <cell r="A1767" t="str">
            <v>07</v>
          </cell>
          <cell r="B1767" t="str">
            <v>20</v>
          </cell>
          <cell r="C1767" t="str">
            <v>07</v>
          </cell>
          <cell r="D1767" t="str">
            <v>1</v>
          </cell>
          <cell r="E1767" t="str">
            <v>0009</v>
          </cell>
          <cell r="F1767" t="str">
            <v>0003</v>
          </cell>
          <cell r="G1767" t="str">
            <v>11902</v>
          </cell>
          <cell r="H1767" t="str">
            <v>暂借款</v>
          </cell>
          <cell r="I1767" t="b">
            <v>0</v>
          </cell>
          <cell r="J1767">
            <v>115728.2</v>
          </cell>
          <cell r="K1767">
            <v>0</v>
          </cell>
          <cell r="L1767">
            <v>0</v>
          </cell>
        </row>
        <row r="1768">
          <cell r="A1768" t="str">
            <v>07</v>
          </cell>
          <cell r="B1768" t="str">
            <v>20</v>
          </cell>
          <cell r="C1768" t="str">
            <v>07</v>
          </cell>
          <cell r="D1768" t="str">
            <v>1</v>
          </cell>
          <cell r="E1768" t="str">
            <v>0009</v>
          </cell>
          <cell r="F1768" t="str">
            <v>0004</v>
          </cell>
          <cell r="G1768" t="str">
            <v>11902</v>
          </cell>
          <cell r="H1768" t="str">
            <v>暂借款</v>
          </cell>
          <cell r="I1768" t="b">
            <v>0</v>
          </cell>
          <cell r="J1768">
            <v>57864.1</v>
          </cell>
          <cell r="K1768">
            <v>0</v>
          </cell>
          <cell r="L1768">
            <v>0</v>
          </cell>
        </row>
        <row r="1769">
          <cell r="A1769" t="str">
            <v>07</v>
          </cell>
          <cell r="B1769" t="str">
            <v>10</v>
          </cell>
          <cell r="C1769" t="str">
            <v>07</v>
          </cell>
          <cell r="D1769" t="str">
            <v>2</v>
          </cell>
          <cell r="E1769" t="str">
            <v>0006</v>
          </cell>
          <cell r="F1769" t="str">
            <v>0001</v>
          </cell>
          <cell r="G1769" t="str">
            <v>11902</v>
          </cell>
          <cell r="H1769" t="str">
            <v>暂借款</v>
          </cell>
          <cell r="I1769" t="b">
            <v>1</v>
          </cell>
          <cell r="J1769">
            <v>5000</v>
          </cell>
          <cell r="K1769">
            <v>0</v>
          </cell>
          <cell r="L1769">
            <v>0</v>
          </cell>
        </row>
        <row r="1770">
          <cell r="A1770" t="str">
            <v>07</v>
          </cell>
          <cell r="B1770" t="str">
            <v>10</v>
          </cell>
          <cell r="C1770" t="str">
            <v>07</v>
          </cell>
          <cell r="D1770" t="str">
            <v>2</v>
          </cell>
          <cell r="E1770" t="str">
            <v>0006</v>
          </cell>
          <cell r="F1770" t="str">
            <v>0002</v>
          </cell>
          <cell r="G1770" t="str">
            <v>11902</v>
          </cell>
          <cell r="H1770" t="str">
            <v>暂借款</v>
          </cell>
          <cell r="I1770" t="b">
            <v>1</v>
          </cell>
          <cell r="J1770">
            <v>900</v>
          </cell>
          <cell r="K1770">
            <v>0</v>
          </cell>
          <cell r="L1770">
            <v>0</v>
          </cell>
        </row>
        <row r="1771">
          <cell r="A1771" t="str">
            <v>07</v>
          </cell>
          <cell r="B1771" t="str">
            <v>21</v>
          </cell>
          <cell r="C1771" t="str">
            <v>07</v>
          </cell>
          <cell r="D1771" t="str">
            <v>2</v>
          </cell>
          <cell r="E1771" t="str">
            <v>0021</v>
          </cell>
          <cell r="F1771" t="str">
            <v>0004</v>
          </cell>
          <cell r="G1771" t="str">
            <v>11902</v>
          </cell>
          <cell r="H1771" t="str">
            <v>暂借款</v>
          </cell>
          <cell r="I1771" t="b">
            <v>1</v>
          </cell>
          <cell r="J1771">
            <v>5000</v>
          </cell>
          <cell r="K1771">
            <v>0</v>
          </cell>
          <cell r="L1771">
            <v>0</v>
          </cell>
        </row>
        <row r="1772">
          <cell r="A1772" t="str">
            <v>07</v>
          </cell>
          <cell r="B1772" t="str">
            <v>05</v>
          </cell>
          <cell r="C1772" t="str">
            <v>07</v>
          </cell>
          <cell r="D1772" t="str">
            <v>3</v>
          </cell>
          <cell r="E1772" t="str">
            <v>0002</v>
          </cell>
          <cell r="F1772" t="str">
            <v>0005</v>
          </cell>
          <cell r="G1772" t="str">
            <v>11902</v>
          </cell>
          <cell r="H1772" t="str">
            <v>暂借款</v>
          </cell>
          <cell r="I1772" t="b">
            <v>0</v>
          </cell>
          <cell r="J1772">
            <v>1500000</v>
          </cell>
          <cell r="K1772">
            <v>0</v>
          </cell>
          <cell r="L1772">
            <v>0</v>
          </cell>
        </row>
        <row r="1773">
          <cell r="A1773" t="str">
            <v>07</v>
          </cell>
          <cell r="B1773" t="str">
            <v>15</v>
          </cell>
          <cell r="C1773" t="str">
            <v>07</v>
          </cell>
          <cell r="D1773" t="str">
            <v>3</v>
          </cell>
          <cell r="E1773" t="str">
            <v>0004</v>
          </cell>
          <cell r="F1773" t="str">
            <v>0002</v>
          </cell>
          <cell r="G1773" t="str">
            <v>11902</v>
          </cell>
          <cell r="H1773" t="str">
            <v>暂借款</v>
          </cell>
          <cell r="I1773" t="b">
            <v>0</v>
          </cell>
          <cell r="J1773">
            <v>1500000</v>
          </cell>
          <cell r="K1773">
            <v>0</v>
          </cell>
          <cell r="L1773">
            <v>0</v>
          </cell>
        </row>
        <row r="1774">
          <cell r="A1774" t="str">
            <v>07</v>
          </cell>
          <cell r="B1774" t="str">
            <v>06</v>
          </cell>
          <cell r="C1774" t="str">
            <v>07</v>
          </cell>
          <cell r="D1774" t="str">
            <v>4</v>
          </cell>
          <cell r="E1774" t="str">
            <v>0004</v>
          </cell>
          <cell r="F1774" t="str">
            <v>0002</v>
          </cell>
          <cell r="G1774" t="str">
            <v>11902</v>
          </cell>
          <cell r="H1774" t="str">
            <v>付苹果汁反倾销应诉款</v>
          </cell>
          <cell r="I1774" t="b">
            <v>1</v>
          </cell>
          <cell r="J1774">
            <v>124500</v>
          </cell>
          <cell r="K1774">
            <v>0</v>
          </cell>
          <cell r="L1774">
            <v>0</v>
          </cell>
        </row>
        <row r="1775">
          <cell r="A1775" t="str">
            <v>07</v>
          </cell>
          <cell r="B1775" t="str">
            <v>10</v>
          </cell>
          <cell r="C1775" t="str">
            <v>07</v>
          </cell>
          <cell r="D1775" t="str">
            <v>4</v>
          </cell>
          <cell r="E1775" t="str">
            <v>0006</v>
          </cell>
          <cell r="F1775" t="str">
            <v>0001</v>
          </cell>
          <cell r="G1775" t="str">
            <v>11902</v>
          </cell>
          <cell r="H1775" t="str">
            <v>暂借款</v>
          </cell>
          <cell r="I1775" t="b">
            <v>1</v>
          </cell>
          <cell r="J1775">
            <v>100000</v>
          </cell>
          <cell r="K1775">
            <v>0</v>
          </cell>
          <cell r="L1775">
            <v>0</v>
          </cell>
        </row>
        <row r="1776">
          <cell r="A1776" t="str">
            <v>07</v>
          </cell>
          <cell r="B1776" t="str">
            <v>10</v>
          </cell>
          <cell r="C1776" t="str">
            <v>07</v>
          </cell>
          <cell r="D1776" t="str">
            <v>4</v>
          </cell>
          <cell r="E1776" t="str">
            <v>0006</v>
          </cell>
          <cell r="F1776" t="str">
            <v>0002</v>
          </cell>
          <cell r="G1776" t="str">
            <v>11902</v>
          </cell>
          <cell r="H1776" t="str">
            <v>暂借款</v>
          </cell>
          <cell r="I1776" t="b">
            <v>1</v>
          </cell>
          <cell r="J1776">
            <v>2000000</v>
          </cell>
          <cell r="K1776">
            <v>0</v>
          </cell>
          <cell r="L1776">
            <v>0</v>
          </cell>
        </row>
        <row r="1777">
          <cell r="A1777" t="str">
            <v>07</v>
          </cell>
          <cell r="B1777" t="str">
            <v>10</v>
          </cell>
          <cell r="C1777" t="str">
            <v>07</v>
          </cell>
          <cell r="D1777" t="str">
            <v>4</v>
          </cell>
          <cell r="E1777" t="str">
            <v>0006</v>
          </cell>
          <cell r="F1777" t="str">
            <v>0003</v>
          </cell>
          <cell r="G1777" t="str">
            <v>11902</v>
          </cell>
          <cell r="H1777" t="str">
            <v>暂借款</v>
          </cell>
          <cell r="I1777" t="b">
            <v>1</v>
          </cell>
          <cell r="J1777">
            <v>4600000</v>
          </cell>
          <cell r="K1777">
            <v>0</v>
          </cell>
          <cell r="L1777">
            <v>0</v>
          </cell>
        </row>
        <row r="1778">
          <cell r="A1778" t="str">
            <v>07</v>
          </cell>
          <cell r="B1778" t="str">
            <v>18</v>
          </cell>
          <cell r="C1778" t="str">
            <v>07</v>
          </cell>
          <cell r="D1778" t="str">
            <v>4</v>
          </cell>
          <cell r="E1778" t="str">
            <v>0016</v>
          </cell>
          <cell r="F1778" t="str">
            <v>0003</v>
          </cell>
          <cell r="G1778" t="str">
            <v>11902</v>
          </cell>
          <cell r="H1778" t="str">
            <v>暂借款</v>
          </cell>
          <cell r="I1778" t="b">
            <v>1</v>
          </cell>
          <cell r="J1778">
            <v>500000</v>
          </cell>
          <cell r="K1778">
            <v>0</v>
          </cell>
          <cell r="L1778">
            <v>0</v>
          </cell>
        </row>
        <row r="1779">
          <cell r="A1779" t="str">
            <v>07</v>
          </cell>
          <cell r="B1779" t="str">
            <v>12</v>
          </cell>
          <cell r="C1779" t="str">
            <v>07</v>
          </cell>
          <cell r="D1779" t="str">
            <v>5</v>
          </cell>
          <cell r="E1779" t="str">
            <v>0001</v>
          </cell>
          <cell r="F1779" t="str">
            <v>0003</v>
          </cell>
          <cell r="G1779" t="str">
            <v>11902</v>
          </cell>
          <cell r="H1779" t="str">
            <v>转本月酒店工人工资</v>
          </cell>
          <cell r="I1779" t="b">
            <v>1</v>
          </cell>
          <cell r="J1779">
            <v>1908</v>
          </cell>
          <cell r="K1779">
            <v>0</v>
          </cell>
          <cell r="L1779">
            <v>0</v>
          </cell>
        </row>
        <row r="1780">
          <cell r="A1780" t="str">
            <v>07</v>
          </cell>
          <cell r="B1780" t="str">
            <v>24</v>
          </cell>
          <cell r="C1780" t="str">
            <v>07</v>
          </cell>
          <cell r="D1780" t="str">
            <v>5</v>
          </cell>
          <cell r="E1780" t="str">
            <v>0005</v>
          </cell>
          <cell r="F1780" t="str">
            <v>0001</v>
          </cell>
          <cell r="G1780" t="str">
            <v>11902</v>
          </cell>
          <cell r="H1780" t="str">
            <v>转收99年度鲁菱公司收益</v>
          </cell>
          <cell r="I1780" t="b">
            <v>1</v>
          </cell>
          <cell r="J1780">
            <v>5710110.9900000002</v>
          </cell>
          <cell r="K1780">
            <v>0</v>
          </cell>
          <cell r="L1780">
            <v>0</v>
          </cell>
        </row>
        <row r="1781">
          <cell r="A1781" t="str">
            <v>07</v>
          </cell>
          <cell r="B1781" t="str">
            <v>24</v>
          </cell>
          <cell r="C1781" t="str">
            <v>07</v>
          </cell>
          <cell r="D1781" t="str">
            <v>5</v>
          </cell>
          <cell r="E1781" t="str">
            <v>0005</v>
          </cell>
          <cell r="F1781" t="str">
            <v>0003</v>
          </cell>
          <cell r="G1781" t="str">
            <v>11902</v>
          </cell>
          <cell r="H1781" t="str">
            <v>转收99年度尚进公司收益</v>
          </cell>
          <cell r="I1781" t="b">
            <v>1</v>
          </cell>
          <cell r="J1781">
            <v>2210742.14</v>
          </cell>
          <cell r="K1781">
            <v>0</v>
          </cell>
          <cell r="L1781">
            <v>0</v>
          </cell>
        </row>
        <row r="1782">
          <cell r="A1782" t="str">
            <v>07</v>
          </cell>
          <cell r="B1782" t="str">
            <v>24</v>
          </cell>
          <cell r="C1782" t="str">
            <v>07</v>
          </cell>
          <cell r="D1782" t="str">
            <v>5</v>
          </cell>
          <cell r="E1782" t="str">
            <v>0010</v>
          </cell>
          <cell r="F1782" t="str">
            <v>0005</v>
          </cell>
          <cell r="G1782" t="str">
            <v>11902</v>
          </cell>
          <cell r="H1782" t="str">
            <v>转鲁菱公司代扣水电费.收视费等</v>
          </cell>
          <cell r="I1782" t="b">
            <v>1</v>
          </cell>
          <cell r="J1782">
            <v>4406.8</v>
          </cell>
          <cell r="K1782">
            <v>0</v>
          </cell>
          <cell r="L1782">
            <v>0</v>
          </cell>
        </row>
        <row r="1783">
          <cell r="A1783" t="str">
            <v>07</v>
          </cell>
          <cell r="B1783" t="str">
            <v>24</v>
          </cell>
          <cell r="C1783" t="str">
            <v>07</v>
          </cell>
          <cell r="D1783" t="str">
            <v>5</v>
          </cell>
          <cell r="E1783" t="str">
            <v>0010</v>
          </cell>
          <cell r="F1783" t="str">
            <v>0006</v>
          </cell>
          <cell r="G1783" t="str">
            <v>11902</v>
          </cell>
          <cell r="H1783" t="str">
            <v>转尚进公司代扣水电费.收视费等</v>
          </cell>
          <cell r="I1783" t="b">
            <v>1</v>
          </cell>
          <cell r="J1783">
            <v>1155.2</v>
          </cell>
          <cell r="K1783">
            <v>0</v>
          </cell>
          <cell r="L1783">
            <v>0</v>
          </cell>
        </row>
        <row r="1784">
          <cell r="A1784" t="str">
            <v>07</v>
          </cell>
          <cell r="B1784" t="str">
            <v>24</v>
          </cell>
          <cell r="C1784" t="str">
            <v>07</v>
          </cell>
          <cell r="D1784" t="str">
            <v>5</v>
          </cell>
          <cell r="E1784" t="str">
            <v>0011</v>
          </cell>
          <cell r="F1784" t="str">
            <v>0001</v>
          </cell>
          <cell r="G1784" t="str">
            <v>11902</v>
          </cell>
          <cell r="H1784" t="str">
            <v>转果汁款</v>
          </cell>
          <cell r="I1784" t="b">
            <v>1</v>
          </cell>
          <cell r="J1784">
            <v>3478701.62</v>
          </cell>
          <cell r="K1784">
            <v>0</v>
          </cell>
          <cell r="L1784">
            <v>0</v>
          </cell>
        </row>
        <row r="1785">
          <cell r="A1785" t="str">
            <v>07</v>
          </cell>
          <cell r="B1785" t="str">
            <v>24</v>
          </cell>
          <cell r="C1785" t="str">
            <v>07</v>
          </cell>
          <cell r="D1785" t="str">
            <v>5</v>
          </cell>
          <cell r="E1785" t="str">
            <v>0011</v>
          </cell>
          <cell r="F1785" t="str">
            <v>0005</v>
          </cell>
          <cell r="G1785" t="str">
            <v>11902</v>
          </cell>
          <cell r="H1785" t="str">
            <v>转尚进代收果汁款</v>
          </cell>
          <cell r="I1785" t="b">
            <v>1</v>
          </cell>
          <cell r="J1785">
            <v>50310</v>
          </cell>
          <cell r="K1785">
            <v>0</v>
          </cell>
          <cell r="L1785">
            <v>0</v>
          </cell>
        </row>
        <row r="1786">
          <cell r="A1786" t="str">
            <v>07</v>
          </cell>
          <cell r="B1786" t="str">
            <v>24</v>
          </cell>
          <cell r="C1786" t="str">
            <v>07</v>
          </cell>
          <cell r="D1786" t="str">
            <v>5</v>
          </cell>
          <cell r="E1786" t="str">
            <v>0011</v>
          </cell>
          <cell r="F1786" t="str">
            <v>0008</v>
          </cell>
          <cell r="G1786" t="str">
            <v>11902</v>
          </cell>
          <cell r="H1786" t="str">
            <v>转代收尚进果汁款</v>
          </cell>
          <cell r="I1786" t="b">
            <v>0</v>
          </cell>
          <cell r="J1786">
            <v>127050</v>
          </cell>
          <cell r="K1786">
            <v>0</v>
          </cell>
          <cell r="L1786">
            <v>0</v>
          </cell>
        </row>
        <row r="1787">
          <cell r="A1787" t="str">
            <v>07</v>
          </cell>
          <cell r="B1787" t="str">
            <v>25</v>
          </cell>
          <cell r="C1787" t="str">
            <v>07</v>
          </cell>
          <cell r="D1787" t="str">
            <v>5</v>
          </cell>
          <cell r="E1787" t="str">
            <v>0016</v>
          </cell>
          <cell r="F1787" t="str">
            <v>0002</v>
          </cell>
          <cell r="G1787" t="str">
            <v>11902</v>
          </cell>
          <cell r="H1787" t="str">
            <v>转借款</v>
          </cell>
          <cell r="I1787" t="b">
            <v>0</v>
          </cell>
          <cell r="J1787">
            <v>146304.66</v>
          </cell>
          <cell r="K1787">
            <v>0</v>
          </cell>
          <cell r="L1787">
            <v>0</v>
          </cell>
        </row>
        <row r="1788">
          <cell r="A1788" t="str">
            <v>07</v>
          </cell>
          <cell r="B1788" t="str">
            <v>25</v>
          </cell>
          <cell r="C1788" t="str">
            <v>07</v>
          </cell>
          <cell r="D1788" t="str">
            <v>5</v>
          </cell>
          <cell r="E1788" t="str">
            <v>0019</v>
          </cell>
          <cell r="F1788" t="str">
            <v>0002</v>
          </cell>
          <cell r="G1788" t="str">
            <v>11902</v>
          </cell>
          <cell r="H1788" t="str">
            <v>转材料款</v>
          </cell>
          <cell r="I1788" t="b">
            <v>0</v>
          </cell>
          <cell r="J1788">
            <v>10119.15</v>
          </cell>
          <cell r="K1788">
            <v>0</v>
          </cell>
          <cell r="L1788">
            <v>0</v>
          </cell>
        </row>
        <row r="1789">
          <cell r="A1789" t="str">
            <v>07</v>
          </cell>
          <cell r="B1789" t="str">
            <v>25</v>
          </cell>
          <cell r="C1789" t="str">
            <v>07</v>
          </cell>
          <cell r="D1789" t="str">
            <v>5</v>
          </cell>
          <cell r="E1789" t="str">
            <v>0021</v>
          </cell>
          <cell r="F1789" t="str">
            <v>0002</v>
          </cell>
          <cell r="G1789" t="str">
            <v>11902</v>
          </cell>
          <cell r="H1789" t="str">
            <v>转借款</v>
          </cell>
          <cell r="I1789" t="b">
            <v>0</v>
          </cell>
          <cell r="J1789">
            <v>600000</v>
          </cell>
          <cell r="K1789">
            <v>0</v>
          </cell>
          <cell r="L1789">
            <v>0</v>
          </cell>
        </row>
        <row r="1790">
          <cell r="A1790" t="str">
            <v>07</v>
          </cell>
          <cell r="B1790" t="str">
            <v>26</v>
          </cell>
          <cell r="C1790" t="str">
            <v>07</v>
          </cell>
          <cell r="D1790" t="str">
            <v>5</v>
          </cell>
          <cell r="E1790" t="str">
            <v>0025</v>
          </cell>
          <cell r="F1790" t="str">
            <v>0001</v>
          </cell>
          <cell r="G1790" t="str">
            <v>11902</v>
          </cell>
          <cell r="H1790" t="str">
            <v>转户</v>
          </cell>
          <cell r="I1790" t="b">
            <v>1</v>
          </cell>
          <cell r="J1790">
            <v>20000</v>
          </cell>
          <cell r="K1790">
            <v>0</v>
          </cell>
          <cell r="L1790">
            <v>0</v>
          </cell>
        </row>
        <row r="1791">
          <cell r="A1791" t="str">
            <v>07</v>
          </cell>
          <cell r="B1791" t="str">
            <v>27</v>
          </cell>
          <cell r="C1791" t="str">
            <v>07</v>
          </cell>
          <cell r="D1791" t="str">
            <v>5</v>
          </cell>
          <cell r="E1791" t="str">
            <v>0027</v>
          </cell>
          <cell r="F1791" t="str">
            <v>0003</v>
          </cell>
          <cell r="G1791" t="str">
            <v>11902</v>
          </cell>
          <cell r="H1791" t="str">
            <v>转购尚进果汁374.387吨</v>
          </cell>
          <cell r="I1791" t="b">
            <v>0</v>
          </cell>
          <cell r="J1791">
            <v>1686254.96</v>
          </cell>
          <cell r="K1791">
            <v>0</v>
          </cell>
          <cell r="L1791">
            <v>0</v>
          </cell>
        </row>
        <row r="1792">
          <cell r="A1792" t="str">
            <v>07</v>
          </cell>
          <cell r="B1792" t="str">
            <v>27</v>
          </cell>
          <cell r="C1792" t="str">
            <v>07</v>
          </cell>
          <cell r="D1792" t="str">
            <v>5</v>
          </cell>
          <cell r="E1792" t="str">
            <v>0028</v>
          </cell>
          <cell r="F1792" t="str">
            <v>0001</v>
          </cell>
          <cell r="G1792" t="str">
            <v>11902</v>
          </cell>
          <cell r="H1792" t="str">
            <v>转招待所7月份耗材料款</v>
          </cell>
          <cell r="I1792" t="b">
            <v>1</v>
          </cell>
          <cell r="J1792">
            <v>1177.28</v>
          </cell>
          <cell r="K1792">
            <v>0</v>
          </cell>
          <cell r="L1792">
            <v>0</v>
          </cell>
        </row>
        <row r="1793">
          <cell r="A1793" t="str">
            <v>07</v>
          </cell>
          <cell r="B1793" t="str">
            <v>27</v>
          </cell>
          <cell r="C1793" t="str">
            <v>07</v>
          </cell>
          <cell r="D1793" t="str">
            <v>5</v>
          </cell>
          <cell r="E1793" t="str">
            <v>0029</v>
          </cell>
          <cell r="F1793" t="str">
            <v>0001</v>
          </cell>
          <cell r="G1793" t="str">
            <v>11902</v>
          </cell>
          <cell r="H1793" t="str">
            <v>转7月份耗材料</v>
          </cell>
          <cell r="I1793" t="b">
            <v>1</v>
          </cell>
          <cell r="J1793">
            <v>201656.64</v>
          </cell>
          <cell r="K1793">
            <v>0</v>
          </cell>
          <cell r="L1793">
            <v>0</v>
          </cell>
        </row>
        <row r="1794">
          <cell r="A1794" t="str">
            <v>07</v>
          </cell>
          <cell r="B1794" t="str">
            <v>27</v>
          </cell>
          <cell r="C1794" t="str">
            <v>07</v>
          </cell>
          <cell r="D1794" t="str">
            <v>5</v>
          </cell>
          <cell r="E1794" t="str">
            <v>0029</v>
          </cell>
          <cell r="F1794" t="str">
            <v>0002</v>
          </cell>
          <cell r="G1794" t="str">
            <v>11902</v>
          </cell>
          <cell r="H1794" t="str">
            <v>转7月份耗材料</v>
          </cell>
          <cell r="I1794" t="b">
            <v>1</v>
          </cell>
          <cell r="J1794">
            <v>91648.72</v>
          </cell>
          <cell r="K1794">
            <v>0</v>
          </cell>
          <cell r="L1794">
            <v>0</v>
          </cell>
        </row>
        <row r="1795">
          <cell r="A1795" t="str">
            <v>07</v>
          </cell>
          <cell r="B1795" t="str">
            <v>27</v>
          </cell>
          <cell r="C1795" t="str">
            <v>07</v>
          </cell>
          <cell r="D1795" t="str">
            <v>5</v>
          </cell>
          <cell r="E1795" t="str">
            <v>0029</v>
          </cell>
          <cell r="F1795" t="str">
            <v>0003</v>
          </cell>
          <cell r="G1795" t="str">
            <v>11902</v>
          </cell>
          <cell r="H1795" t="str">
            <v>转7月份耗材料</v>
          </cell>
          <cell r="I1795" t="b">
            <v>1</v>
          </cell>
          <cell r="J1795">
            <v>1596.7</v>
          </cell>
          <cell r="K1795">
            <v>0</v>
          </cell>
          <cell r="L1795">
            <v>0</v>
          </cell>
        </row>
        <row r="1796">
          <cell r="A1796" t="str">
            <v>07</v>
          </cell>
          <cell r="B1796" t="str">
            <v>27</v>
          </cell>
          <cell r="C1796" t="str">
            <v>07</v>
          </cell>
          <cell r="D1796" t="str">
            <v>5</v>
          </cell>
          <cell r="E1796" t="str">
            <v>0034</v>
          </cell>
          <cell r="F1796" t="str">
            <v>0001</v>
          </cell>
          <cell r="G1796" t="str">
            <v>11902</v>
          </cell>
          <cell r="H1796" t="str">
            <v>转本月二厂共同管理费用</v>
          </cell>
          <cell r="I1796" t="b">
            <v>1</v>
          </cell>
          <cell r="J1796">
            <v>359053.85</v>
          </cell>
          <cell r="K1796">
            <v>0</v>
          </cell>
          <cell r="L1796">
            <v>0</v>
          </cell>
        </row>
        <row r="1797">
          <cell r="A1797" t="str">
            <v>07</v>
          </cell>
          <cell r="B1797" t="str">
            <v>27</v>
          </cell>
          <cell r="C1797" t="str">
            <v>07</v>
          </cell>
          <cell r="D1797" t="str">
            <v>5</v>
          </cell>
          <cell r="E1797" t="str">
            <v>0034</v>
          </cell>
          <cell r="F1797" t="str">
            <v>0002</v>
          </cell>
          <cell r="G1797" t="str">
            <v>11902</v>
          </cell>
          <cell r="H1797" t="str">
            <v>转本月四厂共同制造.管理费用</v>
          </cell>
          <cell r="I1797" t="b">
            <v>1</v>
          </cell>
          <cell r="J1797">
            <v>116451.13</v>
          </cell>
          <cell r="K1797">
            <v>0</v>
          </cell>
          <cell r="L1797">
            <v>0</v>
          </cell>
        </row>
        <row r="1798">
          <cell r="A1798" t="str">
            <v>08</v>
          </cell>
          <cell r="B1798" t="str">
            <v>03</v>
          </cell>
          <cell r="C1798" t="str">
            <v>08</v>
          </cell>
          <cell r="D1798" t="str">
            <v>2</v>
          </cell>
          <cell r="E1798" t="str">
            <v>0004</v>
          </cell>
          <cell r="F1798" t="str">
            <v>0003</v>
          </cell>
          <cell r="G1798" t="str">
            <v>11902</v>
          </cell>
          <cell r="H1798" t="str">
            <v>暂借款</v>
          </cell>
          <cell r="I1798" t="b">
            <v>1</v>
          </cell>
          <cell r="J1798">
            <v>10000</v>
          </cell>
          <cell r="K1798">
            <v>0</v>
          </cell>
          <cell r="L1798">
            <v>0</v>
          </cell>
        </row>
        <row r="1799">
          <cell r="A1799" t="str">
            <v>08</v>
          </cell>
          <cell r="B1799" t="str">
            <v>03</v>
          </cell>
          <cell r="C1799" t="str">
            <v>08</v>
          </cell>
          <cell r="D1799" t="str">
            <v>2</v>
          </cell>
          <cell r="E1799" t="str">
            <v>0004</v>
          </cell>
          <cell r="F1799" t="str">
            <v>0004</v>
          </cell>
          <cell r="G1799" t="str">
            <v>11902</v>
          </cell>
          <cell r="H1799" t="str">
            <v>付修理费</v>
          </cell>
          <cell r="I1799" t="b">
            <v>1</v>
          </cell>
          <cell r="J1799">
            <v>2930</v>
          </cell>
          <cell r="K1799">
            <v>0</v>
          </cell>
          <cell r="L1799">
            <v>0</v>
          </cell>
        </row>
        <row r="1800">
          <cell r="A1800" t="str">
            <v>08</v>
          </cell>
          <cell r="B1800" t="str">
            <v>18</v>
          </cell>
          <cell r="C1800" t="str">
            <v>08</v>
          </cell>
          <cell r="D1800" t="str">
            <v>2</v>
          </cell>
          <cell r="E1800" t="str">
            <v>0018</v>
          </cell>
          <cell r="F1800" t="str">
            <v>0001</v>
          </cell>
          <cell r="G1800" t="str">
            <v>11902</v>
          </cell>
          <cell r="H1800" t="str">
            <v>暂借款</v>
          </cell>
          <cell r="I1800" t="b">
            <v>1</v>
          </cell>
          <cell r="J1800">
            <v>10000</v>
          </cell>
          <cell r="K1800">
            <v>0</v>
          </cell>
          <cell r="L1800">
            <v>0</v>
          </cell>
        </row>
        <row r="1801">
          <cell r="A1801" t="str">
            <v>08</v>
          </cell>
          <cell r="B1801" t="str">
            <v>18</v>
          </cell>
          <cell r="C1801" t="str">
            <v>08</v>
          </cell>
          <cell r="D1801" t="str">
            <v>2</v>
          </cell>
          <cell r="E1801" t="str">
            <v>0018</v>
          </cell>
          <cell r="F1801" t="str">
            <v>0002</v>
          </cell>
          <cell r="G1801" t="str">
            <v>11902</v>
          </cell>
          <cell r="H1801" t="str">
            <v>暂借款</v>
          </cell>
          <cell r="I1801" t="b">
            <v>1</v>
          </cell>
          <cell r="J1801">
            <v>1970000</v>
          </cell>
          <cell r="K1801">
            <v>0</v>
          </cell>
          <cell r="L1801">
            <v>0</v>
          </cell>
        </row>
        <row r="1802">
          <cell r="A1802" t="str">
            <v>08</v>
          </cell>
          <cell r="B1802" t="str">
            <v>20</v>
          </cell>
          <cell r="C1802" t="str">
            <v>08</v>
          </cell>
          <cell r="D1802" t="str">
            <v>2</v>
          </cell>
          <cell r="E1802" t="str">
            <v>0021</v>
          </cell>
          <cell r="F1802" t="str">
            <v>0001</v>
          </cell>
          <cell r="G1802" t="str">
            <v>11902</v>
          </cell>
          <cell r="H1802" t="str">
            <v>暂借款</v>
          </cell>
          <cell r="I1802" t="b">
            <v>1</v>
          </cell>
          <cell r="J1802">
            <v>600000</v>
          </cell>
          <cell r="K1802">
            <v>0</v>
          </cell>
          <cell r="L1802">
            <v>0</v>
          </cell>
        </row>
        <row r="1803">
          <cell r="A1803" t="str">
            <v>08</v>
          </cell>
          <cell r="B1803" t="str">
            <v>05</v>
          </cell>
          <cell r="C1803" t="str">
            <v>08</v>
          </cell>
          <cell r="D1803" t="str">
            <v>3</v>
          </cell>
          <cell r="E1803" t="str">
            <v>0003</v>
          </cell>
          <cell r="F1803" t="str">
            <v>0003</v>
          </cell>
          <cell r="G1803" t="str">
            <v>11902</v>
          </cell>
          <cell r="H1803" t="str">
            <v>收借款</v>
          </cell>
          <cell r="I1803" t="b">
            <v>0</v>
          </cell>
          <cell r="J1803">
            <v>3300000</v>
          </cell>
          <cell r="K1803">
            <v>0</v>
          </cell>
          <cell r="L1803">
            <v>0</v>
          </cell>
        </row>
        <row r="1804">
          <cell r="A1804" t="str">
            <v>08</v>
          </cell>
          <cell r="B1804" t="str">
            <v>05</v>
          </cell>
          <cell r="C1804" t="str">
            <v>08</v>
          </cell>
          <cell r="D1804" t="str">
            <v>3</v>
          </cell>
          <cell r="E1804" t="str">
            <v>0003</v>
          </cell>
          <cell r="F1804" t="str">
            <v>0004</v>
          </cell>
          <cell r="G1804" t="str">
            <v>11902</v>
          </cell>
          <cell r="H1804" t="str">
            <v>收保费</v>
          </cell>
          <cell r="I1804" t="b">
            <v>0</v>
          </cell>
          <cell r="J1804">
            <v>6837</v>
          </cell>
          <cell r="K1804">
            <v>0</v>
          </cell>
          <cell r="L1804">
            <v>0</v>
          </cell>
        </row>
        <row r="1805">
          <cell r="A1805" t="str">
            <v>08</v>
          </cell>
          <cell r="B1805" t="str">
            <v>18</v>
          </cell>
          <cell r="C1805" t="str">
            <v>08</v>
          </cell>
          <cell r="D1805" t="str">
            <v>3</v>
          </cell>
          <cell r="E1805" t="str">
            <v>0007</v>
          </cell>
          <cell r="F1805" t="str">
            <v>0003</v>
          </cell>
          <cell r="G1805" t="str">
            <v>11902</v>
          </cell>
          <cell r="H1805" t="str">
            <v>暂借款</v>
          </cell>
          <cell r="I1805" t="b">
            <v>0</v>
          </cell>
          <cell r="J1805">
            <v>4000000</v>
          </cell>
          <cell r="K1805">
            <v>0</v>
          </cell>
          <cell r="L1805">
            <v>0</v>
          </cell>
        </row>
        <row r="1806">
          <cell r="A1806" t="str">
            <v>08</v>
          </cell>
          <cell r="B1806" t="str">
            <v>18</v>
          </cell>
          <cell r="C1806" t="str">
            <v>08</v>
          </cell>
          <cell r="D1806" t="str">
            <v>3</v>
          </cell>
          <cell r="E1806" t="str">
            <v>0007</v>
          </cell>
          <cell r="F1806" t="str">
            <v>0004</v>
          </cell>
          <cell r="G1806" t="str">
            <v>11902</v>
          </cell>
          <cell r="H1806" t="str">
            <v>收存款</v>
          </cell>
          <cell r="I1806" t="b">
            <v>0</v>
          </cell>
          <cell r="J1806">
            <v>160000</v>
          </cell>
          <cell r="K1806">
            <v>0</v>
          </cell>
          <cell r="L1806">
            <v>0</v>
          </cell>
        </row>
        <row r="1807">
          <cell r="A1807" t="str">
            <v>08</v>
          </cell>
          <cell r="B1807" t="str">
            <v>24</v>
          </cell>
          <cell r="C1807" t="str">
            <v>08</v>
          </cell>
          <cell r="D1807" t="str">
            <v>3</v>
          </cell>
          <cell r="E1807" t="str">
            <v>0011</v>
          </cell>
          <cell r="F1807" t="str">
            <v>0002</v>
          </cell>
          <cell r="G1807" t="str">
            <v>11902</v>
          </cell>
          <cell r="H1807" t="str">
            <v>暂借款</v>
          </cell>
          <cell r="I1807" t="b">
            <v>0</v>
          </cell>
          <cell r="J1807">
            <v>1000000</v>
          </cell>
          <cell r="K1807">
            <v>0</v>
          </cell>
          <cell r="L1807">
            <v>0</v>
          </cell>
        </row>
        <row r="1808">
          <cell r="A1808" t="str">
            <v>08</v>
          </cell>
          <cell r="B1808" t="str">
            <v>03</v>
          </cell>
          <cell r="C1808" t="str">
            <v>08</v>
          </cell>
          <cell r="D1808" t="str">
            <v>4</v>
          </cell>
          <cell r="E1808" t="str">
            <v>0005</v>
          </cell>
          <cell r="F1808" t="str">
            <v>0001</v>
          </cell>
          <cell r="G1808" t="str">
            <v>11902</v>
          </cell>
          <cell r="H1808" t="str">
            <v>暂借款</v>
          </cell>
          <cell r="I1808" t="b">
            <v>1</v>
          </cell>
          <cell r="J1808">
            <v>800000</v>
          </cell>
          <cell r="K1808">
            <v>0</v>
          </cell>
          <cell r="L1808">
            <v>0</v>
          </cell>
        </row>
        <row r="1809">
          <cell r="A1809" t="str">
            <v>08</v>
          </cell>
          <cell r="B1809" t="str">
            <v>05</v>
          </cell>
          <cell r="C1809" t="str">
            <v>08</v>
          </cell>
          <cell r="D1809" t="str">
            <v>4</v>
          </cell>
          <cell r="E1809" t="str">
            <v>0009</v>
          </cell>
          <cell r="F1809" t="str">
            <v>0001</v>
          </cell>
          <cell r="G1809" t="str">
            <v>11902</v>
          </cell>
          <cell r="H1809" t="str">
            <v>暂借款</v>
          </cell>
          <cell r="I1809" t="b">
            <v>1</v>
          </cell>
          <cell r="J1809">
            <v>200000</v>
          </cell>
          <cell r="K1809">
            <v>0</v>
          </cell>
          <cell r="L1809">
            <v>0</v>
          </cell>
        </row>
        <row r="1810">
          <cell r="A1810" t="str">
            <v>08</v>
          </cell>
          <cell r="B1810" t="str">
            <v>05</v>
          </cell>
          <cell r="C1810" t="str">
            <v>08</v>
          </cell>
          <cell r="D1810" t="str">
            <v>4</v>
          </cell>
          <cell r="E1810" t="str">
            <v>0009</v>
          </cell>
          <cell r="F1810" t="str">
            <v>0002</v>
          </cell>
          <cell r="G1810" t="str">
            <v>11902</v>
          </cell>
          <cell r="H1810" t="str">
            <v>暂借款</v>
          </cell>
          <cell r="I1810" t="b">
            <v>1</v>
          </cell>
          <cell r="J1810">
            <v>1400000</v>
          </cell>
          <cell r="K1810">
            <v>0</v>
          </cell>
          <cell r="L1810">
            <v>0</v>
          </cell>
        </row>
        <row r="1811">
          <cell r="A1811" t="str">
            <v>08</v>
          </cell>
          <cell r="B1811" t="str">
            <v>05</v>
          </cell>
          <cell r="C1811" t="str">
            <v>08</v>
          </cell>
          <cell r="D1811" t="str">
            <v>4</v>
          </cell>
          <cell r="E1811" t="str">
            <v>0009</v>
          </cell>
          <cell r="F1811" t="str">
            <v>0003</v>
          </cell>
          <cell r="G1811" t="str">
            <v>11902</v>
          </cell>
          <cell r="H1811" t="str">
            <v>暂借款</v>
          </cell>
          <cell r="I1811" t="b">
            <v>1</v>
          </cell>
          <cell r="J1811">
            <v>1500000</v>
          </cell>
          <cell r="K1811">
            <v>0</v>
          </cell>
          <cell r="L1811">
            <v>0</v>
          </cell>
        </row>
        <row r="1812">
          <cell r="A1812" t="str">
            <v>08</v>
          </cell>
          <cell r="B1812" t="str">
            <v>08</v>
          </cell>
          <cell r="C1812" t="str">
            <v>08</v>
          </cell>
          <cell r="D1812" t="str">
            <v>4</v>
          </cell>
          <cell r="E1812" t="str">
            <v>0016</v>
          </cell>
          <cell r="F1812" t="str">
            <v>0001</v>
          </cell>
          <cell r="G1812" t="str">
            <v>11902</v>
          </cell>
          <cell r="H1812" t="str">
            <v>暂借款</v>
          </cell>
          <cell r="I1812" t="b">
            <v>1</v>
          </cell>
          <cell r="J1812">
            <v>5000000</v>
          </cell>
          <cell r="K1812">
            <v>0</v>
          </cell>
          <cell r="L1812">
            <v>0</v>
          </cell>
        </row>
        <row r="1813">
          <cell r="A1813" t="str">
            <v>08</v>
          </cell>
          <cell r="B1813" t="str">
            <v>15</v>
          </cell>
          <cell r="C1813" t="str">
            <v>08</v>
          </cell>
          <cell r="D1813" t="str">
            <v>4</v>
          </cell>
          <cell r="E1813" t="str">
            <v>0018</v>
          </cell>
          <cell r="F1813" t="str">
            <v>0001</v>
          </cell>
          <cell r="G1813" t="str">
            <v>11902</v>
          </cell>
          <cell r="H1813" t="str">
            <v>暂借款</v>
          </cell>
          <cell r="I1813" t="b">
            <v>1</v>
          </cell>
          <cell r="J1813">
            <v>800000</v>
          </cell>
          <cell r="K1813">
            <v>0</v>
          </cell>
          <cell r="L1813">
            <v>0</v>
          </cell>
        </row>
        <row r="1814">
          <cell r="A1814" t="str">
            <v>08</v>
          </cell>
          <cell r="B1814" t="str">
            <v>15</v>
          </cell>
          <cell r="C1814" t="str">
            <v>08</v>
          </cell>
          <cell r="D1814" t="str">
            <v>4</v>
          </cell>
          <cell r="E1814" t="str">
            <v>0018</v>
          </cell>
          <cell r="F1814" t="str">
            <v>0002</v>
          </cell>
          <cell r="G1814" t="str">
            <v>11902</v>
          </cell>
          <cell r="H1814" t="str">
            <v>暂借款</v>
          </cell>
          <cell r="I1814" t="b">
            <v>1</v>
          </cell>
          <cell r="J1814">
            <v>2000000</v>
          </cell>
          <cell r="K1814">
            <v>0</v>
          </cell>
          <cell r="L1814">
            <v>0</v>
          </cell>
        </row>
        <row r="1815">
          <cell r="A1815" t="str">
            <v>08</v>
          </cell>
          <cell r="B1815" t="str">
            <v>15</v>
          </cell>
          <cell r="C1815" t="str">
            <v>08</v>
          </cell>
          <cell r="D1815" t="str">
            <v>4</v>
          </cell>
          <cell r="E1815" t="str">
            <v>0018</v>
          </cell>
          <cell r="F1815" t="str">
            <v>0003</v>
          </cell>
          <cell r="G1815" t="str">
            <v>11902</v>
          </cell>
          <cell r="H1815" t="str">
            <v>暂借款</v>
          </cell>
          <cell r="I1815" t="b">
            <v>1</v>
          </cell>
          <cell r="J1815">
            <v>1000000</v>
          </cell>
          <cell r="K1815">
            <v>0</v>
          </cell>
          <cell r="L1815">
            <v>0</v>
          </cell>
        </row>
        <row r="1816">
          <cell r="A1816" t="str">
            <v>08</v>
          </cell>
          <cell r="B1816" t="str">
            <v>24</v>
          </cell>
          <cell r="C1816" t="str">
            <v>08</v>
          </cell>
          <cell r="D1816" t="str">
            <v>4</v>
          </cell>
          <cell r="E1816" t="str">
            <v>0033</v>
          </cell>
          <cell r="F1816" t="str">
            <v>0001</v>
          </cell>
          <cell r="G1816" t="str">
            <v>11902</v>
          </cell>
          <cell r="H1816" t="str">
            <v>暂借款</v>
          </cell>
          <cell r="I1816" t="b">
            <v>1</v>
          </cell>
          <cell r="J1816">
            <v>1000000</v>
          </cell>
          <cell r="K1816">
            <v>0</v>
          </cell>
          <cell r="L1816">
            <v>0</v>
          </cell>
        </row>
        <row r="1817">
          <cell r="A1817" t="str">
            <v>08</v>
          </cell>
          <cell r="B1817" t="str">
            <v>08</v>
          </cell>
          <cell r="C1817" t="str">
            <v>08</v>
          </cell>
          <cell r="D1817" t="str">
            <v>5</v>
          </cell>
          <cell r="E1817" t="str">
            <v>0001</v>
          </cell>
          <cell r="F1817" t="str">
            <v>0002</v>
          </cell>
          <cell r="G1817" t="str">
            <v>11902</v>
          </cell>
          <cell r="H1817" t="str">
            <v>转本月中鲁酒店工人工资</v>
          </cell>
          <cell r="I1817" t="b">
            <v>1</v>
          </cell>
          <cell r="J1817">
            <v>1885</v>
          </cell>
          <cell r="K1817">
            <v>0</v>
          </cell>
          <cell r="L1817">
            <v>0</v>
          </cell>
        </row>
        <row r="1818">
          <cell r="A1818" t="str">
            <v>08</v>
          </cell>
          <cell r="B1818" t="str">
            <v>08</v>
          </cell>
          <cell r="C1818" t="str">
            <v>08</v>
          </cell>
          <cell r="D1818" t="str">
            <v>5</v>
          </cell>
          <cell r="E1818" t="str">
            <v>0003</v>
          </cell>
          <cell r="F1818" t="str">
            <v>0002</v>
          </cell>
          <cell r="G1818" t="str">
            <v>11902</v>
          </cell>
          <cell r="H1818" t="str">
            <v>转律师费</v>
          </cell>
          <cell r="I1818" t="b">
            <v>0</v>
          </cell>
          <cell r="J1818">
            <v>539500</v>
          </cell>
          <cell r="K1818">
            <v>0</v>
          </cell>
          <cell r="L1818">
            <v>0</v>
          </cell>
        </row>
        <row r="1819">
          <cell r="A1819" t="str">
            <v>08</v>
          </cell>
          <cell r="B1819" t="str">
            <v>24</v>
          </cell>
          <cell r="C1819" t="str">
            <v>08</v>
          </cell>
          <cell r="D1819" t="str">
            <v>5</v>
          </cell>
          <cell r="E1819" t="str">
            <v>0008</v>
          </cell>
          <cell r="F1819" t="str">
            <v>0003</v>
          </cell>
          <cell r="G1819" t="str">
            <v>11902</v>
          </cell>
          <cell r="H1819" t="str">
            <v>转购尚进果汁1000吨</v>
          </cell>
          <cell r="I1819" t="b">
            <v>0</v>
          </cell>
          <cell r="J1819">
            <v>5265000</v>
          </cell>
          <cell r="K1819">
            <v>0</v>
          </cell>
          <cell r="L1819">
            <v>0</v>
          </cell>
        </row>
        <row r="1820">
          <cell r="A1820" t="str">
            <v>08</v>
          </cell>
          <cell r="B1820" t="str">
            <v>24</v>
          </cell>
          <cell r="C1820" t="str">
            <v>08</v>
          </cell>
          <cell r="D1820" t="str">
            <v>5</v>
          </cell>
          <cell r="E1820" t="str">
            <v>0009</v>
          </cell>
          <cell r="F1820" t="str">
            <v>0002</v>
          </cell>
          <cell r="G1820" t="str">
            <v>11902</v>
          </cell>
          <cell r="H1820" t="str">
            <v>转借款</v>
          </cell>
          <cell r="I1820" t="b">
            <v>0</v>
          </cell>
          <cell r="J1820">
            <v>234363.78</v>
          </cell>
          <cell r="K1820">
            <v>0</v>
          </cell>
          <cell r="L1820">
            <v>0</v>
          </cell>
        </row>
        <row r="1821">
          <cell r="A1821" t="str">
            <v>08</v>
          </cell>
          <cell r="B1821" t="str">
            <v>24</v>
          </cell>
          <cell r="C1821" t="str">
            <v>08</v>
          </cell>
          <cell r="D1821" t="str">
            <v>5</v>
          </cell>
          <cell r="E1821" t="str">
            <v>0010</v>
          </cell>
          <cell r="F1821" t="str">
            <v>0005</v>
          </cell>
          <cell r="G1821" t="str">
            <v>11902</v>
          </cell>
          <cell r="H1821" t="str">
            <v>转鲁菱公司代扣水电费.收视费等</v>
          </cell>
          <cell r="I1821" t="b">
            <v>1</v>
          </cell>
          <cell r="J1821">
            <v>7182.26</v>
          </cell>
          <cell r="K1821">
            <v>0</v>
          </cell>
          <cell r="L1821">
            <v>0</v>
          </cell>
        </row>
        <row r="1822">
          <cell r="A1822" t="str">
            <v>08</v>
          </cell>
          <cell r="B1822" t="str">
            <v>24</v>
          </cell>
          <cell r="C1822" t="str">
            <v>08</v>
          </cell>
          <cell r="D1822" t="str">
            <v>5</v>
          </cell>
          <cell r="E1822" t="str">
            <v>0010</v>
          </cell>
          <cell r="F1822" t="str">
            <v>0006</v>
          </cell>
          <cell r="G1822" t="str">
            <v>11902</v>
          </cell>
          <cell r="H1822" t="str">
            <v>转尚进公司代扣水电费.收视费等</v>
          </cell>
          <cell r="I1822" t="b">
            <v>1</v>
          </cell>
          <cell r="J1822">
            <v>1257.3</v>
          </cell>
          <cell r="K1822">
            <v>0</v>
          </cell>
          <cell r="L1822">
            <v>0</v>
          </cell>
        </row>
        <row r="1823">
          <cell r="A1823" t="str">
            <v>08</v>
          </cell>
          <cell r="B1823" t="str">
            <v>27</v>
          </cell>
          <cell r="C1823" t="str">
            <v>08</v>
          </cell>
          <cell r="D1823" t="str">
            <v>5</v>
          </cell>
          <cell r="E1823" t="str">
            <v>0016</v>
          </cell>
          <cell r="F1823" t="str">
            <v>0001</v>
          </cell>
          <cell r="G1823" t="str">
            <v>11902</v>
          </cell>
          <cell r="H1823" t="str">
            <v>转鲁菱公司本月管理部门耗材料</v>
          </cell>
          <cell r="I1823" t="b">
            <v>1</v>
          </cell>
          <cell r="J1823">
            <v>346972.4</v>
          </cell>
          <cell r="K1823">
            <v>0</v>
          </cell>
          <cell r="L1823">
            <v>0</v>
          </cell>
        </row>
        <row r="1824">
          <cell r="A1824" t="str">
            <v>08</v>
          </cell>
          <cell r="B1824" t="str">
            <v>27</v>
          </cell>
          <cell r="C1824" t="str">
            <v>08</v>
          </cell>
          <cell r="D1824" t="str">
            <v>5</v>
          </cell>
          <cell r="E1824" t="str">
            <v>0016</v>
          </cell>
          <cell r="F1824" t="str">
            <v>0002</v>
          </cell>
          <cell r="G1824" t="str">
            <v>11902</v>
          </cell>
          <cell r="H1824" t="str">
            <v>转尚进公司本月耗材料</v>
          </cell>
          <cell r="I1824" t="b">
            <v>1</v>
          </cell>
          <cell r="J1824">
            <v>176564.45</v>
          </cell>
          <cell r="K1824">
            <v>0</v>
          </cell>
          <cell r="L1824">
            <v>0</v>
          </cell>
        </row>
        <row r="1825">
          <cell r="A1825" t="str">
            <v>08</v>
          </cell>
          <cell r="B1825" t="str">
            <v>27</v>
          </cell>
          <cell r="C1825" t="str">
            <v>08</v>
          </cell>
          <cell r="D1825" t="str">
            <v>5</v>
          </cell>
          <cell r="E1825" t="str">
            <v>0016</v>
          </cell>
          <cell r="F1825" t="str">
            <v>0003</v>
          </cell>
          <cell r="G1825" t="str">
            <v>11902</v>
          </cell>
          <cell r="H1825" t="str">
            <v>转五莲分公司本月耗材料</v>
          </cell>
          <cell r="I1825" t="b">
            <v>1</v>
          </cell>
          <cell r="J1825">
            <v>296967.18</v>
          </cell>
          <cell r="K1825">
            <v>0</v>
          </cell>
          <cell r="L1825">
            <v>0</v>
          </cell>
        </row>
        <row r="1826">
          <cell r="A1826" t="str">
            <v>08</v>
          </cell>
          <cell r="B1826" t="str">
            <v>27</v>
          </cell>
          <cell r="C1826" t="str">
            <v>08</v>
          </cell>
          <cell r="D1826" t="str">
            <v>5</v>
          </cell>
          <cell r="E1826" t="str">
            <v>0016</v>
          </cell>
          <cell r="F1826" t="str">
            <v>0004</v>
          </cell>
          <cell r="G1826" t="str">
            <v>11902</v>
          </cell>
          <cell r="H1826" t="str">
            <v>转平原分公司本月耗材料</v>
          </cell>
          <cell r="I1826" t="b">
            <v>1</v>
          </cell>
          <cell r="J1826">
            <v>174121.04</v>
          </cell>
          <cell r="K1826">
            <v>0</v>
          </cell>
          <cell r="L1826">
            <v>0</v>
          </cell>
        </row>
        <row r="1827">
          <cell r="A1827" t="str">
            <v>08</v>
          </cell>
          <cell r="B1827" t="str">
            <v>27</v>
          </cell>
          <cell r="C1827" t="str">
            <v>08</v>
          </cell>
          <cell r="D1827" t="str">
            <v>5</v>
          </cell>
          <cell r="E1827" t="str">
            <v>0021</v>
          </cell>
          <cell r="F1827" t="str">
            <v>0002</v>
          </cell>
          <cell r="G1827" t="str">
            <v>11902</v>
          </cell>
          <cell r="H1827" t="str">
            <v>转99年度应付利润</v>
          </cell>
          <cell r="I1827" t="b">
            <v>0</v>
          </cell>
          <cell r="J1827">
            <v>1616099.15</v>
          </cell>
          <cell r="K1827">
            <v>0</v>
          </cell>
          <cell r="L1827">
            <v>0</v>
          </cell>
        </row>
        <row r="1828">
          <cell r="A1828" t="str">
            <v>08</v>
          </cell>
          <cell r="B1828" t="str">
            <v>31</v>
          </cell>
          <cell r="C1828" t="str">
            <v>08</v>
          </cell>
          <cell r="D1828" t="str">
            <v>5</v>
          </cell>
          <cell r="E1828" t="str">
            <v>0031</v>
          </cell>
          <cell r="F1828" t="str">
            <v>0001</v>
          </cell>
          <cell r="G1828" t="str">
            <v>11902</v>
          </cell>
          <cell r="H1828" t="str">
            <v>转本月共同管理费用</v>
          </cell>
          <cell r="I1828" t="b">
            <v>1</v>
          </cell>
          <cell r="J1828">
            <v>612471.56000000006</v>
          </cell>
          <cell r="K1828">
            <v>0</v>
          </cell>
          <cell r="L1828">
            <v>0</v>
          </cell>
        </row>
        <row r="1829">
          <cell r="A1829" t="str">
            <v>08</v>
          </cell>
          <cell r="B1829" t="str">
            <v>31</v>
          </cell>
          <cell r="C1829" t="str">
            <v>08</v>
          </cell>
          <cell r="D1829" t="str">
            <v>5</v>
          </cell>
          <cell r="E1829" t="str">
            <v>0031</v>
          </cell>
          <cell r="F1829" t="str">
            <v>0002</v>
          </cell>
          <cell r="G1829" t="str">
            <v>11902</v>
          </cell>
          <cell r="H1829" t="str">
            <v>转本月共同管理费用</v>
          </cell>
          <cell r="I1829" t="b">
            <v>1</v>
          </cell>
          <cell r="J1829">
            <v>198641.61</v>
          </cell>
          <cell r="K1829">
            <v>0</v>
          </cell>
          <cell r="L1829">
            <v>0</v>
          </cell>
        </row>
        <row r="1830">
          <cell r="A1830" t="str">
            <v>09</v>
          </cell>
          <cell r="B1830" t="str">
            <v>06</v>
          </cell>
          <cell r="C1830" t="str">
            <v>09</v>
          </cell>
          <cell r="D1830" t="str">
            <v>1</v>
          </cell>
          <cell r="E1830" t="str">
            <v>0004</v>
          </cell>
          <cell r="F1830" t="str">
            <v>0002</v>
          </cell>
          <cell r="G1830" t="str">
            <v>11902</v>
          </cell>
          <cell r="H1830" t="str">
            <v>收借款</v>
          </cell>
          <cell r="I1830" t="b">
            <v>0</v>
          </cell>
          <cell r="J1830">
            <v>1000000</v>
          </cell>
          <cell r="K1830">
            <v>0</v>
          </cell>
          <cell r="L1830">
            <v>0</v>
          </cell>
        </row>
        <row r="1831">
          <cell r="A1831" t="str">
            <v>09</v>
          </cell>
          <cell r="B1831" t="str">
            <v>12</v>
          </cell>
          <cell r="C1831" t="str">
            <v>09</v>
          </cell>
          <cell r="D1831" t="str">
            <v>2</v>
          </cell>
          <cell r="E1831" t="str">
            <v>0008</v>
          </cell>
          <cell r="F1831" t="str">
            <v>0001</v>
          </cell>
          <cell r="G1831" t="str">
            <v>11902</v>
          </cell>
          <cell r="H1831" t="str">
            <v>暂借款</v>
          </cell>
          <cell r="I1831" t="b">
            <v>1</v>
          </cell>
          <cell r="J1831">
            <v>10247.049999999999</v>
          </cell>
          <cell r="K1831">
            <v>0</v>
          </cell>
          <cell r="L1831">
            <v>0</v>
          </cell>
        </row>
        <row r="1832">
          <cell r="A1832" t="str">
            <v>09</v>
          </cell>
          <cell r="B1832" t="str">
            <v>12</v>
          </cell>
          <cell r="C1832" t="str">
            <v>09</v>
          </cell>
          <cell r="D1832" t="str">
            <v>2</v>
          </cell>
          <cell r="E1832" t="str">
            <v>0008</v>
          </cell>
          <cell r="F1832" t="str">
            <v>0002</v>
          </cell>
          <cell r="G1832" t="str">
            <v>11902</v>
          </cell>
          <cell r="H1832" t="str">
            <v>暂借款</v>
          </cell>
          <cell r="I1832" t="b">
            <v>1</v>
          </cell>
          <cell r="J1832">
            <v>70</v>
          </cell>
          <cell r="K1832">
            <v>0</v>
          </cell>
          <cell r="L1832">
            <v>0</v>
          </cell>
        </row>
        <row r="1833">
          <cell r="A1833" t="str">
            <v>09</v>
          </cell>
          <cell r="B1833" t="str">
            <v>12</v>
          </cell>
          <cell r="C1833" t="str">
            <v>09</v>
          </cell>
          <cell r="D1833" t="str">
            <v>2</v>
          </cell>
          <cell r="E1833" t="str">
            <v>0008</v>
          </cell>
          <cell r="F1833" t="str">
            <v>0003</v>
          </cell>
          <cell r="G1833" t="str">
            <v>11902</v>
          </cell>
          <cell r="H1833" t="str">
            <v>暂借款</v>
          </cell>
          <cell r="I1833" t="b">
            <v>1</v>
          </cell>
          <cell r="J1833">
            <v>1175.0999999999999</v>
          </cell>
          <cell r="K1833">
            <v>0</v>
          </cell>
          <cell r="L1833">
            <v>0</v>
          </cell>
        </row>
        <row r="1834">
          <cell r="A1834" t="str">
            <v>09</v>
          </cell>
          <cell r="B1834" t="str">
            <v>12</v>
          </cell>
          <cell r="C1834" t="str">
            <v>09</v>
          </cell>
          <cell r="D1834" t="str">
            <v>2</v>
          </cell>
          <cell r="E1834" t="str">
            <v>0008</v>
          </cell>
          <cell r="F1834" t="str">
            <v>0004</v>
          </cell>
          <cell r="G1834" t="str">
            <v>11902</v>
          </cell>
          <cell r="H1834" t="str">
            <v>暂借款</v>
          </cell>
          <cell r="I1834" t="b">
            <v>1</v>
          </cell>
          <cell r="J1834">
            <v>11550</v>
          </cell>
          <cell r="K1834">
            <v>0</v>
          </cell>
          <cell r="L1834">
            <v>0</v>
          </cell>
        </row>
        <row r="1835">
          <cell r="A1835" t="str">
            <v>09</v>
          </cell>
          <cell r="B1835" t="str">
            <v>12</v>
          </cell>
          <cell r="C1835" t="str">
            <v>09</v>
          </cell>
          <cell r="D1835" t="str">
            <v>2</v>
          </cell>
          <cell r="E1835" t="str">
            <v>0008</v>
          </cell>
          <cell r="F1835" t="str">
            <v>0005</v>
          </cell>
          <cell r="G1835" t="str">
            <v>11902</v>
          </cell>
          <cell r="H1835" t="str">
            <v>暂借款</v>
          </cell>
          <cell r="I1835" t="b">
            <v>1</v>
          </cell>
          <cell r="J1835">
            <v>4500</v>
          </cell>
          <cell r="K1835">
            <v>0</v>
          </cell>
          <cell r="L1835">
            <v>0</v>
          </cell>
        </row>
        <row r="1836">
          <cell r="A1836" t="str">
            <v>09</v>
          </cell>
          <cell r="B1836" t="str">
            <v>15</v>
          </cell>
          <cell r="C1836" t="str">
            <v>09</v>
          </cell>
          <cell r="D1836" t="str">
            <v>2</v>
          </cell>
          <cell r="E1836" t="str">
            <v>0009</v>
          </cell>
          <cell r="F1836" t="str">
            <v>0001</v>
          </cell>
          <cell r="G1836" t="str">
            <v>11902</v>
          </cell>
          <cell r="H1836" t="str">
            <v>暂借款</v>
          </cell>
          <cell r="I1836" t="b">
            <v>1</v>
          </cell>
          <cell r="J1836">
            <v>2095000</v>
          </cell>
          <cell r="K1836">
            <v>0</v>
          </cell>
          <cell r="L1836">
            <v>0</v>
          </cell>
        </row>
        <row r="1837">
          <cell r="A1837" t="str">
            <v>09</v>
          </cell>
          <cell r="B1837" t="str">
            <v>15</v>
          </cell>
          <cell r="C1837" t="str">
            <v>09</v>
          </cell>
          <cell r="D1837" t="str">
            <v>2</v>
          </cell>
          <cell r="E1837" t="str">
            <v>0009</v>
          </cell>
          <cell r="F1837" t="str">
            <v>0002</v>
          </cell>
          <cell r="G1837" t="str">
            <v>11902</v>
          </cell>
          <cell r="H1837" t="str">
            <v>暂借款</v>
          </cell>
          <cell r="I1837" t="b">
            <v>1</v>
          </cell>
          <cell r="J1837">
            <v>20000</v>
          </cell>
          <cell r="K1837">
            <v>0</v>
          </cell>
          <cell r="L1837">
            <v>0</v>
          </cell>
        </row>
        <row r="1838">
          <cell r="A1838" t="str">
            <v>09</v>
          </cell>
          <cell r="B1838" t="str">
            <v>15</v>
          </cell>
          <cell r="C1838" t="str">
            <v>09</v>
          </cell>
          <cell r="D1838" t="str">
            <v>2</v>
          </cell>
          <cell r="E1838" t="str">
            <v>0009</v>
          </cell>
          <cell r="F1838" t="str">
            <v>0003</v>
          </cell>
          <cell r="G1838" t="str">
            <v>11902</v>
          </cell>
          <cell r="H1838" t="str">
            <v>暂借款</v>
          </cell>
          <cell r="I1838" t="b">
            <v>1</v>
          </cell>
          <cell r="J1838">
            <v>5000</v>
          </cell>
          <cell r="K1838">
            <v>0</v>
          </cell>
          <cell r="L1838">
            <v>0</v>
          </cell>
        </row>
        <row r="1839">
          <cell r="A1839" t="str">
            <v>09</v>
          </cell>
          <cell r="B1839" t="str">
            <v>15</v>
          </cell>
          <cell r="C1839" t="str">
            <v>09</v>
          </cell>
          <cell r="D1839" t="str">
            <v>2</v>
          </cell>
          <cell r="E1839" t="str">
            <v>0009</v>
          </cell>
          <cell r="F1839" t="str">
            <v>0004</v>
          </cell>
          <cell r="G1839" t="str">
            <v>11902</v>
          </cell>
          <cell r="H1839" t="str">
            <v>暂借款</v>
          </cell>
          <cell r="I1839" t="b">
            <v>1</v>
          </cell>
          <cell r="J1839">
            <v>1870000</v>
          </cell>
          <cell r="K1839">
            <v>0</v>
          </cell>
          <cell r="L1839">
            <v>0</v>
          </cell>
        </row>
        <row r="1840">
          <cell r="A1840" t="str">
            <v>09</v>
          </cell>
          <cell r="B1840" t="str">
            <v>01</v>
          </cell>
          <cell r="C1840" t="str">
            <v>09</v>
          </cell>
          <cell r="D1840" t="str">
            <v>3</v>
          </cell>
          <cell r="E1840" t="str">
            <v>0001</v>
          </cell>
          <cell r="F1840" t="str">
            <v>0002</v>
          </cell>
          <cell r="G1840" t="str">
            <v>11902</v>
          </cell>
          <cell r="H1840" t="str">
            <v>暂借款</v>
          </cell>
          <cell r="I1840" t="b">
            <v>0</v>
          </cell>
          <cell r="J1840">
            <v>3000000</v>
          </cell>
          <cell r="K1840">
            <v>0</v>
          </cell>
          <cell r="L1840">
            <v>0</v>
          </cell>
        </row>
        <row r="1841">
          <cell r="A1841" t="str">
            <v>09</v>
          </cell>
          <cell r="B1841" t="str">
            <v>21</v>
          </cell>
          <cell r="C1841" t="str">
            <v>09</v>
          </cell>
          <cell r="D1841" t="str">
            <v>3</v>
          </cell>
          <cell r="E1841" t="str">
            <v>0006</v>
          </cell>
          <cell r="F1841" t="str">
            <v>0003</v>
          </cell>
          <cell r="G1841" t="str">
            <v>11902</v>
          </cell>
          <cell r="H1841" t="str">
            <v>暂借款</v>
          </cell>
          <cell r="I1841" t="b">
            <v>0</v>
          </cell>
          <cell r="J1841">
            <v>2500000</v>
          </cell>
          <cell r="K1841">
            <v>0</v>
          </cell>
          <cell r="L1841">
            <v>0</v>
          </cell>
        </row>
        <row r="1842">
          <cell r="A1842" t="str">
            <v>09</v>
          </cell>
          <cell r="B1842" t="str">
            <v>21</v>
          </cell>
          <cell r="C1842" t="str">
            <v>09</v>
          </cell>
          <cell r="D1842" t="str">
            <v>3</v>
          </cell>
          <cell r="E1842" t="str">
            <v>0006</v>
          </cell>
          <cell r="F1842" t="str">
            <v>0004</v>
          </cell>
          <cell r="G1842" t="str">
            <v>11902</v>
          </cell>
          <cell r="H1842" t="str">
            <v>暂借款</v>
          </cell>
          <cell r="I1842" t="b">
            <v>0</v>
          </cell>
          <cell r="J1842">
            <v>1200000</v>
          </cell>
          <cell r="K1842">
            <v>0</v>
          </cell>
          <cell r="L1842">
            <v>0</v>
          </cell>
        </row>
        <row r="1843">
          <cell r="A1843" t="str">
            <v>09</v>
          </cell>
          <cell r="B1843" t="str">
            <v>01</v>
          </cell>
          <cell r="C1843" t="str">
            <v>09</v>
          </cell>
          <cell r="D1843" t="str">
            <v>4</v>
          </cell>
          <cell r="E1843" t="str">
            <v>0002</v>
          </cell>
          <cell r="F1843" t="str">
            <v>0002</v>
          </cell>
          <cell r="G1843" t="str">
            <v>11902</v>
          </cell>
          <cell r="H1843" t="str">
            <v>代付运费</v>
          </cell>
          <cell r="I1843" t="b">
            <v>1</v>
          </cell>
          <cell r="J1843">
            <v>3400</v>
          </cell>
          <cell r="K1843">
            <v>0</v>
          </cell>
          <cell r="L1843">
            <v>0</v>
          </cell>
        </row>
        <row r="1844">
          <cell r="A1844" t="str">
            <v>09</v>
          </cell>
          <cell r="B1844" t="str">
            <v>01</v>
          </cell>
          <cell r="C1844" t="str">
            <v>09</v>
          </cell>
          <cell r="D1844" t="str">
            <v>4</v>
          </cell>
          <cell r="E1844" t="str">
            <v>0002</v>
          </cell>
          <cell r="F1844" t="str">
            <v>0003</v>
          </cell>
          <cell r="G1844" t="str">
            <v>11902</v>
          </cell>
          <cell r="H1844" t="str">
            <v>代付运费</v>
          </cell>
          <cell r="I1844" t="b">
            <v>1</v>
          </cell>
          <cell r="J1844">
            <v>2200</v>
          </cell>
          <cell r="K1844">
            <v>0</v>
          </cell>
          <cell r="L1844">
            <v>0</v>
          </cell>
        </row>
        <row r="1845">
          <cell r="A1845" t="str">
            <v>09</v>
          </cell>
          <cell r="B1845" t="str">
            <v>01</v>
          </cell>
          <cell r="C1845" t="str">
            <v>09</v>
          </cell>
          <cell r="D1845" t="str">
            <v>4</v>
          </cell>
          <cell r="E1845" t="str">
            <v>0003</v>
          </cell>
          <cell r="F1845" t="str">
            <v>0002</v>
          </cell>
          <cell r="G1845" t="str">
            <v>11902</v>
          </cell>
          <cell r="H1845" t="str">
            <v>代付运费</v>
          </cell>
          <cell r="I1845" t="b">
            <v>1</v>
          </cell>
          <cell r="J1845">
            <v>21192.6</v>
          </cell>
          <cell r="K1845">
            <v>0</v>
          </cell>
          <cell r="L1845">
            <v>0</v>
          </cell>
        </row>
        <row r="1846">
          <cell r="A1846" t="str">
            <v>09</v>
          </cell>
          <cell r="B1846" t="str">
            <v>06</v>
          </cell>
          <cell r="C1846" t="str">
            <v>09</v>
          </cell>
          <cell r="D1846" t="str">
            <v>4</v>
          </cell>
          <cell r="E1846" t="str">
            <v>0009</v>
          </cell>
          <cell r="F1846" t="str">
            <v>0001</v>
          </cell>
          <cell r="G1846" t="str">
            <v>11902</v>
          </cell>
          <cell r="H1846" t="str">
            <v>暂借款</v>
          </cell>
          <cell r="I1846" t="b">
            <v>1</v>
          </cell>
          <cell r="J1846">
            <v>1500000</v>
          </cell>
          <cell r="K1846">
            <v>0</v>
          </cell>
          <cell r="L1846">
            <v>0</v>
          </cell>
        </row>
        <row r="1847">
          <cell r="A1847" t="str">
            <v>09</v>
          </cell>
          <cell r="B1847" t="str">
            <v>06</v>
          </cell>
          <cell r="C1847" t="str">
            <v>09</v>
          </cell>
          <cell r="D1847" t="str">
            <v>4</v>
          </cell>
          <cell r="E1847" t="str">
            <v>0009</v>
          </cell>
          <cell r="F1847" t="str">
            <v>0002</v>
          </cell>
          <cell r="G1847" t="str">
            <v>11902</v>
          </cell>
          <cell r="H1847" t="str">
            <v>暂借款</v>
          </cell>
          <cell r="I1847" t="b">
            <v>1</v>
          </cell>
          <cell r="J1847">
            <v>3800000</v>
          </cell>
          <cell r="K1847">
            <v>0</v>
          </cell>
          <cell r="L1847">
            <v>0</v>
          </cell>
        </row>
        <row r="1848">
          <cell r="A1848" t="str">
            <v>09</v>
          </cell>
          <cell r="B1848" t="str">
            <v>06</v>
          </cell>
          <cell r="C1848" t="str">
            <v>09</v>
          </cell>
          <cell r="D1848" t="str">
            <v>4</v>
          </cell>
          <cell r="E1848" t="str">
            <v>0009</v>
          </cell>
          <cell r="F1848" t="str">
            <v>0003</v>
          </cell>
          <cell r="G1848" t="str">
            <v>11902</v>
          </cell>
          <cell r="H1848" t="str">
            <v>暂借款</v>
          </cell>
          <cell r="I1848" t="b">
            <v>1</v>
          </cell>
          <cell r="J1848">
            <v>406580</v>
          </cell>
          <cell r="K1848">
            <v>0</v>
          </cell>
          <cell r="L1848">
            <v>0</v>
          </cell>
        </row>
        <row r="1849">
          <cell r="A1849" t="str">
            <v>09</v>
          </cell>
          <cell r="B1849" t="str">
            <v>08</v>
          </cell>
          <cell r="C1849" t="str">
            <v>09</v>
          </cell>
          <cell r="D1849" t="str">
            <v>4</v>
          </cell>
          <cell r="E1849" t="str">
            <v>0011</v>
          </cell>
          <cell r="F1849" t="str">
            <v>0001</v>
          </cell>
          <cell r="G1849" t="str">
            <v>11902</v>
          </cell>
          <cell r="H1849" t="str">
            <v>暂借款</v>
          </cell>
          <cell r="I1849" t="b">
            <v>1</v>
          </cell>
          <cell r="J1849">
            <v>1800000</v>
          </cell>
          <cell r="K1849">
            <v>0</v>
          </cell>
          <cell r="L1849">
            <v>0</v>
          </cell>
        </row>
        <row r="1850">
          <cell r="A1850" t="str">
            <v>09</v>
          </cell>
          <cell r="B1850" t="str">
            <v>08</v>
          </cell>
          <cell r="C1850" t="str">
            <v>09</v>
          </cell>
          <cell r="D1850" t="str">
            <v>4</v>
          </cell>
          <cell r="E1850" t="str">
            <v>0011</v>
          </cell>
          <cell r="F1850" t="str">
            <v>0002</v>
          </cell>
          <cell r="G1850" t="str">
            <v>11902</v>
          </cell>
          <cell r="H1850" t="str">
            <v>暂借款</v>
          </cell>
          <cell r="I1850" t="b">
            <v>1</v>
          </cell>
          <cell r="J1850">
            <v>500000</v>
          </cell>
          <cell r="K1850">
            <v>0</v>
          </cell>
          <cell r="L1850">
            <v>0</v>
          </cell>
        </row>
        <row r="1851">
          <cell r="A1851" t="str">
            <v>09</v>
          </cell>
          <cell r="B1851" t="str">
            <v>08</v>
          </cell>
          <cell r="C1851" t="str">
            <v>09</v>
          </cell>
          <cell r="D1851" t="str">
            <v>4</v>
          </cell>
          <cell r="E1851" t="str">
            <v>0011</v>
          </cell>
          <cell r="F1851" t="str">
            <v>0003</v>
          </cell>
          <cell r="G1851" t="str">
            <v>11902</v>
          </cell>
          <cell r="H1851" t="str">
            <v>暂借款</v>
          </cell>
          <cell r="I1851" t="b">
            <v>1</v>
          </cell>
          <cell r="J1851">
            <v>1000000</v>
          </cell>
          <cell r="K1851">
            <v>0</v>
          </cell>
          <cell r="L1851">
            <v>0</v>
          </cell>
        </row>
        <row r="1852">
          <cell r="A1852" t="str">
            <v>09</v>
          </cell>
          <cell r="B1852" t="str">
            <v>15</v>
          </cell>
          <cell r="C1852" t="str">
            <v>09</v>
          </cell>
          <cell r="D1852" t="str">
            <v>4</v>
          </cell>
          <cell r="E1852" t="str">
            <v>0020</v>
          </cell>
          <cell r="F1852" t="str">
            <v>0001</v>
          </cell>
          <cell r="G1852" t="str">
            <v>11902</v>
          </cell>
          <cell r="H1852" t="str">
            <v>暂借款</v>
          </cell>
          <cell r="I1852" t="b">
            <v>1</v>
          </cell>
          <cell r="J1852">
            <v>2000000</v>
          </cell>
          <cell r="K1852">
            <v>0</v>
          </cell>
          <cell r="L1852">
            <v>0</v>
          </cell>
        </row>
        <row r="1853">
          <cell r="A1853" t="str">
            <v>09</v>
          </cell>
          <cell r="B1853" t="str">
            <v>15</v>
          </cell>
          <cell r="C1853" t="str">
            <v>09</v>
          </cell>
          <cell r="D1853" t="str">
            <v>4</v>
          </cell>
          <cell r="E1853" t="str">
            <v>0020</v>
          </cell>
          <cell r="F1853" t="str">
            <v>0002</v>
          </cell>
          <cell r="G1853" t="str">
            <v>11902</v>
          </cell>
          <cell r="H1853" t="str">
            <v>暂借款</v>
          </cell>
          <cell r="I1853" t="b">
            <v>1</v>
          </cell>
          <cell r="J1853">
            <v>600000</v>
          </cell>
          <cell r="K1853">
            <v>0</v>
          </cell>
          <cell r="L1853">
            <v>0</v>
          </cell>
        </row>
        <row r="1854">
          <cell r="A1854" t="str">
            <v>09</v>
          </cell>
          <cell r="B1854" t="str">
            <v>15</v>
          </cell>
          <cell r="C1854" t="str">
            <v>09</v>
          </cell>
          <cell r="D1854" t="str">
            <v>4</v>
          </cell>
          <cell r="E1854" t="str">
            <v>0020</v>
          </cell>
          <cell r="F1854" t="str">
            <v>0003</v>
          </cell>
          <cell r="G1854" t="str">
            <v>11902</v>
          </cell>
          <cell r="H1854" t="str">
            <v>暂借款</v>
          </cell>
          <cell r="I1854" t="b">
            <v>1</v>
          </cell>
          <cell r="J1854">
            <v>1000000</v>
          </cell>
          <cell r="K1854">
            <v>0</v>
          </cell>
          <cell r="L1854">
            <v>0</v>
          </cell>
        </row>
        <row r="1855">
          <cell r="A1855" t="str">
            <v>09</v>
          </cell>
          <cell r="B1855" t="str">
            <v>15</v>
          </cell>
          <cell r="C1855" t="str">
            <v>09</v>
          </cell>
          <cell r="D1855" t="str">
            <v>4</v>
          </cell>
          <cell r="E1855" t="str">
            <v>0020</v>
          </cell>
          <cell r="F1855" t="str">
            <v>0004</v>
          </cell>
          <cell r="G1855" t="str">
            <v>11902</v>
          </cell>
          <cell r="H1855" t="str">
            <v>暂借款</v>
          </cell>
          <cell r="I1855" t="b">
            <v>1</v>
          </cell>
          <cell r="J1855">
            <v>500000</v>
          </cell>
          <cell r="K1855">
            <v>0</v>
          </cell>
          <cell r="L1855">
            <v>0</v>
          </cell>
        </row>
        <row r="1856">
          <cell r="A1856" t="str">
            <v>09</v>
          </cell>
          <cell r="B1856" t="str">
            <v>23</v>
          </cell>
          <cell r="C1856" t="str">
            <v>09</v>
          </cell>
          <cell r="D1856" t="str">
            <v>4</v>
          </cell>
          <cell r="E1856" t="str">
            <v>0023</v>
          </cell>
          <cell r="F1856" t="str">
            <v>0003</v>
          </cell>
          <cell r="G1856" t="str">
            <v>11902</v>
          </cell>
          <cell r="H1856" t="str">
            <v>暂借款</v>
          </cell>
          <cell r="I1856" t="b">
            <v>1</v>
          </cell>
          <cell r="J1856">
            <v>500000</v>
          </cell>
          <cell r="K1856">
            <v>0</v>
          </cell>
          <cell r="L1856">
            <v>0</v>
          </cell>
        </row>
        <row r="1857">
          <cell r="A1857" t="str">
            <v>09</v>
          </cell>
          <cell r="B1857" t="str">
            <v>23</v>
          </cell>
          <cell r="C1857" t="str">
            <v>09</v>
          </cell>
          <cell r="D1857" t="str">
            <v>4</v>
          </cell>
          <cell r="E1857" t="str">
            <v>0023</v>
          </cell>
          <cell r="F1857" t="str">
            <v>0004</v>
          </cell>
          <cell r="G1857" t="str">
            <v>11902</v>
          </cell>
          <cell r="H1857" t="str">
            <v>暂借款</v>
          </cell>
          <cell r="I1857" t="b">
            <v>1</v>
          </cell>
          <cell r="J1857">
            <v>1600000</v>
          </cell>
          <cell r="K1857">
            <v>0</v>
          </cell>
          <cell r="L1857">
            <v>0</v>
          </cell>
        </row>
        <row r="1858">
          <cell r="A1858" t="str">
            <v>09</v>
          </cell>
          <cell r="B1858" t="str">
            <v>06</v>
          </cell>
          <cell r="C1858" t="str">
            <v>09</v>
          </cell>
          <cell r="D1858" t="str">
            <v>5</v>
          </cell>
          <cell r="E1858" t="str">
            <v>0001</v>
          </cell>
          <cell r="F1858" t="str">
            <v>0002</v>
          </cell>
          <cell r="G1858" t="str">
            <v>11902</v>
          </cell>
          <cell r="H1858" t="str">
            <v>转本月酒店工人工资</v>
          </cell>
          <cell r="I1858" t="b">
            <v>1</v>
          </cell>
          <cell r="J1858">
            <v>4488</v>
          </cell>
          <cell r="K1858">
            <v>0</v>
          </cell>
          <cell r="L1858">
            <v>0</v>
          </cell>
        </row>
        <row r="1859">
          <cell r="A1859" t="str">
            <v>09</v>
          </cell>
          <cell r="B1859" t="str">
            <v>18</v>
          </cell>
          <cell r="C1859" t="str">
            <v>09</v>
          </cell>
          <cell r="D1859" t="str">
            <v>5</v>
          </cell>
          <cell r="E1859" t="str">
            <v>0003</v>
          </cell>
          <cell r="F1859" t="str">
            <v>0002</v>
          </cell>
          <cell r="G1859" t="str">
            <v>11902</v>
          </cell>
          <cell r="H1859" t="str">
            <v>转调正98.12.5-19#收拨付基金</v>
          </cell>
          <cell r="I1859" t="b">
            <v>0</v>
          </cell>
          <cell r="J1859">
            <v>79630.97</v>
          </cell>
          <cell r="K1859">
            <v>0</v>
          </cell>
          <cell r="L1859">
            <v>0</v>
          </cell>
        </row>
        <row r="1860">
          <cell r="A1860" t="str">
            <v>09</v>
          </cell>
          <cell r="B1860" t="str">
            <v>18</v>
          </cell>
          <cell r="C1860" t="str">
            <v>09</v>
          </cell>
          <cell r="D1860" t="str">
            <v>5</v>
          </cell>
          <cell r="E1860" t="str">
            <v>0003</v>
          </cell>
          <cell r="F1860" t="str">
            <v>0003</v>
          </cell>
          <cell r="G1860" t="str">
            <v>11902</v>
          </cell>
          <cell r="H1860" t="str">
            <v>转调正98.12.5-19#暖气设施费</v>
          </cell>
          <cell r="I1860" t="b">
            <v>0</v>
          </cell>
          <cell r="J1860">
            <v>56469</v>
          </cell>
          <cell r="K1860">
            <v>0</v>
          </cell>
          <cell r="L1860">
            <v>0</v>
          </cell>
        </row>
        <row r="1861">
          <cell r="A1861" t="str">
            <v>09</v>
          </cell>
          <cell r="B1861" t="str">
            <v>18</v>
          </cell>
          <cell r="C1861" t="str">
            <v>09</v>
          </cell>
          <cell r="D1861" t="str">
            <v>5</v>
          </cell>
          <cell r="E1861" t="str">
            <v>0003</v>
          </cell>
          <cell r="F1861" t="str">
            <v>0005</v>
          </cell>
          <cell r="G1861" t="str">
            <v>11902</v>
          </cell>
          <cell r="H1861" t="str">
            <v>转冲销2000.3月5-1#凭证</v>
          </cell>
          <cell r="I1861" t="b">
            <v>1</v>
          </cell>
          <cell r="J1861">
            <v>-9118.9</v>
          </cell>
          <cell r="K1861">
            <v>0</v>
          </cell>
          <cell r="L1861">
            <v>0</v>
          </cell>
        </row>
        <row r="1862">
          <cell r="A1862" t="str">
            <v>09</v>
          </cell>
          <cell r="B1862" t="str">
            <v>18</v>
          </cell>
          <cell r="C1862" t="str">
            <v>09</v>
          </cell>
          <cell r="D1862" t="str">
            <v>5</v>
          </cell>
          <cell r="E1862" t="str">
            <v>0003</v>
          </cell>
          <cell r="F1862" t="str">
            <v>0007</v>
          </cell>
          <cell r="G1862" t="str">
            <v>11902</v>
          </cell>
          <cell r="H1862" t="str">
            <v>转冲销2000.3月5-1#凭证</v>
          </cell>
          <cell r="I1862" t="b">
            <v>0</v>
          </cell>
          <cell r="J1862">
            <v>-7390</v>
          </cell>
          <cell r="K1862">
            <v>0</v>
          </cell>
          <cell r="L1862">
            <v>0</v>
          </cell>
        </row>
        <row r="1863">
          <cell r="A1863" t="str">
            <v>09</v>
          </cell>
          <cell r="B1863" t="str">
            <v>18</v>
          </cell>
          <cell r="C1863" t="str">
            <v>09</v>
          </cell>
          <cell r="D1863" t="str">
            <v>5</v>
          </cell>
          <cell r="E1863" t="str">
            <v>0004</v>
          </cell>
          <cell r="F1863" t="str">
            <v>0001</v>
          </cell>
          <cell r="G1863" t="str">
            <v>11902</v>
          </cell>
          <cell r="H1863" t="str">
            <v>转杨华玲售房改价房款</v>
          </cell>
          <cell r="I1863" t="b">
            <v>1</v>
          </cell>
          <cell r="J1863">
            <v>3216</v>
          </cell>
          <cell r="K1863">
            <v>0</v>
          </cell>
          <cell r="L1863">
            <v>0</v>
          </cell>
        </row>
        <row r="1864">
          <cell r="A1864" t="str">
            <v>09</v>
          </cell>
          <cell r="B1864" t="str">
            <v>18</v>
          </cell>
          <cell r="C1864" t="str">
            <v>09</v>
          </cell>
          <cell r="D1864" t="str">
            <v>5</v>
          </cell>
          <cell r="E1864" t="str">
            <v>0004</v>
          </cell>
          <cell r="F1864" t="str">
            <v>0004</v>
          </cell>
          <cell r="G1864" t="str">
            <v>11902</v>
          </cell>
          <cell r="H1864" t="str">
            <v>转住房基金专户利息款</v>
          </cell>
          <cell r="I1864" t="b">
            <v>1</v>
          </cell>
          <cell r="J1864">
            <v>41902.800000000003</v>
          </cell>
          <cell r="K1864">
            <v>0</v>
          </cell>
          <cell r="L1864">
            <v>0</v>
          </cell>
        </row>
        <row r="1865">
          <cell r="A1865" t="str">
            <v>09</v>
          </cell>
          <cell r="B1865" t="str">
            <v>18</v>
          </cell>
          <cell r="C1865" t="str">
            <v>09</v>
          </cell>
          <cell r="D1865" t="str">
            <v>5</v>
          </cell>
          <cell r="E1865" t="str">
            <v>0005</v>
          </cell>
          <cell r="F1865" t="str">
            <v>0002</v>
          </cell>
          <cell r="G1865" t="str">
            <v>11902</v>
          </cell>
          <cell r="H1865" t="str">
            <v>转7-8月份餐费</v>
          </cell>
          <cell r="I1865" t="b">
            <v>0</v>
          </cell>
          <cell r="J1865">
            <v>28120.5</v>
          </cell>
          <cell r="K1865">
            <v>0</v>
          </cell>
          <cell r="L1865">
            <v>0</v>
          </cell>
        </row>
        <row r="1866">
          <cell r="A1866" t="str">
            <v>09</v>
          </cell>
          <cell r="B1866" t="str">
            <v>18</v>
          </cell>
          <cell r="C1866" t="str">
            <v>09</v>
          </cell>
          <cell r="D1866" t="str">
            <v>5</v>
          </cell>
          <cell r="E1866" t="str">
            <v>0006</v>
          </cell>
          <cell r="F1866" t="str">
            <v>0001</v>
          </cell>
          <cell r="G1866" t="str">
            <v>11902</v>
          </cell>
          <cell r="H1866" t="str">
            <v>转代报销个人借款</v>
          </cell>
          <cell r="I1866" t="b">
            <v>1</v>
          </cell>
          <cell r="J1866">
            <v>15414.9</v>
          </cell>
          <cell r="K1866">
            <v>0</v>
          </cell>
          <cell r="L1866">
            <v>0</v>
          </cell>
        </row>
        <row r="1867">
          <cell r="A1867" t="str">
            <v>09</v>
          </cell>
          <cell r="B1867" t="str">
            <v>24</v>
          </cell>
          <cell r="C1867" t="str">
            <v>09</v>
          </cell>
          <cell r="D1867" t="str">
            <v>5</v>
          </cell>
          <cell r="E1867" t="str">
            <v>0011</v>
          </cell>
          <cell r="F1867" t="str">
            <v>0004</v>
          </cell>
          <cell r="G1867" t="str">
            <v>11902</v>
          </cell>
          <cell r="H1867" t="str">
            <v>转借款</v>
          </cell>
          <cell r="I1867" t="b">
            <v>0</v>
          </cell>
          <cell r="J1867">
            <v>687169.21</v>
          </cell>
          <cell r="K1867">
            <v>0</v>
          </cell>
          <cell r="L1867">
            <v>0</v>
          </cell>
        </row>
        <row r="1868">
          <cell r="A1868" t="str">
            <v>09</v>
          </cell>
          <cell r="B1868" t="str">
            <v>24</v>
          </cell>
          <cell r="C1868" t="str">
            <v>09</v>
          </cell>
          <cell r="D1868" t="str">
            <v>5</v>
          </cell>
          <cell r="E1868" t="str">
            <v>0013</v>
          </cell>
          <cell r="F1868" t="str">
            <v>0003</v>
          </cell>
          <cell r="G1868" t="str">
            <v>11902</v>
          </cell>
          <cell r="H1868" t="str">
            <v>转购平原果汁384.93吨</v>
          </cell>
          <cell r="I1868" t="b">
            <v>0</v>
          </cell>
          <cell r="J1868">
            <v>1732185</v>
          </cell>
          <cell r="K1868">
            <v>0</v>
          </cell>
          <cell r="L1868">
            <v>0</v>
          </cell>
        </row>
        <row r="1869">
          <cell r="A1869" t="str">
            <v>09</v>
          </cell>
          <cell r="B1869" t="str">
            <v>25</v>
          </cell>
          <cell r="C1869" t="str">
            <v>09</v>
          </cell>
          <cell r="D1869" t="str">
            <v>5</v>
          </cell>
          <cell r="E1869" t="str">
            <v>0014</v>
          </cell>
          <cell r="F1869" t="str">
            <v>0003</v>
          </cell>
          <cell r="G1869" t="str">
            <v>11902</v>
          </cell>
          <cell r="H1869" t="str">
            <v>转购五莲果汁260吨</v>
          </cell>
          <cell r="I1869" t="b">
            <v>0</v>
          </cell>
          <cell r="J1869">
            <v>1170000</v>
          </cell>
          <cell r="K1869">
            <v>0</v>
          </cell>
          <cell r="L1869">
            <v>0</v>
          </cell>
        </row>
        <row r="1870">
          <cell r="A1870" t="str">
            <v>09</v>
          </cell>
          <cell r="B1870" t="str">
            <v>25</v>
          </cell>
          <cell r="C1870" t="str">
            <v>09</v>
          </cell>
          <cell r="D1870" t="str">
            <v>5</v>
          </cell>
          <cell r="E1870" t="str">
            <v>0015</v>
          </cell>
          <cell r="F1870" t="str">
            <v>0004</v>
          </cell>
          <cell r="G1870" t="str">
            <v>11902</v>
          </cell>
          <cell r="H1870" t="str">
            <v>转借款</v>
          </cell>
          <cell r="I1870" t="b">
            <v>0</v>
          </cell>
          <cell r="J1870">
            <v>266998.26</v>
          </cell>
          <cell r="K1870">
            <v>0</v>
          </cell>
          <cell r="L1870">
            <v>0</v>
          </cell>
        </row>
        <row r="1871">
          <cell r="A1871" t="str">
            <v>09</v>
          </cell>
          <cell r="B1871" t="str">
            <v>25</v>
          </cell>
          <cell r="C1871" t="str">
            <v>09</v>
          </cell>
          <cell r="D1871" t="str">
            <v>5</v>
          </cell>
          <cell r="E1871" t="str">
            <v>0015</v>
          </cell>
          <cell r="F1871" t="str">
            <v>0005</v>
          </cell>
          <cell r="G1871" t="str">
            <v>11902</v>
          </cell>
          <cell r="H1871" t="str">
            <v>转借款</v>
          </cell>
          <cell r="I1871" t="b">
            <v>0</v>
          </cell>
          <cell r="J1871">
            <v>262121.2</v>
          </cell>
          <cell r="K1871">
            <v>0</v>
          </cell>
          <cell r="L1871">
            <v>0</v>
          </cell>
        </row>
        <row r="1872">
          <cell r="A1872" t="str">
            <v>09</v>
          </cell>
          <cell r="B1872" t="str">
            <v>25</v>
          </cell>
          <cell r="C1872" t="str">
            <v>09</v>
          </cell>
          <cell r="D1872" t="str">
            <v>5</v>
          </cell>
          <cell r="E1872" t="str">
            <v>0017</v>
          </cell>
          <cell r="F1872" t="str">
            <v>0005</v>
          </cell>
          <cell r="G1872" t="str">
            <v>11902</v>
          </cell>
          <cell r="H1872" t="str">
            <v>转鲁菱公司代扣水电.个人借款等</v>
          </cell>
          <cell r="I1872" t="b">
            <v>1</v>
          </cell>
          <cell r="J1872">
            <v>8577.0400000000009</v>
          </cell>
          <cell r="K1872">
            <v>0</v>
          </cell>
          <cell r="L1872">
            <v>0</v>
          </cell>
        </row>
        <row r="1873">
          <cell r="A1873" t="str">
            <v>09</v>
          </cell>
          <cell r="B1873" t="str">
            <v>25</v>
          </cell>
          <cell r="C1873" t="str">
            <v>09</v>
          </cell>
          <cell r="D1873" t="str">
            <v>5</v>
          </cell>
          <cell r="E1873" t="str">
            <v>0017</v>
          </cell>
          <cell r="F1873" t="str">
            <v>0006</v>
          </cell>
          <cell r="G1873" t="str">
            <v>11902</v>
          </cell>
          <cell r="H1873" t="str">
            <v>转尚进公司代扣水电费.收视费等</v>
          </cell>
          <cell r="I1873" t="b">
            <v>1</v>
          </cell>
          <cell r="J1873">
            <v>1062.3</v>
          </cell>
          <cell r="K1873">
            <v>0</v>
          </cell>
          <cell r="L1873">
            <v>0</v>
          </cell>
        </row>
        <row r="1874">
          <cell r="A1874" t="str">
            <v>09</v>
          </cell>
          <cell r="B1874" t="str">
            <v>25</v>
          </cell>
          <cell r="C1874" t="str">
            <v>09</v>
          </cell>
          <cell r="D1874" t="str">
            <v>5</v>
          </cell>
          <cell r="E1874" t="str">
            <v>0017</v>
          </cell>
          <cell r="F1874" t="str">
            <v>0007</v>
          </cell>
          <cell r="G1874" t="str">
            <v>11902</v>
          </cell>
          <cell r="H1874" t="str">
            <v>转还借款</v>
          </cell>
          <cell r="I1874" t="b">
            <v>0</v>
          </cell>
          <cell r="J1874">
            <v>480</v>
          </cell>
          <cell r="K1874">
            <v>0</v>
          </cell>
          <cell r="L1874">
            <v>0</v>
          </cell>
        </row>
        <row r="1875">
          <cell r="A1875" t="str">
            <v>09</v>
          </cell>
          <cell r="B1875" t="str">
            <v>25</v>
          </cell>
          <cell r="C1875" t="str">
            <v>09</v>
          </cell>
          <cell r="D1875" t="str">
            <v>5</v>
          </cell>
          <cell r="E1875" t="str">
            <v>0017</v>
          </cell>
          <cell r="F1875" t="str">
            <v>0008</v>
          </cell>
          <cell r="G1875" t="str">
            <v>11902</v>
          </cell>
          <cell r="H1875" t="str">
            <v>转还借款</v>
          </cell>
          <cell r="I1875" t="b">
            <v>0</v>
          </cell>
          <cell r="J1875">
            <v>600</v>
          </cell>
          <cell r="K1875">
            <v>0</v>
          </cell>
          <cell r="L1875">
            <v>0</v>
          </cell>
        </row>
        <row r="1876">
          <cell r="A1876" t="str">
            <v>09</v>
          </cell>
          <cell r="B1876" t="str">
            <v>25</v>
          </cell>
          <cell r="C1876" t="str">
            <v>09</v>
          </cell>
          <cell r="D1876" t="str">
            <v>5</v>
          </cell>
          <cell r="E1876" t="str">
            <v>0017</v>
          </cell>
          <cell r="F1876" t="str">
            <v>0009</v>
          </cell>
          <cell r="G1876" t="str">
            <v>11902</v>
          </cell>
          <cell r="H1876" t="str">
            <v>转还借款</v>
          </cell>
          <cell r="I1876" t="b">
            <v>0</v>
          </cell>
          <cell r="J1876">
            <v>600</v>
          </cell>
          <cell r="K1876">
            <v>0</v>
          </cell>
          <cell r="L1876">
            <v>0</v>
          </cell>
        </row>
        <row r="1877">
          <cell r="A1877" t="str">
            <v>09</v>
          </cell>
          <cell r="B1877" t="str">
            <v>25</v>
          </cell>
          <cell r="C1877" t="str">
            <v>09</v>
          </cell>
          <cell r="D1877" t="str">
            <v>5</v>
          </cell>
          <cell r="E1877" t="str">
            <v>0017</v>
          </cell>
          <cell r="F1877" t="str">
            <v>0011</v>
          </cell>
          <cell r="G1877" t="str">
            <v>11902</v>
          </cell>
          <cell r="H1877" t="str">
            <v>转代收果汁款</v>
          </cell>
          <cell r="I1877" t="b">
            <v>1</v>
          </cell>
          <cell r="J1877">
            <v>1710</v>
          </cell>
          <cell r="K1877">
            <v>0</v>
          </cell>
          <cell r="L1877">
            <v>0</v>
          </cell>
        </row>
        <row r="1878">
          <cell r="A1878" t="str">
            <v>09</v>
          </cell>
          <cell r="B1878" t="str">
            <v>28</v>
          </cell>
          <cell r="C1878" t="str">
            <v>09</v>
          </cell>
          <cell r="D1878" t="str">
            <v>5</v>
          </cell>
          <cell r="E1878" t="str">
            <v>0021</v>
          </cell>
          <cell r="F1878" t="str">
            <v>0001</v>
          </cell>
          <cell r="G1878" t="str">
            <v>11902</v>
          </cell>
          <cell r="H1878" t="str">
            <v>转户</v>
          </cell>
          <cell r="I1878" t="b">
            <v>1</v>
          </cell>
          <cell r="J1878">
            <v>75314.02</v>
          </cell>
          <cell r="K1878">
            <v>0</v>
          </cell>
          <cell r="L1878">
            <v>0</v>
          </cell>
        </row>
        <row r="1879">
          <cell r="A1879" t="str">
            <v>09</v>
          </cell>
          <cell r="B1879" t="str">
            <v>28</v>
          </cell>
          <cell r="C1879" t="str">
            <v>09</v>
          </cell>
          <cell r="D1879" t="str">
            <v>5</v>
          </cell>
          <cell r="E1879" t="str">
            <v>0023</v>
          </cell>
          <cell r="F1879" t="str">
            <v>0001</v>
          </cell>
          <cell r="G1879" t="str">
            <v>11902</v>
          </cell>
          <cell r="H1879" t="str">
            <v>转宝鸡分公司8月份耗材料款</v>
          </cell>
          <cell r="I1879" t="b">
            <v>1</v>
          </cell>
          <cell r="J1879">
            <v>174491.17</v>
          </cell>
          <cell r="K1879">
            <v>0</v>
          </cell>
          <cell r="L1879">
            <v>0</v>
          </cell>
        </row>
        <row r="1880">
          <cell r="A1880" t="str">
            <v>09</v>
          </cell>
          <cell r="B1880" t="str">
            <v>28</v>
          </cell>
          <cell r="C1880" t="str">
            <v>09</v>
          </cell>
          <cell r="D1880" t="str">
            <v>5</v>
          </cell>
          <cell r="E1880" t="str">
            <v>0023</v>
          </cell>
          <cell r="F1880" t="str">
            <v>0002</v>
          </cell>
          <cell r="G1880" t="str">
            <v>11902</v>
          </cell>
          <cell r="H1880" t="str">
            <v>转韩城分公司8月份耗材料款</v>
          </cell>
          <cell r="I1880" t="b">
            <v>1</v>
          </cell>
          <cell r="J1880">
            <v>476763.3</v>
          </cell>
          <cell r="K1880">
            <v>0</v>
          </cell>
          <cell r="L1880">
            <v>0</v>
          </cell>
        </row>
        <row r="1881">
          <cell r="A1881" t="str">
            <v>09</v>
          </cell>
          <cell r="B1881" t="str">
            <v>28</v>
          </cell>
          <cell r="C1881" t="str">
            <v>09</v>
          </cell>
          <cell r="D1881" t="str">
            <v>5</v>
          </cell>
          <cell r="E1881" t="str">
            <v>0024</v>
          </cell>
          <cell r="F1881" t="str">
            <v>0001</v>
          </cell>
          <cell r="G1881" t="str">
            <v>11902</v>
          </cell>
          <cell r="H1881" t="str">
            <v>转本月尚进公司耗材料</v>
          </cell>
          <cell r="I1881" t="b">
            <v>1</v>
          </cell>
          <cell r="J1881">
            <v>335238.71999999997</v>
          </cell>
          <cell r="K1881">
            <v>0</v>
          </cell>
          <cell r="L1881">
            <v>0</v>
          </cell>
        </row>
        <row r="1882">
          <cell r="A1882" t="str">
            <v>09</v>
          </cell>
          <cell r="B1882" t="str">
            <v>28</v>
          </cell>
          <cell r="C1882" t="str">
            <v>09</v>
          </cell>
          <cell r="D1882" t="str">
            <v>5</v>
          </cell>
          <cell r="E1882" t="str">
            <v>0024</v>
          </cell>
          <cell r="F1882" t="str">
            <v>0002</v>
          </cell>
          <cell r="G1882" t="str">
            <v>11902</v>
          </cell>
          <cell r="H1882" t="str">
            <v>转本月鲁菱公司耗8.9月份材料</v>
          </cell>
          <cell r="I1882" t="b">
            <v>1</v>
          </cell>
          <cell r="J1882">
            <v>1114667.56</v>
          </cell>
          <cell r="K1882">
            <v>0</v>
          </cell>
          <cell r="L1882">
            <v>0</v>
          </cell>
        </row>
        <row r="1883">
          <cell r="A1883" t="str">
            <v>09</v>
          </cell>
          <cell r="B1883" t="str">
            <v>28</v>
          </cell>
          <cell r="C1883" t="str">
            <v>09</v>
          </cell>
          <cell r="D1883" t="str">
            <v>5</v>
          </cell>
          <cell r="E1883" t="str">
            <v>0024</v>
          </cell>
          <cell r="F1883" t="str">
            <v>0003</v>
          </cell>
          <cell r="G1883" t="str">
            <v>11902</v>
          </cell>
          <cell r="H1883" t="str">
            <v>转本月平原分公司耗材料</v>
          </cell>
          <cell r="I1883" t="b">
            <v>1</v>
          </cell>
          <cell r="J1883">
            <v>60224.58</v>
          </cell>
          <cell r="K1883">
            <v>0</v>
          </cell>
          <cell r="L1883">
            <v>0</v>
          </cell>
        </row>
        <row r="1884">
          <cell r="A1884" t="str">
            <v>09</v>
          </cell>
          <cell r="B1884" t="str">
            <v>28</v>
          </cell>
          <cell r="C1884" t="str">
            <v>09</v>
          </cell>
          <cell r="D1884" t="str">
            <v>5</v>
          </cell>
          <cell r="E1884" t="str">
            <v>0024</v>
          </cell>
          <cell r="F1884" t="str">
            <v>0004</v>
          </cell>
          <cell r="G1884" t="str">
            <v>11902</v>
          </cell>
          <cell r="H1884" t="str">
            <v>转本月五莲分公司耗材料</v>
          </cell>
          <cell r="I1884" t="b">
            <v>1</v>
          </cell>
          <cell r="J1884">
            <v>14649.57</v>
          </cell>
          <cell r="K1884">
            <v>0</v>
          </cell>
          <cell r="L1884">
            <v>0</v>
          </cell>
        </row>
        <row r="1885">
          <cell r="A1885" t="str">
            <v>09</v>
          </cell>
          <cell r="B1885" t="str">
            <v>28</v>
          </cell>
          <cell r="C1885" t="str">
            <v>09</v>
          </cell>
          <cell r="D1885" t="str">
            <v>5</v>
          </cell>
          <cell r="E1885" t="str">
            <v>0024</v>
          </cell>
          <cell r="F1885" t="str">
            <v>0005</v>
          </cell>
          <cell r="G1885" t="str">
            <v>11902</v>
          </cell>
          <cell r="H1885" t="str">
            <v>转本月韩城分公司耗材料</v>
          </cell>
          <cell r="I1885" t="b">
            <v>1</v>
          </cell>
          <cell r="J1885">
            <v>83616.39</v>
          </cell>
          <cell r="K1885">
            <v>0</v>
          </cell>
          <cell r="L1885">
            <v>0</v>
          </cell>
        </row>
        <row r="1886">
          <cell r="A1886" t="str">
            <v>09</v>
          </cell>
          <cell r="B1886" t="str">
            <v>28</v>
          </cell>
          <cell r="C1886" t="str">
            <v>09</v>
          </cell>
          <cell r="D1886" t="str">
            <v>5</v>
          </cell>
          <cell r="E1886" t="str">
            <v>0024</v>
          </cell>
          <cell r="F1886" t="str">
            <v>0006</v>
          </cell>
          <cell r="G1886" t="str">
            <v>11902</v>
          </cell>
          <cell r="H1886" t="str">
            <v>转本月卢龙分公司耗材料</v>
          </cell>
          <cell r="I1886" t="b">
            <v>1</v>
          </cell>
          <cell r="J1886">
            <v>58232.43</v>
          </cell>
          <cell r="K1886">
            <v>0</v>
          </cell>
          <cell r="L1886">
            <v>0</v>
          </cell>
        </row>
        <row r="1887">
          <cell r="A1887" t="str">
            <v>09</v>
          </cell>
          <cell r="B1887" t="str">
            <v>30</v>
          </cell>
          <cell r="C1887" t="str">
            <v>09</v>
          </cell>
          <cell r="D1887" t="str">
            <v>5</v>
          </cell>
          <cell r="E1887" t="str">
            <v>0034</v>
          </cell>
          <cell r="F1887" t="str">
            <v>0001</v>
          </cell>
          <cell r="G1887" t="str">
            <v>11902</v>
          </cell>
          <cell r="H1887" t="str">
            <v>转本月共同管理费用</v>
          </cell>
          <cell r="I1887" t="b">
            <v>1</v>
          </cell>
          <cell r="J1887">
            <v>97260.25</v>
          </cell>
          <cell r="K1887">
            <v>0</v>
          </cell>
          <cell r="L1887">
            <v>0</v>
          </cell>
        </row>
        <row r="1888">
          <cell r="A1888" t="str">
            <v>09</v>
          </cell>
          <cell r="B1888" t="str">
            <v>30</v>
          </cell>
          <cell r="C1888" t="str">
            <v>09</v>
          </cell>
          <cell r="D1888" t="str">
            <v>5</v>
          </cell>
          <cell r="E1888" t="str">
            <v>0034</v>
          </cell>
          <cell r="F1888" t="str">
            <v>0002</v>
          </cell>
          <cell r="G1888" t="str">
            <v>11902</v>
          </cell>
          <cell r="H1888" t="str">
            <v>转本月共同管理费用</v>
          </cell>
          <cell r="I1888" t="b">
            <v>1</v>
          </cell>
          <cell r="J1888">
            <v>40172.69</v>
          </cell>
          <cell r="K1888">
            <v>0</v>
          </cell>
          <cell r="L1888">
            <v>0</v>
          </cell>
        </row>
        <row r="1889">
          <cell r="A1889" t="str">
            <v>10</v>
          </cell>
          <cell r="B1889" t="str">
            <v>20</v>
          </cell>
          <cell r="C1889" t="str">
            <v>10</v>
          </cell>
          <cell r="D1889" t="str">
            <v>1</v>
          </cell>
          <cell r="E1889" t="str">
            <v>0005</v>
          </cell>
          <cell r="F1889" t="str">
            <v>0002</v>
          </cell>
          <cell r="G1889" t="str">
            <v>11902</v>
          </cell>
          <cell r="H1889" t="str">
            <v>收借款</v>
          </cell>
          <cell r="I1889" t="b">
            <v>0</v>
          </cell>
          <cell r="J1889">
            <v>420000</v>
          </cell>
          <cell r="K1889">
            <v>0</v>
          </cell>
          <cell r="L1889">
            <v>0</v>
          </cell>
        </row>
        <row r="1890">
          <cell r="A1890" t="str">
            <v>10</v>
          </cell>
          <cell r="B1890" t="str">
            <v>02</v>
          </cell>
          <cell r="C1890" t="str">
            <v>10</v>
          </cell>
          <cell r="D1890" t="str">
            <v>2</v>
          </cell>
          <cell r="E1890" t="str">
            <v>0003</v>
          </cell>
          <cell r="F1890" t="str">
            <v>0002</v>
          </cell>
          <cell r="G1890" t="str">
            <v>11902</v>
          </cell>
          <cell r="H1890" t="str">
            <v>暂借款</v>
          </cell>
          <cell r="I1890" t="b">
            <v>1</v>
          </cell>
          <cell r="J1890">
            <v>2278</v>
          </cell>
          <cell r="K1890">
            <v>0</v>
          </cell>
          <cell r="L1890">
            <v>0</v>
          </cell>
        </row>
        <row r="1891">
          <cell r="A1891" t="str">
            <v>10</v>
          </cell>
          <cell r="B1891" t="str">
            <v>02</v>
          </cell>
          <cell r="C1891" t="str">
            <v>10</v>
          </cell>
          <cell r="D1891" t="str">
            <v>2</v>
          </cell>
          <cell r="E1891" t="str">
            <v>0003</v>
          </cell>
          <cell r="F1891" t="str">
            <v>0003</v>
          </cell>
          <cell r="G1891" t="str">
            <v>11902</v>
          </cell>
          <cell r="H1891" t="str">
            <v>暂借款</v>
          </cell>
          <cell r="I1891" t="b">
            <v>1</v>
          </cell>
          <cell r="J1891">
            <v>5000</v>
          </cell>
          <cell r="K1891">
            <v>0</v>
          </cell>
          <cell r="L1891">
            <v>0</v>
          </cell>
        </row>
        <row r="1892">
          <cell r="A1892" t="str">
            <v>10</v>
          </cell>
          <cell r="B1892" t="str">
            <v>02</v>
          </cell>
          <cell r="C1892" t="str">
            <v>10</v>
          </cell>
          <cell r="D1892" t="str">
            <v>2</v>
          </cell>
          <cell r="E1892" t="str">
            <v>0003</v>
          </cell>
          <cell r="F1892" t="str">
            <v>0004</v>
          </cell>
          <cell r="G1892" t="str">
            <v>11902</v>
          </cell>
          <cell r="H1892" t="str">
            <v>暂借款</v>
          </cell>
          <cell r="I1892" t="b">
            <v>1</v>
          </cell>
          <cell r="J1892">
            <v>500000</v>
          </cell>
          <cell r="K1892">
            <v>0</v>
          </cell>
          <cell r="L1892">
            <v>0</v>
          </cell>
        </row>
        <row r="1893">
          <cell r="A1893" t="str">
            <v>10</v>
          </cell>
          <cell r="B1893" t="str">
            <v>15</v>
          </cell>
          <cell r="C1893" t="str">
            <v>10</v>
          </cell>
          <cell r="D1893" t="str">
            <v>2</v>
          </cell>
          <cell r="E1893" t="str">
            <v>0014</v>
          </cell>
          <cell r="F1893" t="str">
            <v>0002</v>
          </cell>
          <cell r="G1893" t="str">
            <v>11902</v>
          </cell>
          <cell r="H1893" t="str">
            <v>退回多付保费</v>
          </cell>
          <cell r="I1893" t="b">
            <v>1</v>
          </cell>
          <cell r="J1893">
            <v>157</v>
          </cell>
          <cell r="K1893">
            <v>0</v>
          </cell>
          <cell r="L1893">
            <v>0</v>
          </cell>
        </row>
        <row r="1894">
          <cell r="A1894" t="str">
            <v>10</v>
          </cell>
          <cell r="B1894" t="str">
            <v>21</v>
          </cell>
          <cell r="C1894" t="str">
            <v>10</v>
          </cell>
          <cell r="D1894" t="str">
            <v>2</v>
          </cell>
          <cell r="E1894" t="str">
            <v>0015</v>
          </cell>
          <cell r="F1894" t="str">
            <v>0003</v>
          </cell>
          <cell r="G1894" t="str">
            <v>11902</v>
          </cell>
          <cell r="H1894" t="str">
            <v>暂借款</v>
          </cell>
          <cell r="I1894" t="b">
            <v>1</v>
          </cell>
          <cell r="J1894">
            <v>1060000</v>
          </cell>
          <cell r="K1894">
            <v>0</v>
          </cell>
          <cell r="L1894">
            <v>0</v>
          </cell>
        </row>
        <row r="1895">
          <cell r="A1895" t="str">
            <v>10</v>
          </cell>
          <cell r="B1895" t="str">
            <v>21</v>
          </cell>
          <cell r="C1895" t="str">
            <v>10</v>
          </cell>
          <cell r="D1895" t="str">
            <v>2</v>
          </cell>
          <cell r="E1895" t="str">
            <v>0015</v>
          </cell>
          <cell r="F1895" t="str">
            <v>0004</v>
          </cell>
          <cell r="G1895" t="str">
            <v>11902</v>
          </cell>
          <cell r="H1895" t="str">
            <v>暂借款</v>
          </cell>
          <cell r="I1895" t="b">
            <v>1</v>
          </cell>
          <cell r="J1895">
            <v>10000</v>
          </cell>
          <cell r="K1895">
            <v>0</v>
          </cell>
          <cell r="L1895">
            <v>0</v>
          </cell>
        </row>
        <row r="1896">
          <cell r="A1896" t="str">
            <v>10</v>
          </cell>
          <cell r="B1896" t="str">
            <v>01</v>
          </cell>
          <cell r="C1896" t="str">
            <v>10</v>
          </cell>
          <cell r="D1896" t="str">
            <v>3</v>
          </cell>
          <cell r="E1896" t="str">
            <v>0001</v>
          </cell>
          <cell r="F1896" t="str">
            <v>0003</v>
          </cell>
          <cell r="G1896" t="str">
            <v>11902</v>
          </cell>
          <cell r="H1896" t="str">
            <v>暂借款</v>
          </cell>
          <cell r="I1896" t="b">
            <v>0</v>
          </cell>
          <cell r="J1896">
            <v>1200000</v>
          </cell>
          <cell r="K1896">
            <v>0</v>
          </cell>
          <cell r="L1896">
            <v>0</v>
          </cell>
        </row>
        <row r="1897">
          <cell r="A1897" t="str">
            <v>10</v>
          </cell>
          <cell r="B1897" t="str">
            <v>01</v>
          </cell>
          <cell r="C1897" t="str">
            <v>10</v>
          </cell>
          <cell r="D1897" t="str">
            <v>3</v>
          </cell>
          <cell r="E1897" t="str">
            <v>0001</v>
          </cell>
          <cell r="F1897" t="str">
            <v>0004</v>
          </cell>
          <cell r="G1897" t="str">
            <v>11902</v>
          </cell>
          <cell r="H1897" t="str">
            <v>暂借款</v>
          </cell>
          <cell r="I1897" t="b">
            <v>0</v>
          </cell>
          <cell r="J1897">
            <v>750000</v>
          </cell>
          <cell r="K1897">
            <v>0</v>
          </cell>
          <cell r="L1897">
            <v>0</v>
          </cell>
        </row>
        <row r="1898">
          <cell r="A1898" t="str">
            <v>10</v>
          </cell>
          <cell r="B1898" t="str">
            <v>03</v>
          </cell>
          <cell r="C1898" t="str">
            <v>10</v>
          </cell>
          <cell r="D1898" t="str">
            <v>4</v>
          </cell>
          <cell r="E1898" t="str">
            <v>0004</v>
          </cell>
          <cell r="F1898" t="str">
            <v>0003</v>
          </cell>
          <cell r="G1898" t="str">
            <v>11902</v>
          </cell>
          <cell r="H1898" t="str">
            <v>暂借款</v>
          </cell>
          <cell r="I1898" t="b">
            <v>1</v>
          </cell>
          <cell r="J1898">
            <v>33152.28</v>
          </cell>
          <cell r="K1898">
            <v>0</v>
          </cell>
          <cell r="L1898">
            <v>0</v>
          </cell>
        </row>
        <row r="1899">
          <cell r="A1899" t="str">
            <v>10</v>
          </cell>
          <cell r="B1899" t="str">
            <v>05</v>
          </cell>
          <cell r="C1899" t="str">
            <v>10</v>
          </cell>
          <cell r="D1899" t="str">
            <v>4</v>
          </cell>
          <cell r="E1899" t="str">
            <v>0007</v>
          </cell>
          <cell r="F1899" t="str">
            <v>0003</v>
          </cell>
          <cell r="G1899" t="str">
            <v>11902</v>
          </cell>
          <cell r="H1899" t="str">
            <v>付董事会费</v>
          </cell>
          <cell r="I1899" t="b">
            <v>1</v>
          </cell>
          <cell r="J1899">
            <v>100000</v>
          </cell>
          <cell r="K1899">
            <v>0</v>
          </cell>
          <cell r="L1899">
            <v>0</v>
          </cell>
        </row>
        <row r="1900">
          <cell r="A1900" t="str">
            <v>10</v>
          </cell>
          <cell r="B1900" t="str">
            <v>18</v>
          </cell>
          <cell r="C1900" t="str">
            <v>10</v>
          </cell>
          <cell r="D1900" t="str">
            <v>4</v>
          </cell>
          <cell r="E1900" t="str">
            <v>0016</v>
          </cell>
          <cell r="F1900" t="str">
            <v>0001</v>
          </cell>
          <cell r="G1900" t="str">
            <v>11902</v>
          </cell>
          <cell r="H1900" t="str">
            <v>暂借款</v>
          </cell>
          <cell r="I1900" t="b">
            <v>1</v>
          </cell>
          <cell r="J1900">
            <v>1900000</v>
          </cell>
          <cell r="K1900">
            <v>0</v>
          </cell>
          <cell r="L1900">
            <v>0</v>
          </cell>
        </row>
        <row r="1901">
          <cell r="A1901" t="str">
            <v>10</v>
          </cell>
          <cell r="B1901" t="str">
            <v>18</v>
          </cell>
          <cell r="C1901" t="str">
            <v>10</v>
          </cell>
          <cell r="D1901" t="str">
            <v>4</v>
          </cell>
          <cell r="E1901" t="str">
            <v>0016</v>
          </cell>
          <cell r="F1901" t="str">
            <v>0002</v>
          </cell>
          <cell r="G1901" t="str">
            <v>11902</v>
          </cell>
          <cell r="H1901" t="str">
            <v>暂借款</v>
          </cell>
          <cell r="I1901" t="b">
            <v>1</v>
          </cell>
          <cell r="J1901">
            <v>1490108.39</v>
          </cell>
          <cell r="K1901">
            <v>0</v>
          </cell>
          <cell r="L1901">
            <v>0</v>
          </cell>
        </row>
        <row r="1902">
          <cell r="A1902" t="str">
            <v>10</v>
          </cell>
          <cell r="B1902" t="str">
            <v>18</v>
          </cell>
          <cell r="C1902" t="str">
            <v>10</v>
          </cell>
          <cell r="D1902" t="str">
            <v>4</v>
          </cell>
          <cell r="E1902" t="str">
            <v>0016</v>
          </cell>
          <cell r="F1902" t="str">
            <v>0003</v>
          </cell>
          <cell r="G1902" t="str">
            <v>11902</v>
          </cell>
          <cell r="H1902" t="str">
            <v>暂借款</v>
          </cell>
          <cell r="I1902" t="b">
            <v>1</v>
          </cell>
          <cell r="J1902">
            <v>1007055.4</v>
          </cell>
          <cell r="K1902">
            <v>0</v>
          </cell>
          <cell r="L1902">
            <v>0</v>
          </cell>
        </row>
        <row r="1903">
          <cell r="A1903" t="str">
            <v>10</v>
          </cell>
          <cell r="B1903" t="str">
            <v>20</v>
          </cell>
          <cell r="C1903" t="str">
            <v>10</v>
          </cell>
          <cell r="D1903" t="str">
            <v>4</v>
          </cell>
          <cell r="E1903" t="str">
            <v>0017</v>
          </cell>
          <cell r="F1903" t="str">
            <v>0001</v>
          </cell>
          <cell r="G1903" t="str">
            <v>11902</v>
          </cell>
          <cell r="H1903" t="str">
            <v>暂借款</v>
          </cell>
          <cell r="I1903" t="b">
            <v>1</v>
          </cell>
          <cell r="J1903">
            <v>600000</v>
          </cell>
          <cell r="K1903">
            <v>0</v>
          </cell>
          <cell r="L1903">
            <v>0</v>
          </cell>
        </row>
        <row r="1904">
          <cell r="A1904" t="str">
            <v>10</v>
          </cell>
          <cell r="B1904" t="str">
            <v>20</v>
          </cell>
          <cell r="C1904" t="str">
            <v>10</v>
          </cell>
          <cell r="D1904" t="str">
            <v>4</v>
          </cell>
          <cell r="E1904" t="str">
            <v>0017</v>
          </cell>
          <cell r="F1904" t="str">
            <v>0002</v>
          </cell>
          <cell r="G1904" t="str">
            <v>11902</v>
          </cell>
          <cell r="H1904" t="str">
            <v>暂借款</v>
          </cell>
          <cell r="I1904" t="b">
            <v>1</v>
          </cell>
          <cell r="J1904">
            <v>12404565</v>
          </cell>
          <cell r="K1904">
            <v>0</v>
          </cell>
          <cell r="L1904">
            <v>0</v>
          </cell>
        </row>
        <row r="1905">
          <cell r="A1905" t="str">
            <v>10</v>
          </cell>
          <cell r="B1905" t="str">
            <v>20</v>
          </cell>
          <cell r="C1905" t="str">
            <v>10</v>
          </cell>
          <cell r="D1905" t="str">
            <v>4</v>
          </cell>
          <cell r="E1905" t="str">
            <v>0017</v>
          </cell>
          <cell r="F1905" t="str">
            <v>0003</v>
          </cell>
          <cell r="G1905" t="str">
            <v>11902</v>
          </cell>
          <cell r="H1905" t="str">
            <v>付电机修理费</v>
          </cell>
          <cell r="I1905" t="b">
            <v>1</v>
          </cell>
          <cell r="J1905">
            <v>11124</v>
          </cell>
          <cell r="K1905">
            <v>0</v>
          </cell>
          <cell r="L1905">
            <v>0</v>
          </cell>
        </row>
        <row r="1906">
          <cell r="A1906" t="str">
            <v>10</v>
          </cell>
          <cell r="B1906" t="str">
            <v>20</v>
          </cell>
          <cell r="C1906" t="str">
            <v>10</v>
          </cell>
          <cell r="D1906" t="str">
            <v>4</v>
          </cell>
          <cell r="E1906" t="str">
            <v>0018</v>
          </cell>
          <cell r="F1906" t="str">
            <v>0001</v>
          </cell>
          <cell r="G1906" t="str">
            <v>11902</v>
          </cell>
          <cell r="H1906" t="str">
            <v>暂借款</v>
          </cell>
          <cell r="I1906" t="b">
            <v>1</v>
          </cell>
          <cell r="J1906">
            <v>1000000</v>
          </cell>
          <cell r="K1906">
            <v>0</v>
          </cell>
          <cell r="L1906">
            <v>0</v>
          </cell>
        </row>
        <row r="1907">
          <cell r="A1907" t="str">
            <v>10</v>
          </cell>
          <cell r="B1907" t="str">
            <v>20</v>
          </cell>
          <cell r="C1907" t="str">
            <v>10</v>
          </cell>
          <cell r="D1907" t="str">
            <v>4</v>
          </cell>
          <cell r="E1907" t="str">
            <v>0018</v>
          </cell>
          <cell r="F1907" t="str">
            <v>0002</v>
          </cell>
          <cell r="G1907" t="str">
            <v>11902</v>
          </cell>
          <cell r="H1907" t="str">
            <v>暂借款</v>
          </cell>
          <cell r="I1907" t="b">
            <v>1</v>
          </cell>
          <cell r="J1907">
            <v>1400000</v>
          </cell>
          <cell r="K1907">
            <v>0</v>
          </cell>
          <cell r="L1907">
            <v>0</v>
          </cell>
        </row>
        <row r="1908">
          <cell r="A1908" t="str">
            <v>10</v>
          </cell>
          <cell r="B1908" t="str">
            <v>20</v>
          </cell>
          <cell r="C1908" t="str">
            <v>10</v>
          </cell>
          <cell r="D1908" t="str">
            <v>4</v>
          </cell>
          <cell r="E1908" t="str">
            <v>0018</v>
          </cell>
          <cell r="F1908" t="str">
            <v>0003</v>
          </cell>
          <cell r="G1908" t="str">
            <v>11902</v>
          </cell>
          <cell r="H1908" t="str">
            <v>暂借款</v>
          </cell>
          <cell r="I1908" t="b">
            <v>1</v>
          </cell>
          <cell r="J1908">
            <v>4000000</v>
          </cell>
          <cell r="K1908">
            <v>0</v>
          </cell>
          <cell r="L1908">
            <v>0</v>
          </cell>
        </row>
        <row r="1909">
          <cell r="A1909" t="str">
            <v>10</v>
          </cell>
          <cell r="B1909" t="str">
            <v>22</v>
          </cell>
          <cell r="C1909" t="str">
            <v>10</v>
          </cell>
          <cell r="D1909" t="str">
            <v>4</v>
          </cell>
          <cell r="E1909" t="str">
            <v>0025</v>
          </cell>
          <cell r="F1909" t="str">
            <v>0009</v>
          </cell>
          <cell r="G1909" t="str">
            <v>11902</v>
          </cell>
          <cell r="H1909" t="str">
            <v>代扣99.1-2000.5月份个人所得税</v>
          </cell>
          <cell r="I1909" t="b">
            <v>0</v>
          </cell>
          <cell r="J1909">
            <v>5479.71</v>
          </cell>
          <cell r="K1909">
            <v>0</v>
          </cell>
          <cell r="L1909">
            <v>0</v>
          </cell>
        </row>
        <row r="1910">
          <cell r="A1910" t="str">
            <v>10</v>
          </cell>
          <cell r="B1910" t="str">
            <v>22</v>
          </cell>
          <cell r="C1910" t="str">
            <v>10</v>
          </cell>
          <cell r="D1910" t="str">
            <v>4</v>
          </cell>
          <cell r="E1910" t="str">
            <v>0025</v>
          </cell>
          <cell r="F1910" t="str">
            <v>0010</v>
          </cell>
          <cell r="G1910" t="str">
            <v>11902</v>
          </cell>
          <cell r="H1910" t="str">
            <v>代扣鲁菱个人所得税</v>
          </cell>
          <cell r="I1910" t="b">
            <v>0</v>
          </cell>
          <cell r="J1910">
            <v>273.95999999999998</v>
          </cell>
          <cell r="K1910">
            <v>0</v>
          </cell>
          <cell r="L1910">
            <v>0</v>
          </cell>
        </row>
        <row r="1911">
          <cell r="A1911" t="str">
            <v>10</v>
          </cell>
          <cell r="B1911" t="str">
            <v>24</v>
          </cell>
          <cell r="C1911" t="str">
            <v>10</v>
          </cell>
          <cell r="D1911" t="str">
            <v>5</v>
          </cell>
          <cell r="E1911" t="str">
            <v>0003</v>
          </cell>
          <cell r="F1911" t="str">
            <v>0001</v>
          </cell>
          <cell r="G1911" t="str">
            <v>11902</v>
          </cell>
          <cell r="H1911" t="str">
            <v>转滕州分公司9月份用材料</v>
          </cell>
          <cell r="I1911" t="b">
            <v>1</v>
          </cell>
          <cell r="J1911">
            <v>292320.64000000001</v>
          </cell>
          <cell r="K1911">
            <v>0</v>
          </cell>
          <cell r="L1911">
            <v>0</v>
          </cell>
        </row>
        <row r="1912">
          <cell r="A1912" t="str">
            <v>10</v>
          </cell>
          <cell r="B1912" t="str">
            <v>24</v>
          </cell>
          <cell r="C1912" t="str">
            <v>10</v>
          </cell>
          <cell r="D1912" t="str">
            <v>5</v>
          </cell>
          <cell r="E1912" t="str">
            <v>0004</v>
          </cell>
          <cell r="F1912" t="str">
            <v>0003</v>
          </cell>
          <cell r="G1912" t="str">
            <v>11902</v>
          </cell>
          <cell r="H1912" t="str">
            <v>转购五莲分公司果汁450吨</v>
          </cell>
          <cell r="I1912" t="b">
            <v>0</v>
          </cell>
          <cell r="J1912">
            <v>2025000</v>
          </cell>
          <cell r="K1912">
            <v>0</v>
          </cell>
          <cell r="L1912">
            <v>0</v>
          </cell>
        </row>
        <row r="1913">
          <cell r="A1913" t="str">
            <v>10</v>
          </cell>
          <cell r="B1913" t="str">
            <v>24</v>
          </cell>
          <cell r="C1913" t="str">
            <v>10</v>
          </cell>
          <cell r="D1913" t="str">
            <v>5</v>
          </cell>
          <cell r="E1913" t="str">
            <v>0005</v>
          </cell>
          <cell r="F1913" t="str">
            <v>0003</v>
          </cell>
          <cell r="G1913" t="str">
            <v>11902</v>
          </cell>
          <cell r="H1913" t="str">
            <v>转购平原果汁622.44吨</v>
          </cell>
          <cell r="I1913" t="b">
            <v>0</v>
          </cell>
          <cell r="J1913">
            <v>2489760</v>
          </cell>
          <cell r="K1913">
            <v>0</v>
          </cell>
          <cell r="L1913">
            <v>0</v>
          </cell>
        </row>
        <row r="1914">
          <cell r="A1914" t="str">
            <v>10</v>
          </cell>
          <cell r="B1914" t="str">
            <v>24</v>
          </cell>
          <cell r="C1914" t="str">
            <v>10</v>
          </cell>
          <cell r="D1914" t="str">
            <v>5</v>
          </cell>
          <cell r="E1914" t="str">
            <v>0006</v>
          </cell>
          <cell r="F1914" t="str">
            <v>0004</v>
          </cell>
          <cell r="G1914" t="str">
            <v>11902</v>
          </cell>
          <cell r="H1914" t="str">
            <v>转购滕州果汁162.5吨</v>
          </cell>
          <cell r="I1914" t="b">
            <v>0</v>
          </cell>
          <cell r="J1914">
            <v>731250</v>
          </cell>
          <cell r="K1914">
            <v>0</v>
          </cell>
          <cell r="L1914">
            <v>0</v>
          </cell>
        </row>
        <row r="1915">
          <cell r="A1915" t="str">
            <v>10</v>
          </cell>
          <cell r="B1915" t="str">
            <v>24</v>
          </cell>
          <cell r="C1915" t="str">
            <v>10</v>
          </cell>
          <cell r="D1915" t="str">
            <v>5</v>
          </cell>
          <cell r="E1915" t="str">
            <v>0006</v>
          </cell>
          <cell r="F1915" t="str">
            <v>0005</v>
          </cell>
          <cell r="G1915" t="str">
            <v>11902</v>
          </cell>
          <cell r="H1915" t="str">
            <v>转购宝鸡果汁24.57吨</v>
          </cell>
          <cell r="I1915" t="b">
            <v>0</v>
          </cell>
          <cell r="J1915">
            <v>93366</v>
          </cell>
          <cell r="K1915">
            <v>0</v>
          </cell>
          <cell r="L1915">
            <v>0</v>
          </cell>
        </row>
        <row r="1916">
          <cell r="A1916" t="str">
            <v>10</v>
          </cell>
          <cell r="B1916" t="str">
            <v>24</v>
          </cell>
          <cell r="C1916" t="str">
            <v>10</v>
          </cell>
          <cell r="D1916" t="str">
            <v>5</v>
          </cell>
          <cell r="E1916" t="str">
            <v>0012</v>
          </cell>
          <cell r="F1916" t="str">
            <v>0002</v>
          </cell>
          <cell r="G1916" t="str">
            <v>11902</v>
          </cell>
          <cell r="H1916" t="str">
            <v>转本月酒店工人工资</v>
          </cell>
          <cell r="I1916" t="b">
            <v>1</v>
          </cell>
          <cell r="J1916">
            <v>4616.2</v>
          </cell>
          <cell r="K1916">
            <v>0</v>
          </cell>
          <cell r="L1916">
            <v>0</v>
          </cell>
        </row>
        <row r="1917">
          <cell r="A1917" t="str">
            <v>10</v>
          </cell>
          <cell r="B1917" t="str">
            <v>26</v>
          </cell>
          <cell r="C1917" t="str">
            <v>10</v>
          </cell>
          <cell r="D1917" t="str">
            <v>5</v>
          </cell>
          <cell r="E1917" t="str">
            <v>0014</v>
          </cell>
          <cell r="F1917" t="str">
            <v>0001</v>
          </cell>
          <cell r="G1917" t="str">
            <v>11902</v>
          </cell>
          <cell r="H1917" t="str">
            <v>转鲁菱公司本月耗材料</v>
          </cell>
          <cell r="I1917" t="b">
            <v>1</v>
          </cell>
          <cell r="J1917">
            <v>576757</v>
          </cell>
          <cell r="K1917">
            <v>0</v>
          </cell>
          <cell r="L1917">
            <v>0</v>
          </cell>
        </row>
        <row r="1918">
          <cell r="A1918" t="str">
            <v>10</v>
          </cell>
          <cell r="B1918" t="str">
            <v>26</v>
          </cell>
          <cell r="C1918" t="str">
            <v>10</v>
          </cell>
          <cell r="D1918" t="str">
            <v>5</v>
          </cell>
          <cell r="E1918" t="str">
            <v>0014</v>
          </cell>
          <cell r="F1918" t="str">
            <v>0002</v>
          </cell>
          <cell r="G1918" t="str">
            <v>11902</v>
          </cell>
          <cell r="H1918" t="str">
            <v>转尚进公司本月耗材料</v>
          </cell>
          <cell r="I1918" t="b">
            <v>1</v>
          </cell>
          <cell r="J1918">
            <v>230914.42</v>
          </cell>
          <cell r="K1918">
            <v>0</v>
          </cell>
          <cell r="L1918">
            <v>0</v>
          </cell>
        </row>
        <row r="1919">
          <cell r="A1919" t="str">
            <v>10</v>
          </cell>
          <cell r="B1919" t="str">
            <v>26</v>
          </cell>
          <cell r="C1919" t="str">
            <v>10</v>
          </cell>
          <cell r="D1919" t="str">
            <v>5</v>
          </cell>
          <cell r="E1919" t="str">
            <v>0014</v>
          </cell>
          <cell r="F1919" t="str">
            <v>0003</v>
          </cell>
          <cell r="G1919" t="str">
            <v>11902</v>
          </cell>
          <cell r="H1919" t="str">
            <v>转平原分公司本月耗材料</v>
          </cell>
          <cell r="I1919" t="b">
            <v>1</v>
          </cell>
          <cell r="J1919">
            <v>71515.08</v>
          </cell>
          <cell r="K1919">
            <v>0</v>
          </cell>
          <cell r="L1919">
            <v>0</v>
          </cell>
        </row>
        <row r="1920">
          <cell r="A1920" t="str">
            <v>10</v>
          </cell>
          <cell r="B1920" t="str">
            <v>26</v>
          </cell>
          <cell r="C1920" t="str">
            <v>10</v>
          </cell>
          <cell r="D1920" t="str">
            <v>5</v>
          </cell>
          <cell r="E1920" t="str">
            <v>0014</v>
          </cell>
          <cell r="F1920" t="str">
            <v>0004</v>
          </cell>
          <cell r="G1920" t="str">
            <v>11902</v>
          </cell>
          <cell r="H1920" t="str">
            <v>转五莲分公司本月耗材料</v>
          </cell>
          <cell r="I1920" t="b">
            <v>1</v>
          </cell>
          <cell r="J1920">
            <v>84620.25</v>
          </cell>
          <cell r="K1920">
            <v>0</v>
          </cell>
          <cell r="L1920">
            <v>0</v>
          </cell>
        </row>
        <row r="1921">
          <cell r="A1921" t="str">
            <v>10</v>
          </cell>
          <cell r="B1921" t="str">
            <v>26</v>
          </cell>
          <cell r="C1921" t="str">
            <v>10</v>
          </cell>
          <cell r="D1921" t="str">
            <v>5</v>
          </cell>
          <cell r="E1921" t="str">
            <v>0014</v>
          </cell>
          <cell r="F1921" t="str">
            <v>0005</v>
          </cell>
          <cell r="G1921" t="str">
            <v>11902</v>
          </cell>
          <cell r="H1921" t="str">
            <v>转卢龙分公司本月耗材料</v>
          </cell>
          <cell r="I1921" t="b">
            <v>1</v>
          </cell>
          <cell r="J1921">
            <v>65639.34</v>
          </cell>
          <cell r="K1921">
            <v>0</v>
          </cell>
          <cell r="L1921">
            <v>0</v>
          </cell>
        </row>
        <row r="1922">
          <cell r="A1922" t="str">
            <v>10</v>
          </cell>
          <cell r="B1922" t="str">
            <v>26</v>
          </cell>
          <cell r="C1922" t="str">
            <v>10</v>
          </cell>
          <cell r="D1922" t="str">
            <v>5</v>
          </cell>
          <cell r="E1922" t="str">
            <v>0014</v>
          </cell>
          <cell r="F1922" t="str">
            <v>0006</v>
          </cell>
          <cell r="G1922" t="str">
            <v>11902</v>
          </cell>
          <cell r="H1922" t="str">
            <v>转滕州分公司本月耗材料</v>
          </cell>
          <cell r="I1922" t="b">
            <v>1</v>
          </cell>
          <cell r="J1922">
            <v>61735.05</v>
          </cell>
          <cell r="K1922">
            <v>0</v>
          </cell>
          <cell r="L1922">
            <v>0</v>
          </cell>
        </row>
        <row r="1923">
          <cell r="A1923" t="str">
            <v>10</v>
          </cell>
          <cell r="B1923" t="str">
            <v>26</v>
          </cell>
          <cell r="C1923" t="str">
            <v>10</v>
          </cell>
          <cell r="D1923" t="str">
            <v>5</v>
          </cell>
          <cell r="E1923" t="str">
            <v>0015</v>
          </cell>
          <cell r="F1923" t="str">
            <v>0001</v>
          </cell>
          <cell r="G1923" t="str">
            <v>11902</v>
          </cell>
          <cell r="H1923" t="str">
            <v>转尚进代扣鲁菱个人所得税</v>
          </cell>
          <cell r="I1923" t="b">
            <v>1</v>
          </cell>
          <cell r="J1923">
            <v>336.39</v>
          </cell>
          <cell r="K1923">
            <v>0</v>
          </cell>
          <cell r="L1923">
            <v>0</v>
          </cell>
        </row>
        <row r="1924">
          <cell r="A1924" t="str">
            <v>10</v>
          </cell>
          <cell r="B1924" t="str">
            <v>26</v>
          </cell>
          <cell r="C1924" t="str">
            <v>10</v>
          </cell>
          <cell r="D1924" t="str">
            <v>5</v>
          </cell>
          <cell r="E1924" t="str">
            <v>0015</v>
          </cell>
          <cell r="F1924" t="str">
            <v>0002</v>
          </cell>
          <cell r="G1924" t="str">
            <v>11902</v>
          </cell>
          <cell r="H1924" t="str">
            <v>转尚进代扣鲁菱个人所得税</v>
          </cell>
          <cell r="I1924" t="b">
            <v>0</v>
          </cell>
          <cell r="J1924">
            <v>336.39</v>
          </cell>
          <cell r="K1924">
            <v>0</v>
          </cell>
          <cell r="L1924">
            <v>0</v>
          </cell>
        </row>
        <row r="1925">
          <cell r="A1925" t="str">
            <v>10</v>
          </cell>
          <cell r="B1925" t="str">
            <v>26</v>
          </cell>
          <cell r="C1925" t="str">
            <v>10</v>
          </cell>
          <cell r="D1925" t="str">
            <v>5</v>
          </cell>
          <cell r="E1925" t="str">
            <v>0015</v>
          </cell>
          <cell r="F1925" t="str">
            <v>0003</v>
          </cell>
          <cell r="G1925" t="str">
            <v>11902</v>
          </cell>
          <cell r="H1925" t="str">
            <v>转鲁菱代扣尚进个人所得税</v>
          </cell>
          <cell r="I1925" t="b">
            <v>1</v>
          </cell>
          <cell r="J1925">
            <v>485.33</v>
          </cell>
          <cell r="K1925">
            <v>0</v>
          </cell>
          <cell r="L1925">
            <v>0</v>
          </cell>
        </row>
        <row r="1926">
          <cell r="A1926" t="str">
            <v>10</v>
          </cell>
          <cell r="B1926" t="str">
            <v>26</v>
          </cell>
          <cell r="C1926" t="str">
            <v>10</v>
          </cell>
          <cell r="D1926" t="str">
            <v>5</v>
          </cell>
          <cell r="E1926" t="str">
            <v>0015</v>
          </cell>
          <cell r="F1926" t="str">
            <v>0004</v>
          </cell>
          <cell r="G1926" t="str">
            <v>11902</v>
          </cell>
          <cell r="H1926" t="str">
            <v>转鲁菱代扣尚进个人所得税</v>
          </cell>
          <cell r="I1926" t="b">
            <v>0</v>
          </cell>
          <cell r="J1926">
            <v>485.33</v>
          </cell>
          <cell r="K1926">
            <v>0</v>
          </cell>
          <cell r="L1926">
            <v>0</v>
          </cell>
        </row>
        <row r="1927">
          <cell r="A1927" t="str">
            <v>10</v>
          </cell>
          <cell r="B1927" t="str">
            <v>26</v>
          </cell>
          <cell r="C1927" t="str">
            <v>10</v>
          </cell>
          <cell r="D1927" t="str">
            <v>5</v>
          </cell>
          <cell r="E1927" t="str">
            <v>0016</v>
          </cell>
          <cell r="F1927" t="str">
            <v>0004</v>
          </cell>
          <cell r="G1927" t="str">
            <v>11902</v>
          </cell>
          <cell r="H1927" t="str">
            <v>转还借款</v>
          </cell>
          <cell r="I1927" t="b">
            <v>0</v>
          </cell>
          <cell r="J1927">
            <v>480</v>
          </cell>
          <cell r="K1927">
            <v>0</v>
          </cell>
          <cell r="L1927">
            <v>0</v>
          </cell>
        </row>
        <row r="1928">
          <cell r="A1928" t="str">
            <v>10</v>
          </cell>
          <cell r="B1928" t="str">
            <v>26</v>
          </cell>
          <cell r="C1928" t="str">
            <v>10</v>
          </cell>
          <cell r="D1928" t="str">
            <v>5</v>
          </cell>
          <cell r="E1928" t="str">
            <v>0016</v>
          </cell>
          <cell r="F1928" t="str">
            <v>0005</v>
          </cell>
          <cell r="G1928" t="str">
            <v>11902</v>
          </cell>
          <cell r="H1928" t="str">
            <v>转还借款</v>
          </cell>
          <cell r="I1928" t="b">
            <v>0</v>
          </cell>
          <cell r="J1928">
            <v>600</v>
          </cell>
          <cell r="K1928">
            <v>0</v>
          </cell>
          <cell r="L1928">
            <v>0</v>
          </cell>
        </row>
        <row r="1929">
          <cell r="A1929" t="str">
            <v>10</v>
          </cell>
          <cell r="B1929" t="str">
            <v>26</v>
          </cell>
          <cell r="C1929" t="str">
            <v>10</v>
          </cell>
          <cell r="D1929" t="str">
            <v>5</v>
          </cell>
          <cell r="E1929" t="str">
            <v>0016</v>
          </cell>
          <cell r="F1929" t="str">
            <v>0006</v>
          </cell>
          <cell r="G1929" t="str">
            <v>11902</v>
          </cell>
          <cell r="H1929" t="str">
            <v>转鲁菱代扣个人所得税</v>
          </cell>
          <cell r="I1929" t="b">
            <v>0</v>
          </cell>
          <cell r="J1929">
            <v>7887.74</v>
          </cell>
          <cell r="K1929">
            <v>0</v>
          </cell>
          <cell r="L1929">
            <v>0</v>
          </cell>
        </row>
        <row r="1930">
          <cell r="A1930" t="str">
            <v>10</v>
          </cell>
          <cell r="B1930" t="str">
            <v>26</v>
          </cell>
          <cell r="C1930" t="str">
            <v>10</v>
          </cell>
          <cell r="D1930" t="str">
            <v>5</v>
          </cell>
          <cell r="E1930" t="str">
            <v>0016</v>
          </cell>
          <cell r="F1930" t="str">
            <v>0007</v>
          </cell>
          <cell r="G1930" t="str">
            <v>11902</v>
          </cell>
          <cell r="H1930" t="str">
            <v>转鲁菱代扣水电.保险费等</v>
          </cell>
          <cell r="I1930" t="b">
            <v>1</v>
          </cell>
          <cell r="J1930">
            <v>14135.58</v>
          </cell>
          <cell r="K1930">
            <v>0</v>
          </cell>
          <cell r="L1930">
            <v>0</v>
          </cell>
        </row>
        <row r="1931">
          <cell r="A1931" t="str">
            <v>10</v>
          </cell>
          <cell r="B1931" t="str">
            <v>26</v>
          </cell>
          <cell r="C1931" t="str">
            <v>10</v>
          </cell>
          <cell r="D1931" t="str">
            <v>5</v>
          </cell>
          <cell r="E1931" t="str">
            <v>0016</v>
          </cell>
          <cell r="F1931" t="str">
            <v>0008</v>
          </cell>
          <cell r="G1931" t="str">
            <v>11902</v>
          </cell>
          <cell r="H1931" t="str">
            <v>转尚进代扣水电.保险费等</v>
          </cell>
          <cell r="I1931" t="b">
            <v>1</v>
          </cell>
          <cell r="J1931">
            <v>690</v>
          </cell>
          <cell r="K1931">
            <v>0</v>
          </cell>
          <cell r="L1931">
            <v>0</v>
          </cell>
        </row>
        <row r="1932">
          <cell r="A1932" t="str">
            <v>10</v>
          </cell>
          <cell r="B1932" t="str">
            <v>28</v>
          </cell>
          <cell r="C1932" t="str">
            <v>10</v>
          </cell>
          <cell r="D1932" t="str">
            <v>5</v>
          </cell>
          <cell r="E1932" t="str">
            <v>0029</v>
          </cell>
          <cell r="F1932" t="str">
            <v>0001</v>
          </cell>
          <cell r="G1932" t="str">
            <v>11902</v>
          </cell>
          <cell r="H1932" t="str">
            <v>转本月共同管理费用</v>
          </cell>
          <cell r="I1932" t="b">
            <v>1</v>
          </cell>
          <cell r="J1932">
            <v>166412.51999999999</v>
          </cell>
          <cell r="K1932">
            <v>0</v>
          </cell>
          <cell r="L1932">
            <v>0</v>
          </cell>
        </row>
        <row r="1933">
          <cell r="A1933" t="str">
            <v>10</v>
          </cell>
          <cell r="B1933" t="str">
            <v>28</v>
          </cell>
          <cell r="C1933" t="str">
            <v>10</v>
          </cell>
          <cell r="D1933" t="str">
            <v>5</v>
          </cell>
          <cell r="E1933" t="str">
            <v>0029</v>
          </cell>
          <cell r="F1933" t="str">
            <v>0002</v>
          </cell>
          <cell r="G1933" t="str">
            <v>11902</v>
          </cell>
          <cell r="H1933" t="str">
            <v>转本月共同管理费用</v>
          </cell>
          <cell r="I1933" t="b">
            <v>1</v>
          </cell>
          <cell r="J1933">
            <v>60191.78</v>
          </cell>
          <cell r="K1933">
            <v>0</v>
          </cell>
          <cell r="L1933">
            <v>0</v>
          </cell>
        </row>
        <row r="1934">
          <cell r="A1934" t="str">
            <v>11</v>
          </cell>
          <cell r="B1934" t="str">
            <v>25</v>
          </cell>
          <cell r="C1934" t="str">
            <v>11</v>
          </cell>
          <cell r="D1934" t="str">
            <v>1</v>
          </cell>
          <cell r="E1934" t="str">
            <v>0004</v>
          </cell>
          <cell r="F1934" t="str">
            <v>0002</v>
          </cell>
          <cell r="G1934" t="str">
            <v>11902</v>
          </cell>
          <cell r="H1934" t="str">
            <v>暂借款</v>
          </cell>
          <cell r="I1934" t="b">
            <v>0</v>
          </cell>
          <cell r="J1934">
            <v>16530.2</v>
          </cell>
          <cell r="K1934">
            <v>0</v>
          </cell>
          <cell r="L1934">
            <v>0</v>
          </cell>
        </row>
        <row r="1935">
          <cell r="A1935" t="str">
            <v>11</v>
          </cell>
          <cell r="B1935" t="str">
            <v>08</v>
          </cell>
          <cell r="C1935" t="str">
            <v>11</v>
          </cell>
          <cell r="D1935" t="str">
            <v>2</v>
          </cell>
          <cell r="E1935" t="str">
            <v>0010</v>
          </cell>
          <cell r="F1935" t="str">
            <v>0001</v>
          </cell>
          <cell r="G1935" t="str">
            <v>11902</v>
          </cell>
          <cell r="H1935" t="str">
            <v>暂借款</v>
          </cell>
          <cell r="I1935" t="b">
            <v>1</v>
          </cell>
          <cell r="J1935">
            <v>1191</v>
          </cell>
          <cell r="K1935">
            <v>0</v>
          </cell>
          <cell r="L1935">
            <v>0</v>
          </cell>
        </row>
        <row r="1936">
          <cell r="A1936" t="str">
            <v>11</v>
          </cell>
          <cell r="B1936" t="str">
            <v>08</v>
          </cell>
          <cell r="C1936" t="str">
            <v>11</v>
          </cell>
          <cell r="D1936" t="str">
            <v>2</v>
          </cell>
          <cell r="E1936" t="str">
            <v>0010</v>
          </cell>
          <cell r="F1936" t="str">
            <v>0002</v>
          </cell>
          <cell r="G1936" t="str">
            <v>11902</v>
          </cell>
          <cell r="H1936" t="str">
            <v>暂借款</v>
          </cell>
          <cell r="I1936" t="b">
            <v>1</v>
          </cell>
          <cell r="J1936">
            <v>104832.96000000001</v>
          </cell>
          <cell r="K1936">
            <v>0</v>
          </cell>
          <cell r="L1936">
            <v>0</v>
          </cell>
        </row>
        <row r="1937">
          <cell r="A1937" t="str">
            <v>11</v>
          </cell>
          <cell r="B1937" t="str">
            <v>23</v>
          </cell>
          <cell r="C1937" t="str">
            <v>11</v>
          </cell>
          <cell r="D1937" t="str">
            <v>2</v>
          </cell>
          <cell r="E1937" t="str">
            <v>0025</v>
          </cell>
          <cell r="F1937" t="str">
            <v>0001</v>
          </cell>
          <cell r="G1937" t="str">
            <v>11902</v>
          </cell>
          <cell r="H1937" t="str">
            <v>暂借款</v>
          </cell>
          <cell r="I1937" t="b">
            <v>1</v>
          </cell>
          <cell r="J1937">
            <v>5000</v>
          </cell>
          <cell r="K1937">
            <v>0</v>
          </cell>
          <cell r="L1937">
            <v>0</v>
          </cell>
        </row>
        <row r="1938">
          <cell r="A1938" t="str">
            <v>11</v>
          </cell>
          <cell r="B1938" t="str">
            <v>23</v>
          </cell>
          <cell r="C1938" t="str">
            <v>11</v>
          </cell>
          <cell r="D1938" t="str">
            <v>2</v>
          </cell>
          <cell r="E1938" t="str">
            <v>0025</v>
          </cell>
          <cell r="F1938" t="str">
            <v>0002</v>
          </cell>
          <cell r="G1938" t="str">
            <v>11902</v>
          </cell>
          <cell r="H1938" t="str">
            <v>暂借款</v>
          </cell>
          <cell r="I1938" t="b">
            <v>1</v>
          </cell>
          <cell r="J1938">
            <v>605000</v>
          </cell>
          <cell r="K1938">
            <v>0</v>
          </cell>
          <cell r="L1938">
            <v>0</v>
          </cell>
        </row>
        <row r="1939">
          <cell r="A1939" t="str">
            <v>11</v>
          </cell>
          <cell r="B1939" t="str">
            <v>23</v>
          </cell>
          <cell r="C1939" t="str">
            <v>11</v>
          </cell>
          <cell r="D1939" t="str">
            <v>2</v>
          </cell>
          <cell r="E1939" t="str">
            <v>0025</v>
          </cell>
          <cell r="F1939" t="str">
            <v>0003</v>
          </cell>
          <cell r="G1939" t="str">
            <v>11902</v>
          </cell>
          <cell r="H1939" t="str">
            <v>暂借款</v>
          </cell>
          <cell r="I1939" t="b">
            <v>1</v>
          </cell>
          <cell r="J1939">
            <v>810000</v>
          </cell>
          <cell r="K1939">
            <v>0</v>
          </cell>
          <cell r="L1939">
            <v>0</v>
          </cell>
        </row>
        <row r="1940">
          <cell r="A1940" t="str">
            <v>11</v>
          </cell>
          <cell r="B1940" t="str">
            <v>01</v>
          </cell>
          <cell r="C1940" t="str">
            <v>11</v>
          </cell>
          <cell r="D1940" t="str">
            <v>3</v>
          </cell>
          <cell r="E1940" t="str">
            <v>0001</v>
          </cell>
          <cell r="F1940" t="str">
            <v>0002</v>
          </cell>
          <cell r="G1940" t="str">
            <v>11902</v>
          </cell>
          <cell r="H1940" t="str">
            <v>退汇一支</v>
          </cell>
          <cell r="I1940" t="b">
            <v>0</v>
          </cell>
          <cell r="J1940">
            <v>1500000</v>
          </cell>
          <cell r="K1940">
            <v>0</v>
          </cell>
          <cell r="L1940">
            <v>0</v>
          </cell>
        </row>
        <row r="1941">
          <cell r="A1941" t="str">
            <v>11</v>
          </cell>
          <cell r="B1941" t="str">
            <v>01</v>
          </cell>
          <cell r="C1941" t="str">
            <v>11</v>
          </cell>
          <cell r="D1941" t="str">
            <v>3</v>
          </cell>
          <cell r="E1941" t="str">
            <v>0001</v>
          </cell>
          <cell r="F1941" t="str">
            <v>0004</v>
          </cell>
          <cell r="G1941" t="str">
            <v>11902</v>
          </cell>
          <cell r="H1941" t="str">
            <v>收预付果渣加工费</v>
          </cell>
          <cell r="I1941" t="b">
            <v>0</v>
          </cell>
          <cell r="J1941">
            <v>20000</v>
          </cell>
          <cell r="K1941">
            <v>0</v>
          </cell>
          <cell r="L1941">
            <v>0</v>
          </cell>
        </row>
        <row r="1942">
          <cell r="A1942" t="str">
            <v>11</v>
          </cell>
          <cell r="B1942" t="str">
            <v>21</v>
          </cell>
          <cell r="C1942" t="str">
            <v>11</v>
          </cell>
          <cell r="D1942" t="str">
            <v>3</v>
          </cell>
          <cell r="E1942" t="str">
            <v>0004</v>
          </cell>
          <cell r="F1942" t="str">
            <v>0003</v>
          </cell>
          <cell r="G1942" t="str">
            <v>11902</v>
          </cell>
          <cell r="H1942" t="str">
            <v>暂借款</v>
          </cell>
          <cell r="I1942" t="b">
            <v>0</v>
          </cell>
          <cell r="J1942">
            <v>2653200</v>
          </cell>
          <cell r="K1942">
            <v>0</v>
          </cell>
          <cell r="L1942">
            <v>0</v>
          </cell>
        </row>
        <row r="1943">
          <cell r="A1943" t="str">
            <v>11</v>
          </cell>
          <cell r="B1943" t="str">
            <v>21</v>
          </cell>
          <cell r="C1943" t="str">
            <v>11</v>
          </cell>
          <cell r="D1943" t="str">
            <v>3</v>
          </cell>
          <cell r="E1943" t="str">
            <v>0004</v>
          </cell>
          <cell r="F1943" t="str">
            <v>0004</v>
          </cell>
          <cell r="G1943" t="str">
            <v>11902</v>
          </cell>
          <cell r="H1943" t="str">
            <v>暂借款</v>
          </cell>
          <cell r="I1943" t="b">
            <v>0</v>
          </cell>
          <cell r="J1943">
            <v>500000</v>
          </cell>
          <cell r="K1943">
            <v>0</v>
          </cell>
          <cell r="L1943">
            <v>0</v>
          </cell>
        </row>
        <row r="1944">
          <cell r="A1944" t="str">
            <v>11</v>
          </cell>
          <cell r="B1944" t="str">
            <v>21</v>
          </cell>
          <cell r="C1944" t="str">
            <v>11</v>
          </cell>
          <cell r="D1944" t="str">
            <v>3</v>
          </cell>
          <cell r="E1944" t="str">
            <v>0005</v>
          </cell>
          <cell r="F1944" t="str">
            <v>0004</v>
          </cell>
          <cell r="G1944" t="str">
            <v>11902</v>
          </cell>
          <cell r="H1944" t="str">
            <v>收果渣加工费</v>
          </cell>
          <cell r="I1944" t="b">
            <v>0</v>
          </cell>
          <cell r="J1944">
            <v>10000</v>
          </cell>
          <cell r="K1944">
            <v>0</v>
          </cell>
          <cell r="L1944">
            <v>0</v>
          </cell>
        </row>
        <row r="1945">
          <cell r="A1945" t="str">
            <v>11</v>
          </cell>
          <cell r="B1945" t="str">
            <v>03</v>
          </cell>
          <cell r="C1945" t="str">
            <v>11</v>
          </cell>
          <cell r="D1945" t="str">
            <v>4</v>
          </cell>
          <cell r="E1945" t="str">
            <v>0005</v>
          </cell>
          <cell r="F1945" t="str">
            <v>0001</v>
          </cell>
          <cell r="G1945" t="str">
            <v>11902</v>
          </cell>
          <cell r="H1945" t="str">
            <v>暂借款</v>
          </cell>
          <cell r="I1945" t="b">
            <v>1</v>
          </cell>
          <cell r="J1945">
            <v>3500000</v>
          </cell>
          <cell r="K1945">
            <v>0</v>
          </cell>
          <cell r="L1945">
            <v>0</v>
          </cell>
        </row>
        <row r="1946">
          <cell r="A1946" t="str">
            <v>11</v>
          </cell>
          <cell r="B1946" t="str">
            <v>03</v>
          </cell>
          <cell r="C1946" t="str">
            <v>11</v>
          </cell>
          <cell r="D1946" t="str">
            <v>4</v>
          </cell>
          <cell r="E1946" t="str">
            <v>0005</v>
          </cell>
          <cell r="F1946" t="str">
            <v>0002</v>
          </cell>
          <cell r="G1946" t="str">
            <v>11902</v>
          </cell>
          <cell r="H1946" t="str">
            <v>付苹果汁反倾销应诉款</v>
          </cell>
          <cell r="I1946" t="b">
            <v>1</v>
          </cell>
          <cell r="J1946">
            <v>152286</v>
          </cell>
          <cell r="K1946">
            <v>0</v>
          </cell>
          <cell r="L1946">
            <v>0</v>
          </cell>
        </row>
        <row r="1947">
          <cell r="A1947" t="str">
            <v>11</v>
          </cell>
          <cell r="B1947" t="str">
            <v>06</v>
          </cell>
          <cell r="C1947" t="str">
            <v>11</v>
          </cell>
          <cell r="D1947" t="str">
            <v>4</v>
          </cell>
          <cell r="E1947" t="str">
            <v>0006</v>
          </cell>
          <cell r="F1947" t="str">
            <v>0001</v>
          </cell>
          <cell r="G1947" t="str">
            <v>11902</v>
          </cell>
          <cell r="H1947" t="str">
            <v>暂借款</v>
          </cell>
          <cell r="I1947" t="b">
            <v>1</v>
          </cell>
          <cell r="J1947">
            <v>137960.66</v>
          </cell>
          <cell r="K1947">
            <v>0</v>
          </cell>
          <cell r="L1947">
            <v>0</v>
          </cell>
        </row>
        <row r="1948">
          <cell r="A1948" t="str">
            <v>11</v>
          </cell>
          <cell r="B1948" t="str">
            <v>07</v>
          </cell>
          <cell r="C1948" t="str">
            <v>11</v>
          </cell>
          <cell r="D1948" t="str">
            <v>4</v>
          </cell>
          <cell r="E1948" t="str">
            <v>0007</v>
          </cell>
          <cell r="F1948" t="str">
            <v>0001</v>
          </cell>
          <cell r="G1948" t="str">
            <v>11902</v>
          </cell>
          <cell r="H1948" t="str">
            <v>暂借款</v>
          </cell>
          <cell r="I1948" t="b">
            <v>1</v>
          </cell>
          <cell r="J1948">
            <v>46988.04</v>
          </cell>
          <cell r="K1948">
            <v>0</v>
          </cell>
          <cell r="L1948">
            <v>0</v>
          </cell>
        </row>
        <row r="1949">
          <cell r="A1949" t="str">
            <v>11</v>
          </cell>
          <cell r="B1949" t="str">
            <v>07</v>
          </cell>
          <cell r="C1949" t="str">
            <v>11</v>
          </cell>
          <cell r="D1949" t="str">
            <v>4</v>
          </cell>
          <cell r="E1949" t="str">
            <v>0007</v>
          </cell>
          <cell r="F1949" t="str">
            <v>0002</v>
          </cell>
          <cell r="G1949" t="str">
            <v>11902</v>
          </cell>
          <cell r="H1949" t="str">
            <v>暂借款</v>
          </cell>
          <cell r="I1949" t="b">
            <v>1</v>
          </cell>
          <cell r="J1949">
            <v>39982.17</v>
          </cell>
          <cell r="K1949">
            <v>0</v>
          </cell>
          <cell r="L1949">
            <v>0</v>
          </cell>
        </row>
        <row r="1950">
          <cell r="A1950" t="str">
            <v>11</v>
          </cell>
          <cell r="B1950" t="str">
            <v>07</v>
          </cell>
          <cell r="C1950" t="str">
            <v>11</v>
          </cell>
          <cell r="D1950" t="str">
            <v>4</v>
          </cell>
          <cell r="E1950" t="str">
            <v>0007</v>
          </cell>
          <cell r="F1950" t="str">
            <v>0003</v>
          </cell>
          <cell r="G1950" t="str">
            <v>11902</v>
          </cell>
          <cell r="H1950" t="str">
            <v>暂借款</v>
          </cell>
          <cell r="I1950" t="b">
            <v>1</v>
          </cell>
          <cell r="J1950">
            <v>9243.75</v>
          </cell>
          <cell r="K1950">
            <v>0</v>
          </cell>
          <cell r="L1950">
            <v>0</v>
          </cell>
        </row>
        <row r="1951">
          <cell r="A1951" t="str">
            <v>11</v>
          </cell>
          <cell r="B1951" t="str">
            <v>10</v>
          </cell>
          <cell r="C1951" t="str">
            <v>11</v>
          </cell>
          <cell r="D1951" t="str">
            <v>4</v>
          </cell>
          <cell r="E1951" t="str">
            <v>0008</v>
          </cell>
          <cell r="F1951" t="str">
            <v>0001</v>
          </cell>
          <cell r="G1951" t="str">
            <v>11902</v>
          </cell>
          <cell r="H1951" t="str">
            <v>暂借款</v>
          </cell>
          <cell r="I1951" t="b">
            <v>1</v>
          </cell>
          <cell r="J1951">
            <v>3500000</v>
          </cell>
          <cell r="K1951">
            <v>0</v>
          </cell>
          <cell r="L1951">
            <v>0</v>
          </cell>
        </row>
        <row r="1952">
          <cell r="A1952" t="str">
            <v>11</v>
          </cell>
          <cell r="B1952" t="str">
            <v>10</v>
          </cell>
          <cell r="C1952" t="str">
            <v>11</v>
          </cell>
          <cell r="D1952" t="str">
            <v>4</v>
          </cell>
          <cell r="E1952" t="str">
            <v>0008</v>
          </cell>
          <cell r="F1952" t="str">
            <v>0002</v>
          </cell>
          <cell r="G1952" t="str">
            <v>11902</v>
          </cell>
          <cell r="H1952" t="str">
            <v>暂借款</v>
          </cell>
          <cell r="I1952" t="b">
            <v>1</v>
          </cell>
          <cell r="J1952">
            <v>1000000</v>
          </cell>
          <cell r="K1952">
            <v>0</v>
          </cell>
          <cell r="L1952">
            <v>0</v>
          </cell>
        </row>
        <row r="1953">
          <cell r="A1953" t="str">
            <v>11</v>
          </cell>
          <cell r="B1953" t="str">
            <v>10</v>
          </cell>
          <cell r="C1953" t="str">
            <v>11</v>
          </cell>
          <cell r="D1953" t="str">
            <v>4</v>
          </cell>
          <cell r="E1953" t="str">
            <v>0008</v>
          </cell>
          <cell r="F1953" t="str">
            <v>0003</v>
          </cell>
          <cell r="G1953" t="str">
            <v>11902</v>
          </cell>
          <cell r="H1953" t="str">
            <v>暂借款</v>
          </cell>
          <cell r="I1953" t="b">
            <v>1</v>
          </cell>
          <cell r="J1953">
            <v>800000</v>
          </cell>
          <cell r="K1953">
            <v>0</v>
          </cell>
          <cell r="L1953">
            <v>0</v>
          </cell>
        </row>
        <row r="1954">
          <cell r="A1954" t="str">
            <v>11</v>
          </cell>
          <cell r="B1954" t="str">
            <v>10</v>
          </cell>
          <cell r="C1954" t="str">
            <v>11</v>
          </cell>
          <cell r="D1954" t="str">
            <v>4</v>
          </cell>
          <cell r="E1954" t="str">
            <v>0009</v>
          </cell>
          <cell r="F1954" t="str">
            <v>0001</v>
          </cell>
          <cell r="G1954" t="str">
            <v>11902</v>
          </cell>
          <cell r="H1954" t="str">
            <v>暂借款</v>
          </cell>
          <cell r="I1954" t="b">
            <v>1</v>
          </cell>
          <cell r="J1954">
            <v>2000000</v>
          </cell>
          <cell r="K1954">
            <v>0</v>
          </cell>
          <cell r="L1954">
            <v>0</v>
          </cell>
        </row>
        <row r="1955">
          <cell r="A1955" t="str">
            <v>11</v>
          </cell>
          <cell r="B1955" t="str">
            <v>15</v>
          </cell>
          <cell r="C1955" t="str">
            <v>11</v>
          </cell>
          <cell r="D1955" t="str">
            <v>4</v>
          </cell>
          <cell r="E1955" t="str">
            <v>0027</v>
          </cell>
          <cell r="F1955" t="str">
            <v>0010</v>
          </cell>
          <cell r="G1955" t="str">
            <v>11902</v>
          </cell>
          <cell r="H1955" t="str">
            <v>代扣2000.06-09月份个人所得税</v>
          </cell>
          <cell r="I1955" t="b">
            <v>0</v>
          </cell>
          <cell r="J1955">
            <v>4415.51</v>
          </cell>
          <cell r="K1955">
            <v>0</v>
          </cell>
          <cell r="L1955">
            <v>0</v>
          </cell>
        </row>
        <row r="1956">
          <cell r="A1956" t="str">
            <v>11</v>
          </cell>
          <cell r="B1956" t="str">
            <v>15</v>
          </cell>
          <cell r="C1956" t="str">
            <v>11</v>
          </cell>
          <cell r="D1956" t="str">
            <v>4</v>
          </cell>
          <cell r="E1956" t="str">
            <v>0027</v>
          </cell>
          <cell r="F1956" t="str">
            <v>0011</v>
          </cell>
          <cell r="G1956" t="str">
            <v>11902</v>
          </cell>
          <cell r="H1956" t="str">
            <v>代扣鲁菱公司个人所得税</v>
          </cell>
          <cell r="I1956" t="b">
            <v>0</v>
          </cell>
          <cell r="J1956">
            <v>19.600000000000001</v>
          </cell>
          <cell r="K1956">
            <v>0</v>
          </cell>
          <cell r="L1956">
            <v>0</v>
          </cell>
        </row>
        <row r="1957">
          <cell r="A1957" t="str">
            <v>11</v>
          </cell>
          <cell r="B1957" t="str">
            <v>20</v>
          </cell>
          <cell r="C1957" t="str">
            <v>11</v>
          </cell>
          <cell r="D1957" t="str">
            <v>4</v>
          </cell>
          <cell r="E1957" t="str">
            <v>0033</v>
          </cell>
          <cell r="F1957" t="str">
            <v>0001</v>
          </cell>
          <cell r="G1957" t="str">
            <v>11902</v>
          </cell>
          <cell r="H1957" t="str">
            <v>暂借款</v>
          </cell>
          <cell r="I1957" t="b">
            <v>1</v>
          </cell>
          <cell r="J1957">
            <v>4500000</v>
          </cell>
          <cell r="K1957">
            <v>0</v>
          </cell>
          <cell r="L1957">
            <v>0</v>
          </cell>
        </row>
        <row r="1958">
          <cell r="A1958" t="str">
            <v>11</v>
          </cell>
          <cell r="B1958" t="str">
            <v>23</v>
          </cell>
          <cell r="C1958" t="str">
            <v>11</v>
          </cell>
          <cell r="D1958" t="str">
            <v>4</v>
          </cell>
          <cell r="E1958" t="str">
            <v>0039</v>
          </cell>
          <cell r="F1958" t="str">
            <v>0001</v>
          </cell>
          <cell r="G1958" t="str">
            <v>11902</v>
          </cell>
          <cell r="H1958" t="str">
            <v>暂借款</v>
          </cell>
          <cell r="I1958" t="b">
            <v>1</v>
          </cell>
          <cell r="J1958">
            <v>1500000</v>
          </cell>
          <cell r="K1958">
            <v>0</v>
          </cell>
          <cell r="L1958">
            <v>0</v>
          </cell>
        </row>
        <row r="1959">
          <cell r="A1959" t="str">
            <v>11</v>
          </cell>
          <cell r="B1959" t="str">
            <v>23</v>
          </cell>
          <cell r="C1959" t="str">
            <v>11</v>
          </cell>
          <cell r="D1959" t="str">
            <v>4</v>
          </cell>
          <cell r="E1959" t="str">
            <v>0039</v>
          </cell>
          <cell r="F1959" t="str">
            <v>0002</v>
          </cell>
          <cell r="G1959" t="str">
            <v>11902</v>
          </cell>
          <cell r="H1959" t="str">
            <v>暂借款</v>
          </cell>
          <cell r="I1959" t="b">
            <v>1</v>
          </cell>
          <cell r="J1959">
            <v>500000</v>
          </cell>
          <cell r="K1959">
            <v>0</v>
          </cell>
          <cell r="L1959">
            <v>0</v>
          </cell>
        </row>
        <row r="1960">
          <cell r="A1960" t="str">
            <v>11</v>
          </cell>
          <cell r="B1960" t="str">
            <v>23</v>
          </cell>
          <cell r="C1960" t="str">
            <v>11</v>
          </cell>
          <cell r="D1960" t="str">
            <v>4</v>
          </cell>
          <cell r="E1960" t="str">
            <v>0039</v>
          </cell>
          <cell r="F1960" t="str">
            <v>0003</v>
          </cell>
          <cell r="G1960" t="str">
            <v>11902</v>
          </cell>
          <cell r="H1960" t="str">
            <v>暂借款</v>
          </cell>
          <cell r="I1960" t="b">
            <v>1</v>
          </cell>
          <cell r="J1960">
            <v>500000</v>
          </cell>
          <cell r="K1960">
            <v>0</v>
          </cell>
          <cell r="L1960">
            <v>0</v>
          </cell>
        </row>
        <row r="1961">
          <cell r="A1961" t="str">
            <v>11</v>
          </cell>
          <cell r="B1961" t="str">
            <v>23</v>
          </cell>
          <cell r="C1961" t="str">
            <v>11</v>
          </cell>
          <cell r="D1961" t="str">
            <v>4</v>
          </cell>
          <cell r="E1961" t="str">
            <v>0039</v>
          </cell>
          <cell r="F1961" t="str">
            <v>0004</v>
          </cell>
          <cell r="G1961" t="str">
            <v>11902</v>
          </cell>
          <cell r="H1961" t="str">
            <v>暂借款</v>
          </cell>
          <cell r="I1961" t="b">
            <v>1</v>
          </cell>
          <cell r="J1961">
            <v>1000000</v>
          </cell>
          <cell r="K1961">
            <v>0</v>
          </cell>
          <cell r="L1961">
            <v>0</v>
          </cell>
        </row>
        <row r="1962">
          <cell r="A1962" t="str">
            <v>11</v>
          </cell>
          <cell r="B1962" t="str">
            <v>23</v>
          </cell>
          <cell r="C1962" t="str">
            <v>11</v>
          </cell>
          <cell r="D1962" t="str">
            <v>4</v>
          </cell>
          <cell r="E1962" t="str">
            <v>0041</v>
          </cell>
          <cell r="F1962" t="str">
            <v>0001</v>
          </cell>
          <cell r="G1962" t="str">
            <v>11902</v>
          </cell>
          <cell r="H1962" t="str">
            <v>暂借款</v>
          </cell>
          <cell r="I1962" t="b">
            <v>1</v>
          </cell>
          <cell r="J1962">
            <v>1480000</v>
          </cell>
          <cell r="K1962">
            <v>0</v>
          </cell>
          <cell r="L1962">
            <v>0</v>
          </cell>
        </row>
        <row r="1963">
          <cell r="A1963" t="str">
            <v>11</v>
          </cell>
          <cell r="B1963" t="str">
            <v>23</v>
          </cell>
          <cell r="C1963" t="str">
            <v>11</v>
          </cell>
          <cell r="D1963" t="str">
            <v>4</v>
          </cell>
          <cell r="E1963" t="str">
            <v>0041</v>
          </cell>
          <cell r="F1963" t="str">
            <v>0002</v>
          </cell>
          <cell r="G1963" t="str">
            <v>11902</v>
          </cell>
          <cell r="H1963" t="str">
            <v>暂借款</v>
          </cell>
          <cell r="I1963" t="b">
            <v>1</v>
          </cell>
          <cell r="J1963">
            <v>500000</v>
          </cell>
          <cell r="K1963">
            <v>0</v>
          </cell>
          <cell r="L1963">
            <v>0</v>
          </cell>
        </row>
        <row r="1964">
          <cell r="A1964" t="str">
            <v>11</v>
          </cell>
          <cell r="B1964" t="str">
            <v>16</v>
          </cell>
          <cell r="C1964" t="str">
            <v>11</v>
          </cell>
          <cell r="D1964" t="str">
            <v>5</v>
          </cell>
          <cell r="E1964" t="str">
            <v>0005</v>
          </cell>
          <cell r="F1964" t="str">
            <v>0002</v>
          </cell>
          <cell r="G1964" t="str">
            <v>11902</v>
          </cell>
          <cell r="H1964" t="str">
            <v>转9-10月份招待费</v>
          </cell>
          <cell r="I1964" t="b">
            <v>0</v>
          </cell>
          <cell r="J1964">
            <v>31097.35</v>
          </cell>
          <cell r="K1964">
            <v>0</v>
          </cell>
          <cell r="L1964">
            <v>0</v>
          </cell>
        </row>
        <row r="1965">
          <cell r="A1965" t="str">
            <v>11</v>
          </cell>
          <cell r="B1965" t="str">
            <v>16</v>
          </cell>
          <cell r="C1965" t="str">
            <v>11</v>
          </cell>
          <cell r="D1965" t="str">
            <v>5</v>
          </cell>
          <cell r="E1965" t="str">
            <v>0006</v>
          </cell>
          <cell r="F1965" t="str">
            <v>0003</v>
          </cell>
          <cell r="G1965" t="str">
            <v>11902</v>
          </cell>
          <cell r="H1965" t="str">
            <v>转尚进果汁39.932吨</v>
          </cell>
          <cell r="I1965" t="b">
            <v>0</v>
          </cell>
          <cell r="J1965">
            <v>167714.4</v>
          </cell>
          <cell r="K1965">
            <v>0</v>
          </cell>
          <cell r="L1965">
            <v>0</v>
          </cell>
        </row>
        <row r="1966">
          <cell r="A1966" t="str">
            <v>11</v>
          </cell>
          <cell r="B1966" t="str">
            <v>16</v>
          </cell>
          <cell r="C1966" t="str">
            <v>11</v>
          </cell>
          <cell r="D1966" t="str">
            <v>5</v>
          </cell>
          <cell r="E1966" t="str">
            <v>0007</v>
          </cell>
          <cell r="F1966" t="str">
            <v>0003</v>
          </cell>
          <cell r="G1966" t="str">
            <v>11902</v>
          </cell>
          <cell r="H1966" t="str">
            <v>转购卢龙果汁300吨</v>
          </cell>
          <cell r="I1966" t="b">
            <v>0</v>
          </cell>
          <cell r="J1966">
            <v>1200000</v>
          </cell>
          <cell r="K1966">
            <v>0</v>
          </cell>
          <cell r="L1966">
            <v>0</v>
          </cell>
        </row>
        <row r="1967">
          <cell r="A1967" t="str">
            <v>11</v>
          </cell>
          <cell r="B1967" t="str">
            <v>16</v>
          </cell>
          <cell r="C1967" t="str">
            <v>11</v>
          </cell>
          <cell r="D1967" t="str">
            <v>5</v>
          </cell>
          <cell r="E1967" t="str">
            <v>0008</v>
          </cell>
          <cell r="F1967" t="str">
            <v>0003</v>
          </cell>
          <cell r="G1967" t="str">
            <v>11902</v>
          </cell>
          <cell r="H1967" t="str">
            <v>转购五莲果汁300吨</v>
          </cell>
          <cell r="I1967" t="b">
            <v>0</v>
          </cell>
          <cell r="J1967">
            <v>1200000</v>
          </cell>
          <cell r="K1967">
            <v>0</v>
          </cell>
          <cell r="L1967">
            <v>0</v>
          </cell>
        </row>
        <row r="1968">
          <cell r="A1968" t="str">
            <v>11</v>
          </cell>
          <cell r="B1968" t="str">
            <v>16</v>
          </cell>
          <cell r="C1968" t="str">
            <v>11</v>
          </cell>
          <cell r="D1968" t="str">
            <v>5</v>
          </cell>
          <cell r="E1968" t="str">
            <v>0009</v>
          </cell>
          <cell r="F1968" t="str">
            <v>0003</v>
          </cell>
          <cell r="G1968" t="str">
            <v>11902</v>
          </cell>
          <cell r="H1968" t="str">
            <v>转购滕州果汁390吨</v>
          </cell>
          <cell r="I1968" t="b">
            <v>0</v>
          </cell>
          <cell r="J1968">
            <v>1482000</v>
          </cell>
          <cell r="K1968">
            <v>0</v>
          </cell>
          <cell r="L1968">
            <v>0</v>
          </cell>
        </row>
        <row r="1969">
          <cell r="A1969" t="str">
            <v>11</v>
          </cell>
          <cell r="B1969" t="str">
            <v>18</v>
          </cell>
          <cell r="C1969" t="str">
            <v>11</v>
          </cell>
          <cell r="D1969" t="str">
            <v>5</v>
          </cell>
          <cell r="E1969" t="str">
            <v>0013</v>
          </cell>
          <cell r="F1969" t="str">
            <v>0002</v>
          </cell>
          <cell r="G1969" t="str">
            <v>11902</v>
          </cell>
          <cell r="H1969" t="str">
            <v>转9月5-6#个人借款</v>
          </cell>
          <cell r="I1969" t="b">
            <v>0</v>
          </cell>
          <cell r="J1969">
            <v>789</v>
          </cell>
          <cell r="K1969">
            <v>0</v>
          </cell>
          <cell r="L1969">
            <v>0</v>
          </cell>
        </row>
        <row r="1970">
          <cell r="A1970" t="str">
            <v>11</v>
          </cell>
          <cell r="B1970" t="str">
            <v>18</v>
          </cell>
          <cell r="C1970" t="str">
            <v>11</v>
          </cell>
          <cell r="D1970" t="str">
            <v>5</v>
          </cell>
          <cell r="E1970" t="str">
            <v>0013</v>
          </cell>
          <cell r="F1970" t="str">
            <v>0004</v>
          </cell>
          <cell r="G1970" t="str">
            <v>11902</v>
          </cell>
          <cell r="H1970" t="str">
            <v>转收回王夕龙个人借款</v>
          </cell>
          <cell r="I1970" t="b">
            <v>1</v>
          </cell>
          <cell r="J1970">
            <v>3839</v>
          </cell>
          <cell r="K1970">
            <v>0</v>
          </cell>
          <cell r="L1970">
            <v>0</v>
          </cell>
        </row>
        <row r="1971">
          <cell r="A1971" t="str">
            <v>11</v>
          </cell>
          <cell r="B1971" t="str">
            <v>18</v>
          </cell>
          <cell r="C1971" t="str">
            <v>11</v>
          </cell>
          <cell r="D1971" t="str">
            <v>5</v>
          </cell>
          <cell r="E1971" t="str">
            <v>0014</v>
          </cell>
          <cell r="F1971" t="str">
            <v>0002</v>
          </cell>
          <cell r="G1971" t="str">
            <v>11902</v>
          </cell>
          <cell r="H1971" t="str">
            <v>转本月酒店工人工资</v>
          </cell>
          <cell r="I1971" t="b">
            <v>1</v>
          </cell>
          <cell r="J1971">
            <v>4415</v>
          </cell>
          <cell r="K1971">
            <v>0</v>
          </cell>
          <cell r="L1971">
            <v>0</v>
          </cell>
        </row>
        <row r="1972">
          <cell r="A1972" t="str">
            <v>11</v>
          </cell>
          <cell r="B1972" t="str">
            <v>18</v>
          </cell>
          <cell r="C1972" t="str">
            <v>11</v>
          </cell>
          <cell r="D1972" t="str">
            <v>5</v>
          </cell>
          <cell r="E1972" t="str">
            <v>0017</v>
          </cell>
          <cell r="F1972" t="str">
            <v>0001</v>
          </cell>
          <cell r="G1972" t="str">
            <v>11902</v>
          </cell>
          <cell r="H1972" t="str">
            <v>转尚进代扣鲁菱个人所得税</v>
          </cell>
          <cell r="I1972" t="b">
            <v>1</v>
          </cell>
          <cell r="J1972">
            <v>29.4</v>
          </cell>
          <cell r="K1972">
            <v>0</v>
          </cell>
          <cell r="L1972">
            <v>0</v>
          </cell>
        </row>
        <row r="1973">
          <cell r="A1973" t="str">
            <v>11</v>
          </cell>
          <cell r="B1973" t="str">
            <v>18</v>
          </cell>
          <cell r="C1973" t="str">
            <v>11</v>
          </cell>
          <cell r="D1973" t="str">
            <v>5</v>
          </cell>
          <cell r="E1973" t="str">
            <v>0017</v>
          </cell>
          <cell r="F1973" t="str">
            <v>0002</v>
          </cell>
          <cell r="G1973" t="str">
            <v>11902</v>
          </cell>
          <cell r="H1973" t="str">
            <v>转尚进代扣鲁菱个人所得税</v>
          </cell>
          <cell r="I1973" t="b">
            <v>0</v>
          </cell>
          <cell r="J1973">
            <v>29.4</v>
          </cell>
          <cell r="K1973">
            <v>0</v>
          </cell>
          <cell r="L1973">
            <v>0</v>
          </cell>
        </row>
        <row r="1974">
          <cell r="A1974" t="str">
            <v>11</v>
          </cell>
          <cell r="B1974" t="str">
            <v>18</v>
          </cell>
          <cell r="C1974" t="str">
            <v>11</v>
          </cell>
          <cell r="D1974" t="str">
            <v>5</v>
          </cell>
          <cell r="E1974" t="str">
            <v>0017</v>
          </cell>
          <cell r="F1974" t="str">
            <v>0003</v>
          </cell>
          <cell r="G1974" t="str">
            <v>11902</v>
          </cell>
          <cell r="H1974" t="str">
            <v>转鲁菱代扣尚进个人所得税</v>
          </cell>
          <cell r="I1974" t="b">
            <v>1</v>
          </cell>
          <cell r="J1974">
            <v>185.96</v>
          </cell>
          <cell r="K1974">
            <v>0</v>
          </cell>
          <cell r="L1974">
            <v>0</v>
          </cell>
        </row>
        <row r="1975">
          <cell r="A1975" t="str">
            <v>11</v>
          </cell>
          <cell r="B1975" t="str">
            <v>18</v>
          </cell>
          <cell r="C1975" t="str">
            <v>11</v>
          </cell>
          <cell r="D1975" t="str">
            <v>5</v>
          </cell>
          <cell r="E1975" t="str">
            <v>0017</v>
          </cell>
          <cell r="F1975" t="str">
            <v>0004</v>
          </cell>
          <cell r="G1975" t="str">
            <v>11902</v>
          </cell>
          <cell r="H1975" t="str">
            <v>转鲁菱代扣尚进个人所得税</v>
          </cell>
          <cell r="I1975" t="b">
            <v>0</v>
          </cell>
          <cell r="J1975">
            <v>185.96</v>
          </cell>
          <cell r="K1975">
            <v>0</v>
          </cell>
          <cell r="L1975">
            <v>0</v>
          </cell>
        </row>
        <row r="1976">
          <cell r="A1976" t="str">
            <v>11</v>
          </cell>
          <cell r="B1976" t="str">
            <v>18</v>
          </cell>
          <cell r="C1976" t="str">
            <v>11</v>
          </cell>
          <cell r="D1976" t="str">
            <v>5</v>
          </cell>
          <cell r="E1976" t="str">
            <v>0018</v>
          </cell>
          <cell r="F1976" t="str">
            <v>0005</v>
          </cell>
          <cell r="G1976" t="str">
            <v>11902</v>
          </cell>
          <cell r="H1976" t="str">
            <v>转鲁菱代扣个人所得税</v>
          </cell>
          <cell r="I1976" t="b">
            <v>0</v>
          </cell>
          <cell r="J1976">
            <v>3628</v>
          </cell>
          <cell r="K1976">
            <v>0</v>
          </cell>
          <cell r="L1976">
            <v>0</v>
          </cell>
        </row>
        <row r="1977">
          <cell r="A1977" t="str">
            <v>11</v>
          </cell>
          <cell r="B1977" t="str">
            <v>18</v>
          </cell>
          <cell r="C1977" t="str">
            <v>11</v>
          </cell>
          <cell r="D1977" t="str">
            <v>5</v>
          </cell>
          <cell r="E1977" t="str">
            <v>0018</v>
          </cell>
          <cell r="F1977" t="str">
            <v>0006</v>
          </cell>
          <cell r="G1977" t="str">
            <v>11902</v>
          </cell>
          <cell r="H1977" t="str">
            <v>转鲁菱代扣水电.保险费等</v>
          </cell>
          <cell r="I1977" t="b">
            <v>1</v>
          </cell>
          <cell r="J1977">
            <v>62447.16</v>
          </cell>
          <cell r="K1977">
            <v>0</v>
          </cell>
          <cell r="L1977">
            <v>0</v>
          </cell>
        </row>
        <row r="1978">
          <cell r="A1978" t="str">
            <v>11</v>
          </cell>
          <cell r="B1978" t="str">
            <v>18</v>
          </cell>
          <cell r="C1978" t="str">
            <v>11</v>
          </cell>
          <cell r="D1978" t="str">
            <v>5</v>
          </cell>
          <cell r="E1978" t="str">
            <v>0018</v>
          </cell>
          <cell r="F1978" t="str">
            <v>0007</v>
          </cell>
          <cell r="G1978" t="str">
            <v>11902</v>
          </cell>
          <cell r="H1978" t="str">
            <v>转尚进代扣水电.保险费等</v>
          </cell>
          <cell r="I1978" t="b">
            <v>1</v>
          </cell>
          <cell r="J1978">
            <v>8533.6</v>
          </cell>
          <cell r="K1978">
            <v>0</v>
          </cell>
          <cell r="L1978">
            <v>0</v>
          </cell>
        </row>
        <row r="1979">
          <cell r="A1979" t="str">
            <v>11</v>
          </cell>
          <cell r="B1979" t="str">
            <v>26</v>
          </cell>
          <cell r="C1979" t="str">
            <v>11</v>
          </cell>
          <cell r="D1979" t="str">
            <v>5</v>
          </cell>
          <cell r="E1979" t="str">
            <v>0020</v>
          </cell>
          <cell r="F1979" t="str">
            <v>0003</v>
          </cell>
          <cell r="G1979" t="str">
            <v>11902</v>
          </cell>
          <cell r="H1979" t="str">
            <v>转借款</v>
          </cell>
          <cell r="I1979" t="b">
            <v>0</v>
          </cell>
          <cell r="J1979">
            <v>213239.58</v>
          </cell>
          <cell r="K1979">
            <v>0</v>
          </cell>
          <cell r="L1979">
            <v>0</v>
          </cell>
        </row>
        <row r="1980">
          <cell r="A1980" t="str">
            <v>11</v>
          </cell>
          <cell r="B1980" t="str">
            <v>29</v>
          </cell>
          <cell r="C1980" t="str">
            <v>11</v>
          </cell>
          <cell r="D1980" t="str">
            <v>5</v>
          </cell>
          <cell r="E1980" t="str">
            <v>0022</v>
          </cell>
          <cell r="F1980" t="str">
            <v>0001</v>
          </cell>
          <cell r="G1980" t="str">
            <v>11902</v>
          </cell>
          <cell r="H1980" t="str">
            <v>转本月鲁菱公司耗材料</v>
          </cell>
          <cell r="I1980" t="b">
            <v>1</v>
          </cell>
          <cell r="J1980">
            <v>609454.76</v>
          </cell>
          <cell r="K1980">
            <v>0</v>
          </cell>
          <cell r="L1980">
            <v>0</v>
          </cell>
        </row>
        <row r="1981">
          <cell r="A1981" t="str">
            <v>11</v>
          </cell>
          <cell r="B1981" t="str">
            <v>29</v>
          </cell>
          <cell r="C1981" t="str">
            <v>11</v>
          </cell>
          <cell r="D1981" t="str">
            <v>5</v>
          </cell>
          <cell r="E1981" t="str">
            <v>0022</v>
          </cell>
          <cell r="F1981" t="str">
            <v>0002</v>
          </cell>
          <cell r="G1981" t="str">
            <v>11902</v>
          </cell>
          <cell r="H1981" t="str">
            <v>转本月尚进公司耗材料</v>
          </cell>
          <cell r="I1981" t="b">
            <v>1</v>
          </cell>
          <cell r="J1981">
            <v>397119.52</v>
          </cell>
          <cell r="K1981">
            <v>0</v>
          </cell>
          <cell r="L1981">
            <v>0</v>
          </cell>
        </row>
        <row r="1982">
          <cell r="A1982" t="str">
            <v>11</v>
          </cell>
          <cell r="B1982" t="str">
            <v>29</v>
          </cell>
          <cell r="C1982" t="str">
            <v>11</v>
          </cell>
          <cell r="D1982" t="str">
            <v>5</v>
          </cell>
          <cell r="E1982" t="str">
            <v>0022</v>
          </cell>
          <cell r="F1982" t="str">
            <v>0003</v>
          </cell>
          <cell r="G1982" t="str">
            <v>11902</v>
          </cell>
          <cell r="H1982" t="str">
            <v>转本月宝鸡分公司耗材料</v>
          </cell>
          <cell r="I1982" t="b">
            <v>1</v>
          </cell>
          <cell r="J1982">
            <v>121662.45</v>
          </cell>
          <cell r="K1982">
            <v>0</v>
          </cell>
          <cell r="L1982">
            <v>0</v>
          </cell>
        </row>
        <row r="1983">
          <cell r="A1983" t="str">
            <v>11</v>
          </cell>
          <cell r="B1983" t="str">
            <v>29</v>
          </cell>
          <cell r="C1983" t="str">
            <v>11</v>
          </cell>
          <cell r="D1983" t="str">
            <v>5</v>
          </cell>
          <cell r="E1983" t="str">
            <v>0022</v>
          </cell>
          <cell r="F1983" t="str">
            <v>0004</v>
          </cell>
          <cell r="G1983" t="str">
            <v>11902</v>
          </cell>
          <cell r="H1983" t="str">
            <v>转本月卢龙分公司耗材料</v>
          </cell>
          <cell r="I1983" t="b">
            <v>1</v>
          </cell>
          <cell r="J1983">
            <v>74508.33</v>
          </cell>
          <cell r="K1983">
            <v>0</v>
          </cell>
          <cell r="L1983">
            <v>0</v>
          </cell>
        </row>
        <row r="1984">
          <cell r="A1984" t="str">
            <v>11</v>
          </cell>
          <cell r="B1984" t="str">
            <v>29</v>
          </cell>
          <cell r="C1984" t="str">
            <v>11</v>
          </cell>
          <cell r="D1984" t="str">
            <v>5</v>
          </cell>
          <cell r="E1984" t="str">
            <v>0022</v>
          </cell>
          <cell r="F1984" t="str">
            <v>0005</v>
          </cell>
          <cell r="G1984" t="str">
            <v>11902</v>
          </cell>
          <cell r="H1984" t="str">
            <v>转本月五莲分公司耗材料</v>
          </cell>
          <cell r="I1984" t="b">
            <v>1</v>
          </cell>
          <cell r="J1984">
            <v>43580.160000000003</v>
          </cell>
          <cell r="K1984">
            <v>0</v>
          </cell>
          <cell r="L1984">
            <v>0</v>
          </cell>
        </row>
        <row r="1985">
          <cell r="A1985" t="str">
            <v>11</v>
          </cell>
          <cell r="B1985" t="str">
            <v>29</v>
          </cell>
          <cell r="C1985" t="str">
            <v>11</v>
          </cell>
          <cell r="D1985" t="str">
            <v>5</v>
          </cell>
          <cell r="E1985" t="str">
            <v>0022</v>
          </cell>
          <cell r="F1985" t="str">
            <v>0006</v>
          </cell>
          <cell r="G1985" t="str">
            <v>11902</v>
          </cell>
          <cell r="H1985" t="str">
            <v>转本月滕州分公司耗材料</v>
          </cell>
          <cell r="I1985" t="b">
            <v>1</v>
          </cell>
          <cell r="J1985">
            <v>143035.43</v>
          </cell>
          <cell r="K1985">
            <v>0</v>
          </cell>
          <cell r="L1985">
            <v>0</v>
          </cell>
        </row>
        <row r="1986">
          <cell r="A1986" t="str">
            <v>11</v>
          </cell>
          <cell r="B1986" t="str">
            <v>29</v>
          </cell>
          <cell r="C1986" t="str">
            <v>11</v>
          </cell>
          <cell r="D1986" t="str">
            <v>5</v>
          </cell>
          <cell r="E1986" t="str">
            <v>0022</v>
          </cell>
          <cell r="F1986" t="str">
            <v>0007</v>
          </cell>
          <cell r="G1986" t="str">
            <v>11902</v>
          </cell>
          <cell r="H1986" t="str">
            <v>转本月平原分公司耗材料</v>
          </cell>
          <cell r="I1986" t="b">
            <v>1</v>
          </cell>
          <cell r="J1986">
            <v>25881.57</v>
          </cell>
          <cell r="K1986">
            <v>0</v>
          </cell>
          <cell r="L1986">
            <v>0</v>
          </cell>
        </row>
        <row r="1987">
          <cell r="A1987" t="str">
            <v>11</v>
          </cell>
          <cell r="B1987" t="str">
            <v>29</v>
          </cell>
          <cell r="C1987" t="str">
            <v>11</v>
          </cell>
          <cell r="D1987" t="str">
            <v>5</v>
          </cell>
          <cell r="E1987" t="str">
            <v>0022</v>
          </cell>
          <cell r="F1987" t="str">
            <v>0008</v>
          </cell>
          <cell r="G1987" t="str">
            <v>11902</v>
          </cell>
          <cell r="H1987" t="str">
            <v>转本月韩城公司耗材料</v>
          </cell>
          <cell r="I1987" t="b">
            <v>1</v>
          </cell>
          <cell r="J1987">
            <v>209225.02</v>
          </cell>
          <cell r="K1987">
            <v>0</v>
          </cell>
          <cell r="L1987">
            <v>0</v>
          </cell>
        </row>
        <row r="1988">
          <cell r="A1988" t="str">
            <v>11</v>
          </cell>
          <cell r="B1988" t="str">
            <v>29</v>
          </cell>
          <cell r="C1988" t="str">
            <v>11</v>
          </cell>
          <cell r="D1988" t="str">
            <v>5</v>
          </cell>
          <cell r="E1988" t="str">
            <v>0025</v>
          </cell>
          <cell r="F1988" t="str">
            <v>0001</v>
          </cell>
          <cell r="G1988" t="str">
            <v>11902</v>
          </cell>
          <cell r="H1988" t="str">
            <v>转本月共同管理费用</v>
          </cell>
          <cell r="I1988" t="b">
            <v>1</v>
          </cell>
          <cell r="J1988">
            <v>134531.70000000001</v>
          </cell>
          <cell r="K1988">
            <v>0</v>
          </cell>
          <cell r="L1988">
            <v>0</v>
          </cell>
        </row>
        <row r="1989">
          <cell r="A1989" t="str">
            <v>11</v>
          </cell>
          <cell r="B1989" t="str">
            <v>29</v>
          </cell>
          <cell r="C1989" t="str">
            <v>11</v>
          </cell>
          <cell r="D1989" t="str">
            <v>5</v>
          </cell>
          <cell r="E1989" t="str">
            <v>0025</v>
          </cell>
          <cell r="F1989" t="str">
            <v>0002</v>
          </cell>
          <cell r="G1989" t="str">
            <v>11902</v>
          </cell>
          <cell r="H1989" t="str">
            <v>转本月共同管理费用</v>
          </cell>
          <cell r="I1989" t="b">
            <v>1</v>
          </cell>
          <cell r="J1989">
            <v>28652.52</v>
          </cell>
          <cell r="K1989">
            <v>0</v>
          </cell>
          <cell r="L1989">
            <v>0</v>
          </cell>
        </row>
        <row r="1990">
          <cell r="A1990" t="str">
            <v>11</v>
          </cell>
          <cell r="B1990" t="str">
            <v>29</v>
          </cell>
          <cell r="C1990" t="str">
            <v>11</v>
          </cell>
          <cell r="D1990" t="str">
            <v>5</v>
          </cell>
          <cell r="E1990" t="str">
            <v>0028</v>
          </cell>
          <cell r="F1990" t="str">
            <v>0004</v>
          </cell>
          <cell r="G1990" t="str">
            <v>11902</v>
          </cell>
          <cell r="H1990" t="str">
            <v>转收尚进利息款</v>
          </cell>
          <cell r="I1990" t="b">
            <v>1</v>
          </cell>
          <cell r="J1990">
            <v>1116200</v>
          </cell>
          <cell r="K1990">
            <v>0</v>
          </cell>
          <cell r="L1990">
            <v>0</v>
          </cell>
        </row>
        <row r="1991">
          <cell r="A1991" t="str">
            <v>12</v>
          </cell>
          <cell r="B1991" t="str">
            <v>04</v>
          </cell>
          <cell r="C1991" t="str">
            <v>12</v>
          </cell>
          <cell r="D1991" t="str">
            <v>1</v>
          </cell>
          <cell r="E1991" t="str">
            <v>0002</v>
          </cell>
          <cell r="F1991" t="str">
            <v>0002</v>
          </cell>
          <cell r="G1991" t="str">
            <v>11902</v>
          </cell>
          <cell r="H1991" t="str">
            <v>暂借款</v>
          </cell>
          <cell r="I1991" t="b">
            <v>0</v>
          </cell>
          <cell r="J1991">
            <v>30206.77</v>
          </cell>
          <cell r="K1991">
            <v>0</v>
          </cell>
          <cell r="L1991">
            <v>0</v>
          </cell>
        </row>
        <row r="1992">
          <cell r="A1992" t="str">
            <v>12</v>
          </cell>
          <cell r="B1992" t="str">
            <v>05</v>
          </cell>
          <cell r="C1992" t="str">
            <v>12</v>
          </cell>
          <cell r="D1992" t="str">
            <v>2</v>
          </cell>
          <cell r="E1992" t="str">
            <v>0004</v>
          </cell>
          <cell r="F1992" t="str">
            <v>0001</v>
          </cell>
          <cell r="G1992" t="str">
            <v>11902</v>
          </cell>
          <cell r="H1992" t="str">
            <v>暂借款</v>
          </cell>
          <cell r="I1992" t="b">
            <v>1</v>
          </cell>
          <cell r="J1992">
            <v>10000</v>
          </cell>
          <cell r="K1992">
            <v>0</v>
          </cell>
          <cell r="L1992">
            <v>0</v>
          </cell>
        </row>
        <row r="1993">
          <cell r="A1993" t="str">
            <v>12</v>
          </cell>
          <cell r="B1993" t="str">
            <v>19</v>
          </cell>
          <cell r="C1993" t="str">
            <v>12</v>
          </cell>
          <cell r="D1993" t="str">
            <v>2</v>
          </cell>
          <cell r="E1993" t="str">
            <v>0017</v>
          </cell>
          <cell r="F1993" t="str">
            <v>0002</v>
          </cell>
          <cell r="G1993" t="str">
            <v>11902</v>
          </cell>
          <cell r="H1993" t="str">
            <v>暂借款</v>
          </cell>
          <cell r="I1993" t="b">
            <v>1</v>
          </cell>
          <cell r="J1993">
            <v>2000000</v>
          </cell>
          <cell r="K1993">
            <v>0</v>
          </cell>
          <cell r="L1993">
            <v>0</v>
          </cell>
        </row>
        <row r="1994">
          <cell r="A1994" t="str">
            <v>12</v>
          </cell>
          <cell r="B1994" t="str">
            <v>19</v>
          </cell>
          <cell r="C1994" t="str">
            <v>12</v>
          </cell>
          <cell r="D1994" t="str">
            <v>2</v>
          </cell>
          <cell r="E1994" t="str">
            <v>0017</v>
          </cell>
          <cell r="F1994" t="str">
            <v>0003</v>
          </cell>
          <cell r="G1994" t="str">
            <v>11902</v>
          </cell>
          <cell r="H1994" t="str">
            <v>暂借款</v>
          </cell>
          <cell r="I1994" t="b">
            <v>1</v>
          </cell>
          <cell r="J1994">
            <v>600000</v>
          </cell>
          <cell r="K1994">
            <v>0</v>
          </cell>
          <cell r="L1994">
            <v>0</v>
          </cell>
        </row>
        <row r="1995">
          <cell r="A1995" t="str">
            <v>12</v>
          </cell>
          <cell r="B1995" t="str">
            <v>20</v>
          </cell>
          <cell r="C1995" t="str">
            <v>12</v>
          </cell>
          <cell r="D1995" t="str">
            <v>2</v>
          </cell>
          <cell r="E1995" t="str">
            <v>0018</v>
          </cell>
          <cell r="F1995" t="str">
            <v>0001</v>
          </cell>
          <cell r="G1995" t="str">
            <v>11902</v>
          </cell>
          <cell r="H1995" t="str">
            <v>暂借款</v>
          </cell>
          <cell r="I1995" t="b">
            <v>1</v>
          </cell>
          <cell r="J1995">
            <v>18000</v>
          </cell>
          <cell r="K1995">
            <v>0</v>
          </cell>
          <cell r="L1995">
            <v>0</v>
          </cell>
        </row>
        <row r="1996">
          <cell r="A1996" t="str">
            <v>12</v>
          </cell>
          <cell r="B1996" t="str">
            <v>20</v>
          </cell>
          <cell r="C1996" t="str">
            <v>12</v>
          </cell>
          <cell r="D1996" t="str">
            <v>2</v>
          </cell>
          <cell r="E1996" t="str">
            <v>0018</v>
          </cell>
          <cell r="F1996" t="str">
            <v>0002</v>
          </cell>
          <cell r="G1996" t="str">
            <v>11902</v>
          </cell>
          <cell r="H1996" t="str">
            <v>暂借款</v>
          </cell>
          <cell r="I1996" t="b">
            <v>1</v>
          </cell>
          <cell r="J1996">
            <v>12000</v>
          </cell>
          <cell r="K1996">
            <v>0</v>
          </cell>
          <cell r="L1996">
            <v>0</v>
          </cell>
        </row>
        <row r="1997">
          <cell r="A1997" t="str">
            <v>12</v>
          </cell>
          <cell r="B1997" t="str">
            <v>20</v>
          </cell>
          <cell r="C1997" t="str">
            <v>12</v>
          </cell>
          <cell r="D1997" t="str">
            <v>2</v>
          </cell>
          <cell r="E1997" t="str">
            <v>0018</v>
          </cell>
          <cell r="F1997" t="str">
            <v>0003</v>
          </cell>
          <cell r="G1997" t="str">
            <v>11902</v>
          </cell>
          <cell r="H1997" t="str">
            <v>暂借款</v>
          </cell>
          <cell r="I1997" t="b">
            <v>1</v>
          </cell>
          <cell r="J1997">
            <v>59769.67</v>
          </cell>
          <cell r="K1997">
            <v>0</v>
          </cell>
          <cell r="L1997">
            <v>0</v>
          </cell>
        </row>
        <row r="1998">
          <cell r="A1998" t="str">
            <v>12</v>
          </cell>
          <cell r="B1998" t="str">
            <v>22</v>
          </cell>
          <cell r="C1998" t="str">
            <v>12</v>
          </cell>
          <cell r="D1998" t="str">
            <v>2</v>
          </cell>
          <cell r="E1998" t="str">
            <v>0025</v>
          </cell>
          <cell r="F1998" t="str">
            <v>0001</v>
          </cell>
          <cell r="G1998" t="str">
            <v>11902</v>
          </cell>
          <cell r="H1998" t="str">
            <v>暂借款</v>
          </cell>
          <cell r="I1998" t="b">
            <v>1</v>
          </cell>
          <cell r="J1998">
            <v>1000</v>
          </cell>
          <cell r="K1998">
            <v>0</v>
          </cell>
          <cell r="L1998">
            <v>0</v>
          </cell>
        </row>
        <row r="1999">
          <cell r="A1999" t="str">
            <v>12</v>
          </cell>
          <cell r="B1999" t="str">
            <v>22</v>
          </cell>
          <cell r="C1999" t="str">
            <v>12</v>
          </cell>
          <cell r="D1999" t="str">
            <v>2</v>
          </cell>
          <cell r="E1999" t="str">
            <v>0025</v>
          </cell>
          <cell r="F1999" t="str">
            <v>0002</v>
          </cell>
          <cell r="G1999" t="str">
            <v>11902</v>
          </cell>
          <cell r="H1999" t="str">
            <v>暂借款</v>
          </cell>
          <cell r="I1999" t="b">
            <v>1</v>
          </cell>
          <cell r="J1999">
            <v>175000</v>
          </cell>
          <cell r="K1999">
            <v>0</v>
          </cell>
          <cell r="L1999">
            <v>0</v>
          </cell>
        </row>
        <row r="2000">
          <cell r="A2000" t="str">
            <v>12</v>
          </cell>
          <cell r="B2000" t="str">
            <v>22</v>
          </cell>
          <cell r="C2000" t="str">
            <v>12</v>
          </cell>
          <cell r="D2000" t="str">
            <v>2</v>
          </cell>
          <cell r="E2000" t="str">
            <v>0025</v>
          </cell>
          <cell r="F2000" t="str">
            <v>0003</v>
          </cell>
          <cell r="G2000" t="str">
            <v>11902</v>
          </cell>
          <cell r="H2000" t="str">
            <v>暂借款</v>
          </cell>
          <cell r="I2000" t="b">
            <v>1</v>
          </cell>
          <cell r="J2000">
            <v>285000</v>
          </cell>
          <cell r="K2000">
            <v>0</v>
          </cell>
          <cell r="L2000">
            <v>0</v>
          </cell>
        </row>
        <row r="2001">
          <cell r="A2001" t="str">
            <v>12</v>
          </cell>
          <cell r="B2001" t="str">
            <v>03</v>
          </cell>
          <cell r="C2001" t="str">
            <v>12</v>
          </cell>
          <cell r="D2001" t="str">
            <v>3</v>
          </cell>
          <cell r="E2001" t="str">
            <v>0002</v>
          </cell>
          <cell r="F2001" t="str">
            <v>0004</v>
          </cell>
          <cell r="G2001" t="str">
            <v>11902</v>
          </cell>
          <cell r="H2001" t="str">
            <v>暂借款</v>
          </cell>
          <cell r="I2001" t="b">
            <v>0</v>
          </cell>
          <cell r="J2001">
            <v>1600000</v>
          </cell>
          <cell r="K2001">
            <v>0</v>
          </cell>
          <cell r="L2001">
            <v>0</v>
          </cell>
        </row>
        <row r="2002">
          <cell r="A2002" t="str">
            <v>12</v>
          </cell>
          <cell r="B2002" t="str">
            <v>04</v>
          </cell>
          <cell r="C2002" t="str">
            <v>12</v>
          </cell>
          <cell r="D2002" t="str">
            <v>3</v>
          </cell>
          <cell r="E2002" t="str">
            <v>0003</v>
          </cell>
          <cell r="F2002" t="str">
            <v>0004</v>
          </cell>
          <cell r="G2002" t="str">
            <v>11902</v>
          </cell>
          <cell r="H2002" t="str">
            <v>收住房管理中心拨维修款</v>
          </cell>
          <cell r="I2002" t="b">
            <v>0</v>
          </cell>
          <cell r="J2002">
            <v>41902.800000000003</v>
          </cell>
          <cell r="K2002">
            <v>0</v>
          </cell>
          <cell r="L2002">
            <v>0</v>
          </cell>
        </row>
        <row r="2003">
          <cell r="A2003" t="str">
            <v>12</v>
          </cell>
          <cell r="B2003" t="str">
            <v>15</v>
          </cell>
          <cell r="C2003" t="str">
            <v>12</v>
          </cell>
          <cell r="D2003" t="str">
            <v>3</v>
          </cell>
          <cell r="E2003" t="str">
            <v>0005</v>
          </cell>
          <cell r="F2003" t="str">
            <v>0004</v>
          </cell>
          <cell r="G2003" t="str">
            <v>11902</v>
          </cell>
          <cell r="H2003" t="str">
            <v>暂借款</v>
          </cell>
          <cell r="I2003" t="b">
            <v>0</v>
          </cell>
          <cell r="J2003">
            <v>250000</v>
          </cell>
          <cell r="K2003">
            <v>0</v>
          </cell>
          <cell r="L2003">
            <v>0</v>
          </cell>
        </row>
        <row r="2004">
          <cell r="A2004" t="str">
            <v>12</v>
          </cell>
          <cell r="B2004" t="str">
            <v>15</v>
          </cell>
          <cell r="C2004" t="str">
            <v>12</v>
          </cell>
          <cell r="D2004" t="str">
            <v>3</v>
          </cell>
          <cell r="E2004" t="str">
            <v>0005</v>
          </cell>
          <cell r="F2004" t="str">
            <v>0005</v>
          </cell>
          <cell r="G2004" t="str">
            <v>11902</v>
          </cell>
          <cell r="H2004" t="str">
            <v>暂借款</v>
          </cell>
          <cell r="I2004" t="b">
            <v>0</v>
          </cell>
          <cell r="J2004">
            <v>244375</v>
          </cell>
          <cell r="K2004">
            <v>0</v>
          </cell>
          <cell r="L2004">
            <v>0</v>
          </cell>
        </row>
        <row r="2005">
          <cell r="A2005" t="str">
            <v>12</v>
          </cell>
          <cell r="B2005" t="str">
            <v>17</v>
          </cell>
          <cell r="C2005" t="str">
            <v>12</v>
          </cell>
          <cell r="D2005" t="str">
            <v>3</v>
          </cell>
          <cell r="E2005" t="str">
            <v>0006</v>
          </cell>
          <cell r="F2005" t="str">
            <v>0002</v>
          </cell>
          <cell r="G2005" t="str">
            <v>11902</v>
          </cell>
          <cell r="H2005" t="str">
            <v>暂借款</v>
          </cell>
          <cell r="I2005" t="b">
            <v>0</v>
          </cell>
          <cell r="J2005">
            <v>1260000</v>
          </cell>
          <cell r="K2005">
            <v>0</v>
          </cell>
          <cell r="L2005">
            <v>0</v>
          </cell>
        </row>
        <row r="2006">
          <cell r="A2006" t="str">
            <v>12</v>
          </cell>
          <cell r="B2006" t="str">
            <v>21</v>
          </cell>
          <cell r="C2006" t="str">
            <v>12</v>
          </cell>
          <cell r="D2006" t="str">
            <v>3</v>
          </cell>
          <cell r="E2006" t="str">
            <v>0013</v>
          </cell>
          <cell r="F2006" t="str">
            <v>0002</v>
          </cell>
          <cell r="G2006" t="str">
            <v>11902</v>
          </cell>
          <cell r="H2006" t="str">
            <v>暂借款</v>
          </cell>
          <cell r="I2006" t="b">
            <v>0</v>
          </cell>
          <cell r="J2006">
            <v>13300000</v>
          </cell>
          <cell r="K2006">
            <v>0</v>
          </cell>
          <cell r="L2006">
            <v>0</v>
          </cell>
        </row>
        <row r="2007">
          <cell r="A2007" t="str">
            <v>12</v>
          </cell>
          <cell r="B2007" t="str">
            <v>25</v>
          </cell>
          <cell r="C2007" t="str">
            <v>12</v>
          </cell>
          <cell r="D2007" t="str">
            <v>3</v>
          </cell>
          <cell r="E2007" t="str">
            <v>0016</v>
          </cell>
          <cell r="F2007" t="str">
            <v>0004</v>
          </cell>
          <cell r="G2007" t="str">
            <v>11902</v>
          </cell>
          <cell r="H2007" t="str">
            <v>收加工费</v>
          </cell>
          <cell r="I2007" t="b">
            <v>0</v>
          </cell>
          <cell r="J2007">
            <v>6719.75</v>
          </cell>
          <cell r="K2007">
            <v>0</v>
          </cell>
          <cell r="L2007">
            <v>0</v>
          </cell>
        </row>
        <row r="2008">
          <cell r="A2008" t="str">
            <v>12</v>
          </cell>
          <cell r="B2008" t="str">
            <v>25</v>
          </cell>
          <cell r="C2008" t="str">
            <v>12</v>
          </cell>
          <cell r="D2008" t="str">
            <v>3</v>
          </cell>
          <cell r="E2008" t="str">
            <v>0017</v>
          </cell>
          <cell r="F2008" t="str">
            <v>0002</v>
          </cell>
          <cell r="G2008" t="str">
            <v>11902</v>
          </cell>
          <cell r="H2008" t="str">
            <v>收保险公司赔款</v>
          </cell>
          <cell r="I2008" t="b">
            <v>0</v>
          </cell>
          <cell r="J2008">
            <v>9054</v>
          </cell>
          <cell r="K2008">
            <v>0</v>
          </cell>
          <cell r="L2008">
            <v>0</v>
          </cell>
        </row>
        <row r="2009">
          <cell r="A2009" t="str">
            <v>12</v>
          </cell>
          <cell r="B2009" t="str">
            <v>29</v>
          </cell>
          <cell r="C2009" t="str">
            <v>12</v>
          </cell>
          <cell r="D2009" t="str">
            <v>3</v>
          </cell>
          <cell r="E2009" t="str">
            <v>0020</v>
          </cell>
          <cell r="F2009" t="str">
            <v>0002</v>
          </cell>
          <cell r="G2009" t="str">
            <v>11902</v>
          </cell>
          <cell r="H2009" t="str">
            <v>暂借款</v>
          </cell>
          <cell r="I2009" t="b">
            <v>0</v>
          </cell>
          <cell r="J2009">
            <v>4300000</v>
          </cell>
          <cell r="K2009">
            <v>0</v>
          </cell>
          <cell r="L2009">
            <v>0</v>
          </cell>
        </row>
        <row r="2010">
          <cell r="A2010" t="str">
            <v>12</v>
          </cell>
          <cell r="B2010" t="str">
            <v>08</v>
          </cell>
          <cell r="C2010" t="str">
            <v>12</v>
          </cell>
          <cell r="D2010" t="str">
            <v>4</v>
          </cell>
          <cell r="E2010" t="str">
            <v>0011</v>
          </cell>
          <cell r="F2010" t="str">
            <v>0001</v>
          </cell>
          <cell r="G2010" t="str">
            <v>11902</v>
          </cell>
          <cell r="H2010" t="str">
            <v>暂借款</v>
          </cell>
          <cell r="I2010" t="b">
            <v>1</v>
          </cell>
          <cell r="J2010">
            <v>480728.96</v>
          </cell>
          <cell r="K2010">
            <v>0</v>
          </cell>
          <cell r="L2010">
            <v>0</v>
          </cell>
        </row>
        <row r="2011">
          <cell r="A2011" t="str">
            <v>12</v>
          </cell>
          <cell r="B2011" t="str">
            <v>08</v>
          </cell>
          <cell r="C2011" t="str">
            <v>12</v>
          </cell>
          <cell r="D2011" t="str">
            <v>4</v>
          </cell>
          <cell r="E2011" t="str">
            <v>0011</v>
          </cell>
          <cell r="F2011" t="str">
            <v>0002</v>
          </cell>
          <cell r="G2011" t="str">
            <v>11902</v>
          </cell>
          <cell r="H2011" t="str">
            <v>暂借款</v>
          </cell>
          <cell r="I2011" t="b">
            <v>1</v>
          </cell>
          <cell r="J2011">
            <v>1075474.29</v>
          </cell>
          <cell r="K2011">
            <v>0</v>
          </cell>
          <cell r="L2011">
            <v>0</v>
          </cell>
        </row>
        <row r="2012">
          <cell r="A2012" t="str">
            <v>12</v>
          </cell>
          <cell r="B2012" t="str">
            <v>08</v>
          </cell>
          <cell r="C2012" t="str">
            <v>12</v>
          </cell>
          <cell r="D2012" t="str">
            <v>4</v>
          </cell>
          <cell r="E2012" t="str">
            <v>0013</v>
          </cell>
          <cell r="F2012" t="str">
            <v>0001</v>
          </cell>
          <cell r="G2012" t="str">
            <v>11902</v>
          </cell>
          <cell r="H2012" t="str">
            <v>暂借款</v>
          </cell>
          <cell r="I2012" t="b">
            <v>1</v>
          </cell>
          <cell r="J2012">
            <v>1000000</v>
          </cell>
          <cell r="K2012">
            <v>0</v>
          </cell>
          <cell r="L2012">
            <v>0</v>
          </cell>
        </row>
        <row r="2013">
          <cell r="A2013" t="str">
            <v>12</v>
          </cell>
          <cell r="B2013" t="str">
            <v>08</v>
          </cell>
          <cell r="C2013" t="str">
            <v>12</v>
          </cell>
          <cell r="D2013" t="str">
            <v>4</v>
          </cell>
          <cell r="E2013" t="str">
            <v>0013</v>
          </cell>
          <cell r="F2013" t="str">
            <v>0002</v>
          </cell>
          <cell r="G2013" t="str">
            <v>11902</v>
          </cell>
          <cell r="H2013" t="str">
            <v>暂借款</v>
          </cell>
          <cell r="I2013" t="b">
            <v>1</v>
          </cell>
          <cell r="J2013">
            <v>490000</v>
          </cell>
          <cell r="K2013">
            <v>0</v>
          </cell>
          <cell r="L2013">
            <v>0</v>
          </cell>
        </row>
        <row r="2014">
          <cell r="A2014" t="str">
            <v>12</v>
          </cell>
          <cell r="B2014" t="str">
            <v>08</v>
          </cell>
          <cell r="C2014" t="str">
            <v>12</v>
          </cell>
          <cell r="D2014" t="str">
            <v>4</v>
          </cell>
          <cell r="E2014" t="str">
            <v>0013</v>
          </cell>
          <cell r="F2014" t="str">
            <v>0003</v>
          </cell>
          <cell r="G2014" t="str">
            <v>11902</v>
          </cell>
          <cell r="H2014" t="str">
            <v>暂借款</v>
          </cell>
          <cell r="I2014" t="b">
            <v>1</v>
          </cell>
          <cell r="J2014">
            <v>450000</v>
          </cell>
          <cell r="K2014">
            <v>0</v>
          </cell>
          <cell r="L2014">
            <v>0</v>
          </cell>
        </row>
        <row r="2015">
          <cell r="A2015" t="str">
            <v>12</v>
          </cell>
          <cell r="B2015" t="str">
            <v>08</v>
          </cell>
          <cell r="C2015" t="str">
            <v>12</v>
          </cell>
          <cell r="D2015" t="str">
            <v>4</v>
          </cell>
          <cell r="E2015" t="str">
            <v>0013</v>
          </cell>
          <cell r="F2015" t="str">
            <v>0004</v>
          </cell>
          <cell r="G2015" t="str">
            <v>11902</v>
          </cell>
          <cell r="H2015" t="str">
            <v>暂借款</v>
          </cell>
          <cell r="I2015" t="b">
            <v>1</v>
          </cell>
          <cell r="J2015">
            <v>1500000</v>
          </cell>
          <cell r="K2015">
            <v>0</v>
          </cell>
          <cell r="L2015">
            <v>0</v>
          </cell>
        </row>
        <row r="2016">
          <cell r="A2016" t="str">
            <v>12</v>
          </cell>
          <cell r="B2016" t="str">
            <v>08</v>
          </cell>
          <cell r="C2016" t="str">
            <v>12</v>
          </cell>
          <cell r="D2016" t="str">
            <v>4</v>
          </cell>
          <cell r="E2016" t="str">
            <v>0014</v>
          </cell>
          <cell r="F2016" t="str">
            <v>0001</v>
          </cell>
          <cell r="G2016" t="str">
            <v>11902</v>
          </cell>
          <cell r="H2016" t="str">
            <v>暂借款</v>
          </cell>
          <cell r="I2016" t="b">
            <v>1</v>
          </cell>
          <cell r="J2016">
            <v>3600000</v>
          </cell>
          <cell r="K2016">
            <v>0</v>
          </cell>
          <cell r="L2016">
            <v>0</v>
          </cell>
        </row>
        <row r="2017">
          <cell r="A2017" t="str">
            <v>12</v>
          </cell>
          <cell r="B2017" t="str">
            <v>08</v>
          </cell>
          <cell r="C2017" t="str">
            <v>12</v>
          </cell>
          <cell r="D2017" t="str">
            <v>4</v>
          </cell>
          <cell r="E2017" t="str">
            <v>0014</v>
          </cell>
          <cell r="F2017" t="str">
            <v>0002</v>
          </cell>
          <cell r="G2017" t="str">
            <v>11902</v>
          </cell>
          <cell r="H2017" t="str">
            <v>暂借款</v>
          </cell>
          <cell r="I2017" t="b">
            <v>1</v>
          </cell>
          <cell r="J2017">
            <v>1000000</v>
          </cell>
          <cell r="K2017">
            <v>0</v>
          </cell>
          <cell r="L2017">
            <v>0</v>
          </cell>
        </row>
        <row r="2018">
          <cell r="A2018" t="str">
            <v>12</v>
          </cell>
          <cell r="B2018" t="str">
            <v>19</v>
          </cell>
          <cell r="C2018" t="str">
            <v>12</v>
          </cell>
          <cell r="D2018" t="str">
            <v>4</v>
          </cell>
          <cell r="E2018" t="str">
            <v>0026</v>
          </cell>
          <cell r="F2018" t="str">
            <v>0002</v>
          </cell>
          <cell r="G2018" t="str">
            <v>11902</v>
          </cell>
          <cell r="H2018" t="str">
            <v>付电机修理费</v>
          </cell>
          <cell r="I2018" t="b">
            <v>1</v>
          </cell>
          <cell r="J2018">
            <v>17301</v>
          </cell>
          <cell r="K2018">
            <v>0</v>
          </cell>
          <cell r="L2018">
            <v>0</v>
          </cell>
        </row>
        <row r="2019">
          <cell r="A2019" t="str">
            <v>12</v>
          </cell>
          <cell r="B2019" t="str">
            <v>19</v>
          </cell>
          <cell r="C2019" t="str">
            <v>12</v>
          </cell>
          <cell r="D2019" t="str">
            <v>4</v>
          </cell>
          <cell r="E2019" t="str">
            <v>0028</v>
          </cell>
          <cell r="F2019" t="str">
            <v>0003</v>
          </cell>
          <cell r="G2019" t="str">
            <v>11902</v>
          </cell>
          <cell r="H2019" t="str">
            <v>暂借款</v>
          </cell>
          <cell r="I2019" t="b">
            <v>1</v>
          </cell>
          <cell r="J2019">
            <v>5798.4</v>
          </cell>
          <cell r="K2019">
            <v>0</v>
          </cell>
          <cell r="L2019">
            <v>0</v>
          </cell>
        </row>
        <row r="2020">
          <cell r="A2020" t="str">
            <v>12</v>
          </cell>
          <cell r="B2020" t="str">
            <v>19</v>
          </cell>
          <cell r="C2020" t="str">
            <v>12</v>
          </cell>
          <cell r="D2020" t="str">
            <v>4</v>
          </cell>
          <cell r="E2020" t="str">
            <v>0029</v>
          </cell>
          <cell r="F2020" t="str">
            <v>0003</v>
          </cell>
          <cell r="G2020" t="str">
            <v>11902</v>
          </cell>
          <cell r="H2020" t="str">
            <v>暂借款</v>
          </cell>
          <cell r="I2020" t="b">
            <v>1</v>
          </cell>
          <cell r="J2020">
            <v>65914.05</v>
          </cell>
          <cell r="K2020">
            <v>0</v>
          </cell>
          <cell r="L2020">
            <v>0</v>
          </cell>
        </row>
        <row r="2021">
          <cell r="A2021" t="str">
            <v>12</v>
          </cell>
          <cell r="B2021" t="str">
            <v>19</v>
          </cell>
          <cell r="C2021" t="str">
            <v>12</v>
          </cell>
          <cell r="D2021" t="str">
            <v>4</v>
          </cell>
          <cell r="E2021" t="str">
            <v>0030</v>
          </cell>
          <cell r="F2021" t="str">
            <v>0001</v>
          </cell>
          <cell r="G2021" t="str">
            <v>11902</v>
          </cell>
          <cell r="H2021" t="str">
            <v>暂借款</v>
          </cell>
          <cell r="I2021" t="b">
            <v>1</v>
          </cell>
          <cell r="J2021">
            <v>22200</v>
          </cell>
          <cell r="K2021">
            <v>0</v>
          </cell>
          <cell r="L2021">
            <v>0</v>
          </cell>
        </row>
        <row r="2022">
          <cell r="A2022" t="str">
            <v>12</v>
          </cell>
          <cell r="B2022" t="str">
            <v>19</v>
          </cell>
          <cell r="C2022" t="str">
            <v>12</v>
          </cell>
          <cell r="D2022" t="str">
            <v>4</v>
          </cell>
          <cell r="E2022" t="str">
            <v>0031</v>
          </cell>
          <cell r="F2022" t="str">
            <v>0002</v>
          </cell>
          <cell r="G2022" t="str">
            <v>11902</v>
          </cell>
          <cell r="H2022" t="str">
            <v>暂借款</v>
          </cell>
          <cell r="I2022" t="b">
            <v>1</v>
          </cell>
          <cell r="J2022">
            <v>30000</v>
          </cell>
          <cell r="K2022">
            <v>0</v>
          </cell>
          <cell r="L2022">
            <v>0</v>
          </cell>
        </row>
        <row r="2023">
          <cell r="A2023" t="str">
            <v>12</v>
          </cell>
          <cell r="B2023" t="str">
            <v>20</v>
          </cell>
          <cell r="C2023" t="str">
            <v>12</v>
          </cell>
          <cell r="D2023" t="str">
            <v>4</v>
          </cell>
          <cell r="E2023" t="str">
            <v>0034</v>
          </cell>
          <cell r="F2023" t="str">
            <v>0001</v>
          </cell>
          <cell r="G2023" t="str">
            <v>11902</v>
          </cell>
          <cell r="H2023" t="str">
            <v>付招待费</v>
          </cell>
          <cell r="I2023" t="b">
            <v>1</v>
          </cell>
          <cell r="J2023">
            <v>5165</v>
          </cell>
          <cell r="K2023">
            <v>0</v>
          </cell>
          <cell r="L2023">
            <v>0</v>
          </cell>
        </row>
        <row r="2024">
          <cell r="A2024" t="str">
            <v>12</v>
          </cell>
          <cell r="B2024" t="str">
            <v>20</v>
          </cell>
          <cell r="C2024" t="str">
            <v>12</v>
          </cell>
          <cell r="D2024" t="str">
            <v>4</v>
          </cell>
          <cell r="E2024" t="str">
            <v>0039</v>
          </cell>
          <cell r="F2024" t="str">
            <v>0001</v>
          </cell>
          <cell r="G2024" t="str">
            <v>11902</v>
          </cell>
          <cell r="H2024" t="str">
            <v>暂借款</v>
          </cell>
          <cell r="I2024" t="b">
            <v>1</v>
          </cell>
          <cell r="J2024">
            <v>2000000</v>
          </cell>
          <cell r="K2024">
            <v>0</v>
          </cell>
          <cell r="L2024">
            <v>0</v>
          </cell>
        </row>
        <row r="2025">
          <cell r="A2025" t="str">
            <v>12</v>
          </cell>
          <cell r="B2025" t="str">
            <v>22</v>
          </cell>
          <cell r="C2025" t="str">
            <v>12</v>
          </cell>
          <cell r="D2025" t="str">
            <v>4</v>
          </cell>
          <cell r="E2025" t="str">
            <v>0048</v>
          </cell>
          <cell r="F2025" t="str">
            <v>0001</v>
          </cell>
          <cell r="G2025" t="str">
            <v>11902</v>
          </cell>
          <cell r="H2025" t="str">
            <v>暂借款</v>
          </cell>
          <cell r="I2025" t="b">
            <v>1</v>
          </cell>
          <cell r="J2025">
            <v>700000</v>
          </cell>
          <cell r="K2025">
            <v>0</v>
          </cell>
          <cell r="L2025">
            <v>0</v>
          </cell>
        </row>
        <row r="2026">
          <cell r="A2026" t="str">
            <v>12</v>
          </cell>
          <cell r="B2026" t="str">
            <v>22</v>
          </cell>
          <cell r="C2026" t="str">
            <v>12</v>
          </cell>
          <cell r="D2026" t="str">
            <v>4</v>
          </cell>
          <cell r="E2026" t="str">
            <v>0048</v>
          </cell>
          <cell r="F2026" t="str">
            <v>0002</v>
          </cell>
          <cell r="G2026" t="str">
            <v>11902</v>
          </cell>
          <cell r="H2026" t="str">
            <v>暂借款</v>
          </cell>
          <cell r="I2026" t="b">
            <v>1</v>
          </cell>
          <cell r="J2026">
            <v>300000</v>
          </cell>
          <cell r="K2026">
            <v>0</v>
          </cell>
          <cell r="L2026">
            <v>0</v>
          </cell>
        </row>
        <row r="2027">
          <cell r="A2027" t="str">
            <v>12</v>
          </cell>
          <cell r="B2027" t="str">
            <v>22</v>
          </cell>
          <cell r="C2027" t="str">
            <v>12</v>
          </cell>
          <cell r="D2027" t="str">
            <v>4</v>
          </cell>
          <cell r="E2027" t="str">
            <v>0048</v>
          </cell>
          <cell r="F2027" t="str">
            <v>0003</v>
          </cell>
          <cell r="G2027" t="str">
            <v>11902</v>
          </cell>
          <cell r="H2027" t="str">
            <v>暂借款</v>
          </cell>
          <cell r="I2027" t="b">
            <v>1</v>
          </cell>
          <cell r="J2027">
            <v>2000000</v>
          </cell>
          <cell r="K2027">
            <v>0</v>
          </cell>
          <cell r="L2027">
            <v>0</v>
          </cell>
        </row>
        <row r="2028">
          <cell r="A2028" t="str">
            <v>12</v>
          </cell>
          <cell r="B2028" t="str">
            <v>30</v>
          </cell>
          <cell r="C2028" t="str">
            <v>12</v>
          </cell>
          <cell r="D2028" t="str">
            <v>4</v>
          </cell>
          <cell r="E2028" t="str">
            <v>0057</v>
          </cell>
          <cell r="F2028" t="str">
            <v>0001</v>
          </cell>
          <cell r="G2028" t="str">
            <v>11902</v>
          </cell>
          <cell r="H2028" t="str">
            <v>暂借款</v>
          </cell>
          <cell r="I2028" t="b">
            <v>1</v>
          </cell>
          <cell r="J2028">
            <v>1700000</v>
          </cell>
          <cell r="K2028">
            <v>0</v>
          </cell>
          <cell r="L2028">
            <v>0</v>
          </cell>
        </row>
        <row r="2029">
          <cell r="A2029" t="str">
            <v>12</v>
          </cell>
          <cell r="B2029" t="str">
            <v>31</v>
          </cell>
          <cell r="C2029" t="str">
            <v>12</v>
          </cell>
          <cell r="D2029" t="str">
            <v>4</v>
          </cell>
          <cell r="E2029" t="str">
            <v>0058</v>
          </cell>
          <cell r="F2029" t="str">
            <v>0001</v>
          </cell>
          <cell r="G2029" t="str">
            <v>11902</v>
          </cell>
          <cell r="H2029" t="str">
            <v>暂借款</v>
          </cell>
          <cell r="I2029" t="b">
            <v>1</v>
          </cell>
          <cell r="J2029">
            <v>600000</v>
          </cell>
          <cell r="K2029">
            <v>0</v>
          </cell>
          <cell r="L2029">
            <v>0</v>
          </cell>
        </row>
        <row r="2030">
          <cell r="A2030" t="str">
            <v>12</v>
          </cell>
          <cell r="B2030" t="str">
            <v>08</v>
          </cell>
          <cell r="C2030" t="str">
            <v>12</v>
          </cell>
          <cell r="D2030" t="str">
            <v>5</v>
          </cell>
          <cell r="E2030" t="str">
            <v>0001</v>
          </cell>
          <cell r="F2030" t="str">
            <v>0002</v>
          </cell>
          <cell r="G2030" t="str">
            <v>11902</v>
          </cell>
          <cell r="H2030" t="str">
            <v>转中鲁酒店工人工资</v>
          </cell>
          <cell r="I2030" t="b">
            <v>1</v>
          </cell>
          <cell r="J2030">
            <v>4987</v>
          </cell>
          <cell r="K2030">
            <v>0</v>
          </cell>
          <cell r="L2030">
            <v>0</v>
          </cell>
        </row>
        <row r="2031">
          <cell r="A2031" t="str">
            <v>12</v>
          </cell>
          <cell r="B2031" t="str">
            <v>08</v>
          </cell>
          <cell r="C2031" t="str">
            <v>12</v>
          </cell>
          <cell r="D2031" t="str">
            <v>5</v>
          </cell>
          <cell r="E2031" t="str">
            <v>0005</v>
          </cell>
          <cell r="F2031" t="str">
            <v>0002</v>
          </cell>
          <cell r="G2031" t="str">
            <v>11902</v>
          </cell>
          <cell r="H2031" t="str">
            <v>转订出4月4-25#凭证借款</v>
          </cell>
          <cell r="I2031" t="b">
            <v>0</v>
          </cell>
          <cell r="J2031">
            <v>5000000</v>
          </cell>
          <cell r="K2031">
            <v>0</v>
          </cell>
          <cell r="L2031">
            <v>0</v>
          </cell>
        </row>
        <row r="2032">
          <cell r="A2032" t="str">
            <v>12</v>
          </cell>
          <cell r="B2032" t="str">
            <v>08</v>
          </cell>
          <cell r="C2032" t="str">
            <v>12</v>
          </cell>
          <cell r="D2032" t="str">
            <v>5</v>
          </cell>
          <cell r="E2032" t="str">
            <v>0005</v>
          </cell>
          <cell r="F2032" t="str">
            <v>0003</v>
          </cell>
          <cell r="G2032" t="str">
            <v>11902</v>
          </cell>
          <cell r="H2032" t="str">
            <v>转订出6月4-7#凭证借款</v>
          </cell>
          <cell r="I2032" t="b">
            <v>0</v>
          </cell>
          <cell r="J2032">
            <v>2000000</v>
          </cell>
          <cell r="K2032">
            <v>0</v>
          </cell>
          <cell r="L2032">
            <v>0</v>
          </cell>
        </row>
        <row r="2033">
          <cell r="A2033" t="str">
            <v>12</v>
          </cell>
          <cell r="B2033" t="str">
            <v>20</v>
          </cell>
          <cell r="C2033" t="str">
            <v>12</v>
          </cell>
          <cell r="D2033" t="str">
            <v>5</v>
          </cell>
          <cell r="E2033" t="str">
            <v>0009</v>
          </cell>
          <cell r="F2033" t="str">
            <v>0005</v>
          </cell>
          <cell r="G2033" t="str">
            <v>11902</v>
          </cell>
          <cell r="H2033" t="str">
            <v>转购滕州梨汁376.965吨</v>
          </cell>
          <cell r="I2033" t="b">
            <v>0</v>
          </cell>
          <cell r="J2033">
            <v>1319377.5</v>
          </cell>
          <cell r="K2033">
            <v>0</v>
          </cell>
          <cell r="L2033">
            <v>0</v>
          </cell>
        </row>
        <row r="2034">
          <cell r="A2034" t="str">
            <v>12</v>
          </cell>
          <cell r="B2034" t="str">
            <v>20</v>
          </cell>
          <cell r="C2034" t="str">
            <v>12</v>
          </cell>
          <cell r="D2034" t="str">
            <v>5</v>
          </cell>
          <cell r="E2034" t="str">
            <v>0010</v>
          </cell>
          <cell r="F2034" t="str">
            <v>0004</v>
          </cell>
          <cell r="G2034" t="str">
            <v>11902</v>
          </cell>
          <cell r="H2034" t="str">
            <v>转购宝鸡分公司果汁49.5吨</v>
          </cell>
          <cell r="I2034" t="b">
            <v>0</v>
          </cell>
          <cell r="J2034">
            <v>188100</v>
          </cell>
          <cell r="K2034">
            <v>0</v>
          </cell>
          <cell r="L2034">
            <v>0</v>
          </cell>
        </row>
        <row r="2035">
          <cell r="A2035" t="str">
            <v>12</v>
          </cell>
          <cell r="B2035" t="str">
            <v>20</v>
          </cell>
          <cell r="C2035" t="str">
            <v>12</v>
          </cell>
          <cell r="D2035" t="str">
            <v>5</v>
          </cell>
          <cell r="E2035" t="str">
            <v>0010</v>
          </cell>
          <cell r="F2035" t="str">
            <v>0005</v>
          </cell>
          <cell r="G2035" t="str">
            <v>11902</v>
          </cell>
          <cell r="H2035" t="str">
            <v>转购平原分公司果汁1331.881吨</v>
          </cell>
          <cell r="I2035" t="b">
            <v>0</v>
          </cell>
          <cell r="J2035">
            <v>4923663.5</v>
          </cell>
          <cell r="K2035">
            <v>0</v>
          </cell>
          <cell r="L2035">
            <v>0</v>
          </cell>
        </row>
        <row r="2036">
          <cell r="A2036" t="str">
            <v>12</v>
          </cell>
          <cell r="B2036" t="str">
            <v>20</v>
          </cell>
          <cell r="C2036" t="str">
            <v>12</v>
          </cell>
          <cell r="D2036" t="str">
            <v>5</v>
          </cell>
          <cell r="E2036" t="str">
            <v>0011</v>
          </cell>
          <cell r="F2036" t="str">
            <v>0004</v>
          </cell>
          <cell r="G2036" t="str">
            <v>11902</v>
          </cell>
          <cell r="H2036" t="str">
            <v>转购卢龙苹果汁390吨</v>
          </cell>
          <cell r="I2036" t="b">
            <v>0</v>
          </cell>
          <cell r="J2036">
            <v>1560000</v>
          </cell>
          <cell r="K2036">
            <v>0</v>
          </cell>
          <cell r="L2036">
            <v>0</v>
          </cell>
        </row>
        <row r="2037">
          <cell r="A2037" t="str">
            <v>12</v>
          </cell>
          <cell r="B2037" t="str">
            <v>20</v>
          </cell>
          <cell r="C2037" t="str">
            <v>12</v>
          </cell>
          <cell r="D2037" t="str">
            <v>5</v>
          </cell>
          <cell r="E2037" t="str">
            <v>0011</v>
          </cell>
          <cell r="F2037" t="str">
            <v>0005</v>
          </cell>
          <cell r="G2037" t="str">
            <v>11902</v>
          </cell>
          <cell r="H2037" t="str">
            <v>转购五莲苹果汁1671.53吨</v>
          </cell>
          <cell r="I2037" t="b">
            <v>0</v>
          </cell>
          <cell r="J2037">
            <v>5348899.2</v>
          </cell>
          <cell r="K2037">
            <v>0</v>
          </cell>
          <cell r="L2037">
            <v>0</v>
          </cell>
        </row>
        <row r="2038">
          <cell r="A2038" t="str">
            <v>12</v>
          </cell>
          <cell r="B2038" t="str">
            <v>20</v>
          </cell>
          <cell r="C2038" t="str">
            <v>12</v>
          </cell>
          <cell r="D2038" t="str">
            <v>5</v>
          </cell>
          <cell r="E2038" t="str">
            <v>0012</v>
          </cell>
          <cell r="F2038" t="str">
            <v>0003</v>
          </cell>
          <cell r="G2038" t="str">
            <v>11902</v>
          </cell>
          <cell r="H2038" t="str">
            <v>转购滕州分公司苹果汁910.148吨</v>
          </cell>
          <cell r="I2038" t="b">
            <v>0</v>
          </cell>
          <cell r="J2038">
            <v>3094503.2</v>
          </cell>
          <cell r="K2038">
            <v>0</v>
          </cell>
          <cell r="L2038">
            <v>0</v>
          </cell>
        </row>
        <row r="2039">
          <cell r="A2039" t="str">
            <v>12</v>
          </cell>
          <cell r="B2039" t="str">
            <v>20</v>
          </cell>
          <cell r="C2039" t="str">
            <v>12</v>
          </cell>
          <cell r="D2039" t="str">
            <v>5</v>
          </cell>
          <cell r="E2039" t="str">
            <v>0017</v>
          </cell>
          <cell r="F2039" t="str">
            <v>0005</v>
          </cell>
          <cell r="G2039" t="str">
            <v>11902</v>
          </cell>
          <cell r="H2039" t="str">
            <v>转鲁菱代扣水电.保险费等</v>
          </cell>
          <cell r="I2039" t="b">
            <v>1</v>
          </cell>
          <cell r="J2039">
            <v>7857.9</v>
          </cell>
          <cell r="K2039">
            <v>0</v>
          </cell>
          <cell r="L2039">
            <v>0</v>
          </cell>
        </row>
        <row r="2040">
          <cell r="A2040" t="str">
            <v>12</v>
          </cell>
          <cell r="B2040" t="str">
            <v>20</v>
          </cell>
          <cell r="C2040" t="str">
            <v>12</v>
          </cell>
          <cell r="D2040" t="str">
            <v>5</v>
          </cell>
          <cell r="E2040" t="str">
            <v>0017</v>
          </cell>
          <cell r="F2040" t="str">
            <v>0006</v>
          </cell>
          <cell r="G2040" t="str">
            <v>11902</v>
          </cell>
          <cell r="H2040" t="str">
            <v>转尚进代扣水电.保险费等</v>
          </cell>
          <cell r="I2040" t="b">
            <v>1</v>
          </cell>
          <cell r="J2040">
            <v>1109.9000000000001</v>
          </cell>
          <cell r="K2040">
            <v>0</v>
          </cell>
          <cell r="L2040">
            <v>0</v>
          </cell>
        </row>
        <row r="2041">
          <cell r="A2041" t="str">
            <v>12</v>
          </cell>
          <cell r="B2041" t="str">
            <v>22</v>
          </cell>
          <cell r="C2041" t="str">
            <v>12</v>
          </cell>
          <cell r="D2041" t="str">
            <v>5</v>
          </cell>
          <cell r="E2041" t="str">
            <v>0018</v>
          </cell>
          <cell r="F2041" t="str">
            <v>0004</v>
          </cell>
          <cell r="G2041" t="str">
            <v>11902</v>
          </cell>
          <cell r="H2041" t="str">
            <v>转借款</v>
          </cell>
          <cell r="I2041" t="b">
            <v>0</v>
          </cell>
          <cell r="J2041">
            <v>376484.42</v>
          </cell>
          <cell r="K2041">
            <v>0</v>
          </cell>
          <cell r="L2041">
            <v>0</v>
          </cell>
        </row>
        <row r="2042">
          <cell r="A2042" t="str">
            <v>12</v>
          </cell>
          <cell r="B2042" t="str">
            <v>22</v>
          </cell>
          <cell r="C2042" t="str">
            <v>12</v>
          </cell>
          <cell r="D2042" t="str">
            <v>5</v>
          </cell>
          <cell r="E2042" t="str">
            <v>0020</v>
          </cell>
          <cell r="F2042" t="str">
            <v>0005</v>
          </cell>
          <cell r="G2042" t="str">
            <v>11902</v>
          </cell>
          <cell r="H2042" t="str">
            <v>转报销差旅费等</v>
          </cell>
          <cell r="I2042" t="b">
            <v>0</v>
          </cell>
          <cell r="J2042">
            <v>2474.8000000000002</v>
          </cell>
          <cell r="K2042">
            <v>0</v>
          </cell>
          <cell r="L2042">
            <v>0</v>
          </cell>
        </row>
        <row r="2043">
          <cell r="A2043" t="str">
            <v>12</v>
          </cell>
          <cell r="B2043" t="str">
            <v>23</v>
          </cell>
          <cell r="C2043" t="str">
            <v>12</v>
          </cell>
          <cell r="D2043" t="str">
            <v>5</v>
          </cell>
          <cell r="E2043" t="str">
            <v>0022</v>
          </cell>
          <cell r="F2043" t="str">
            <v>0002</v>
          </cell>
          <cell r="G2043" t="str">
            <v>11902</v>
          </cell>
          <cell r="H2043" t="str">
            <v>转借款</v>
          </cell>
          <cell r="I2043" t="b">
            <v>0</v>
          </cell>
          <cell r="J2043">
            <v>39673.440000000002</v>
          </cell>
          <cell r="K2043">
            <v>0</v>
          </cell>
          <cell r="L2043">
            <v>0</v>
          </cell>
        </row>
        <row r="2044">
          <cell r="A2044" t="str">
            <v>12</v>
          </cell>
          <cell r="B2044" t="str">
            <v>23</v>
          </cell>
          <cell r="C2044" t="str">
            <v>12</v>
          </cell>
          <cell r="D2044" t="str">
            <v>5</v>
          </cell>
          <cell r="E2044" t="str">
            <v>0023</v>
          </cell>
          <cell r="F2044" t="str">
            <v>0001</v>
          </cell>
          <cell r="G2044" t="str">
            <v>11902</v>
          </cell>
          <cell r="H2044" t="str">
            <v>转借款</v>
          </cell>
          <cell r="I2044" t="b">
            <v>1</v>
          </cell>
          <cell r="J2044">
            <v>3891</v>
          </cell>
          <cell r="K2044">
            <v>0</v>
          </cell>
          <cell r="L2044">
            <v>0</v>
          </cell>
        </row>
        <row r="2045">
          <cell r="A2045" t="str">
            <v>12</v>
          </cell>
          <cell r="B2045" t="str">
            <v>23</v>
          </cell>
          <cell r="C2045" t="str">
            <v>12</v>
          </cell>
          <cell r="D2045" t="str">
            <v>5</v>
          </cell>
          <cell r="E2045" t="str">
            <v>0023</v>
          </cell>
          <cell r="F2045" t="str">
            <v>0002</v>
          </cell>
          <cell r="G2045" t="str">
            <v>11902</v>
          </cell>
          <cell r="H2045" t="str">
            <v>转借款</v>
          </cell>
          <cell r="I2045" t="b">
            <v>0</v>
          </cell>
          <cell r="J2045">
            <v>3891</v>
          </cell>
          <cell r="K2045">
            <v>0</v>
          </cell>
          <cell r="L2045">
            <v>0</v>
          </cell>
        </row>
        <row r="2046">
          <cell r="A2046" t="str">
            <v>12</v>
          </cell>
          <cell r="B2046" t="str">
            <v>23</v>
          </cell>
          <cell r="C2046" t="str">
            <v>12</v>
          </cell>
          <cell r="D2046" t="str">
            <v>5</v>
          </cell>
          <cell r="E2046" t="str">
            <v>0023</v>
          </cell>
          <cell r="F2046" t="str">
            <v>0003</v>
          </cell>
          <cell r="G2046" t="str">
            <v>11902</v>
          </cell>
          <cell r="H2046" t="str">
            <v>转代收款</v>
          </cell>
          <cell r="I2046" t="b">
            <v>1</v>
          </cell>
          <cell r="J2046">
            <v>125125</v>
          </cell>
          <cell r="K2046">
            <v>0</v>
          </cell>
          <cell r="L2046">
            <v>0</v>
          </cell>
        </row>
        <row r="2047">
          <cell r="A2047" t="str">
            <v>12</v>
          </cell>
          <cell r="B2047" t="str">
            <v>23</v>
          </cell>
          <cell r="C2047" t="str">
            <v>12</v>
          </cell>
          <cell r="D2047" t="str">
            <v>5</v>
          </cell>
          <cell r="E2047" t="str">
            <v>0024</v>
          </cell>
          <cell r="F2047" t="str">
            <v>0001</v>
          </cell>
          <cell r="G2047" t="str">
            <v>11902</v>
          </cell>
          <cell r="H2047" t="str">
            <v>收于文芳房款</v>
          </cell>
          <cell r="I2047" t="b">
            <v>1</v>
          </cell>
          <cell r="J2047">
            <v>3952</v>
          </cell>
          <cell r="K2047">
            <v>0</v>
          </cell>
          <cell r="L2047">
            <v>0</v>
          </cell>
        </row>
        <row r="2048">
          <cell r="A2048" t="str">
            <v>12</v>
          </cell>
          <cell r="B2048" t="str">
            <v>25</v>
          </cell>
          <cell r="C2048" t="str">
            <v>12</v>
          </cell>
          <cell r="D2048" t="str">
            <v>5</v>
          </cell>
          <cell r="E2048" t="str">
            <v>0025</v>
          </cell>
          <cell r="F2048" t="str">
            <v>0001</v>
          </cell>
          <cell r="G2048" t="str">
            <v>11902</v>
          </cell>
          <cell r="H2048" t="str">
            <v>转代付款</v>
          </cell>
          <cell r="I2048" t="b">
            <v>1</v>
          </cell>
          <cell r="J2048">
            <v>288000</v>
          </cell>
          <cell r="K2048">
            <v>0</v>
          </cell>
          <cell r="L2048">
            <v>0</v>
          </cell>
        </row>
        <row r="2049">
          <cell r="A2049" t="str">
            <v>12</v>
          </cell>
          <cell r="B2049" t="str">
            <v>25</v>
          </cell>
          <cell r="C2049" t="str">
            <v>12</v>
          </cell>
          <cell r="D2049" t="str">
            <v>5</v>
          </cell>
          <cell r="E2049" t="str">
            <v>0028</v>
          </cell>
          <cell r="F2049" t="str">
            <v>0002</v>
          </cell>
          <cell r="G2049" t="str">
            <v>11902</v>
          </cell>
          <cell r="H2049" t="str">
            <v>转运费</v>
          </cell>
          <cell r="I2049" t="b">
            <v>1</v>
          </cell>
          <cell r="J2049">
            <v>2500</v>
          </cell>
          <cell r="K2049">
            <v>0</v>
          </cell>
          <cell r="L2049">
            <v>0</v>
          </cell>
        </row>
        <row r="2050">
          <cell r="A2050" t="str">
            <v>12</v>
          </cell>
          <cell r="B2050" t="str">
            <v>26</v>
          </cell>
          <cell r="C2050" t="str">
            <v>12</v>
          </cell>
          <cell r="D2050" t="str">
            <v>5</v>
          </cell>
          <cell r="E2050" t="str">
            <v>0032</v>
          </cell>
          <cell r="F2050" t="str">
            <v>0003</v>
          </cell>
          <cell r="G2050" t="str">
            <v>11902</v>
          </cell>
          <cell r="H2050" t="str">
            <v>转订出10月4-5#凭证上市费用</v>
          </cell>
          <cell r="I2050" t="b">
            <v>1</v>
          </cell>
          <cell r="J2050">
            <v>61515.4</v>
          </cell>
          <cell r="K2050">
            <v>0</v>
          </cell>
          <cell r="L2050">
            <v>0</v>
          </cell>
        </row>
        <row r="2051">
          <cell r="A2051" t="str">
            <v>12</v>
          </cell>
          <cell r="B2051" t="str">
            <v>27</v>
          </cell>
          <cell r="C2051" t="str">
            <v>12</v>
          </cell>
          <cell r="D2051" t="str">
            <v>5</v>
          </cell>
          <cell r="E2051" t="str">
            <v>0037</v>
          </cell>
          <cell r="F2051" t="str">
            <v>0002</v>
          </cell>
          <cell r="G2051" t="str">
            <v>11902</v>
          </cell>
          <cell r="H2051" t="str">
            <v>转付果汁款</v>
          </cell>
          <cell r="I2051" t="b">
            <v>0</v>
          </cell>
          <cell r="J2051">
            <v>250000</v>
          </cell>
          <cell r="K2051">
            <v>0</v>
          </cell>
          <cell r="L2051">
            <v>0</v>
          </cell>
        </row>
        <row r="2052">
          <cell r="A2052" t="str">
            <v>12</v>
          </cell>
          <cell r="B2052" t="str">
            <v>27</v>
          </cell>
          <cell r="C2052" t="str">
            <v>12</v>
          </cell>
          <cell r="D2052" t="str">
            <v>5</v>
          </cell>
          <cell r="E2052" t="str">
            <v>0037</v>
          </cell>
          <cell r="F2052" t="str">
            <v>0004</v>
          </cell>
          <cell r="G2052" t="str">
            <v>11902</v>
          </cell>
          <cell r="H2052" t="str">
            <v>转代收回周玉敏借款</v>
          </cell>
          <cell r="I2052" t="b">
            <v>1</v>
          </cell>
          <cell r="J2052">
            <v>221.7</v>
          </cell>
          <cell r="K2052">
            <v>0</v>
          </cell>
          <cell r="L2052">
            <v>0</v>
          </cell>
        </row>
        <row r="2053">
          <cell r="A2053" t="str">
            <v>12</v>
          </cell>
          <cell r="B2053" t="str">
            <v>27</v>
          </cell>
          <cell r="C2053" t="str">
            <v>12</v>
          </cell>
          <cell r="D2053" t="str">
            <v>5</v>
          </cell>
          <cell r="E2053" t="str">
            <v>0038</v>
          </cell>
          <cell r="F2053" t="str">
            <v>0002</v>
          </cell>
          <cell r="G2053" t="str">
            <v>11902</v>
          </cell>
          <cell r="H2053" t="str">
            <v>转代收尚进果汁款</v>
          </cell>
          <cell r="I2053" t="b">
            <v>0</v>
          </cell>
          <cell r="J2053">
            <v>1295.9000000000001</v>
          </cell>
          <cell r="K2053">
            <v>0</v>
          </cell>
          <cell r="L2053">
            <v>0</v>
          </cell>
        </row>
        <row r="2054">
          <cell r="A2054" t="str">
            <v>12</v>
          </cell>
          <cell r="B2054" t="str">
            <v>27</v>
          </cell>
          <cell r="C2054" t="str">
            <v>12</v>
          </cell>
          <cell r="D2054" t="str">
            <v>5</v>
          </cell>
          <cell r="E2054" t="str">
            <v>0038</v>
          </cell>
          <cell r="F2054" t="str">
            <v>0003</v>
          </cell>
          <cell r="G2054" t="str">
            <v>11902</v>
          </cell>
          <cell r="H2054" t="str">
            <v>转尚进代收果汁款</v>
          </cell>
          <cell r="I2054" t="b">
            <v>1</v>
          </cell>
          <cell r="J2054">
            <v>2405</v>
          </cell>
          <cell r="K2054">
            <v>0</v>
          </cell>
          <cell r="L2054">
            <v>0</v>
          </cell>
        </row>
        <row r="2055">
          <cell r="A2055" t="str">
            <v>12</v>
          </cell>
          <cell r="B2055" t="str">
            <v>27</v>
          </cell>
          <cell r="C2055" t="str">
            <v>12</v>
          </cell>
          <cell r="D2055" t="str">
            <v>5</v>
          </cell>
          <cell r="E2055" t="str">
            <v>0040</v>
          </cell>
          <cell r="F2055" t="str">
            <v>0004</v>
          </cell>
          <cell r="G2055" t="str">
            <v>11902</v>
          </cell>
          <cell r="H2055" t="str">
            <v>转平原分公司代扣劳动保险费</v>
          </cell>
          <cell r="I2055" t="b">
            <v>1</v>
          </cell>
          <cell r="J2055">
            <v>453.5</v>
          </cell>
          <cell r="K2055">
            <v>0</v>
          </cell>
          <cell r="L2055">
            <v>0</v>
          </cell>
        </row>
        <row r="2056">
          <cell r="A2056" t="str">
            <v>12</v>
          </cell>
          <cell r="B2056" t="str">
            <v>27</v>
          </cell>
          <cell r="C2056" t="str">
            <v>12</v>
          </cell>
          <cell r="D2056" t="str">
            <v>5</v>
          </cell>
          <cell r="E2056" t="str">
            <v>0040</v>
          </cell>
          <cell r="F2056" t="str">
            <v>0005</v>
          </cell>
          <cell r="G2056" t="str">
            <v>11902</v>
          </cell>
          <cell r="H2056" t="str">
            <v>转滕州分公司代扣劳动保险费等</v>
          </cell>
          <cell r="I2056" t="b">
            <v>1</v>
          </cell>
          <cell r="J2056">
            <v>493.8</v>
          </cell>
          <cell r="K2056">
            <v>0</v>
          </cell>
          <cell r="L2056">
            <v>0</v>
          </cell>
        </row>
        <row r="2057">
          <cell r="A2057" t="str">
            <v>12</v>
          </cell>
          <cell r="B2057" t="str">
            <v>27</v>
          </cell>
          <cell r="C2057" t="str">
            <v>12</v>
          </cell>
          <cell r="D2057" t="str">
            <v>5</v>
          </cell>
          <cell r="E2057" t="str">
            <v>0040</v>
          </cell>
          <cell r="F2057" t="str">
            <v>0006</v>
          </cell>
          <cell r="G2057" t="str">
            <v>11902</v>
          </cell>
          <cell r="H2057" t="str">
            <v>转宝鸡分公司代扣劳动保险费等</v>
          </cell>
          <cell r="I2057" t="b">
            <v>1</v>
          </cell>
          <cell r="J2057">
            <v>1262.2</v>
          </cell>
          <cell r="K2057">
            <v>0</v>
          </cell>
          <cell r="L2057">
            <v>0</v>
          </cell>
        </row>
        <row r="2058">
          <cell r="A2058" t="str">
            <v>12</v>
          </cell>
          <cell r="B2058" t="str">
            <v>27</v>
          </cell>
          <cell r="C2058" t="str">
            <v>12</v>
          </cell>
          <cell r="D2058" t="str">
            <v>5</v>
          </cell>
          <cell r="E2058" t="str">
            <v>0040</v>
          </cell>
          <cell r="F2058" t="str">
            <v>0007</v>
          </cell>
          <cell r="G2058" t="str">
            <v>11902</v>
          </cell>
          <cell r="H2058" t="str">
            <v>转五莲分公司代扣劳动保险费等</v>
          </cell>
          <cell r="I2058" t="b">
            <v>1</v>
          </cell>
          <cell r="J2058">
            <v>711.7</v>
          </cell>
          <cell r="K2058">
            <v>0</v>
          </cell>
          <cell r="L2058">
            <v>0</v>
          </cell>
        </row>
        <row r="2059">
          <cell r="A2059" t="str">
            <v>12</v>
          </cell>
          <cell r="B2059" t="str">
            <v>28</v>
          </cell>
          <cell r="C2059" t="str">
            <v>12</v>
          </cell>
          <cell r="D2059" t="str">
            <v>5</v>
          </cell>
          <cell r="E2059" t="str">
            <v>0041</v>
          </cell>
          <cell r="F2059" t="str">
            <v>0002</v>
          </cell>
          <cell r="G2059" t="str">
            <v>11902</v>
          </cell>
          <cell r="H2059" t="str">
            <v>转11-12月份餐费</v>
          </cell>
          <cell r="I2059" t="b">
            <v>0</v>
          </cell>
          <cell r="J2059">
            <v>21980.9</v>
          </cell>
          <cell r="K2059">
            <v>0</v>
          </cell>
          <cell r="L2059">
            <v>0</v>
          </cell>
        </row>
        <row r="2060">
          <cell r="A2060" t="str">
            <v>12</v>
          </cell>
          <cell r="B2060" t="str">
            <v>28</v>
          </cell>
          <cell r="C2060" t="str">
            <v>12</v>
          </cell>
          <cell r="D2060" t="str">
            <v>5</v>
          </cell>
          <cell r="E2060" t="str">
            <v>0042</v>
          </cell>
          <cell r="F2060" t="str">
            <v>0001</v>
          </cell>
          <cell r="G2060" t="str">
            <v>11902</v>
          </cell>
          <cell r="H2060" t="str">
            <v>转鲁菱公司耗水电款</v>
          </cell>
          <cell r="I2060" t="b">
            <v>1</v>
          </cell>
          <cell r="J2060">
            <v>1256514.1499999999</v>
          </cell>
          <cell r="K2060">
            <v>0</v>
          </cell>
          <cell r="L2060">
            <v>0</v>
          </cell>
        </row>
        <row r="2061">
          <cell r="A2061" t="str">
            <v>12</v>
          </cell>
          <cell r="B2061" t="str">
            <v>28</v>
          </cell>
          <cell r="C2061" t="str">
            <v>12</v>
          </cell>
          <cell r="D2061" t="str">
            <v>5</v>
          </cell>
          <cell r="E2061" t="str">
            <v>0042</v>
          </cell>
          <cell r="F2061" t="str">
            <v>0002</v>
          </cell>
          <cell r="G2061" t="str">
            <v>11902</v>
          </cell>
          <cell r="H2061" t="str">
            <v>转尚进公司耗水电款</v>
          </cell>
          <cell r="I2061" t="b">
            <v>1</v>
          </cell>
          <cell r="J2061">
            <v>1396015.27</v>
          </cell>
          <cell r="K2061">
            <v>0</v>
          </cell>
          <cell r="L2061">
            <v>0</v>
          </cell>
        </row>
        <row r="2062">
          <cell r="A2062" t="str">
            <v>12</v>
          </cell>
          <cell r="B2062" t="str">
            <v>28</v>
          </cell>
          <cell r="C2062" t="str">
            <v>12</v>
          </cell>
          <cell r="D2062" t="str">
            <v>5</v>
          </cell>
          <cell r="E2062" t="str">
            <v>0042</v>
          </cell>
          <cell r="F2062" t="str">
            <v>0003</v>
          </cell>
          <cell r="G2062" t="str">
            <v>11902</v>
          </cell>
          <cell r="H2062" t="str">
            <v>转制桶厂耗水电款</v>
          </cell>
          <cell r="I2062" t="b">
            <v>1</v>
          </cell>
          <cell r="J2062">
            <v>77114.820000000007</v>
          </cell>
          <cell r="K2062">
            <v>0</v>
          </cell>
          <cell r="L2062">
            <v>0</v>
          </cell>
        </row>
        <row r="2063">
          <cell r="A2063" t="str">
            <v>12</v>
          </cell>
          <cell r="B2063" t="str">
            <v>28</v>
          </cell>
          <cell r="C2063" t="str">
            <v>12</v>
          </cell>
          <cell r="D2063" t="str">
            <v>5</v>
          </cell>
          <cell r="E2063" t="str">
            <v>0043</v>
          </cell>
          <cell r="F2063" t="str">
            <v>0001</v>
          </cell>
          <cell r="G2063" t="str">
            <v>11902</v>
          </cell>
          <cell r="H2063" t="str">
            <v>转卢龙分公司本月耗材料</v>
          </cell>
          <cell r="I2063" t="b">
            <v>1</v>
          </cell>
          <cell r="J2063">
            <v>76064.039999999994</v>
          </cell>
          <cell r="K2063">
            <v>0</v>
          </cell>
          <cell r="L2063">
            <v>0</v>
          </cell>
        </row>
        <row r="2064">
          <cell r="A2064" t="str">
            <v>12</v>
          </cell>
          <cell r="B2064" t="str">
            <v>28</v>
          </cell>
          <cell r="C2064" t="str">
            <v>12</v>
          </cell>
          <cell r="D2064" t="str">
            <v>5</v>
          </cell>
          <cell r="E2064" t="str">
            <v>0043</v>
          </cell>
          <cell r="F2064" t="str">
            <v>0002</v>
          </cell>
          <cell r="G2064" t="str">
            <v>11902</v>
          </cell>
          <cell r="H2064" t="str">
            <v>转制桶厂本月耗材料</v>
          </cell>
          <cell r="I2064" t="b">
            <v>1</v>
          </cell>
          <cell r="J2064">
            <v>1419.39</v>
          </cell>
          <cell r="K2064">
            <v>0</v>
          </cell>
          <cell r="L2064">
            <v>0</v>
          </cell>
        </row>
        <row r="2065">
          <cell r="A2065" t="str">
            <v>12</v>
          </cell>
          <cell r="B2065" t="str">
            <v>28</v>
          </cell>
          <cell r="C2065" t="str">
            <v>12</v>
          </cell>
          <cell r="D2065" t="str">
            <v>5</v>
          </cell>
          <cell r="E2065" t="str">
            <v>0043</v>
          </cell>
          <cell r="F2065" t="str">
            <v>0003</v>
          </cell>
          <cell r="G2065" t="str">
            <v>11902</v>
          </cell>
          <cell r="H2065" t="str">
            <v>转鲁菱本月耗材料</v>
          </cell>
          <cell r="I2065" t="b">
            <v>1</v>
          </cell>
          <cell r="J2065">
            <v>653217.57999999996</v>
          </cell>
          <cell r="K2065">
            <v>0</v>
          </cell>
          <cell r="L2065">
            <v>0</v>
          </cell>
        </row>
        <row r="2066">
          <cell r="A2066" t="str">
            <v>12</v>
          </cell>
          <cell r="B2066" t="str">
            <v>28</v>
          </cell>
          <cell r="C2066" t="str">
            <v>12</v>
          </cell>
          <cell r="D2066" t="str">
            <v>5</v>
          </cell>
          <cell r="E2066" t="str">
            <v>0043</v>
          </cell>
          <cell r="F2066" t="str">
            <v>0004</v>
          </cell>
          <cell r="G2066" t="str">
            <v>11902</v>
          </cell>
          <cell r="H2066" t="str">
            <v>转尚进本月耗材料</v>
          </cell>
          <cell r="I2066" t="b">
            <v>1</v>
          </cell>
          <cell r="J2066">
            <v>198370.91</v>
          </cell>
          <cell r="K2066">
            <v>0</v>
          </cell>
          <cell r="L2066">
            <v>0</v>
          </cell>
        </row>
        <row r="2067">
          <cell r="A2067" t="str">
            <v>12</v>
          </cell>
          <cell r="B2067" t="str">
            <v>28</v>
          </cell>
          <cell r="C2067" t="str">
            <v>12</v>
          </cell>
          <cell r="D2067" t="str">
            <v>5</v>
          </cell>
          <cell r="E2067" t="str">
            <v>0044</v>
          </cell>
          <cell r="F2067" t="str">
            <v>0001</v>
          </cell>
          <cell r="G2067" t="str">
            <v>11902</v>
          </cell>
          <cell r="H2067" t="str">
            <v>转尚进公司住房补贴款</v>
          </cell>
          <cell r="I2067" t="b">
            <v>1</v>
          </cell>
          <cell r="J2067">
            <v>452066.51</v>
          </cell>
          <cell r="K2067">
            <v>0</v>
          </cell>
          <cell r="L2067">
            <v>0</v>
          </cell>
        </row>
        <row r="2068">
          <cell r="A2068" t="str">
            <v>12</v>
          </cell>
          <cell r="B2068" t="str">
            <v>28</v>
          </cell>
          <cell r="C2068" t="str">
            <v>12</v>
          </cell>
          <cell r="D2068" t="str">
            <v>5</v>
          </cell>
          <cell r="E2068" t="str">
            <v>0044</v>
          </cell>
          <cell r="F2068" t="str">
            <v>0003</v>
          </cell>
          <cell r="G2068" t="str">
            <v>11902</v>
          </cell>
          <cell r="H2068" t="str">
            <v>转鲁菱公司住房补贴款</v>
          </cell>
          <cell r="I2068" t="b">
            <v>1</v>
          </cell>
          <cell r="J2068">
            <v>590177.57999999996</v>
          </cell>
          <cell r="K2068">
            <v>0</v>
          </cell>
          <cell r="L2068">
            <v>0</v>
          </cell>
        </row>
        <row r="2069">
          <cell r="A2069" t="str">
            <v>12</v>
          </cell>
          <cell r="B2069" t="str">
            <v>28</v>
          </cell>
          <cell r="C2069" t="str">
            <v>12</v>
          </cell>
          <cell r="D2069" t="str">
            <v>5</v>
          </cell>
          <cell r="E2069" t="str">
            <v>0045</v>
          </cell>
          <cell r="F2069" t="str">
            <v>0002</v>
          </cell>
          <cell r="G2069" t="str">
            <v>11902</v>
          </cell>
          <cell r="H2069" t="str">
            <v>转银丰代垫购城东房款</v>
          </cell>
          <cell r="I2069" t="b">
            <v>0</v>
          </cell>
          <cell r="J2069">
            <v>80000</v>
          </cell>
          <cell r="K2069">
            <v>0</v>
          </cell>
          <cell r="L2069">
            <v>0</v>
          </cell>
        </row>
        <row r="2070">
          <cell r="A2070" t="str">
            <v>12</v>
          </cell>
          <cell r="B2070" t="str">
            <v>29</v>
          </cell>
          <cell r="C2070" t="str">
            <v>12</v>
          </cell>
          <cell r="D2070" t="str">
            <v>5</v>
          </cell>
          <cell r="E2070" t="str">
            <v>0081</v>
          </cell>
          <cell r="F2070" t="str">
            <v>0001</v>
          </cell>
          <cell r="G2070" t="str">
            <v>11902</v>
          </cell>
          <cell r="H2070" t="str">
            <v>转收回饮料公司应付借款利息</v>
          </cell>
          <cell r="I2070" t="b">
            <v>1</v>
          </cell>
          <cell r="J2070">
            <v>1436373.34</v>
          </cell>
          <cell r="K2070">
            <v>0</v>
          </cell>
          <cell r="L2070">
            <v>0</v>
          </cell>
        </row>
        <row r="2071">
          <cell r="A2071" t="str">
            <v>12</v>
          </cell>
          <cell r="B2071" t="str">
            <v>30</v>
          </cell>
          <cell r="C2071" t="str">
            <v>12</v>
          </cell>
          <cell r="D2071" t="str">
            <v>5</v>
          </cell>
          <cell r="E2071" t="str">
            <v>0086</v>
          </cell>
          <cell r="F2071" t="str">
            <v>0001</v>
          </cell>
          <cell r="G2071" t="str">
            <v>11902</v>
          </cell>
          <cell r="H2071" t="str">
            <v>转冲99年12月5-73#凭证</v>
          </cell>
          <cell r="I2071" t="b">
            <v>1</v>
          </cell>
          <cell r="J2071">
            <v>-5218278.91</v>
          </cell>
          <cell r="K2071">
            <v>0</v>
          </cell>
          <cell r="L2071">
            <v>0</v>
          </cell>
        </row>
        <row r="2072">
          <cell r="A2072" t="str">
            <v>12</v>
          </cell>
          <cell r="B2072" t="str">
            <v>30</v>
          </cell>
          <cell r="C2072" t="str">
            <v>12</v>
          </cell>
          <cell r="D2072" t="str">
            <v>5</v>
          </cell>
          <cell r="E2072" t="str">
            <v>0089</v>
          </cell>
          <cell r="F2072" t="str">
            <v>0002</v>
          </cell>
          <cell r="G2072" t="str">
            <v>11902</v>
          </cell>
          <cell r="H2072" t="str">
            <v>转酒店工人工资</v>
          </cell>
          <cell r="I2072" t="b">
            <v>1</v>
          </cell>
          <cell r="J2072">
            <v>2157</v>
          </cell>
          <cell r="K2072">
            <v>0</v>
          </cell>
          <cell r="L2072">
            <v>0</v>
          </cell>
        </row>
        <row r="2073">
          <cell r="A2073" t="str">
            <v>12</v>
          </cell>
          <cell r="B2073" t="str">
            <v>31</v>
          </cell>
          <cell r="C2073" t="str">
            <v>12</v>
          </cell>
          <cell r="D2073" t="str">
            <v>5</v>
          </cell>
          <cell r="E2073" t="str">
            <v>0093</v>
          </cell>
          <cell r="F2073" t="str">
            <v>0001</v>
          </cell>
          <cell r="G2073" t="str">
            <v>11902</v>
          </cell>
          <cell r="H2073" t="str">
            <v>转本月共同管理费用</v>
          </cell>
          <cell r="I2073" t="b">
            <v>1</v>
          </cell>
          <cell r="J2073">
            <v>164761.63</v>
          </cell>
          <cell r="K2073">
            <v>0</v>
          </cell>
          <cell r="L2073">
            <v>0</v>
          </cell>
        </row>
        <row r="2074">
          <cell r="A2074" t="str">
            <v>12</v>
          </cell>
          <cell r="B2074" t="str">
            <v>31</v>
          </cell>
          <cell r="C2074" t="str">
            <v>12</v>
          </cell>
          <cell r="D2074" t="str">
            <v>5</v>
          </cell>
          <cell r="E2074" t="str">
            <v>0093</v>
          </cell>
          <cell r="F2074" t="str">
            <v>0002</v>
          </cell>
          <cell r="G2074" t="str">
            <v>11902</v>
          </cell>
          <cell r="H2074" t="str">
            <v>转本月共同管理费用</v>
          </cell>
          <cell r="I2074" t="b">
            <v>1</v>
          </cell>
          <cell r="J2074">
            <v>60933.42</v>
          </cell>
          <cell r="K2074">
            <v>0</v>
          </cell>
          <cell r="L2074">
            <v>0</v>
          </cell>
        </row>
        <row r="2075">
          <cell r="A2075" t="str">
            <v>12</v>
          </cell>
          <cell r="B2075" t="str">
            <v>31</v>
          </cell>
          <cell r="C2075" t="str">
            <v>12</v>
          </cell>
          <cell r="D2075" t="str">
            <v>5</v>
          </cell>
          <cell r="E2075" t="str">
            <v>0095</v>
          </cell>
          <cell r="F2075" t="str">
            <v>0001</v>
          </cell>
          <cell r="G2075" t="str">
            <v>11902</v>
          </cell>
          <cell r="H2075" t="str">
            <v>转出代付鲁菱新果汁车间款</v>
          </cell>
          <cell r="I2075" t="b">
            <v>1</v>
          </cell>
          <cell r="J2075">
            <v>3050966.36</v>
          </cell>
          <cell r="K2075">
            <v>0</v>
          </cell>
          <cell r="L2075">
            <v>0</v>
          </cell>
        </row>
        <row r="2076">
          <cell r="A2076" t="str">
            <v>12</v>
          </cell>
          <cell r="B2076" t="str">
            <v>31</v>
          </cell>
          <cell r="C2076" t="str">
            <v>12</v>
          </cell>
          <cell r="D2076" t="str">
            <v>5</v>
          </cell>
          <cell r="E2076" t="str">
            <v>0096</v>
          </cell>
          <cell r="F2076" t="str">
            <v>0008</v>
          </cell>
          <cell r="G2076" t="str">
            <v>11902</v>
          </cell>
          <cell r="H2076" t="str">
            <v>转11月3-2#凭证错制</v>
          </cell>
          <cell r="I2076" t="b">
            <v>0</v>
          </cell>
          <cell r="J2076">
            <v>100000</v>
          </cell>
          <cell r="K2076">
            <v>0</v>
          </cell>
          <cell r="L2076">
            <v>0</v>
          </cell>
        </row>
        <row r="2077">
          <cell r="A2077" t="str">
            <v>12</v>
          </cell>
          <cell r="B2077" t="str">
            <v>31</v>
          </cell>
          <cell r="C2077" t="str">
            <v>12</v>
          </cell>
          <cell r="D2077" t="str">
            <v>5</v>
          </cell>
          <cell r="E2077" t="str">
            <v>0097</v>
          </cell>
          <cell r="F2077" t="str">
            <v>0001</v>
          </cell>
          <cell r="G2077" t="str">
            <v>11902</v>
          </cell>
          <cell r="H2077" t="str">
            <v>转代扣劳动保险费等</v>
          </cell>
          <cell r="I2077" t="b">
            <v>1</v>
          </cell>
          <cell r="J2077">
            <v>6715.18</v>
          </cell>
          <cell r="K2077">
            <v>0</v>
          </cell>
          <cell r="L2077">
            <v>0</v>
          </cell>
        </row>
        <row r="2078">
          <cell r="A2078" t="str">
            <v>12</v>
          </cell>
          <cell r="B2078" t="str">
            <v>31</v>
          </cell>
          <cell r="C2078" t="str">
            <v>12</v>
          </cell>
          <cell r="D2078" t="str">
            <v>5</v>
          </cell>
          <cell r="E2078" t="str">
            <v>0109</v>
          </cell>
          <cell r="F2078" t="str">
            <v>0006</v>
          </cell>
          <cell r="G2078" t="str">
            <v>11902</v>
          </cell>
          <cell r="H2078" t="str">
            <v>转2000年卢龙分公司经营亏损</v>
          </cell>
          <cell r="I2078" t="b">
            <v>1</v>
          </cell>
          <cell r="J2078">
            <v>-89535.92</v>
          </cell>
          <cell r="K2078">
            <v>0</v>
          </cell>
          <cell r="L2078">
            <v>0</v>
          </cell>
        </row>
        <row r="2079">
          <cell r="A2079" t="str">
            <v>12</v>
          </cell>
          <cell r="B2079" t="str">
            <v>31</v>
          </cell>
          <cell r="C2079" t="str">
            <v>12</v>
          </cell>
          <cell r="D2079" t="str">
            <v>5</v>
          </cell>
          <cell r="E2079" t="str">
            <v>0109</v>
          </cell>
          <cell r="F2079" t="str">
            <v>0007</v>
          </cell>
          <cell r="G2079" t="str">
            <v>11902</v>
          </cell>
          <cell r="H2079" t="str">
            <v>转2000年平原分公司经营收益</v>
          </cell>
          <cell r="I2079" t="b">
            <v>1</v>
          </cell>
          <cell r="J2079">
            <v>591832.81000000006</v>
          </cell>
          <cell r="K2079">
            <v>0</v>
          </cell>
          <cell r="L2079">
            <v>0</v>
          </cell>
        </row>
        <row r="2080">
          <cell r="A2080" t="str">
            <v>12</v>
          </cell>
          <cell r="B2080" t="str">
            <v>31</v>
          </cell>
          <cell r="C2080" t="str">
            <v>12</v>
          </cell>
          <cell r="D2080" t="str">
            <v>5</v>
          </cell>
          <cell r="E2080" t="str">
            <v>0109</v>
          </cell>
          <cell r="F2080" t="str">
            <v>0008</v>
          </cell>
          <cell r="G2080" t="str">
            <v>11902</v>
          </cell>
          <cell r="H2080" t="str">
            <v>转2000年五莲分公司经营收益</v>
          </cell>
          <cell r="I2080" t="b">
            <v>1</v>
          </cell>
          <cell r="J2080">
            <v>110494.87</v>
          </cell>
          <cell r="K2080">
            <v>0</v>
          </cell>
          <cell r="L2080">
            <v>0</v>
          </cell>
        </row>
        <row r="2081">
          <cell r="A2081" t="str">
            <v>12</v>
          </cell>
          <cell r="B2081" t="str">
            <v>31</v>
          </cell>
          <cell r="C2081" t="str">
            <v>12</v>
          </cell>
          <cell r="D2081" t="str">
            <v>5</v>
          </cell>
          <cell r="E2081" t="str">
            <v>0109</v>
          </cell>
          <cell r="F2081" t="str">
            <v>0009</v>
          </cell>
          <cell r="G2081" t="str">
            <v>11902</v>
          </cell>
          <cell r="H2081" t="str">
            <v>转2000年宝鸡分公司经营亏损</v>
          </cell>
          <cell r="I2081" t="b">
            <v>1</v>
          </cell>
          <cell r="J2081">
            <v>-192630.78</v>
          </cell>
          <cell r="K2081">
            <v>0</v>
          </cell>
          <cell r="L2081">
            <v>0</v>
          </cell>
        </row>
        <row r="2082">
          <cell r="A2082" t="str">
            <v>12</v>
          </cell>
          <cell r="B2082" t="str">
            <v>31</v>
          </cell>
          <cell r="C2082" t="str">
            <v>12</v>
          </cell>
          <cell r="D2082" t="str">
            <v>5</v>
          </cell>
          <cell r="E2082" t="str">
            <v>0109</v>
          </cell>
          <cell r="F2082" t="str">
            <v>0010</v>
          </cell>
          <cell r="G2082" t="str">
            <v>11902</v>
          </cell>
          <cell r="H2082" t="str">
            <v>转2000年滕州分公司经营收益</v>
          </cell>
          <cell r="I2082" t="b">
            <v>1</v>
          </cell>
          <cell r="J2082">
            <v>53397.4</v>
          </cell>
          <cell r="K2082">
            <v>0</v>
          </cell>
          <cell r="L2082">
            <v>0</v>
          </cell>
        </row>
        <row r="2083">
          <cell r="A2083" t="str">
            <v>07</v>
          </cell>
          <cell r="B2083" t="str">
            <v>26</v>
          </cell>
          <cell r="C2083" t="str">
            <v>07</v>
          </cell>
          <cell r="D2083" t="str">
            <v>5</v>
          </cell>
          <cell r="E2083" t="str">
            <v>0022</v>
          </cell>
          <cell r="F2083" t="str">
            <v>0001</v>
          </cell>
          <cell r="G2083" t="str">
            <v>12102</v>
          </cell>
          <cell r="H2083" t="str">
            <v>转购铁板</v>
          </cell>
          <cell r="I2083" t="b">
            <v>1</v>
          </cell>
          <cell r="J2083">
            <v>544641.44999999995</v>
          </cell>
          <cell r="K2083">
            <v>0</v>
          </cell>
          <cell r="L2083">
            <v>0</v>
          </cell>
        </row>
        <row r="2084">
          <cell r="A2084" t="str">
            <v>11</v>
          </cell>
          <cell r="B2084" t="str">
            <v>05</v>
          </cell>
          <cell r="C2084" t="str">
            <v>11</v>
          </cell>
          <cell r="D2084" t="str">
            <v>2</v>
          </cell>
          <cell r="E2084" t="str">
            <v>0007</v>
          </cell>
          <cell r="F2084" t="str">
            <v>0001</v>
          </cell>
          <cell r="G2084" t="str">
            <v>12102</v>
          </cell>
          <cell r="H2084" t="str">
            <v>付卷板运费</v>
          </cell>
          <cell r="I2084" t="b">
            <v>1</v>
          </cell>
          <cell r="J2084">
            <v>23235.08</v>
          </cell>
          <cell r="K2084">
            <v>0</v>
          </cell>
          <cell r="L2084">
            <v>0</v>
          </cell>
        </row>
        <row r="2085">
          <cell r="A2085" t="str">
            <v>11</v>
          </cell>
          <cell r="B2085" t="str">
            <v>16</v>
          </cell>
          <cell r="C2085" t="str">
            <v>11</v>
          </cell>
          <cell r="D2085" t="str">
            <v>5</v>
          </cell>
          <cell r="E2085" t="str">
            <v>0010</v>
          </cell>
          <cell r="F2085" t="str">
            <v>0001</v>
          </cell>
          <cell r="G2085" t="str">
            <v>12102</v>
          </cell>
          <cell r="H2085" t="str">
            <v>转购钢板短途运费</v>
          </cell>
          <cell r="I2085" t="b">
            <v>1</v>
          </cell>
          <cell r="J2085">
            <v>5312</v>
          </cell>
          <cell r="K2085">
            <v>0</v>
          </cell>
          <cell r="L2085">
            <v>0</v>
          </cell>
        </row>
        <row r="2086">
          <cell r="A2086" t="str">
            <v>11</v>
          </cell>
          <cell r="B2086" t="str">
            <v>16</v>
          </cell>
          <cell r="C2086" t="str">
            <v>11</v>
          </cell>
          <cell r="D2086" t="str">
            <v>5</v>
          </cell>
          <cell r="E2086" t="str">
            <v>0011</v>
          </cell>
          <cell r="F2086" t="str">
            <v>0001</v>
          </cell>
          <cell r="G2086" t="str">
            <v>12102</v>
          </cell>
          <cell r="H2086" t="str">
            <v>转购钢板654.34吨</v>
          </cell>
          <cell r="I2086" t="b">
            <v>1</v>
          </cell>
          <cell r="J2086">
            <v>2237696.7400000002</v>
          </cell>
          <cell r="K2086">
            <v>0</v>
          </cell>
          <cell r="L2086">
            <v>0</v>
          </cell>
        </row>
        <row r="2087">
          <cell r="A2087" t="str">
            <v>12</v>
          </cell>
          <cell r="B2087" t="str">
            <v>25</v>
          </cell>
          <cell r="C2087" t="str">
            <v>12</v>
          </cell>
          <cell r="D2087" t="str">
            <v>5</v>
          </cell>
          <cell r="E2087" t="str">
            <v>0026</v>
          </cell>
          <cell r="F2087" t="str">
            <v>0003</v>
          </cell>
          <cell r="G2087" t="str">
            <v>12102</v>
          </cell>
          <cell r="H2087" t="str">
            <v>转调整11月5-11#建设基金税金</v>
          </cell>
          <cell r="I2087" t="b">
            <v>1</v>
          </cell>
          <cell r="J2087">
            <v>-2692.89</v>
          </cell>
          <cell r="K2087">
            <v>0</v>
          </cell>
          <cell r="L2087">
            <v>0</v>
          </cell>
        </row>
        <row r="2088">
          <cell r="A2088" t="str">
            <v>12</v>
          </cell>
          <cell r="B2088" t="str">
            <v>29</v>
          </cell>
          <cell r="C2088" t="str">
            <v>12</v>
          </cell>
          <cell r="D2088" t="str">
            <v>5</v>
          </cell>
          <cell r="E2088" t="str">
            <v>0076</v>
          </cell>
          <cell r="F2088" t="str">
            <v>0002</v>
          </cell>
          <cell r="G2088" t="str">
            <v>12102</v>
          </cell>
          <cell r="H2088" t="str">
            <v>转出加工铁板款</v>
          </cell>
          <cell r="I2088" t="b">
            <v>0</v>
          </cell>
          <cell r="J2088">
            <v>2808192.38</v>
          </cell>
          <cell r="K2088">
            <v>0</v>
          </cell>
          <cell r="L2088">
            <v>0</v>
          </cell>
        </row>
        <row r="2089">
          <cell r="A2089" t="str">
            <v>07</v>
          </cell>
          <cell r="B2089" t="str">
            <v>27</v>
          </cell>
          <cell r="C2089" t="str">
            <v>07</v>
          </cell>
          <cell r="D2089" t="str">
            <v>5</v>
          </cell>
          <cell r="E2089" t="str">
            <v>0026</v>
          </cell>
          <cell r="F2089" t="str">
            <v>0002</v>
          </cell>
          <cell r="G2089" t="str">
            <v>12103</v>
          </cell>
          <cell r="H2089" t="str">
            <v>转出尧盛果汁98.284吨</v>
          </cell>
          <cell r="I2089" t="b">
            <v>0</v>
          </cell>
          <cell r="J2089">
            <v>378015.39</v>
          </cell>
          <cell r="K2089">
            <v>0</v>
          </cell>
          <cell r="L2089">
            <v>0</v>
          </cell>
        </row>
        <row r="2090">
          <cell r="A2090" t="str">
            <v>04</v>
          </cell>
          <cell r="B2090" t="str">
            <v>26</v>
          </cell>
          <cell r="C2090" t="str">
            <v>04</v>
          </cell>
          <cell r="D2090" t="str">
            <v>5</v>
          </cell>
          <cell r="E2090" t="str">
            <v>0029</v>
          </cell>
          <cell r="F2090" t="str">
            <v>0001</v>
          </cell>
          <cell r="G2090" t="str">
            <v>12108</v>
          </cell>
          <cell r="H2090" t="str">
            <v>转购苹果浓汁</v>
          </cell>
          <cell r="I2090" t="b">
            <v>1</v>
          </cell>
          <cell r="J2090">
            <v>730563.5</v>
          </cell>
          <cell r="K2090">
            <v>0</v>
          </cell>
          <cell r="L2090">
            <v>0</v>
          </cell>
        </row>
        <row r="2091">
          <cell r="A2091" t="str">
            <v>04</v>
          </cell>
          <cell r="B2091" t="str">
            <v>28</v>
          </cell>
          <cell r="C2091" t="str">
            <v>04</v>
          </cell>
          <cell r="D2091" t="str">
            <v>5</v>
          </cell>
          <cell r="E2091" t="str">
            <v>0031</v>
          </cell>
          <cell r="F2091" t="str">
            <v>0003</v>
          </cell>
          <cell r="G2091" t="str">
            <v>12108</v>
          </cell>
          <cell r="H2091" t="str">
            <v>转重加工芮城果汁154.55吨成本</v>
          </cell>
          <cell r="I2091" t="b">
            <v>0</v>
          </cell>
          <cell r="J2091">
            <v>730563.5</v>
          </cell>
          <cell r="K2091">
            <v>0</v>
          </cell>
          <cell r="L2091">
            <v>0</v>
          </cell>
        </row>
        <row r="2092">
          <cell r="A2092" t="str">
            <v>09</v>
          </cell>
          <cell r="B2092" t="str">
            <v>28</v>
          </cell>
          <cell r="C2092" t="str">
            <v>09</v>
          </cell>
          <cell r="D2092" t="str">
            <v>5</v>
          </cell>
          <cell r="E2092" t="str">
            <v>0020</v>
          </cell>
          <cell r="F2092" t="str">
            <v>0001</v>
          </cell>
          <cell r="G2092" t="str">
            <v>12108</v>
          </cell>
          <cell r="H2092" t="str">
            <v>转购芮城果汁117.15吨</v>
          </cell>
          <cell r="I2092" t="b">
            <v>1</v>
          </cell>
          <cell r="J2092">
            <v>620895</v>
          </cell>
          <cell r="K2092">
            <v>0</v>
          </cell>
          <cell r="L2092">
            <v>0</v>
          </cell>
        </row>
        <row r="2093">
          <cell r="A2093" t="str">
            <v>09</v>
          </cell>
          <cell r="B2093" t="str">
            <v>28</v>
          </cell>
          <cell r="C2093" t="str">
            <v>09</v>
          </cell>
          <cell r="D2093" t="str">
            <v>5</v>
          </cell>
          <cell r="E2093" t="str">
            <v>0020</v>
          </cell>
          <cell r="F2093" t="str">
            <v>0003</v>
          </cell>
          <cell r="G2093" t="str">
            <v>12108</v>
          </cell>
          <cell r="H2093" t="str">
            <v>转购芮城果汁101.75吨</v>
          </cell>
          <cell r="I2093" t="b">
            <v>1</v>
          </cell>
          <cell r="J2093">
            <v>399391.78</v>
          </cell>
          <cell r="K2093">
            <v>0</v>
          </cell>
          <cell r="L2093">
            <v>0</v>
          </cell>
        </row>
        <row r="2094">
          <cell r="A2094" t="str">
            <v>09</v>
          </cell>
          <cell r="B2094" t="str">
            <v>29</v>
          </cell>
          <cell r="C2094" t="str">
            <v>09</v>
          </cell>
          <cell r="D2094" t="str">
            <v>5</v>
          </cell>
          <cell r="E2094" t="str">
            <v>0031</v>
          </cell>
          <cell r="F2094" t="str">
            <v>0002</v>
          </cell>
          <cell r="G2094" t="str">
            <v>12108</v>
          </cell>
          <cell r="H2094" t="str">
            <v>转出库芮城果汁352吨重加工</v>
          </cell>
          <cell r="I2094" t="b">
            <v>0</v>
          </cell>
          <cell r="J2094">
            <v>1668141.59</v>
          </cell>
          <cell r="K2094">
            <v>0</v>
          </cell>
          <cell r="L2094">
            <v>0</v>
          </cell>
        </row>
        <row r="2095">
          <cell r="A2095" t="str">
            <v>02</v>
          </cell>
          <cell r="B2095" t="str">
            <v>02</v>
          </cell>
          <cell r="C2095" t="str">
            <v>02</v>
          </cell>
          <cell r="D2095" t="str">
            <v>2</v>
          </cell>
          <cell r="E2095" t="str">
            <v>0007</v>
          </cell>
          <cell r="F2095" t="str">
            <v>0001</v>
          </cell>
          <cell r="G2095" t="str">
            <v>12301</v>
          </cell>
          <cell r="H2095" t="str">
            <v>购材料</v>
          </cell>
          <cell r="I2095" t="b">
            <v>1</v>
          </cell>
          <cell r="J2095">
            <v>27687.96</v>
          </cell>
          <cell r="K2095">
            <v>0</v>
          </cell>
          <cell r="L2095">
            <v>0</v>
          </cell>
        </row>
        <row r="2096">
          <cell r="A2096" t="str">
            <v>02</v>
          </cell>
          <cell r="B2096" t="str">
            <v>21</v>
          </cell>
          <cell r="C2096" t="str">
            <v>02</v>
          </cell>
          <cell r="D2096" t="str">
            <v>2</v>
          </cell>
          <cell r="E2096" t="str">
            <v>0039</v>
          </cell>
          <cell r="F2096" t="str">
            <v>0001</v>
          </cell>
          <cell r="G2096" t="str">
            <v>12301</v>
          </cell>
          <cell r="H2096" t="str">
            <v>购材料</v>
          </cell>
          <cell r="I2096" t="b">
            <v>1</v>
          </cell>
          <cell r="J2096">
            <v>42266.5</v>
          </cell>
          <cell r="K2096">
            <v>0</v>
          </cell>
          <cell r="L2096">
            <v>0</v>
          </cell>
        </row>
        <row r="2097">
          <cell r="A2097" t="str">
            <v>02</v>
          </cell>
          <cell r="B2097" t="str">
            <v>21</v>
          </cell>
          <cell r="C2097" t="str">
            <v>02</v>
          </cell>
          <cell r="D2097" t="str">
            <v>2</v>
          </cell>
          <cell r="E2097" t="str">
            <v>0040</v>
          </cell>
          <cell r="F2097" t="str">
            <v>0001</v>
          </cell>
          <cell r="G2097" t="str">
            <v>12301</v>
          </cell>
          <cell r="H2097" t="str">
            <v>购材料</v>
          </cell>
          <cell r="I2097" t="b">
            <v>1</v>
          </cell>
          <cell r="J2097">
            <v>7626.75</v>
          </cell>
          <cell r="K2097">
            <v>0</v>
          </cell>
          <cell r="L2097">
            <v>0</v>
          </cell>
        </row>
        <row r="2098">
          <cell r="A2098" t="str">
            <v>02</v>
          </cell>
          <cell r="B2098" t="str">
            <v>10</v>
          </cell>
          <cell r="C2098" t="str">
            <v>02</v>
          </cell>
          <cell r="D2098" t="str">
            <v>4</v>
          </cell>
          <cell r="E2098" t="str">
            <v>0009</v>
          </cell>
          <cell r="F2098" t="str">
            <v>0001</v>
          </cell>
          <cell r="G2098" t="str">
            <v>12301</v>
          </cell>
          <cell r="H2098" t="str">
            <v>购材料</v>
          </cell>
          <cell r="I2098" t="b">
            <v>1</v>
          </cell>
          <cell r="J2098">
            <v>41369.800000000003</v>
          </cell>
          <cell r="K2098">
            <v>0</v>
          </cell>
          <cell r="L2098">
            <v>0</v>
          </cell>
        </row>
        <row r="2099">
          <cell r="A2099" t="str">
            <v>02</v>
          </cell>
          <cell r="B2099" t="str">
            <v>14</v>
          </cell>
          <cell r="C2099" t="str">
            <v>02</v>
          </cell>
          <cell r="D2099" t="str">
            <v>4</v>
          </cell>
          <cell r="E2099" t="str">
            <v>0014</v>
          </cell>
          <cell r="F2099" t="str">
            <v>0001</v>
          </cell>
          <cell r="G2099" t="str">
            <v>12301</v>
          </cell>
          <cell r="H2099" t="str">
            <v>购材料</v>
          </cell>
          <cell r="I2099" t="b">
            <v>1</v>
          </cell>
          <cell r="J2099">
            <v>312321.40000000002</v>
          </cell>
          <cell r="K2099">
            <v>0</v>
          </cell>
          <cell r="L2099">
            <v>0</v>
          </cell>
        </row>
        <row r="2100">
          <cell r="A2100" t="str">
            <v>02</v>
          </cell>
          <cell r="B2100" t="str">
            <v>18</v>
          </cell>
          <cell r="C2100" t="str">
            <v>02</v>
          </cell>
          <cell r="D2100" t="str">
            <v>4</v>
          </cell>
          <cell r="E2100" t="str">
            <v>0020</v>
          </cell>
          <cell r="F2100" t="str">
            <v>0001</v>
          </cell>
          <cell r="G2100" t="str">
            <v>12301</v>
          </cell>
          <cell r="H2100" t="str">
            <v>购材料</v>
          </cell>
          <cell r="I2100" t="b">
            <v>1</v>
          </cell>
          <cell r="J2100">
            <v>161329.9</v>
          </cell>
          <cell r="K2100">
            <v>0</v>
          </cell>
          <cell r="L2100">
            <v>0</v>
          </cell>
        </row>
        <row r="2101">
          <cell r="A2101" t="str">
            <v>02</v>
          </cell>
          <cell r="B2101" t="str">
            <v>18</v>
          </cell>
          <cell r="C2101" t="str">
            <v>02</v>
          </cell>
          <cell r="D2101" t="str">
            <v>4</v>
          </cell>
          <cell r="E2101" t="str">
            <v>0021</v>
          </cell>
          <cell r="F2101" t="str">
            <v>0001</v>
          </cell>
          <cell r="G2101" t="str">
            <v>12301</v>
          </cell>
          <cell r="H2101" t="str">
            <v>购材料</v>
          </cell>
          <cell r="I2101" t="b">
            <v>1</v>
          </cell>
          <cell r="J2101">
            <v>278566</v>
          </cell>
          <cell r="K2101">
            <v>0</v>
          </cell>
          <cell r="L2101">
            <v>0</v>
          </cell>
        </row>
        <row r="2102">
          <cell r="A2102" t="str">
            <v>02</v>
          </cell>
          <cell r="B2102" t="str">
            <v>22</v>
          </cell>
          <cell r="C2102" t="str">
            <v>02</v>
          </cell>
          <cell r="D2102" t="str">
            <v>5</v>
          </cell>
          <cell r="E2102" t="str">
            <v>0010</v>
          </cell>
          <cell r="F2102" t="str">
            <v>0001</v>
          </cell>
          <cell r="G2102" t="str">
            <v>12301</v>
          </cell>
          <cell r="H2102" t="str">
            <v>转购材料款</v>
          </cell>
          <cell r="I2102" t="b">
            <v>1</v>
          </cell>
          <cell r="J2102">
            <v>66450</v>
          </cell>
          <cell r="K2102">
            <v>0</v>
          </cell>
          <cell r="L2102">
            <v>0</v>
          </cell>
        </row>
        <row r="2103">
          <cell r="A2103" t="str">
            <v>02</v>
          </cell>
          <cell r="B2103" t="str">
            <v>22</v>
          </cell>
          <cell r="C2103" t="str">
            <v>02</v>
          </cell>
          <cell r="D2103" t="str">
            <v>5</v>
          </cell>
          <cell r="E2103" t="str">
            <v>0011</v>
          </cell>
          <cell r="F2103" t="str">
            <v>0001</v>
          </cell>
          <cell r="G2103" t="str">
            <v>12301</v>
          </cell>
          <cell r="H2103" t="str">
            <v>转购明胶等</v>
          </cell>
          <cell r="I2103" t="b">
            <v>1</v>
          </cell>
          <cell r="J2103">
            <v>188250</v>
          </cell>
          <cell r="K2103">
            <v>0</v>
          </cell>
          <cell r="L2103">
            <v>0</v>
          </cell>
        </row>
        <row r="2104">
          <cell r="A2104" t="str">
            <v>02</v>
          </cell>
          <cell r="B2104" t="str">
            <v>26</v>
          </cell>
          <cell r="C2104" t="str">
            <v>02</v>
          </cell>
          <cell r="D2104" t="str">
            <v>5</v>
          </cell>
          <cell r="E2104" t="str">
            <v>0019</v>
          </cell>
          <cell r="F2104" t="str">
            <v>0016</v>
          </cell>
          <cell r="G2104" t="str">
            <v>12301</v>
          </cell>
          <cell r="H2104" t="str">
            <v>转1-2月份各部门耗材料款</v>
          </cell>
          <cell r="I2104" t="b">
            <v>0</v>
          </cell>
          <cell r="J2104">
            <v>561583.11</v>
          </cell>
          <cell r="K2104">
            <v>0</v>
          </cell>
          <cell r="L2104">
            <v>0</v>
          </cell>
        </row>
        <row r="2105">
          <cell r="A2105" t="str">
            <v>02</v>
          </cell>
          <cell r="B2105" t="str">
            <v>29</v>
          </cell>
          <cell r="C2105" t="str">
            <v>02</v>
          </cell>
          <cell r="D2105" t="str">
            <v>5</v>
          </cell>
          <cell r="E2105" t="str">
            <v>0045</v>
          </cell>
          <cell r="F2105" t="str">
            <v>0004</v>
          </cell>
          <cell r="G2105" t="str">
            <v>12301</v>
          </cell>
          <cell r="H2105" t="str">
            <v>结转本月业务支出成本</v>
          </cell>
          <cell r="I2105" t="b">
            <v>0</v>
          </cell>
          <cell r="J2105">
            <v>781758.45</v>
          </cell>
          <cell r="K2105">
            <v>0</v>
          </cell>
          <cell r="L2105">
            <v>0</v>
          </cell>
        </row>
        <row r="2106">
          <cell r="A2106" t="str">
            <v>02</v>
          </cell>
          <cell r="B2106" t="str">
            <v>29</v>
          </cell>
          <cell r="C2106" t="str">
            <v>02</v>
          </cell>
          <cell r="D2106" t="str">
            <v>5</v>
          </cell>
          <cell r="E2106" t="str">
            <v>0046</v>
          </cell>
          <cell r="F2106" t="str">
            <v>0001</v>
          </cell>
          <cell r="G2106" t="str">
            <v>12301</v>
          </cell>
          <cell r="H2106" t="str">
            <v>转订99.12.5-22#平原耗桶2050个</v>
          </cell>
          <cell r="I2106" t="b">
            <v>1</v>
          </cell>
          <cell r="J2106">
            <v>262400</v>
          </cell>
          <cell r="K2106">
            <v>0</v>
          </cell>
          <cell r="L2106">
            <v>0</v>
          </cell>
        </row>
        <row r="2107">
          <cell r="A2107" t="str">
            <v>03</v>
          </cell>
          <cell r="B2107" t="str">
            <v>05</v>
          </cell>
          <cell r="C2107" t="str">
            <v>03</v>
          </cell>
          <cell r="D2107" t="str">
            <v>2</v>
          </cell>
          <cell r="E2107" t="str">
            <v>0003</v>
          </cell>
          <cell r="F2107" t="str">
            <v>0001</v>
          </cell>
          <cell r="G2107" t="str">
            <v>12301</v>
          </cell>
          <cell r="H2107" t="str">
            <v>购材料</v>
          </cell>
          <cell r="I2107" t="b">
            <v>1</v>
          </cell>
          <cell r="J2107">
            <v>22154.76</v>
          </cell>
          <cell r="K2107">
            <v>0</v>
          </cell>
          <cell r="L2107">
            <v>0</v>
          </cell>
        </row>
        <row r="2108">
          <cell r="A2108" t="str">
            <v>03</v>
          </cell>
          <cell r="B2108" t="str">
            <v>02</v>
          </cell>
          <cell r="C2108" t="str">
            <v>03</v>
          </cell>
          <cell r="D2108" t="str">
            <v>4</v>
          </cell>
          <cell r="E2108" t="str">
            <v>0003</v>
          </cell>
          <cell r="F2108" t="str">
            <v>0001</v>
          </cell>
          <cell r="G2108" t="str">
            <v>12301</v>
          </cell>
          <cell r="H2108" t="str">
            <v>付货款</v>
          </cell>
          <cell r="I2108" t="b">
            <v>1</v>
          </cell>
          <cell r="J2108">
            <v>6754.62</v>
          </cell>
          <cell r="K2108">
            <v>0</v>
          </cell>
          <cell r="L2108">
            <v>0</v>
          </cell>
        </row>
        <row r="2109">
          <cell r="A2109" t="str">
            <v>03</v>
          </cell>
          <cell r="B2109" t="str">
            <v>10</v>
          </cell>
          <cell r="C2109" t="str">
            <v>03</v>
          </cell>
          <cell r="D2109" t="str">
            <v>4</v>
          </cell>
          <cell r="E2109" t="str">
            <v>0011</v>
          </cell>
          <cell r="F2109" t="str">
            <v>0001</v>
          </cell>
          <cell r="G2109" t="str">
            <v>12301</v>
          </cell>
          <cell r="H2109" t="str">
            <v>付货款</v>
          </cell>
          <cell r="I2109" t="b">
            <v>1</v>
          </cell>
          <cell r="J2109">
            <v>196950</v>
          </cell>
          <cell r="K2109">
            <v>0</v>
          </cell>
          <cell r="L2109">
            <v>0</v>
          </cell>
        </row>
        <row r="2110">
          <cell r="A2110" t="str">
            <v>03</v>
          </cell>
          <cell r="B2110" t="str">
            <v>10</v>
          </cell>
          <cell r="C2110" t="str">
            <v>03</v>
          </cell>
          <cell r="D2110" t="str">
            <v>4</v>
          </cell>
          <cell r="E2110" t="str">
            <v>0012</v>
          </cell>
          <cell r="F2110" t="str">
            <v>0001</v>
          </cell>
          <cell r="G2110" t="str">
            <v>12301</v>
          </cell>
          <cell r="H2110" t="str">
            <v>付货款</v>
          </cell>
          <cell r="I2110" t="b">
            <v>1</v>
          </cell>
          <cell r="J2110">
            <v>27215.8</v>
          </cell>
          <cell r="K2110">
            <v>0</v>
          </cell>
          <cell r="L2110">
            <v>0</v>
          </cell>
        </row>
        <row r="2111">
          <cell r="A2111" t="str">
            <v>03</v>
          </cell>
          <cell r="B2111" t="str">
            <v>13</v>
          </cell>
          <cell r="C2111" t="str">
            <v>03</v>
          </cell>
          <cell r="D2111" t="str">
            <v>4</v>
          </cell>
          <cell r="E2111" t="str">
            <v>0015</v>
          </cell>
          <cell r="F2111" t="str">
            <v>0001</v>
          </cell>
          <cell r="G2111" t="str">
            <v>12301</v>
          </cell>
          <cell r="H2111" t="str">
            <v>付货款</v>
          </cell>
          <cell r="I2111" t="b">
            <v>1</v>
          </cell>
          <cell r="J2111">
            <v>178530</v>
          </cell>
          <cell r="K2111">
            <v>0</v>
          </cell>
          <cell r="L2111">
            <v>0</v>
          </cell>
        </row>
        <row r="2112">
          <cell r="A2112" t="str">
            <v>03</v>
          </cell>
          <cell r="B2112" t="str">
            <v>14</v>
          </cell>
          <cell r="C2112" t="str">
            <v>03</v>
          </cell>
          <cell r="D2112" t="str">
            <v>4</v>
          </cell>
          <cell r="E2112" t="str">
            <v>0019</v>
          </cell>
          <cell r="F2112" t="str">
            <v>0002</v>
          </cell>
          <cell r="G2112" t="str">
            <v>12301</v>
          </cell>
          <cell r="H2112" t="str">
            <v>付货款</v>
          </cell>
          <cell r="I2112" t="b">
            <v>1</v>
          </cell>
          <cell r="J2112">
            <v>4178.8</v>
          </cell>
          <cell r="K2112">
            <v>0</v>
          </cell>
          <cell r="L2112">
            <v>0</v>
          </cell>
        </row>
        <row r="2113">
          <cell r="A2113" t="str">
            <v>03</v>
          </cell>
          <cell r="B2113" t="str">
            <v>27</v>
          </cell>
          <cell r="C2113" t="str">
            <v>03</v>
          </cell>
          <cell r="D2113" t="str">
            <v>5</v>
          </cell>
          <cell r="E2113" t="str">
            <v>0007</v>
          </cell>
          <cell r="F2113" t="str">
            <v>0001</v>
          </cell>
          <cell r="G2113" t="str">
            <v>12301</v>
          </cell>
          <cell r="H2113" t="str">
            <v>转购明胶款</v>
          </cell>
          <cell r="I2113" t="b">
            <v>1</v>
          </cell>
          <cell r="J2113">
            <v>107250</v>
          </cell>
          <cell r="K2113">
            <v>0</v>
          </cell>
          <cell r="L2113">
            <v>0</v>
          </cell>
        </row>
        <row r="2114">
          <cell r="A2114" t="str">
            <v>03</v>
          </cell>
          <cell r="B2114" t="str">
            <v>27</v>
          </cell>
          <cell r="C2114" t="str">
            <v>03</v>
          </cell>
          <cell r="D2114" t="str">
            <v>5</v>
          </cell>
          <cell r="E2114" t="str">
            <v>0008</v>
          </cell>
          <cell r="F2114" t="str">
            <v>0001</v>
          </cell>
          <cell r="G2114" t="str">
            <v>12301</v>
          </cell>
          <cell r="H2114" t="str">
            <v>转购硅溶胶.硅藻土款</v>
          </cell>
          <cell r="I2114" t="b">
            <v>1</v>
          </cell>
          <cell r="J2114">
            <v>223100</v>
          </cell>
          <cell r="K2114">
            <v>0</v>
          </cell>
          <cell r="L2114">
            <v>0</v>
          </cell>
        </row>
        <row r="2115">
          <cell r="A2115" t="str">
            <v>03</v>
          </cell>
          <cell r="B2115" t="str">
            <v>28</v>
          </cell>
          <cell r="C2115" t="str">
            <v>03</v>
          </cell>
          <cell r="D2115" t="str">
            <v>5</v>
          </cell>
          <cell r="E2115" t="str">
            <v>0018</v>
          </cell>
          <cell r="F2115" t="str">
            <v>0004</v>
          </cell>
          <cell r="G2115" t="str">
            <v>12301</v>
          </cell>
          <cell r="H2115" t="str">
            <v>结转本月业务支出成本</v>
          </cell>
          <cell r="I2115" t="b">
            <v>0</v>
          </cell>
          <cell r="J2115">
            <v>162</v>
          </cell>
          <cell r="K2115">
            <v>0</v>
          </cell>
          <cell r="L2115">
            <v>0</v>
          </cell>
        </row>
        <row r="2116">
          <cell r="A2116" t="str">
            <v>04</v>
          </cell>
          <cell r="B2116" t="str">
            <v>20</v>
          </cell>
          <cell r="C2116" t="str">
            <v>04</v>
          </cell>
          <cell r="D2116" t="str">
            <v>2</v>
          </cell>
          <cell r="E2116" t="str">
            <v>0011</v>
          </cell>
          <cell r="F2116" t="str">
            <v>0001</v>
          </cell>
          <cell r="G2116" t="str">
            <v>12301</v>
          </cell>
          <cell r="H2116" t="str">
            <v>购材料</v>
          </cell>
          <cell r="I2116" t="b">
            <v>1</v>
          </cell>
          <cell r="J2116">
            <v>18857.169999999998</v>
          </cell>
          <cell r="K2116">
            <v>0</v>
          </cell>
          <cell r="L2116">
            <v>0</v>
          </cell>
        </row>
        <row r="2117">
          <cell r="A2117" t="str">
            <v>04</v>
          </cell>
          <cell r="B2117" t="str">
            <v>12</v>
          </cell>
          <cell r="C2117" t="str">
            <v>04</v>
          </cell>
          <cell r="D2117" t="str">
            <v>4</v>
          </cell>
          <cell r="E2117" t="str">
            <v>0010</v>
          </cell>
          <cell r="F2117" t="str">
            <v>0001</v>
          </cell>
          <cell r="G2117" t="str">
            <v>12301</v>
          </cell>
          <cell r="H2117" t="str">
            <v>购材料</v>
          </cell>
          <cell r="I2117" t="b">
            <v>1</v>
          </cell>
          <cell r="J2117">
            <v>229162.78</v>
          </cell>
          <cell r="K2117">
            <v>0</v>
          </cell>
          <cell r="L2117">
            <v>0</v>
          </cell>
        </row>
        <row r="2118">
          <cell r="A2118" t="str">
            <v>04</v>
          </cell>
          <cell r="B2118" t="str">
            <v>20</v>
          </cell>
          <cell r="C2118" t="str">
            <v>04</v>
          </cell>
          <cell r="D2118" t="str">
            <v>5</v>
          </cell>
          <cell r="E2118" t="str">
            <v>0010</v>
          </cell>
          <cell r="F2118" t="str">
            <v>0014</v>
          </cell>
          <cell r="G2118" t="str">
            <v>12301</v>
          </cell>
          <cell r="H2118" t="str">
            <v>转3月份各部门耗材料款</v>
          </cell>
          <cell r="I2118" t="b">
            <v>0</v>
          </cell>
          <cell r="J2118">
            <v>106120.68</v>
          </cell>
          <cell r="K2118">
            <v>0</v>
          </cell>
          <cell r="L2118">
            <v>0</v>
          </cell>
        </row>
        <row r="2119">
          <cell r="A2119" t="str">
            <v>04</v>
          </cell>
          <cell r="B2119" t="str">
            <v>25</v>
          </cell>
          <cell r="C2119" t="str">
            <v>04</v>
          </cell>
          <cell r="D2119" t="str">
            <v>5</v>
          </cell>
          <cell r="E2119" t="str">
            <v>0023</v>
          </cell>
          <cell r="F2119" t="str">
            <v>0004</v>
          </cell>
          <cell r="G2119" t="str">
            <v>12301</v>
          </cell>
          <cell r="H2119" t="str">
            <v>结转本月业务支出成本</v>
          </cell>
          <cell r="I2119" t="b">
            <v>0</v>
          </cell>
          <cell r="J2119">
            <v>1030152.15</v>
          </cell>
          <cell r="K2119">
            <v>0</v>
          </cell>
          <cell r="L2119">
            <v>0</v>
          </cell>
        </row>
        <row r="2120">
          <cell r="A2120" t="str">
            <v>05</v>
          </cell>
          <cell r="B2120" t="str">
            <v>21</v>
          </cell>
          <cell r="C2120" t="str">
            <v>05</v>
          </cell>
          <cell r="D2120" t="str">
            <v>2</v>
          </cell>
          <cell r="E2120" t="str">
            <v>0016</v>
          </cell>
          <cell r="F2120" t="str">
            <v>0001</v>
          </cell>
          <cell r="G2120" t="str">
            <v>12301</v>
          </cell>
          <cell r="H2120" t="str">
            <v>购材料</v>
          </cell>
          <cell r="I2120" t="b">
            <v>1</v>
          </cell>
          <cell r="J2120">
            <v>9358.5400000000009</v>
          </cell>
          <cell r="K2120">
            <v>0</v>
          </cell>
          <cell r="L2120">
            <v>0</v>
          </cell>
        </row>
        <row r="2121">
          <cell r="A2121" t="str">
            <v>05</v>
          </cell>
          <cell r="B2121" t="str">
            <v>15</v>
          </cell>
          <cell r="C2121" t="str">
            <v>05</v>
          </cell>
          <cell r="D2121" t="str">
            <v>4</v>
          </cell>
          <cell r="E2121" t="str">
            <v>0011</v>
          </cell>
          <cell r="F2121" t="str">
            <v>0001</v>
          </cell>
          <cell r="G2121" t="str">
            <v>12301</v>
          </cell>
          <cell r="H2121" t="str">
            <v>购材料</v>
          </cell>
          <cell r="I2121" t="b">
            <v>1</v>
          </cell>
          <cell r="J2121">
            <v>103525.9</v>
          </cell>
          <cell r="K2121">
            <v>0</v>
          </cell>
          <cell r="L2121">
            <v>0</v>
          </cell>
        </row>
        <row r="2122">
          <cell r="A2122" t="str">
            <v>05</v>
          </cell>
          <cell r="B2122" t="str">
            <v>18</v>
          </cell>
          <cell r="C2122" t="str">
            <v>05</v>
          </cell>
          <cell r="D2122" t="str">
            <v>4</v>
          </cell>
          <cell r="E2122" t="str">
            <v>0018</v>
          </cell>
          <cell r="F2122" t="str">
            <v>0001</v>
          </cell>
          <cell r="G2122" t="str">
            <v>12301</v>
          </cell>
          <cell r="H2122" t="str">
            <v>购材料</v>
          </cell>
          <cell r="I2122" t="b">
            <v>1</v>
          </cell>
          <cell r="J2122">
            <v>57719.28</v>
          </cell>
          <cell r="K2122">
            <v>0</v>
          </cell>
          <cell r="L2122">
            <v>0</v>
          </cell>
        </row>
        <row r="2123">
          <cell r="A2123" t="str">
            <v>05</v>
          </cell>
          <cell r="B2123" t="str">
            <v>25</v>
          </cell>
          <cell r="C2123" t="str">
            <v>05</v>
          </cell>
          <cell r="D2123" t="str">
            <v>4</v>
          </cell>
          <cell r="E2123" t="str">
            <v>0028</v>
          </cell>
          <cell r="F2123" t="str">
            <v>0001</v>
          </cell>
          <cell r="G2123" t="str">
            <v>12301</v>
          </cell>
          <cell r="H2123" t="str">
            <v>购材料</v>
          </cell>
          <cell r="I2123" t="b">
            <v>1</v>
          </cell>
          <cell r="J2123">
            <v>11152.5</v>
          </cell>
          <cell r="K2123">
            <v>0</v>
          </cell>
          <cell r="L2123">
            <v>0</v>
          </cell>
        </row>
        <row r="2124">
          <cell r="A2124" t="str">
            <v>05</v>
          </cell>
          <cell r="B2124" t="str">
            <v>25</v>
          </cell>
          <cell r="C2124" t="str">
            <v>05</v>
          </cell>
          <cell r="D2124" t="str">
            <v>5</v>
          </cell>
          <cell r="E2124" t="str">
            <v>0009</v>
          </cell>
          <cell r="F2124" t="str">
            <v>0001</v>
          </cell>
          <cell r="G2124" t="str">
            <v>12301</v>
          </cell>
          <cell r="H2124" t="str">
            <v>转购材料</v>
          </cell>
          <cell r="I2124" t="b">
            <v>1</v>
          </cell>
          <cell r="J2124">
            <v>2590</v>
          </cell>
          <cell r="K2124">
            <v>0</v>
          </cell>
          <cell r="L2124">
            <v>0</v>
          </cell>
        </row>
        <row r="2125">
          <cell r="A2125" t="str">
            <v>05</v>
          </cell>
          <cell r="B2125" t="str">
            <v>26</v>
          </cell>
          <cell r="C2125" t="str">
            <v>05</v>
          </cell>
          <cell r="D2125" t="str">
            <v>5</v>
          </cell>
          <cell r="E2125" t="str">
            <v>0015</v>
          </cell>
          <cell r="F2125" t="str">
            <v>0013</v>
          </cell>
          <cell r="G2125" t="str">
            <v>12301</v>
          </cell>
          <cell r="H2125" t="str">
            <v>转3月份各部门耗材料款</v>
          </cell>
          <cell r="I2125" t="b">
            <v>0</v>
          </cell>
          <cell r="J2125">
            <v>93800.21</v>
          </cell>
          <cell r="K2125">
            <v>0</v>
          </cell>
          <cell r="L2125">
            <v>0</v>
          </cell>
        </row>
        <row r="2126">
          <cell r="A2126" t="str">
            <v>05</v>
          </cell>
          <cell r="B2126" t="str">
            <v>29</v>
          </cell>
          <cell r="C2126" t="str">
            <v>05</v>
          </cell>
          <cell r="D2126" t="str">
            <v>5</v>
          </cell>
          <cell r="E2126" t="str">
            <v>0032</v>
          </cell>
          <cell r="F2126" t="str">
            <v>0001</v>
          </cell>
          <cell r="G2126" t="str">
            <v>12301</v>
          </cell>
          <cell r="H2126" t="str">
            <v>转购铁桶559个</v>
          </cell>
          <cell r="I2126" t="b">
            <v>1</v>
          </cell>
          <cell r="J2126">
            <v>71552</v>
          </cell>
          <cell r="K2126">
            <v>0</v>
          </cell>
          <cell r="L2126">
            <v>0</v>
          </cell>
        </row>
        <row r="2127">
          <cell r="A2127" t="str">
            <v>05</v>
          </cell>
          <cell r="B2127" t="str">
            <v>29</v>
          </cell>
          <cell r="C2127" t="str">
            <v>05</v>
          </cell>
          <cell r="D2127" t="str">
            <v>5</v>
          </cell>
          <cell r="E2127" t="str">
            <v>0033</v>
          </cell>
          <cell r="F2127" t="str">
            <v>0004</v>
          </cell>
          <cell r="G2127" t="str">
            <v>12301</v>
          </cell>
          <cell r="H2127" t="str">
            <v>结转本月业务支出成本</v>
          </cell>
          <cell r="I2127" t="b">
            <v>0</v>
          </cell>
          <cell r="J2127">
            <v>100860.42</v>
          </cell>
          <cell r="K2127">
            <v>0</v>
          </cell>
          <cell r="L2127">
            <v>0</v>
          </cell>
        </row>
        <row r="2128">
          <cell r="A2128" t="str">
            <v>06</v>
          </cell>
          <cell r="B2128" t="str">
            <v>10</v>
          </cell>
          <cell r="C2128" t="str">
            <v>06</v>
          </cell>
          <cell r="D2128" t="str">
            <v>2</v>
          </cell>
          <cell r="E2128" t="str">
            <v>0009</v>
          </cell>
          <cell r="F2128" t="str">
            <v>0001</v>
          </cell>
          <cell r="G2128" t="str">
            <v>12301</v>
          </cell>
          <cell r="H2128" t="str">
            <v>购材料</v>
          </cell>
          <cell r="I2128" t="b">
            <v>1</v>
          </cell>
          <cell r="J2128">
            <v>3254.4</v>
          </cell>
          <cell r="K2128">
            <v>0</v>
          </cell>
          <cell r="L2128">
            <v>0</v>
          </cell>
        </row>
        <row r="2129">
          <cell r="A2129" t="str">
            <v>06</v>
          </cell>
          <cell r="B2129" t="str">
            <v>15</v>
          </cell>
          <cell r="C2129" t="str">
            <v>06</v>
          </cell>
          <cell r="D2129" t="str">
            <v>4</v>
          </cell>
          <cell r="E2129" t="str">
            <v>0004</v>
          </cell>
          <cell r="F2129" t="str">
            <v>0001</v>
          </cell>
          <cell r="G2129" t="str">
            <v>12301</v>
          </cell>
          <cell r="H2129" t="str">
            <v>购材料</v>
          </cell>
          <cell r="I2129" t="b">
            <v>1</v>
          </cell>
          <cell r="J2129">
            <v>118918.81</v>
          </cell>
          <cell r="K2129">
            <v>0</v>
          </cell>
          <cell r="L2129">
            <v>0</v>
          </cell>
        </row>
        <row r="2130">
          <cell r="A2130" t="str">
            <v>06</v>
          </cell>
          <cell r="B2130" t="str">
            <v>26</v>
          </cell>
          <cell r="C2130" t="str">
            <v>06</v>
          </cell>
          <cell r="D2130" t="str">
            <v>5</v>
          </cell>
          <cell r="E2130" t="str">
            <v>0036</v>
          </cell>
          <cell r="F2130" t="str">
            <v>0001</v>
          </cell>
          <cell r="G2130" t="str">
            <v>12301</v>
          </cell>
          <cell r="H2130" t="str">
            <v>转冲销99.6.5-42#</v>
          </cell>
          <cell r="I2130" t="b">
            <v>1</v>
          </cell>
          <cell r="J2130">
            <v>-1046102.83</v>
          </cell>
          <cell r="K2130">
            <v>0</v>
          </cell>
          <cell r="L2130">
            <v>0</v>
          </cell>
        </row>
        <row r="2131">
          <cell r="A2131" t="str">
            <v>06</v>
          </cell>
          <cell r="B2131" t="str">
            <v>26</v>
          </cell>
          <cell r="C2131" t="str">
            <v>06</v>
          </cell>
          <cell r="D2131" t="str">
            <v>5</v>
          </cell>
          <cell r="E2131" t="str">
            <v>0036</v>
          </cell>
          <cell r="F2131" t="str">
            <v>0003</v>
          </cell>
          <cell r="G2131" t="str">
            <v>12301</v>
          </cell>
          <cell r="H2131" t="str">
            <v>转调正计划价差价</v>
          </cell>
          <cell r="I2131" t="b">
            <v>1</v>
          </cell>
          <cell r="J2131">
            <v>-46541.9</v>
          </cell>
          <cell r="K2131">
            <v>0</v>
          </cell>
          <cell r="L2131">
            <v>0</v>
          </cell>
        </row>
        <row r="2132">
          <cell r="A2132" t="str">
            <v>07</v>
          </cell>
          <cell r="B2132" t="str">
            <v>15</v>
          </cell>
          <cell r="C2132" t="str">
            <v>07</v>
          </cell>
          <cell r="D2132" t="str">
            <v>2</v>
          </cell>
          <cell r="E2132" t="str">
            <v>0010</v>
          </cell>
          <cell r="F2132" t="str">
            <v>0001</v>
          </cell>
          <cell r="G2132" t="str">
            <v>12301</v>
          </cell>
          <cell r="H2132" t="str">
            <v>购材料</v>
          </cell>
          <cell r="I2132" t="b">
            <v>1</v>
          </cell>
          <cell r="J2132">
            <v>15208.72</v>
          </cell>
          <cell r="K2132">
            <v>0</v>
          </cell>
          <cell r="L2132">
            <v>0</v>
          </cell>
        </row>
        <row r="2133">
          <cell r="A2133" t="str">
            <v>07</v>
          </cell>
          <cell r="B2133" t="str">
            <v>21</v>
          </cell>
          <cell r="C2133" t="str">
            <v>07</v>
          </cell>
          <cell r="D2133" t="str">
            <v>2</v>
          </cell>
          <cell r="E2133" t="str">
            <v>0020</v>
          </cell>
          <cell r="F2133" t="str">
            <v>0001</v>
          </cell>
          <cell r="G2133" t="str">
            <v>12301</v>
          </cell>
          <cell r="H2133" t="str">
            <v>购材料</v>
          </cell>
          <cell r="I2133" t="b">
            <v>1</v>
          </cell>
          <cell r="J2133">
            <v>4952</v>
          </cell>
          <cell r="K2133">
            <v>0</v>
          </cell>
          <cell r="L2133">
            <v>0</v>
          </cell>
        </row>
        <row r="2134">
          <cell r="A2134" t="str">
            <v>07</v>
          </cell>
          <cell r="B2134" t="str">
            <v>19</v>
          </cell>
          <cell r="C2134" t="str">
            <v>07</v>
          </cell>
          <cell r="D2134" t="str">
            <v>4</v>
          </cell>
          <cell r="E2134" t="str">
            <v>0018</v>
          </cell>
          <cell r="F2134" t="str">
            <v>0001</v>
          </cell>
          <cell r="G2134" t="str">
            <v>12301</v>
          </cell>
          <cell r="H2134" t="str">
            <v>购材料</v>
          </cell>
          <cell r="I2134" t="b">
            <v>1</v>
          </cell>
          <cell r="J2134">
            <v>42296.12</v>
          </cell>
          <cell r="K2134">
            <v>0</v>
          </cell>
          <cell r="L2134">
            <v>0</v>
          </cell>
        </row>
        <row r="2135">
          <cell r="A2135" t="str">
            <v>07</v>
          </cell>
          <cell r="B2135" t="str">
            <v>19</v>
          </cell>
          <cell r="C2135" t="str">
            <v>07</v>
          </cell>
          <cell r="D2135" t="str">
            <v>4</v>
          </cell>
          <cell r="E2135" t="str">
            <v>0020</v>
          </cell>
          <cell r="F2135" t="str">
            <v>0001</v>
          </cell>
          <cell r="G2135" t="str">
            <v>12301</v>
          </cell>
          <cell r="H2135" t="str">
            <v>购材料</v>
          </cell>
          <cell r="I2135" t="b">
            <v>1</v>
          </cell>
          <cell r="J2135">
            <v>80346.81</v>
          </cell>
          <cell r="K2135">
            <v>0</v>
          </cell>
          <cell r="L2135">
            <v>0</v>
          </cell>
        </row>
        <row r="2136">
          <cell r="A2136" t="str">
            <v>07</v>
          </cell>
          <cell r="B2136" t="str">
            <v>25</v>
          </cell>
          <cell r="C2136" t="str">
            <v>07</v>
          </cell>
          <cell r="D2136" t="str">
            <v>5</v>
          </cell>
          <cell r="E2136" t="str">
            <v>0015</v>
          </cell>
          <cell r="F2136" t="str">
            <v>0001</v>
          </cell>
          <cell r="G2136" t="str">
            <v>12301</v>
          </cell>
          <cell r="H2136" t="str">
            <v>转购材料</v>
          </cell>
          <cell r="I2136" t="b">
            <v>1</v>
          </cell>
          <cell r="J2136">
            <v>31974</v>
          </cell>
          <cell r="K2136">
            <v>0</v>
          </cell>
          <cell r="L2136">
            <v>0</v>
          </cell>
        </row>
        <row r="2137">
          <cell r="A2137" t="str">
            <v>07</v>
          </cell>
          <cell r="B2137" t="str">
            <v>25</v>
          </cell>
          <cell r="C2137" t="str">
            <v>07</v>
          </cell>
          <cell r="D2137" t="str">
            <v>5</v>
          </cell>
          <cell r="E2137" t="str">
            <v>0018</v>
          </cell>
          <cell r="F2137" t="str">
            <v>0001</v>
          </cell>
          <cell r="G2137" t="str">
            <v>12301</v>
          </cell>
          <cell r="H2137" t="str">
            <v>转购材料</v>
          </cell>
          <cell r="I2137" t="b">
            <v>1</v>
          </cell>
          <cell r="J2137">
            <v>3368.58</v>
          </cell>
          <cell r="K2137">
            <v>0</v>
          </cell>
          <cell r="L2137">
            <v>0</v>
          </cell>
        </row>
        <row r="2138">
          <cell r="A2138" t="str">
            <v>07</v>
          </cell>
          <cell r="B2138" t="str">
            <v>27</v>
          </cell>
          <cell r="C2138" t="str">
            <v>07</v>
          </cell>
          <cell r="D2138" t="str">
            <v>5</v>
          </cell>
          <cell r="E2138" t="str">
            <v>0028</v>
          </cell>
          <cell r="F2138" t="str">
            <v>0013</v>
          </cell>
          <cell r="G2138" t="str">
            <v>12301</v>
          </cell>
          <cell r="H2138" t="str">
            <v>转3月份各部门耗材料款</v>
          </cell>
          <cell r="I2138" t="b">
            <v>0</v>
          </cell>
          <cell r="J2138">
            <v>60727.81</v>
          </cell>
          <cell r="K2138">
            <v>0</v>
          </cell>
          <cell r="L2138">
            <v>0</v>
          </cell>
        </row>
        <row r="2139">
          <cell r="A2139" t="str">
            <v>07</v>
          </cell>
          <cell r="B2139" t="str">
            <v>28</v>
          </cell>
          <cell r="C2139" t="str">
            <v>07</v>
          </cell>
          <cell r="D2139" t="str">
            <v>5</v>
          </cell>
          <cell r="E2139" t="str">
            <v>0038</v>
          </cell>
          <cell r="F2139" t="str">
            <v>0004</v>
          </cell>
          <cell r="G2139" t="str">
            <v>12301</v>
          </cell>
          <cell r="H2139" t="str">
            <v>结转本月业务支出成本</v>
          </cell>
          <cell r="I2139" t="b">
            <v>0</v>
          </cell>
          <cell r="J2139">
            <v>252053.04</v>
          </cell>
          <cell r="K2139">
            <v>0</v>
          </cell>
          <cell r="L2139">
            <v>0</v>
          </cell>
        </row>
        <row r="2140">
          <cell r="A2140" t="str">
            <v>08</v>
          </cell>
          <cell r="B2140" t="str">
            <v>03</v>
          </cell>
          <cell r="C2140" t="str">
            <v>08</v>
          </cell>
          <cell r="D2140" t="str">
            <v>2</v>
          </cell>
          <cell r="E2140" t="str">
            <v>0003</v>
          </cell>
          <cell r="F2140" t="str">
            <v>0001</v>
          </cell>
          <cell r="G2140" t="str">
            <v>12301</v>
          </cell>
          <cell r="H2140" t="str">
            <v>购材料</v>
          </cell>
          <cell r="I2140" t="b">
            <v>1</v>
          </cell>
          <cell r="J2140">
            <v>5380.06</v>
          </cell>
          <cell r="K2140">
            <v>0</v>
          </cell>
          <cell r="L2140">
            <v>0</v>
          </cell>
        </row>
        <row r="2141">
          <cell r="A2141" t="str">
            <v>08</v>
          </cell>
          <cell r="B2141" t="str">
            <v>04</v>
          </cell>
          <cell r="C2141" t="str">
            <v>08</v>
          </cell>
          <cell r="D2141" t="str">
            <v>2</v>
          </cell>
          <cell r="E2141" t="str">
            <v>0007</v>
          </cell>
          <cell r="F2141" t="str">
            <v>0001</v>
          </cell>
          <cell r="G2141" t="str">
            <v>12301</v>
          </cell>
          <cell r="H2141" t="str">
            <v>购材料</v>
          </cell>
          <cell r="I2141" t="b">
            <v>1</v>
          </cell>
          <cell r="J2141">
            <v>2595.8000000000002</v>
          </cell>
          <cell r="K2141">
            <v>0</v>
          </cell>
          <cell r="L2141">
            <v>0</v>
          </cell>
        </row>
        <row r="2142">
          <cell r="A2142" t="str">
            <v>08</v>
          </cell>
          <cell r="B2142" t="str">
            <v>05</v>
          </cell>
          <cell r="C2142" t="str">
            <v>08</v>
          </cell>
          <cell r="D2142" t="str">
            <v>2</v>
          </cell>
          <cell r="E2142" t="str">
            <v>0009</v>
          </cell>
          <cell r="F2142" t="str">
            <v>0001</v>
          </cell>
          <cell r="G2142" t="str">
            <v>12301</v>
          </cell>
          <cell r="H2142" t="str">
            <v>购材料</v>
          </cell>
          <cell r="I2142" t="b">
            <v>1</v>
          </cell>
          <cell r="J2142">
            <v>26324.79</v>
          </cell>
          <cell r="K2142">
            <v>0</v>
          </cell>
          <cell r="L2142">
            <v>0</v>
          </cell>
        </row>
        <row r="2143">
          <cell r="A2143" t="str">
            <v>08</v>
          </cell>
          <cell r="B2143" t="str">
            <v>15</v>
          </cell>
          <cell r="C2143" t="str">
            <v>08</v>
          </cell>
          <cell r="D2143" t="str">
            <v>2</v>
          </cell>
          <cell r="E2143" t="str">
            <v>0017</v>
          </cell>
          <cell r="F2143" t="str">
            <v>0001</v>
          </cell>
          <cell r="G2143" t="str">
            <v>12301</v>
          </cell>
          <cell r="H2143" t="str">
            <v>购材料</v>
          </cell>
          <cell r="I2143" t="b">
            <v>1</v>
          </cell>
          <cell r="J2143">
            <v>250</v>
          </cell>
          <cell r="K2143">
            <v>0</v>
          </cell>
          <cell r="L2143">
            <v>0</v>
          </cell>
        </row>
        <row r="2144">
          <cell r="A2144" t="str">
            <v>08</v>
          </cell>
          <cell r="B2144" t="str">
            <v>08</v>
          </cell>
          <cell r="C2144" t="str">
            <v>08</v>
          </cell>
          <cell r="D2144" t="str">
            <v>4</v>
          </cell>
          <cell r="E2144" t="str">
            <v>0014</v>
          </cell>
          <cell r="F2144" t="str">
            <v>0001</v>
          </cell>
          <cell r="G2144" t="str">
            <v>12301</v>
          </cell>
          <cell r="H2144" t="str">
            <v>购材料</v>
          </cell>
          <cell r="I2144" t="b">
            <v>1</v>
          </cell>
          <cell r="J2144">
            <v>77209</v>
          </cell>
          <cell r="K2144">
            <v>0</v>
          </cell>
          <cell r="L2144">
            <v>0</v>
          </cell>
        </row>
        <row r="2145">
          <cell r="A2145" t="str">
            <v>08</v>
          </cell>
          <cell r="B2145" t="str">
            <v>20</v>
          </cell>
          <cell r="C2145" t="str">
            <v>08</v>
          </cell>
          <cell r="D2145" t="str">
            <v>4</v>
          </cell>
          <cell r="E2145" t="str">
            <v>0025</v>
          </cell>
          <cell r="F2145" t="str">
            <v>0001</v>
          </cell>
          <cell r="G2145" t="str">
            <v>12301</v>
          </cell>
          <cell r="H2145" t="str">
            <v>购材料</v>
          </cell>
          <cell r="I2145" t="b">
            <v>1</v>
          </cell>
          <cell r="J2145">
            <v>32500</v>
          </cell>
          <cell r="K2145">
            <v>0</v>
          </cell>
          <cell r="L2145">
            <v>0</v>
          </cell>
        </row>
        <row r="2146">
          <cell r="A2146" t="str">
            <v>08</v>
          </cell>
          <cell r="B2146" t="str">
            <v>27</v>
          </cell>
          <cell r="C2146" t="str">
            <v>08</v>
          </cell>
          <cell r="D2146" t="str">
            <v>5</v>
          </cell>
          <cell r="E2146" t="str">
            <v>0017</v>
          </cell>
          <cell r="F2146" t="str">
            <v>0003</v>
          </cell>
          <cell r="G2146" t="str">
            <v>12301</v>
          </cell>
          <cell r="H2146" t="str">
            <v>转本月管理部门等耗材料</v>
          </cell>
          <cell r="I2146" t="b">
            <v>0</v>
          </cell>
          <cell r="J2146">
            <v>546931.26</v>
          </cell>
          <cell r="K2146">
            <v>0</v>
          </cell>
          <cell r="L2146">
            <v>0</v>
          </cell>
        </row>
        <row r="2147">
          <cell r="A2147" t="str">
            <v>08</v>
          </cell>
          <cell r="B2147" t="str">
            <v>28</v>
          </cell>
          <cell r="C2147" t="str">
            <v>08</v>
          </cell>
          <cell r="D2147" t="str">
            <v>5</v>
          </cell>
          <cell r="E2147" t="str">
            <v>0025</v>
          </cell>
          <cell r="F2147" t="str">
            <v>0001</v>
          </cell>
          <cell r="G2147" t="str">
            <v>12301</v>
          </cell>
          <cell r="H2147" t="str">
            <v>转购硅藻土等</v>
          </cell>
          <cell r="I2147" t="b">
            <v>1</v>
          </cell>
          <cell r="J2147">
            <v>81025</v>
          </cell>
          <cell r="K2147">
            <v>0</v>
          </cell>
          <cell r="L2147">
            <v>0</v>
          </cell>
        </row>
        <row r="2148">
          <cell r="A2148" t="str">
            <v>08</v>
          </cell>
          <cell r="B2148" t="str">
            <v>28</v>
          </cell>
          <cell r="C2148" t="str">
            <v>08</v>
          </cell>
          <cell r="D2148" t="str">
            <v>5</v>
          </cell>
          <cell r="E2148" t="str">
            <v>0026</v>
          </cell>
          <cell r="F2148" t="str">
            <v>0001</v>
          </cell>
          <cell r="G2148" t="str">
            <v>12301</v>
          </cell>
          <cell r="H2148" t="str">
            <v>转购明胶.糖化酶</v>
          </cell>
          <cell r="I2148" t="b">
            <v>1</v>
          </cell>
          <cell r="J2148">
            <v>85250</v>
          </cell>
          <cell r="K2148">
            <v>0</v>
          </cell>
          <cell r="L2148">
            <v>0</v>
          </cell>
        </row>
        <row r="2149">
          <cell r="A2149" t="str">
            <v>08</v>
          </cell>
          <cell r="B2149" t="str">
            <v>28</v>
          </cell>
          <cell r="C2149" t="str">
            <v>08</v>
          </cell>
          <cell r="D2149" t="str">
            <v>5</v>
          </cell>
          <cell r="E2149" t="str">
            <v>0030</v>
          </cell>
          <cell r="F2149" t="str">
            <v>0004</v>
          </cell>
          <cell r="G2149" t="str">
            <v>12301</v>
          </cell>
          <cell r="H2149" t="str">
            <v>结转本月业务支出成本</v>
          </cell>
          <cell r="I2149" t="b">
            <v>0</v>
          </cell>
          <cell r="J2149">
            <v>856606.9</v>
          </cell>
          <cell r="K2149">
            <v>0</v>
          </cell>
          <cell r="L2149">
            <v>0</v>
          </cell>
        </row>
        <row r="2150">
          <cell r="A2150" t="str">
            <v>09</v>
          </cell>
          <cell r="B2150" t="str">
            <v>01</v>
          </cell>
          <cell r="C2150" t="str">
            <v>09</v>
          </cell>
          <cell r="D2150" t="str">
            <v>2</v>
          </cell>
          <cell r="E2150" t="str">
            <v>0002</v>
          </cell>
          <cell r="F2150" t="str">
            <v>0001</v>
          </cell>
          <cell r="G2150" t="str">
            <v>12301</v>
          </cell>
          <cell r="H2150" t="str">
            <v>购材料</v>
          </cell>
          <cell r="I2150" t="b">
            <v>1</v>
          </cell>
          <cell r="J2150">
            <v>1858.05</v>
          </cell>
          <cell r="K2150">
            <v>0</v>
          </cell>
          <cell r="L2150">
            <v>0</v>
          </cell>
        </row>
        <row r="2151">
          <cell r="A2151" t="str">
            <v>09</v>
          </cell>
          <cell r="B2151" t="str">
            <v>05</v>
          </cell>
          <cell r="C2151" t="str">
            <v>09</v>
          </cell>
          <cell r="D2151" t="str">
            <v>2</v>
          </cell>
          <cell r="E2151" t="str">
            <v>0003</v>
          </cell>
          <cell r="F2151" t="str">
            <v>0001</v>
          </cell>
          <cell r="G2151" t="str">
            <v>12301</v>
          </cell>
          <cell r="H2151" t="str">
            <v>购材料</v>
          </cell>
          <cell r="I2151" t="b">
            <v>1</v>
          </cell>
          <cell r="J2151">
            <v>16175.7</v>
          </cell>
          <cell r="K2151">
            <v>0</v>
          </cell>
          <cell r="L2151">
            <v>0</v>
          </cell>
        </row>
        <row r="2152">
          <cell r="A2152" t="str">
            <v>09</v>
          </cell>
          <cell r="B2152" t="str">
            <v>10</v>
          </cell>
          <cell r="C2152" t="str">
            <v>09</v>
          </cell>
          <cell r="D2152" t="str">
            <v>2</v>
          </cell>
          <cell r="E2152" t="str">
            <v>0007</v>
          </cell>
          <cell r="F2152" t="str">
            <v>0001</v>
          </cell>
          <cell r="G2152" t="str">
            <v>12301</v>
          </cell>
          <cell r="H2152" t="str">
            <v>购材料</v>
          </cell>
          <cell r="I2152" t="b">
            <v>1</v>
          </cell>
          <cell r="J2152">
            <v>7494.97</v>
          </cell>
          <cell r="K2152">
            <v>0</v>
          </cell>
          <cell r="L2152">
            <v>0</v>
          </cell>
        </row>
        <row r="2153">
          <cell r="A2153" t="str">
            <v>09</v>
          </cell>
          <cell r="B2153" t="str">
            <v>20</v>
          </cell>
          <cell r="C2153" t="str">
            <v>09</v>
          </cell>
          <cell r="D2153" t="str">
            <v>2</v>
          </cell>
          <cell r="E2153" t="str">
            <v>0013</v>
          </cell>
          <cell r="F2153" t="str">
            <v>0001</v>
          </cell>
          <cell r="G2153" t="str">
            <v>12301</v>
          </cell>
          <cell r="H2153" t="str">
            <v>购材料</v>
          </cell>
          <cell r="I2153" t="b">
            <v>1</v>
          </cell>
          <cell r="J2153">
            <v>39917.32</v>
          </cell>
          <cell r="K2153">
            <v>0</v>
          </cell>
          <cell r="L2153">
            <v>0</v>
          </cell>
        </row>
        <row r="2154">
          <cell r="A2154" t="str">
            <v>09</v>
          </cell>
          <cell r="B2154" t="str">
            <v>06</v>
          </cell>
          <cell r="C2154" t="str">
            <v>09</v>
          </cell>
          <cell r="D2154" t="str">
            <v>4</v>
          </cell>
          <cell r="E2154" t="str">
            <v>0008</v>
          </cell>
          <cell r="F2154" t="str">
            <v>0001</v>
          </cell>
          <cell r="G2154" t="str">
            <v>12301</v>
          </cell>
          <cell r="H2154" t="str">
            <v>购材料</v>
          </cell>
          <cell r="I2154" t="b">
            <v>1</v>
          </cell>
          <cell r="J2154">
            <v>193650</v>
          </cell>
          <cell r="K2154">
            <v>0</v>
          </cell>
          <cell r="L2154">
            <v>0</v>
          </cell>
        </row>
        <row r="2155">
          <cell r="A2155" t="str">
            <v>09</v>
          </cell>
          <cell r="B2155" t="str">
            <v>14</v>
          </cell>
          <cell r="C2155" t="str">
            <v>09</v>
          </cell>
          <cell r="D2155" t="str">
            <v>4</v>
          </cell>
          <cell r="E2155" t="str">
            <v>0016</v>
          </cell>
          <cell r="F2155" t="str">
            <v>0001</v>
          </cell>
          <cell r="G2155" t="str">
            <v>12301</v>
          </cell>
          <cell r="H2155" t="str">
            <v>购材料</v>
          </cell>
          <cell r="I2155" t="b">
            <v>1</v>
          </cell>
          <cell r="J2155">
            <v>105204.48</v>
          </cell>
          <cell r="K2155">
            <v>0</v>
          </cell>
          <cell r="L2155">
            <v>0</v>
          </cell>
        </row>
        <row r="2156">
          <cell r="A2156" t="str">
            <v>09</v>
          </cell>
          <cell r="B2156" t="str">
            <v>15</v>
          </cell>
          <cell r="C2156" t="str">
            <v>09</v>
          </cell>
          <cell r="D2156" t="str">
            <v>4</v>
          </cell>
          <cell r="E2156" t="str">
            <v>0018</v>
          </cell>
          <cell r="F2156" t="str">
            <v>0001</v>
          </cell>
          <cell r="G2156" t="str">
            <v>12301</v>
          </cell>
          <cell r="H2156" t="str">
            <v>购材料</v>
          </cell>
          <cell r="I2156" t="b">
            <v>1</v>
          </cell>
          <cell r="J2156">
            <v>45072.24</v>
          </cell>
          <cell r="K2156">
            <v>0</v>
          </cell>
          <cell r="L2156">
            <v>0</v>
          </cell>
        </row>
        <row r="2157">
          <cell r="A2157" t="str">
            <v>09</v>
          </cell>
          <cell r="B2157" t="str">
            <v>15</v>
          </cell>
          <cell r="C2157" t="str">
            <v>09</v>
          </cell>
          <cell r="D2157" t="str">
            <v>4</v>
          </cell>
          <cell r="E2157" t="str">
            <v>0019</v>
          </cell>
          <cell r="F2157" t="str">
            <v>0001</v>
          </cell>
          <cell r="G2157" t="str">
            <v>12301</v>
          </cell>
          <cell r="H2157" t="str">
            <v>购材料</v>
          </cell>
          <cell r="I2157" t="b">
            <v>1</v>
          </cell>
          <cell r="J2157">
            <v>34062.14</v>
          </cell>
          <cell r="K2157">
            <v>0</v>
          </cell>
          <cell r="L2157">
            <v>0</v>
          </cell>
        </row>
        <row r="2158">
          <cell r="A2158" t="str">
            <v>09</v>
          </cell>
          <cell r="B2158" t="str">
            <v>23</v>
          </cell>
          <cell r="C2158" t="str">
            <v>09</v>
          </cell>
          <cell r="D2158" t="str">
            <v>4</v>
          </cell>
          <cell r="E2158" t="str">
            <v>0026</v>
          </cell>
          <cell r="F2158" t="str">
            <v>0001</v>
          </cell>
          <cell r="G2158" t="str">
            <v>12301</v>
          </cell>
          <cell r="H2158" t="str">
            <v>购材料</v>
          </cell>
          <cell r="I2158" t="b">
            <v>1</v>
          </cell>
          <cell r="J2158">
            <v>490700</v>
          </cell>
          <cell r="K2158">
            <v>0</v>
          </cell>
          <cell r="L2158">
            <v>0</v>
          </cell>
        </row>
        <row r="2159">
          <cell r="A2159" t="str">
            <v>09</v>
          </cell>
          <cell r="B2159" t="str">
            <v>23</v>
          </cell>
          <cell r="C2159" t="str">
            <v>09</v>
          </cell>
          <cell r="D2159" t="str">
            <v>4</v>
          </cell>
          <cell r="E2159" t="str">
            <v>0029</v>
          </cell>
          <cell r="F2159" t="str">
            <v>0001</v>
          </cell>
          <cell r="G2159" t="str">
            <v>12301</v>
          </cell>
          <cell r="H2159" t="str">
            <v>购材料</v>
          </cell>
          <cell r="I2159" t="b">
            <v>1</v>
          </cell>
          <cell r="J2159">
            <v>50000</v>
          </cell>
          <cell r="K2159">
            <v>0</v>
          </cell>
          <cell r="L2159">
            <v>0</v>
          </cell>
        </row>
        <row r="2160">
          <cell r="A2160" t="str">
            <v>09</v>
          </cell>
          <cell r="B2160" t="str">
            <v>18</v>
          </cell>
          <cell r="C2160" t="str">
            <v>09</v>
          </cell>
          <cell r="D2160" t="str">
            <v>5</v>
          </cell>
          <cell r="E2160" t="str">
            <v>0007</v>
          </cell>
          <cell r="F2160" t="str">
            <v>0001</v>
          </cell>
          <cell r="G2160" t="str">
            <v>12301</v>
          </cell>
          <cell r="H2160" t="str">
            <v>转购活性炭等</v>
          </cell>
          <cell r="I2160" t="b">
            <v>1</v>
          </cell>
          <cell r="J2160">
            <v>123500</v>
          </cell>
          <cell r="K2160">
            <v>0</v>
          </cell>
          <cell r="L2160">
            <v>0</v>
          </cell>
        </row>
        <row r="2161">
          <cell r="A2161" t="str">
            <v>09</v>
          </cell>
          <cell r="B2161" t="str">
            <v>18</v>
          </cell>
          <cell r="C2161" t="str">
            <v>09</v>
          </cell>
          <cell r="D2161" t="str">
            <v>5</v>
          </cell>
          <cell r="E2161" t="str">
            <v>0008</v>
          </cell>
          <cell r="F2161" t="str">
            <v>0001</v>
          </cell>
          <cell r="G2161" t="str">
            <v>12301</v>
          </cell>
          <cell r="H2161" t="str">
            <v>转购硅溶胶等</v>
          </cell>
          <cell r="I2161" t="b">
            <v>1</v>
          </cell>
          <cell r="J2161">
            <v>141150</v>
          </cell>
          <cell r="K2161">
            <v>0</v>
          </cell>
          <cell r="L2161">
            <v>0</v>
          </cell>
        </row>
        <row r="2162">
          <cell r="A2162" t="str">
            <v>09</v>
          </cell>
          <cell r="B2162" t="str">
            <v>18</v>
          </cell>
          <cell r="C2162" t="str">
            <v>09</v>
          </cell>
          <cell r="D2162" t="str">
            <v>5</v>
          </cell>
          <cell r="E2162" t="str">
            <v>0009</v>
          </cell>
          <cell r="F2162" t="str">
            <v>0001</v>
          </cell>
          <cell r="G2162" t="str">
            <v>12301</v>
          </cell>
          <cell r="H2162" t="str">
            <v>转购糖化酶等</v>
          </cell>
          <cell r="I2162" t="b">
            <v>1</v>
          </cell>
          <cell r="J2162">
            <v>101240</v>
          </cell>
          <cell r="K2162">
            <v>0</v>
          </cell>
          <cell r="L2162">
            <v>0</v>
          </cell>
        </row>
        <row r="2163">
          <cell r="A2163" t="str">
            <v>09</v>
          </cell>
          <cell r="B2163" t="str">
            <v>24</v>
          </cell>
          <cell r="C2163" t="str">
            <v>09</v>
          </cell>
          <cell r="D2163" t="str">
            <v>5</v>
          </cell>
          <cell r="E2163" t="str">
            <v>0010</v>
          </cell>
          <cell r="F2163" t="str">
            <v>0001</v>
          </cell>
          <cell r="G2163" t="str">
            <v>12301</v>
          </cell>
          <cell r="H2163" t="str">
            <v>转购PVC管等</v>
          </cell>
          <cell r="I2163" t="b">
            <v>1</v>
          </cell>
          <cell r="J2163">
            <v>220403</v>
          </cell>
          <cell r="K2163">
            <v>0</v>
          </cell>
          <cell r="L2163">
            <v>0</v>
          </cell>
        </row>
        <row r="2164">
          <cell r="A2164" t="str">
            <v>09</v>
          </cell>
          <cell r="B2164" t="str">
            <v>25</v>
          </cell>
          <cell r="C2164" t="str">
            <v>09</v>
          </cell>
          <cell r="D2164" t="str">
            <v>5</v>
          </cell>
          <cell r="E2164" t="str">
            <v>0016</v>
          </cell>
          <cell r="F2164" t="str">
            <v>0003</v>
          </cell>
          <cell r="G2164" t="str">
            <v>12301</v>
          </cell>
          <cell r="H2164" t="str">
            <v>转本月管理部门耗材料</v>
          </cell>
          <cell r="I2164" t="b">
            <v>0</v>
          </cell>
          <cell r="J2164">
            <v>353093.38</v>
          </cell>
          <cell r="K2164">
            <v>0</v>
          </cell>
          <cell r="L2164">
            <v>0</v>
          </cell>
        </row>
        <row r="2165">
          <cell r="A2165" t="str">
            <v>09</v>
          </cell>
          <cell r="B2165" t="str">
            <v>28</v>
          </cell>
          <cell r="C2165" t="str">
            <v>09</v>
          </cell>
          <cell r="D2165" t="str">
            <v>5</v>
          </cell>
          <cell r="E2165" t="str">
            <v>0025</v>
          </cell>
          <cell r="F2165" t="str">
            <v>0004</v>
          </cell>
          <cell r="G2165" t="str">
            <v>12301</v>
          </cell>
          <cell r="H2165" t="str">
            <v>结转本月业务支出成本</v>
          </cell>
          <cell r="I2165" t="b">
            <v>0</v>
          </cell>
          <cell r="J2165">
            <v>1981097.2</v>
          </cell>
          <cell r="K2165">
            <v>0</v>
          </cell>
          <cell r="L2165">
            <v>0</v>
          </cell>
        </row>
        <row r="2166">
          <cell r="A2166" t="str">
            <v>09</v>
          </cell>
          <cell r="B2166" t="str">
            <v>28</v>
          </cell>
          <cell r="C2166" t="str">
            <v>09</v>
          </cell>
          <cell r="D2166" t="str">
            <v>5</v>
          </cell>
          <cell r="E2166" t="str">
            <v>0029</v>
          </cell>
          <cell r="F2166" t="str">
            <v>0005</v>
          </cell>
          <cell r="G2166" t="str">
            <v>12301</v>
          </cell>
          <cell r="H2166" t="str">
            <v>转预提桶及无菌袋各1218个</v>
          </cell>
          <cell r="I2166" t="b">
            <v>1</v>
          </cell>
          <cell r="J2166">
            <v>188790</v>
          </cell>
          <cell r="K2166">
            <v>0</v>
          </cell>
          <cell r="L2166">
            <v>0</v>
          </cell>
        </row>
        <row r="2167">
          <cell r="A2167" t="str">
            <v>09</v>
          </cell>
          <cell r="B2167" t="str">
            <v>28</v>
          </cell>
          <cell r="C2167" t="str">
            <v>09</v>
          </cell>
          <cell r="D2167" t="str">
            <v>5</v>
          </cell>
          <cell r="E2167" t="str">
            <v>0030</v>
          </cell>
          <cell r="F2167" t="str">
            <v>0005</v>
          </cell>
          <cell r="G2167" t="str">
            <v>12301</v>
          </cell>
          <cell r="H2167" t="str">
            <v>转外购果汁重加工耗桶及无菌袋</v>
          </cell>
          <cell r="I2167" t="b">
            <v>0</v>
          </cell>
          <cell r="J2167">
            <v>188790</v>
          </cell>
          <cell r="K2167">
            <v>0</v>
          </cell>
          <cell r="L2167">
            <v>0</v>
          </cell>
        </row>
        <row r="2168">
          <cell r="A2168" t="str">
            <v>10</v>
          </cell>
          <cell r="B2168" t="str">
            <v>05</v>
          </cell>
          <cell r="C2168" t="str">
            <v>10</v>
          </cell>
          <cell r="D2168" t="str">
            <v>2</v>
          </cell>
          <cell r="E2168" t="str">
            <v>0004</v>
          </cell>
          <cell r="F2168" t="str">
            <v>0001</v>
          </cell>
          <cell r="G2168" t="str">
            <v>12301</v>
          </cell>
          <cell r="H2168" t="str">
            <v>购材料</v>
          </cell>
          <cell r="I2168" t="b">
            <v>1</v>
          </cell>
          <cell r="J2168">
            <v>4028.6</v>
          </cell>
          <cell r="K2168">
            <v>0</v>
          </cell>
          <cell r="L2168">
            <v>0</v>
          </cell>
        </row>
        <row r="2169">
          <cell r="A2169" t="str">
            <v>10</v>
          </cell>
          <cell r="B2169" t="str">
            <v>10</v>
          </cell>
          <cell r="C2169" t="str">
            <v>10</v>
          </cell>
          <cell r="D2169" t="str">
            <v>2</v>
          </cell>
          <cell r="E2169" t="str">
            <v>0009</v>
          </cell>
          <cell r="F2169" t="str">
            <v>0001</v>
          </cell>
          <cell r="G2169" t="str">
            <v>12301</v>
          </cell>
          <cell r="H2169" t="str">
            <v>购材料</v>
          </cell>
          <cell r="I2169" t="b">
            <v>1</v>
          </cell>
          <cell r="J2169">
            <v>24651.200000000001</v>
          </cell>
          <cell r="K2169">
            <v>0</v>
          </cell>
          <cell r="L2169">
            <v>0</v>
          </cell>
        </row>
        <row r="2170">
          <cell r="A2170" t="str">
            <v>10</v>
          </cell>
          <cell r="B2170" t="str">
            <v>22</v>
          </cell>
          <cell r="C2170" t="str">
            <v>10</v>
          </cell>
          <cell r="D2170" t="str">
            <v>4</v>
          </cell>
          <cell r="E2170" t="str">
            <v>0024</v>
          </cell>
          <cell r="F2170" t="str">
            <v>0001</v>
          </cell>
          <cell r="G2170" t="str">
            <v>12301</v>
          </cell>
          <cell r="H2170" t="str">
            <v>购材料</v>
          </cell>
          <cell r="I2170" t="b">
            <v>1</v>
          </cell>
          <cell r="J2170">
            <v>37411.800000000003</v>
          </cell>
          <cell r="K2170">
            <v>0</v>
          </cell>
          <cell r="L2170">
            <v>0</v>
          </cell>
        </row>
        <row r="2171">
          <cell r="A2171" t="str">
            <v>10</v>
          </cell>
          <cell r="B2171" t="str">
            <v>22</v>
          </cell>
          <cell r="C2171" t="str">
            <v>10</v>
          </cell>
          <cell r="D2171" t="str">
            <v>4</v>
          </cell>
          <cell r="E2171" t="str">
            <v>0026</v>
          </cell>
          <cell r="F2171" t="str">
            <v>0001</v>
          </cell>
          <cell r="G2171" t="str">
            <v>12301</v>
          </cell>
          <cell r="H2171" t="str">
            <v>购材料</v>
          </cell>
          <cell r="I2171" t="b">
            <v>1</v>
          </cell>
          <cell r="J2171">
            <v>311103</v>
          </cell>
          <cell r="K2171">
            <v>0</v>
          </cell>
          <cell r="L2171">
            <v>0</v>
          </cell>
        </row>
        <row r="2172">
          <cell r="A2172" t="str">
            <v>10</v>
          </cell>
          <cell r="B2172" t="str">
            <v>22</v>
          </cell>
          <cell r="C2172" t="str">
            <v>10</v>
          </cell>
          <cell r="D2172" t="str">
            <v>4</v>
          </cell>
          <cell r="E2172" t="str">
            <v>0028</v>
          </cell>
          <cell r="F2172" t="str">
            <v>0001</v>
          </cell>
          <cell r="G2172" t="str">
            <v>12301</v>
          </cell>
          <cell r="H2172" t="str">
            <v>购材料</v>
          </cell>
          <cell r="I2172" t="b">
            <v>1</v>
          </cell>
          <cell r="J2172">
            <v>22026.7</v>
          </cell>
          <cell r="K2172">
            <v>0</v>
          </cell>
          <cell r="L2172">
            <v>0</v>
          </cell>
        </row>
        <row r="2173">
          <cell r="A2173" t="str">
            <v>10</v>
          </cell>
          <cell r="B2173" t="str">
            <v>22</v>
          </cell>
          <cell r="C2173" t="str">
            <v>10</v>
          </cell>
          <cell r="D2173" t="str">
            <v>4</v>
          </cell>
          <cell r="E2173" t="str">
            <v>0031</v>
          </cell>
          <cell r="F2173" t="str">
            <v>0001</v>
          </cell>
          <cell r="G2173" t="str">
            <v>12301</v>
          </cell>
          <cell r="H2173" t="str">
            <v>购无菌袋</v>
          </cell>
          <cell r="I2173" t="b">
            <v>1</v>
          </cell>
          <cell r="J2173">
            <v>1400000</v>
          </cell>
          <cell r="K2173">
            <v>0</v>
          </cell>
          <cell r="L2173">
            <v>0</v>
          </cell>
        </row>
        <row r="2174">
          <cell r="A2174" t="str">
            <v>10</v>
          </cell>
          <cell r="B2174" t="str">
            <v>24</v>
          </cell>
          <cell r="C2174" t="str">
            <v>10</v>
          </cell>
          <cell r="D2174" t="str">
            <v>5</v>
          </cell>
          <cell r="E2174" t="str">
            <v>0008</v>
          </cell>
          <cell r="F2174" t="str">
            <v>0003</v>
          </cell>
          <cell r="G2174" t="str">
            <v>12301</v>
          </cell>
          <cell r="H2174" t="str">
            <v>转本月耗材料</v>
          </cell>
          <cell r="I2174" t="b">
            <v>0</v>
          </cell>
          <cell r="J2174">
            <v>1487058.29</v>
          </cell>
          <cell r="K2174">
            <v>0</v>
          </cell>
          <cell r="L2174">
            <v>0</v>
          </cell>
        </row>
        <row r="2175">
          <cell r="A2175" t="str">
            <v>10</v>
          </cell>
          <cell r="B2175" t="str">
            <v>24</v>
          </cell>
          <cell r="C2175" t="str">
            <v>10</v>
          </cell>
          <cell r="D2175" t="str">
            <v>5</v>
          </cell>
          <cell r="E2175" t="str">
            <v>0011</v>
          </cell>
          <cell r="F2175" t="str">
            <v>0001</v>
          </cell>
          <cell r="G2175" t="str">
            <v>12301</v>
          </cell>
          <cell r="H2175" t="str">
            <v>转调正材料差额</v>
          </cell>
          <cell r="I2175" t="b">
            <v>1</v>
          </cell>
          <cell r="J2175">
            <v>54577.34</v>
          </cell>
          <cell r="K2175">
            <v>0</v>
          </cell>
          <cell r="L2175">
            <v>0</v>
          </cell>
        </row>
        <row r="2176">
          <cell r="A2176" t="str">
            <v>10</v>
          </cell>
          <cell r="B2176" t="str">
            <v>24</v>
          </cell>
          <cell r="C2176" t="str">
            <v>10</v>
          </cell>
          <cell r="D2176" t="str">
            <v>5</v>
          </cell>
          <cell r="E2176" t="str">
            <v>0011</v>
          </cell>
          <cell r="F2176" t="str">
            <v>0003</v>
          </cell>
          <cell r="G2176" t="str">
            <v>12301</v>
          </cell>
          <cell r="H2176" t="str">
            <v>转调正铁桶差额</v>
          </cell>
          <cell r="I2176" t="b">
            <v>0</v>
          </cell>
          <cell r="J2176">
            <v>-40040</v>
          </cell>
          <cell r="K2176">
            <v>0</v>
          </cell>
          <cell r="L2176">
            <v>0</v>
          </cell>
        </row>
        <row r="2177">
          <cell r="A2177" t="str">
            <v>10</v>
          </cell>
          <cell r="B2177" t="str">
            <v>28</v>
          </cell>
          <cell r="C2177" t="str">
            <v>10</v>
          </cell>
          <cell r="D2177" t="str">
            <v>5</v>
          </cell>
          <cell r="E2177" t="str">
            <v>0026</v>
          </cell>
          <cell r="F2177" t="str">
            <v>0004</v>
          </cell>
          <cell r="G2177" t="str">
            <v>12301</v>
          </cell>
          <cell r="H2177" t="str">
            <v>结转本月业务支出成本</v>
          </cell>
          <cell r="I2177" t="b">
            <v>0</v>
          </cell>
          <cell r="J2177">
            <v>1182620.1499999999</v>
          </cell>
          <cell r="K2177">
            <v>0</v>
          </cell>
          <cell r="L2177">
            <v>0</v>
          </cell>
        </row>
        <row r="2178">
          <cell r="A2178" t="str">
            <v>11</v>
          </cell>
          <cell r="B2178" t="str">
            <v>15</v>
          </cell>
          <cell r="C2178" t="str">
            <v>11</v>
          </cell>
          <cell r="D2178" t="str">
            <v>2</v>
          </cell>
          <cell r="E2178" t="str">
            <v>0017</v>
          </cell>
          <cell r="F2178" t="str">
            <v>0001</v>
          </cell>
          <cell r="G2178" t="str">
            <v>12301</v>
          </cell>
          <cell r="H2178" t="str">
            <v>购材料</v>
          </cell>
          <cell r="I2178" t="b">
            <v>1</v>
          </cell>
          <cell r="J2178">
            <v>5452.6</v>
          </cell>
          <cell r="K2178">
            <v>0</v>
          </cell>
          <cell r="L2178">
            <v>0</v>
          </cell>
        </row>
        <row r="2179">
          <cell r="A2179" t="str">
            <v>11</v>
          </cell>
          <cell r="B2179" t="str">
            <v>15</v>
          </cell>
          <cell r="C2179" t="str">
            <v>11</v>
          </cell>
          <cell r="D2179" t="str">
            <v>2</v>
          </cell>
          <cell r="E2179" t="str">
            <v>0018</v>
          </cell>
          <cell r="F2179" t="str">
            <v>0001</v>
          </cell>
          <cell r="G2179" t="str">
            <v>12301</v>
          </cell>
          <cell r="H2179" t="str">
            <v>购材料</v>
          </cell>
          <cell r="I2179" t="b">
            <v>1</v>
          </cell>
          <cell r="J2179">
            <v>2383.75</v>
          </cell>
          <cell r="K2179">
            <v>0</v>
          </cell>
          <cell r="L2179">
            <v>0</v>
          </cell>
        </row>
        <row r="2180">
          <cell r="A2180" t="str">
            <v>11</v>
          </cell>
          <cell r="B2180" t="str">
            <v>15</v>
          </cell>
          <cell r="C2180" t="str">
            <v>11</v>
          </cell>
          <cell r="D2180" t="str">
            <v>2</v>
          </cell>
          <cell r="E2180" t="str">
            <v>0019</v>
          </cell>
          <cell r="F2180" t="str">
            <v>0001</v>
          </cell>
          <cell r="G2180" t="str">
            <v>12301</v>
          </cell>
          <cell r="H2180" t="str">
            <v>购材料</v>
          </cell>
          <cell r="I2180" t="b">
            <v>1</v>
          </cell>
          <cell r="J2180">
            <v>22823.19</v>
          </cell>
          <cell r="K2180">
            <v>0</v>
          </cell>
          <cell r="L2180">
            <v>0</v>
          </cell>
        </row>
        <row r="2181">
          <cell r="A2181" t="str">
            <v>11</v>
          </cell>
          <cell r="B2181" t="str">
            <v>21</v>
          </cell>
          <cell r="C2181" t="str">
            <v>11</v>
          </cell>
          <cell r="D2181" t="str">
            <v>2</v>
          </cell>
          <cell r="E2181" t="str">
            <v>0024</v>
          </cell>
          <cell r="F2181" t="str">
            <v>0001</v>
          </cell>
          <cell r="G2181" t="str">
            <v>12301</v>
          </cell>
          <cell r="H2181" t="str">
            <v>购材料</v>
          </cell>
          <cell r="I2181" t="b">
            <v>1</v>
          </cell>
          <cell r="J2181">
            <v>18489</v>
          </cell>
          <cell r="K2181">
            <v>0</v>
          </cell>
          <cell r="L2181">
            <v>0</v>
          </cell>
        </row>
        <row r="2182">
          <cell r="A2182" t="str">
            <v>11</v>
          </cell>
          <cell r="B2182" t="str">
            <v>14</v>
          </cell>
          <cell r="C2182" t="str">
            <v>11</v>
          </cell>
          <cell r="D2182" t="str">
            <v>4</v>
          </cell>
          <cell r="E2182" t="str">
            <v>0015</v>
          </cell>
          <cell r="F2182" t="str">
            <v>0001</v>
          </cell>
          <cell r="G2182" t="str">
            <v>12301</v>
          </cell>
          <cell r="H2182" t="str">
            <v>购材料</v>
          </cell>
          <cell r="I2182" t="b">
            <v>1</v>
          </cell>
          <cell r="J2182">
            <v>66883.600000000006</v>
          </cell>
          <cell r="K2182">
            <v>0</v>
          </cell>
          <cell r="L2182">
            <v>0</v>
          </cell>
        </row>
        <row r="2183">
          <cell r="A2183" t="str">
            <v>11</v>
          </cell>
          <cell r="B2183" t="str">
            <v>15</v>
          </cell>
          <cell r="C2183" t="str">
            <v>11</v>
          </cell>
          <cell r="D2183" t="str">
            <v>4</v>
          </cell>
          <cell r="E2183" t="str">
            <v>0019</v>
          </cell>
          <cell r="F2183" t="str">
            <v>0001</v>
          </cell>
          <cell r="G2183" t="str">
            <v>12301</v>
          </cell>
          <cell r="H2183" t="str">
            <v>购材料</v>
          </cell>
          <cell r="I2183" t="b">
            <v>1</v>
          </cell>
          <cell r="J2183">
            <v>72125.84</v>
          </cell>
          <cell r="K2183">
            <v>0</v>
          </cell>
          <cell r="L2183">
            <v>0</v>
          </cell>
        </row>
        <row r="2184">
          <cell r="A2184" t="str">
            <v>11</v>
          </cell>
          <cell r="B2184" t="str">
            <v>15</v>
          </cell>
          <cell r="C2184" t="str">
            <v>11</v>
          </cell>
          <cell r="D2184" t="str">
            <v>4</v>
          </cell>
          <cell r="E2184" t="str">
            <v>0022</v>
          </cell>
          <cell r="F2184" t="str">
            <v>0001</v>
          </cell>
          <cell r="G2184" t="str">
            <v>12301</v>
          </cell>
          <cell r="H2184" t="str">
            <v>购材料</v>
          </cell>
          <cell r="I2184" t="b">
            <v>1</v>
          </cell>
          <cell r="J2184">
            <v>65250</v>
          </cell>
          <cell r="K2184">
            <v>0</v>
          </cell>
          <cell r="L2184">
            <v>0</v>
          </cell>
        </row>
        <row r="2185">
          <cell r="A2185" t="str">
            <v>11</v>
          </cell>
          <cell r="B2185" t="str">
            <v>23</v>
          </cell>
          <cell r="C2185" t="str">
            <v>11</v>
          </cell>
          <cell r="D2185" t="str">
            <v>4</v>
          </cell>
          <cell r="E2185" t="str">
            <v>0035</v>
          </cell>
          <cell r="F2185" t="str">
            <v>0001</v>
          </cell>
          <cell r="G2185" t="str">
            <v>12301</v>
          </cell>
          <cell r="H2185" t="str">
            <v>购材料</v>
          </cell>
          <cell r="I2185" t="b">
            <v>1</v>
          </cell>
          <cell r="J2185">
            <v>80600</v>
          </cell>
          <cell r="K2185">
            <v>0</v>
          </cell>
          <cell r="L2185">
            <v>0</v>
          </cell>
        </row>
        <row r="2186">
          <cell r="A2186" t="str">
            <v>11</v>
          </cell>
          <cell r="B2186" t="str">
            <v>23</v>
          </cell>
          <cell r="C2186" t="str">
            <v>11</v>
          </cell>
          <cell r="D2186" t="str">
            <v>4</v>
          </cell>
          <cell r="E2186" t="str">
            <v>0036</v>
          </cell>
          <cell r="F2186" t="str">
            <v>0001</v>
          </cell>
          <cell r="G2186" t="str">
            <v>12301</v>
          </cell>
          <cell r="H2186" t="str">
            <v>购材料</v>
          </cell>
          <cell r="I2186" t="b">
            <v>1</v>
          </cell>
          <cell r="J2186">
            <v>1124450</v>
          </cell>
          <cell r="K2186">
            <v>0</v>
          </cell>
          <cell r="L2186">
            <v>0</v>
          </cell>
        </row>
        <row r="2187">
          <cell r="A2187" t="str">
            <v>11</v>
          </cell>
          <cell r="B2187" t="str">
            <v>16</v>
          </cell>
          <cell r="C2187" t="str">
            <v>11</v>
          </cell>
          <cell r="D2187" t="str">
            <v>5</v>
          </cell>
          <cell r="E2187" t="str">
            <v>0001</v>
          </cell>
          <cell r="F2187" t="str">
            <v>0001</v>
          </cell>
          <cell r="G2187" t="str">
            <v>12301</v>
          </cell>
          <cell r="H2187" t="str">
            <v>转购编织袋.硅藻土</v>
          </cell>
          <cell r="I2187" t="b">
            <v>1</v>
          </cell>
          <cell r="J2187">
            <v>100100</v>
          </cell>
          <cell r="K2187">
            <v>0</v>
          </cell>
          <cell r="L2187">
            <v>0</v>
          </cell>
        </row>
        <row r="2188">
          <cell r="A2188" t="str">
            <v>11</v>
          </cell>
          <cell r="B2188" t="str">
            <v>16</v>
          </cell>
          <cell r="C2188" t="str">
            <v>11</v>
          </cell>
          <cell r="D2188" t="str">
            <v>5</v>
          </cell>
          <cell r="E2188" t="str">
            <v>0002</v>
          </cell>
          <cell r="F2188" t="str">
            <v>0001</v>
          </cell>
          <cell r="G2188" t="str">
            <v>12301</v>
          </cell>
          <cell r="H2188" t="str">
            <v>转购机械密封.火碱</v>
          </cell>
          <cell r="I2188" t="b">
            <v>1</v>
          </cell>
          <cell r="J2188">
            <v>10350</v>
          </cell>
          <cell r="K2188">
            <v>0</v>
          </cell>
          <cell r="L2188">
            <v>0</v>
          </cell>
        </row>
        <row r="2189">
          <cell r="A2189" t="str">
            <v>11</v>
          </cell>
          <cell r="B2189" t="str">
            <v>16</v>
          </cell>
          <cell r="C2189" t="str">
            <v>11</v>
          </cell>
          <cell r="D2189" t="str">
            <v>5</v>
          </cell>
          <cell r="E2189" t="str">
            <v>0003</v>
          </cell>
          <cell r="F2189" t="str">
            <v>0001</v>
          </cell>
          <cell r="G2189" t="str">
            <v>12301</v>
          </cell>
          <cell r="H2189" t="str">
            <v>转购维生素C.明胶</v>
          </cell>
          <cell r="I2189" t="b">
            <v>1</v>
          </cell>
          <cell r="J2189">
            <v>224250</v>
          </cell>
          <cell r="K2189">
            <v>0</v>
          </cell>
          <cell r="L2189">
            <v>0</v>
          </cell>
        </row>
        <row r="2190">
          <cell r="A2190" t="str">
            <v>11</v>
          </cell>
          <cell r="B2190" t="str">
            <v>26</v>
          </cell>
          <cell r="C2190" t="str">
            <v>11</v>
          </cell>
          <cell r="D2190" t="str">
            <v>5</v>
          </cell>
          <cell r="E2190" t="str">
            <v>0021</v>
          </cell>
          <cell r="F2190" t="str">
            <v>0003</v>
          </cell>
          <cell r="G2190" t="str">
            <v>12301</v>
          </cell>
          <cell r="H2190" t="str">
            <v>转本月公司各部门耗材料</v>
          </cell>
          <cell r="I2190" t="b">
            <v>0</v>
          </cell>
          <cell r="J2190">
            <v>974759.48</v>
          </cell>
          <cell r="K2190">
            <v>0</v>
          </cell>
          <cell r="L2190">
            <v>0</v>
          </cell>
        </row>
        <row r="2191">
          <cell r="A2191" t="str">
            <v>11</v>
          </cell>
          <cell r="B2191" t="str">
            <v>26</v>
          </cell>
          <cell r="C2191" t="str">
            <v>11</v>
          </cell>
          <cell r="D2191" t="str">
            <v>5</v>
          </cell>
          <cell r="E2191" t="str">
            <v>0021</v>
          </cell>
          <cell r="F2191" t="str">
            <v>0005</v>
          </cell>
          <cell r="G2191" t="str">
            <v>12301</v>
          </cell>
          <cell r="H2191" t="str">
            <v>转订正差价</v>
          </cell>
          <cell r="I2191" t="b">
            <v>0</v>
          </cell>
          <cell r="J2191">
            <v>30</v>
          </cell>
          <cell r="K2191">
            <v>0</v>
          </cell>
          <cell r="L2191">
            <v>0</v>
          </cell>
        </row>
        <row r="2192">
          <cell r="A2192" t="str">
            <v>11</v>
          </cell>
          <cell r="B2192" t="str">
            <v>30</v>
          </cell>
          <cell r="C2192" t="str">
            <v>11</v>
          </cell>
          <cell r="D2192" t="str">
            <v>5</v>
          </cell>
          <cell r="E2192" t="str">
            <v>0033</v>
          </cell>
          <cell r="F2192" t="str">
            <v>0004</v>
          </cell>
          <cell r="G2192" t="str">
            <v>12301</v>
          </cell>
          <cell r="H2192" t="str">
            <v>结转本月业务支出成本</v>
          </cell>
          <cell r="I2192" t="b">
            <v>0</v>
          </cell>
          <cell r="J2192">
            <v>1388433.52</v>
          </cell>
          <cell r="K2192">
            <v>0</v>
          </cell>
          <cell r="L2192">
            <v>0</v>
          </cell>
        </row>
        <row r="2193">
          <cell r="A2193" t="str">
            <v>12</v>
          </cell>
          <cell r="B2193" t="str">
            <v>01</v>
          </cell>
          <cell r="C2193" t="str">
            <v>12</v>
          </cell>
          <cell r="D2193" t="str">
            <v>2</v>
          </cell>
          <cell r="E2193" t="str">
            <v>0001</v>
          </cell>
          <cell r="F2193" t="str">
            <v>0001</v>
          </cell>
          <cell r="G2193" t="str">
            <v>12301</v>
          </cell>
          <cell r="H2193" t="str">
            <v>购材料</v>
          </cell>
          <cell r="I2193" t="b">
            <v>1</v>
          </cell>
          <cell r="J2193">
            <v>1811.5</v>
          </cell>
          <cell r="K2193">
            <v>0</v>
          </cell>
          <cell r="L2193">
            <v>0</v>
          </cell>
        </row>
        <row r="2194">
          <cell r="A2194" t="str">
            <v>12</v>
          </cell>
          <cell r="B2194" t="str">
            <v>01</v>
          </cell>
          <cell r="C2194" t="str">
            <v>12</v>
          </cell>
          <cell r="D2194" t="str">
            <v>2</v>
          </cell>
          <cell r="E2194" t="str">
            <v>0002</v>
          </cell>
          <cell r="F2194" t="str">
            <v>0001</v>
          </cell>
          <cell r="G2194" t="str">
            <v>12301</v>
          </cell>
          <cell r="H2194" t="str">
            <v>购材料</v>
          </cell>
          <cell r="I2194" t="b">
            <v>1</v>
          </cell>
          <cell r="J2194">
            <v>1759.6</v>
          </cell>
          <cell r="K2194">
            <v>0</v>
          </cell>
          <cell r="L2194">
            <v>0</v>
          </cell>
        </row>
        <row r="2195">
          <cell r="A2195" t="str">
            <v>12</v>
          </cell>
          <cell r="B2195" t="str">
            <v>02</v>
          </cell>
          <cell r="C2195" t="str">
            <v>12</v>
          </cell>
          <cell r="D2195" t="str">
            <v>2</v>
          </cell>
          <cell r="E2195" t="str">
            <v>0003</v>
          </cell>
          <cell r="F2195" t="str">
            <v>0001</v>
          </cell>
          <cell r="G2195" t="str">
            <v>12301</v>
          </cell>
          <cell r="H2195" t="str">
            <v>购材料</v>
          </cell>
          <cell r="I2195" t="b">
            <v>1</v>
          </cell>
          <cell r="J2195">
            <v>5941.5</v>
          </cell>
          <cell r="K2195">
            <v>0</v>
          </cell>
          <cell r="L2195">
            <v>0</v>
          </cell>
        </row>
        <row r="2196">
          <cell r="A2196" t="str">
            <v>12</v>
          </cell>
          <cell r="B2196" t="str">
            <v>15</v>
          </cell>
          <cell r="C2196" t="str">
            <v>12</v>
          </cell>
          <cell r="D2196" t="str">
            <v>2</v>
          </cell>
          <cell r="E2196" t="str">
            <v>0016</v>
          </cell>
          <cell r="F2196" t="str">
            <v>0001</v>
          </cell>
          <cell r="G2196" t="str">
            <v>12301</v>
          </cell>
          <cell r="H2196" t="str">
            <v>购材料</v>
          </cell>
          <cell r="I2196" t="b">
            <v>1</v>
          </cell>
          <cell r="J2196">
            <v>11867.66</v>
          </cell>
          <cell r="K2196">
            <v>0</v>
          </cell>
          <cell r="L2196">
            <v>0</v>
          </cell>
        </row>
        <row r="2197">
          <cell r="A2197" t="str">
            <v>12</v>
          </cell>
          <cell r="B2197" t="str">
            <v>21</v>
          </cell>
          <cell r="C2197" t="str">
            <v>12</v>
          </cell>
          <cell r="D2197" t="str">
            <v>2</v>
          </cell>
          <cell r="E2197" t="str">
            <v>0023</v>
          </cell>
          <cell r="F2197" t="str">
            <v>0001</v>
          </cell>
          <cell r="G2197" t="str">
            <v>12301</v>
          </cell>
          <cell r="H2197" t="str">
            <v>购材料</v>
          </cell>
          <cell r="I2197" t="b">
            <v>1</v>
          </cell>
          <cell r="J2197">
            <v>1880.2</v>
          </cell>
          <cell r="K2197">
            <v>0</v>
          </cell>
          <cell r="L2197">
            <v>0</v>
          </cell>
        </row>
        <row r="2198">
          <cell r="A2198" t="str">
            <v>12</v>
          </cell>
          <cell r="B2198" t="str">
            <v>10</v>
          </cell>
          <cell r="C2198" t="str">
            <v>12</v>
          </cell>
          <cell r="D2198" t="str">
            <v>4</v>
          </cell>
          <cell r="E2198" t="str">
            <v>0019</v>
          </cell>
          <cell r="F2198" t="str">
            <v>0001</v>
          </cell>
          <cell r="G2198" t="str">
            <v>12301</v>
          </cell>
          <cell r="H2198" t="str">
            <v>购材料</v>
          </cell>
          <cell r="I2198" t="b">
            <v>1</v>
          </cell>
          <cell r="J2198">
            <v>84375</v>
          </cell>
          <cell r="K2198">
            <v>0</v>
          </cell>
          <cell r="L2198">
            <v>0</v>
          </cell>
        </row>
        <row r="2199">
          <cell r="A2199" t="str">
            <v>12</v>
          </cell>
          <cell r="B2199" t="str">
            <v>20</v>
          </cell>
          <cell r="C2199" t="str">
            <v>12</v>
          </cell>
          <cell r="D2199" t="str">
            <v>4</v>
          </cell>
          <cell r="E2199" t="str">
            <v>0033</v>
          </cell>
          <cell r="F2199" t="str">
            <v>0001</v>
          </cell>
          <cell r="G2199" t="str">
            <v>12301</v>
          </cell>
          <cell r="H2199" t="str">
            <v>购材料</v>
          </cell>
          <cell r="I2199" t="b">
            <v>1</v>
          </cell>
          <cell r="J2199">
            <v>185321.59</v>
          </cell>
          <cell r="K2199">
            <v>0</v>
          </cell>
          <cell r="L2199">
            <v>0</v>
          </cell>
        </row>
        <row r="2200">
          <cell r="A2200" t="str">
            <v>12</v>
          </cell>
          <cell r="B2200" t="str">
            <v>23</v>
          </cell>
          <cell r="C2200" t="str">
            <v>12</v>
          </cell>
          <cell r="D2200" t="str">
            <v>4</v>
          </cell>
          <cell r="E2200" t="str">
            <v>0052</v>
          </cell>
          <cell r="F2200" t="str">
            <v>0001</v>
          </cell>
          <cell r="G2200" t="str">
            <v>12301</v>
          </cell>
          <cell r="H2200" t="str">
            <v>购材料</v>
          </cell>
          <cell r="I2200" t="b">
            <v>1</v>
          </cell>
          <cell r="J2200">
            <v>73506.100000000006</v>
          </cell>
          <cell r="K2200">
            <v>0</v>
          </cell>
          <cell r="L2200">
            <v>0</v>
          </cell>
        </row>
        <row r="2201">
          <cell r="A2201" t="str">
            <v>12</v>
          </cell>
          <cell r="B2201" t="str">
            <v>20</v>
          </cell>
          <cell r="C2201" t="str">
            <v>12</v>
          </cell>
          <cell r="D2201" t="str">
            <v>5</v>
          </cell>
          <cell r="E2201" t="str">
            <v>0007</v>
          </cell>
          <cell r="F2201" t="str">
            <v>0002</v>
          </cell>
          <cell r="G2201" t="str">
            <v>12301</v>
          </cell>
          <cell r="H2201" t="str">
            <v>转购灯罩等</v>
          </cell>
          <cell r="I2201" t="b">
            <v>1</v>
          </cell>
          <cell r="J2201">
            <v>2379</v>
          </cell>
          <cell r="K2201">
            <v>0</v>
          </cell>
          <cell r="L2201">
            <v>0</v>
          </cell>
        </row>
        <row r="2202">
          <cell r="A2202" t="str">
            <v>12</v>
          </cell>
          <cell r="B2202" t="str">
            <v>20</v>
          </cell>
          <cell r="C2202" t="str">
            <v>12</v>
          </cell>
          <cell r="D2202" t="str">
            <v>5</v>
          </cell>
          <cell r="E2202" t="str">
            <v>0013</v>
          </cell>
          <cell r="F2202" t="str">
            <v>0001</v>
          </cell>
          <cell r="G2202" t="str">
            <v>12301</v>
          </cell>
          <cell r="H2202" t="str">
            <v>转购硅藻土.苹果酸等</v>
          </cell>
          <cell r="I2202" t="b">
            <v>1</v>
          </cell>
          <cell r="J2202">
            <v>71040</v>
          </cell>
          <cell r="K2202">
            <v>0</v>
          </cell>
          <cell r="L2202">
            <v>0</v>
          </cell>
        </row>
        <row r="2203">
          <cell r="A2203" t="str">
            <v>12</v>
          </cell>
          <cell r="B2203" t="str">
            <v>20</v>
          </cell>
          <cell r="C2203" t="str">
            <v>12</v>
          </cell>
          <cell r="D2203" t="str">
            <v>5</v>
          </cell>
          <cell r="E2203" t="str">
            <v>0014</v>
          </cell>
          <cell r="F2203" t="str">
            <v>0001</v>
          </cell>
          <cell r="G2203" t="str">
            <v>12301</v>
          </cell>
          <cell r="H2203" t="str">
            <v>转购明胶.糖化酶等</v>
          </cell>
          <cell r="I2203" t="b">
            <v>1</v>
          </cell>
          <cell r="J2203">
            <v>97728</v>
          </cell>
          <cell r="K2203">
            <v>0</v>
          </cell>
          <cell r="L2203">
            <v>0</v>
          </cell>
        </row>
        <row r="2204">
          <cell r="A2204" t="str">
            <v>12</v>
          </cell>
          <cell r="B2204" t="str">
            <v>27</v>
          </cell>
          <cell r="C2204" t="str">
            <v>12</v>
          </cell>
          <cell r="D2204" t="str">
            <v>5</v>
          </cell>
          <cell r="E2204" t="str">
            <v>0035</v>
          </cell>
          <cell r="F2204" t="str">
            <v>0001</v>
          </cell>
          <cell r="G2204" t="str">
            <v>12301</v>
          </cell>
          <cell r="H2204" t="str">
            <v>转冲6月5-36#材料差价</v>
          </cell>
          <cell r="I2204" t="b">
            <v>1</v>
          </cell>
          <cell r="J2204">
            <v>46541.9</v>
          </cell>
          <cell r="K2204">
            <v>0</v>
          </cell>
          <cell r="L2204">
            <v>0</v>
          </cell>
        </row>
        <row r="2205">
          <cell r="A2205" t="str">
            <v>12</v>
          </cell>
          <cell r="B2205" t="str">
            <v>27</v>
          </cell>
          <cell r="C2205" t="str">
            <v>12</v>
          </cell>
          <cell r="D2205" t="str">
            <v>5</v>
          </cell>
          <cell r="E2205" t="str">
            <v>0039</v>
          </cell>
          <cell r="F2205" t="str">
            <v>0003</v>
          </cell>
          <cell r="G2205" t="str">
            <v>12301</v>
          </cell>
          <cell r="H2205" t="str">
            <v>转本月耗材料</v>
          </cell>
          <cell r="I2205" t="b">
            <v>0</v>
          </cell>
          <cell r="J2205">
            <v>1043521.84</v>
          </cell>
          <cell r="K2205">
            <v>0</v>
          </cell>
          <cell r="L2205">
            <v>0</v>
          </cell>
        </row>
        <row r="2206">
          <cell r="A2206" t="str">
            <v>12</v>
          </cell>
          <cell r="B2206" t="str">
            <v>29</v>
          </cell>
          <cell r="C2206" t="str">
            <v>12</v>
          </cell>
          <cell r="D2206" t="str">
            <v>5</v>
          </cell>
          <cell r="E2206" t="str">
            <v>0077</v>
          </cell>
          <cell r="F2206" t="str">
            <v>0001</v>
          </cell>
          <cell r="G2206" t="str">
            <v>12301</v>
          </cell>
          <cell r="H2206" t="str">
            <v>转入库铁桶31153个</v>
          </cell>
          <cell r="I2206" t="b">
            <v>1</v>
          </cell>
          <cell r="J2206">
            <v>3738360</v>
          </cell>
          <cell r="K2206">
            <v>0</v>
          </cell>
          <cell r="L2206">
            <v>0</v>
          </cell>
        </row>
        <row r="2207">
          <cell r="A2207" t="str">
            <v>12</v>
          </cell>
          <cell r="B2207" t="str">
            <v>29</v>
          </cell>
          <cell r="C2207" t="str">
            <v>12</v>
          </cell>
          <cell r="D2207" t="str">
            <v>5</v>
          </cell>
          <cell r="E2207" t="str">
            <v>0078</v>
          </cell>
          <cell r="F2207" t="str">
            <v>0001</v>
          </cell>
          <cell r="G2207" t="str">
            <v>12301</v>
          </cell>
          <cell r="H2207" t="str">
            <v>转暂估入库塑料袋39580个</v>
          </cell>
          <cell r="I2207" t="b">
            <v>1</v>
          </cell>
          <cell r="J2207">
            <v>197900</v>
          </cell>
          <cell r="K2207">
            <v>0</v>
          </cell>
          <cell r="L2207">
            <v>0</v>
          </cell>
        </row>
        <row r="2208">
          <cell r="A2208" t="str">
            <v>12</v>
          </cell>
          <cell r="B2208" t="str">
            <v>29</v>
          </cell>
          <cell r="C2208" t="str">
            <v>12</v>
          </cell>
          <cell r="D2208" t="str">
            <v>5</v>
          </cell>
          <cell r="E2208" t="str">
            <v>0084</v>
          </cell>
          <cell r="F2208" t="str">
            <v>0004</v>
          </cell>
          <cell r="G2208" t="str">
            <v>12301</v>
          </cell>
          <cell r="H2208" t="str">
            <v>结转本月业务支出成本</v>
          </cell>
          <cell r="I2208" t="b">
            <v>0</v>
          </cell>
          <cell r="J2208">
            <v>794218.56</v>
          </cell>
          <cell r="K2208">
            <v>0</v>
          </cell>
          <cell r="L2208">
            <v>0</v>
          </cell>
        </row>
        <row r="2209">
          <cell r="A2209" t="str">
            <v>02</v>
          </cell>
          <cell r="B2209" t="str">
            <v>29</v>
          </cell>
          <cell r="C2209" t="str">
            <v>02</v>
          </cell>
          <cell r="D2209" t="str">
            <v>5</v>
          </cell>
          <cell r="E2209" t="str">
            <v>0047</v>
          </cell>
          <cell r="F2209" t="str">
            <v>0001</v>
          </cell>
          <cell r="G2209" t="str">
            <v>12303</v>
          </cell>
          <cell r="H2209" t="str">
            <v>转购尚进果汁1000吨</v>
          </cell>
          <cell r="I2209" t="b">
            <v>1</v>
          </cell>
          <cell r="J2209">
            <v>4500000</v>
          </cell>
          <cell r="K2209">
            <v>0</v>
          </cell>
          <cell r="L2209">
            <v>1000</v>
          </cell>
        </row>
        <row r="2210">
          <cell r="A2210" t="str">
            <v>02</v>
          </cell>
          <cell r="B2210" t="str">
            <v>29</v>
          </cell>
          <cell r="C2210" t="str">
            <v>02</v>
          </cell>
          <cell r="D2210" t="str">
            <v>5</v>
          </cell>
          <cell r="E2210" t="str">
            <v>0048</v>
          </cell>
          <cell r="F2210" t="str">
            <v>0001</v>
          </cell>
          <cell r="G2210" t="str">
            <v>12303</v>
          </cell>
          <cell r="H2210" t="str">
            <v>转预提外购果汁1322.617吨果汁</v>
          </cell>
          <cell r="I2210" t="b">
            <v>1</v>
          </cell>
          <cell r="J2210">
            <v>5740344.2300000004</v>
          </cell>
          <cell r="K2210">
            <v>0</v>
          </cell>
          <cell r="L2210">
            <v>1322.617</v>
          </cell>
        </row>
        <row r="2211">
          <cell r="A2211" t="str">
            <v>02</v>
          </cell>
          <cell r="B2211" t="str">
            <v>29</v>
          </cell>
          <cell r="C2211" t="str">
            <v>02</v>
          </cell>
          <cell r="D2211" t="str">
            <v>5</v>
          </cell>
          <cell r="E2211" t="str">
            <v>0049</v>
          </cell>
          <cell r="F2211" t="str">
            <v>0002</v>
          </cell>
          <cell r="G2211" t="str">
            <v>12303</v>
          </cell>
          <cell r="H2211" t="str">
            <v>转出库2322.617吨果汁重加工</v>
          </cell>
          <cell r="I2211" t="b">
            <v>0</v>
          </cell>
          <cell r="J2211">
            <v>10240344.23</v>
          </cell>
          <cell r="K2211">
            <v>0</v>
          </cell>
          <cell r="L2211">
            <v>2322.6170000000002</v>
          </cell>
        </row>
        <row r="2212">
          <cell r="A2212" t="str">
            <v>04</v>
          </cell>
          <cell r="B2212" t="str">
            <v>26</v>
          </cell>
          <cell r="C2212" t="str">
            <v>04</v>
          </cell>
          <cell r="D2212" t="str">
            <v>5</v>
          </cell>
          <cell r="E2212" t="str">
            <v>0030</v>
          </cell>
          <cell r="F2212" t="str">
            <v>0001</v>
          </cell>
          <cell r="G2212" t="str">
            <v>12303</v>
          </cell>
          <cell r="H2212" t="str">
            <v>转预提外购果汁84.33吨</v>
          </cell>
          <cell r="I2212" t="b">
            <v>1</v>
          </cell>
          <cell r="J2212">
            <v>324346.15000000002</v>
          </cell>
          <cell r="K2212">
            <v>0</v>
          </cell>
          <cell r="L2212">
            <v>84.33</v>
          </cell>
        </row>
        <row r="2213">
          <cell r="A2213" t="str">
            <v>04</v>
          </cell>
          <cell r="B2213" t="str">
            <v>26</v>
          </cell>
          <cell r="C2213" t="str">
            <v>04</v>
          </cell>
          <cell r="D2213" t="str">
            <v>5</v>
          </cell>
          <cell r="E2213" t="str">
            <v>0030</v>
          </cell>
          <cell r="F2213" t="str">
            <v>0003</v>
          </cell>
          <cell r="G2213" t="str">
            <v>12303</v>
          </cell>
          <cell r="H2213" t="str">
            <v>转预提尚进果汁1900.25吨</v>
          </cell>
          <cell r="I2213" t="b">
            <v>1</v>
          </cell>
          <cell r="J2213">
            <v>8551125</v>
          </cell>
          <cell r="K2213">
            <v>0</v>
          </cell>
          <cell r="L2213">
            <v>1900.25</v>
          </cell>
        </row>
        <row r="2214">
          <cell r="A2214" t="str">
            <v>04</v>
          </cell>
          <cell r="B2214" t="str">
            <v>28</v>
          </cell>
          <cell r="C2214" t="str">
            <v>04</v>
          </cell>
          <cell r="D2214" t="str">
            <v>5</v>
          </cell>
          <cell r="E2214" t="str">
            <v>0031</v>
          </cell>
          <cell r="F2214" t="str">
            <v>0002</v>
          </cell>
          <cell r="G2214" t="str">
            <v>12303</v>
          </cell>
          <cell r="H2214" t="str">
            <v>转重加工外购果汁1984.58吨成本</v>
          </cell>
          <cell r="I2214" t="b">
            <v>0</v>
          </cell>
          <cell r="J2214">
            <v>8875471.1500000004</v>
          </cell>
          <cell r="K2214">
            <v>0</v>
          </cell>
          <cell r="L2214">
            <v>1984.58</v>
          </cell>
        </row>
        <row r="2215">
          <cell r="A2215" t="str">
            <v>08</v>
          </cell>
          <cell r="B2215" t="str">
            <v>27</v>
          </cell>
          <cell r="C2215" t="str">
            <v>08</v>
          </cell>
          <cell r="D2215" t="str">
            <v>5</v>
          </cell>
          <cell r="E2215" t="str">
            <v>0018</v>
          </cell>
          <cell r="F2215" t="str">
            <v>0001</v>
          </cell>
          <cell r="G2215" t="str">
            <v>12303</v>
          </cell>
          <cell r="H2215" t="str">
            <v>转入库外购果汁532.717吨</v>
          </cell>
          <cell r="I2215" t="b">
            <v>1</v>
          </cell>
          <cell r="J2215">
            <v>2048911.53</v>
          </cell>
          <cell r="K2215">
            <v>0</v>
          </cell>
          <cell r="L2215">
            <v>532.71699999999998</v>
          </cell>
        </row>
        <row r="2216">
          <cell r="A2216" t="str">
            <v>08</v>
          </cell>
          <cell r="B2216" t="str">
            <v>27</v>
          </cell>
          <cell r="C2216" t="str">
            <v>08</v>
          </cell>
          <cell r="D2216" t="str">
            <v>5</v>
          </cell>
          <cell r="E2216" t="str">
            <v>0019</v>
          </cell>
          <cell r="F2216" t="str">
            <v>0002</v>
          </cell>
          <cell r="G2216" t="str">
            <v>12303</v>
          </cell>
          <cell r="H2216" t="str">
            <v>转出库外购果汁532.717吨重加工</v>
          </cell>
          <cell r="I2216" t="b">
            <v>0</v>
          </cell>
          <cell r="J2216">
            <v>2048911.53</v>
          </cell>
          <cell r="K2216">
            <v>0</v>
          </cell>
          <cell r="L2216">
            <v>532.71699999999998</v>
          </cell>
        </row>
        <row r="2217">
          <cell r="A2217" t="str">
            <v>09</v>
          </cell>
          <cell r="B2217" t="str">
            <v>28</v>
          </cell>
          <cell r="C2217" t="str">
            <v>09</v>
          </cell>
          <cell r="D2217" t="str">
            <v>5</v>
          </cell>
          <cell r="E2217" t="str">
            <v>0029</v>
          </cell>
          <cell r="F2217" t="str">
            <v>0001</v>
          </cell>
          <cell r="G2217" t="str">
            <v>12303</v>
          </cell>
          <cell r="H2217" t="str">
            <v>转入库外购苹果汁1552.488吨</v>
          </cell>
          <cell r="I2217" t="b">
            <v>1</v>
          </cell>
          <cell r="J2217">
            <v>5646887.3200000003</v>
          </cell>
          <cell r="K2217">
            <v>0</v>
          </cell>
          <cell r="L2217">
            <v>1552.4880000000001</v>
          </cell>
        </row>
        <row r="2218">
          <cell r="A2218" t="str">
            <v>09</v>
          </cell>
          <cell r="B2218" t="str">
            <v>28</v>
          </cell>
          <cell r="C2218" t="str">
            <v>09</v>
          </cell>
          <cell r="D2218" t="str">
            <v>5</v>
          </cell>
          <cell r="E2218" t="str">
            <v>0029</v>
          </cell>
          <cell r="F2218" t="str">
            <v>0002</v>
          </cell>
          <cell r="G2218" t="str">
            <v>12303</v>
          </cell>
          <cell r="H2218" t="str">
            <v>转入库外购梨汁58.289吨</v>
          </cell>
          <cell r="I2218" t="b">
            <v>1</v>
          </cell>
          <cell r="J2218">
            <v>274008.12</v>
          </cell>
          <cell r="K2218">
            <v>0</v>
          </cell>
          <cell r="L2218">
            <v>58.289000000000001</v>
          </cell>
        </row>
        <row r="2219">
          <cell r="A2219" t="str">
            <v>09</v>
          </cell>
          <cell r="B2219" t="str">
            <v>28</v>
          </cell>
          <cell r="C2219" t="str">
            <v>09</v>
          </cell>
          <cell r="D2219" t="str">
            <v>5</v>
          </cell>
          <cell r="E2219" t="str">
            <v>0030</v>
          </cell>
          <cell r="F2219" t="str">
            <v>0003</v>
          </cell>
          <cell r="G2219" t="str">
            <v>12303</v>
          </cell>
          <cell r="H2219" t="str">
            <v>转出库外购苹果汁及梨汁重加工</v>
          </cell>
          <cell r="I2219" t="b">
            <v>0</v>
          </cell>
          <cell r="J2219">
            <v>5920895.4400000004</v>
          </cell>
          <cell r="K2219">
            <v>0</v>
          </cell>
          <cell r="L2219">
            <v>1610.777</v>
          </cell>
        </row>
        <row r="2220">
          <cell r="A2220" t="str">
            <v>10</v>
          </cell>
          <cell r="B2220" t="str">
            <v>26</v>
          </cell>
          <cell r="C2220" t="str">
            <v>10</v>
          </cell>
          <cell r="D2220" t="str">
            <v>5</v>
          </cell>
          <cell r="E2220" t="str">
            <v>0021</v>
          </cell>
          <cell r="F2220" t="str">
            <v>0001</v>
          </cell>
          <cell r="G2220" t="str">
            <v>12303</v>
          </cell>
          <cell r="H2220" t="str">
            <v>转入库外购苹果汁1963.5吨</v>
          </cell>
          <cell r="I2220" t="b">
            <v>1</v>
          </cell>
          <cell r="J2220">
            <v>6751735.2400000002</v>
          </cell>
          <cell r="K2220">
            <v>0</v>
          </cell>
          <cell r="L2220">
            <v>1963.5</v>
          </cell>
        </row>
        <row r="2221">
          <cell r="A2221" t="str">
            <v>10</v>
          </cell>
          <cell r="B2221" t="str">
            <v>28</v>
          </cell>
          <cell r="C2221" t="str">
            <v>10</v>
          </cell>
          <cell r="D2221" t="str">
            <v>5</v>
          </cell>
          <cell r="E2221" t="str">
            <v>0022</v>
          </cell>
          <cell r="F2221" t="str">
            <v>0002</v>
          </cell>
          <cell r="G2221" t="str">
            <v>12303</v>
          </cell>
          <cell r="H2221" t="str">
            <v>转本月出库1963.5吨果汁重加工</v>
          </cell>
          <cell r="I2221" t="b">
            <v>0</v>
          </cell>
          <cell r="J2221">
            <v>6751735.2400000002</v>
          </cell>
          <cell r="K2221">
            <v>0</v>
          </cell>
          <cell r="L2221">
            <v>1963.5</v>
          </cell>
        </row>
        <row r="2222">
          <cell r="A2222" t="str">
            <v>11</v>
          </cell>
          <cell r="B2222" t="str">
            <v>29</v>
          </cell>
          <cell r="C2222" t="str">
            <v>11</v>
          </cell>
          <cell r="D2222" t="str">
            <v>5</v>
          </cell>
          <cell r="E2222" t="str">
            <v>0026</v>
          </cell>
          <cell r="F2222" t="str">
            <v>0001</v>
          </cell>
          <cell r="G2222" t="str">
            <v>12303</v>
          </cell>
          <cell r="H2222" t="str">
            <v>转入库外购苹果汁2242.192吨</v>
          </cell>
          <cell r="I2222" t="b">
            <v>1</v>
          </cell>
          <cell r="J2222">
            <v>7588418.9800000004</v>
          </cell>
          <cell r="K2222">
            <v>0</v>
          </cell>
          <cell r="L2222">
            <v>2242.192</v>
          </cell>
        </row>
        <row r="2223">
          <cell r="A2223" t="str">
            <v>11</v>
          </cell>
          <cell r="B2223" t="str">
            <v>29</v>
          </cell>
          <cell r="C2223" t="str">
            <v>11</v>
          </cell>
          <cell r="D2223" t="str">
            <v>5</v>
          </cell>
          <cell r="E2223" t="str">
            <v>0026</v>
          </cell>
          <cell r="F2223" t="str">
            <v>0003</v>
          </cell>
          <cell r="G2223" t="str">
            <v>12303</v>
          </cell>
          <cell r="H2223" t="str">
            <v>转入库外购梨汁308吨</v>
          </cell>
          <cell r="I2223" t="b">
            <v>1</v>
          </cell>
          <cell r="J2223">
            <v>1000341.88</v>
          </cell>
          <cell r="K2223">
            <v>0</v>
          </cell>
          <cell r="L2223">
            <v>308</v>
          </cell>
        </row>
        <row r="2224">
          <cell r="A2224" t="str">
            <v>11</v>
          </cell>
          <cell r="B2224" t="str">
            <v>29</v>
          </cell>
          <cell r="C2224" t="str">
            <v>11</v>
          </cell>
          <cell r="D2224" t="str">
            <v>5</v>
          </cell>
          <cell r="E2224" t="str">
            <v>0027</v>
          </cell>
          <cell r="F2224" t="str">
            <v>0002</v>
          </cell>
          <cell r="G2224" t="str">
            <v>12303</v>
          </cell>
          <cell r="H2224" t="str">
            <v>转本月出库2242.192吨苹果汁加工</v>
          </cell>
          <cell r="I2224" t="b">
            <v>0</v>
          </cell>
          <cell r="J2224">
            <v>7588418.9800000004</v>
          </cell>
          <cell r="K2224">
            <v>0</v>
          </cell>
          <cell r="L2224">
            <v>2242.192</v>
          </cell>
        </row>
        <row r="2225">
          <cell r="A2225" t="str">
            <v>11</v>
          </cell>
          <cell r="B2225" t="str">
            <v>29</v>
          </cell>
          <cell r="C2225" t="str">
            <v>11</v>
          </cell>
          <cell r="D2225" t="str">
            <v>5</v>
          </cell>
          <cell r="E2225" t="str">
            <v>0027</v>
          </cell>
          <cell r="F2225" t="str">
            <v>0004</v>
          </cell>
          <cell r="G2225" t="str">
            <v>12303</v>
          </cell>
          <cell r="H2225" t="str">
            <v>转本月出库308吨梨汁重加工</v>
          </cell>
          <cell r="I2225" t="b">
            <v>0</v>
          </cell>
          <cell r="J2225">
            <v>1000341.88</v>
          </cell>
          <cell r="K2225">
            <v>0</v>
          </cell>
          <cell r="L2225">
            <v>308</v>
          </cell>
        </row>
        <row r="2226">
          <cell r="A2226" t="str">
            <v>12</v>
          </cell>
          <cell r="B2226" t="str">
            <v>29</v>
          </cell>
          <cell r="C2226" t="str">
            <v>12</v>
          </cell>
          <cell r="D2226" t="str">
            <v>5</v>
          </cell>
          <cell r="E2226" t="str">
            <v>0079</v>
          </cell>
          <cell r="F2226" t="str">
            <v>0001</v>
          </cell>
          <cell r="G2226" t="str">
            <v>12303</v>
          </cell>
          <cell r="H2226" t="str">
            <v>转入库外购苹果汁1844.413吨</v>
          </cell>
          <cell r="I2226" t="b">
            <v>1</v>
          </cell>
          <cell r="J2226">
            <v>5493163.5300000003</v>
          </cell>
          <cell r="K2226">
            <v>0</v>
          </cell>
          <cell r="L2226">
            <v>1844.413</v>
          </cell>
        </row>
        <row r="2227">
          <cell r="A2227" t="str">
            <v>12</v>
          </cell>
          <cell r="B2227" t="str">
            <v>29</v>
          </cell>
          <cell r="C2227" t="str">
            <v>12</v>
          </cell>
          <cell r="D2227" t="str">
            <v>5</v>
          </cell>
          <cell r="E2227" t="str">
            <v>0079</v>
          </cell>
          <cell r="F2227" t="str">
            <v>0003</v>
          </cell>
          <cell r="G2227" t="str">
            <v>12303</v>
          </cell>
          <cell r="H2227" t="str">
            <v>转入库外购梨汁68.965</v>
          </cell>
          <cell r="I2227" t="b">
            <v>1</v>
          </cell>
          <cell r="J2227">
            <v>127331.21</v>
          </cell>
          <cell r="K2227">
            <v>0</v>
          </cell>
          <cell r="L2227">
            <v>68.965000000000003</v>
          </cell>
        </row>
        <row r="2228">
          <cell r="A2228" t="str">
            <v>12</v>
          </cell>
          <cell r="B2228" t="str">
            <v>29</v>
          </cell>
          <cell r="C2228" t="str">
            <v>12</v>
          </cell>
          <cell r="D2228" t="str">
            <v>5</v>
          </cell>
          <cell r="E2228" t="str">
            <v>0080</v>
          </cell>
          <cell r="F2228" t="str">
            <v>0002</v>
          </cell>
          <cell r="G2228" t="str">
            <v>12303</v>
          </cell>
          <cell r="H2228" t="str">
            <v>转本月出库1844.413吨苹果汁重加</v>
          </cell>
          <cell r="I2228" t="b">
            <v>0</v>
          </cell>
          <cell r="J2228">
            <v>5493163.5300000003</v>
          </cell>
          <cell r="K2228">
            <v>0</v>
          </cell>
          <cell r="L2228">
            <v>1844.413</v>
          </cell>
        </row>
        <row r="2229">
          <cell r="A2229" t="str">
            <v>12</v>
          </cell>
          <cell r="B2229" t="str">
            <v>29</v>
          </cell>
          <cell r="C2229" t="str">
            <v>12</v>
          </cell>
          <cell r="D2229" t="str">
            <v>5</v>
          </cell>
          <cell r="E2229" t="str">
            <v>0080</v>
          </cell>
          <cell r="F2229" t="str">
            <v>0004</v>
          </cell>
          <cell r="G2229" t="str">
            <v>12303</v>
          </cell>
          <cell r="H2229" t="str">
            <v>转本月出库68.965吨梨汁重加工</v>
          </cell>
          <cell r="I2229" t="b">
            <v>0</v>
          </cell>
          <cell r="J2229">
            <v>127331.21</v>
          </cell>
          <cell r="K2229">
            <v>0</v>
          </cell>
          <cell r="L2229">
            <v>68.965000000000003</v>
          </cell>
        </row>
        <row r="2230">
          <cell r="A2230" t="str">
            <v>02</v>
          </cell>
          <cell r="B2230" t="str">
            <v>01</v>
          </cell>
          <cell r="C2230" t="str">
            <v>02</v>
          </cell>
          <cell r="D2230" t="str">
            <v>2</v>
          </cell>
          <cell r="E2230" t="str">
            <v>0001</v>
          </cell>
          <cell r="F2230" t="str">
            <v>0001</v>
          </cell>
          <cell r="G2230" t="str">
            <v>131</v>
          </cell>
          <cell r="H2230" t="str">
            <v>付装车费.运费</v>
          </cell>
          <cell r="I2230" t="b">
            <v>1</v>
          </cell>
          <cell r="J2230">
            <v>2541.1999999999998</v>
          </cell>
          <cell r="K2230">
            <v>0</v>
          </cell>
          <cell r="L2230">
            <v>0</v>
          </cell>
        </row>
        <row r="2231">
          <cell r="A2231" t="str">
            <v>02</v>
          </cell>
          <cell r="B2231" t="str">
            <v>02</v>
          </cell>
          <cell r="C2231" t="str">
            <v>02</v>
          </cell>
          <cell r="D2231" t="str">
            <v>2</v>
          </cell>
          <cell r="E2231" t="str">
            <v>0007</v>
          </cell>
          <cell r="F2231" t="str">
            <v>0003</v>
          </cell>
          <cell r="G2231" t="str">
            <v>131</v>
          </cell>
          <cell r="H2231" t="str">
            <v>购材料差价</v>
          </cell>
          <cell r="I2231" t="b">
            <v>1</v>
          </cell>
          <cell r="J2231">
            <v>-956.8</v>
          </cell>
          <cell r="K2231">
            <v>0</v>
          </cell>
          <cell r="L2231">
            <v>0</v>
          </cell>
        </row>
        <row r="2232">
          <cell r="A2232" t="str">
            <v>02</v>
          </cell>
          <cell r="B2232" t="str">
            <v>21</v>
          </cell>
          <cell r="C2232" t="str">
            <v>02</v>
          </cell>
          <cell r="D2232" t="str">
            <v>2</v>
          </cell>
          <cell r="E2232" t="str">
            <v>0039</v>
          </cell>
          <cell r="F2232" t="str">
            <v>0002</v>
          </cell>
          <cell r="G2232" t="str">
            <v>131</v>
          </cell>
          <cell r="H2232" t="str">
            <v>购材料差价</v>
          </cell>
          <cell r="I2232" t="b">
            <v>1</v>
          </cell>
          <cell r="J2232">
            <v>510.93</v>
          </cell>
          <cell r="K2232">
            <v>0</v>
          </cell>
          <cell r="L2232">
            <v>0</v>
          </cell>
        </row>
        <row r="2233">
          <cell r="A2233" t="str">
            <v>02</v>
          </cell>
          <cell r="B2233" t="str">
            <v>21</v>
          </cell>
          <cell r="C2233" t="str">
            <v>02</v>
          </cell>
          <cell r="D2233" t="str">
            <v>2</v>
          </cell>
          <cell r="E2233" t="str">
            <v>0040</v>
          </cell>
          <cell r="F2233" t="str">
            <v>0002</v>
          </cell>
          <cell r="G2233" t="str">
            <v>131</v>
          </cell>
          <cell r="H2233" t="str">
            <v>购材料差价</v>
          </cell>
          <cell r="I2233" t="b">
            <v>1</v>
          </cell>
          <cell r="J2233">
            <v>-517.65</v>
          </cell>
          <cell r="K2233">
            <v>0</v>
          </cell>
          <cell r="L2233">
            <v>0</v>
          </cell>
        </row>
        <row r="2234">
          <cell r="A2234" t="str">
            <v>02</v>
          </cell>
          <cell r="B2234" t="str">
            <v>10</v>
          </cell>
          <cell r="C2234" t="str">
            <v>02</v>
          </cell>
          <cell r="D2234" t="str">
            <v>4</v>
          </cell>
          <cell r="E2234" t="str">
            <v>0009</v>
          </cell>
          <cell r="F2234" t="str">
            <v>0003</v>
          </cell>
          <cell r="G2234" t="str">
            <v>131</v>
          </cell>
          <cell r="H2234" t="str">
            <v>购材料差价</v>
          </cell>
          <cell r="I2234" t="b">
            <v>1</v>
          </cell>
          <cell r="J2234">
            <v>-7650.23</v>
          </cell>
          <cell r="K2234">
            <v>0</v>
          </cell>
          <cell r="L2234">
            <v>0</v>
          </cell>
        </row>
        <row r="2235">
          <cell r="A2235" t="str">
            <v>02</v>
          </cell>
          <cell r="B2235" t="str">
            <v>14</v>
          </cell>
          <cell r="C2235" t="str">
            <v>02</v>
          </cell>
          <cell r="D2235" t="str">
            <v>4</v>
          </cell>
          <cell r="E2235" t="str">
            <v>0014</v>
          </cell>
          <cell r="F2235" t="str">
            <v>0003</v>
          </cell>
          <cell r="G2235" t="str">
            <v>131</v>
          </cell>
          <cell r="H2235" t="str">
            <v>购材料差价</v>
          </cell>
          <cell r="I2235" t="b">
            <v>1</v>
          </cell>
          <cell r="J2235">
            <v>-17986.64</v>
          </cell>
          <cell r="K2235">
            <v>0</v>
          </cell>
          <cell r="L2235">
            <v>0</v>
          </cell>
        </row>
        <row r="2236">
          <cell r="A2236" t="str">
            <v>02</v>
          </cell>
          <cell r="B2236" t="str">
            <v>18</v>
          </cell>
          <cell r="C2236" t="str">
            <v>02</v>
          </cell>
          <cell r="D2236" t="str">
            <v>4</v>
          </cell>
          <cell r="E2236" t="str">
            <v>0020</v>
          </cell>
          <cell r="F2236" t="str">
            <v>0003</v>
          </cell>
          <cell r="G2236" t="str">
            <v>131</v>
          </cell>
          <cell r="H2236" t="str">
            <v>购材料差价</v>
          </cell>
          <cell r="I2236" t="b">
            <v>1</v>
          </cell>
          <cell r="J2236">
            <v>-20067.2</v>
          </cell>
          <cell r="K2236">
            <v>0</v>
          </cell>
          <cell r="L2236">
            <v>0</v>
          </cell>
        </row>
        <row r="2237">
          <cell r="A2237" t="str">
            <v>02</v>
          </cell>
          <cell r="B2237" t="str">
            <v>18</v>
          </cell>
          <cell r="C2237" t="str">
            <v>02</v>
          </cell>
          <cell r="D2237" t="str">
            <v>4</v>
          </cell>
          <cell r="E2237" t="str">
            <v>0021</v>
          </cell>
          <cell r="F2237" t="str">
            <v>0003</v>
          </cell>
          <cell r="G2237" t="str">
            <v>131</v>
          </cell>
          <cell r="H2237" t="str">
            <v>购材料差价</v>
          </cell>
          <cell r="I2237" t="b">
            <v>1</v>
          </cell>
          <cell r="J2237">
            <v>-7695.19</v>
          </cell>
          <cell r="K2237">
            <v>0</v>
          </cell>
          <cell r="L2237">
            <v>0</v>
          </cell>
        </row>
        <row r="2238">
          <cell r="A2238" t="str">
            <v>02</v>
          </cell>
          <cell r="B2238" t="str">
            <v>18</v>
          </cell>
          <cell r="C2238" t="str">
            <v>02</v>
          </cell>
          <cell r="D2238" t="str">
            <v>4</v>
          </cell>
          <cell r="E2238" t="str">
            <v>0024</v>
          </cell>
          <cell r="F2238" t="str">
            <v>0001</v>
          </cell>
          <cell r="G2238" t="str">
            <v>131</v>
          </cell>
          <cell r="H2238" t="str">
            <v>付运费</v>
          </cell>
          <cell r="I2238" t="b">
            <v>1</v>
          </cell>
          <cell r="J2238">
            <v>73106.570000000007</v>
          </cell>
          <cell r="K2238">
            <v>0</v>
          </cell>
          <cell r="L2238">
            <v>0</v>
          </cell>
        </row>
        <row r="2239">
          <cell r="A2239" t="str">
            <v>02</v>
          </cell>
          <cell r="B2239" t="str">
            <v>19</v>
          </cell>
          <cell r="C2239" t="str">
            <v>02</v>
          </cell>
          <cell r="D2239" t="str">
            <v>4</v>
          </cell>
          <cell r="E2239" t="str">
            <v>0025</v>
          </cell>
          <cell r="F2239" t="str">
            <v>0002</v>
          </cell>
          <cell r="G2239" t="str">
            <v>131</v>
          </cell>
          <cell r="H2239" t="str">
            <v>付运费</v>
          </cell>
          <cell r="I2239" t="b">
            <v>1</v>
          </cell>
          <cell r="J2239">
            <v>16456.16</v>
          </cell>
          <cell r="K2239">
            <v>0</v>
          </cell>
          <cell r="L2239">
            <v>0</v>
          </cell>
        </row>
        <row r="2240">
          <cell r="A2240" t="str">
            <v>02</v>
          </cell>
          <cell r="B2240" t="str">
            <v>19</v>
          </cell>
          <cell r="C2240" t="str">
            <v>02</v>
          </cell>
          <cell r="D2240" t="str">
            <v>4</v>
          </cell>
          <cell r="E2240" t="str">
            <v>0026</v>
          </cell>
          <cell r="F2240" t="str">
            <v>0002</v>
          </cell>
          <cell r="G2240" t="str">
            <v>131</v>
          </cell>
          <cell r="H2240" t="str">
            <v>付运费</v>
          </cell>
          <cell r="I2240" t="b">
            <v>1</v>
          </cell>
          <cell r="J2240">
            <v>12257.95</v>
          </cell>
          <cell r="K2240">
            <v>0</v>
          </cell>
          <cell r="L2240">
            <v>0</v>
          </cell>
        </row>
        <row r="2241">
          <cell r="A2241" t="str">
            <v>02</v>
          </cell>
          <cell r="B2241" t="str">
            <v>20</v>
          </cell>
          <cell r="C2241" t="str">
            <v>02</v>
          </cell>
          <cell r="D2241" t="str">
            <v>4</v>
          </cell>
          <cell r="E2241" t="str">
            <v>0029</v>
          </cell>
          <cell r="F2241" t="str">
            <v>0001</v>
          </cell>
          <cell r="G2241" t="str">
            <v>131</v>
          </cell>
          <cell r="H2241" t="str">
            <v>付运费</v>
          </cell>
          <cell r="I2241" t="b">
            <v>1</v>
          </cell>
          <cell r="J2241">
            <v>788.58</v>
          </cell>
          <cell r="K2241">
            <v>0</v>
          </cell>
          <cell r="L2241">
            <v>0</v>
          </cell>
        </row>
        <row r="2242">
          <cell r="A2242" t="str">
            <v>02</v>
          </cell>
          <cell r="B2242" t="str">
            <v>22</v>
          </cell>
          <cell r="C2242" t="str">
            <v>02</v>
          </cell>
          <cell r="D2242" t="str">
            <v>5</v>
          </cell>
          <cell r="E2242" t="str">
            <v>0010</v>
          </cell>
          <cell r="F2242" t="str">
            <v>0003</v>
          </cell>
          <cell r="G2242" t="str">
            <v>131</v>
          </cell>
          <cell r="H2242" t="str">
            <v>转购材料差价</v>
          </cell>
          <cell r="I2242" t="b">
            <v>1</v>
          </cell>
          <cell r="J2242">
            <v>-1065.3900000000001</v>
          </cell>
          <cell r="K2242">
            <v>0</v>
          </cell>
          <cell r="L2242">
            <v>0</v>
          </cell>
        </row>
        <row r="2243">
          <cell r="A2243" t="str">
            <v>02</v>
          </cell>
          <cell r="B2243" t="str">
            <v>22</v>
          </cell>
          <cell r="C2243" t="str">
            <v>02</v>
          </cell>
          <cell r="D2243" t="str">
            <v>5</v>
          </cell>
          <cell r="E2243" t="str">
            <v>0011</v>
          </cell>
          <cell r="F2243" t="str">
            <v>0003</v>
          </cell>
          <cell r="G2243" t="str">
            <v>131</v>
          </cell>
          <cell r="H2243" t="str">
            <v>转购明胶等差价</v>
          </cell>
          <cell r="I2243" t="b">
            <v>1</v>
          </cell>
          <cell r="J2243">
            <v>-1070.51</v>
          </cell>
          <cell r="K2243">
            <v>0</v>
          </cell>
          <cell r="L2243">
            <v>0</v>
          </cell>
        </row>
        <row r="2244">
          <cell r="A2244" t="str">
            <v>03</v>
          </cell>
          <cell r="B2244" t="str">
            <v>05</v>
          </cell>
          <cell r="C2244" t="str">
            <v>03</v>
          </cell>
          <cell r="D2244" t="str">
            <v>2</v>
          </cell>
          <cell r="E2244" t="str">
            <v>0003</v>
          </cell>
          <cell r="F2244" t="str">
            <v>0002</v>
          </cell>
          <cell r="G2244" t="str">
            <v>131</v>
          </cell>
          <cell r="H2244" t="str">
            <v>购材料差价</v>
          </cell>
          <cell r="I2244" t="b">
            <v>1</v>
          </cell>
          <cell r="J2244">
            <v>676.54</v>
          </cell>
          <cell r="K2244">
            <v>0</v>
          </cell>
          <cell r="L2244">
            <v>0</v>
          </cell>
        </row>
        <row r="2245">
          <cell r="A2245" t="str">
            <v>03</v>
          </cell>
          <cell r="B2245" t="str">
            <v>25</v>
          </cell>
          <cell r="C2245" t="str">
            <v>03</v>
          </cell>
          <cell r="D2245" t="str">
            <v>2</v>
          </cell>
          <cell r="E2245" t="str">
            <v>0023</v>
          </cell>
          <cell r="F2245" t="str">
            <v>0001</v>
          </cell>
          <cell r="G2245" t="str">
            <v>131</v>
          </cell>
          <cell r="H2245" t="str">
            <v>付运费</v>
          </cell>
          <cell r="I2245" t="b">
            <v>1</v>
          </cell>
          <cell r="J2245">
            <v>1503.6</v>
          </cell>
          <cell r="K2245">
            <v>0</v>
          </cell>
          <cell r="L2245">
            <v>0</v>
          </cell>
        </row>
        <row r="2246">
          <cell r="A2246" t="str">
            <v>03</v>
          </cell>
          <cell r="B2246" t="str">
            <v>02</v>
          </cell>
          <cell r="C2246" t="str">
            <v>03</v>
          </cell>
          <cell r="D2246" t="str">
            <v>4</v>
          </cell>
          <cell r="E2246" t="str">
            <v>0003</v>
          </cell>
          <cell r="F2246" t="str">
            <v>0002</v>
          </cell>
          <cell r="G2246" t="str">
            <v>131</v>
          </cell>
          <cell r="H2246" t="str">
            <v>付材料差异</v>
          </cell>
          <cell r="I2246" t="b">
            <v>1</v>
          </cell>
          <cell r="J2246">
            <v>-818.04</v>
          </cell>
          <cell r="K2246">
            <v>0</v>
          </cell>
          <cell r="L2246">
            <v>0</v>
          </cell>
        </row>
        <row r="2247">
          <cell r="A2247" t="str">
            <v>03</v>
          </cell>
          <cell r="B2247" t="str">
            <v>10</v>
          </cell>
          <cell r="C2247" t="str">
            <v>03</v>
          </cell>
          <cell r="D2247" t="str">
            <v>4</v>
          </cell>
          <cell r="E2247" t="str">
            <v>0011</v>
          </cell>
          <cell r="F2247" t="str">
            <v>0002</v>
          </cell>
          <cell r="G2247" t="str">
            <v>131</v>
          </cell>
          <cell r="H2247" t="str">
            <v>付材料差异</v>
          </cell>
          <cell r="I2247" t="b">
            <v>1</v>
          </cell>
          <cell r="J2247">
            <v>-13073.09</v>
          </cell>
          <cell r="K2247">
            <v>0</v>
          </cell>
          <cell r="L2247">
            <v>0</v>
          </cell>
        </row>
        <row r="2248">
          <cell r="A2248" t="str">
            <v>03</v>
          </cell>
          <cell r="B2248" t="str">
            <v>10</v>
          </cell>
          <cell r="C2248" t="str">
            <v>03</v>
          </cell>
          <cell r="D2248" t="str">
            <v>4</v>
          </cell>
          <cell r="E2248" t="str">
            <v>0012</v>
          </cell>
          <cell r="F2248" t="str">
            <v>0002</v>
          </cell>
          <cell r="G2248" t="str">
            <v>131</v>
          </cell>
          <cell r="H2248" t="str">
            <v>付材料差异</v>
          </cell>
          <cell r="I2248" t="b">
            <v>1</v>
          </cell>
          <cell r="J2248">
            <v>-4626.76</v>
          </cell>
          <cell r="K2248">
            <v>0</v>
          </cell>
          <cell r="L2248">
            <v>0</v>
          </cell>
        </row>
        <row r="2249">
          <cell r="A2249" t="str">
            <v>03</v>
          </cell>
          <cell r="B2249" t="str">
            <v>13</v>
          </cell>
          <cell r="C2249" t="str">
            <v>03</v>
          </cell>
          <cell r="D2249" t="str">
            <v>4</v>
          </cell>
          <cell r="E2249" t="str">
            <v>0015</v>
          </cell>
          <cell r="F2249" t="str">
            <v>0002</v>
          </cell>
          <cell r="G2249" t="str">
            <v>131</v>
          </cell>
          <cell r="H2249" t="str">
            <v>付材料差异</v>
          </cell>
          <cell r="I2249" t="b">
            <v>1</v>
          </cell>
          <cell r="J2249">
            <v>-7230.85</v>
          </cell>
          <cell r="K2249">
            <v>0</v>
          </cell>
          <cell r="L2249">
            <v>0</v>
          </cell>
        </row>
        <row r="2250">
          <cell r="A2250" t="str">
            <v>03</v>
          </cell>
          <cell r="B2250" t="str">
            <v>14</v>
          </cell>
          <cell r="C2250" t="str">
            <v>03</v>
          </cell>
          <cell r="D2250" t="str">
            <v>4</v>
          </cell>
          <cell r="E2250" t="str">
            <v>0019</v>
          </cell>
          <cell r="F2250" t="str">
            <v>0003</v>
          </cell>
          <cell r="G2250" t="str">
            <v>131</v>
          </cell>
          <cell r="H2250" t="str">
            <v>付材料差异</v>
          </cell>
          <cell r="I2250" t="b">
            <v>1</v>
          </cell>
          <cell r="J2250">
            <v>-174.53</v>
          </cell>
          <cell r="K2250">
            <v>0</v>
          </cell>
          <cell r="L2250">
            <v>0</v>
          </cell>
        </row>
        <row r="2251">
          <cell r="A2251" t="str">
            <v>03</v>
          </cell>
          <cell r="B2251" t="str">
            <v>27</v>
          </cell>
          <cell r="C2251" t="str">
            <v>03</v>
          </cell>
          <cell r="D2251" t="str">
            <v>5</v>
          </cell>
          <cell r="E2251" t="str">
            <v>0007</v>
          </cell>
          <cell r="F2251" t="str">
            <v>0003</v>
          </cell>
          <cell r="G2251" t="str">
            <v>131</v>
          </cell>
          <cell r="H2251" t="str">
            <v>转购明胶差价</v>
          </cell>
          <cell r="I2251" t="b">
            <v>1</v>
          </cell>
          <cell r="J2251">
            <v>-3831.19</v>
          </cell>
          <cell r="K2251">
            <v>0</v>
          </cell>
          <cell r="L2251">
            <v>0</v>
          </cell>
        </row>
        <row r="2252">
          <cell r="A2252" t="str">
            <v>03</v>
          </cell>
          <cell r="B2252" t="str">
            <v>27</v>
          </cell>
          <cell r="C2252" t="str">
            <v>03</v>
          </cell>
          <cell r="D2252" t="str">
            <v>5</v>
          </cell>
          <cell r="E2252" t="str">
            <v>0008</v>
          </cell>
          <cell r="F2252" t="str">
            <v>0003</v>
          </cell>
          <cell r="G2252" t="str">
            <v>131</v>
          </cell>
          <cell r="H2252" t="str">
            <v>转购硅溶胶.硅藻土差价</v>
          </cell>
          <cell r="I2252" t="b">
            <v>1</v>
          </cell>
          <cell r="J2252">
            <v>-4894.8900000000003</v>
          </cell>
          <cell r="K2252">
            <v>0</v>
          </cell>
          <cell r="L2252">
            <v>0</v>
          </cell>
        </row>
        <row r="2253">
          <cell r="A2253" t="str">
            <v>04</v>
          </cell>
          <cell r="B2253" t="str">
            <v>20</v>
          </cell>
          <cell r="C2253" t="str">
            <v>04</v>
          </cell>
          <cell r="D2253" t="str">
            <v>2</v>
          </cell>
          <cell r="E2253" t="str">
            <v>0011</v>
          </cell>
          <cell r="F2253" t="str">
            <v>0002</v>
          </cell>
          <cell r="G2253" t="str">
            <v>131</v>
          </cell>
          <cell r="H2253" t="str">
            <v>购材料差价</v>
          </cell>
          <cell r="I2253" t="b">
            <v>1</v>
          </cell>
          <cell r="J2253">
            <v>-918.06</v>
          </cell>
          <cell r="K2253">
            <v>0</v>
          </cell>
          <cell r="L2253">
            <v>0</v>
          </cell>
        </row>
        <row r="2254">
          <cell r="A2254" t="str">
            <v>04</v>
          </cell>
          <cell r="B2254" t="str">
            <v>12</v>
          </cell>
          <cell r="C2254" t="str">
            <v>04</v>
          </cell>
          <cell r="D2254" t="str">
            <v>4</v>
          </cell>
          <cell r="E2254" t="str">
            <v>0010</v>
          </cell>
          <cell r="F2254" t="str">
            <v>0002</v>
          </cell>
          <cell r="G2254" t="str">
            <v>131</v>
          </cell>
          <cell r="H2254" t="str">
            <v>购材料差异</v>
          </cell>
          <cell r="I2254" t="b">
            <v>1</v>
          </cell>
          <cell r="J2254">
            <v>-11922.98</v>
          </cell>
          <cell r="K2254">
            <v>0</v>
          </cell>
          <cell r="L2254">
            <v>0</v>
          </cell>
        </row>
        <row r="2255">
          <cell r="A2255" t="str">
            <v>04</v>
          </cell>
          <cell r="B2255" t="str">
            <v>20</v>
          </cell>
          <cell r="C2255" t="str">
            <v>04</v>
          </cell>
          <cell r="D2255" t="str">
            <v>4</v>
          </cell>
          <cell r="E2255" t="str">
            <v>0024</v>
          </cell>
          <cell r="F2255" t="str">
            <v>0001</v>
          </cell>
          <cell r="G2255" t="str">
            <v>131</v>
          </cell>
          <cell r="H2255" t="str">
            <v>付材料运费</v>
          </cell>
          <cell r="I2255" t="b">
            <v>1</v>
          </cell>
          <cell r="J2255">
            <v>8593.48</v>
          </cell>
          <cell r="K2255">
            <v>0</v>
          </cell>
          <cell r="L2255">
            <v>0</v>
          </cell>
        </row>
        <row r="2256">
          <cell r="A2256" t="str">
            <v>05</v>
          </cell>
          <cell r="B2256" t="str">
            <v>21</v>
          </cell>
          <cell r="C2256" t="str">
            <v>05</v>
          </cell>
          <cell r="D2256" t="str">
            <v>2</v>
          </cell>
          <cell r="E2256" t="str">
            <v>0016</v>
          </cell>
          <cell r="F2256" t="str">
            <v>0002</v>
          </cell>
          <cell r="G2256" t="str">
            <v>131</v>
          </cell>
          <cell r="H2256" t="str">
            <v>购材料差价</v>
          </cell>
          <cell r="I2256" t="b">
            <v>1</v>
          </cell>
          <cell r="J2256">
            <v>-848.53</v>
          </cell>
          <cell r="K2256">
            <v>0</v>
          </cell>
          <cell r="L2256">
            <v>0</v>
          </cell>
        </row>
        <row r="2257">
          <cell r="A2257" t="str">
            <v>05</v>
          </cell>
          <cell r="B2257" t="str">
            <v>09</v>
          </cell>
          <cell r="C2257" t="str">
            <v>05</v>
          </cell>
          <cell r="D2257" t="str">
            <v>4</v>
          </cell>
          <cell r="E2257" t="str">
            <v>0002</v>
          </cell>
          <cell r="F2257" t="str">
            <v>0001</v>
          </cell>
          <cell r="G2257" t="str">
            <v>131</v>
          </cell>
          <cell r="H2257" t="str">
            <v>付材料运费</v>
          </cell>
          <cell r="I2257" t="b">
            <v>1</v>
          </cell>
          <cell r="J2257">
            <v>2132.6799999999998</v>
          </cell>
          <cell r="K2257">
            <v>0</v>
          </cell>
          <cell r="L2257">
            <v>0</v>
          </cell>
        </row>
        <row r="2258">
          <cell r="A2258" t="str">
            <v>05</v>
          </cell>
          <cell r="B2258" t="str">
            <v>15</v>
          </cell>
          <cell r="C2258" t="str">
            <v>05</v>
          </cell>
          <cell r="D2258" t="str">
            <v>4</v>
          </cell>
          <cell r="E2258" t="str">
            <v>0011</v>
          </cell>
          <cell r="F2258" t="str">
            <v>0002</v>
          </cell>
          <cell r="G2258" t="str">
            <v>131</v>
          </cell>
          <cell r="H2258" t="str">
            <v>购材料差价</v>
          </cell>
          <cell r="I2258" t="b">
            <v>1</v>
          </cell>
          <cell r="J2258">
            <v>457.68</v>
          </cell>
          <cell r="K2258">
            <v>0</v>
          </cell>
          <cell r="L2258">
            <v>0</v>
          </cell>
        </row>
        <row r="2259">
          <cell r="A2259" t="str">
            <v>05</v>
          </cell>
          <cell r="B2259" t="str">
            <v>18</v>
          </cell>
          <cell r="C2259" t="str">
            <v>05</v>
          </cell>
          <cell r="D2259" t="str">
            <v>4</v>
          </cell>
          <cell r="E2259" t="str">
            <v>0018</v>
          </cell>
          <cell r="F2259" t="str">
            <v>0002</v>
          </cell>
          <cell r="G2259" t="str">
            <v>131</v>
          </cell>
          <cell r="H2259" t="str">
            <v>购材料差价</v>
          </cell>
          <cell r="I2259" t="b">
            <v>1</v>
          </cell>
          <cell r="J2259">
            <v>-4951.76</v>
          </cell>
          <cell r="K2259">
            <v>0</v>
          </cell>
          <cell r="L2259">
            <v>0</v>
          </cell>
        </row>
        <row r="2260">
          <cell r="A2260" t="str">
            <v>05</v>
          </cell>
          <cell r="B2260" t="str">
            <v>25</v>
          </cell>
          <cell r="C2260" t="str">
            <v>05</v>
          </cell>
          <cell r="D2260" t="str">
            <v>4</v>
          </cell>
          <cell r="E2260" t="str">
            <v>0028</v>
          </cell>
          <cell r="F2260" t="str">
            <v>0002</v>
          </cell>
          <cell r="G2260" t="str">
            <v>131</v>
          </cell>
          <cell r="H2260" t="str">
            <v>购材料差价</v>
          </cell>
          <cell r="I2260" t="b">
            <v>1</v>
          </cell>
          <cell r="J2260">
            <v>-665.35</v>
          </cell>
          <cell r="K2260">
            <v>0</v>
          </cell>
          <cell r="L2260">
            <v>0</v>
          </cell>
        </row>
        <row r="2261">
          <cell r="A2261" t="str">
            <v>05</v>
          </cell>
          <cell r="B2261" t="str">
            <v>25</v>
          </cell>
          <cell r="C2261" t="str">
            <v>05</v>
          </cell>
          <cell r="D2261" t="str">
            <v>5</v>
          </cell>
          <cell r="E2261" t="str">
            <v>0009</v>
          </cell>
          <cell r="F2261" t="str">
            <v>0002</v>
          </cell>
          <cell r="G2261" t="str">
            <v>131</v>
          </cell>
          <cell r="H2261" t="str">
            <v>转购材料差价</v>
          </cell>
          <cell r="I2261" t="b">
            <v>1</v>
          </cell>
          <cell r="J2261">
            <v>19.059999999999999</v>
          </cell>
          <cell r="K2261">
            <v>0</v>
          </cell>
          <cell r="L2261">
            <v>0</v>
          </cell>
        </row>
        <row r="2262">
          <cell r="A2262" t="str">
            <v>05</v>
          </cell>
          <cell r="B2262" t="str">
            <v>29</v>
          </cell>
          <cell r="C2262" t="str">
            <v>05</v>
          </cell>
          <cell r="D2262" t="str">
            <v>5</v>
          </cell>
          <cell r="E2262" t="str">
            <v>0032</v>
          </cell>
          <cell r="F2262" t="str">
            <v>0002</v>
          </cell>
          <cell r="G2262" t="str">
            <v>131</v>
          </cell>
          <cell r="H2262" t="str">
            <v>转购铁桶559个差价</v>
          </cell>
          <cell r="I2262" t="b">
            <v>1</v>
          </cell>
          <cell r="J2262">
            <v>-5140.8900000000003</v>
          </cell>
          <cell r="K2262">
            <v>0</v>
          </cell>
          <cell r="L2262">
            <v>0</v>
          </cell>
        </row>
        <row r="2263">
          <cell r="A2263" t="str">
            <v>06</v>
          </cell>
          <cell r="B2263" t="str">
            <v>10</v>
          </cell>
          <cell r="C2263" t="str">
            <v>06</v>
          </cell>
          <cell r="D2263" t="str">
            <v>2</v>
          </cell>
          <cell r="E2263" t="str">
            <v>0009</v>
          </cell>
          <cell r="F2263" t="str">
            <v>0002</v>
          </cell>
          <cell r="G2263" t="str">
            <v>131</v>
          </cell>
          <cell r="H2263" t="str">
            <v>购材料差价</v>
          </cell>
          <cell r="I2263" t="b">
            <v>1</v>
          </cell>
          <cell r="J2263">
            <v>750.54</v>
          </cell>
          <cell r="K2263">
            <v>0</v>
          </cell>
          <cell r="L2263">
            <v>0</v>
          </cell>
        </row>
        <row r="2264">
          <cell r="A2264" t="str">
            <v>06</v>
          </cell>
          <cell r="B2264" t="str">
            <v>15</v>
          </cell>
          <cell r="C2264" t="str">
            <v>06</v>
          </cell>
          <cell r="D2264" t="str">
            <v>4</v>
          </cell>
          <cell r="E2264" t="str">
            <v>0004</v>
          </cell>
          <cell r="F2264" t="str">
            <v>0002</v>
          </cell>
          <cell r="G2264" t="str">
            <v>131</v>
          </cell>
          <cell r="H2264" t="str">
            <v>购材料差价</v>
          </cell>
          <cell r="I2264" t="b">
            <v>1</v>
          </cell>
          <cell r="J2264">
            <v>-2649.58</v>
          </cell>
          <cell r="K2264">
            <v>0</v>
          </cell>
          <cell r="L2264">
            <v>0</v>
          </cell>
        </row>
        <row r="2265">
          <cell r="A2265" t="str">
            <v>06</v>
          </cell>
          <cell r="B2265" t="str">
            <v>26</v>
          </cell>
          <cell r="C2265" t="str">
            <v>06</v>
          </cell>
          <cell r="D2265" t="str">
            <v>5</v>
          </cell>
          <cell r="E2265" t="str">
            <v>0036</v>
          </cell>
          <cell r="F2265" t="str">
            <v>0004</v>
          </cell>
          <cell r="G2265" t="str">
            <v>131</v>
          </cell>
          <cell r="H2265" t="str">
            <v>转调正计划价差价</v>
          </cell>
          <cell r="I2265" t="b">
            <v>1</v>
          </cell>
          <cell r="J2265">
            <v>46541.9</v>
          </cell>
          <cell r="K2265">
            <v>0</v>
          </cell>
          <cell r="L2265">
            <v>0</v>
          </cell>
        </row>
        <row r="2266">
          <cell r="A2266" t="str">
            <v>07</v>
          </cell>
          <cell r="B2266" t="str">
            <v>15</v>
          </cell>
          <cell r="C2266" t="str">
            <v>07</v>
          </cell>
          <cell r="D2266" t="str">
            <v>2</v>
          </cell>
          <cell r="E2266" t="str">
            <v>0010</v>
          </cell>
          <cell r="F2266" t="str">
            <v>0002</v>
          </cell>
          <cell r="G2266" t="str">
            <v>131</v>
          </cell>
          <cell r="H2266" t="str">
            <v>购材料差价</v>
          </cell>
          <cell r="I2266" t="b">
            <v>1</v>
          </cell>
          <cell r="J2266">
            <v>45.74</v>
          </cell>
          <cell r="K2266">
            <v>0</v>
          </cell>
          <cell r="L2266">
            <v>0</v>
          </cell>
        </row>
        <row r="2267">
          <cell r="A2267" t="str">
            <v>07</v>
          </cell>
          <cell r="B2267" t="str">
            <v>21</v>
          </cell>
          <cell r="C2267" t="str">
            <v>07</v>
          </cell>
          <cell r="D2267" t="str">
            <v>2</v>
          </cell>
          <cell r="E2267" t="str">
            <v>0020</v>
          </cell>
          <cell r="F2267" t="str">
            <v>0002</v>
          </cell>
          <cell r="G2267" t="str">
            <v>131</v>
          </cell>
          <cell r="H2267" t="str">
            <v>购材料差价</v>
          </cell>
          <cell r="I2267" t="b">
            <v>1</v>
          </cell>
          <cell r="J2267">
            <v>320.52</v>
          </cell>
          <cell r="K2267">
            <v>0</v>
          </cell>
          <cell r="L2267">
            <v>0</v>
          </cell>
        </row>
        <row r="2268">
          <cell r="A2268" t="str">
            <v>07</v>
          </cell>
          <cell r="B2268" t="str">
            <v>19</v>
          </cell>
          <cell r="C2268" t="str">
            <v>07</v>
          </cell>
          <cell r="D2268" t="str">
            <v>4</v>
          </cell>
          <cell r="E2268" t="str">
            <v>0018</v>
          </cell>
          <cell r="F2268" t="str">
            <v>0002</v>
          </cell>
          <cell r="G2268" t="str">
            <v>131</v>
          </cell>
          <cell r="H2268" t="str">
            <v>购材料差价</v>
          </cell>
          <cell r="I2268" t="b">
            <v>1</v>
          </cell>
          <cell r="J2268">
            <v>-3555.96</v>
          </cell>
          <cell r="K2268">
            <v>0</v>
          </cell>
          <cell r="L2268">
            <v>0</v>
          </cell>
        </row>
        <row r="2269">
          <cell r="A2269" t="str">
            <v>07</v>
          </cell>
          <cell r="B2269" t="str">
            <v>19</v>
          </cell>
          <cell r="C2269" t="str">
            <v>07</v>
          </cell>
          <cell r="D2269" t="str">
            <v>4</v>
          </cell>
          <cell r="E2269" t="str">
            <v>0020</v>
          </cell>
          <cell r="F2269" t="str">
            <v>0002</v>
          </cell>
          <cell r="G2269" t="str">
            <v>131</v>
          </cell>
          <cell r="H2269" t="str">
            <v>购材料差价</v>
          </cell>
          <cell r="I2269" t="b">
            <v>1</v>
          </cell>
          <cell r="J2269">
            <v>-3810.16</v>
          </cell>
          <cell r="K2269">
            <v>0</v>
          </cell>
          <cell r="L2269">
            <v>0</v>
          </cell>
        </row>
        <row r="2270">
          <cell r="A2270" t="str">
            <v>07</v>
          </cell>
          <cell r="B2270" t="str">
            <v>25</v>
          </cell>
          <cell r="C2270" t="str">
            <v>07</v>
          </cell>
          <cell r="D2270" t="str">
            <v>5</v>
          </cell>
          <cell r="E2270" t="str">
            <v>0015</v>
          </cell>
          <cell r="F2270" t="str">
            <v>0003</v>
          </cell>
          <cell r="G2270" t="str">
            <v>131</v>
          </cell>
          <cell r="H2270" t="str">
            <v>转购材料差价</v>
          </cell>
          <cell r="I2270" t="b">
            <v>1</v>
          </cell>
          <cell r="J2270">
            <v>-6560.33</v>
          </cell>
          <cell r="K2270">
            <v>0</v>
          </cell>
          <cell r="L2270">
            <v>0</v>
          </cell>
        </row>
        <row r="2271">
          <cell r="A2271" t="str">
            <v>07</v>
          </cell>
          <cell r="B2271" t="str">
            <v>25</v>
          </cell>
          <cell r="C2271" t="str">
            <v>07</v>
          </cell>
          <cell r="D2271" t="str">
            <v>5</v>
          </cell>
          <cell r="E2271" t="str">
            <v>0018</v>
          </cell>
          <cell r="F2271" t="str">
            <v>0002</v>
          </cell>
          <cell r="G2271" t="str">
            <v>131</v>
          </cell>
          <cell r="H2271" t="str">
            <v>转购材料差价</v>
          </cell>
          <cell r="I2271" t="b">
            <v>1</v>
          </cell>
          <cell r="J2271">
            <v>43.55</v>
          </cell>
          <cell r="K2271">
            <v>0</v>
          </cell>
          <cell r="L2271">
            <v>0</v>
          </cell>
        </row>
        <row r="2272">
          <cell r="A2272" t="str">
            <v>08</v>
          </cell>
          <cell r="B2272" t="str">
            <v>03</v>
          </cell>
          <cell r="C2272" t="str">
            <v>08</v>
          </cell>
          <cell r="D2272" t="str">
            <v>2</v>
          </cell>
          <cell r="E2272" t="str">
            <v>0003</v>
          </cell>
          <cell r="F2272" t="str">
            <v>0002</v>
          </cell>
          <cell r="G2272" t="str">
            <v>131</v>
          </cell>
          <cell r="H2272" t="str">
            <v>购材料差价</v>
          </cell>
          <cell r="I2272" t="b">
            <v>1</v>
          </cell>
          <cell r="J2272">
            <v>-330.06</v>
          </cell>
          <cell r="K2272">
            <v>0</v>
          </cell>
          <cell r="L2272">
            <v>0</v>
          </cell>
        </row>
        <row r="2273">
          <cell r="A2273" t="str">
            <v>08</v>
          </cell>
          <cell r="B2273" t="str">
            <v>04</v>
          </cell>
          <cell r="C2273" t="str">
            <v>08</v>
          </cell>
          <cell r="D2273" t="str">
            <v>2</v>
          </cell>
          <cell r="E2273" t="str">
            <v>0007</v>
          </cell>
          <cell r="F2273" t="str">
            <v>0002</v>
          </cell>
          <cell r="G2273" t="str">
            <v>131</v>
          </cell>
          <cell r="H2273" t="str">
            <v>购材料差价</v>
          </cell>
          <cell r="I2273" t="b">
            <v>1</v>
          </cell>
          <cell r="J2273">
            <v>-415.6</v>
          </cell>
          <cell r="K2273">
            <v>0</v>
          </cell>
          <cell r="L2273">
            <v>0</v>
          </cell>
        </row>
        <row r="2274">
          <cell r="A2274" t="str">
            <v>08</v>
          </cell>
          <cell r="B2274" t="str">
            <v>15</v>
          </cell>
          <cell r="C2274" t="str">
            <v>08</v>
          </cell>
          <cell r="D2274" t="str">
            <v>2</v>
          </cell>
          <cell r="E2274" t="str">
            <v>0017</v>
          </cell>
          <cell r="F2274" t="str">
            <v>0002</v>
          </cell>
          <cell r="G2274" t="str">
            <v>131</v>
          </cell>
          <cell r="H2274" t="str">
            <v>购材料差价</v>
          </cell>
          <cell r="I2274" t="b">
            <v>1</v>
          </cell>
          <cell r="J2274">
            <v>-19.23</v>
          </cell>
          <cell r="K2274">
            <v>0</v>
          </cell>
          <cell r="L2274">
            <v>0</v>
          </cell>
        </row>
        <row r="2275">
          <cell r="A2275" t="str">
            <v>08</v>
          </cell>
          <cell r="B2275" t="str">
            <v>03</v>
          </cell>
          <cell r="C2275" t="str">
            <v>08</v>
          </cell>
          <cell r="D2275" t="str">
            <v>4</v>
          </cell>
          <cell r="E2275" t="str">
            <v>0004</v>
          </cell>
          <cell r="F2275" t="str">
            <v>0001</v>
          </cell>
          <cell r="G2275" t="str">
            <v>131</v>
          </cell>
          <cell r="H2275" t="str">
            <v>付材料运费</v>
          </cell>
          <cell r="I2275" t="b">
            <v>1</v>
          </cell>
          <cell r="J2275">
            <v>21277.95</v>
          </cell>
          <cell r="K2275">
            <v>0</v>
          </cell>
          <cell r="L2275">
            <v>0</v>
          </cell>
        </row>
        <row r="2276">
          <cell r="A2276" t="str">
            <v>08</v>
          </cell>
          <cell r="B2276" t="str">
            <v>08</v>
          </cell>
          <cell r="C2276" t="str">
            <v>08</v>
          </cell>
          <cell r="D2276" t="str">
            <v>4</v>
          </cell>
          <cell r="E2276" t="str">
            <v>0014</v>
          </cell>
          <cell r="F2276" t="str">
            <v>0002</v>
          </cell>
          <cell r="G2276" t="str">
            <v>131</v>
          </cell>
          <cell r="H2276" t="str">
            <v>购材料差价</v>
          </cell>
          <cell r="I2276" t="b">
            <v>1</v>
          </cell>
          <cell r="J2276">
            <v>-6715.71</v>
          </cell>
          <cell r="K2276">
            <v>0</v>
          </cell>
          <cell r="L2276">
            <v>0</v>
          </cell>
        </row>
        <row r="2277">
          <cell r="A2277" t="str">
            <v>08</v>
          </cell>
          <cell r="B2277" t="str">
            <v>20</v>
          </cell>
          <cell r="C2277" t="str">
            <v>08</v>
          </cell>
          <cell r="D2277" t="str">
            <v>4</v>
          </cell>
          <cell r="E2277" t="str">
            <v>0025</v>
          </cell>
          <cell r="F2277" t="str">
            <v>0002</v>
          </cell>
          <cell r="G2277" t="str">
            <v>131</v>
          </cell>
          <cell r="H2277" t="str">
            <v>购材料差价</v>
          </cell>
          <cell r="I2277" t="b">
            <v>1</v>
          </cell>
          <cell r="J2277">
            <v>-118.6</v>
          </cell>
          <cell r="K2277">
            <v>0</v>
          </cell>
          <cell r="L2277">
            <v>0</v>
          </cell>
        </row>
        <row r="2278">
          <cell r="A2278" t="str">
            <v>08</v>
          </cell>
          <cell r="B2278" t="str">
            <v>28</v>
          </cell>
          <cell r="C2278" t="str">
            <v>08</v>
          </cell>
          <cell r="D2278" t="str">
            <v>5</v>
          </cell>
          <cell r="E2278" t="str">
            <v>0025</v>
          </cell>
          <cell r="F2278" t="str">
            <v>0003</v>
          </cell>
          <cell r="G2278" t="str">
            <v>131</v>
          </cell>
          <cell r="H2278" t="str">
            <v>转购硅藻土等差价</v>
          </cell>
          <cell r="I2278" t="b">
            <v>1</v>
          </cell>
          <cell r="J2278">
            <v>-3332.65</v>
          </cell>
          <cell r="K2278">
            <v>0</v>
          </cell>
          <cell r="L2278">
            <v>0</v>
          </cell>
        </row>
        <row r="2279">
          <cell r="A2279" t="str">
            <v>08</v>
          </cell>
          <cell r="B2279" t="str">
            <v>28</v>
          </cell>
          <cell r="C2279" t="str">
            <v>08</v>
          </cell>
          <cell r="D2279" t="str">
            <v>5</v>
          </cell>
          <cell r="E2279" t="str">
            <v>0026</v>
          </cell>
          <cell r="F2279" t="str">
            <v>0003</v>
          </cell>
          <cell r="G2279" t="str">
            <v>131</v>
          </cell>
          <cell r="H2279" t="str">
            <v>转购明胶.糖化酶等差价</v>
          </cell>
          <cell r="I2279" t="b">
            <v>1</v>
          </cell>
          <cell r="J2279">
            <v>-4053.41</v>
          </cell>
          <cell r="K2279">
            <v>0</v>
          </cell>
          <cell r="L2279">
            <v>0</v>
          </cell>
        </row>
        <row r="2280">
          <cell r="A2280" t="str">
            <v>09</v>
          </cell>
          <cell r="B2280" t="str">
            <v>01</v>
          </cell>
          <cell r="C2280" t="str">
            <v>09</v>
          </cell>
          <cell r="D2280" t="str">
            <v>2</v>
          </cell>
          <cell r="E2280" t="str">
            <v>0002</v>
          </cell>
          <cell r="F2280" t="str">
            <v>0002</v>
          </cell>
          <cell r="G2280" t="str">
            <v>131</v>
          </cell>
          <cell r="H2280" t="str">
            <v>购材料差价</v>
          </cell>
          <cell r="I2280" t="b">
            <v>1</v>
          </cell>
          <cell r="J2280">
            <v>-50.55</v>
          </cell>
          <cell r="K2280">
            <v>0</v>
          </cell>
          <cell r="L2280">
            <v>0</v>
          </cell>
        </row>
        <row r="2281">
          <cell r="A2281" t="str">
            <v>09</v>
          </cell>
          <cell r="B2281" t="str">
            <v>05</v>
          </cell>
          <cell r="C2281" t="str">
            <v>09</v>
          </cell>
          <cell r="D2281" t="str">
            <v>2</v>
          </cell>
          <cell r="E2281" t="str">
            <v>0003</v>
          </cell>
          <cell r="F2281" t="str">
            <v>0002</v>
          </cell>
          <cell r="G2281" t="str">
            <v>131</v>
          </cell>
          <cell r="H2281" t="str">
            <v>购材料差价</v>
          </cell>
          <cell r="I2281" t="b">
            <v>1</v>
          </cell>
          <cell r="J2281">
            <v>1170.8399999999999</v>
          </cell>
          <cell r="K2281">
            <v>0</v>
          </cell>
          <cell r="L2281">
            <v>0</v>
          </cell>
        </row>
        <row r="2282">
          <cell r="A2282" t="str">
            <v>09</v>
          </cell>
          <cell r="B2282" t="str">
            <v>10</v>
          </cell>
          <cell r="C2282" t="str">
            <v>09</v>
          </cell>
          <cell r="D2282" t="str">
            <v>2</v>
          </cell>
          <cell r="E2282" t="str">
            <v>0007</v>
          </cell>
          <cell r="F2282" t="str">
            <v>0002</v>
          </cell>
          <cell r="G2282" t="str">
            <v>131</v>
          </cell>
          <cell r="H2282" t="str">
            <v>购材料差价</v>
          </cell>
          <cell r="I2282" t="b">
            <v>1</v>
          </cell>
          <cell r="J2282">
            <v>262.12</v>
          </cell>
          <cell r="K2282">
            <v>0</v>
          </cell>
          <cell r="L2282">
            <v>0</v>
          </cell>
        </row>
        <row r="2283">
          <cell r="A2283" t="str">
            <v>09</v>
          </cell>
          <cell r="B2283" t="str">
            <v>20</v>
          </cell>
          <cell r="C2283" t="str">
            <v>09</v>
          </cell>
          <cell r="D2283" t="str">
            <v>2</v>
          </cell>
          <cell r="E2283" t="str">
            <v>0013</v>
          </cell>
          <cell r="F2283" t="str">
            <v>0002</v>
          </cell>
          <cell r="G2283" t="str">
            <v>131</v>
          </cell>
          <cell r="H2283" t="str">
            <v>购材料差价</v>
          </cell>
          <cell r="I2283" t="b">
            <v>1</v>
          </cell>
          <cell r="J2283">
            <v>-704.43</v>
          </cell>
          <cell r="K2283">
            <v>0</v>
          </cell>
          <cell r="L2283">
            <v>0</v>
          </cell>
        </row>
        <row r="2284">
          <cell r="A2284" t="str">
            <v>09</v>
          </cell>
          <cell r="B2284" t="str">
            <v>01</v>
          </cell>
          <cell r="C2284" t="str">
            <v>09</v>
          </cell>
          <cell r="D2284" t="str">
            <v>4</v>
          </cell>
          <cell r="E2284" t="str">
            <v>0002</v>
          </cell>
          <cell r="F2284" t="str">
            <v>0001</v>
          </cell>
          <cell r="G2284" t="str">
            <v>131</v>
          </cell>
          <cell r="H2284" t="str">
            <v>付运费</v>
          </cell>
          <cell r="I2284" t="b">
            <v>1</v>
          </cell>
          <cell r="J2284">
            <v>5200</v>
          </cell>
          <cell r="K2284">
            <v>0</v>
          </cell>
          <cell r="L2284">
            <v>0</v>
          </cell>
        </row>
        <row r="2285">
          <cell r="A2285" t="str">
            <v>09</v>
          </cell>
          <cell r="B2285" t="str">
            <v>01</v>
          </cell>
          <cell r="C2285" t="str">
            <v>09</v>
          </cell>
          <cell r="D2285" t="str">
            <v>4</v>
          </cell>
          <cell r="E2285" t="str">
            <v>0003</v>
          </cell>
          <cell r="F2285" t="str">
            <v>0001</v>
          </cell>
          <cell r="G2285" t="str">
            <v>131</v>
          </cell>
          <cell r="H2285" t="str">
            <v>付运费</v>
          </cell>
          <cell r="I2285" t="b">
            <v>1</v>
          </cell>
          <cell r="J2285">
            <v>16719.169999999998</v>
          </cell>
          <cell r="K2285">
            <v>0</v>
          </cell>
          <cell r="L2285">
            <v>0</v>
          </cell>
        </row>
        <row r="2286">
          <cell r="A2286" t="str">
            <v>09</v>
          </cell>
          <cell r="B2286" t="str">
            <v>06</v>
          </cell>
          <cell r="C2286" t="str">
            <v>09</v>
          </cell>
          <cell r="D2286" t="str">
            <v>4</v>
          </cell>
          <cell r="E2286" t="str">
            <v>0008</v>
          </cell>
          <cell r="F2286" t="str">
            <v>0002</v>
          </cell>
          <cell r="G2286" t="str">
            <v>131</v>
          </cell>
          <cell r="H2286" t="str">
            <v>购材料差价</v>
          </cell>
          <cell r="I2286" t="b">
            <v>1</v>
          </cell>
          <cell r="J2286">
            <v>-6427.78</v>
          </cell>
          <cell r="K2286">
            <v>0</v>
          </cell>
          <cell r="L2286">
            <v>0</v>
          </cell>
        </row>
        <row r="2287">
          <cell r="A2287" t="str">
            <v>09</v>
          </cell>
          <cell r="B2287" t="str">
            <v>12</v>
          </cell>
          <cell r="C2287" t="str">
            <v>09</v>
          </cell>
          <cell r="D2287" t="str">
            <v>4</v>
          </cell>
          <cell r="E2287" t="str">
            <v>0015</v>
          </cell>
          <cell r="F2287" t="str">
            <v>0001</v>
          </cell>
          <cell r="G2287" t="str">
            <v>131</v>
          </cell>
          <cell r="H2287" t="str">
            <v>付进口无菌袋报关费等</v>
          </cell>
          <cell r="I2287" t="b">
            <v>1</v>
          </cell>
          <cell r="J2287">
            <v>4546</v>
          </cell>
          <cell r="K2287">
            <v>0</v>
          </cell>
          <cell r="L2287">
            <v>0</v>
          </cell>
        </row>
        <row r="2288">
          <cell r="A2288" t="str">
            <v>09</v>
          </cell>
          <cell r="B2288" t="str">
            <v>14</v>
          </cell>
          <cell r="C2288" t="str">
            <v>09</v>
          </cell>
          <cell r="D2288" t="str">
            <v>4</v>
          </cell>
          <cell r="E2288" t="str">
            <v>0016</v>
          </cell>
          <cell r="F2288" t="str">
            <v>0002</v>
          </cell>
          <cell r="G2288" t="str">
            <v>131</v>
          </cell>
          <cell r="H2288" t="str">
            <v>购材料差价</v>
          </cell>
          <cell r="I2288" t="b">
            <v>1</v>
          </cell>
          <cell r="J2288">
            <v>-9256.7000000000007</v>
          </cell>
          <cell r="K2288">
            <v>0</v>
          </cell>
          <cell r="L2288">
            <v>0</v>
          </cell>
        </row>
        <row r="2289">
          <cell r="A2289" t="str">
            <v>09</v>
          </cell>
          <cell r="B2289" t="str">
            <v>15</v>
          </cell>
          <cell r="C2289" t="str">
            <v>09</v>
          </cell>
          <cell r="D2289" t="str">
            <v>4</v>
          </cell>
          <cell r="E2289" t="str">
            <v>0018</v>
          </cell>
          <cell r="F2289" t="str">
            <v>0002</v>
          </cell>
          <cell r="G2289" t="str">
            <v>131</v>
          </cell>
          <cell r="H2289" t="str">
            <v>购材料差价</v>
          </cell>
          <cell r="I2289" t="b">
            <v>1</v>
          </cell>
          <cell r="J2289">
            <v>-122.72</v>
          </cell>
          <cell r="K2289">
            <v>0</v>
          </cell>
          <cell r="L2289">
            <v>0</v>
          </cell>
        </row>
        <row r="2290">
          <cell r="A2290" t="str">
            <v>09</v>
          </cell>
          <cell r="B2290" t="str">
            <v>15</v>
          </cell>
          <cell r="C2290" t="str">
            <v>09</v>
          </cell>
          <cell r="D2290" t="str">
            <v>4</v>
          </cell>
          <cell r="E2290" t="str">
            <v>0019</v>
          </cell>
          <cell r="F2290" t="str">
            <v>0002</v>
          </cell>
          <cell r="G2290" t="str">
            <v>131</v>
          </cell>
          <cell r="H2290" t="str">
            <v>购材料差价</v>
          </cell>
          <cell r="I2290" t="b">
            <v>1</v>
          </cell>
          <cell r="J2290">
            <v>-1158.6199999999999</v>
          </cell>
          <cell r="K2290">
            <v>0</v>
          </cell>
          <cell r="L2290">
            <v>0</v>
          </cell>
        </row>
        <row r="2291">
          <cell r="A2291" t="str">
            <v>09</v>
          </cell>
          <cell r="B2291" t="str">
            <v>23</v>
          </cell>
          <cell r="C2291" t="str">
            <v>09</v>
          </cell>
          <cell r="D2291" t="str">
            <v>4</v>
          </cell>
          <cell r="E2291" t="str">
            <v>0026</v>
          </cell>
          <cell r="F2291" t="str">
            <v>0002</v>
          </cell>
          <cell r="G2291" t="str">
            <v>131</v>
          </cell>
          <cell r="H2291" t="str">
            <v>购材料差价</v>
          </cell>
          <cell r="I2291" t="b">
            <v>1</v>
          </cell>
          <cell r="J2291">
            <v>-13105.64</v>
          </cell>
          <cell r="K2291">
            <v>0</v>
          </cell>
          <cell r="L2291">
            <v>0</v>
          </cell>
        </row>
        <row r="2292">
          <cell r="A2292" t="str">
            <v>09</v>
          </cell>
          <cell r="B2292" t="str">
            <v>23</v>
          </cell>
          <cell r="C2292" t="str">
            <v>09</v>
          </cell>
          <cell r="D2292" t="str">
            <v>4</v>
          </cell>
          <cell r="E2292" t="str">
            <v>0029</v>
          </cell>
          <cell r="F2292" t="str">
            <v>0002</v>
          </cell>
          <cell r="G2292" t="str">
            <v>131</v>
          </cell>
          <cell r="H2292" t="str">
            <v>购材料差价</v>
          </cell>
          <cell r="I2292" t="b">
            <v>1</v>
          </cell>
          <cell r="J2292">
            <v>427.35</v>
          </cell>
          <cell r="K2292">
            <v>0</v>
          </cell>
          <cell r="L2292">
            <v>0</v>
          </cell>
        </row>
        <row r="2293">
          <cell r="A2293" t="str">
            <v>09</v>
          </cell>
          <cell r="B2293" t="str">
            <v>18</v>
          </cell>
          <cell r="C2293" t="str">
            <v>09</v>
          </cell>
          <cell r="D2293" t="str">
            <v>5</v>
          </cell>
          <cell r="E2293" t="str">
            <v>0007</v>
          </cell>
          <cell r="F2293" t="str">
            <v>0005</v>
          </cell>
          <cell r="G2293" t="str">
            <v>131</v>
          </cell>
          <cell r="H2293" t="str">
            <v>转购活性炭等差价</v>
          </cell>
          <cell r="I2293" t="b">
            <v>1</v>
          </cell>
          <cell r="J2293">
            <v>-3841.88</v>
          </cell>
          <cell r="K2293">
            <v>0</v>
          </cell>
          <cell r="L2293">
            <v>0</v>
          </cell>
        </row>
        <row r="2294">
          <cell r="A2294" t="str">
            <v>09</v>
          </cell>
          <cell r="B2294" t="str">
            <v>18</v>
          </cell>
          <cell r="C2294" t="str">
            <v>09</v>
          </cell>
          <cell r="D2294" t="str">
            <v>5</v>
          </cell>
          <cell r="E2294" t="str">
            <v>0008</v>
          </cell>
          <cell r="F2294" t="str">
            <v>0003</v>
          </cell>
          <cell r="G2294" t="str">
            <v>131</v>
          </cell>
          <cell r="H2294" t="str">
            <v>转购硅溶胶等及运费差价</v>
          </cell>
          <cell r="I2294" t="b">
            <v>1</v>
          </cell>
          <cell r="J2294">
            <v>3730.08</v>
          </cell>
          <cell r="K2294">
            <v>0</v>
          </cell>
          <cell r="L2294">
            <v>0</v>
          </cell>
        </row>
        <row r="2295">
          <cell r="A2295" t="str">
            <v>09</v>
          </cell>
          <cell r="B2295" t="str">
            <v>18</v>
          </cell>
          <cell r="C2295" t="str">
            <v>09</v>
          </cell>
          <cell r="D2295" t="str">
            <v>5</v>
          </cell>
          <cell r="E2295" t="str">
            <v>0009</v>
          </cell>
          <cell r="F2295" t="str">
            <v>0004</v>
          </cell>
          <cell r="G2295" t="str">
            <v>131</v>
          </cell>
          <cell r="H2295" t="str">
            <v>转购糖化酶等差价</v>
          </cell>
          <cell r="I2295" t="b">
            <v>1</v>
          </cell>
          <cell r="J2295">
            <v>-6117.19</v>
          </cell>
          <cell r="K2295">
            <v>0</v>
          </cell>
          <cell r="L2295">
            <v>0</v>
          </cell>
        </row>
        <row r="2296">
          <cell r="A2296" t="str">
            <v>09</v>
          </cell>
          <cell r="B2296" t="str">
            <v>24</v>
          </cell>
          <cell r="C2296" t="str">
            <v>09</v>
          </cell>
          <cell r="D2296" t="str">
            <v>5</v>
          </cell>
          <cell r="E2296" t="str">
            <v>0010</v>
          </cell>
          <cell r="F2296" t="str">
            <v>0003</v>
          </cell>
          <cell r="G2296" t="str">
            <v>131</v>
          </cell>
          <cell r="H2296" t="str">
            <v>转购PVC管等差价</v>
          </cell>
          <cell r="I2296" t="b">
            <v>1</v>
          </cell>
          <cell r="J2296">
            <v>-125.11</v>
          </cell>
          <cell r="K2296">
            <v>0</v>
          </cell>
          <cell r="L2296">
            <v>0</v>
          </cell>
        </row>
        <row r="2297">
          <cell r="A2297" t="str">
            <v>10</v>
          </cell>
          <cell r="B2297" t="str">
            <v>05</v>
          </cell>
          <cell r="C2297" t="str">
            <v>10</v>
          </cell>
          <cell r="D2297" t="str">
            <v>2</v>
          </cell>
          <cell r="E2297" t="str">
            <v>0004</v>
          </cell>
          <cell r="F2297" t="str">
            <v>0002</v>
          </cell>
          <cell r="G2297" t="str">
            <v>131</v>
          </cell>
          <cell r="H2297" t="str">
            <v>购材料差价</v>
          </cell>
          <cell r="I2297" t="b">
            <v>1</v>
          </cell>
          <cell r="J2297">
            <v>-556.78</v>
          </cell>
          <cell r="K2297">
            <v>0</v>
          </cell>
          <cell r="L2297">
            <v>0</v>
          </cell>
        </row>
        <row r="2298">
          <cell r="A2298" t="str">
            <v>10</v>
          </cell>
          <cell r="B2298" t="str">
            <v>10</v>
          </cell>
          <cell r="C2298" t="str">
            <v>10</v>
          </cell>
          <cell r="D2298" t="str">
            <v>2</v>
          </cell>
          <cell r="E2298" t="str">
            <v>0009</v>
          </cell>
          <cell r="F2298" t="str">
            <v>0002</v>
          </cell>
          <cell r="G2298" t="str">
            <v>131</v>
          </cell>
          <cell r="H2298" t="str">
            <v>购材料差价</v>
          </cell>
          <cell r="I2298" t="b">
            <v>1</v>
          </cell>
          <cell r="J2298">
            <v>100.89</v>
          </cell>
          <cell r="K2298">
            <v>0</v>
          </cell>
          <cell r="L2298">
            <v>0</v>
          </cell>
        </row>
        <row r="2299">
          <cell r="A2299" t="str">
            <v>10</v>
          </cell>
          <cell r="B2299" t="str">
            <v>10</v>
          </cell>
          <cell r="C2299" t="str">
            <v>10</v>
          </cell>
          <cell r="D2299" t="str">
            <v>2</v>
          </cell>
          <cell r="E2299" t="str">
            <v>0010</v>
          </cell>
          <cell r="F2299" t="str">
            <v>0001</v>
          </cell>
          <cell r="G2299" t="str">
            <v>131</v>
          </cell>
          <cell r="H2299" t="str">
            <v>付进口液体酶费用</v>
          </cell>
          <cell r="I2299" t="b">
            <v>1</v>
          </cell>
          <cell r="J2299">
            <v>554.91999999999996</v>
          </cell>
          <cell r="K2299">
            <v>0</v>
          </cell>
          <cell r="L2299">
            <v>0</v>
          </cell>
        </row>
        <row r="2300">
          <cell r="A2300" t="str">
            <v>10</v>
          </cell>
          <cell r="B2300" t="str">
            <v>03</v>
          </cell>
          <cell r="C2300" t="str">
            <v>10</v>
          </cell>
          <cell r="D2300" t="str">
            <v>4</v>
          </cell>
          <cell r="E2300" t="str">
            <v>0004</v>
          </cell>
          <cell r="F2300" t="str">
            <v>0001</v>
          </cell>
          <cell r="G2300" t="str">
            <v>131</v>
          </cell>
          <cell r="H2300" t="str">
            <v>付材料运费</v>
          </cell>
          <cell r="I2300" t="b">
            <v>1</v>
          </cell>
          <cell r="J2300">
            <v>2062.37</v>
          </cell>
          <cell r="K2300">
            <v>0</v>
          </cell>
          <cell r="L2300">
            <v>0</v>
          </cell>
        </row>
        <row r="2301">
          <cell r="A2301" t="str">
            <v>10</v>
          </cell>
          <cell r="B2301" t="str">
            <v>03</v>
          </cell>
          <cell r="C2301" t="str">
            <v>10</v>
          </cell>
          <cell r="D2301" t="str">
            <v>4</v>
          </cell>
          <cell r="E2301" t="str">
            <v>0006</v>
          </cell>
          <cell r="F2301" t="str">
            <v>0001</v>
          </cell>
          <cell r="G2301" t="str">
            <v>131</v>
          </cell>
          <cell r="H2301" t="str">
            <v>付材料运费</v>
          </cell>
          <cell r="I2301" t="b">
            <v>1</v>
          </cell>
          <cell r="J2301">
            <v>35212.65</v>
          </cell>
          <cell r="K2301">
            <v>0</v>
          </cell>
          <cell r="L2301">
            <v>0</v>
          </cell>
        </row>
        <row r="2302">
          <cell r="A2302" t="str">
            <v>10</v>
          </cell>
          <cell r="B2302" t="str">
            <v>05</v>
          </cell>
          <cell r="C2302" t="str">
            <v>10</v>
          </cell>
          <cell r="D2302" t="str">
            <v>4</v>
          </cell>
          <cell r="E2302" t="str">
            <v>0008</v>
          </cell>
          <cell r="F2302" t="str">
            <v>0001</v>
          </cell>
          <cell r="G2302" t="str">
            <v>131</v>
          </cell>
          <cell r="H2302" t="str">
            <v>付进口无菌袋卫检费</v>
          </cell>
          <cell r="I2302" t="b">
            <v>1</v>
          </cell>
          <cell r="J2302">
            <v>2167</v>
          </cell>
          <cell r="K2302">
            <v>0</v>
          </cell>
          <cell r="L2302">
            <v>0</v>
          </cell>
        </row>
        <row r="2303">
          <cell r="A2303" t="str">
            <v>10</v>
          </cell>
          <cell r="B2303" t="str">
            <v>22</v>
          </cell>
          <cell r="C2303" t="str">
            <v>10</v>
          </cell>
          <cell r="D2303" t="str">
            <v>4</v>
          </cell>
          <cell r="E2303" t="str">
            <v>0024</v>
          </cell>
          <cell r="F2303" t="str">
            <v>0002</v>
          </cell>
          <cell r="G2303" t="str">
            <v>131</v>
          </cell>
          <cell r="H2303" t="str">
            <v>购材料差价</v>
          </cell>
          <cell r="I2303" t="b">
            <v>1</v>
          </cell>
          <cell r="J2303">
            <v>-2036.03</v>
          </cell>
          <cell r="K2303">
            <v>0</v>
          </cell>
          <cell r="L2303">
            <v>0</v>
          </cell>
        </row>
        <row r="2304">
          <cell r="A2304" t="str">
            <v>10</v>
          </cell>
          <cell r="B2304" t="str">
            <v>22</v>
          </cell>
          <cell r="C2304" t="str">
            <v>10</v>
          </cell>
          <cell r="D2304" t="str">
            <v>4</v>
          </cell>
          <cell r="E2304" t="str">
            <v>0026</v>
          </cell>
          <cell r="F2304" t="str">
            <v>0002</v>
          </cell>
          <cell r="G2304" t="str">
            <v>131</v>
          </cell>
          <cell r="H2304" t="str">
            <v>购材料差价</v>
          </cell>
          <cell r="I2304" t="b">
            <v>1</v>
          </cell>
          <cell r="J2304">
            <v>-17517.64</v>
          </cell>
          <cell r="K2304">
            <v>0</v>
          </cell>
          <cell r="L2304">
            <v>0</v>
          </cell>
        </row>
        <row r="2305">
          <cell r="A2305" t="str">
            <v>10</v>
          </cell>
          <cell r="B2305" t="str">
            <v>22</v>
          </cell>
          <cell r="C2305" t="str">
            <v>10</v>
          </cell>
          <cell r="D2305" t="str">
            <v>4</v>
          </cell>
          <cell r="E2305" t="str">
            <v>0028</v>
          </cell>
          <cell r="F2305" t="str">
            <v>0002</v>
          </cell>
          <cell r="G2305" t="str">
            <v>131</v>
          </cell>
          <cell r="H2305" t="str">
            <v>购材料差价</v>
          </cell>
          <cell r="I2305" t="b">
            <v>1</v>
          </cell>
          <cell r="J2305">
            <v>-451.04</v>
          </cell>
          <cell r="K2305">
            <v>0</v>
          </cell>
          <cell r="L2305">
            <v>0</v>
          </cell>
        </row>
        <row r="2306">
          <cell r="A2306" t="str">
            <v>10</v>
          </cell>
          <cell r="B2306" t="str">
            <v>22</v>
          </cell>
          <cell r="C2306" t="str">
            <v>10</v>
          </cell>
          <cell r="D2306" t="str">
            <v>4</v>
          </cell>
          <cell r="E2306" t="str">
            <v>0031</v>
          </cell>
          <cell r="F2306" t="str">
            <v>0002</v>
          </cell>
          <cell r="G2306" t="str">
            <v>131</v>
          </cell>
          <cell r="H2306" t="str">
            <v>购无菌袋差价</v>
          </cell>
          <cell r="I2306" t="b">
            <v>1</v>
          </cell>
          <cell r="J2306">
            <v>-105200</v>
          </cell>
          <cell r="K2306">
            <v>0</v>
          </cell>
          <cell r="L2306">
            <v>0</v>
          </cell>
        </row>
        <row r="2307">
          <cell r="A2307" t="str">
            <v>10</v>
          </cell>
          <cell r="B2307" t="str">
            <v>24</v>
          </cell>
          <cell r="C2307" t="str">
            <v>10</v>
          </cell>
          <cell r="D2307" t="str">
            <v>5</v>
          </cell>
          <cell r="E2307" t="str">
            <v>0011</v>
          </cell>
          <cell r="F2307" t="str">
            <v>0002</v>
          </cell>
          <cell r="G2307" t="str">
            <v>131</v>
          </cell>
          <cell r="H2307" t="str">
            <v>转调正材料差额</v>
          </cell>
          <cell r="I2307" t="b">
            <v>1</v>
          </cell>
          <cell r="J2307">
            <v>-54577.34</v>
          </cell>
          <cell r="K2307">
            <v>0</v>
          </cell>
          <cell r="L2307">
            <v>0</v>
          </cell>
        </row>
        <row r="2308">
          <cell r="A2308" t="str">
            <v>11</v>
          </cell>
          <cell r="B2308" t="str">
            <v>05</v>
          </cell>
          <cell r="C2308" t="str">
            <v>11</v>
          </cell>
          <cell r="D2308" t="str">
            <v>2</v>
          </cell>
          <cell r="E2308" t="str">
            <v>0006</v>
          </cell>
          <cell r="F2308" t="str">
            <v>0001</v>
          </cell>
          <cell r="G2308" t="str">
            <v>131</v>
          </cell>
          <cell r="H2308" t="str">
            <v>付材料运费</v>
          </cell>
          <cell r="I2308" t="b">
            <v>1</v>
          </cell>
          <cell r="J2308">
            <v>6021.38</v>
          </cell>
          <cell r="K2308">
            <v>0</v>
          </cell>
          <cell r="L2308">
            <v>0</v>
          </cell>
        </row>
        <row r="2309">
          <cell r="A2309" t="str">
            <v>11</v>
          </cell>
          <cell r="B2309" t="str">
            <v>07</v>
          </cell>
          <cell r="C2309" t="str">
            <v>11</v>
          </cell>
          <cell r="D2309" t="str">
            <v>2</v>
          </cell>
          <cell r="E2309" t="str">
            <v>0008</v>
          </cell>
          <cell r="F2309" t="str">
            <v>0001</v>
          </cell>
          <cell r="G2309" t="str">
            <v>131</v>
          </cell>
          <cell r="H2309" t="str">
            <v>付进口材料运费</v>
          </cell>
          <cell r="I2309" t="b">
            <v>1</v>
          </cell>
          <cell r="J2309">
            <v>5216.3900000000003</v>
          </cell>
          <cell r="K2309">
            <v>0</v>
          </cell>
          <cell r="L2309">
            <v>0</v>
          </cell>
        </row>
        <row r="2310">
          <cell r="A2310" t="str">
            <v>11</v>
          </cell>
          <cell r="B2310" t="str">
            <v>15</v>
          </cell>
          <cell r="C2310" t="str">
            <v>11</v>
          </cell>
          <cell r="D2310" t="str">
            <v>2</v>
          </cell>
          <cell r="E2310" t="str">
            <v>0017</v>
          </cell>
          <cell r="F2310" t="str">
            <v>0002</v>
          </cell>
          <cell r="G2310" t="str">
            <v>131</v>
          </cell>
          <cell r="H2310" t="str">
            <v>购材料差价</v>
          </cell>
          <cell r="I2310" t="b">
            <v>1</v>
          </cell>
          <cell r="J2310">
            <v>908.9</v>
          </cell>
          <cell r="K2310">
            <v>0</v>
          </cell>
          <cell r="L2310">
            <v>0</v>
          </cell>
        </row>
        <row r="2311">
          <cell r="A2311" t="str">
            <v>11</v>
          </cell>
          <cell r="B2311" t="str">
            <v>15</v>
          </cell>
          <cell r="C2311" t="str">
            <v>11</v>
          </cell>
          <cell r="D2311" t="str">
            <v>2</v>
          </cell>
          <cell r="E2311" t="str">
            <v>0018</v>
          </cell>
          <cell r="F2311" t="str">
            <v>0002</v>
          </cell>
          <cell r="G2311" t="str">
            <v>131</v>
          </cell>
          <cell r="H2311" t="str">
            <v>购材料差价</v>
          </cell>
          <cell r="I2311" t="b">
            <v>1</v>
          </cell>
          <cell r="J2311">
            <v>170.85</v>
          </cell>
          <cell r="K2311">
            <v>0</v>
          </cell>
          <cell r="L2311">
            <v>0</v>
          </cell>
        </row>
        <row r="2312">
          <cell r="A2312" t="str">
            <v>11</v>
          </cell>
          <cell r="B2312" t="str">
            <v>15</v>
          </cell>
          <cell r="C2312" t="str">
            <v>11</v>
          </cell>
          <cell r="D2312" t="str">
            <v>2</v>
          </cell>
          <cell r="E2312" t="str">
            <v>0019</v>
          </cell>
          <cell r="F2312" t="str">
            <v>0003</v>
          </cell>
          <cell r="G2312" t="str">
            <v>131</v>
          </cell>
          <cell r="H2312" t="str">
            <v>购材料差价</v>
          </cell>
          <cell r="I2312" t="b">
            <v>1</v>
          </cell>
          <cell r="J2312">
            <v>-287.99</v>
          </cell>
          <cell r="K2312">
            <v>0</v>
          </cell>
          <cell r="L2312">
            <v>0</v>
          </cell>
        </row>
        <row r="2313">
          <cell r="A2313" t="str">
            <v>11</v>
          </cell>
          <cell r="B2313" t="str">
            <v>18</v>
          </cell>
          <cell r="C2313" t="str">
            <v>11</v>
          </cell>
          <cell r="D2313" t="str">
            <v>2</v>
          </cell>
          <cell r="E2313" t="str">
            <v>0021</v>
          </cell>
          <cell r="F2313" t="str">
            <v>0002</v>
          </cell>
          <cell r="G2313" t="str">
            <v>131</v>
          </cell>
          <cell r="H2313" t="str">
            <v>付材料运费</v>
          </cell>
          <cell r="I2313" t="b">
            <v>1</v>
          </cell>
          <cell r="J2313">
            <v>3357.3</v>
          </cell>
          <cell r="K2313">
            <v>0</v>
          </cell>
          <cell r="L2313">
            <v>0</v>
          </cell>
        </row>
        <row r="2314">
          <cell r="A2314" t="str">
            <v>11</v>
          </cell>
          <cell r="B2314" t="str">
            <v>21</v>
          </cell>
          <cell r="C2314" t="str">
            <v>11</v>
          </cell>
          <cell r="D2314" t="str">
            <v>2</v>
          </cell>
          <cell r="E2314" t="str">
            <v>0024</v>
          </cell>
          <cell r="F2314" t="str">
            <v>0003</v>
          </cell>
          <cell r="G2314" t="str">
            <v>131</v>
          </cell>
          <cell r="H2314" t="str">
            <v>购材料差价</v>
          </cell>
          <cell r="I2314" t="b">
            <v>1</v>
          </cell>
          <cell r="J2314">
            <v>-962.03</v>
          </cell>
          <cell r="K2314">
            <v>0</v>
          </cell>
          <cell r="L2314">
            <v>0</v>
          </cell>
        </row>
        <row r="2315">
          <cell r="A2315" t="str">
            <v>11</v>
          </cell>
          <cell r="B2315" t="str">
            <v>10</v>
          </cell>
          <cell r="C2315" t="str">
            <v>11</v>
          </cell>
          <cell r="D2315" t="str">
            <v>4</v>
          </cell>
          <cell r="E2315" t="str">
            <v>0010</v>
          </cell>
          <cell r="F2315" t="str">
            <v>0001</v>
          </cell>
          <cell r="G2315" t="str">
            <v>131</v>
          </cell>
          <cell r="H2315" t="str">
            <v>付材料运费</v>
          </cell>
          <cell r="I2315" t="b">
            <v>1</v>
          </cell>
          <cell r="J2315">
            <v>37562.550000000003</v>
          </cell>
          <cell r="K2315">
            <v>0</v>
          </cell>
          <cell r="L2315">
            <v>0</v>
          </cell>
        </row>
        <row r="2316">
          <cell r="A2316" t="str">
            <v>11</v>
          </cell>
          <cell r="B2316" t="str">
            <v>14</v>
          </cell>
          <cell r="C2316" t="str">
            <v>11</v>
          </cell>
          <cell r="D2316" t="str">
            <v>4</v>
          </cell>
          <cell r="E2316" t="str">
            <v>0015</v>
          </cell>
          <cell r="F2316" t="str">
            <v>0002</v>
          </cell>
          <cell r="G2316" t="str">
            <v>131</v>
          </cell>
          <cell r="H2316" t="str">
            <v>购材料差价</v>
          </cell>
          <cell r="I2316" t="b">
            <v>1</v>
          </cell>
          <cell r="J2316">
            <v>-4351.3599999999997</v>
          </cell>
          <cell r="K2316">
            <v>0</v>
          </cell>
          <cell r="L2316">
            <v>0</v>
          </cell>
        </row>
        <row r="2317">
          <cell r="A2317" t="str">
            <v>11</v>
          </cell>
          <cell r="B2317" t="str">
            <v>15</v>
          </cell>
          <cell r="C2317" t="str">
            <v>11</v>
          </cell>
          <cell r="D2317" t="str">
            <v>4</v>
          </cell>
          <cell r="E2317" t="str">
            <v>0019</v>
          </cell>
          <cell r="F2317" t="str">
            <v>0002</v>
          </cell>
          <cell r="G2317" t="str">
            <v>131</v>
          </cell>
          <cell r="H2317" t="str">
            <v>购材料差价</v>
          </cell>
          <cell r="I2317" t="b">
            <v>1</v>
          </cell>
          <cell r="J2317">
            <v>-5725.39</v>
          </cell>
          <cell r="K2317">
            <v>0</v>
          </cell>
          <cell r="L2317">
            <v>0</v>
          </cell>
        </row>
        <row r="2318">
          <cell r="A2318" t="str">
            <v>11</v>
          </cell>
          <cell r="B2318" t="str">
            <v>15</v>
          </cell>
          <cell r="C2318" t="str">
            <v>11</v>
          </cell>
          <cell r="D2318" t="str">
            <v>4</v>
          </cell>
          <cell r="E2318" t="str">
            <v>0022</v>
          </cell>
          <cell r="F2318" t="str">
            <v>0002</v>
          </cell>
          <cell r="G2318" t="str">
            <v>131</v>
          </cell>
          <cell r="H2318" t="str">
            <v>购材料差价</v>
          </cell>
          <cell r="I2318" t="b">
            <v>1</v>
          </cell>
          <cell r="J2318">
            <v>-2618.8000000000002</v>
          </cell>
          <cell r="K2318">
            <v>0</v>
          </cell>
          <cell r="L2318">
            <v>0</v>
          </cell>
        </row>
        <row r="2319">
          <cell r="A2319" t="str">
            <v>11</v>
          </cell>
          <cell r="B2319" t="str">
            <v>23</v>
          </cell>
          <cell r="C2319" t="str">
            <v>11</v>
          </cell>
          <cell r="D2319" t="str">
            <v>4</v>
          </cell>
          <cell r="E2319" t="str">
            <v>0035</v>
          </cell>
          <cell r="F2319" t="str">
            <v>0002</v>
          </cell>
          <cell r="G2319" t="str">
            <v>131</v>
          </cell>
          <cell r="H2319" t="str">
            <v>购材料差价</v>
          </cell>
          <cell r="I2319" t="b">
            <v>1</v>
          </cell>
          <cell r="J2319">
            <v>-4620.83</v>
          </cell>
          <cell r="K2319">
            <v>0</v>
          </cell>
          <cell r="L2319">
            <v>0</v>
          </cell>
        </row>
        <row r="2320">
          <cell r="A2320" t="str">
            <v>11</v>
          </cell>
          <cell r="B2320" t="str">
            <v>23</v>
          </cell>
          <cell r="C2320" t="str">
            <v>11</v>
          </cell>
          <cell r="D2320" t="str">
            <v>4</v>
          </cell>
          <cell r="E2320" t="str">
            <v>0036</v>
          </cell>
          <cell r="F2320" t="str">
            <v>0002</v>
          </cell>
          <cell r="G2320" t="str">
            <v>131</v>
          </cell>
          <cell r="H2320" t="str">
            <v>购材料差价</v>
          </cell>
          <cell r="I2320" t="b">
            <v>1</v>
          </cell>
          <cell r="J2320">
            <v>-35324.550000000003</v>
          </cell>
          <cell r="K2320">
            <v>0</v>
          </cell>
          <cell r="L2320">
            <v>0</v>
          </cell>
        </row>
        <row r="2321">
          <cell r="A2321" t="str">
            <v>11</v>
          </cell>
          <cell r="B2321" t="str">
            <v>16</v>
          </cell>
          <cell r="C2321" t="str">
            <v>11</v>
          </cell>
          <cell r="D2321" t="str">
            <v>5</v>
          </cell>
          <cell r="E2321" t="str">
            <v>0001</v>
          </cell>
          <cell r="F2321" t="str">
            <v>0002</v>
          </cell>
          <cell r="G2321" t="str">
            <v>131</v>
          </cell>
          <cell r="H2321" t="str">
            <v>转购编织袋.硅藻土差价</v>
          </cell>
          <cell r="I2321" t="b">
            <v>1</v>
          </cell>
          <cell r="J2321">
            <v>-3176.92</v>
          </cell>
          <cell r="K2321">
            <v>0</v>
          </cell>
          <cell r="L2321">
            <v>0</v>
          </cell>
        </row>
        <row r="2322">
          <cell r="A2322" t="str">
            <v>11</v>
          </cell>
          <cell r="B2322" t="str">
            <v>16</v>
          </cell>
          <cell r="C2322" t="str">
            <v>11</v>
          </cell>
          <cell r="D2322" t="str">
            <v>5</v>
          </cell>
          <cell r="E2322" t="str">
            <v>0002</v>
          </cell>
          <cell r="F2322" t="str">
            <v>0002</v>
          </cell>
          <cell r="G2322" t="str">
            <v>131</v>
          </cell>
          <cell r="H2322" t="str">
            <v>转购机械密封.火碱差价</v>
          </cell>
          <cell r="I2322" t="b">
            <v>1</v>
          </cell>
          <cell r="J2322">
            <v>-606.41</v>
          </cell>
          <cell r="K2322">
            <v>0</v>
          </cell>
          <cell r="L2322">
            <v>0</v>
          </cell>
        </row>
        <row r="2323">
          <cell r="A2323" t="str">
            <v>11</v>
          </cell>
          <cell r="B2323" t="str">
            <v>16</v>
          </cell>
          <cell r="C2323" t="str">
            <v>11</v>
          </cell>
          <cell r="D2323" t="str">
            <v>5</v>
          </cell>
          <cell r="E2323" t="str">
            <v>0003</v>
          </cell>
          <cell r="F2323" t="str">
            <v>0002</v>
          </cell>
          <cell r="G2323" t="str">
            <v>131</v>
          </cell>
          <cell r="H2323" t="str">
            <v>转购维生素C.明胶差价</v>
          </cell>
          <cell r="I2323" t="b">
            <v>1</v>
          </cell>
          <cell r="J2323">
            <v>-7583.32</v>
          </cell>
          <cell r="K2323">
            <v>0</v>
          </cell>
          <cell r="L2323">
            <v>0</v>
          </cell>
        </row>
        <row r="2324">
          <cell r="A2324" t="str">
            <v>11</v>
          </cell>
          <cell r="B2324" t="str">
            <v>26</v>
          </cell>
          <cell r="C2324" t="str">
            <v>11</v>
          </cell>
          <cell r="D2324" t="str">
            <v>5</v>
          </cell>
          <cell r="E2324" t="str">
            <v>0021</v>
          </cell>
          <cell r="F2324" t="str">
            <v>0004</v>
          </cell>
          <cell r="G2324" t="str">
            <v>131</v>
          </cell>
          <cell r="H2324" t="str">
            <v>转订正差价</v>
          </cell>
          <cell r="I2324" t="b">
            <v>1</v>
          </cell>
          <cell r="J2324">
            <v>30</v>
          </cell>
          <cell r="K2324">
            <v>0</v>
          </cell>
          <cell r="L2324">
            <v>0</v>
          </cell>
        </row>
        <row r="2325">
          <cell r="A2325" t="str">
            <v>12</v>
          </cell>
          <cell r="B2325" t="str">
            <v>01</v>
          </cell>
          <cell r="C2325" t="str">
            <v>12</v>
          </cell>
          <cell r="D2325" t="str">
            <v>2</v>
          </cell>
          <cell r="E2325" t="str">
            <v>0001</v>
          </cell>
          <cell r="F2325" t="str">
            <v>0002</v>
          </cell>
          <cell r="G2325" t="str">
            <v>131</v>
          </cell>
          <cell r="H2325" t="str">
            <v>购材料差价</v>
          </cell>
          <cell r="I2325" t="b">
            <v>1</v>
          </cell>
          <cell r="J2325">
            <v>-123.5</v>
          </cell>
          <cell r="K2325">
            <v>0</v>
          </cell>
          <cell r="L2325">
            <v>0</v>
          </cell>
        </row>
        <row r="2326">
          <cell r="A2326" t="str">
            <v>12</v>
          </cell>
          <cell r="B2326" t="str">
            <v>01</v>
          </cell>
          <cell r="C2326" t="str">
            <v>12</v>
          </cell>
          <cell r="D2326" t="str">
            <v>2</v>
          </cell>
          <cell r="E2326" t="str">
            <v>0002</v>
          </cell>
          <cell r="F2326" t="str">
            <v>0002</v>
          </cell>
          <cell r="G2326" t="str">
            <v>131</v>
          </cell>
          <cell r="H2326" t="str">
            <v>购材料差价</v>
          </cell>
          <cell r="I2326" t="b">
            <v>1</v>
          </cell>
          <cell r="J2326">
            <v>-181.9</v>
          </cell>
          <cell r="K2326">
            <v>0</v>
          </cell>
          <cell r="L2326">
            <v>0</v>
          </cell>
        </row>
        <row r="2327">
          <cell r="A2327" t="str">
            <v>12</v>
          </cell>
          <cell r="B2327" t="str">
            <v>02</v>
          </cell>
          <cell r="C2327" t="str">
            <v>12</v>
          </cell>
          <cell r="D2327" t="str">
            <v>2</v>
          </cell>
          <cell r="E2327" t="str">
            <v>0003</v>
          </cell>
          <cell r="F2327" t="str">
            <v>0002</v>
          </cell>
          <cell r="G2327" t="str">
            <v>131</v>
          </cell>
          <cell r="H2327" t="str">
            <v>购材料差价</v>
          </cell>
          <cell r="I2327" t="b">
            <v>1</v>
          </cell>
          <cell r="J2327">
            <v>435.4</v>
          </cell>
          <cell r="K2327">
            <v>0</v>
          </cell>
          <cell r="L2327">
            <v>0</v>
          </cell>
        </row>
        <row r="2328">
          <cell r="A2328" t="str">
            <v>12</v>
          </cell>
          <cell r="B2328" t="str">
            <v>15</v>
          </cell>
          <cell r="C2328" t="str">
            <v>12</v>
          </cell>
          <cell r="D2328" t="str">
            <v>2</v>
          </cell>
          <cell r="E2328" t="str">
            <v>0016</v>
          </cell>
          <cell r="F2328" t="str">
            <v>0002</v>
          </cell>
          <cell r="G2328" t="str">
            <v>131</v>
          </cell>
          <cell r="H2328" t="str">
            <v>购材料差价</v>
          </cell>
          <cell r="I2328" t="b">
            <v>1</v>
          </cell>
          <cell r="J2328">
            <v>-51.67</v>
          </cell>
          <cell r="K2328">
            <v>0</v>
          </cell>
          <cell r="L2328">
            <v>0</v>
          </cell>
        </row>
        <row r="2329">
          <cell r="A2329" t="str">
            <v>12</v>
          </cell>
          <cell r="B2329" t="str">
            <v>21</v>
          </cell>
          <cell r="C2329" t="str">
            <v>12</v>
          </cell>
          <cell r="D2329" t="str">
            <v>2</v>
          </cell>
          <cell r="E2329" t="str">
            <v>0023</v>
          </cell>
          <cell r="F2329" t="str">
            <v>0002</v>
          </cell>
          <cell r="G2329" t="str">
            <v>131</v>
          </cell>
          <cell r="H2329" t="str">
            <v>购材料差价</v>
          </cell>
          <cell r="I2329" t="b">
            <v>1</v>
          </cell>
          <cell r="J2329">
            <v>172.8</v>
          </cell>
          <cell r="K2329">
            <v>0</v>
          </cell>
          <cell r="L2329">
            <v>0</v>
          </cell>
        </row>
        <row r="2330">
          <cell r="A2330" t="str">
            <v>12</v>
          </cell>
          <cell r="B2330" t="str">
            <v>10</v>
          </cell>
          <cell r="C2330" t="str">
            <v>12</v>
          </cell>
          <cell r="D2330" t="str">
            <v>4</v>
          </cell>
          <cell r="E2330" t="str">
            <v>0019</v>
          </cell>
          <cell r="F2330" t="str">
            <v>0003</v>
          </cell>
          <cell r="G2330" t="str">
            <v>131</v>
          </cell>
          <cell r="H2330" t="str">
            <v>购材料差价</v>
          </cell>
          <cell r="I2330" t="b">
            <v>1</v>
          </cell>
          <cell r="J2330">
            <v>-376.85</v>
          </cell>
          <cell r="K2330">
            <v>0</v>
          </cell>
          <cell r="L2330">
            <v>0</v>
          </cell>
        </row>
        <row r="2331">
          <cell r="A2331" t="str">
            <v>12</v>
          </cell>
          <cell r="B2331" t="str">
            <v>19</v>
          </cell>
          <cell r="C2331" t="str">
            <v>12</v>
          </cell>
          <cell r="D2331" t="str">
            <v>4</v>
          </cell>
          <cell r="E2331" t="str">
            <v>0029</v>
          </cell>
          <cell r="F2331" t="str">
            <v>0001</v>
          </cell>
          <cell r="G2331" t="str">
            <v>131</v>
          </cell>
          <cell r="H2331" t="str">
            <v>付运费</v>
          </cell>
          <cell r="I2331" t="b">
            <v>1</v>
          </cell>
          <cell r="J2331">
            <v>2062.37</v>
          </cell>
          <cell r="K2331">
            <v>0</v>
          </cell>
          <cell r="L2331">
            <v>0</v>
          </cell>
        </row>
        <row r="2332">
          <cell r="A2332" t="str">
            <v>12</v>
          </cell>
          <cell r="B2332" t="str">
            <v>20</v>
          </cell>
          <cell r="C2332" t="str">
            <v>12</v>
          </cell>
          <cell r="D2332" t="str">
            <v>4</v>
          </cell>
          <cell r="E2332" t="str">
            <v>0033</v>
          </cell>
          <cell r="F2332" t="str">
            <v>0003</v>
          </cell>
          <cell r="G2332" t="str">
            <v>131</v>
          </cell>
          <cell r="H2332" t="str">
            <v>购材料差价</v>
          </cell>
          <cell r="I2332" t="b">
            <v>1</v>
          </cell>
          <cell r="J2332">
            <v>-4922.1000000000004</v>
          </cell>
          <cell r="K2332">
            <v>0</v>
          </cell>
          <cell r="L2332">
            <v>0</v>
          </cell>
        </row>
        <row r="2333">
          <cell r="A2333" t="str">
            <v>12</v>
          </cell>
          <cell r="B2333" t="str">
            <v>23</v>
          </cell>
          <cell r="C2333" t="str">
            <v>12</v>
          </cell>
          <cell r="D2333" t="str">
            <v>4</v>
          </cell>
          <cell r="E2333" t="str">
            <v>0052</v>
          </cell>
          <cell r="F2333" t="str">
            <v>0002</v>
          </cell>
          <cell r="G2333" t="str">
            <v>131</v>
          </cell>
          <cell r="H2333" t="str">
            <v>购材料差价</v>
          </cell>
          <cell r="I2333" t="b">
            <v>1</v>
          </cell>
          <cell r="J2333">
            <v>-1250.3900000000001</v>
          </cell>
          <cell r="K2333">
            <v>0</v>
          </cell>
          <cell r="L2333">
            <v>0</v>
          </cell>
        </row>
        <row r="2334">
          <cell r="A2334" t="str">
            <v>12</v>
          </cell>
          <cell r="B2334" t="str">
            <v>20</v>
          </cell>
          <cell r="C2334" t="str">
            <v>12</v>
          </cell>
          <cell r="D2334" t="str">
            <v>5</v>
          </cell>
          <cell r="E2334" t="str">
            <v>0008</v>
          </cell>
          <cell r="F2334" t="str">
            <v>0002</v>
          </cell>
          <cell r="G2334" t="str">
            <v>131</v>
          </cell>
          <cell r="H2334" t="str">
            <v>转报销运费</v>
          </cell>
          <cell r="I2334" t="b">
            <v>1</v>
          </cell>
          <cell r="J2334">
            <v>204</v>
          </cell>
          <cell r="K2334">
            <v>0</v>
          </cell>
          <cell r="L2334">
            <v>0</v>
          </cell>
        </row>
        <row r="2335">
          <cell r="A2335" t="str">
            <v>12</v>
          </cell>
          <cell r="B2335" t="str">
            <v>20</v>
          </cell>
          <cell r="C2335" t="str">
            <v>12</v>
          </cell>
          <cell r="D2335" t="str">
            <v>5</v>
          </cell>
          <cell r="E2335" t="str">
            <v>0013</v>
          </cell>
          <cell r="F2335" t="str">
            <v>0003</v>
          </cell>
          <cell r="G2335" t="str">
            <v>131</v>
          </cell>
          <cell r="H2335" t="str">
            <v>转购硅藻土.苹果酸等差价</v>
          </cell>
          <cell r="I2335" t="b">
            <v>1</v>
          </cell>
          <cell r="J2335">
            <v>-1210.94</v>
          </cell>
          <cell r="K2335">
            <v>0</v>
          </cell>
          <cell r="L2335">
            <v>0</v>
          </cell>
        </row>
        <row r="2336">
          <cell r="A2336" t="str">
            <v>12</v>
          </cell>
          <cell r="B2336" t="str">
            <v>20</v>
          </cell>
          <cell r="C2336" t="str">
            <v>12</v>
          </cell>
          <cell r="D2336" t="str">
            <v>5</v>
          </cell>
          <cell r="E2336" t="str">
            <v>0014</v>
          </cell>
          <cell r="F2336" t="str">
            <v>0003</v>
          </cell>
          <cell r="G2336" t="str">
            <v>131</v>
          </cell>
          <cell r="H2336" t="str">
            <v>转购明胶.糖化酶等差价</v>
          </cell>
          <cell r="I2336" t="b">
            <v>1</v>
          </cell>
          <cell r="J2336">
            <v>-6938.86</v>
          </cell>
          <cell r="K2336">
            <v>0</v>
          </cell>
          <cell r="L2336">
            <v>0</v>
          </cell>
        </row>
        <row r="2337">
          <cell r="A2337" t="str">
            <v>12</v>
          </cell>
          <cell r="B2337" t="str">
            <v>27</v>
          </cell>
          <cell r="C2337" t="str">
            <v>12</v>
          </cell>
          <cell r="D2337" t="str">
            <v>5</v>
          </cell>
          <cell r="E2337" t="str">
            <v>0035</v>
          </cell>
          <cell r="F2337" t="str">
            <v>0002</v>
          </cell>
          <cell r="G2337" t="str">
            <v>131</v>
          </cell>
          <cell r="H2337" t="str">
            <v>转冲6月5-36#材料差价</v>
          </cell>
          <cell r="I2337" t="b">
            <v>0</v>
          </cell>
          <cell r="J2337">
            <v>46541.9</v>
          </cell>
          <cell r="K2337">
            <v>0</v>
          </cell>
          <cell r="L2337">
            <v>0</v>
          </cell>
        </row>
        <row r="2338">
          <cell r="A2338" t="str">
            <v>12</v>
          </cell>
          <cell r="B2338" t="str">
            <v>29</v>
          </cell>
          <cell r="C2338" t="str">
            <v>12</v>
          </cell>
          <cell r="D2338" t="str">
            <v>5</v>
          </cell>
          <cell r="E2338" t="str">
            <v>0077</v>
          </cell>
          <cell r="F2338" t="str">
            <v>0002</v>
          </cell>
          <cell r="G2338" t="str">
            <v>131</v>
          </cell>
          <cell r="H2338" t="str">
            <v>转入库铁桶31153个差价</v>
          </cell>
          <cell r="I2338" t="b">
            <v>1</v>
          </cell>
          <cell r="J2338">
            <v>-37383.599999999999</v>
          </cell>
          <cell r="K2338">
            <v>0</v>
          </cell>
          <cell r="L2338">
            <v>0</v>
          </cell>
        </row>
        <row r="2339">
          <cell r="A2339" t="str">
            <v>12</v>
          </cell>
          <cell r="B2339" t="str">
            <v>29</v>
          </cell>
          <cell r="C2339" t="str">
            <v>12</v>
          </cell>
          <cell r="D2339" t="str">
            <v>5</v>
          </cell>
          <cell r="E2339" t="str">
            <v>0082</v>
          </cell>
          <cell r="F2339" t="str">
            <v>0002</v>
          </cell>
          <cell r="G2339" t="str">
            <v>131</v>
          </cell>
          <cell r="H2339" t="str">
            <v>结转材料成本节支差价</v>
          </cell>
          <cell r="I2339" t="b">
            <v>1</v>
          </cell>
          <cell r="J2339">
            <v>867287.71</v>
          </cell>
          <cell r="K2339">
            <v>0</v>
          </cell>
          <cell r="L2339">
            <v>0</v>
          </cell>
        </row>
        <row r="2340">
          <cell r="A2340" t="str">
            <v>12</v>
          </cell>
          <cell r="B2340" t="str">
            <v>29</v>
          </cell>
          <cell r="C2340" t="str">
            <v>12</v>
          </cell>
          <cell r="D2340" t="str">
            <v>5</v>
          </cell>
          <cell r="E2340" t="str">
            <v>0076</v>
          </cell>
          <cell r="F2340" t="str">
            <v>0001</v>
          </cell>
          <cell r="G2340" t="str">
            <v>13301</v>
          </cell>
          <cell r="H2340" t="str">
            <v>转入委托加工铁桶款</v>
          </cell>
          <cell r="I2340" t="b">
            <v>1</v>
          </cell>
          <cell r="J2340">
            <v>2808192.38</v>
          </cell>
          <cell r="K2340">
            <v>0</v>
          </cell>
          <cell r="L2340">
            <v>0</v>
          </cell>
        </row>
        <row r="2341">
          <cell r="A2341" t="str">
            <v>12</v>
          </cell>
          <cell r="B2341" t="str">
            <v>29</v>
          </cell>
          <cell r="C2341" t="str">
            <v>12</v>
          </cell>
          <cell r="D2341" t="str">
            <v>5</v>
          </cell>
          <cell r="E2341" t="str">
            <v>0077</v>
          </cell>
          <cell r="F2341" t="str">
            <v>0003</v>
          </cell>
          <cell r="G2341" t="str">
            <v>13301</v>
          </cell>
          <cell r="H2341" t="str">
            <v>转出委托加工铁桶31153个</v>
          </cell>
          <cell r="I2341" t="b">
            <v>0</v>
          </cell>
          <cell r="J2341">
            <v>2808192.38</v>
          </cell>
          <cell r="K2341">
            <v>0</v>
          </cell>
          <cell r="L2341">
            <v>0</v>
          </cell>
        </row>
        <row r="2342">
          <cell r="A2342" t="str">
            <v>02</v>
          </cell>
          <cell r="B2342" t="str">
            <v>29</v>
          </cell>
          <cell r="C2342" t="str">
            <v>02</v>
          </cell>
          <cell r="D2342" t="str">
            <v>5</v>
          </cell>
          <cell r="E2342" t="str">
            <v>0051</v>
          </cell>
          <cell r="F2342" t="str">
            <v>0001</v>
          </cell>
          <cell r="G2342" t="str">
            <v>13701</v>
          </cell>
          <cell r="H2342" t="str">
            <v>转本月入库2322.617吨重加工果汁</v>
          </cell>
          <cell r="I2342" t="b">
            <v>1</v>
          </cell>
          <cell r="J2342">
            <v>11603765.99</v>
          </cell>
          <cell r="K2342">
            <v>0</v>
          </cell>
          <cell r="L2342">
            <v>2322.6170000000002</v>
          </cell>
        </row>
        <row r="2343">
          <cell r="A2343" t="str">
            <v>02</v>
          </cell>
          <cell r="B2343" t="str">
            <v>29</v>
          </cell>
          <cell r="C2343" t="str">
            <v>02</v>
          </cell>
          <cell r="D2343" t="str">
            <v>5</v>
          </cell>
          <cell r="E2343" t="str">
            <v>0052</v>
          </cell>
          <cell r="F2343" t="str">
            <v>0004</v>
          </cell>
          <cell r="G2343" t="str">
            <v>13701</v>
          </cell>
          <cell r="H2343" t="str">
            <v>结转本月产品销售成本</v>
          </cell>
          <cell r="I2343" t="b">
            <v>0</v>
          </cell>
          <cell r="J2343">
            <v>12046973.26</v>
          </cell>
          <cell r="K2343">
            <v>0</v>
          </cell>
          <cell r="L2343">
            <v>2533.2449999999999</v>
          </cell>
        </row>
        <row r="2344">
          <cell r="A2344" t="str">
            <v>03</v>
          </cell>
          <cell r="B2344" t="str">
            <v>28</v>
          </cell>
          <cell r="C2344" t="str">
            <v>03</v>
          </cell>
          <cell r="D2344" t="str">
            <v>5</v>
          </cell>
          <cell r="E2344" t="str">
            <v>0021</v>
          </cell>
          <cell r="F2344" t="str">
            <v>0004</v>
          </cell>
          <cell r="G2344" t="str">
            <v>13701</v>
          </cell>
          <cell r="H2344" t="str">
            <v>结转本月产品销售成本</v>
          </cell>
          <cell r="I2344" t="b">
            <v>0</v>
          </cell>
          <cell r="J2344">
            <v>3717850.95</v>
          </cell>
          <cell r="K2344">
            <v>0</v>
          </cell>
          <cell r="L2344">
            <v>781.79200000000003</v>
          </cell>
        </row>
        <row r="2345">
          <cell r="A2345" t="str">
            <v>04</v>
          </cell>
          <cell r="B2345" t="str">
            <v>28</v>
          </cell>
          <cell r="C2345" t="str">
            <v>04</v>
          </cell>
          <cell r="D2345" t="str">
            <v>5</v>
          </cell>
          <cell r="E2345" t="str">
            <v>0032</v>
          </cell>
          <cell r="F2345" t="str">
            <v>0001</v>
          </cell>
          <cell r="G2345" t="str">
            <v>13701</v>
          </cell>
          <cell r="H2345" t="str">
            <v>转本月入库2139.13吨重加工果汁</v>
          </cell>
          <cell r="I2345" t="b">
            <v>1</v>
          </cell>
          <cell r="J2345">
            <v>9656908.6500000004</v>
          </cell>
          <cell r="K2345">
            <v>0</v>
          </cell>
          <cell r="L2345">
            <v>2139.13</v>
          </cell>
        </row>
        <row r="2346">
          <cell r="A2346" t="str">
            <v>04</v>
          </cell>
          <cell r="B2346" t="str">
            <v>28</v>
          </cell>
          <cell r="C2346" t="str">
            <v>04</v>
          </cell>
          <cell r="D2346" t="str">
            <v>5</v>
          </cell>
          <cell r="E2346" t="str">
            <v>0033</v>
          </cell>
          <cell r="F2346" t="str">
            <v>0003</v>
          </cell>
          <cell r="G2346" t="str">
            <v>13701</v>
          </cell>
          <cell r="H2346" t="str">
            <v>结转本月产品销售成本</v>
          </cell>
          <cell r="I2346" t="b">
            <v>0</v>
          </cell>
          <cell r="J2346">
            <v>3266972.45</v>
          </cell>
          <cell r="K2346">
            <v>0</v>
          </cell>
          <cell r="L2346">
            <v>712.35</v>
          </cell>
        </row>
        <row r="2347">
          <cell r="A2347" t="str">
            <v>05</v>
          </cell>
          <cell r="B2347" t="str">
            <v>29</v>
          </cell>
          <cell r="C2347" t="str">
            <v>05</v>
          </cell>
          <cell r="D2347" t="str">
            <v>5</v>
          </cell>
          <cell r="E2347" t="str">
            <v>0034</v>
          </cell>
          <cell r="F2347" t="str">
            <v>0002</v>
          </cell>
          <cell r="G2347" t="str">
            <v>13701</v>
          </cell>
          <cell r="H2347" t="str">
            <v>结转本月产品销售成本</v>
          </cell>
          <cell r="I2347" t="b">
            <v>0</v>
          </cell>
          <cell r="J2347">
            <v>4855628.66</v>
          </cell>
          <cell r="K2347">
            <v>0</v>
          </cell>
          <cell r="L2347">
            <v>1058.75</v>
          </cell>
        </row>
        <row r="2348">
          <cell r="A2348" t="str">
            <v>06</v>
          </cell>
          <cell r="B2348" t="str">
            <v>25</v>
          </cell>
          <cell r="C2348" t="str">
            <v>06</v>
          </cell>
          <cell r="D2348" t="str">
            <v>5</v>
          </cell>
          <cell r="E2348" t="str">
            <v>0023</v>
          </cell>
          <cell r="F2348" t="str">
            <v>0002</v>
          </cell>
          <cell r="G2348" t="str">
            <v>13701</v>
          </cell>
          <cell r="H2348" t="str">
            <v>结转本月产品销售成本</v>
          </cell>
          <cell r="I2348" t="b">
            <v>0</v>
          </cell>
          <cell r="J2348">
            <v>1538666.75</v>
          </cell>
          <cell r="K2348">
            <v>0</v>
          </cell>
          <cell r="L2348">
            <v>335.5</v>
          </cell>
        </row>
        <row r="2349">
          <cell r="A2349" t="str">
            <v>07</v>
          </cell>
          <cell r="B2349" t="str">
            <v>28</v>
          </cell>
          <cell r="C2349" t="str">
            <v>07</v>
          </cell>
          <cell r="D2349" t="str">
            <v>5</v>
          </cell>
          <cell r="E2349" t="str">
            <v>0040</v>
          </cell>
          <cell r="F2349" t="str">
            <v>0004</v>
          </cell>
          <cell r="G2349" t="str">
            <v>13701</v>
          </cell>
          <cell r="H2349" t="str">
            <v>结转本月产品销售成本</v>
          </cell>
          <cell r="I2349" t="b">
            <v>0</v>
          </cell>
          <cell r="J2349">
            <v>1028338.45</v>
          </cell>
          <cell r="K2349">
            <v>0</v>
          </cell>
          <cell r="L2349">
            <v>224.22499999999999</v>
          </cell>
        </row>
        <row r="2350">
          <cell r="A2350" t="str">
            <v>08</v>
          </cell>
          <cell r="B2350" t="str">
            <v>27</v>
          </cell>
          <cell r="C2350" t="str">
            <v>08</v>
          </cell>
          <cell r="D2350" t="str">
            <v>5</v>
          </cell>
          <cell r="E2350" t="str">
            <v>0020</v>
          </cell>
          <cell r="F2350" t="str">
            <v>0002</v>
          </cell>
          <cell r="G2350" t="str">
            <v>13701</v>
          </cell>
          <cell r="H2350" t="str">
            <v>转本月入库532.717吨果汁成本</v>
          </cell>
          <cell r="I2350" t="b">
            <v>1</v>
          </cell>
          <cell r="J2350">
            <v>2316217.5299999998</v>
          </cell>
          <cell r="K2350">
            <v>0</v>
          </cell>
          <cell r="L2350">
            <v>532.71699999999998</v>
          </cell>
        </row>
        <row r="2351">
          <cell r="A2351" t="str">
            <v>08</v>
          </cell>
          <cell r="B2351" t="str">
            <v>28</v>
          </cell>
          <cell r="C2351" t="str">
            <v>08</v>
          </cell>
          <cell r="D2351" t="str">
            <v>5</v>
          </cell>
          <cell r="E2351" t="str">
            <v>0029</v>
          </cell>
          <cell r="F2351" t="str">
            <v>0004</v>
          </cell>
          <cell r="G2351" t="str">
            <v>13701</v>
          </cell>
          <cell r="H2351" t="str">
            <v>结转本月产品销售成本</v>
          </cell>
          <cell r="I2351" t="b">
            <v>0</v>
          </cell>
          <cell r="J2351">
            <v>4150278.04</v>
          </cell>
          <cell r="K2351">
            <v>0</v>
          </cell>
          <cell r="L2351">
            <v>925.48</v>
          </cell>
        </row>
        <row r="2352">
          <cell r="A2352" t="str">
            <v>09</v>
          </cell>
          <cell r="B2352" t="str">
            <v>30</v>
          </cell>
          <cell r="C2352" t="str">
            <v>09</v>
          </cell>
          <cell r="D2352" t="str">
            <v>5</v>
          </cell>
          <cell r="E2352" t="str">
            <v>0032</v>
          </cell>
          <cell r="F2352" t="str">
            <v>0002</v>
          </cell>
          <cell r="G2352" t="str">
            <v>13701</v>
          </cell>
          <cell r="H2352" t="str">
            <v>转本月入库芮城果汁重加工352吨</v>
          </cell>
          <cell r="I2352" t="b">
            <v>1</v>
          </cell>
          <cell r="J2352">
            <v>1668141.59</v>
          </cell>
          <cell r="K2352">
            <v>0</v>
          </cell>
          <cell r="L2352">
            <v>352</v>
          </cell>
        </row>
        <row r="2353">
          <cell r="A2353" t="str">
            <v>09</v>
          </cell>
          <cell r="B2353" t="str">
            <v>30</v>
          </cell>
          <cell r="C2353" t="str">
            <v>09</v>
          </cell>
          <cell r="D2353" t="str">
            <v>5</v>
          </cell>
          <cell r="E2353" t="str">
            <v>0032</v>
          </cell>
          <cell r="F2353" t="str">
            <v>0003</v>
          </cell>
          <cell r="G2353" t="str">
            <v>13701</v>
          </cell>
          <cell r="H2353" t="str">
            <v>本月入库外购重加工果汁1552.488</v>
          </cell>
          <cell r="I2353" t="b">
            <v>1</v>
          </cell>
          <cell r="J2353">
            <v>6433470.3200000003</v>
          </cell>
          <cell r="K2353">
            <v>0</v>
          </cell>
          <cell r="L2353">
            <v>1552.4880000000001</v>
          </cell>
        </row>
        <row r="2354">
          <cell r="A2354" t="str">
            <v>09</v>
          </cell>
          <cell r="B2354" t="str">
            <v>30</v>
          </cell>
          <cell r="C2354" t="str">
            <v>09</v>
          </cell>
          <cell r="D2354" t="str">
            <v>5</v>
          </cell>
          <cell r="E2354" t="str">
            <v>0035</v>
          </cell>
          <cell r="F2354" t="str">
            <v>0004</v>
          </cell>
          <cell r="G2354" t="str">
            <v>13701</v>
          </cell>
          <cell r="H2354" t="str">
            <v>结转本月产品销售成本</v>
          </cell>
          <cell r="I2354" t="b">
            <v>0</v>
          </cell>
          <cell r="J2354">
            <v>2644123.6800000002</v>
          </cell>
          <cell r="K2354">
            <v>0</v>
          </cell>
          <cell r="L2354">
            <v>616.73400000000004</v>
          </cell>
        </row>
        <row r="2355">
          <cell r="A2355" t="str">
            <v>10</v>
          </cell>
          <cell r="B2355" t="str">
            <v>28</v>
          </cell>
          <cell r="C2355" t="str">
            <v>10</v>
          </cell>
          <cell r="D2355" t="str">
            <v>5</v>
          </cell>
          <cell r="E2355" t="str">
            <v>0023</v>
          </cell>
          <cell r="F2355" t="str">
            <v>0001</v>
          </cell>
          <cell r="G2355" t="str">
            <v>13701</v>
          </cell>
          <cell r="H2355" t="str">
            <v>转本月入库重加工果汁1963.5吨</v>
          </cell>
          <cell r="I2355" t="b">
            <v>1</v>
          </cell>
          <cell r="J2355">
            <v>7648785.2400000002</v>
          </cell>
          <cell r="K2355">
            <v>0</v>
          </cell>
          <cell r="L2355">
            <v>1963.5</v>
          </cell>
        </row>
        <row r="2356">
          <cell r="A2356" t="str">
            <v>10</v>
          </cell>
          <cell r="B2356" t="str">
            <v>28</v>
          </cell>
          <cell r="C2356" t="str">
            <v>10</v>
          </cell>
          <cell r="D2356" t="str">
            <v>5</v>
          </cell>
          <cell r="E2356" t="str">
            <v>0028</v>
          </cell>
          <cell r="F2356" t="str">
            <v>0004</v>
          </cell>
          <cell r="G2356" t="str">
            <v>13701</v>
          </cell>
          <cell r="H2356" t="str">
            <v>结转本月产品销售成本</v>
          </cell>
          <cell r="I2356" t="b">
            <v>0</v>
          </cell>
          <cell r="J2356">
            <v>1881325.08</v>
          </cell>
          <cell r="K2356">
            <v>0</v>
          </cell>
          <cell r="L2356">
            <v>462.01499999999999</v>
          </cell>
        </row>
        <row r="2357">
          <cell r="A2357" t="str">
            <v>11</v>
          </cell>
          <cell r="B2357" t="str">
            <v>30</v>
          </cell>
          <cell r="C2357" t="str">
            <v>11</v>
          </cell>
          <cell r="D2357" t="str">
            <v>5</v>
          </cell>
          <cell r="E2357" t="str">
            <v>0031</v>
          </cell>
          <cell r="F2357" t="str">
            <v>0001</v>
          </cell>
          <cell r="G2357" t="str">
            <v>13701</v>
          </cell>
          <cell r="H2357" t="str">
            <v>转本月入库重加工苹果汁2242.192</v>
          </cell>
          <cell r="I2357" t="b">
            <v>1</v>
          </cell>
          <cell r="J2357">
            <v>8771788.9800000004</v>
          </cell>
          <cell r="K2357">
            <v>0</v>
          </cell>
          <cell r="L2357">
            <v>2242.192</v>
          </cell>
        </row>
        <row r="2358">
          <cell r="A2358" t="str">
            <v>11</v>
          </cell>
          <cell r="B2358" t="str">
            <v>30</v>
          </cell>
          <cell r="C2358" t="str">
            <v>11</v>
          </cell>
          <cell r="D2358" t="str">
            <v>5</v>
          </cell>
          <cell r="E2358" t="str">
            <v>0032</v>
          </cell>
          <cell r="F2358" t="str">
            <v>0003</v>
          </cell>
          <cell r="G2358" t="str">
            <v>13701</v>
          </cell>
          <cell r="H2358" t="str">
            <v>结转本月产品销售成本</v>
          </cell>
          <cell r="I2358" t="b">
            <v>0</v>
          </cell>
          <cell r="J2358">
            <v>385886.57</v>
          </cell>
          <cell r="K2358">
            <v>0</v>
          </cell>
          <cell r="L2358">
            <v>96.35</v>
          </cell>
        </row>
        <row r="2359">
          <cell r="A2359" t="str">
            <v>12</v>
          </cell>
          <cell r="B2359" t="str">
            <v>29</v>
          </cell>
          <cell r="C2359" t="str">
            <v>12</v>
          </cell>
          <cell r="D2359" t="str">
            <v>5</v>
          </cell>
          <cell r="E2359" t="str">
            <v>0083</v>
          </cell>
          <cell r="F2359" t="str">
            <v>0001</v>
          </cell>
          <cell r="G2359" t="str">
            <v>13701</v>
          </cell>
          <cell r="H2359" t="str">
            <v>转本月入库重加工苹果汁1838.558</v>
          </cell>
          <cell r="I2359" t="b">
            <v>1</v>
          </cell>
          <cell r="J2359">
            <v>5633325.8200000003</v>
          </cell>
          <cell r="K2359">
            <v>0</v>
          </cell>
          <cell r="L2359">
            <v>1838.558</v>
          </cell>
        </row>
        <row r="2360">
          <cell r="A2360" t="str">
            <v>12</v>
          </cell>
          <cell r="B2360" t="str">
            <v>29</v>
          </cell>
          <cell r="C2360" t="str">
            <v>12</v>
          </cell>
          <cell r="D2360" t="str">
            <v>5</v>
          </cell>
          <cell r="E2360" t="str">
            <v>0085</v>
          </cell>
          <cell r="F2360" t="str">
            <v>0003</v>
          </cell>
          <cell r="G2360" t="str">
            <v>13701</v>
          </cell>
          <cell r="H2360" t="str">
            <v>结转本月产品销售成本</v>
          </cell>
          <cell r="I2360" t="b">
            <v>0</v>
          </cell>
          <cell r="J2360">
            <v>6640433.9100000001</v>
          </cell>
          <cell r="K2360">
            <v>0</v>
          </cell>
          <cell r="L2360">
            <v>1765.5</v>
          </cell>
        </row>
        <row r="2361">
          <cell r="A2361" t="str">
            <v>02</v>
          </cell>
          <cell r="B2361" t="str">
            <v>29</v>
          </cell>
          <cell r="C2361" t="str">
            <v>02</v>
          </cell>
          <cell r="D2361" t="str">
            <v>5</v>
          </cell>
          <cell r="E2361" t="str">
            <v>0052</v>
          </cell>
          <cell r="F2361" t="str">
            <v>0005</v>
          </cell>
          <cell r="G2361" t="str">
            <v>13704</v>
          </cell>
          <cell r="H2361" t="str">
            <v>结转本月产品销售成本</v>
          </cell>
          <cell r="I2361" t="b">
            <v>0</v>
          </cell>
          <cell r="J2361">
            <v>6402.49</v>
          </cell>
          <cell r="K2361">
            <v>0</v>
          </cell>
          <cell r="L2361">
            <v>1.675</v>
          </cell>
        </row>
        <row r="2362">
          <cell r="A2362" t="str">
            <v>03</v>
          </cell>
          <cell r="B2362" t="str">
            <v>28</v>
          </cell>
          <cell r="C2362" t="str">
            <v>03</v>
          </cell>
          <cell r="D2362" t="str">
            <v>5</v>
          </cell>
          <cell r="E2362" t="str">
            <v>0021</v>
          </cell>
          <cell r="F2362" t="str">
            <v>0005</v>
          </cell>
          <cell r="G2362" t="str">
            <v>13704</v>
          </cell>
          <cell r="H2362" t="str">
            <v>结转本月产品销售成本</v>
          </cell>
          <cell r="I2362" t="b">
            <v>0</v>
          </cell>
          <cell r="J2362">
            <v>7109.63</v>
          </cell>
          <cell r="K2362">
            <v>0</v>
          </cell>
          <cell r="L2362">
            <v>1.86</v>
          </cell>
        </row>
        <row r="2363">
          <cell r="A2363" t="str">
            <v>07</v>
          </cell>
          <cell r="B2363" t="str">
            <v>28</v>
          </cell>
          <cell r="C2363" t="str">
            <v>07</v>
          </cell>
          <cell r="D2363" t="str">
            <v>5</v>
          </cell>
          <cell r="E2363" t="str">
            <v>0040</v>
          </cell>
          <cell r="F2363" t="str">
            <v>0005</v>
          </cell>
          <cell r="G2363" t="str">
            <v>13704</v>
          </cell>
          <cell r="H2363" t="str">
            <v>结转本月产品销售成本</v>
          </cell>
          <cell r="I2363" t="b">
            <v>0</v>
          </cell>
          <cell r="J2363">
            <v>22628.49</v>
          </cell>
          <cell r="K2363">
            <v>0</v>
          </cell>
          <cell r="L2363">
            <v>5.92</v>
          </cell>
        </row>
        <row r="2364">
          <cell r="A2364" t="str">
            <v>08</v>
          </cell>
          <cell r="B2364" t="str">
            <v>28</v>
          </cell>
          <cell r="C2364" t="str">
            <v>08</v>
          </cell>
          <cell r="D2364" t="str">
            <v>5</v>
          </cell>
          <cell r="E2364" t="str">
            <v>0029</v>
          </cell>
          <cell r="F2364" t="str">
            <v>0005</v>
          </cell>
          <cell r="G2364" t="str">
            <v>13704</v>
          </cell>
          <cell r="H2364" t="str">
            <v>结转本月产品销售成本</v>
          </cell>
          <cell r="I2364" t="b">
            <v>0</v>
          </cell>
          <cell r="J2364">
            <v>68.8</v>
          </cell>
          <cell r="K2364">
            <v>0</v>
          </cell>
          <cell r="L2364">
            <v>1.7999999999999999E-2</v>
          </cell>
        </row>
        <row r="2365">
          <cell r="A2365" t="str">
            <v>09</v>
          </cell>
          <cell r="B2365" t="str">
            <v>30</v>
          </cell>
          <cell r="C2365" t="str">
            <v>09</v>
          </cell>
          <cell r="D2365" t="str">
            <v>5</v>
          </cell>
          <cell r="E2365" t="str">
            <v>0035</v>
          </cell>
          <cell r="F2365" t="str">
            <v>0005</v>
          </cell>
          <cell r="G2365" t="str">
            <v>13704</v>
          </cell>
          <cell r="H2365" t="str">
            <v>结转本月产品销售成本</v>
          </cell>
          <cell r="I2365" t="b">
            <v>0</v>
          </cell>
          <cell r="J2365">
            <v>1681.85</v>
          </cell>
          <cell r="K2365">
            <v>0</v>
          </cell>
          <cell r="L2365">
            <v>0.44</v>
          </cell>
        </row>
        <row r="2366">
          <cell r="A2366" t="str">
            <v>10</v>
          </cell>
          <cell r="B2366" t="str">
            <v>28</v>
          </cell>
          <cell r="C2366" t="str">
            <v>10</v>
          </cell>
          <cell r="D2366" t="str">
            <v>5</v>
          </cell>
          <cell r="E2366" t="str">
            <v>0028</v>
          </cell>
          <cell r="F2366" t="str">
            <v>0005</v>
          </cell>
          <cell r="G2366" t="str">
            <v>13704</v>
          </cell>
          <cell r="H2366" t="str">
            <v>结转本月产品销售成本</v>
          </cell>
          <cell r="I2366" t="b">
            <v>0</v>
          </cell>
          <cell r="J2366">
            <v>8485.68</v>
          </cell>
          <cell r="K2366">
            <v>0</v>
          </cell>
          <cell r="L2366">
            <v>2.2200000000000002</v>
          </cell>
        </row>
        <row r="2367">
          <cell r="A2367" t="str">
            <v>09</v>
          </cell>
          <cell r="B2367" t="str">
            <v>30</v>
          </cell>
          <cell r="C2367" t="str">
            <v>09</v>
          </cell>
          <cell r="D2367" t="str">
            <v>5</v>
          </cell>
          <cell r="E2367" t="str">
            <v>0032</v>
          </cell>
          <cell r="F2367" t="str">
            <v>0001</v>
          </cell>
          <cell r="G2367" t="str">
            <v>13712</v>
          </cell>
          <cell r="H2367" t="str">
            <v>转本月入库梨汁58.289吨</v>
          </cell>
          <cell r="I2367" t="b">
            <v>1</v>
          </cell>
          <cell r="J2367">
            <v>301725.12</v>
          </cell>
          <cell r="K2367">
            <v>0</v>
          </cell>
          <cell r="L2367">
            <v>58.289000000000001</v>
          </cell>
        </row>
        <row r="2368">
          <cell r="A2368" t="str">
            <v>11</v>
          </cell>
          <cell r="B2368" t="str">
            <v>30</v>
          </cell>
          <cell r="C2368" t="str">
            <v>11</v>
          </cell>
          <cell r="D2368" t="str">
            <v>5</v>
          </cell>
          <cell r="E2368" t="str">
            <v>0031</v>
          </cell>
          <cell r="F2368" t="str">
            <v>0002</v>
          </cell>
          <cell r="G2368" t="str">
            <v>13712</v>
          </cell>
          <cell r="H2368" t="str">
            <v>转本月入库重加工梨汁308吨</v>
          </cell>
          <cell r="I2368" t="b">
            <v>1</v>
          </cell>
          <cell r="J2368">
            <v>1148181.8799999999</v>
          </cell>
          <cell r="K2368">
            <v>0</v>
          </cell>
          <cell r="L2368">
            <v>308</v>
          </cell>
        </row>
        <row r="2369">
          <cell r="A2369" t="str">
            <v>12</v>
          </cell>
          <cell r="B2369" t="str">
            <v>29</v>
          </cell>
          <cell r="C2369" t="str">
            <v>12</v>
          </cell>
          <cell r="D2369" t="str">
            <v>5</v>
          </cell>
          <cell r="E2369" t="str">
            <v>0083</v>
          </cell>
          <cell r="F2369" t="str">
            <v>0002</v>
          </cell>
          <cell r="G2369" t="str">
            <v>13712</v>
          </cell>
          <cell r="H2369" t="str">
            <v>转本月入库重加工梨汁68.965吨</v>
          </cell>
          <cell r="I2369" t="b">
            <v>1</v>
          </cell>
          <cell r="J2369">
            <v>160212.21</v>
          </cell>
          <cell r="K2369">
            <v>0</v>
          </cell>
          <cell r="L2369">
            <v>68.965000000000003</v>
          </cell>
        </row>
        <row r="2370">
          <cell r="A2370" t="str">
            <v>12</v>
          </cell>
          <cell r="B2370" t="str">
            <v>29</v>
          </cell>
          <cell r="C2370" t="str">
            <v>12</v>
          </cell>
          <cell r="D2370" t="str">
            <v>5</v>
          </cell>
          <cell r="E2370" t="str">
            <v>0085</v>
          </cell>
          <cell r="F2370" t="str">
            <v>0004</v>
          </cell>
          <cell r="G2370" t="str">
            <v>13712</v>
          </cell>
          <cell r="H2370" t="str">
            <v>结转本月产品销售成本</v>
          </cell>
          <cell r="I2370" t="b">
            <v>0</v>
          </cell>
          <cell r="J2370">
            <v>282832.55</v>
          </cell>
          <cell r="K2370">
            <v>0</v>
          </cell>
          <cell r="L2370">
            <v>77</v>
          </cell>
        </row>
        <row r="2371">
          <cell r="A2371" t="str">
            <v>03</v>
          </cell>
          <cell r="B2371" t="str">
            <v>27</v>
          </cell>
          <cell r="C2371" t="str">
            <v>03</v>
          </cell>
          <cell r="D2371" t="str">
            <v>5</v>
          </cell>
          <cell r="E2371" t="str">
            <v>0003</v>
          </cell>
          <cell r="F2371" t="str">
            <v>0002</v>
          </cell>
          <cell r="G2371" t="str">
            <v>13901</v>
          </cell>
          <cell r="H2371" t="str">
            <v>转出期初存货抵扣已征税款额</v>
          </cell>
          <cell r="I2371" t="b">
            <v>0</v>
          </cell>
          <cell r="J2371">
            <v>86207.67</v>
          </cell>
          <cell r="K2371">
            <v>0</v>
          </cell>
          <cell r="L2371">
            <v>0</v>
          </cell>
        </row>
        <row r="2372">
          <cell r="A2372" t="str">
            <v>06</v>
          </cell>
          <cell r="B2372" t="str">
            <v>26</v>
          </cell>
          <cell r="C2372" t="str">
            <v>06</v>
          </cell>
          <cell r="D2372" t="str">
            <v>5</v>
          </cell>
          <cell r="E2372" t="str">
            <v>0031</v>
          </cell>
          <cell r="F2372" t="str">
            <v>0001</v>
          </cell>
          <cell r="G2372" t="str">
            <v>15101</v>
          </cell>
          <cell r="H2372" t="str">
            <v>冲销99年8月5-67#凭证</v>
          </cell>
          <cell r="I2372" t="b">
            <v>1</v>
          </cell>
          <cell r="J2372">
            <v>-22084516.870000001</v>
          </cell>
          <cell r="K2372">
            <v>0</v>
          </cell>
          <cell r="L2372">
            <v>0</v>
          </cell>
        </row>
        <row r="2373">
          <cell r="A2373" t="str">
            <v>06</v>
          </cell>
          <cell r="B2373" t="str">
            <v>26</v>
          </cell>
          <cell r="C2373" t="str">
            <v>06</v>
          </cell>
          <cell r="D2373" t="str">
            <v>5</v>
          </cell>
          <cell r="E2373" t="str">
            <v>0031</v>
          </cell>
          <cell r="F2373" t="str">
            <v>0003</v>
          </cell>
          <cell r="G2373" t="str">
            <v>15101</v>
          </cell>
          <cell r="H2373" t="str">
            <v>冲销99年9月5-44#凭证</v>
          </cell>
          <cell r="I2373" t="b">
            <v>1</v>
          </cell>
          <cell r="J2373">
            <v>-1760000</v>
          </cell>
          <cell r="K2373">
            <v>0</v>
          </cell>
          <cell r="L2373">
            <v>0</v>
          </cell>
        </row>
        <row r="2374">
          <cell r="A2374" t="str">
            <v>06</v>
          </cell>
          <cell r="B2374" t="str">
            <v>26</v>
          </cell>
          <cell r="C2374" t="str">
            <v>06</v>
          </cell>
          <cell r="D2374" t="str">
            <v>5</v>
          </cell>
          <cell r="E2374" t="str">
            <v>0033</v>
          </cell>
          <cell r="F2374" t="str">
            <v>0001</v>
          </cell>
          <cell r="G2374" t="str">
            <v>15101</v>
          </cell>
          <cell r="H2374" t="str">
            <v>转以资产向鲁菱增资款</v>
          </cell>
          <cell r="I2374" t="b">
            <v>1</v>
          </cell>
          <cell r="J2374">
            <v>22084516.870000001</v>
          </cell>
          <cell r="K2374">
            <v>0</v>
          </cell>
          <cell r="L2374">
            <v>0</v>
          </cell>
        </row>
        <row r="2375">
          <cell r="A2375" t="str">
            <v>06</v>
          </cell>
          <cell r="B2375" t="str">
            <v>26</v>
          </cell>
          <cell r="C2375" t="str">
            <v>06</v>
          </cell>
          <cell r="D2375" t="str">
            <v>5</v>
          </cell>
          <cell r="E2375" t="str">
            <v>0034</v>
          </cell>
          <cell r="F2375" t="str">
            <v>0001</v>
          </cell>
          <cell r="G2375" t="str">
            <v>15101</v>
          </cell>
          <cell r="H2375" t="str">
            <v>转订正99年9.5-44#凭证</v>
          </cell>
          <cell r="I2375" t="b">
            <v>1</v>
          </cell>
          <cell r="J2375">
            <v>1760000</v>
          </cell>
          <cell r="K2375">
            <v>0</v>
          </cell>
          <cell r="L2375">
            <v>0</v>
          </cell>
        </row>
        <row r="2376">
          <cell r="A2376" t="str">
            <v>12</v>
          </cell>
          <cell r="B2376" t="str">
            <v>30</v>
          </cell>
          <cell r="C2376" t="str">
            <v>12</v>
          </cell>
          <cell r="D2376" t="str">
            <v>5</v>
          </cell>
          <cell r="E2376" t="str">
            <v>0086</v>
          </cell>
          <cell r="F2376" t="str">
            <v>0002</v>
          </cell>
          <cell r="G2376" t="str">
            <v>15103</v>
          </cell>
          <cell r="H2376" t="str">
            <v>转冲99年12月5-73#凭证</v>
          </cell>
          <cell r="I2376" t="b">
            <v>1</v>
          </cell>
          <cell r="J2376">
            <v>5218278.91</v>
          </cell>
          <cell r="K2376">
            <v>0</v>
          </cell>
          <cell r="L2376">
            <v>0</v>
          </cell>
        </row>
        <row r="2377">
          <cell r="A2377" t="str">
            <v>12</v>
          </cell>
          <cell r="B2377" t="str">
            <v>30</v>
          </cell>
          <cell r="C2377" t="str">
            <v>12</v>
          </cell>
          <cell r="D2377" t="str">
            <v>5</v>
          </cell>
          <cell r="E2377" t="str">
            <v>0086</v>
          </cell>
          <cell r="F2377" t="str">
            <v>0004</v>
          </cell>
          <cell r="G2377" t="str">
            <v>15103</v>
          </cell>
          <cell r="H2377" t="str">
            <v>转冲99年12月5-74#凭证</v>
          </cell>
          <cell r="I2377" t="b">
            <v>1</v>
          </cell>
          <cell r="J2377">
            <v>7258290.0899999999</v>
          </cell>
          <cell r="K2377">
            <v>0</v>
          </cell>
          <cell r="L2377">
            <v>0</v>
          </cell>
        </row>
        <row r="2378">
          <cell r="A2378" t="str">
            <v>12</v>
          </cell>
          <cell r="B2378" t="str">
            <v>08</v>
          </cell>
          <cell r="C2378" t="str">
            <v>12</v>
          </cell>
          <cell r="D2378" t="str">
            <v>5</v>
          </cell>
          <cell r="E2378" t="str">
            <v>0005</v>
          </cell>
          <cell r="F2378" t="str">
            <v>0001</v>
          </cell>
          <cell r="G2378" t="str">
            <v>15106</v>
          </cell>
          <cell r="H2378" t="str">
            <v>转向韩城投资款</v>
          </cell>
          <cell r="I2378" t="b">
            <v>1</v>
          </cell>
          <cell r="J2378">
            <v>7000000</v>
          </cell>
          <cell r="K2378">
            <v>0</v>
          </cell>
          <cell r="L2378">
            <v>0</v>
          </cell>
        </row>
        <row r="2379">
          <cell r="A2379" t="str">
            <v>06</v>
          </cell>
          <cell r="B2379" t="str">
            <v>26</v>
          </cell>
          <cell r="C2379" t="str">
            <v>06</v>
          </cell>
          <cell r="D2379" t="str">
            <v>5</v>
          </cell>
          <cell r="E2379" t="str">
            <v>0032</v>
          </cell>
          <cell r="F2379" t="str">
            <v>0001</v>
          </cell>
          <cell r="G2379" t="str">
            <v>16101</v>
          </cell>
          <cell r="H2379" t="str">
            <v>转评估盘盈干燥箱</v>
          </cell>
          <cell r="I2379" t="b">
            <v>1</v>
          </cell>
          <cell r="J2379">
            <v>7640</v>
          </cell>
          <cell r="K2379">
            <v>0</v>
          </cell>
          <cell r="L2379">
            <v>0</v>
          </cell>
        </row>
        <row r="2380">
          <cell r="A2380" t="str">
            <v>06</v>
          </cell>
          <cell r="B2380" t="str">
            <v>26</v>
          </cell>
          <cell r="C2380" t="str">
            <v>06</v>
          </cell>
          <cell r="D2380" t="str">
            <v>5</v>
          </cell>
          <cell r="E2380" t="str">
            <v>0032</v>
          </cell>
          <cell r="F2380" t="str">
            <v>0002</v>
          </cell>
          <cell r="G2380" t="str">
            <v>16101</v>
          </cell>
          <cell r="H2380" t="str">
            <v>转评估盘盈温度计</v>
          </cell>
          <cell r="I2380" t="b">
            <v>1</v>
          </cell>
          <cell r="J2380">
            <v>1000</v>
          </cell>
          <cell r="K2380">
            <v>0</v>
          </cell>
          <cell r="L2380">
            <v>0</v>
          </cell>
        </row>
        <row r="2381">
          <cell r="A2381" t="str">
            <v>06</v>
          </cell>
          <cell r="B2381" t="str">
            <v>26</v>
          </cell>
          <cell r="C2381" t="str">
            <v>06</v>
          </cell>
          <cell r="D2381" t="str">
            <v>5</v>
          </cell>
          <cell r="E2381" t="str">
            <v>0032</v>
          </cell>
          <cell r="F2381" t="str">
            <v>0003</v>
          </cell>
          <cell r="G2381" t="str">
            <v>16101</v>
          </cell>
          <cell r="H2381" t="str">
            <v>转评估盘盈备件</v>
          </cell>
          <cell r="I2381" t="b">
            <v>1</v>
          </cell>
          <cell r="J2381">
            <v>165927.87</v>
          </cell>
          <cell r="K2381">
            <v>0</v>
          </cell>
          <cell r="L2381">
            <v>0</v>
          </cell>
        </row>
        <row r="2382">
          <cell r="A2382" t="str">
            <v>06</v>
          </cell>
          <cell r="B2382" t="str">
            <v>26</v>
          </cell>
          <cell r="C2382" t="str">
            <v>06</v>
          </cell>
          <cell r="D2382" t="str">
            <v>5</v>
          </cell>
          <cell r="E2382" t="str">
            <v>0033</v>
          </cell>
          <cell r="F2382" t="str">
            <v>0005</v>
          </cell>
          <cell r="G2382" t="str">
            <v>16101</v>
          </cell>
          <cell r="H2382" t="str">
            <v>转增资资产原值</v>
          </cell>
          <cell r="I2382" t="b">
            <v>0</v>
          </cell>
          <cell r="J2382">
            <v>1260767.8700000001</v>
          </cell>
          <cell r="K2382">
            <v>0</v>
          </cell>
          <cell r="L2382">
            <v>0</v>
          </cell>
        </row>
        <row r="2383">
          <cell r="A2383" t="str">
            <v>06</v>
          </cell>
          <cell r="B2383" t="str">
            <v>26</v>
          </cell>
          <cell r="C2383" t="str">
            <v>06</v>
          </cell>
          <cell r="D2383" t="str">
            <v>5</v>
          </cell>
          <cell r="E2383" t="str">
            <v>0035</v>
          </cell>
          <cell r="F2383" t="str">
            <v>0001</v>
          </cell>
          <cell r="G2383" t="str">
            <v>16101</v>
          </cell>
          <cell r="H2383" t="str">
            <v>转户</v>
          </cell>
          <cell r="I2383" t="b">
            <v>1</v>
          </cell>
          <cell r="J2383">
            <v>1028033.83</v>
          </cell>
          <cell r="K2383">
            <v>0</v>
          </cell>
          <cell r="L2383">
            <v>0</v>
          </cell>
        </row>
        <row r="2384">
          <cell r="A2384" t="str">
            <v>10</v>
          </cell>
          <cell r="B2384" t="str">
            <v>12</v>
          </cell>
          <cell r="C2384" t="str">
            <v>10</v>
          </cell>
          <cell r="D2384" t="str">
            <v>2</v>
          </cell>
          <cell r="E2384" t="str">
            <v>0012</v>
          </cell>
          <cell r="F2384" t="str">
            <v>0001</v>
          </cell>
          <cell r="G2384" t="str">
            <v>16101</v>
          </cell>
          <cell r="H2384" t="str">
            <v>购高速离心机</v>
          </cell>
          <cell r="I2384" t="b">
            <v>1</v>
          </cell>
          <cell r="J2384">
            <v>7860</v>
          </cell>
          <cell r="K2384">
            <v>0</v>
          </cell>
          <cell r="L2384">
            <v>0</v>
          </cell>
        </row>
        <row r="2385">
          <cell r="A2385" t="str">
            <v>02</v>
          </cell>
          <cell r="B2385" t="str">
            <v>19</v>
          </cell>
          <cell r="C2385" t="str">
            <v>02</v>
          </cell>
          <cell r="D2385" t="str">
            <v>2</v>
          </cell>
          <cell r="E2385" t="str">
            <v>0034</v>
          </cell>
          <cell r="F2385" t="str">
            <v>0001</v>
          </cell>
          <cell r="G2385" t="str">
            <v>16102</v>
          </cell>
          <cell r="H2385" t="str">
            <v>购音响一套</v>
          </cell>
          <cell r="I2385" t="b">
            <v>1</v>
          </cell>
          <cell r="J2385">
            <v>2138</v>
          </cell>
          <cell r="K2385">
            <v>0</v>
          </cell>
          <cell r="L2385">
            <v>0</v>
          </cell>
        </row>
        <row r="2386">
          <cell r="A2386" t="str">
            <v>03</v>
          </cell>
          <cell r="B2386" t="str">
            <v>17</v>
          </cell>
          <cell r="C2386" t="str">
            <v>03</v>
          </cell>
          <cell r="D2386" t="str">
            <v>2</v>
          </cell>
          <cell r="E2386" t="str">
            <v>0015</v>
          </cell>
          <cell r="F2386" t="str">
            <v>0001</v>
          </cell>
          <cell r="G2386" t="str">
            <v>16102</v>
          </cell>
          <cell r="H2386" t="str">
            <v>购电动双组架.色谱柱</v>
          </cell>
          <cell r="I2386" t="b">
            <v>1</v>
          </cell>
          <cell r="J2386">
            <v>10113</v>
          </cell>
          <cell r="K2386">
            <v>0</v>
          </cell>
          <cell r="L2386">
            <v>0</v>
          </cell>
        </row>
        <row r="2387">
          <cell r="A2387" t="str">
            <v>04</v>
          </cell>
          <cell r="B2387" t="str">
            <v>03</v>
          </cell>
          <cell r="C2387" t="str">
            <v>04</v>
          </cell>
          <cell r="D2387" t="str">
            <v>4</v>
          </cell>
          <cell r="E2387" t="str">
            <v>0004</v>
          </cell>
          <cell r="F2387" t="str">
            <v>0002</v>
          </cell>
          <cell r="G2387" t="str">
            <v>16102</v>
          </cell>
          <cell r="H2387" t="str">
            <v>付霓虹灯工程款</v>
          </cell>
          <cell r="I2387" t="b">
            <v>1</v>
          </cell>
          <cell r="J2387">
            <v>150000</v>
          </cell>
          <cell r="K2387">
            <v>0</v>
          </cell>
          <cell r="L2387">
            <v>0</v>
          </cell>
        </row>
        <row r="2388">
          <cell r="A2388" t="str">
            <v>05</v>
          </cell>
          <cell r="B2388" t="str">
            <v>12</v>
          </cell>
          <cell r="C2388" t="str">
            <v>05</v>
          </cell>
          <cell r="D2388" t="str">
            <v>2</v>
          </cell>
          <cell r="E2388" t="str">
            <v>0004</v>
          </cell>
          <cell r="F2388" t="str">
            <v>0001</v>
          </cell>
          <cell r="G2388" t="str">
            <v>16102</v>
          </cell>
          <cell r="H2388" t="str">
            <v>购固定资产</v>
          </cell>
          <cell r="I2388" t="b">
            <v>1</v>
          </cell>
          <cell r="J2388">
            <v>19523</v>
          </cell>
          <cell r="K2388">
            <v>0</v>
          </cell>
          <cell r="L2388">
            <v>0</v>
          </cell>
        </row>
        <row r="2389">
          <cell r="A2389" t="str">
            <v>06</v>
          </cell>
          <cell r="B2389" t="str">
            <v>01</v>
          </cell>
          <cell r="C2389" t="str">
            <v>06</v>
          </cell>
          <cell r="D2389" t="str">
            <v>2</v>
          </cell>
          <cell r="E2389" t="str">
            <v>0001</v>
          </cell>
          <cell r="F2389" t="str">
            <v>0003</v>
          </cell>
          <cell r="G2389" t="str">
            <v>16102</v>
          </cell>
          <cell r="H2389" t="str">
            <v>购手机.疏通机一台</v>
          </cell>
          <cell r="I2389" t="b">
            <v>1</v>
          </cell>
          <cell r="J2389">
            <v>3200</v>
          </cell>
          <cell r="K2389">
            <v>0</v>
          </cell>
          <cell r="L2389">
            <v>0</v>
          </cell>
        </row>
        <row r="2390">
          <cell r="A2390" t="str">
            <v>06</v>
          </cell>
          <cell r="B2390" t="str">
            <v>26</v>
          </cell>
          <cell r="C2390" t="str">
            <v>06</v>
          </cell>
          <cell r="D2390" t="str">
            <v>5</v>
          </cell>
          <cell r="E2390" t="str">
            <v>0031</v>
          </cell>
          <cell r="F2390" t="str">
            <v>0004</v>
          </cell>
          <cell r="G2390" t="str">
            <v>16102</v>
          </cell>
          <cell r="H2390" t="str">
            <v>冲销99年9月5-44#凭证</v>
          </cell>
          <cell r="I2390" t="b">
            <v>0</v>
          </cell>
          <cell r="J2390">
            <v>-1760000</v>
          </cell>
          <cell r="K2390">
            <v>0</v>
          </cell>
          <cell r="L2390">
            <v>0</v>
          </cell>
        </row>
        <row r="2391">
          <cell r="A2391" t="str">
            <v>12</v>
          </cell>
          <cell r="B2391" t="str">
            <v>27</v>
          </cell>
          <cell r="C2391" t="str">
            <v>12</v>
          </cell>
          <cell r="D2391" t="str">
            <v>5</v>
          </cell>
          <cell r="E2391" t="str">
            <v>0036</v>
          </cell>
          <cell r="F2391" t="str">
            <v>0003</v>
          </cell>
          <cell r="G2391" t="str">
            <v>16102</v>
          </cell>
          <cell r="H2391" t="str">
            <v>转清理出售文登叉车原值</v>
          </cell>
          <cell r="I2391" t="b">
            <v>0</v>
          </cell>
          <cell r="J2391">
            <v>76000</v>
          </cell>
          <cell r="K2391">
            <v>0</v>
          </cell>
          <cell r="L2391">
            <v>0</v>
          </cell>
        </row>
        <row r="2392">
          <cell r="A2392" t="str">
            <v>12</v>
          </cell>
          <cell r="B2392" t="str">
            <v>31</v>
          </cell>
          <cell r="C2392" t="str">
            <v>12</v>
          </cell>
          <cell r="D2392" t="str">
            <v>5</v>
          </cell>
          <cell r="E2392" t="str">
            <v>0095</v>
          </cell>
          <cell r="F2392" t="str">
            <v>0003</v>
          </cell>
          <cell r="G2392" t="str">
            <v>16102</v>
          </cell>
          <cell r="H2392" t="str">
            <v>转完工北后院工程款</v>
          </cell>
          <cell r="I2392" t="b">
            <v>1</v>
          </cell>
          <cell r="J2392">
            <v>1132340.5</v>
          </cell>
          <cell r="K2392">
            <v>0</v>
          </cell>
          <cell r="L2392">
            <v>0</v>
          </cell>
        </row>
        <row r="2393">
          <cell r="A2393" t="str">
            <v>12</v>
          </cell>
          <cell r="B2393" t="str">
            <v>31</v>
          </cell>
          <cell r="C2393" t="str">
            <v>12</v>
          </cell>
          <cell r="D2393" t="str">
            <v>5</v>
          </cell>
          <cell r="E2393" t="str">
            <v>0095</v>
          </cell>
          <cell r="F2393" t="str">
            <v>0005</v>
          </cell>
          <cell r="G2393" t="str">
            <v>16102</v>
          </cell>
          <cell r="H2393" t="str">
            <v>转供电设施完工工程款</v>
          </cell>
          <cell r="I2393" t="b">
            <v>1</v>
          </cell>
          <cell r="J2393">
            <v>450000</v>
          </cell>
          <cell r="K2393">
            <v>0</v>
          </cell>
          <cell r="L2393">
            <v>0</v>
          </cell>
        </row>
        <row r="2394">
          <cell r="A2394" t="str">
            <v>12</v>
          </cell>
          <cell r="B2394" t="str">
            <v>31</v>
          </cell>
          <cell r="C2394" t="str">
            <v>12</v>
          </cell>
          <cell r="D2394" t="str">
            <v>5</v>
          </cell>
          <cell r="E2394" t="str">
            <v>0095</v>
          </cell>
          <cell r="F2394" t="str">
            <v>0007</v>
          </cell>
          <cell r="G2394" t="str">
            <v>16102</v>
          </cell>
          <cell r="H2394" t="str">
            <v>转院内道路另星工程款</v>
          </cell>
          <cell r="I2394" t="b">
            <v>1</v>
          </cell>
          <cell r="J2394">
            <v>1851299.23</v>
          </cell>
          <cell r="K2394">
            <v>0</v>
          </cell>
          <cell r="L2394">
            <v>0</v>
          </cell>
        </row>
        <row r="2395">
          <cell r="A2395" t="str">
            <v>12</v>
          </cell>
          <cell r="B2395" t="str">
            <v>31</v>
          </cell>
          <cell r="C2395" t="str">
            <v>12</v>
          </cell>
          <cell r="D2395" t="str">
            <v>5</v>
          </cell>
          <cell r="E2395" t="str">
            <v>0095</v>
          </cell>
          <cell r="F2395" t="str">
            <v>0009</v>
          </cell>
          <cell r="G2395" t="str">
            <v>16102</v>
          </cell>
          <cell r="H2395" t="str">
            <v>转中鲁水池完工工程款</v>
          </cell>
          <cell r="I2395" t="b">
            <v>1</v>
          </cell>
          <cell r="J2395">
            <v>3461239.12</v>
          </cell>
          <cell r="K2395">
            <v>0</v>
          </cell>
          <cell r="L2395">
            <v>0</v>
          </cell>
        </row>
        <row r="2396">
          <cell r="A2396" t="str">
            <v>12</v>
          </cell>
          <cell r="B2396" t="str">
            <v>31</v>
          </cell>
          <cell r="C2396" t="str">
            <v>12</v>
          </cell>
          <cell r="D2396" t="str">
            <v>5</v>
          </cell>
          <cell r="E2396" t="str">
            <v>0095</v>
          </cell>
          <cell r="F2396" t="str">
            <v>0011</v>
          </cell>
          <cell r="G2396" t="str">
            <v>16102</v>
          </cell>
          <cell r="H2396" t="str">
            <v>转砼院.围墙及其他完工工程款</v>
          </cell>
          <cell r="I2396" t="b">
            <v>1</v>
          </cell>
          <cell r="J2396">
            <v>735382.77</v>
          </cell>
          <cell r="K2396">
            <v>0</v>
          </cell>
          <cell r="L2396">
            <v>0</v>
          </cell>
        </row>
        <row r="2397">
          <cell r="A2397" t="str">
            <v>12</v>
          </cell>
          <cell r="B2397" t="str">
            <v>31</v>
          </cell>
          <cell r="C2397" t="str">
            <v>12</v>
          </cell>
          <cell r="D2397" t="str">
            <v>5</v>
          </cell>
          <cell r="E2397" t="str">
            <v>0095</v>
          </cell>
          <cell r="F2397" t="str">
            <v>0013</v>
          </cell>
          <cell r="G2397" t="str">
            <v>16102</v>
          </cell>
          <cell r="H2397" t="str">
            <v>转东院路面完工工程款</v>
          </cell>
          <cell r="I2397" t="b">
            <v>1</v>
          </cell>
          <cell r="J2397">
            <v>207995.87</v>
          </cell>
          <cell r="K2397">
            <v>0</v>
          </cell>
          <cell r="L2397">
            <v>0</v>
          </cell>
        </row>
        <row r="2398">
          <cell r="A2398" t="str">
            <v>06</v>
          </cell>
          <cell r="B2398" t="str">
            <v>26</v>
          </cell>
          <cell r="C2398" t="str">
            <v>06</v>
          </cell>
          <cell r="D2398" t="str">
            <v>5</v>
          </cell>
          <cell r="E2398" t="str">
            <v>0031</v>
          </cell>
          <cell r="F2398" t="str">
            <v>0002</v>
          </cell>
          <cell r="G2398" t="str">
            <v>16103</v>
          </cell>
          <cell r="H2398" t="str">
            <v>冲销99年8月5-67#凭证</v>
          </cell>
          <cell r="I2398" t="b">
            <v>0</v>
          </cell>
          <cell r="J2398">
            <v>-22084516.870000001</v>
          </cell>
          <cell r="K2398">
            <v>0</v>
          </cell>
          <cell r="L2398">
            <v>0</v>
          </cell>
        </row>
        <row r="2399">
          <cell r="A2399" t="str">
            <v>06</v>
          </cell>
          <cell r="B2399" t="str">
            <v>26</v>
          </cell>
          <cell r="C2399" t="str">
            <v>06</v>
          </cell>
          <cell r="D2399" t="str">
            <v>5</v>
          </cell>
          <cell r="E2399" t="str">
            <v>0033</v>
          </cell>
          <cell r="F2399" t="str">
            <v>0004</v>
          </cell>
          <cell r="G2399" t="str">
            <v>16103</v>
          </cell>
          <cell r="H2399" t="str">
            <v>转增资资产原值</v>
          </cell>
          <cell r="I2399" t="b">
            <v>0</v>
          </cell>
          <cell r="J2399">
            <v>21084795.940000001</v>
          </cell>
          <cell r="K2399">
            <v>0</v>
          </cell>
          <cell r="L2399">
            <v>0</v>
          </cell>
        </row>
        <row r="2400">
          <cell r="A2400" t="str">
            <v>06</v>
          </cell>
          <cell r="B2400" t="str">
            <v>26</v>
          </cell>
          <cell r="C2400" t="str">
            <v>06</v>
          </cell>
          <cell r="D2400" t="str">
            <v>5</v>
          </cell>
          <cell r="E2400" t="str">
            <v>0035</v>
          </cell>
          <cell r="F2400" t="str">
            <v>0002</v>
          </cell>
          <cell r="G2400" t="str">
            <v>16103</v>
          </cell>
          <cell r="H2400" t="str">
            <v>转户</v>
          </cell>
          <cell r="I2400" t="b">
            <v>0</v>
          </cell>
          <cell r="J2400">
            <v>1028033.83</v>
          </cell>
          <cell r="K2400">
            <v>0</v>
          </cell>
          <cell r="L2400">
            <v>0</v>
          </cell>
        </row>
        <row r="2401">
          <cell r="A2401" t="str">
            <v>02</v>
          </cell>
          <cell r="B2401" t="str">
            <v>26</v>
          </cell>
          <cell r="C2401" t="str">
            <v>02</v>
          </cell>
          <cell r="D2401" t="str">
            <v>5</v>
          </cell>
          <cell r="E2401" t="str">
            <v>0021</v>
          </cell>
          <cell r="F2401" t="str">
            <v>0008</v>
          </cell>
          <cell r="G2401" t="str">
            <v>16501</v>
          </cell>
          <cell r="H2401" t="str">
            <v>转计提本月公司各部门折旧费</v>
          </cell>
          <cell r="I2401" t="b">
            <v>0</v>
          </cell>
          <cell r="J2401">
            <v>82190.28</v>
          </cell>
          <cell r="K2401">
            <v>0</v>
          </cell>
          <cell r="L2401">
            <v>0</v>
          </cell>
        </row>
        <row r="2402">
          <cell r="A2402" t="str">
            <v>03</v>
          </cell>
          <cell r="B2402" t="str">
            <v>27</v>
          </cell>
          <cell r="C2402" t="str">
            <v>03</v>
          </cell>
          <cell r="D2402" t="str">
            <v>5</v>
          </cell>
          <cell r="E2402" t="str">
            <v>0004</v>
          </cell>
          <cell r="F2402" t="str">
            <v>0008</v>
          </cell>
          <cell r="G2402" t="str">
            <v>16501</v>
          </cell>
          <cell r="H2402" t="str">
            <v>转计提1.3月公司各部门折旧费</v>
          </cell>
          <cell r="I2402" t="b">
            <v>0</v>
          </cell>
          <cell r="J2402">
            <v>164380.56</v>
          </cell>
          <cell r="K2402">
            <v>0</v>
          </cell>
          <cell r="L2402">
            <v>0</v>
          </cell>
        </row>
        <row r="2403">
          <cell r="A2403" t="str">
            <v>04</v>
          </cell>
          <cell r="B2403" t="str">
            <v>20</v>
          </cell>
          <cell r="C2403" t="str">
            <v>04</v>
          </cell>
          <cell r="D2403" t="str">
            <v>5</v>
          </cell>
          <cell r="E2403" t="str">
            <v>0001</v>
          </cell>
          <cell r="F2403" t="str">
            <v>0008</v>
          </cell>
          <cell r="G2403" t="str">
            <v>16501</v>
          </cell>
          <cell r="H2403" t="str">
            <v>转计提4月公司各部门折旧费</v>
          </cell>
          <cell r="I2403" t="b">
            <v>0</v>
          </cell>
          <cell r="J2403">
            <v>82190.28</v>
          </cell>
          <cell r="K2403">
            <v>0</v>
          </cell>
          <cell r="L2403">
            <v>0</v>
          </cell>
        </row>
        <row r="2404">
          <cell r="A2404" t="str">
            <v>05</v>
          </cell>
          <cell r="B2404" t="str">
            <v>25</v>
          </cell>
          <cell r="C2404" t="str">
            <v>05</v>
          </cell>
          <cell r="D2404" t="str">
            <v>5</v>
          </cell>
          <cell r="E2404" t="str">
            <v>0011</v>
          </cell>
          <cell r="F2404" t="str">
            <v>0008</v>
          </cell>
          <cell r="G2404" t="str">
            <v>16501</v>
          </cell>
          <cell r="H2404" t="str">
            <v>转计提本月公司各部门折旧费</v>
          </cell>
          <cell r="I2404" t="b">
            <v>0</v>
          </cell>
          <cell r="J2404">
            <v>82190.28</v>
          </cell>
          <cell r="K2404">
            <v>0</v>
          </cell>
          <cell r="L2404">
            <v>0</v>
          </cell>
        </row>
        <row r="2405">
          <cell r="A2405" t="str">
            <v>06</v>
          </cell>
          <cell r="B2405" t="str">
            <v>16</v>
          </cell>
          <cell r="C2405" t="str">
            <v>06</v>
          </cell>
          <cell r="D2405" t="str">
            <v>5</v>
          </cell>
          <cell r="E2405" t="str">
            <v>0005</v>
          </cell>
          <cell r="F2405" t="str">
            <v>0008</v>
          </cell>
          <cell r="G2405" t="str">
            <v>16501</v>
          </cell>
          <cell r="H2405" t="str">
            <v>转计提本月公司各部门折旧费</v>
          </cell>
          <cell r="I2405" t="b">
            <v>0</v>
          </cell>
          <cell r="J2405">
            <v>82190.28</v>
          </cell>
          <cell r="K2405">
            <v>0</v>
          </cell>
          <cell r="L2405">
            <v>0</v>
          </cell>
        </row>
        <row r="2406">
          <cell r="A2406" t="str">
            <v>06</v>
          </cell>
          <cell r="B2406" t="str">
            <v>26</v>
          </cell>
          <cell r="C2406" t="str">
            <v>06</v>
          </cell>
          <cell r="D2406" t="str">
            <v>5</v>
          </cell>
          <cell r="E2406" t="str">
            <v>0035</v>
          </cell>
          <cell r="F2406" t="str">
            <v>0004</v>
          </cell>
          <cell r="G2406" t="str">
            <v>16501</v>
          </cell>
          <cell r="H2406" t="str">
            <v>转户</v>
          </cell>
          <cell r="I2406" t="b">
            <v>0</v>
          </cell>
          <cell r="J2406">
            <v>982742.94</v>
          </cell>
          <cell r="K2406">
            <v>0</v>
          </cell>
          <cell r="L2406">
            <v>0</v>
          </cell>
        </row>
        <row r="2407">
          <cell r="A2407" t="str">
            <v>07</v>
          </cell>
          <cell r="B2407" t="str">
            <v>24</v>
          </cell>
          <cell r="C2407" t="str">
            <v>07</v>
          </cell>
          <cell r="D2407" t="str">
            <v>5</v>
          </cell>
          <cell r="E2407" t="str">
            <v>0009</v>
          </cell>
          <cell r="F2407" t="str">
            <v>0008</v>
          </cell>
          <cell r="G2407" t="str">
            <v>16501</v>
          </cell>
          <cell r="H2407" t="str">
            <v>转计提本月公司各部门折旧费</v>
          </cell>
          <cell r="I2407" t="b">
            <v>0</v>
          </cell>
          <cell r="J2407">
            <v>82190.28</v>
          </cell>
          <cell r="K2407">
            <v>0</v>
          </cell>
          <cell r="L2407">
            <v>0</v>
          </cell>
        </row>
        <row r="2408">
          <cell r="A2408" t="str">
            <v>08</v>
          </cell>
          <cell r="B2408" t="str">
            <v>27</v>
          </cell>
          <cell r="C2408" t="str">
            <v>08</v>
          </cell>
          <cell r="D2408" t="str">
            <v>5</v>
          </cell>
          <cell r="E2408" t="str">
            <v>0015</v>
          </cell>
          <cell r="F2408" t="str">
            <v>0003</v>
          </cell>
          <cell r="G2408" t="str">
            <v>16501</v>
          </cell>
          <cell r="H2408" t="str">
            <v>转计提折旧费</v>
          </cell>
          <cell r="I2408" t="b">
            <v>0</v>
          </cell>
          <cell r="J2408">
            <v>115712.12</v>
          </cell>
          <cell r="K2408">
            <v>0</v>
          </cell>
          <cell r="L2408">
            <v>0</v>
          </cell>
        </row>
        <row r="2409">
          <cell r="A2409" t="str">
            <v>09</v>
          </cell>
          <cell r="B2409" t="str">
            <v>25</v>
          </cell>
          <cell r="C2409" t="str">
            <v>09</v>
          </cell>
          <cell r="D2409" t="str">
            <v>5</v>
          </cell>
          <cell r="E2409" t="str">
            <v>0019</v>
          </cell>
          <cell r="F2409" t="str">
            <v>0002</v>
          </cell>
          <cell r="G2409" t="str">
            <v>16501</v>
          </cell>
          <cell r="H2409" t="str">
            <v>转计提折旧费</v>
          </cell>
          <cell r="I2409" t="b">
            <v>0</v>
          </cell>
          <cell r="J2409">
            <v>98951.2</v>
          </cell>
          <cell r="K2409">
            <v>0</v>
          </cell>
          <cell r="L2409">
            <v>0</v>
          </cell>
        </row>
        <row r="2410">
          <cell r="A2410" t="str">
            <v>10</v>
          </cell>
          <cell r="B2410" t="str">
            <v>24</v>
          </cell>
          <cell r="C2410" t="str">
            <v>10</v>
          </cell>
          <cell r="D2410" t="str">
            <v>5</v>
          </cell>
          <cell r="E2410" t="str">
            <v>0010</v>
          </cell>
          <cell r="F2410" t="str">
            <v>0002</v>
          </cell>
          <cell r="G2410" t="str">
            <v>16501</v>
          </cell>
          <cell r="H2410" t="str">
            <v>转计提折旧费</v>
          </cell>
          <cell r="I2410" t="b">
            <v>0</v>
          </cell>
          <cell r="J2410">
            <v>98724.11</v>
          </cell>
          <cell r="K2410">
            <v>0</v>
          </cell>
          <cell r="L2410">
            <v>0</v>
          </cell>
        </row>
        <row r="2411">
          <cell r="A2411" t="str">
            <v>11</v>
          </cell>
          <cell r="B2411" t="str">
            <v>29</v>
          </cell>
          <cell r="C2411" t="str">
            <v>11</v>
          </cell>
          <cell r="D2411" t="str">
            <v>5</v>
          </cell>
          <cell r="E2411" t="str">
            <v>0024</v>
          </cell>
          <cell r="F2411" t="str">
            <v>0002</v>
          </cell>
          <cell r="G2411" t="str">
            <v>16501</v>
          </cell>
          <cell r="H2411" t="str">
            <v>转计提折旧费</v>
          </cell>
          <cell r="I2411" t="b">
            <v>0</v>
          </cell>
          <cell r="J2411">
            <v>98724.11</v>
          </cell>
          <cell r="K2411">
            <v>0</v>
          </cell>
          <cell r="L2411">
            <v>0</v>
          </cell>
        </row>
        <row r="2412">
          <cell r="A2412" t="str">
            <v>12</v>
          </cell>
          <cell r="B2412" t="str">
            <v>25</v>
          </cell>
          <cell r="C2412" t="str">
            <v>12</v>
          </cell>
          <cell r="D2412" t="str">
            <v>5</v>
          </cell>
          <cell r="E2412" t="str">
            <v>0027</v>
          </cell>
          <cell r="F2412" t="str">
            <v>0002</v>
          </cell>
          <cell r="G2412" t="str">
            <v>16501</v>
          </cell>
          <cell r="H2412" t="str">
            <v>转计提折旧费</v>
          </cell>
          <cell r="I2412" t="b">
            <v>0</v>
          </cell>
          <cell r="J2412">
            <v>98786.99</v>
          </cell>
          <cell r="K2412">
            <v>0</v>
          </cell>
          <cell r="L2412">
            <v>0</v>
          </cell>
        </row>
        <row r="2413">
          <cell r="A2413" t="str">
            <v>12</v>
          </cell>
          <cell r="B2413" t="str">
            <v>27</v>
          </cell>
          <cell r="C2413" t="str">
            <v>12</v>
          </cell>
          <cell r="D2413" t="str">
            <v>5</v>
          </cell>
          <cell r="E2413" t="str">
            <v>0036</v>
          </cell>
          <cell r="F2413" t="str">
            <v>0002</v>
          </cell>
          <cell r="G2413" t="str">
            <v>16501</v>
          </cell>
          <cell r="H2413" t="str">
            <v>转清理出售文登叉车折旧</v>
          </cell>
          <cell r="I2413" t="b">
            <v>1</v>
          </cell>
          <cell r="J2413">
            <v>40736</v>
          </cell>
          <cell r="K2413">
            <v>0</v>
          </cell>
          <cell r="L2413">
            <v>0</v>
          </cell>
        </row>
        <row r="2414">
          <cell r="A2414" t="str">
            <v>06</v>
          </cell>
          <cell r="B2414" t="str">
            <v>26</v>
          </cell>
          <cell r="C2414" t="str">
            <v>06</v>
          </cell>
          <cell r="D2414" t="str">
            <v>5</v>
          </cell>
          <cell r="E2414" t="str">
            <v>0033</v>
          </cell>
          <cell r="F2414" t="str">
            <v>0002</v>
          </cell>
          <cell r="G2414" t="str">
            <v>16502</v>
          </cell>
          <cell r="H2414" t="str">
            <v>转资产累计折旧</v>
          </cell>
          <cell r="I2414" t="b">
            <v>1</v>
          </cell>
          <cell r="J2414">
            <v>4539527.5599999996</v>
          </cell>
          <cell r="K2414">
            <v>0</v>
          </cell>
          <cell r="L2414">
            <v>0</v>
          </cell>
        </row>
        <row r="2415">
          <cell r="A2415" t="str">
            <v>06</v>
          </cell>
          <cell r="B2415" t="str">
            <v>26</v>
          </cell>
          <cell r="C2415" t="str">
            <v>06</v>
          </cell>
          <cell r="D2415" t="str">
            <v>5</v>
          </cell>
          <cell r="E2415" t="str">
            <v>0035</v>
          </cell>
          <cell r="F2415" t="str">
            <v>0003</v>
          </cell>
          <cell r="G2415" t="str">
            <v>16502</v>
          </cell>
          <cell r="H2415" t="str">
            <v>转户</v>
          </cell>
          <cell r="I2415" t="b">
            <v>1</v>
          </cell>
          <cell r="J2415">
            <v>982742.94</v>
          </cell>
          <cell r="K2415">
            <v>0</v>
          </cell>
          <cell r="L2415">
            <v>0</v>
          </cell>
        </row>
        <row r="2416">
          <cell r="A2416" t="str">
            <v>06</v>
          </cell>
          <cell r="B2416" t="str">
            <v>01</v>
          </cell>
          <cell r="C2416" t="str">
            <v>06</v>
          </cell>
          <cell r="D2416" t="str">
            <v>1</v>
          </cell>
          <cell r="E2416" t="str">
            <v>0001</v>
          </cell>
          <cell r="F2416" t="str">
            <v>0005</v>
          </cell>
          <cell r="G2416" t="str">
            <v>166</v>
          </cell>
          <cell r="H2416" t="str">
            <v>收货款</v>
          </cell>
          <cell r="I2416" t="b">
            <v>0</v>
          </cell>
          <cell r="J2416">
            <v>6000</v>
          </cell>
          <cell r="K2416">
            <v>0</v>
          </cell>
          <cell r="L2416">
            <v>0</v>
          </cell>
        </row>
        <row r="2417">
          <cell r="A2417" t="str">
            <v>12</v>
          </cell>
          <cell r="B2417" t="str">
            <v>20</v>
          </cell>
          <cell r="C2417" t="str">
            <v>12</v>
          </cell>
          <cell r="D2417" t="str">
            <v>1</v>
          </cell>
          <cell r="E2417" t="str">
            <v>0005</v>
          </cell>
          <cell r="F2417" t="str">
            <v>0006</v>
          </cell>
          <cell r="G2417" t="str">
            <v>166</v>
          </cell>
          <cell r="H2417" t="str">
            <v>收旧叉车款</v>
          </cell>
          <cell r="I2417" t="b">
            <v>0</v>
          </cell>
          <cell r="J2417">
            <v>8000</v>
          </cell>
          <cell r="K2417">
            <v>0</v>
          </cell>
          <cell r="L2417">
            <v>0</v>
          </cell>
        </row>
        <row r="2418">
          <cell r="A2418" t="str">
            <v>12</v>
          </cell>
          <cell r="B2418" t="str">
            <v>26</v>
          </cell>
          <cell r="C2418" t="str">
            <v>12</v>
          </cell>
          <cell r="D2418" t="str">
            <v>5</v>
          </cell>
          <cell r="E2418" t="str">
            <v>0033</v>
          </cell>
          <cell r="F2418" t="str">
            <v>0002</v>
          </cell>
          <cell r="G2418" t="str">
            <v>166</v>
          </cell>
          <cell r="H2418" t="str">
            <v>结转清理130汽车净损失</v>
          </cell>
          <cell r="I2418" t="b">
            <v>0</v>
          </cell>
          <cell r="J2418">
            <v>4955.41</v>
          </cell>
          <cell r="K2418">
            <v>0</v>
          </cell>
          <cell r="L2418">
            <v>0</v>
          </cell>
        </row>
        <row r="2419">
          <cell r="A2419" t="str">
            <v>12</v>
          </cell>
          <cell r="B2419" t="str">
            <v>27</v>
          </cell>
          <cell r="C2419" t="str">
            <v>12</v>
          </cell>
          <cell r="D2419" t="str">
            <v>5</v>
          </cell>
          <cell r="E2419" t="str">
            <v>0036</v>
          </cell>
          <cell r="F2419" t="str">
            <v>0001</v>
          </cell>
          <cell r="G2419" t="str">
            <v>166</v>
          </cell>
          <cell r="H2419" t="str">
            <v>转清理出售文登叉车1台</v>
          </cell>
          <cell r="I2419" t="b">
            <v>1</v>
          </cell>
          <cell r="J2419">
            <v>35264</v>
          </cell>
          <cell r="K2419">
            <v>0</v>
          </cell>
          <cell r="L2419">
            <v>0</v>
          </cell>
        </row>
        <row r="2420">
          <cell r="A2420" t="str">
            <v>12</v>
          </cell>
          <cell r="B2420" t="str">
            <v>27</v>
          </cell>
          <cell r="C2420" t="str">
            <v>12</v>
          </cell>
          <cell r="D2420" t="str">
            <v>5</v>
          </cell>
          <cell r="E2420" t="str">
            <v>0036</v>
          </cell>
          <cell r="F2420" t="str">
            <v>0005</v>
          </cell>
          <cell r="G2420" t="str">
            <v>166</v>
          </cell>
          <cell r="H2420" t="str">
            <v>结转清理出售文登叉车净损失</v>
          </cell>
          <cell r="I2420" t="b">
            <v>0</v>
          </cell>
          <cell r="J2420">
            <v>27264</v>
          </cell>
          <cell r="K2420">
            <v>0</v>
          </cell>
          <cell r="L2420">
            <v>0</v>
          </cell>
        </row>
        <row r="2421">
          <cell r="A2421" t="str">
            <v>02</v>
          </cell>
          <cell r="B2421" t="str">
            <v>22</v>
          </cell>
          <cell r="C2421" t="str">
            <v>02</v>
          </cell>
          <cell r="D2421" t="str">
            <v>1</v>
          </cell>
          <cell r="E2421" t="str">
            <v>0015</v>
          </cell>
          <cell r="F2421" t="str">
            <v>0002</v>
          </cell>
          <cell r="G2421" t="str">
            <v>16701</v>
          </cell>
          <cell r="H2421" t="str">
            <v>暂借款</v>
          </cell>
          <cell r="I2421" t="b">
            <v>0</v>
          </cell>
          <cell r="J2421">
            <v>150000</v>
          </cell>
          <cell r="K2421">
            <v>0</v>
          </cell>
          <cell r="L2421">
            <v>0</v>
          </cell>
        </row>
        <row r="2422">
          <cell r="A2422" t="str">
            <v>02</v>
          </cell>
          <cell r="B2422" t="str">
            <v>20</v>
          </cell>
          <cell r="C2422" t="str">
            <v>02</v>
          </cell>
          <cell r="D2422" t="str">
            <v>3</v>
          </cell>
          <cell r="E2422" t="str">
            <v>0008</v>
          </cell>
          <cell r="F2422" t="str">
            <v>0002</v>
          </cell>
          <cell r="G2422" t="str">
            <v>16701</v>
          </cell>
          <cell r="H2422" t="str">
            <v>收回借款</v>
          </cell>
          <cell r="I2422" t="b">
            <v>0</v>
          </cell>
          <cell r="J2422">
            <v>2500000</v>
          </cell>
          <cell r="K2422">
            <v>0</v>
          </cell>
          <cell r="L2422">
            <v>0</v>
          </cell>
        </row>
        <row r="2423">
          <cell r="A2423" t="str">
            <v>02</v>
          </cell>
          <cell r="B2423" t="str">
            <v>15</v>
          </cell>
          <cell r="C2423" t="str">
            <v>02</v>
          </cell>
          <cell r="D2423" t="str">
            <v>4</v>
          </cell>
          <cell r="E2423" t="str">
            <v>0019</v>
          </cell>
          <cell r="F2423" t="str">
            <v>0002</v>
          </cell>
          <cell r="G2423" t="str">
            <v>16701</v>
          </cell>
          <cell r="H2423" t="str">
            <v>暂借款</v>
          </cell>
          <cell r="I2423" t="b">
            <v>1</v>
          </cell>
          <cell r="J2423">
            <v>100000</v>
          </cell>
          <cell r="K2423">
            <v>0</v>
          </cell>
          <cell r="L2423">
            <v>0</v>
          </cell>
        </row>
        <row r="2424">
          <cell r="A2424" t="str">
            <v>03</v>
          </cell>
          <cell r="B2424" t="str">
            <v>12</v>
          </cell>
          <cell r="C2424" t="str">
            <v>03</v>
          </cell>
          <cell r="D2424" t="str">
            <v>3</v>
          </cell>
          <cell r="E2424" t="str">
            <v>0008</v>
          </cell>
          <cell r="F2424" t="str">
            <v>0002</v>
          </cell>
          <cell r="G2424" t="str">
            <v>16701</v>
          </cell>
          <cell r="H2424" t="str">
            <v>收回借款</v>
          </cell>
          <cell r="I2424" t="b">
            <v>0</v>
          </cell>
          <cell r="J2424">
            <v>917003.63</v>
          </cell>
          <cell r="K2424">
            <v>0</v>
          </cell>
          <cell r="L2424">
            <v>0</v>
          </cell>
        </row>
        <row r="2425">
          <cell r="A2425" t="str">
            <v>03</v>
          </cell>
          <cell r="B2425" t="str">
            <v>14</v>
          </cell>
          <cell r="C2425" t="str">
            <v>03</v>
          </cell>
          <cell r="D2425" t="str">
            <v>4</v>
          </cell>
          <cell r="E2425" t="str">
            <v>0018</v>
          </cell>
          <cell r="F2425" t="str">
            <v>0001</v>
          </cell>
          <cell r="G2425" t="str">
            <v>16701</v>
          </cell>
          <cell r="H2425" t="str">
            <v>付借款</v>
          </cell>
          <cell r="I2425" t="b">
            <v>1</v>
          </cell>
          <cell r="J2425">
            <v>100000</v>
          </cell>
          <cell r="K2425">
            <v>0</v>
          </cell>
          <cell r="L2425">
            <v>0</v>
          </cell>
        </row>
        <row r="2426">
          <cell r="A2426" t="str">
            <v>04</v>
          </cell>
          <cell r="B2426" t="str">
            <v>10</v>
          </cell>
          <cell r="C2426" t="str">
            <v>04</v>
          </cell>
          <cell r="D2426" t="str">
            <v>3</v>
          </cell>
          <cell r="E2426" t="str">
            <v>0002</v>
          </cell>
          <cell r="F2426" t="str">
            <v>0005</v>
          </cell>
          <cell r="G2426" t="str">
            <v>16701</v>
          </cell>
          <cell r="H2426" t="str">
            <v>收回借款</v>
          </cell>
          <cell r="I2426" t="b">
            <v>0</v>
          </cell>
          <cell r="J2426">
            <v>600000</v>
          </cell>
          <cell r="K2426">
            <v>0</v>
          </cell>
          <cell r="L2426">
            <v>0</v>
          </cell>
        </row>
        <row r="2427">
          <cell r="A2427" t="str">
            <v>04</v>
          </cell>
          <cell r="B2427" t="str">
            <v>19</v>
          </cell>
          <cell r="C2427" t="str">
            <v>04</v>
          </cell>
          <cell r="D2427" t="str">
            <v>4</v>
          </cell>
          <cell r="E2427" t="str">
            <v>0022</v>
          </cell>
          <cell r="F2427" t="str">
            <v>0011</v>
          </cell>
          <cell r="G2427" t="str">
            <v>16701</v>
          </cell>
          <cell r="H2427" t="str">
            <v>收回借款</v>
          </cell>
          <cell r="I2427" t="b">
            <v>0</v>
          </cell>
          <cell r="J2427">
            <v>1500</v>
          </cell>
          <cell r="K2427">
            <v>0</v>
          </cell>
          <cell r="L2427">
            <v>0</v>
          </cell>
        </row>
        <row r="2428">
          <cell r="A2428" t="str">
            <v>05</v>
          </cell>
          <cell r="B2428" t="str">
            <v>22</v>
          </cell>
          <cell r="C2428" t="str">
            <v>05</v>
          </cell>
          <cell r="D2428" t="str">
            <v>3</v>
          </cell>
          <cell r="E2428" t="str">
            <v>0004</v>
          </cell>
          <cell r="F2428" t="str">
            <v>0002</v>
          </cell>
          <cell r="G2428" t="str">
            <v>16701</v>
          </cell>
          <cell r="H2428" t="str">
            <v>暂借款</v>
          </cell>
          <cell r="I2428" t="b">
            <v>0</v>
          </cell>
          <cell r="J2428">
            <v>400000</v>
          </cell>
          <cell r="K2428">
            <v>0</v>
          </cell>
          <cell r="L2428">
            <v>0</v>
          </cell>
        </row>
        <row r="2429">
          <cell r="A2429" t="str">
            <v>05</v>
          </cell>
          <cell r="B2429" t="str">
            <v>25</v>
          </cell>
          <cell r="C2429" t="str">
            <v>05</v>
          </cell>
          <cell r="D2429" t="str">
            <v>5</v>
          </cell>
          <cell r="E2429" t="str">
            <v>0013</v>
          </cell>
          <cell r="F2429" t="str">
            <v>0005</v>
          </cell>
          <cell r="G2429" t="str">
            <v>16701</v>
          </cell>
          <cell r="H2429" t="str">
            <v>转二厂代扣东进张万彬借款</v>
          </cell>
          <cell r="I2429" t="b">
            <v>0</v>
          </cell>
          <cell r="J2429">
            <v>900</v>
          </cell>
          <cell r="K2429">
            <v>0</v>
          </cell>
          <cell r="L2429">
            <v>0</v>
          </cell>
        </row>
        <row r="2430">
          <cell r="A2430" t="str">
            <v>07</v>
          </cell>
          <cell r="B2430" t="str">
            <v>20</v>
          </cell>
          <cell r="C2430" t="str">
            <v>07</v>
          </cell>
          <cell r="D2430" t="str">
            <v>1</v>
          </cell>
          <cell r="E2430" t="str">
            <v>0009</v>
          </cell>
          <cell r="F2430" t="str">
            <v>0002</v>
          </cell>
          <cell r="G2430" t="str">
            <v>16701</v>
          </cell>
          <cell r="H2430" t="str">
            <v>暂借款</v>
          </cell>
          <cell r="I2430" t="b">
            <v>0</v>
          </cell>
          <cell r="J2430">
            <v>74396.7</v>
          </cell>
          <cell r="K2430">
            <v>0</v>
          </cell>
          <cell r="L2430">
            <v>0</v>
          </cell>
        </row>
        <row r="2431">
          <cell r="A2431" t="str">
            <v>07</v>
          </cell>
          <cell r="B2431" t="str">
            <v>18</v>
          </cell>
          <cell r="C2431" t="str">
            <v>07</v>
          </cell>
          <cell r="D2431" t="str">
            <v>4</v>
          </cell>
          <cell r="E2431" t="str">
            <v>0016</v>
          </cell>
          <cell r="F2431" t="str">
            <v>0002</v>
          </cell>
          <cell r="G2431" t="str">
            <v>16701</v>
          </cell>
          <cell r="H2431" t="str">
            <v>暂借款</v>
          </cell>
          <cell r="I2431" t="b">
            <v>1</v>
          </cell>
          <cell r="J2431">
            <v>830000</v>
          </cell>
          <cell r="K2431">
            <v>0</v>
          </cell>
          <cell r="L2431">
            <v>0</v>
          </cell>
        </row>
        <row r="2432">
          <cell r="A2432" t="str">
            <v>07</v>
          </cell>
          <cell r="B2432" t="str">
            <v>24</v>
          </cell>
          <cell r="C2432" t="str">
            <v>07</v>
          </cell>
          <cell r="D2432" t="str">
            <v>5</v>
          </cell>
          <cell r="E2432" t="str">
            <v>0005</v>
          </cell>
          <cell r="F2432" t="str">
            <v>0002</v>
          </cell>
          <cell r="G2432" t="str">
            <v>16701</v>
          </cell>
          <cell r="H2432" t="str">
            <v>转收99年度东进公司收益</v>
          </cell>
          <cell r="I2432" t="b">
            <v>1</v>
          </cell>
          <cell r="J2432">
            <v>1436576.65</v>
          </cell>
          <cell r="K2432">
            <v>0</v>
          </cell>
          <cell r="L2432">
            <v>0</v>
          </cell>
        </row>
        <row r="2433">
          <cell r="A2433" t="str">
            <v>08</v>
          </cell>
          <cell r="B2433" t="str">
            <v>02</v>
          </cell>
          <cell r="C2433" t="str">
            <v>08</v>
          </cell>
          <cell r="D2433" t="str">
            <v>3</v>
          </cell>
          <cell r="E2433" t="str">
            <v>0002</v>
          </cell>
          <cell r="F2433" t="str">
            <v>0002</v>
          </cell>
          <cell r="G2433" t="str">
            <v>16701</v>
          </cell>
          <cell r="H2433" t="str">
            <v>暂借款</v>
          </cell>
          <cell r="I2433" t="b">
            <v>0</v>
          </cell>
          <cell r="J2433">
            <v>400000</v>
          </cell>
          <cell r="K2433">
            <v>0</v>
          </cell>
          <cell r="L2433">
            <v>0</v>
          </cell>
        </row>
        <row r="2434">
          <cell r="A2434" t="str">
            <v>12</v>
          </cell>
          <cell r="B2434" t="str">
            <v>30</v>
          </cell>
          <cell r="C2434" t="str">
            <v>12</v>
          </cell>
          <cell r="D2434" t="str">
            <v>4</v>
          </cell>
          <cell r="E2434" t="str">
            <v>0059</v>
          </cell>
          <cell r="F2434" t="str">
            <v>0002</v>
          </cell>
          <cell r="G2434" t="str">
            <v>16701</v>
          </cell>
          <cell r="H2434" t="str">
            <v>代付工会经费</v>
          </cell>
          <cell r="I2434" t="b">
            <v>1</v>
          </cell>
          <cell r="J2434">
            <v>38127.050000000003</v>
          </cell>
          <cell r="K2434">
            <v>0</v>
          </cell>
          <cell r="L2434">
            <v>0</v>
          </cell>
        </row>
        <row r="2435">
          <cell r="A2435" t="str">
            <v>12</v>
          </cell>
          <cell r="B2435" t="str">
            <v>28</v>
          </cell>
          <cell r="C2435" t="str">
            <v>12</v>
          </cell>
          <cell r="D2435" t="str">
            <v>5</v>
          </cell>
          <cell r="E2435" t="str">
            <v>0044</v>
          </cell>
          <cell r="F2435" t="str">
            <v>0002</v>
          </cell>
          <cell r="G2435" t="str">
            <v>16701</v>
          </cell>
          <cell r="H2435" t="str">
            <v>转东进公司住房补贴款</v>
          </cell>
          <cell r="I2435" t="b">
            <v>1</v>
          </cell>
          <cell r="J2435">
            <v>369010.23</v>
          </cell>
          <cell r="K2435">
            <v>0</v>
          </cell>
          <cell r="L2435">
            <v>0</v>
          </cell>
        </row>
        <row r="2436">
          <cell r="A2436" t="str">
            <v>12</v>
          </cell>
          <cell r="B2436" t="str">
            <v>30</v>
          </cell>
          <cell r="C2436" t="str">
            <v>12</v>
          </cell>
          <cell r="D2436" t="str">
            <v>5</v>
          </cell>
          <cell r="E2436" t="str">
            <v>0086</v>
          </cell>
          <cell r="F2436" t="str">
            <v>0003</v>
          </cell>
          <cell r="G2436" t="str">
            <v>16701</v>
          </cell>
          <cell r="H2436" t="str">
            <v>转冲99年12月5-74#凭证</v>
          </cell>
          <cell r="I2436" t="b">
            <v>1</v>
          </cell>
          <cell r="J2436">
            <v>-7258290.0899999999</v>
          </cell>
          <cell r="K2436">
            <v>0</v>
          </cell>
          <cell r="L2436">
            <v>0</v>
          </cell>
        </row>
        <row r="2437">
          <cell r="A2437" t="str">
            <v>12</v>
          </cell>
          <cell r="B2437" t="str">
            <v>31</v>
          </cell>
          <cell r="C2437" t="str">
            <v>12</v>
          </cell>
          <cell r="D2437" t="str">
            <v>5</v>
          </cell>
          <cell r="E2437" t="str">
            <v>0095</v>
          </cell>
          <cell r="F2437" t="str">
            <v>0004</v>
          </cell>
          <cell r="G2437" t="str">
            <v>16901</v>
          </cell>
          <cell r="H2437" t="str">
            <v>转完工北后院工程款</v>
          </cell>
          <cell r="I2437" t="b">
            <v>0</v>
          </cell>
          <cell r="J2437">
            <v>1132340.5</v>
          </cell>
          <cell r="K2437">
            <v>0</v>
          </cell>
          <cell r="L2437">
            <v>0</v>
          </cell>
        </row>
        <row r="2438">
          <cell r="A2438" t="str">
            <v>04</v>
          </cell>
          <cell r="B2438" t="str">
            <v>03</v>
          </cell>
          <cell r="C2438" t="str">
            <v>04</v>
          </cell>
          <cell r="D2438" t="str">
            <v>4</v>
          </cell>
          <cell r="E2438" t="str">
            <v>0004</v>
          </cell>
          <cell r="F2438" t="str">
            <v>0001</v>
          </cell>
          <cell r="G2438" t="str">
            <v>16903</v>
          </cell>
          <cell r="H2438" t="str">
            <v>付土地开发费</v>
          </cell>
          <cell r="I2438" t="b">
            <v>1</v>
          </cell>
          <cell r="J2438">
            <v>300000</v>
          </cell>
          <cell r="K2438">
            <v>0</v>
          </cell>
          <cell r="L2438">
            <v>0</v>
          </cell>
        </row>
        <row r="2439">
          <cell r="A2439" t="str">
            <v>12</v>
          </cell>
          <cell r="B2439" t="str">
            <v>21</v>
          </cell>
          <cell r="C2439" t="str">
            <v>12</v>
          </cell>
          <cell r="D2439" t="str">
            <v>4</v>
          </cell>
          <cell r="E2439" t="str">
            <v>0047</v>
          </cell>
          <cell r="F2439" t="str">
            <v>0001</v>
          </cell>
          <cell r="G2439" t="str">
            <v>16903</v>
          </cell>
          <cell r="H2439" t="str">
            <v>付土地补偿费</v>
          </cell>
          <cell r="I2439" t="b">
            <v>1</v>
          </cell>
          <cell r="J2439">
            <v>100000</v>
          </cell>
          <cell r="K2439">
            <v>0</v>
          </cell>
          <cell r="L2439">
            <v>0</v>
          </cell>
        </row>
        <row r="2440">
          <cell r="A2440" t="str">
            <v>12</v>
          </cell>
          <cell r="B2440" t="str">
            <v>25</v>
          </cell>
          <cell r="C2440" t="str">
            <v>12</v>
          </cell>
          <cell r="D2440" t="str">
            <v>5</v>
          </cell>
          <cell r="E2440" t="str">
            <v>0026</v>
          </cell>
          <cell r="F2440" t="str">
            <v>0002</v>
          </cell>
          <cell r="G2440" t="str">
            <v>16903</v>
          </cell>
          <cell r="H2440" t="str">
            <v>转订出11月2-1#凭证错制</v>
          </cell>
          <cell r="I2440" t="b">
            <v>1</v>
          </cell>
          <cell r="J2440">
            <v>30000</v>
          </cell>
          <cell r="K2440">
            <v>0</v>
          </cell>
          <cell r="L2440">
            <v>0</v>
          </cell>
        </row>
        <row r="2441">
          <cell r="A2441" t="str">
            <v>12</v>
          </cell>
          <cell r="B2441" t="str">
            <v>31</v>
          </cell>
          <cell r="C2441" t="str">
            <v>12</v>
          </cell>
          <cell r="D2441" t="str">
            <v>5</v>
          </cell>
          <cell r="E2441" t="str">
            <v>0094</v>
          </cell>
          <cell r="F2441" t="str">
            <v>0002</v>
          </cell>
          <cell r="G2441" t="str">
            <v>16903</v>
          </cell>
          <cell r="H2441" t="str">
            <v>转夏西土地开发费.出让金</v>
          </cell>
          <cell r="I2441" t="b">
            <v>0</v>
          </cell>
          <cell r="J2441">
            <v>300000</v>
          </cell>
          <cell r="K2441">
            <v>0</v>
          </cell>
          <cell r="L2441">
            <v>0</v>
          </cell>
        </row>
        <row r="2442">
          <cell r="A2442" t="str">
            <v>12</v>
          </cell>
          <cell r="B2442" t="str">
            <v>31</v>
          </cell>
          <cell r="C2442" t="str">
            <v>12</v>
          </cell>
          <cell r="D2442" t="str">
            <v>5</v>
          </cell>
          <cell r="E2442" t="str">
            <v>0094</v>
          </cell>
          <cell r="F2442" t="str">
            <v>0004</v>
          </cell>
          <cell r="G2442" t="str">
            <v>16903</v>
          </cell>
          <cell r="H2442" t="str">
            <v>转出付夏西土地补偿费</v>
          </cell>
          <cell r="I2442" t="b">
            <v>0</v>
          </cell>
          <cell r="J2442">
            <v>130000</v>
          </cell>
          <cell r="K2442">
            <v>0</v>
          </cell>
          <cell r="L2442">
            <v>0</v>
          </cell>
        </row>
        <row r="2443">
          <cell r="A2443" t="str">
            <v>03</v>
          </cell>
          <cell r="B2443" t="str">
            <v>13</v>
          </cell>
          <cell r="C2443" t="str">
            <v>03</v>
          </cell>
          <cell r="D2443" t="str">
            <v>4</v>
          </cell>
          <cell r="E2443" t="str">
            <v>0016</v>
          </cell>
          <cell r="F2443" t="str">
            <v>0002</v>
          </cell>
          <cell r="G2443" t="str">
            <v>16904</v>
          </cell>
          <cell r="H2443" t="str">
            <v>付设计费</v>
          </cell>
          <cell r="I2443" t="b">
            <v>1</v>
          </cell>
          <cell r="J2443">
            <v>30000</v>
          </cell>
          <cell r="K2443">
            <v>0</v>
          </cell>
          <cell r="L2443">
            <v>0</v>
          </cell>
        </row>
        <row r="2444">
          <cell r="A2444" t="str">
            <v>04</v>
          </cell>
          <cell r="B2444" t="str">
            <v>20</v>
          </cell>
          <cell r="C2444" t="str">
            <v>04</v>
          </cell>
          <cell r="D2444" t="str">
            <v>4</v>
          </cell>
          <cell r="E2444" t="str">
            <v>0028</v>
          </cell>
          <cell r="F2444" t="str">
            <v>0001</v>
          </cell>
          <cell r="G2444" t="str">
            <v>16904</v>
          </cell>
          <cell r="H2444" t="str">
            <v>付新果汁车间管理费</v>
          </cell>
          <cell r="I2444" t="b">
            <v>1</v>
          </cell>
          <cell r="J2444">
            <v>129771</v>
          </cell>
          <cell r="K2444">
            <v>0</v>
          </cell>
          <cell r="L2444">
            <v>0</v>
          </cell>
        </row>
        <row r="2445">
          <cell r="A2445" t="str">
            <v>09</v>
          </cell>
          <cell r="B2445" t="str">
            <v>24</v>
          </cell>
          <cell r="C2445" t="str">
            <v>09</v>
          </cell>
          <cell r="D2445" t="str">
            <v>5</v>
          </cell>
          <cell r="E2445" t="str">
            <v>0012</v>
          </cell>
          <cell r="F2445" t="str">
            <v>0001</v>
          </cell>
          <cell r="G2445" t="str">
            <v>16904</v>
          </cell>
          <cell r="H2445" t="str">
            <v>转新果汁车间材料工程款</v>
          </cell>
          <cell r="I2445" t="b">
            <v>1</v>
          </cell>
          <cell r="J2445">
            <v>2200000</v>
          </cell>
          <cell r="K2445">
            <v>0</v>
          </cell>
          <cell r="L2445">
            <v>0</v>
          </cell>
        </row>
        <row r="2446">
          <cell r="A2446" t="str">
            <v>10</v>
          </cell>
          <cell r="B2446" t="str">
            <v>26</v>
          </cell>
          <cell r="C2446" t="str">
            <v>10</v>
          </cell>
          <cell r="D2446" t="str">
            <v>5</v>
          </cell>
          <cell r="E2446" t="str">
            <v>0019</v>
          </cell>
          <cell r="F2446" t="str">
            <v>0001</v>
          </cell>
          <cell r="G2446" t="str">
            <v>16904</v>
          </cell>
          <cell r="H2446" t="str">
            <v>转果汁车间基础地面等另星工程款</v>
          </cell>
          <cell r="I2446" t="b">
            <v>1</v>
          </cell>
          <cell r="J2446">
            <v>691195.36</v>
          </cell>
          <cell r="K2446">
            <v>0</v>
          </cell>
          <cell r="L2446">
            <v>0</v>
          </cell>
        </row>
        <row r="2447">
          <cell r="A2447" t="str">
            <v>12</v>
          </cell>
          <cell r="B2447" t="str">
            <v>31</v>
          </cell>
          <cell r="C2447" t="str">
            <v>12</v>
          </cell>
          <cell r="D2447" t="str">
            <v>5</v>
          </cell>
          <cell r="E2447" t="str">
            <v>0095</v>
          </cell>
          <cell r="F2447" t="str">
            <v>0002</v>
          </cell>
          <cell r="G2447" t="str">
            <v>16904</v>
          </cell>
          <cell r="H2447" t="str">
            <v>转出代付鲁菱新果汁车间款</v>
          </cell>
          <cell r="I2447" t="b">
            <v>0</v>
          </cell>
          <cell r="J2447">
            <v>3050966.36</v>
          </cell>
          <cell r="K2447">
            <v>0</v>
          </cell>
          <cell r="L2447">
            <v>0</v>
          </cell>
        </row>
        <row r="2448">
          <cell r="A2448" t="str">
            <v>06</v>
          </cell>
          <cell r="B2448" t="str">
            <v>20</v>
          </cell>
          <cell r="C2448" t="str">
            <v>06</v>
          </cell>
          <cell r="D2448" t="str">
            <v>4</v>
          </cell>
          <cell r="E2448" t="str">
            <v>0009</v>
          </cell>
          <cell r="F2448" t="str">
            <v>0002</v>
          </cell>
          <cell r="G2448" t="str">
            <v>16905</v>
          </cell>
          <cell r="H2448" t="str">
            <v>供电.配电贴费</v>
          </cell>
          <cell r="I2448" t="b">
            <v>1</v>
          </cell>
          <cell r="J2448">
            <v>450000</v>
          </cell>
          <cell r="K2448">
            <v>0</v>
          </cell>
          <cell r="L2448">
            <v>0</v>
          </cell>
        </row>
        <row r="2449">
          <cell r="A2449" t="str">
            <v>07</v>
          </cell>
          <cell r="B2449" t="str">
            <v>15</v>
          </cell>
          <cell r="C2449" t="str">
            <v>07</v>
          </cell>
          <cell r="D2449" t="str">
            <v>4</v>
          </cell>
          <cell r="E2449" t="str">
            <v>0011</v>
          </cell>
          <cell r="F2449" t="str">
            <v>0003</v>
          </cell>
          <cell r="G2449" t="str">
            <v>16905</v>
          </cell>
          <cell r="H2449" t="str">
            <v>付工程款</v>
          </cell>
          <cell r="I2449" t="b">
            <v>1</v>
          </cell>
          <cell r="J2449">
            <v>100000</v>
          </cell>
          <cell r="K2449">
            <v>0</v>
          </cell>
          <cell r="L2449">
            <v>0</v>
          </cell>
        </row>
        <row r="2450">
          <cell r="A2450" t="str">
            <v>12</v>
          </cell>
          <cell r="B2450" t="str">
            <v>25</v>
          </cell>
          <cell r="C2450" t="str">
            <v>12</v>
          </cell>
          <cell r="D2450" t="str">
            <v>5</v>
          </cell>
          <cell r="E2450" t="str">
            <v>0025</v>
          </cell>
          <cell r="F2450" t="str">
            <v>0004</v>
          </cell>
          <cell r="G2450" t="str">
            <v>16905</v>
          </cell>
          <cell r="H2450" t="str">
            <v>转7月4-11#代付工程款</v>
          </cell>
          <cell r="I2450" t="b">
            <v>0</v>
          </cell>
          <cell r="J2450">
            <v>100000</v>
          </cell>
          <cell r="K2450">
            <v>0</v>
          </cell>
          <cell r="L2450">
            <v>0</v>
          </cell>
        </row>
        <row r="2451">
          <cell r="A2451" t="str">
            <v>12</v>
          </cell>
          <cell r="B2451" t="str">
            <v>31</v>
          </cell>
          <cell r="C2451" t="str">
            <v>12</v>
          </cell>
          <cell r="D2451" t="str">
            <v>5</v>
          </cell>
          <cell r="E2451" t="str">
            <v>0095</v>
          </cell>
          <cell r="F2451" t="str">
            <v>0006</v>
          </cell>
          <cell r="G2451" t="str">
            <v>16905</v>
          </cell>
          <cell r="H2451" t="str">
            <v>转供电设施完工工程款</v>
          </cell>
          <cell r="I2451" t="b">
            <v>0</v>
          </cell>
          <cell r="J2451">
            <v>450000</v>
          </cell>
          <cell r="K2451">
            <v>0</v>
          </cell>
          <cell r="L2451">
            <v>0</v>
          </cell>
        </row>
        <row r="2452">
          <cell r="A2452" t="str">
            <v>10</v>
          </cell>
          <cell r="B2452" t="str">
            <v>26</v>
          </cell>
          <cell r="C2452" t="str">
            <v>10</v>
          </cell>
          <cell r="D2452" t="str">
            <v>5</v>
          </cell>
          <cell r="E2452" t="str">
            <v>0017</v>
          </cell>
          <cell r="F2452" t="str">
            <v>0001</v>
          </cell>
          <cell r="G2452" t="str">
            <v>16906</v>
          </cell>
          <cell r="H2452" t="str">
            <v>转道路另星工程款</v>
          </cell>
          <cell r="I2452" t="b">
            <v>1</v>
          </cell>
          <cell r="J2452">
            <v>1851299.23</v>
          </cell>
          <cell r="K2452">
            <v>0</v>
          </cell>
          <cell r="L2452">
            <v>0</v>
          </cell>
        </row>
        <row r="2453">
          <cell r="A2453" t="str">
            <v>12</v>
          </cell>
          <cell r="B2453" t="str">
            <v>31</v>
          </cell>
          <cell r="C2453" t="str">
            <v>12</v>
          </cell>
          <cell r="D2453" t="str">
            <v>5</v>
          </cell>
          <cell r="E2453" t="str">
            <v>0095</v>
          </cell>
          <cell r="F2453" t="str">
            <v>0008</v>
          </cell>
          <cell r="G2453" t="str">
            <v>16906</v>
          </cell>
          <cell r="H2453" t="str">
            <v>转院内道路另星工程款</v>
          </cell>
          <cell r="I2453" t="b">
            <v>0</v>
          </cell>
          <cell r="J2453">
            <v>1851299.23</v>
          </cell>
          <cell r="K2453">
            <v>0</v>
          </cell>
          <cell r="L2453">
            <v>0</v>
          </cell>
        </row>
        <row r="2454">
          <cell r="A2454" t="str">
            <v>10</v>
          </cell>
          <cell r="B2454" t="str">
            <v>26</v>
          </cell>
          <cell r="C2454" t="str">
            <v>10</v>
          </cell>
          <cell r="D2454" t="str">
            <v>5</v>
          </cell>
          <cell r="E2454" t="str">
            <v>0017</v>
          </cell>
          <cell r="F2454" t="str">
            <v>0002</v>
          </cell>
          <cell r="G2454" t="str">
            <v>16907</v>
          </cell>
          <cell r="H2454" t="str">
            <v>转水池工程款</v>
          </cell>
          <cell r="I2454" t="b">
            <v>1</v>
          </cell>
          <cell r="J2454">
            <v>3461239.12</v>
          </cell>
          <cell r="K2454">
            <v>0</v>
          </cell>
          <cell r="L2454">
            <v>0</v>
          </cell>
        </row>
        <row r="2455">
          <cell r="A2455" t="str">
            <v>12</v>
          </cell>
          <cell r="B2455" t="str">
            <v>31</v>
          </cell>
          <cell r="C2455" t="str">
            <v>12</v>
          </cell>
          <cell r="D2455" t="str">
            <v>5</v>
          </cell>
          <cell r="E2455" t="str">
            <v>0095</v>
          </cell>
          <cell r="F2455" t="str">
            <v>0010</v>
          </cell>
          <cell r="G2455" t="str">
            <v>16907</v>
          </cell>
          <cell r="H2455" t="str">
            <v>转中鲁水池完工工程款</v>
          </cell>
          <cell r="I2455" t="b">
            <v>0</v>
          </cell>
          <cell r="J2455">
            <v>3461239.12</v>
          </cell>
          <cell r="K2455">
            <v>0</v>
          </cell>
          <cell r="L2455">
            <v>0</v>
          </cell>
        </row>
        <row r="2456">
          <cell r="A2456" t="str">
            <v>10</v>
          </cell>
          <cell r="B2456" t="str">
            <v>26</v>
          </cell>
          <cell r="C2456" t="str">
            <v>10</v>
          </cell>
          <cell r="D2456" t="str">
            <v>5</v>
          </cell>
          <cell r="E2456" t="str">
            <v>0018</v>
          </cell>
          <cell r="F2456" t="str">
            <v>0001</v>
          </cell>
          <cell r="G2456" t="str">
            <v>16908</v>
          </cell>
          <cell r="H2456" t="str">
            <v>转砼院.围墙及其他工程款</v>
          </cell>
          <cell r="I2456" t="b">
            <v>1</v>
          </cell>
          <cell r="J2456">
            <v>735382.77</v>
          </cell>
          <cell r="K2456">
            <v>0</v>
          </cell>
          <cell r="L2456">
            <v>0</v>
          </cell>
        </row>
        <row r="2457">
          <cell r="A2457" t="str">
            <v>12</v>
          </cell>
          <cell r="B2457" t="str">
            <v>31</v>
          </cell>
          <cell r="C2457" t="str">
            <v>12</v>
          </cell>
          <cell r="D2457" t="str">
            <v>5</v>
          </cell>
          <cell r="E2457" t="str">
            <v>0095</v>
          </cell>
          <cell r="F2457" t="str">
            <v>0012</v>
          </cell>
          <cell r="G2457" t="str">
            <v>16908</v>
          </cell>
          <cell r="H2457" t="str">
            <v>转砼院.围墙及其他完工工程款</v>
          </cell>
          <cell r="I2457" t="b">
            <v>0</v>
          </cell>
          <cell r="J2457">
            <v>735382.77</v>
          </cell>
          <cell r="K2457">
            <v>0</v>
          </cell>
          <cell r="L2457">
            <v>0</v>
          </cell>
        </row>
        <row r="2458">
          <cell r="A2458" t="str">
            <v>10</v>
          </cell>
          <cell r="B2458" t="str">
            <v>26</v>
          </cell>
          <cell r="C2458" t="str">
            <v>10</v>
          </cell>
          <cell r="D2458" t="str">
            <v>5</v>
          </cell>
          <cell r="E2458" t="str">
            <v>0018</v>
          </cell>
          <cell r="F2458" t="str">
            <v>0002</v>
          </cell>
          <cell r="G2458" t="str">
            <v>16910</v>
          </cell>
          <cell r="H2458" t="str">
            <v>转砼路面工程款</v>
          </cell>
          <cell r="I2458" t="b">
            <v>1</v>
          </cell>
          <cell r="J2458">
            <v>207995.87</v>
          </cell>
          <cell r="K2458">
            <v>0</v>
          </cell>
          <cell r="L2458">
            <v>0</v>
          </cell>
        </row>
        <row r="2459">
          <cell r="A2459" t="str">
            <v>12</v>
          </cell>
          <cell r="B2459" t="str">
            <v>31</v>
          </cell>
          <cell r="C2459" t="str">
            <v>12</v>
          </cell>
          <cell r="D2459" t="str">
            <v>5</v>
          </cell>
          <cell r="E2459" t="str">
            <v>0095</v>
          </cell>
          <cell r="F2459" t="str">
            <v>0014</v>
          </cell>
          <cell r="G2459" t="str">
            <v>16910</v>
          </cell>
          <cell r="H2459" t="str">
            <v>转东院路面完工工程款</v>
          </cell>
          <cell r="I2459" t="b">
            <v>0</v>
          </cell>
          <cell r="J2459">
            <v>207995.87</v>
          </cell>
          <cell r="K2459">
            <v>0</v>
          </cell>
          <cell r="L2459">
            <v>0</v>
          </cell>
        </row>
        <row r="2460">
          <cell r="A2460" t="str">
            <v>02</v>
          </cell>
          <cell r="B2460" t="str">
            <v>15</v>
          </cell>
          <cell r="C2460" t="str">
            <v>02</v>
          </cell>
          <cell r="D2460" t="str">
            <v>4</v>
          </cell>
          <cell r="E2460" t="str">
            <v>0018</v>
          </cell>
          <cell r="F2460" t="str">
            <v>0002</v>
          </cell>
          <cell r="G2460" t="str">
            <v>16955</v>
          </cell>
          <cell r="H2460" t="str">
            <v>付土地款</v>
          </cell>
          <cell r="I2460" t="b">
            <v>1</v>
          </cell>
          <cell r="J2460">
            <v>100000</v>
          </cell>
          <cell r="K2460">
            <v>0</v>
          </cell>
          <cell r="L2460">
            <v>0</v>
          </cell>
        </row>
        <row r="2461">
          <cell r="A2461" t="str">
            <v>11</v>
          </cell>
          <cell r="B2461" t="str">
            <v>16</v>
          </cell>
          <cell r="C2461" t="str">
            <v>11</v>
          </cell>
          <cell r="D2461" t="str">
            <v>5</v>
          </cell>
          <cell r="E2461" t="str">
            <v>0004</v>
          </cell>
          <cell r="F2461" t="str">
            <v>0002</v>
          </cell>
          <cell r="G2461" t="str">
            <v>16955</v>
          </cell>
          <cell r="H2461" t="str">
            <v>转订正2000年2月4-18#凭证</v>
          </cell>
          <cell r="I2461" t="b">
            <v>0</v>
          </cell>
          <cell r="J2461">
            <v>100000</v>
          </cell>
          <cell r="K2461">
            <v>0</v>
          </cell>
          <cell r="L2461">
            <v>0</v>
          </cell>
        </row>
        <row r="2462">
          <cell r="A2462" t="str">
            <v>06</v>
          </cell>
          <cell r="B2462" t="str">
            <v>26</v>
          </cell>
          <cell r="C2462" t="str">
            <v>06</v>
          </cell>
          <cell r="D2462" t="str">
            <v>5</v>
          </cell>
          <cell r="E2462" t="str">
            <v>0034</v>
          </cell>
          <cell r="F2462" t="str">
            <v>0003</v>
          </cell>
          <cell r="G2462" t="str">
            <v>17101</v>
          </cell>
          <cell r="H2462" t="str">
            <v>转订正99年9.5-44#凭证</v>
          </cell>
          <cell r="I2462" t="b">
            <v>0</v>
          </cell>
          <cell r="J2462">
            <v>964951.14</v>
          </cell>
          <cell r="K2462">
            <v>0</v>
          </cell>
          <cell r="L2462">
            <v>0</v>
          </cell>
        </row>
        <row r="2463">
          <cell r="A2463" t="str">
            <v>12</v>
          </cell>
          <cell r="B2463" t="str">
            <v>30</v>
          </cell>
          <cell r="C2463" t="str">
            <v>12</v>
          </cell>
          <cell r="D2463" t="str">
            <v>5</v>
          </cell>
          <cell r="E2463" t="str">
            <v>0091</v>
          </cell>
          <cell r="F2463" t="str">
            <v>0001</v>
          </cell>
          <cell r="G2463" t="str">
            <v>17101</v>
          </cell>
          <cell r="H2463" t="str">
            <v>转夏西土地补偿费</v>
          </cell>
          <cell r="I2463" t="b">
            <v>1</v>
          </cell>
          <cell r="J2463">
            <v>552800</v>
          </cell>
          <cell r="K2463">
            <v>0</v>
          </cell>
          <cell r="L2463">
            <v>0</v>
          </cell>
        </row>
        <row r="2464">
          <cell r="A2464" t="str">
            <v>12</v>
          </cell>
          <cell r="B2464" t="str">
            <v>31</v>
          </cell>
          <cell r="C2464" t="str">
            <v>12</v>
          </cell>
          <cell r="D2464" t="str">
            <v>5</v>
          </cell>
          <cell r="E2464" t="str">
            <v>0094</v>
          </cell>
          <cell r="F2464" t="str">
            <v>0001</v>
          </cell>
          <cell r="G2464" t="str">
            <v>17101</v>
          </cell>
          <cell r="H2464" t="str">
            <v>转夏西土地开发费.出让金</v>
          </cell>
          <cell r="I2464" t="b">
            <v>1</v>
          </cell>
          <cell r="J2464">
            <v>300000</v>
          </cell>
          <cell r="K2464">
            <v>0</v>
          </cell>
          <cell r="L2464">
            <v>0</v>
          </cell>
        </row>
        <row r="2465">
          <cell r="A2465" t="str">
            <v>06</v>
          </cell>
          <cell r="B2465" t="str">
            <v>26</v>
          </cell>
          <cell r="C2465" t="str">
            <v>06</v>
          </cell>
          <cell r="D2465" t="str">
            <v>5</v>
          </cell>
          <cell r="E2465" t="str">
            <v>0032</v>
          </cell>
          <cell r="F2465" t="str">
            <v>0004</v>
          </cell>
          <cell r="G2465" t="str">
            <v>19102</v>
          </cell>
          <cell r="H2465" t="str">
            <v>转评估盘盈备件.温度计.干燥箱</v>
          </cell>
          <cell r="I2465" t="b">
            <v>0</v>
          </cell>
          <cell r="J2465">
            <v>174567.87</v>
          </cell>
          <cell r="K2465">
            <v>0</v>
          </cell>
          <cell r="L2465">
            <v>0</v>
          </cell>
        </row>
        <row r="2466">
          <cell r="A2466" t="str">
            <v>12</v>
          </cell>
          <cell r="B2466" t="str">
            <v>26</v>
          </cell>
          <cell r="C2466" t="str">
            <v>12</v>
          </cell>
          <cell r="D2466" t="str">
            <v>5</v>
          </cell>
          <cell r="E2466" t="str">
            <v>0033</v>
          </cell>
          <cell r="F2466" t="str">
            <v>0003</v>
          </cell>
          <cell r="G2466" t="str">
            <v>19102</v>
          </cell>
          <cell r="H2466" t="str">
            <v>转销评估盘盈备件.温度计.干燥箱</v>
          </cell>
          <cell r="I2466" t="b">
            <v>1</v>
          </cell>
          <cell r="J2466">
            <v>174567.87</v>
          </cell>
          <cell r="K2466">
            <v>0</v>
          </cell>
          <cell r="L2466">
            <v>0</v>
          </cell>
        </row>
        <row r="2467">
          <cell r="A2467" t="str">
            <v>04</v>
          </cell>
          <cell r="B2467" t="str">
            <v>20</v>
          </cell>
          <cell r="C2467" t="str">
            <v>04</v>
          </cell>
          <cell r="D2467" t="str">
            <v>4</v>
          </cell>
          <cell r="E2467" t="str">
            <v>0030</v>
          </cell>
          <cell r="F2467" t="str">
            <v>0001</v>
          </cell>
          <cell r="G2467" t="str">
            <v>20101</v>
          </cell>
          <cell r="H2467" t="str">
            <v>还借款</v>
          </cell>
          <cell r="I2467" t="b">
            <v>1</v>
          </cell>
          <cell r="J2467">
            <v>3000000</v>
          </cell>
          <cell r="K2467">
            <v>0</v>
          </cell>
          <cell r="L2467">
            <v>0</v>
          </cell>
        </row>
        <row r="2468">
          <cell r="A2468" t="str">
            <v>07</v>
          </cell>
          <cell r="B2468" t="str">
            <v>01</v>
          </cell>
          <cell r="C2468" t="str">
            <v>07</v>
          </cell>
          <cell r="D2468" t="str">
            <v>3</v>
          </cell>
          <cell r="E2468" t="str">
            <v>0001</v>
          </cell>
          <cell r="F2468" t="str">
            <v>0002</v>
          </cell>
          <cell r="G2468" t="str">
            <v>20101</v>
          </cell>
          <cell r="H2468" t="str">
            <v>收借款</v>
          </cell>
          <cell r="I2468" t="b">
            <v>0</v>
          </cell>
          <cell r="J2468">
            <v>10550000</v>
          </cell>
          <cell r="K2468">
            <v>0</v>
          </cell>
          <cell r="L2468">
            <v>0</v>
          </cell>
        </row>
        <row r="2469">
          <cell r="A2469" t="str">
            <v>07</v>
          </cell>
          <cell r="B2469" t="str">
            <v>01</v>
          </cell>
          <cell r="C2469" t="str">
            <v>07</v>
          </cell>
          <cell r="D2469" t="str">
            <v>4</v>
          </cell>
          <cell r="E2469" t="str">
            <v>0003</v>
          </cell>
          <cell r="F2469" t="str">
            <v>0001</v>
          </cell>
          <cell r="G2469" t="str">
            <v>20101</v>
          </cell>
          <cell r="H2469" t="str">
            <v>还借款</v>
          </cell>
          <cell r="I2469" t="b">
            <v>1</v>
          </cell>
          <cell r="J2469">
            <v>10550000</v>
          </cell>
          <cell r="K2469">
            <v>0</v>
          </cell>
          <cell r="L2469">
            <v>0</v>
          </cell>
        </row>
        <row r="2470">
          <cell r="A2470" t="str">
            <v>12</v>
          </cell>
          <cell r="B2470" t="str">
            <v>31</v>
          </cell>
          <cell r="C2470" t="str">
            <v>12</v>
          </cell>
          <cell r="D2470" t="str">
            <v>5</v>
          </cell>
          <cell r="E2470" t="str">
            <v>0096</v>
          </cell>
          <cell r="F2470" t="str">
            <v>0001</v>
          </cell>
          <cell r="G2470" t="str">
            <v>20101</v>
          </cell>
          <cell r="H2470" t="str">
            <v>转户</v>
          </cell>
          <cell r="I2470" t="b">
            <v>0</v>
          </cell>
          <cell r="J2470">
            <v>3000000</v>
          </cell>
          <cell r="K2470">
            <v>0</v>
          </cell>
          <cell r="L2470">
            <v>0</v>
          </cell>
        </row>
        <row r="2471">
          <cell r="A2471" t="str">
            <v>03</v>
          </cell>
          <cell r="B2471" t="str">
            <v>16</v>
          </cell>
          <cell r="C2471" t="str">
            <v>03</v>
          </cell>
          <cell r="D2471" t="str">
            <v>4</v>
          </cell>
          <cell r="E2471" t="str">
            <v>0022</v>
          </cell>
          <cell r="F2471" t="str">
            <v>0001</v>
          </cell>
          <cell r="G2471" t="str">
            <v>2010201</v>
          </cell>
          <cell r="H2471" t="str">
            <v>还借款</v>
          </cell>
          <cell r="I2471" t="b">
            <v>1</v>
          </cell>
          <cell r="J2471">
            <v>10000000</v>
          </cell>
          <cell r="K2471">
            <v>0</v>
          </cell>
          <cell r="L2471">
            <v>0</v>
          </cell>
        </row>
        <row r="2472">
          <cell r="A2472" t="str">
            <v>04</v>
          </cell>
          <cell r="B2472" t="str">
            <v>01</v>
          </cell>
          <cell r="C2472" t="str">
            <v>04</v>
          </cell>
          <cell r="D2472" t="str">
            <v>4</v>
          </cell>
          <cell r="E2472" t="str">
            <v>0002</v>
          </cell>
          <cell r="F2472" t="str">
            <v>0003</v>
          </cell>
          <cell r="G2472" t="str">
            <v>2010201</v>
          </cell>
          <cell r="H2472" t="str">
            <v>还借款</v>
          </cell>
          <cell r="I2472" t="b">
            <v>1</v>
          </cell>
          <cell r="J2472">
            <v>19500000</v>
          </cell>
          <cell r="K2472">
            <v>0</v>
          </cell>
          <cell r="L2472">
            <v>0</v>
          </cell>
        </row>
        <row r="2473">
          <cell r="A2473" t="str">
            <v>08</v>
          </cell>
          <cell r="B2473" t="str">
            <v>02</v>
          </cell>
          <cell r="C2473" t="str">
            <v>08</v>
          </cell>
          <cell r="D2473" t="str">
            <v>3</v>
          </cell>
          <cell r="E2473" t="str">
            <v>0002</v>
          </cell>
          <cell r="F2473" t="str">
            <v>0003</v>
          </cell>
          <cell r="G2473" t="str">
            <v>2010201</v>
          </cell>
          <cell r="H2473" t="str">
            <v>暂借款</v>
          </cell>
          <cell r="I2473" t="b">
            <v>0</v>
          </cell>
          <cell r="J2473">
            <v>9500000</v>
          </cell>
          <cell r="K2473">
            <v>0</v>
          </cell>
          <cell r="L2473">
            <v>0</v>
          </cell>
        </row>
        <row r="2474">
          <cell r="A2474" t="str">
            <v>09</v>
          </cell>
          <cell r="B2474" t="str">
            <v>05</v>
          </cell>
          <cell r="C2474" t="str">
            <v>09</v>
          </cell>
          <cell r="D2474" t="str">
            <v>3</v>
          </cell>
          <cell r="E2474" t="str">
            <v>0003</v>
          </cell>
          <cell r="F2474" t="str">
            <v>0002</v>
          </cell>
          <cell r="G2474" t="str">
            <v>2010201</v>
          </cell>
          <cell r="H2474" t="str">
            <v>收借款</v>
          </cell>
          <cell r="I2474" t="b">
            <v>0</v>
          </cell>
          <cell r="J2474">
            <v>9500000</v>
          </cell>
          <cell r="K2474">
            <v>0</v>
          </cell>
          <cell r="L2474">
            <v>0</v>
          </cell>
        </row>
        <row r="2475">
          <cell r="A2475" t="str">
            <v>10</v>
          </cell>
          <cell r="B2475" t="str">
            <v>18</v>
          </cell>
          <cell r="C2475" t="str">
            <v>10</v>
          </cell>
          <cell r="D2475" t="str">
            <v>3</v>
          </cell>
          <cell r="E2475" t="str">
            <v>0003</v>
          </cell>
          <cell r="F2475" t="str">
            <v>0002</v>
          </cell>
          <cell r="G2475" t="str">
            <v>2010201</v>
          </cell>
          <cell r="H2475" t="str">
            <v>收借款</v>
          </cell>
          <cell r="I2475" t="b">
            <v>0</v>
          </cell>
          <cell r="J2475">
            <v>22000000</v>
          </cell>
          <cell r="K2475">
            <v>0</v>
          </cell>
          <cell r="L2475">
            <v>0</v>
          </cell>
        </row>
        <row r="2476">
          <cell r="A2476" t="str">
            <v>11</v>
          </cell>
          <cell r="B2476" t="str">
            <v>03</v>
          </cell>
          <cell r="C2476" t="str">
            <v>11</v>
          </cell>
          <cell r="D2476" t="str">
            <v>3</v>
          </cell>
          <cell r="E2476" t="str">
            <v>0002</v>
          </cell>
          <cell r="F2476" t="str">
            <v>0004</v>
          </cell>
          <cell r="G2476" t="str">
            <v>2010201</v>
          </cell>
          <cell r="H2476" t="str">
            <v>收借款</v>
          </cell>
          <cell r="I2476" t="b">
            <v>0</v>
          </cell>
          <cell r="J2476">
            <v>8000000</v>
          </cell>
          <cell r="K2476">
            <v>0</v>
          </cell>
          <cell r="L2476">
            <v>0</v>
          </cell>
        </row>
        <row r="2477">
          <cell r="A2477" t="str">
            <v>11</v>
          </cell>
          <cell r="B2477" t="str">
            <v>16</v>
          </cell>
          <cell r="C2477" t="str">
            <v>11</v>
          </cell>
          <cell r="D2477" t="str">
            <v>3</v>
          </cell>
          <cell r="E2477" t="str">
            <v>0003</v>
          </cell>
          <cell r="F2477" t="str">
            <v>0002</v>
          </cell>
          <cell r="G2477" t="str">
            <v>2010201</v>
          </cell>
          <cell r="H2477" t="str">
            <v>收借款</v>
          </cell>
          <cell r="I2477" t="b">
            <v>0</v>
          </cell>
          <cell r="J2477">
            <v>10000000</v>
          </cell>
          <cell r="K2477">
            <v>0</v>
          </cell>
          <cell r="L2477">
            <v>0</v>
          </cell>
        </row>
        <row r="2478">
          <cell r="A2478" t="str">
            <v>12</v>
          </cell>
          <cell r="B2478" t="str">
            <v>01</v>
          </cell>
          <cell r="C2478" t="str">
            <v>12</v>
          </cell>
          <cell r="D2478" t="str">
            <v>3</v>
          </cell>
          <cell r="E2478" t="str">
            <v>0001</v>
          </cell>
          <cell r="F2478" t="str">
            <v>0002</v>
          </cell>
          <cell r="G2478" t="str">
            <v>2010201</v>
          </cell>
          <cell r="H2478" t="str">
            <v>收借款</v>
          </cell>
          <cell r="I2478" t="b">
            <v>0</v>
          </cell>
          <cell r="J2478">
            <v>10000000</v>
          </cell>
          <cell r="K2478">
            <v>0</v>
          </cell>
          <cell r="L2478">
            <v>0</v>
          </cell>
        </row>
        <row r="2479">
          <cell r="A2479" t="str">
            <v>12</v>
          </cell>
          <cell r="B2479" t="str">
            <v>25</v>
          </cell>
          <cell r="C2479" t="str">
            <v>12</v>
          </cell>
          <cell r="D2479" t="str">
            <v>3</v>
          </cell>
          <cell r="E2479" t="str">
            <v>0016</v>
          </cell>
          <cell r="F2479" t="str">
            <v>0002</v>
          </cell>
          <cell r="G2479" t="str">
            <v>2010201</v>
          </cell>
          <cell r="H2479" t="str">
            <v>收借款</v>
          </cell>
          <cell r="I2479" t="b">
            <v>0</v>
          </cell>
          <cell r="J2479">
            <v>10000000</v>
          </cell>
          <cell r="K2479">
            <v>0</v>
          </cell>
          <cell r="L2479">
            <v>0</v>
          </cell>
        </row>
        <row r="2480">
          <cell r="A2480" t="str">
            <v>12</v>
          </cell>
          <cell r="B2480" t="str">
            <v>23</v>
          </cell>
          <cell r="C2480" t="str">
            <v>12</v>
          </cell>
          <cell r="D2480" t="str">
            <v>4</v>
          </cell>
          <cell r="E2480" t="str">
            <v>0050</v>
          </cell>
          <cell r="F2480" t="str">
            <v>0001</v>
          </cell>
          <cell r="G2480" t="str">
            <v>2010201</v>
          </cell>
          <cell r="H2480" t="str">
            <v>还贷款</v>
          </cell>
          <cell r="I2480" t="b">
            <v>1</v>
          </cell>
          <cell r="J2480">
            <v>10000000</v>
          </cell>
          <cell r="K2480">
            <v>0</v>
          </cell>
          <cell r="L2480">
            <v>0</v>
          </cell>
        </row>
        <row r="2481">
          <cell r="A2481" t="str">
            <v>12</v>
          </cell>
          <cell r="B2481" t="str">
            <v>25</v>
          </cell>
          <cell r="C2481" t="str">
            <v>12</v>
          </cell>
          <cell r="D2481" t="str">
            <v>4</v>
          </cell>
          <cell r="E2481" t="str">
            <v>0054</v>
          </cell>
          <cell r="F2481" t="str">
            <v>0001</v>
          </cell>
          <cell r="G2481" t="str">
            <v>2010201</v>
          </cell>
          <cell r="H2481" t="str">
            <v>还借款</v>
          </cell>
          <cell r="I2481" t="b">
            <v>1</v>
          </cell>
          <cell r="J2481">
            <v>10000000</v>
          </cell>
          <cell r="K2481">
            <v>0</v>
          </cell>
          <cell r="L2481">
            <v>0</v>
          </cell>
        </row>
        <row r="2482">
          <cell r="A2482" t="str">
            <v>02</v>
          </cell>
          <cell r="B2482" t="str">
            <v>01</v>
          </cell>
          <cell r="C2482" t="str">
            <v>02</v>
          </cell>
          <cell r="D2482" t="str">
            <v>3</v>
          </cell>
          <cell r="E2482" t="str">
            <v>0001</v>
          </cell>
          <cell r="F2482" t="str">
            <v>0002</v>
          </cell>
          <cell r="G2482" t="str">
            <v>2010202</v>
          </cell>
          <cell r="H2482" t="str">
            <v>收押汇借款USD71640.00*8.2653</v>
          </cell>
          <cell r="I2482" t="b">
            <v>0</v>
          </cell>
          <cell r="J2482">
            <v>592126.1</v>
          </cell>
          <cell r="K2482">
            <v>71640</v>
          </cell>
          <cell r="L2482">
            <v>0</v>
          </cell>
        </row>
        <row r="2483">
          <cell r="A2483" t="str">
            <v>02</v>
          </cell>
          <cell r="B2483" t="str">
            <v>28</v>
          </cell>
          <cell r="C2483" t="str">
            <v>02</v>
          </cell>
          <cell r="D2483" t="str">
            <v>5</v>
          </cell>
          <cell r="E2483" t="str">
            <v>0032</v>
          </cell>
          <cell r="F2483" t="str">
            <v>0004</v>
          </cell>
          <cell r="G2483" t="str">
            <v>2010202</v>
          </cell>
          <cell r="H2483" t="str">
            <v>转FVE9931/9932#发票扣押汇借款</v>
          </cell>
          <cell r="I2483" t="b">
            <v>1</v>
          </cell>
          <cell r="J2483">
            <v>413355</v>
          </cell>
          <cell r="K2483">
            <v>50000</v>
          </cell>
          <cell r="L2483">
            <v>0</v>
          </cell>
        </row>
        <row r="2484">
          <cell r="A2484" t="str">
            <v>02</v>
          </cell>
          <cell r="B2484" t="str">
            <v>28</v>
          </cell>
          <cell r="C2484" t="str">
            <v>02</v>
          </cell>
          <cell r="D2484" t="str">
            <v>5</v>
          </cell>
          <cell r="E2484" t="str">
            <v>0034</v>
          </cell>
          <cell r="F2484" t="str">
            <v>0004</v>
          </cell>
          <cell r="G2484" t="str">
            <v>2010202</v>
          </cell>
          <cell r="H2484" t="str">
            <v>转FVE9947-9951#发票扣押汇借款</v>
          </cell>
          <cell r="I2484" t="b">
            <v>1</v>
          </cell>
          <cell r="J2484">
            <v>2066725</v>
          </cell>
          <cell r="K2484">
            <v>250000</v>
          </cell>
          <cell r="L2484">
            <v>0</v>
          </cell>
        </row>
        <row r="2485">
          <cell r="A2485" t="str">
            <v>02</v>
          </cell>
          <cell r="B2485" t="str">
            <v>28</v>
          </cell>
          <cell r="C2485" t="str">
            <v>02</v>
          </cell>
          <cell r="D2485" t="str">
            <v>5</v>
          </cell>
          <cell r="E2485" t="str">
            <v>0035</v>
          </cell>
          <cell r="F2485" t="str">
            <v>0004</v>
          </cell>
          <cell r="G2485" t="str">
            <v>2010202</v>
          </cell>
          <cell r="H2485" t="str">
            <v>转FVE9956#发票中行扣押汇借款</v>
          </cell>
          <cell r="I2485" t="b">
            <v>1</v>
          </cell>
          <cell r="J2485">
            <v>1949025.47</v>
          </cell>
          <cell r="K2485">
            <v>235754</v>
          </cell>
          <cell r="L2485">
            <v>0</v>
          </cell>
        </row>
        <row r="2486">
          <cell r="A2486" t="str">
            <v>03</v>
          </cell>
          <cell r="B2486" t="str">
            <v>28</v>
          </cell>
          <cell r="C2486" t="str">
            <v>03</v>
          </cell>
          <cell r="D2486" t="str">
            <v>5</v>
          </cell>
          <cell r="E2486" t="str">
            <v>0017</v>
          </cell>
          <cell r="F2486" t="str">
            <v>0004</v>
          </cell>
          <cell r="G2486" t="str">
            <v>2010202</v>
          </cell>
          <cell r="H2486" t="str">
            <v>转FVE9966#发票中行扣押汇借款</v>
          </cell>
          <cell r="I2486" t="b">
            <v>1</v>
          </cell>
          <cell r="J2486">
            <v>592240.72</v>
          </cell>
          <cell r="K2486">
            <v>71640</v>
          </cell>
          <cell r="L2486">
            <v>0</v>
          </cell>
        </row>
        <row r="2487">
          <cell r="A2487" t="str">
            <v>04</v>
          </cell>
          <cell r="B2487" t="str">
            <v>10</v>
          </cell>
          <cell r="C2487" t="str">
            <v>04</v>
          </cell>
          <cell r="D2487" t="str">
            <v>3</v>
          </cell>
          <cell r="E2487" t="str">
            <v>0003</v>
          </cell>
          <cell r="F2487" t="str">
            <v>0002</v>
          </cell>
          <cell r="G2487" t="str">
            <v>2010202</v>
          </cell>
          <cell r="H2487" t="str">
            <v>收押汇借款USD4725.00*8.2663</v>
          </cell>
          <cell r="I2487" t="b">
            <v>0</v>
          </cell>
          <cell r="J2487">
            <v>39058.269999999997</v>
          </cell>
          <cell r="K2487">
            <v>4725</v>
          </cell>
          <cell r="L2487">
            <v>0</v>
          </cell>
        </row>
        <row r="2488">
          <cell r="A2488" t="str">
            <v>04</v>
          </cell>
          <cell r="B2488" t="str">
            <v>20</v>
          </cell>
          <cell r="C2488" t="str">
            <v>04</v>
          </cell>
          <cell r="D2488" t="str">
            <v>3</v>
          </cell>
          <cell r="E2488" t="str">
            <v>0004</v>
          </cell>
          <cell r="F2488" t="str">
            <v>0002</v>
          </cell>
          <cell r="G2488" t="str">
            <v>2010202</v>
          </cell>
          <cell r="H2488" t="str">
            <v>押汇借款USD962.5*8.2663</v>
          </cell>
          <cell r="I2488" t="b">
            <v>0</v>
          </cell>
          <cell r="J2488">
            <v>7956.31</v>
          </cell>
          <cell r="K2488">
            <v>962.5</v>
          </cell>
          <cell r="L2488">
            <v>0</v>
          </cell>
        </row>
        <row r="2489">
          <cell r="A2489" t="str">
            <v>04</v>
          </cell>
          <cell r="B2489" t="str">
            <v>26</v>
          </cell>
          <cell r="C2489" t="str">
            <v>04</v>
          </cell>
          <cell r="D2489" t="str">
            <v>5</v>
          </cell>
          <cell r="E2489" t="str">
            <v>0027</v>
          </cell>
          <cell r="F2489" t="str">
            <v>0003</v>
          </cell>
          <cell r="G2489" t="str">
            <v>2010202</v>
          </cell>
          <cell r="H2489" t="str">
            <v>转FVE9981#发票扣海运费</v>
          </cell>
          <cell r="I2489" t="b">
            <v>1</v>
          </cell>
          <cell r="J2489">
            <v>39062.04</v>
          </cell>
          <cell r="K2489">
            <v>4725</v>
          </cell>
          <cell r="L2489">
            <v>0</v>
          </cell>
        </row>
        <row r="2490">
          <cell r="A2490" t="str">
            <v>05</v>
          </cell>
          <cell r="B2490" t="str">
            <v>25</v>
          </cell>
          <cell r="C2490" t="str">
            <v>05</v>
          </cell>
          <cell r="D2490" t="str">
            <v>3</v>
          </cell>
          <cell r="E2490" t="str">
            <v>0005</v>
          </cell>
          <cell r="F2490" t="str">
            <v>0002</v>
          </cell>
          <cell r="G2490" t="str">
            <v>2010202</v>
          </cell>
          <cell r="H2490" t="str">
            <v>收押汇借款USD14437.50*8.2675</v>
          </cell>
          <cell r="I2490" t="b">
            <v>0</v>
          </cell>
          <cell r="J2490">
            <v>119362.03</v>
          </cell>
          <cell r="K2490">
            <v>14437.5</v>
          </cell>
          <cell r="L2490">
            <v>0</v>
          </cell>
        </row>
        <row r="2491">
          <cell r="A2491" t="str">
            <v>05</v>
          </cell>
          <cell r="B2491" t="str">
            <v>26</v>
          </cell>
          <cell r="C2491" t="str">
            <v>05</v>
          </cell>
          <cell r="D2491" t="str">
            <v>5</v>
          </cell>
          <cell r="E2491" t="str">
            <v>0019</v>
          </cell>
          <cell r="F2491" t="str">
            <v>0003</v>
          </cell>
          <cell r="G2491" t="str">
            <v>2010202</v>
          </cell>
          <cell r="H2491" t="str">
            <v>转FVE9964#发票中行扣押汇借款</v>
          </cell>
          <cell r="I2491" t="b">
            <v>1</v>
          </cell>
          <cell r="J2491">
            <v>7957.16</v>
          </cell>
          <cell r="K2491">
            <v>962.5</v>
          </cell>
          <cell r="L2491">
            <v>0</v>
          </cell>
        </row>
        <row r="2492">
          <cell r="A2492" t="str">
            <v>06</v>
          </cell>
          <cell r="B2492" t="str">
            <v>23</v>
          </cell>
          <cell r="C2492" t="str">
            <v>06</v>
          </cell>
          <cell r="D2492" t="str">
            <v>5</v>
          </cell>
          <cell r="E2492" t="str">
            <v>0013</v>
          </cell>
          <cell r="F2492" t="str">
            <v>0003</v>
          </cell>
          <cell r="G2492" t="str">
            <v>2010202</v>
          </cell>
          <cell r="H2492" t="str">
            <v>转FVE9987#发票中行扣押汇借款</v>
          </cell>
          <cell r="I2492" t="b">
            <v>1</v>
          </cell>
          <cell r="J2492">
            <v>119317.28</v>
          </cell>
          <cell r="K2492">
            <v>14437.5</v>
          </cell>
          <cell r="L2492">
            <v>0</v>
          </cell>
        </row>
        <row r="2493">
          <cell r="A2493" t="str">
            <v>06</v>
          </cell>
          <cell r="B2493" t="str">
            <v>23</v>
          </cell>
          <cell r="C2493" t="str">
            <v>06</v>
          </cell>
          <cell r="D2493" t="str">
            <v>5</v>
          </cell>
          <cell r="E2493" t="str">
            <v>0014</v>
          </cell>
          <cell r="F2493" t="str">
            <v>0001</v>
          </cell>
          <cell r="G2493" t="str">
            <v>2010202</v>
          </cell>
          <cell r="H2493" t="str">
            <v>调汇率差</v>
          </cell>
          <cell r="I2493" t="b">
            <v>1</v>
          </cell>
          <cell r="J2493">
            <v>58891.54</v>
          </cell>
          <cell r="K2493">
            <v>0</v>
          </cell>
          <cell r="L2493">
            <v>0</v>
          </cell>
        </row>
        <row r="2494">
          <cell r="A2494" t="str">
            <v>08</v>
          </cell>
          <cell r="B2494" t="str">
            <v>20</v>
          </cell>
          <cell r="C2494" t="str">
            <v>08</v>
          </cell>
          <cell r="D2494" t="str">
            <v>3</v>
          </cell>
          <cell r="E2494" t="str">
            <v>0008</v>
          </cell>
          <cell r="F2494" t="str">
            <v>0002</v>
          </cell>
          <cell r="G2494" t="str">
            <v>2010202</v>
          </cell>
          <cell r="H2494" t="str">
            <v>收押汇借款USD51318.67*8.2668</v>
          </cell>
          <cell r="I2494" t="b">
            <v>0</v>
          </cell>
          <cell r="J2494">
            <v>424241.18</v>
          </cell>
          <cell r="K2494">
            <v>51318.67</v>
          </cell>
          <cell r="L2494">
            <v>0</v>
          </cell>
        </row>
        <row r="2495">
          <cell r="A2495" t="str">
            <v>08</v>
          </cell>
          <cell r="B2495" t="str">
            <v>24</v>
          </cell>
          <cell r="C2495" t="str">
            <v>08</v>
          </cell>
          <cell r="D2495" t="str">
            <v>5</v>
          </cell>
          <cell r="E2495" t="str">
            <v>0013</v>
          </cell>
          <cell r="F2495" t="str">
            <v>0004</v>
          </cell>
          <cell r="G2495" t="str">
            <v>2010202</v>
          </cell>
          <cell r="H2495" t="str">
            <v>转FVE99109#发票中行扣押汇借款</v>
          </cell>
          <cell r="I2495" t="b">
            <v>1</v>
          </cell>
          <cell r="J2495">
            <v>424266.84</v>
          </cell>
          <cell r="K2495">
            <v>51318.67</v>
          </cell>
          <cell r="L2495">
            <v>0</v>
          </cell>
        </row>
        <row r="2496">
          <cell r="A2496" t="str">
            <v>12</v>
          </cell>
          <cell r="B2496" t="str">
            <v>31</v>
          </cell>
          <cell r="C2496" t="str">
            <v>12</v>
          </cell>
          <cell r="D2496" t="str">
            <v>5</v>
          </cell>
          <cell r="E2496" t="str">
            <v>0096</v>
          </cell>
          <cell r="F2496" t="str">
            <v>0004</v>
          </cell>
          <cell r="G2496" t="str">
            <v>2010202</v>
          </cell>
          <cell r="H2496" t="str">
            <v>转核销汇率差价</v>
          </cell>
          <cell r="I2496" t="b">
            <v>0</v>
          </cell>
          <cell r="J2496">
            <v>25.66</v>
          </cell>
          <cell r="K2496">
            <v>0</v>
          </cell>
          <cell r="L2496">
            <v>0</v>
          </cell>
        </row>
        <row r="2497">
          <cell r="A2497" t="str">
            <v>02</v>
          </cell>
          <cell r="B2497" t="str">
            <v>15</v>
          </cell>
          <cell r="C2497" t="str">
            <v>02</v>
          </cell>
          <cell r="D2497" t="str">
            <v>4</v>
          </cell>
          <cell r="E2497" t="str">
            <v>0018</v>
          </cell>
          <cell r="F2497" t="str">
            <v>0001</v>
          </cell>
          <cell r="G2497" t="str">
            <v>20103</v>
          </cell>
          <cell r="H2497" t="str">
            <v>还借款</v>
          </cell>
          <cell r="I2497" t="b">
            <v>1</v>
          </cell>
          <cell r="J2497">
            <v>10000000</v>
          </cell>
          <cell r="K2497">
            <v>0</v>
          </cell>
          <cell r="L2497">
            <v>0</v>
          </cell>
        </row>
        <row r="2498">
          <cell r="A2498" t="str">
            <v>04</v>
          </cell>
          <cell r="B2498" t="str">
            <v>01</v>
          </cell>
          <cell r="C2498" t="str">
            <v>04</v>
          </cell>
          <cell r="D2498" t="str">
            <v>3</v>
          </cell>
          <cell r="E2498" t="str">
            <v>0001</v>
          </cell>
          <cell r="F2498" t="str">
            <v>0004</v>
          </cell>
          <cell r="G2498" t="str">
            <v>20103</v>
          </cell>
          <cell r="H2498" t="str">
            <v>收借款</v>
          </cell>
          <cell r="I2498" t="b">
            <v>0</v>
          </cell>
          <cell r="J2498">
            <v>10000000</v>
          </cell>
          <cell r="K2498">
            <v>0</v>
          </cell>
          <cell r="L2498">
            <v>0</v>
          </cell>
        </row>
        <row r="2499">
          <cell r="A2499" t="str">
            <v>07</v>
          </cell>
          <cell r="B2499" t="str">
            <v>24</v>
          </cell>
          <cell r="C2499" t="str">
            <v>07</v>
          </cell>
          <cell r="D2499" t="str">
            <v>5</v>
          </cell>
          <cell r="E2499" t="str">
            <v>0007</v>
          </cell>
          <cell r="F2499" t="str">
            <v>0006</v>
          </cell>
          <cell r="G2499" t="str">
            <v>20103</v>
          </cell>
          <cell r="H2499" t="str">
            <v>转收国投公司借款</v>
          </cell>
          <cell r="I2499" t="b">
            <v>0</v>
          </cell>
          <cell r="J2499">
            <v>5000000</v>
          </cell>
          <cell r="K2499">
            <v>0</v>
          </cell>
          <cell r="L2499">
            <v>0</v>
          </cell>
        </row>
        <row r="2500">
          <cell r="A2500" t="str">
            <v>11</v>
          </cell>
          <cell r="B2500" t="str">
            <v>03</v>
          </cell>
          <cell r="C2500" t="str">
            <v>11</v>
          </cell>
          <cell r="D2500" t="str">
            <v>3</v>
          </cell>
          <cell r="E2500" t="str">
            <v>0002</v>
          </cell>
          <cell r="F2500" t="str">
            <v>0002</v>
          </cell>
          <cell r="G2500" t="str">
            <v>20103</v>
          </cell>
          <cell r="H2500" t="str">
            <v>收借款</v>
          </cell>
          <cell r="I2500" t="b">
            <v>0</v>
          </cell>
          <cell r="J2500">
            <v>100000</v>
          </cell>
          <cell r="K2500">
            <v>0</v>
          </cell>
          <cell r="L2500">
            <v>0</v>
          </cell>
        </row>
        <row r="2501">
          <cell r="A2501" t="str">
            <v>12</v>
          </cell>
          <cell r="B2501" t="str">
            <v>31</v>
          </cell>
          <cell r="C2501" t="str">
            <v>12</v>
          </cell>
          <cell r="D2501" t="str">
            <v>5</v>
          </cell>
          <cell r="E2501" t="str">
            <v>0096</v>
          </cell>
          <cell r="F2501" t="str">
            <v>0007</v>
          </cell>
          <cell r="G2501" t="str">
            <v>20103</v>
          </cell>
          <cell r="H2501" t="str">
            <v>转11月3-2#凭证错制</v>
          </cell>
          <cell r="I2501" t="b">
            <v>1</v>
          </cell>
          <cell r="J2501">
            <v>100000</v>
          </cell>
          <cell r="K2501">
            <v>0</v>
          </cell>
          <cell r="L2501">
            <v>0</v>
          </cell>
        </row>
        <row r="2502">
          <cell r="A2502" t="str">
            <v>12</v>
          </cell>
          <cell r="B2502" t="str">
            <v>31</v>
          </cell>
          <cell r="C2502" t="str">
            <v>12</v>
          </cell>
          <cell r="D2502" t="str">
            <v>5</v>
          </cell>
          <cell r="E2502" t="str">
            <v>0096</v>
          </cell>
          <cell r="F2502" t="str">
            <v>0002</v>
          </cell>
          <cell r="G2502" t="str">
            <v>20104</v>
          </cell>
          <cell r="H2502" t="str">
            <v>转户</v>
          </cell>
          <cell r="I2502" t="b">
            <v>1</v>
          </cell>
          <cell r="J2502">
            <v>3000000</v>
          </cell>
          <cell r="K2502">
            <v>0</v>
          </cell>
          <cell r="L2502">
            <v>0</v>
          </cell>
        </row>
        <row r="2503">
          <cell r="A2503" t="str">
            <v>02</v>
          </cell>
          <cell r="B2503" t="str">
            <v>10</v>
          </cell>
          <cell r="C2503" t="str">
            <v>02</v>
          </cell>
          <cell r="D2503" t="str">
            <v>4</v>
          </cell>
          <cell r="E2503" t="str">
            <v>0011</v>
          </cell>
          <cell r="F2503" t="str">
            <v>0001</v>
          </cell>
          <cell r="G2503" t="str">
            <v>20105</v>
          </cell>
          <cell r="H2503" t="str">
            <v>还借款</v>
          </cell>
          <cell r="I2503" t="b">
            <v>1</v>
          </cell>
          <cell r="J2503">
            <v>300000</v>
          </cell>
          <cell r="K2503">
            <v>0</v>
          </cell>
          <cell r="L2503">
            <v>0</v>
          </cell>
        </row>
        <row r="2504">
          <cell r="A2504" t="str">
            <v>04</v>
          </cell>
          <cell r="B2504" t="str">
            <v>20</v>
          </cell>
          <cell r="C2504" t="str">
            <v>04</v>
          </cell>
          <cell r="D2504" t="str">
            <v>5</v>
          </cell>
          <cell r="E2504" t="str">
            <v>0008</v>
          </cell>
          <cell r="F2504" t="str">
            <v>0003</v>
          </cell>
          <cell r="G2504" t="str">
            <v>20105</v>
          </cell>
          <cell r="H2504" t="str">
            <v>转户</v>
          </cell>
          <cell r="I2504" t="b">
            <v>1</v>
          </cell>
          <cell r="J2504">
            <v>19107.07</v>
          </cell>
          <cell r="K2504">
            <v>0</v>
          </cell>
          <cell r="L2504">
            <v>0</v>
          </cell>
        </row>
        <row r="2505">
          <cell r="A2505" t="str">
            <v>04</v>
          </cell>
          <cell r="B2505" t="str">
            <v>20</v>
          </cell>
          <cell r="C2505" t="str">
            <v>04</v>
          </cell>
          <cell r="D2505" t="str">
            <v>5</v>
          </cell>
          <cell r="E2505" t="str">
            <v>0008</v>
          </cell>
          <cell r="F2505" t="str">
            <v>0004</v>
          </cell>
          <cell r="G2505" t="str">
            <v>20107</v>
          </cell>
          <cell r="H2505" t="str">
            <v>转户</v>
          </cell>
          <cell r="I2505" t="b">
            <v>0</v>
          </cell>
          <cell r="J2505">
            <v>19107.07</v>
          </cell>
          <cell r="K2505">
            <v>0</v>
          </cell>
          <cell r="L2505">
            <v>0</v>
          </cell>
        </row>
        <row r="2506">
          <cell r="A2506" t="str">
            <v>07</v>
          </cell>
          <cell r="B2506" t="str">
            <v>12</v>
          </cell>
          <cell r="C2506" t="str">
            <v>07</v>
          </cell>
          <cell r="D2506" t="str">
            <v>5</v>
          </cell>
          <cell r="E2506" t="str">
            <v>0003</v>
          </cell>
          <cell r="F2506" t="str">
            <v>0001</v>
          </cell>
          <cell r="G2506" t="str">
            <v>20107</v>
          </cell>
          <cell r="H2506" t="str">
            <v>转订出4月5-8#凭证</v>
          </cell>
          <cell r="I2506" t="b">
            <v>1</v>
          </cell>
          <cell r="J2506">
            <v>19107.07</v>
          </cell>
          <cell r="K2506">
            <v>0</v>
          </cell>
          <cell r="L2506">
            <v>0</v>
          </cell>
        </row>
        <row r="2507">
          <cell r="A2507" t="str">
            <v>07</v>
          </cell>
          <cell r="B2507" t="str">
            <v>12</v>
          </cell>
          <cell r="C2507" t="str">
            <v>07</v>
          </cell>
          <cell r="D2507" t="str">
            <v>5</v>
          </cell>
          <cell r="E2507" t="str">
            <v>0003</v>
          </cell>
          <cell r="F2507" t="str">
            <v>0004</v>
          </cell>
          <cell r="G2507" t="str">
            <v>20107</v>
          </cell>
          <cell r="H2507" t="str">
            <v>转6.7月份委托利息</v>
          </cell>
          <cell r="I2507" t="b">
            <v>0</v>
          </cell>
          <cell r="J2507">
            <v>19401.060000000001</v>
          </cell>
          <cell r="K2507">
            <v>0</v>
          </cell>
          <cell r="L2507">
            <v>0</v>
          </cell>
        </row>
        <row r="2508">
          <cell r="A2508" t="str">
            <v>07</v>
          </cell>
          <cell r="B2508" t="str">
            <v>12</v>
          </cell>
          <cell r="C2508" t="str">
            <v>07</v>
          </cell>
          <cell r="D2508" t="str">
            <v>5</v>
          </cell>
          <cell r="E2508" t="str">
            <v>0004</v>
          </cell>
          <cell r="F2508" t="str">
            <v>0001</v>
          </cell>
          <cell r="G2508" t="str">
            <v>20107</v>
          </cell>
          <cell r="H2508" t="str">
            <v>转冲销核定贷款利息</v>
          </cell>
          <cell r="I2508" t="b">
            <v>0</v>
          </cell>
          <cell r="J2508">
            <v>-1943764.14</v>
          </cell>
          <cell r="K2508">
            <v>0</v>
          </cell>
          <cell r="L2508">
            <v>0</v>
          </cell>
        </row>
        <row r="2509">
          <cell r="A2509" t="str">
            <v>03</v>
          </cell>
          <cell r="B2509" t="str">
            <v>27</v>
          </cell>
          <cell r="C2509" t="str">
            <v>03</v>
          </cell>
          <cell r="D2509" t="str">
            <v>5</v>
          </cell>
          <cell r="E2509" t="str">
            <v>0002</v>
          </cell>
          <cell r="F2509" t="str">
            <v>0002</v>
          </cell>
          <cell r="G2509" t="str">
            <v>20108</v>
          </cell>
          <cell r="H2509" t="str">
            <v>转省计委100万99年四季度利息</v>
          </cell>
          <cell r="I2509" t="b">
            <v>0</v>
          </cell>
          <cell r="J2509">
            <v>56484.9</v>
          </cell>
          <cell r="K2509">
            <v>0</v>
          </cell>
          <cell r="L2509">
            <v>0</v>
          </cell>
        </row>
        <row r="2510">
          <cell r="A2510" t="str">
            <v>04</v>
          </cell>
          <cell r="B2510" t="str">
            <v>20</v>
          </cell>
          <cell r="C2510" t="str">
            <v>04</v>
          </cell>
          <cell r="D2510" t="str">
            <v>5</v>
          </cell>
          <cell r="E2510" t="str">
            <v>0008</v>
          </cell>
          <cell r="F2510" t="str">
            <v>0002</v>
          </cell>
          <cell r="G2510" t="str">
            <v>20108</v>
          </cell>
          <cell r="H2510" t="str">
            <v>转第一季度利息</v>
          </cell>
          <cell r="I2510" t="b">
            <v>0</v>
          </cell>
          <cell r="J2510">
            <v>55910.080000000002</v>
          </cell>
          <cell r="K2510">
            <v>0</v>
          </cell>
          <cell r="L2510">
            <v>0</v>
          </cell>
        </row>
        <row r="2511">
          <cell r="A2511" t="str">
            <v>07</v>
          </cell>
          <cell r="B2511" t="str">
            <v>12</v>
          </cell>
          <cell r="C2511" t="str">
            <v>07</v>
          </cell>
          <cell r="D2511" t="str">
            <v>5</v>
          </cell>
          <cell r="E2511" t="str">
            <v>0003</v>
          </cell>
          <cell r="F2511" t="str">
            <v>0006</v>
          </cell>
          <cell r="G2511" t="str">
            <v>20108</v>
          </cell>
          <cell r="H2511" t="str">
            <v>转省计委100万第二季度利息</v>
          </cell>
          <cell r="I2511" t="b">
            <v>0</v>
          </cell>
          <cell r="J2511">
            <v>39957.08</v>
          </cell>
          <cell r="K2511">
            <v>0</v>
          </cell>
          <cell r="L2511">
            <v>0</v>
          </cell>
        </row>
        <row r="2512">
          <cell r="A2512" t="str">
            <v>11</v>
          </cell>
          <cell r="B2512" t="str">
            <v>29</v>
          </cell>
          <cell r="C2512" t="str">
            <v>11</v>
          </cell>
          <cell r="D2512" t="str">
            <v>5</v>
          </cell>
          <cell r="E2512" t="str">
            <v>0028</v>
          </cell>
          <cell r="F2512" t="str">
            <v>0002</v>
          </cell>
          <cell r="G2512" t="str">
            <v>20108</v>
          </cell>
          <cell r="H2512" t="str">
            <v>转省计委100万第三季度利息</v>
          </cell>
          <cell r="I2512" t="b">
            <v>0</v>
          </cell>
          <cell r="J2512">
            <v>40729.050000000003</v>
          </cell>
          <cell r="K2512">
            <v>0</v>
          </cell>
          <cell r="L2512">
            <v>0</v>
          </cell>
        </row>
        <row r="2513">
          <cell r="A2513" t="str">
            <v>12</v>
          </cell>
          <cell r="B2513" t="str">
            <v>26</v>
          </cell>
          <cell r="C2513" t="str">
            <v>12</v>
          </cell>
          <cell r="D2513" t="str">
            <v>5</v>
          </cell>
          <cell r="E2513" t="str">
            <v>0034</v>
          </cell>
          <cell r="F2513" t="str">
            <v>0002</v>
          </cell>
          <cell r="G2513" t="str">
            <v>20108</v>
          </cell>
          <cell r="H2513" t="str">
            <v>转省计委100万第四季度利息</v>
          </cell>
          <cell r="I2513" t="b">
            <v>0</v>
          </cell>
          <cell r="J2513">
            <v>41064.68</v>
          </cell>
          <cell r="K2513">
            <v>0</v>
          </cell>
          <cell r="L2513">
            <v>0</v>
          </cell>
        </row>
        <row r="2514">
          <cell r="A2514" t="str">
            <v>07</v>
          </cell>
          <cell r="B2514" t="str">
            <v>12</v>
          </cell>
          <cell r="C2514" t="str">
            <v>07</v>
          </cell>
          <cell r="D2514" t="str">
            <v>5</v>
          </cell>
          <cell r="E2514" t="str">
            <v>0003</v>
          </cell>
          <cell r="F2514" t="str">
            <v>0002</v>
          </cell>
          <cell r="G2514" t="str">
            <v>20109</v>
          </cell>
          <cell r="H2514" t="str">
            <v>转订出4月5-8#凭证</v>
          </cell>
          <cell r="I2514" t="b">
            <v>0</v>
          </cell>
          <cell r="J2514">
            <v>19107.07</v>
          </cell>
          <cell r="K2514">
            <v>0</v>
          </cell>
          <cell r="L2514">
            <v>0</v>
          </cell>
        </row>
        <row r="2515">
          <cell r="A2515" t="str">
            <v>07</v>
          </cell>
          <cell r="B2515" t="str">
            <v>12</v>
          </cell>
          <cell r="C2515" t="str">
            <v>07</v>
          </cell>
          <cell r="D2515" t="str">
            <v>5</v>
          </cell>
          <cell r="E2515" t="str">
            <v>0004</v>
          </cell>
          <cell r="F2515" t="str">
            <v>0002</v>
          </cell>
          <cell r="G2515" t="str">
            <v>20109</v>
          </cell>
          <cell r="H2515" t="str">
            <v>转建行贷款利息</v>
          </cell>
          <cell r="I2515" t="b">
            <v>0</v>
          </cell>
          <cell r="J2515">
            <v>1943764.14</v>
          </cell>
          <cell r="K2515">
            <v>0</v>
          </cell>
          <cell r="L2515">
            <v>0</v>
          </cell>
        </row>
        <row r="2516">
          <cell r="A2516" t="str">
            <v>12</v>
          </cell>
          <cell r="B2516" t="str">
            <v>31</v>
          </cell>
          <cell r="C2516" t="str">
            <v>12</v>
          </cell>
          <cell r="D2516" t="str">
            <v>5</v>
          </cell>
          <cell r="E2516" t="str">
            <v>0096</v>
          </cell>
          <cell r="F2516" t="str">
            <v>0009</v>
          </cell>
          <cell r="G2516" t="str">
            <v>20109</v>
          </cell>
          <cell r="H2516" t="str">
            <v>转户</v>
          </cell>
          <cell r="I2516" t="b">
            <v>1</v>
          </cell>
          <cell r="J2516">
            <v>1962871.21</v>
          </cell>
          <cell r="K2516">
            <v>0</v>
          </cell>
          <cell r="L2516">
            <v>0</v>
          </cell>
        </row>
        <row r="2517">
          <cell r="A2517" t="str">
            <v>03</v>
          </cell>
          <cell r="B2517" t="str">
            <v>17</v>
          </cell>
          <cell r="C2517" t="str">
            <v>03</v>
          </cell>
          <cell r="D2517" t="str">
            <v>4</v>
          </cell>
          <cell r="E2517" t="str">
            <v>0025</v>
          </cell>
          <cell r="F2517" t="str">
            <v>0001</v>
          </cell>
          <cell r="G2517" t="str">
            <v>20110</v>
          </cell>
          <cell r="H2517" t="str">
            <v>还贷款</v>
          </cell>
          <cell r="I2517" t="b">
            <v>1</v>
          </cell>
          <cell r="J2517">
            <v>1000000</v>
          </cell>
          <cell r="K2517">
            <v>0</v>
          </cell>
          <cell r="L2517">
            <v>0</v>
          </cell>
        </row>
        <row r="2518">
          <cell r="A2518" t="str">
            <v>02</v>
          </cell>
          <cell r="B2518" t="str">
            <v>10</v>
          </cell>
          <cell r="C2518" t="str">
            <v>02</v>
          </cell>
          <cell r="D2518" t="str">
            <v>3</v>
          </cell>
          <cell r="E2518" t="str">
            <v>0007</v>
          </cell>
          <cell r="F2518" t="str">
            <v>0004</v>
          </cell>
          <cell r="G2518" t="str">
            <v>20111</v>
          </cell>
          <cell r="H2518" t="str">
            <v>收借款</v>
          </cell>
          <cell r="I2518" t="b">
            <v>0</v>
          </cell>
          <cell r="J2518">
            <v>20000000</v>
          </cell>
          <cell r="K2518">
            <v>0</v>
          </cell>
          <cell r="L2518">
            <v>0</v>
          </cell>
        </row>
        <row r="2519">
          <cell r="A2519" t="str">
            <v>05</v>
          </cell>
          <cell r="B2519" t="str">
            <v>23</v>
          </cell>
          <cell r="C2519" t="str">
            <v>05</v>
          </cell>
          <cell r="D2519" t="str">
            <v>4</v>
          </cell>
          <cell r="E2519" t="str">
            <v>0022</v>
          </cell>
          <cell r="F2519" t="str">
            <v>0001</v>
          </cell>
          <cell r="G2519" t="str">
            <v>20111</v>
          </cell>
          <cell r="H2519" t="str">
            <v>还借款</v>
          </cell>
          <cell r="I2519" t="b">
            <v>1</v>
          </cell>
          <cell r="J2519">
            <v>20000000</v>
          </cell>
          <cell r="K2519">
            <v>0</v>
          </cell>
          <cell r="L2519">
            <v>0</v>
          </cell>
        </row>
        <row r="2520">
          <cell r="A2520" t="str">
            <v>02</v>
          </cell>
          <cell r="B2520" t="str">
            <v>01</v>
          </cell>
          <cell r="C2520" t="str">
            <v>02</v>
          </cell>
          <cell r="D2520" t="str">
            <v>1</v>
          </cell>
          <cell r="E2520" t="str">
            <v>0001</v>
          </cell>
          <cell r="F2520" t="str">
            <v>0002</v>
          </cell>
          <cell r="G2520" t="str">
            <v>203</v>
          </cell>
          <cell r="H2520" t="str">
            <v>收回借款</v>
          </cell>
          <cell r="I2520" t="b">
            <v>0</v>
          </cell>
          <cell r="J2520">
            <v>5000</v>
          </cell>
          <cell r="K2520">
            <v>0</v>
          </cell>
          <cell r="L2520">
            <v>0</v>
          </cell>
        </row>
        <row r="2521">
          <cell r="A2521" t="str">
            <v>02</v>
          </cell>
          <cell r="B2521" t="str">
            <v>01</v>
          </cell>
          <cell r="C2521" t="str">
            <v>02</v>
          </cell>
          <cell r="D2521" t="str">
            <v>2</v>
          </cell>
          <cell r="E2521" t="str">
            <v>0002</v>
          </cell>
          <cell r="F2521" t="str">
            <v>0002</v>
          </cell>
          <cell r="G2521" t="str">
            <v>203</v>
          </cell>
          <cell r="H2521" t="str">
            <v>代垫运费</v>
          </cell>
          <cell r="I2521" t="b">
            <v>1</v>
          </cell>
          <cell r="J2521">
            <v>1000</v>
          </cell>
          <cell r="K2521">
            <v>0</v>
          </cell>
          <cell r="L2521">
            <v>0</v>
          </cell>
        </row>
        <row r="2522">
          <cell r="A2522" t="str">
            <v>02</v>
          </cell>
          <cell r="B2522" t="str">
            <v>10</v>
          </cell>
          <cell r="C2522" t="str">
            <v>02</v>
          </cell>
          <cell r="D2522" t="str">
            <v>3</v>
          </cell>
          <cell r="E2522" t="str">
            <v>0006</v>
          </cell>
          <cell r="F2522" t="str">
            <v>0002</v>
          </cell>
          <cell r="G2522" t="str">
            <v>203</v>
          </cell>
          <cell r="H2522" t="str">
            <v>收回借款</v>
          </cell>
          <cell r="I2522" t="b">
            <v>0</v>
          </cell>
          <cell r="J2522">
            <v>1000000</v>
          </cell>
          <cell r="K2522">
            <v>0</v>
          </cell>
          <cell r="L2522">
            <v>0</v>
          </cell>
        </row>
        <row r="2523">
          <cell r="A2523" t="str">
            <v>02</v>
          </cell>
          <cell r="B2523" t="str">
            <v>15</v>
          </cell>
          <cell r="C2523" t="str">
            <v>02</v>
          </cell>
          <cell r="D2523" t="str">
            <v>4</v>
          </cell>
          <cell r="E2523" t="str">
            <v>0019</v>
          </cell>
          <cell r="F2523" t="str">
            <v>0003</v>
          </cell>
          <cell r="G2523" t="str">
            <v>203</v>
          </cell>
          <cell r="H2523" t="str">
            <v>付工程款</v>
          </cell>
          <cell r="I2523" t="b">
            <v>1</v>
          </cell>
          <cell r="J2523">
            <v>200000</v>
          </cell>
          <cell r="K2523">
            <v>0</v>
          </cell>
          <cell r="L2523">
            <v>0</v>
          </cell>
        </row>
        <row r="2524">
          <cell r="A2524" t="str">
            <v>02</v>
          </cell>
          <cell r="B2524" t="str">
            <v>20</v>
          </cell>
          <cell r="C2524" t="str">
            <v>02</v>
          </cell>
          <cell r="D2524" t="str">
            <v>5</v>
          </cell>
          <cell r="E2524" t="str">
            <v>0005</v>
          </cell>
          <cell r="F2524" t="str">
            <v>0003</v>
          </cell>
          <cell r="G2524" t="str">
            <v>203</v>
          </cell>
          <cell r="H2524" t="str">
            <v>转销明胶</v>
          </cell>
          <cell r="I2524" t="b">
            <v>1</v>
          </cell>
          <cell r="J2524">
            <v>5850</v>
          </cell>
          <cell r="K2524">
            <v>0</v>
          </cell>
          <cell r="L2524">
            <v>0</v>
          </cell>
        </row>
        <row r="2525">
          <cell r="A2525" t="str">
            <v>02</v>
          </cell>
          <cell r="B2525" t="str">
            <v>22</v>
          </cell>
          <cell r="C2525" t="str">
            <v>02</v>
          </cell>
          <cell r="D2525" t="str">
            <v>5</v>
          </cell>
          <cell r="E2525" t="str">
            <v>0007</v>
          </cell>
          <cell r="F2525" t="str">
            <v>0001</v>
          </cell>
          <cell r="G2525" t="str">
            <v>203</v>
          </cell>
          <cell r="H2525" t="str">
            <v>转订出99年8月5-7#凭证错制</v>
          </cell>
          <cell r="I2525" t="b">
            <v>1</v>
          </cell>
          <cell r="J2525">
            <v>-1299.3699999999999</v>
          </cell>
          <cell r="K2525">
            <v>0</v>
          </cell>
          <cell r="L2525">
            <v>0</v>
          </cell>
        </row>
        <row r="2526">
          <cell r="A2526" t="str">
            <v>02</v>
          </cell>
          <cell r="B2526" t="str">
            <v>22</v>
          </cell>
          <cell r="C2526" t="str">
            <v>02</v>
          </cell>
          <cell r="D2526" t="str">
            <v>5</v>
          </cell>
          <cell r="E2526" t="str">
            <v>0008</v>
          </cell>
          <cell r="F2526" t="str">
            <v>0002</v>
          </cell>
          <cell r="G2526" t="str">
            <v>203</v>
          </cell>
          <cell r="H2526" t="str">
            <v>转调正98年8月5-25芮城材料</v>
          </cell>
          <cell r="I2526" t="b">
            <v>0</v>
          </cell>
          <cell r="J2526">
            <v>20.8</v>
          </cell>
          <cell r="K2526">
            <v>0</v>
          </cell>
          <cell r="L2526">
            <v>0</v>
          </cell>
        </row>
        <row r="2527">
          <cell r="A2527" t="str">
            <v>02</v>
          </cell>
          <cell r="B2527" t="str">
            <v>22</v>
          </cell>
          <cell r="C2527" t="str">
            <v>02</v>
          </cell>
          <cell r="D2527" t="str">
            <v>5</v>
          </cell>
          <cell r="E2527" t="str">
            <v>0010</v>
          </cell>
          <cell r="F2527" t="str">
            <v>0004</v>
          </cell>
          <cell r="G2527" t="str">
            <v>203</v>
          </cell>
          <cell r="H2527" t="str">
            <v>转购材料</v>
          </cell>
          <cell r="I2527" t="b">
            <v>0</v>
          </cell>
          <cell r="J2527">
            <v>48500</v>
          </cell>
          <cell r="K2527">
            <v>0</v>
          </cell>
          <cell r="L2527">
            <v>0</v>
          </cell>
        </row>
        <row r="2528">
          <cell r="A2528" t="str">
            <v>02</v>
          </cell>
          <cell r="B2528" t="str">
            <v>22</v>
          </cell>
          <cell r="C2528" t="str">
            <v>02</v>
          </cell>
          <cell r="D2528" t="str">
            <v>5</v>
          </cell>
          <cell r="E2528" t="str">
            <v>0010</v>
          </cell>
          <cell r="F2528" t="str">
            <v>0005</v>
          </cell>
          <cell r="G2528" t="str">
            <v>203</v>
          </cell>
          <cell r="H2528" t="str">
            <v>转购材料</v>
          </cell>
          <cell r="I2528" t="b">
            <v>0</v>
          </cell>
          <cell r="J2528">
            <v>28000</v>
          </cell>
          <cell r="K2528">
            <v>0</v>
          </cell>
          <cell r="L2528">
            <v>0</v>
          </cell>
        </row>
        <row r="2529">
          <cell r="A2529" t="str">
            <v>02</v>
          </cell>
          <cell r="B2529" t="str">
            <v>22</v>
          </cell>
          <cell r="C2529" t="str">
            <v>02</v>
          </cell>
          <cell r="D2529" t="str">
            <v>5</v>
          </cell>
          <cell r="E2529" t="str">
            <v>0011</v>
          </cell>
          <cell r="F2529" t="str">
            <v>0004</v>
          </cell>
          <cell r="G2529" t="str">
            <v>203</v>
          </cell>
          <cell r="H2529" t="str">
            <v>转购明胶</v>
          </cell>
          <cell r="I2529" t="b">
            <v>0</v>
          </cell>
          <cell r="J2529">
            <v>33000</v>
          </cell>
          <cell r="K2529">
            <v>0</v>
          </cell>
          <cell r="L2529">
            <v>0</v>
          </cell>
        </row>
        <row r="2530">
          <cell r="A2530" t="str">
            <v>02</v>
          </cell>
          <cell r="B2530" t="str">
            <v>22</v>
          </cell>
          <cell r="C2530" t="str">
            <v>02</v>
          </cell>
          <cell r="D2530" t="str">
            <v>5</v>
          </cell>
          <cell r="E2530" t="str">
            <v>0011</v>
          </cell>
          <cell r="F2530" t="str">
            <v>0005</v>
          </cell>
          <cell r="G2530" t="str">
            <v>203</v>
          </cell>
          <cell r="H2530" t="str">
            <v>转购蒸发器板片</v>
          </cell>
          <cell r="I2530" t="b">
            <v>0</v>
          </cell>
          <cell r="J2530">
            <v>186000</v>
          </cell>
          <cell r="K2530">
            <v>0</v>
          </cell>
          <cell r="L2530">
            <v>0</v>
          </cell>
        </row>
        <row r="2531">
          <cell r="A2531" t="str">
            <v>03</v>
          </cell>
          <cell r="B2531" t="str">
            <v>15</v>
          </cell>
          <cell r="C2531" t="str">
            <v>03</v>
          </cell>
          <cell r="D2531" t="str">
            <v>2</v>
          </cell>
          <cell r="E2531" t="str">
            <v>0013</v>
          </cell>
          <cell r="F2531" t="str">
            <v>0001</v>
          </cell>
          <cell r="G2531" t="str">
            <v>203</v>
          </cell>
          <cell r="H2531" t="str">
            <v>暂借款</v>
          </cell>
          <cell r="I2531" t="b">
            <v>1</v>
          </cell>
          <cell r="J2531">
            <v>3200</v>
          </cell>
          <cell r="K2531">
            <v>0</v>
          </cell>
          <cell r="L2531">
            <v>0</v>
          </cell>
        </row>
        <row r="2532">
          <cell r="A2532" t="str">
            <v>03</v>
          </cell>
          <cell r="B2532" t="str">
            <v>24</v>
          </cell>
          <cell r="C2532" t="str">
            <v>03</v>
          </cell>
          <cell r="D2532" t="str">
            <v>2</v>
          </cell>
          <cell r="E2532" t="str">
            <v>0021</v>
          </cell>
          <cell r="F2532" t="str">
            <v>0001</v>
          </cell>
          <cell r="G2532" t="str">
            <v>203</v>
          </cell>
          <cell r="H2532" t="str">
            <v>付微机款</v>
          </cell>
          <cell r="I2532" t="b">
            <v>1</v>
          </cell>
          <cell r="J2532">
            <v>11120</v>
          </cell>
          <cell r="K2532">
            <v>0</v>
          </cell>
          <cell r="L2532">
            <v>0</v>
          </cell>
        </row>
        <row r="2533">
          <cell r="A2533" t="str">
            <v>03</v>
          </cell>
          <cell r="B2533" t="str">
            <v>02</v>
          </cell>
          <cell r="C2533" t="str">
            <v>03</v>
          </cell>
          <cell r="D2533" t="str">
            <v>3</v>
          </cell>
          <cell r="E2533" t="str">
            <v>0003</v>
          </cell>
          <cell r="F2533" t="str">
            <v>0002</v>
          </cell>
          <cell r="G2533" t="str">
            <v>203</v>
          </cell>
          <cell r="H2533" t="str">
            <v>收回借款</v>
          </cell>
          <cell r="I2533" t="b">
            <v>0</v>
          </cell>
          <cell r="J2533">
            <v>2000000</v>
          </cell>
          <cell r="K2533">
            <v>0</v>
          </cell>
          <cell r="L2533">
            <v>0</v>
          </cell>
        </row>
        <row r="2534">
          <cell r="A2534" t="str">
            <v>03</v>
          </cell>
          <cell r="B2534" t="str">
            <v>02</v>
          </cell>
          <cell r="C2534" t="str">
            <v>03</v>
          </cell>
          <cell r="D2534" t="str">
            <v>4</v>
          </cell>
          <cell r="E2534" t="str">
            <v>0004</v>
          </cell>
          <cell r="F2534" t="str">
            <v>0001</v>
          </cell>
          <cell r="G2534" t="str">
            <v>203</v>
          </cell>
          <cell r="H2534" t="str">
            <v>预付货款</v>
          </cell>
          <cell r="I2534" t="b">
            <v>1</v>
          </cell>
          <cell r="J2534">
            <v>88000</v>
          </cell>
          <cell r="K2534">
            <v>0</v>
          </cell>
          <cell r="L2534">
            <v>0</v>
          </cell>
        </row>
        <row r="2535">
          <cell r="A2535" t="str">
            <v>03</v>
          </cell>
          <cell r="B2535" t="str">
            <v>12</v>
          </cell>
          <cell r="C2535" t="str">
            <v>03</v>
          </cell>
          <cell r="D2535" t="str">
            <v>4</v>
          </cell>
          <cell r="E2535" t="str">
            <v>0013</v>
          </cell>
          <cell r="F2535" t="str">
            <v>0001</v>
          </cell>
          <cell r="G2535" t="str">
            <v>203</v>
          </cell>
          <cell r="H2535" t="str">
            <v>预付货款</v>
          </cell>
          <cell r="I2535" t="b">
            <v>1</v>
          </cell>
          <cell r="J2535">
            <v>34500</v>
          </cell>
          <cell r="K2535">
            <v>0</v>
          </cell>
          <cell r="L2535">
            <v>0</v>
          </cell>
        </row>
        <row r="2536">
          <cell r="A2536" t="str">
            <v>03</v>
          </cell>
          <cell r="B2536" t="str">
            <v>12</v>
          </cell>
          <cell r="C2536" t="str">
            <v>03</v>
          </cell>
          <cell r="D2536" t="str">
            <v>4</v>
          </cell>
          <cell r="E2536" t="str">
            <v>0013</v>
          </cell>
          <cell r="F2536" t="str">
            <v>0002</v>
          </cell>
          <cell r="G2536" t="str">
            <v>203</v>
          </cell>
          <cell r="H2536" t="str">
            <v>预付货款</v>
          </cell>
          <cell r="I2536" t="b">
            <v>1</v>
          </cell>
          <cell r="J2536">
            <v>33000</v>
          </cell>
          <cell r="K2536">
            <v>0</v>
          </cell>
          <cell r="L2536">
            <v>0</v>
          </cell>
        </row>
        <row r="2537">
          <cell r="A2537" t="str">
            <v>03</v>
          </cell>
          <cell r="B2537" t="str">
            <v>13</v>
          </cell>
          <cell r="C2537" t="str">
            <v>03</v>
          </cell>
          <cell r="D2537" t="str">
            <v>4</v>
          </cell>
          <cell r="E2537" t="str">
            <v>0017</v>
          </cell>
          <cell r="F2537" t="str">
            <v>0001</v>
          </cell>
          <cell r="G2537" t="str">
            <v>203</v>
          </cell>
          <cell r="H2537" t="str">
            <v>付厂房设计费</v>
          </cell>
          <cell r="I2537" t="b">
            <v>1</v>
          </cell>
          <cell r="J2537">
            <v>24000</v>
          </cell>
          <cell r="K2537">
            <v>0</v>
          </cell>
          <cell r="L2537">
            <v>0</v>
          </cell>
        </row>
        <row r="2538">
          <cell r="A2538" t="str">
            <v>03</v>
          </cell>
          <cell r="B2538" t="str">
            <v>13</v>
          </cell>
          <cell r="C2538" t="str">
            <v>03</v>
          </cell>
          <cell r="D2538" t="str">
            <v>4</v>
          </cell>
          <cell r="E2538" t="str">
            <v>0017</v>
          </cell>
          <cell r="F2538" t="str">
            <v>0002</v>
          </cell>
          <cell r="G2538" t="str">
            <v>203</v>
          </cell>
          <cell r="H2538" t="str">
            <v>付多收货款</v>
          </cell>
          <cell r="I2538" t="b">
            <v>1</v>
          </cell>
          <cell r="J2538">
            <v>1000</v>
          </cell>
          <cell r="K2538">
            <v>0</v>
          </cell>
          <cell r="L2538">
            <v>0</v>
          </cell>
        </row>
        <row r="2539">
          <cell r="A2539" t="str">
            <v>03</v>
          </cell>
          <cell r="B2539" t="str">
            <v>27</v>
          </cell>
          <cell r="C2539" t="str">
            <v>03</v>
          </cell>
          <cell r="D2539" t="str">
            <v>5</v>
          </cell>
          <cell r="E2539" t="str">
            <v>0007</v>
          </cell>
          <cell r="F2539" t="str">
            <v>0004</v>
          </cell>
          <cell r="G2539" t="str">
            <v>203</v>
          </cell>
          <cell r="H2539" t="str">
            <v>转购明胶</v>
          </cell>
          <cell r="I2539" t="b">
            <v>0</v>
          </cell>
          <cell r="J2539">
            <v>121000</v>
          </cell>
          <cell r="K2539">
            <v>0</v>
          </cell>
          <cell r="L2539">
            <v>0</v>
          </cell>
        </row>
        <row r="2540">
          <cell r="A2540" t="str">
            <v>03</v>
          </cell>
          <cell r="B2540" t="str">
            <v>27</v>
          </cell>
          <cell r="C2540" t="str">
            <v>03</v>
          </cell>
          <cell r="D2540" t="str">
            <v>5</v>
          </cell>
          <cell r="E2540" t="str">
            <v>0008</v>
          </cell>
          <cell r="F2540" t="str">
            <v>0004</v>
          </cell>
          <cell r="G2540" t="str">
            <v>203</v>
          </cell>
          <cell r="H2540" t="str">
            <v>转购硅溶胶</v>
          </cell>
          <cell r="I2540" t="b">
            <v>0</v>
          </cell>
          <cell r="J2540">
            <v>220800</v>
          </cell>
          <cell r="K2540">
            <v>0</v>
          </cell>
          <cell r="L2540">
            <v>0</v>
          </cell>
        </row>
        <row r="2541">
          <cell r="A2541" t="str">
            <v>03</v>
          </cell>
          <cell r="B2541" t="str">
            <v>27</v>
          </cell>
          <cell r="C2541" t="str">
            <v>03</v>
          </cell>
          <cell r="D2541" t="str">
            <v>5</v>
          </cell>
          <cell r="E2541" t="str">
            <v>0008</v>
          </cell>
          <cell r="F2541" t="str">
            <v>0005</v>
          </cell>
          <cell r="G2541" t="str">
            <v>203</v>
          </cell>
          <cell r="H2541" t="str">
            <v>转购硅藻土</v>
          </cell>
          <cell r="I2541" t="b">
            <v>0</v>
          </cell>
          <cell r="J2541">
            <v>34500</v>
          </cell>
          <cell r="K2541">
            <v>0</v>
          </cell>
          <cell r="L2541">
            <v>0</v>
          </cell>
        </row>
        <row r="2542">
          <cell r="A2542" t="str">
            <v>04</v>
          </cell>
          <cell r="B2542" t="str">
            <v>08</v>
          </cell>
          <cell r="C2542" t="str">
            <v>04</v>
          </cell>
          <cell r="D2542" t="str">
            <v>4</v>
          </cell>
          <cell r="E2542" t="str">
            <v>0006</v>
          </cell>
          <cell r="F2542" t="str">
            <v>0001</v>
          </cell>
          <cell r="G2542" t="str">
            <v>203</v>
          </cell>
          <cell r="H2542" t="str">
            <v>付设备款</v>
          </cell>
          <cell r="I2542" t="b">
            <v>1</v>
          </cell>
          <cell r="J2542">
            <v>1128000</v>
          </cell>
          <cell r="K2542">
            <v>0</v>
          </cell>
          <cell r="L2542">
            <v>0</v>
          </cell>
        </row>
        <row r="2543">
          <cell r="A2543" t="str">
            <v>04</v>
          </cell>
          <cell r="B2543" t="str">
            <v>08</v>
          </cell>
          <cell r="C2543" t="str">
            <v>04</v>
          </cell>
          <cell r="D2543" t="str">
            <v>4</v>
          </cell>
          <cell r="E2543" t="str">
            <v>0006</v>
          </cell>
          <cell r="F2543" t="str">
            <v>0002</v>
          </cell>
          <cell r="G2543" t="str">
            <v>203</v>
          </cell>
          <cell r="H2543" t="str">
            <v>付货款</v>
          </cell>
          <cell r="I2543" t="b">
            <v>1</v>
          </cell>
          <cell r="J2543">
            <v>300000</v>
          </cell>
          <cell r="K2543">
            <v>0</v>
          </cell>
          <cell r="L2543">
            <v>0</v>
          </cell>
        </row>
        <row r="2544">
          <cell r="A2544" t="str">
            <v>04</v>
          </cell>
          <cell r="B2544" t="str">
            <v>08</v>
          </cell>
          <cell r="C2544" t="str">
            <v>04</v>
          </cell>
          <cell r="D2544" t="str">
            <v>4</v>
          </cell>
          <cell r="E2544" t="str">
            <v>0006</v>
          </cell>
          <cell r="F2544" t="str">
            <v>0003</v>
          </cell>
          <cell r="G2544" t="str">
            <v>203</v>
          </cell>
          <cell r="H2544" t="str">
            <v>付工程款</v>
          </cell>
          <cell r="I2544" t="b">
            <v>1</v>
          </cell>
          <cell r="J2544">
            <v>350000</v>
          </cell>
          <cell r="K2544">
            <v>0</v>
          </cell>
          <cell r="L2544">
            <v>0</v>
          </cell>
        </row>
        <row r="2545">
          <cell r="A2545" t="str">
            <v>04</v>
          </cell>
          <cell r="B2545" t="str">
            <v>15</v>
          </cell>
          <cell r="C2545" t="str">
            <v>04</v>
          </cell>
          <cell r="D2545" t="str">
            <v>4</v>
          </cell>
          <cell r="E2545" t="str">
            <v>0012</v>
          </cell>
          <cell r="F2545" t="str">
            <v>0001</v>
          </cell>
          <cell r="G2545" t="str">
            <v>203</v>
          </cell>
          <cell r="H2545" t="str">
            <v>付设备款</v>
          </cell>
          <cell r="I2545" t="b">
            <v>1</v>
          </cell>
          <cell r="J2545">
            <v>600000</v>
          </cell>
          <cell r="K2545">
            <v>0</v>
          </cell>
          <cell r="L2545">
            <v>0</v>
          </cell>
        </row>
        <row r="2546">
          <cell r="A2546" t="str">
            <v>04</v>
          </cell>
          <cell r="B2546" t="str">
            <v>15</v>
          </cell>
          <cell r="C2546" t="str">
            <v>04</v>
          </cell>
          <cell r="D2546" t="str">
            <v>4</v>
          </cell>
          <cell r="E2546" t="str">
            <v>0012</v>
          </cell>
          <cell r="F2546" t="str">
            <v>0002</v>
          </cell>
          <cell r="G2546" t="str">
            <v>203</v>
          </cell>
          <cell r="H2546" t="str">
            <v>付车款</v>
          </cell>
          <cell r="I2546" t="b">
            <v>1</v>
          </cell>
          <cell r="J2546">
            <v>1210000</v>
          </cell>
          <cell r="K2546">
            <v>0</v>
          </cell>
          <cell r="L2546">
            <v>0</v>
          </cell>
        </row>
        <row r="2547">
          <cell r="A2547" t="str">
            <v>04</v>
          </cell>
          <cell r="B2547" t="str">
            <v>15</v>
          </cell>
          <cell r="C2547" t="str">
            <v>04</v>
          </cell>
          <cell r="D2547" t="str">
            <v>4</v>
          </cell>
          <cell r="E2547" t="str">
            <v>0012</v>
          </cell>
          <cell r="F2547" t="str">
            <v>0003</v>
          </cell>
          <cell r="G2547" t="str">
            <v>203</v>
          </cell>
          <cell r="H2547" t="str">
            <v>付工程款</v>
          </cell>
          <cell r="I2547" t="b">
            <v>1</v>
          </cell>
          <cell r="J2547">
            <v>200000</v>
          </cell>
          <cell r="K2547">
            <v>0</v>
          </cell>
          <cell r="L2547">
            <v>0</v>
          </cell>
        </row>
        <row r="2548">
          <cell r="A2548" t="str">
            <v>04</v>
          </cell>
          <cell r="B2548" t="str">
            <v>20</v>
          </cell>
          <cell r="C2548" t="str">
            <v>04</v>
          </cell>
          <cell r="D2548" t="str">
            <v>5</v>
          </cell>
          <cell r="E2548" t="str">
            <v>0005</v>
          </cell>
          <cell r="F2548" t="str">
            <v>0003</v>
          </cell>
          <cell r="G2548" t="str">
            <v>203</v>
          </cell>
          <cell r="H2548" t="str">
            <v>转微机款</v>
          </cell>
          <cell r="I2548" t="b">
            <v>0</v>
          </cell>
          <cell r="J2548">
            <v>90120</v>
          </cell>
          <cell r="K2548">
            <v>0</v>
          </cell>
          <cell r="L2548">
            <v>0</v>
          </cell>
        </row>
        <row r="2549">
          <cell r="A2549" t="str">
            <v>04</v>
          </cell>
          <cell r="B2549" t="str">
            <v>20</v>
          </cell>
          <cell r="C2549" t="str">
            <v>04</v>
          </cell>
          <cell r="D2549" t="str">
            <v>5</v>
          </cell>
          <cell r="E2549" t="str">
            <v>0009</v>
          </cell>
          <cell r="F2549" t="str">
            <v>0002</v>
          </cell>
          <cell r="G2549" t="str">
            <v>203</v>
          </cell>
          <cell r="H2549" t="str">
            <v>转技术服务费</v>
          </cell>
          <cell r="I2549" t="b">
            <v>0</v>
          </cell>
          <cell r="J2549">
            <v>24000</v>
          </cell>
          <cell r="K2549">
            <v>0</v>
          </cell>
          <cell r="L2549">
            <v>0</v>
          </cell>
        </row>
        <row r="2550">
          <cell r="A2550" t="str">
            <v>04</v>
          </cell>
          <cell r="B2550" t="str">
            <v>24</v>
          </cell>
          <cell r="C2550" t="str">
            <v>04</v>
          </cell>
          <cell r="D2550" t="str">
            <v>5</v>
          </cell>
          <cell r="E2550" t="str">
            <v>0016</v>
          </cell>
          <cell r="F2550" t="str">
            <v>0002</v>
          </cell>
          <cell r="G2550" t="str">
            <v>203</v>
          </cell>
          <cell r="H2550" t="str">
            <v>转户</v>
          </cell>
          <cell r="I2550" t="b">
            <v>0</v>
          </cell>
          <cell r="J2550">
            <v>1000</v>
          </cell>
          <cell r="K2550">
            <v>0</v>
          </cell>
          <cell r="L2550">
            <v>0</v>
          </cell>
        </row>
        <row r="2551">
          <cell r="A2551" t="str">
            <v>04</v>
          </cell>
          <cell r="B2551" t="str">
            <v>25</v>
          </cell>
          <cell r="C2551" t="str">
            <v>04</v>
          </cell>
          <cell r="D2551" t="str">
            <v>5</v>
          </cell>
          <cell r="E2551" t="str">
            <v>0019</v>
          </cell>
          <cell r="F2551" t="str">
            <v>0001</v>
          </cell>
          <cell r="G2551" t="str">
            <v>203</v>
          </cell>
          <cell r="H2551" t="str">
            <v>转销材料</v>
          </cell>
          <cell r="I2551" t="b">
            <v>1</v>
          </cell>
          <cell r="J2551">
            <v>224843.2</v>
          </cell>
          <cell r="K2551">
            <v>0</v>
          </cell>
          <cell r="L2551">
            <v>0</v>
          </cell>
        </row>
        <row r="2552">
          <cell r="A2552" t="str">
            <v>04</v>
          </cell>
          <cell r="B2552" t="str">
            <v>26</v>
          </cell>
          <cell r="C2552" t="str">
            <v>04</v>
          </cell>
          <cell r="D2552" t="str">
            <v>5</v>
          </cell>
          <cell r="E2552" t="str">
            <v>0029</v>
          </cell>
          <cell r="F2552" t="str">
            <v>0003</v>
          </cell>
          <cell r="G2552" t="str">
            <v>203</v>
          </cell>
          <cell r="H2552" t="str">
            <v>转购苹果浓汁</v>
          </cell>
          <cell r="I2552" t="b">
            <v>0</v>
          </cell>
          <cell r="J2552">
            <v>854759.3</v>
          </cell>
          <cell r="K2552">
            <v>0</v>
          </cell>
          <cell r="L2552">
            <v>0</v>
          </cell>
        </row>
        <row r="2553">
          <cell r="A2553" t="str">
            <v>04</v>
          </cell>
          <cell r="B2553" t="str">
            <v>26</v>
          </cell>
          <cell r="C2553" t="str">
            <v>04</v>
          </cell>
          <cell r="D2553" t="str">
            <v>5</v>
          </cell>
          <cell r="E2553" t="str">
            <v>0030</v>
          </cell>
          <cell r="F2553" t="str">
            <v>0004</v>
          </cell>
          <cell r="G2553" t="str">
            <v>203</v>
          </cell>
          <cell r="H2553" t="str">
            <v>转预提尚进果汁1900.25吨</v>
          </cell>
          <cell r="I2553" t="b">
            <v>0</v>
          </cell>
          <cell r="J2553">
            <v>8551125</v>
          </cell>
          <cell r="K2553">
            <v>0</v>
          </cell>
          <cell r="L2553">
            <v>0</v>
          </cell>
        </row>
        <row r="2554">
          <cell r="A2554" t="str">
            <v>05</v>
          </cell>
          <cell r="B2554" t="str">
            <v>11</v>
          </cell>
          <cell r="C2554" t="str">
            <v>05</v>
          </cell>
          <cell r="D2554" t="str">
            <v>4</v>
          </cell>
          <cell r="E2554" t="str">
            <v>0005</v>
          </cell>
          <cell r="F2554" t="str">
            <v>0002</v>
          </cell>
          <cell r="G2554" t="str">
            <v>203</v>
          </cell>
          <cell r="H2554" t="str">
            <v>付货款</v>
          </cell>
          <cell r="I2554" t="b">
            <v>1</v>
          </cell>
          <cell r="J2554">
            <v>900000</v>
          </cell>
          <cell r="K2554">
            <v>0</v>
          </cell>
          <cell r="L2554">
            <v>0</v>
          </cell>
        </row>
        <row r="2555">
          <cell r="A2555" t="str">
            <v>05</v>
          </cell>
          <cell r="B2555" t="str">
            <v>11</v>
          </cell>
          <cell r="C2555" t="str">
            <v>05</v>
          </cell>
          <cell r="D2555" t="str">
            <v>4</v>
          </cell>
          <cell r="E2555" t="str">
            <v>0005</v>
          </cell>
          <cell r="F2555" t="str">
            <v>0003</v>
          </cell>
          <cell r="G2555" t="str">
            <v>203</v>
          </cell>
          <cell r="H2555" t="str">
            <v>付工程款</v>
          </cell>
          <cell r="I2555" t="b">
            <v>1</v>
          </cell>
          <cell r="J2555">
            <v>400000</v>
          </cell>
          <cell r="K2555">
            <v>0</v>
          </cell>
          <cell r="L2555">
            <v>0</v>
          </cell>
        </row>
        <row r="2556">
          <cell r="A2556" t="str">
            <v>05</v>
          </cell>
          <cell r="B2556" t="str">
            <v>23</v>
          </cell>
          <cell r="C2556" t="str">
            <v>05</v>
          </cell>
          <cell r="D2556" t="str">
            <v>4</v>
          </cell>
          <cell r="E2556" t="str">
            <v>0021</v>
          </cell>
          <cell r="F2556" t="str">
            <v>0002</v>
          </cell>
          <cell r="G2556" t="str">
            <v>203</v>
          </cell>
          <cell r="H2556" t="str">
            <v>付货款</v>
          </cell>
          <cell r="I2556" t="b">
            <v>1</v>
          </cell>
          <cell r="J2556">
            <v>6400</v>
          </cell>
          <cell r="K2556">
            <v>0</v>
          </cell>
          <cell r="L2556">
            <v>0</v>
          </cell>
        </row>
        <row r="2557">
          <cell r="A2557" t="str">
            <v>05</v>
          </cell>
          <cell r="B2557" t="str">
            <v>23</v>
          </cell>
          <cell r="C2557" t="str">
            <v>05</v>
          </cell>
          <cell r="D2557" t="str">
            <v>4</v>
          </cell>
          <cell r="E2557" t="str">
            <v>0021</v>
          </cell>
          <cell r="F2557" t="str">
            <v>0003</v>
          </cell>
          <cell r="G2557" t="str">
            <v>203</v>
          </cell>
          <cell r="H2557" t="str">
            <v>付货款</v>
          </cell>
          <cell r="I2557" t="b">
            <v>1</v>
          </cell>
          <cell r="J2557">
            <v>32923.53</v>
          </cell>
          <cell r="K2557">
            <v>0</v>
          </cell>
          <cell r="L2557">
            <v>0</v>
          </cell>
        </row>
        <row r="2558">
          <cell r="A2558" t="str">
            <v>05</v>
          </cell>
          <cell r="B2558" t="str">
            <v>23</v>
          </cell>
          <cell r="C2558" t="str">
            <v>05</v>
          </cell>
          <cell r="D2558" t="str">
            <v>4</v>
          </cell>
          <cell r="E2558" t="str">
            <v>0021</v>
          </cell>
          <cell r="F2558" t="str">
            <v>0004</v>
          </cell>
          <cell r="G2558" t="str">
            <v>203</v>
          </cell>
          <cell r="H2558" t="str">
            <v>付工程款</v>
          </cell>
          <cell r="I2558" t="b">
            <v>1</v>
          </cell>
          <cell r="J2558">
            <v>300000</v>
          </cell>
          <cell r="K2558">
            <v>0</v>
          </cell>
          <cell r="L2558">
            <v>0</v>
          </cell>
        </row>
        <row r="2559">
          <cell r="A2559" t="str">
            <v>05</v>
          </cell>
          <cell r="B2559" t="str">
            <v>25</v>
          </cell>
          <cell r="C2559" t="str">
            <v>05</v>
          </cell>
          <cell r="D2559" t="str">
            <v>5</v>
          </cell>
          <cell r="E2559" t="str">
            <v>0005</v>
          </cell>
          <cell r="F2559" t="str">
            <v>0001</v>
          </cell>
          <cell r="G2559" t="str">
            <v>203</v>
          </cell>
          <cell r="H2559" t="str">
            <v>转户</v>
          </cell>
          <cell r="I2559" t="b">
            <v>1</v>
          </cell>
          <cell r="J2559">
            <v>510048</v>
          </cell>
          <cell r="K2559">
            <v>0</v>
          </cell>
          <cell r="L2559">
            <v>0</v>
          </cell>
        </row>
        <row r="2560">
          <cell r="A2560" t="str">
            <v>05</v>
          </cell>
          <cell r="B2560" t="str">
            <v>25</v>
          </cell>
          <cell r="C2560" t="str">
            <v>05</v>
          </cell>
          <cell r="D2560" t="str">
            <v>5</v>
          </cell>
          <cell r="E2560" t="str">
            <v>0005</v>
          </cell>
          <cell r="F2560" t="str">
            <v>0004</v>
          </cell>
          <cell r="G2560" t="str">
            <v>203</v>
          </cell>
          <cell r="H2560" t="str">
            <v>转车款</v>
          </cell>
          <cell r="I2560" t="b">
            <v>0</v>
          </cell>
          <cell r="J2560">
            <v>1210000</v>
          </cell>
          <cell r="K2560">
            <v>0</v>
          </cell>
          <cell r="L2560">
            <v>0</v>
          </cell>
        </row>
        <row r="2561">
          <cell r="A2561" t="str">
            <v>05</v>
          </cell>
          <cell r="B2561" t="str">
            <v>26</v>
          </cell>
          <cell r="C2561" t="str">
            <v>05</v>
          </cell>
          <cell r="D2561" t="str">
            <v>5</v>
          </cell>
          <cell r="E2561" t="str">
            <v>0017</v>
          </cell>
          <cell r="F2561" t="str">
            <v>0001</v>
          </cell>
          <cell r="G2561" t="str">
            <v>203</v>
          </cell>
          <cell r="H2561" t="str">
            <v>转购尚进果汁1899.5吨</v>
          </cell>
          <cell r="I2561" t="b">
            <v>1</v>
          </cell>
          <cell r="J2561">
            <v>8547750</v>
          </cell>
          <cell r="K2561">
            <v>0</v>
          </cell>
          <cell r="L2561">
            <v>0</v>
          </cell>
        </row>
        <row r="2562">
          <cell r="A2562" t="str">
            <v>05</v>
          </cell>
          <cell r="B2562" t="str">
            <v>26</v>
          </cell>
          <cell r="C2562" t="str">
            <v>05</v>
          </cell>
          <cell r="D2562" t="str">
            <v>5</v>
          </cell>
          <cell r="E2562" t="str">
            <v>0017</v>
          </cell>
          <cell r="F2562" t="str">
            <v>0004</v>
          </cell>
          <cell r="G2562" t="str">
            <v>203</v>
          </cell>
          <cell r="H2562" t="str">
            <v>转尚进果汁0.75吨差价</v>
          </cell>
          <cell r="I2562" t="b">
            <v>1</v>
          </cell>
          <cell r="J2562">
            <v>3375</v>
          </cell>
          <cell r="K2562">
            <v>0</v>
          </cell>
          <cell r="L2562">
            <v>0</v>
          </cell>
        </row>
        <row r="2563">
          <cell r="A2563" t="str">
            <v>06</v>
          </cell>
          <cell r="B2563" t="str">
            <v>20</v>
          </cell>
          <cell r="C2563" t="str">
            <v>06</v>
          </cell>
          <cell r="D2563" t="str">
            <v>4</v>
          </cell>
          <cell r="E2563" t="str">
            <v>0008</v>
          </cell>
          <cell r="F2563" t="str">
            <v>0001</v>
          </cell>
          <cell r="G2563" t="str">
            <v>203</v>
          </cell>
          <cell r="H2563" t="str">
            <v>付货款</v>
          </cell>
          <cell r="I2563" t="b">
            <v>1</v>
          </cell>
          <cell r="J2563">
            <v>1374</v>
          </cell>
          <cell r="K2563">
            <v>0</v>
          </cell>
          <cell r="L2563">
            <v>0</v>
          </cell>
        </row>
        <row r="2564">
          <cell r="A2564" t="str">
            <v>06</v>
          </cell>
          <cell r="B2564" t="str">
            <v>20</v>
          </cell>
          <cell r="C2564" t="str">
            <v>06</v>
          </cell>
          <cell r="D2564" t="str">
            <v>4</v>
          </cell>
          <cell r="E2564" t="str">
            <v>0008</v>
          </cell>
          <cell r="F2564" t="str">
            <v>0002</v>
          </cell>
          <cell r="G2564" t="str">
            <v>203</v>
          </cell>
          <cell r="H2564" t="str">
            <v>付货款</v>
          </cell>
          <cell r="I2564" t="b">
            <v>1</v>
          </cell>
          <cell r="J2564">
            <v>58000</v>
          </cell>
          <cell r="K2564">
            <v>0</v>
          </cell>
          <cell r="L2564">
            <v>0</v>
          </cell>
        </row>
        <row r="2565">
          <cell r="A2565" t="str">
            <v>06</v>
          </cell>
          <cell r="B2565" t="str">
            <v>20</v>
          </cell>
          <cell r="C2565" t="str">
            <v>06</v>
          </cell>
          <cell r="D2565" t="str">
            <v>4</v>
          </cell>
          <cell r="E2565" t="str">
            <v>0008</v>
          </cell>
          <cell r="F2565" t="str">
            <v>0003</v>
          </cell>
          <cell r="G2565" t="str">
            <v>203</v>
          </cell>
          <cell r="H2565" t="str">
            <v>付工程款</v>
          </cell>
          <cell r="I2565" t="b">
            <v>1</v>
          </cell>
          <cell r="J2565">
            <v>300000</v>
          </cell>
          <cell r="K2565">
            <v>0</v>
          </cell>
          <cell r="L2565">
            <v>0</v>
          </cell>
        </row>
        <row r="2566">
          <cell r="A2566" t="str">
            <v>06</v>
          </cell>
          <cell r="B2566" t="str">
            <v>20</v>
          </cell>
          <cell r="C2566" t="str">
            <v>06</v>
          </cell>
          <cell r="D2566" t="str">
            <v>4</v>
          </cell>
          <cell r="E2566" t="str">
            <v>0010</v>
          </cell>
          <cell r="F2566" t="str">
            <v>0001</v>
          </cell>
          <cell r="G2566" t="str">
            <v>203</v>
          </cell>
          <cell r="H2566" t="str">
            <v>付续展费</v>
          </cell>
          <cell r="I2566" t="b">
            <v>1</v>
          </cell>
          <cell r="J2566">
            <v>2000</v>
          </cell>
          <cell r="K2566">
            <v>0</v>
          </cell>
          <cell r="L2566">
            <v>0</v>
          </cell>
        </row>
        <row r="2567">
          <cell r="A2567" t="str">
            <v>06</v>
          </cell>
          <cell r="B2567" t="str">
            <v>20</v>
          </cell>
          <cell r="C2567" t="str">
            <v>06</v>
          </cell>
          <cell r="D2567" t="str">
            <v>4</v>
          </cell>
          <cell r="E2567" t="str">
            <v>0010</v>
          </cell>
          <cell r="F2567" t="str">
            <v>0002</v>
          </cell>
          <cell r="G2567" t="str">
            <v>203</v>
          </cell>
          <cell r="H2567" t="str">
            <v>付货款</v>
          </cell>
          <cell r="I2567" t="b">
            <v>1</v>
          </cell>
          <cell r="J2567">
            <v>100000</v>
          </cell>
          <cell r="K2567">
            <v>0</v>
          </cell>
          <cell r="L2567">
            <v>0</v>
          </cell>
        </row>
        <row r="2568">
          <cell r="A2568" t="str">
            <v>06</v>
          </cell>
          <cell r="B2568" t="str">
            <v>20</v>
          </cell>
          <cell r="C2568" t="str">
            <v>06</v>
          </cell>
          <cell r="D2568" t="str">
            <v>4</v>
          </cell>
          <cell r="E2568" t="str">
            <v>0010</v>
          </cell>
          <cell r="F2568" t="str">
            <v>0003</v>
          </cell>
          <cell r="G2568" t="str">
            <v>203</v>
          </cell>
          <cell r="H2568" t="str">
            <v>付货款</v>
          </cell>
          <cell r="I2568" t="b">
            <v>1</v>
          </cell>
          <cell r="J2568">
            <v>300000</v>
          </cell>
          <cell r="K2568">
            <v>0</v>
          </cell>
          <cell r="L2568">
            <v>0</v>
          </cell>
        </row>
        <row r="2569">
          <cell r="A2569" t="str">
            <v>06</v>
          </cell>
          <cell r="B2569" t="str">
            <v>20</v>
          </cell>
          <cell r="C2569" t="str">
            <v>06</v>
          </cell>
          <cell r="D2569" t="str">
            <v>4</v>
          </cell>
          <cell r="E2569" t="str">
            <v>0010</v>
          </cell>
          <cell r="F2569" t="str">
            <v>0004</v>
          </cell>
          <cell r="G2569" t="str">
            <v>203</v>
          </cell>
          <cell r="H2569" t="str">
            <v>付货款</v>
          </cell>
          <cell r="I2569" t="b">
            <v>1</v>
          </cell>
          <cell r="J2569">
            <v>19360</v>
          </cell>
          <cell r="K2569">
            <v>0</v>
          </cell>
          <cell r="L2569">
            <v>0</v>
          </cell>
        </row>
        <row r="2570">
          <cell r="A2570" t="str">
            <v>06</v>
          </cell>
          <cell r="B2570" t="str">
            <v>20</v>
          </cell>
          <cell r="C2570" t="str">
            <v>06</v>
          </cell>
          <cell r="D2570" t="str">
            <v>4</v>
          </cell>
          <cell r="E2570" t="str">
            <v>0010</v>
          </cell>
          <cell r="F2570" t="str">
            <v>0005</v>
          </cell>
          <cell r="G2570" t="str">
            <v>203</v>
          </cell>
          <cell r="H2570" t="str">
            <v>付工程款</v>
          </cell>
          <cell r="I2570" t="b">
            <v>1</v>
          </cell>
          <cell r="J2570">
            <v>300000</v>
          </cell>
          <cell r="K2570">
            <v>0</v>
          </cell>
          <cell r="L2570">
            <v>0</v>
          </cell>
        </row>
        <row r="2571">
          <cell r="A2571" t="str">
            <v>06</v>
          </cell>
          <cell r="B2571" t="str">
            <v>26</v>
          </cell>
          <cell r="C2571" t="str">
            <v>06</v>
          </cell>
          <cell r="D2571" t="str">
            <v>5</v>
          </cell>
          <cell r="E2571" t="str">
            <v>0036</v>
          </cell>
          <cell r="F2571" t="str">
            <v>0002</v>
          </cell>
          <cell r="G2571" t="str">
            <v>203</v>
          </cell>
          <cell r="H2571" t="str">
            <v>转冲销99.6.5-42#</v>
          </cell>
          <cell r="I2571" t="b">
            <v>0</v>
          </cell>
          <cell r="J2571">
            <v>-1046102.83</v>
          </cell>
          <cell r="K2571">
            <v>0</v>
          </cell>
          <cell r="L2571">
            <v>0</v>
          </cell>
        </row>
        <row r="2572">
          <cell r="A2572" t="str">
            <v>07</v>
          </cell>
          <cell r="B2572" t="str">
            <v>21</v>
          </cell>
          <cell r="C2572" t="str">
            <v>07</v>
          </cell>
          <cell r="D2572" t="str">
            <v>2</v>
          </cell>
          <cell r="E2572" t="str">
            <v>0021</v>
          </cell>
          <cell r="F2572" t="str">
            <v>0001</v>
          </cell>
          <cell r="G2572" t="str">
            <v>203</v>
          </cell>
          <cell r="H2572" t="str">
            <v>付货款</v>
          </cell>
          <cell r="I2572" t="b">
            <v>1</v>
          </cell>
          <cell r="J2572">
            <v>40000</v>
          </cell>
          <cell r="K2572">
            <v>0</v>
          </cell>
          <cell r="L2572">
            <v>0</v>
          </cell>
        </row>
        <row r="2573">
          <cell r="A2573" t="str">
            <v>07</v>
          </cell>
          <cell r="B2573" t="str">
            <v>10</v>
          </cell>
          <cell r="C2573" t="str">
            <v>07</v>
          </cell>
          <cell r="D2573" t="str">
            <v>4</v>
          </cell>
          <cell r="E2573" t="str">
            <v>0007</v>
          </cell>
          <cell r="F2573" t="str">
            <v>0001</v>
          </cell>
          <cell r="G2573" t="str">
            <v>203</v>
          </cell>
          <cell r="H2573" t="str">
            <v>付货款</v>
          </cell>
          <cell r="I2573" t="b">
            <v>1</v>
          </cell>
          <cell r="J2573">
            <v>74000</v>
          </cell>
          <cell r="K2573">
            <v>0</v>
          </cell>
          <cell r="L2573">
            <v>0</v>
          </cell>
        </row>
        <row r="2574">
          <cell r="A2574" t="str">
            <v>07</v>
          </cell>
          <cell r="B2574" t="str">
            <v>10</v>
          </cell>
          <cell r="C2574" t="str">
            <v>07</v>
          </cell>
          <cell r="D2574" t="str">
            <v>4</v>
          </cell>
          <cell r="E2574" t="str">
            <v>0007</v>
          </cell>
          <cell r="F2574" t="str">
            <v>0002</v>
          </cell>
          <cell r="G2574" t="str">
            <v>203</v>
          </cell>
          <cell r="H2574" t="str">
            <v>付货款</v>
          </cell>
          <cell r="I2574" t="b">
            <v>1</v>
          </cell>
          <cell r="J2574">
            <v>9000</v>
          </cell>
          <cell r="K2574">
            <v>0</v>
          </cell>
          <cell r="L2574">
            <v>0</v>
          </cell>
        </row>
        <row r="2575">
          <cell r="A2575" t="str">
            <v>07</v>
          </cell>
          <cell r="B2575" t="str">
            <v>10</v>
          </cell>
          <cell r="C2575" t="str">
            <v>07</v>
          </cell>
          <cell r="D2575" t="str">
            <v>4</v>
          </cell>
          <cell r="E2575" t="str">
            <v>0007</v>
          </cell>
          <cell r="F2575" t="str">
            <v>0003</v>
          </cell>
          <cell r="G2575" t="str">
            <v>203</v>
          </cell>
          <cell r="H2575" t="str">
            <v>付工程款</v>
          </cell>
          <cell r="I2575" t="b">
            <v>1</v>
          </cell>
          <cell r="J2575">
            <v>50000</v>
          </cell>
          <cell r="K2575">
            <v>0</v>
          </cell>
          <cell r="L2575">
            <v>0</v>
          </cell>
        </row>
        <row r="2576">
          <cell r="A2576" t="str">
            <v>07</v>
          </cell>
          <cell r="B2576" t="str">
            <v>10</v>
          </cell>
          <cell r="C2576" t="str">
            <v>07</v>
          </cell>
          <cell r="D2576" t="str">
            <v>4</v>
          </cell>
          <cell r="E2576" t="str">
            <v>0007</v>
          </cell>
          <cell r="F2576" t="str">
            <v>0004</v>
          </cell>
          <cell r="G2576" t="str">
            <v>203</v>
          </cell>
          <cell r="H2576" t="str">
            <v>付货款</v>
          </cell>
          <cell r="I2576" t="b">
            <v>1</v>
          </cell>
          <cell r="J2576">
            <v>30000</v>
          </cell>
          <cell r="K2576">
            <v>0</v>
          </cell>
          <cell r="L2576">
            <v>0</v>
          </cell>
        </row>
        <row r="2577">
          <cell r="A2577" t="str">
            <v>07</v>
          </cell>
          <cell r="B2577" t="str">
            <v>18</v>
          </cell>
          <cell r="C2577" t="str">
            <v>07</v>
          </cell>
          <cell r="D2577" t="str">
            <v>4</v>
          </cell>
          <cell r="E2577" t="str">
            <v>0016</v>
          </cell>
          <cell r="F2577" t="str">
            <v>0001</v>
          </cell>
          <cell r="G2577" t="str">
            <v>203</v>
          </cell>
          <cell r="H2577" t="str">
            <v>付货款</v>
          </cell>
          <cell r="I2577" t="b">
            <v>1</v>
          </cell>
          <cell r="J2577">
            <v>150000</v>
          </cell>
          <cell r="K2577">
            <v>0</v>
          </cell>
          <cell r="L2577">
            <v>0</v>
          </cell>
        </row>
        <row r="2578">
          <cell r="A2578" t="str">
            <v>07</v>
          </cell>
          <cell r="B2578" t="str">
            <v>18</v>
          </cell>
          <cell r="C2578" t="str">
            <v>07</v>
          </cell>
          <cell r="D2578" t="str">
            <v>4</v>
          </cell>
          <cell r="E2578" t="str">
            <v>0016</v>
          </cell>
          <cell r="F2578" t="str">
            <v>0004</v>
          </cell>
          <cell r="G2578" t="str">
            <v>203</v>
          </cell>
          <cell r="H2578" t="str">
            <v>暂借款</v>
          </cell>
          <cell r="I2578" t="b">
            <v>1</v>
          </cell>
          <cell r="J2578">
            <v>300000</v>
          </cell>
          <cell r="K2578">
            <v>0</v>
          </cell>
          <cell r="L2578">
            <v>0</v>
          </cell>
        </row>
        <row r="2579">
          <cell r="A2579" t="str">
            <v>07</v>
          </cell>
          <cell r="B2579" t="str">
            <v>24</v>
          </cell>
          <cell r="C2579" t="str">
            <v>07</v>
          </cell>
          <cell r="D2579" t="str">
            <v>5</v>
          </cell>
          <cell r="E2579" t="str">
            <v>0011</v>
          </cell>
          <cell r="F2579" t="str">
            <v>0002</v>
          </cell>
          <cell r="G2579" t="str">
            <v>203</v>
          </cell>
          <cell r="H2579" t="str">
            <v>转果汁款</v>
          </cell>
          <cell r="I2579" t="b">
            <v>0</v>
          </cell>
          <cell r="J2579">
            <v>456119</v>
          </cell>
          <cell r="K2579">
            <v>0</v>
          </cell>
          <cell r="L2579">
            <v>0</v>
          </cell>
        </row>
        <row r="2580">
          <cell r="A2580" t="str">
            <v>07</v>
          </cell>
          <cell r="B2580" t="str">
            <v>24</v>
          </cell>
          <cell r="C2580" t="str">
            <v>07</v>
          </cell>
          <cell r="D2580" t="str">
            <v>5</v>
          </cell>
          <cell r="E2580" t="str">
            <v>0011</v>
          </cell>
          <cell r="F2580" t="str">
            <v>0003</v>
          </cell>
          <cell r="G2580" t="str">
            <v>203</v>
          </cell>
          <cell r="H2580" t="str">
            <v>转果汁款</v>
          </cell>
          <cell r="I2580" t="b">
            <v>0</v>
          </cell>
          <cell r="J2580">
            <v>1969581.62</v>
          </cell>
          <cell r="K2580">
            <v>0</v>
          </cell>
          <cell r="L2580">
            <v>0</v>
          </cell>
        </row>
        <row r="2581">
          <cell r="A2581" t="str">
            <v>07</v>
          </cell>
          <cell r="B2581" t="str">
            <v>24</v>
          </cell>
          <cell r="C2581" t="str">
            <v>07</v>
          </cell>
          <cell r="D2581" t="str">
            <v>5</v>
          </cell>
          <cell r="E2581" t="str">
            <v>0011</v>
          </cell>
          <cell r="F2581" t="str">
            <v>0004</v>
          </cell>
          <cell r="G2581" t="str">
            <v>203</v>
          </cell>
          <cell r="H2581" t="str">
            <v>转果汁款</v>
          </cell>
          <cell r="I2581" t="b">
            <v>0</v>
          </cell>
          <cell r="J2581">
            <v>1053001</v>
          </cell>
          <cell r="K2581">
            <v>0</v>
          </cell>
          <cell r="L2581">
            <v>0</v>
          </cell>
        </row>
        <row r="2582">
          <cell r="A2582" t="str">
            <v>07</v>
          </cell>
          <cell r="B2582" t="str">
            <v>25</v>
          </cell>
          <cell r="C2582" t="str">
            <v>07</v>
          </cell>
          <cell r="D2582" t="str">
            <v>5</v>
          </cell>
          <cell r="E2582" t="str">
            <v>0014</v>
          </cell>
          <cell r="F2582" t="str">
            <v>0003</v>
          </cell>
          <cell r="G2582" t="str">
            <v>203</v>
          </cell>
          <cell r="H2582" t="str">
            <v>转化验室用易耗品</v>
          </cell>
          <cell r="I2582" t="b">
            <v>0</v>
          </cell>
          <cell r="J2582">
            <v>8515</v>
          </cell>
          <cell r="K2582">
            <v>0</v>
          </cell>
          <cell r="L2582">
            <v>0</v>
          </cell>
        </row>
        <row r="2583">
          <cell r="A2583" t="str">
            <v>07</v>
          </cell>
          <cell r="B2583" t="str">
            <v>25</v>
          </cell>
          <cell r="C2583" t="str">
            <v>07</v>
          </cell>
          <cell r="D2583" t="str">
            <v>5</v>
          </cell>
          <cell r="E2583" t="str">
            <v>0015</v>
          </cell>
          <cell r="F2583" t="str">
            <v>0004</v>
          </cell>
          <cell r="G2583" t="str">
            <v>203</v>
          </cell>
          <cell r="H2583" t="str">
            <v>转购热电阻等</v>
          </cell>
          <cell r="I2583" t="b">
            <v>0</v>
          </cell>
          <cell r="J2583">
            <v>1374</v>
          </cell>
          <cell r="K2583">
            <v>0</v>
          </cell>
          <cell r="L2583">
            <v>0</v>
          </cell>
        </row>
        <row r="2584">
          <cell r="A2584" t="str">
            <v>07</v>
          </cell>
          <cell r="B2584" t="str">
            <v>25</v>
          </cell>
          <cell r="C2584" t="str">
            <v>07</v>
          </cell>
          <cell r="D2584" t="str">
            <v>5</v>
          </cell>
          <cell r="E2584" t="str">
            <v>0015</v>
          </cell>
          <cell r="F2584" t="str">
            <v>0005</v>
          </cell>
          <cell r="G2584" t="str">
            <v>203</v>
          </cell>
          <cell r="H2584" t="str">
            <v>转购橡胶垫等</v>
          </cell>
          <cell r="I2584" t="b">
            <v>0</v>
          </cell>
          <cell r="J2584">
            <v>9000</v>
          </cell>
          <cell r="K2584">
            <v>0</v>
          </cell>
          <cell r="L2584">
            <v>0</v>
          </cell>
        </row>
        <row r="2585">
          <cell r="A2585" t="str">
            <v>07</v>
          </cell>
          <cell r="B2585" t="str">
            <v>25</v>
          </cell>
          <cell r="C2585" t="str">
            <v>07</v>
          </cell>
          <cell r="D2585" t="str">
            <v>5</v>
          </cell>
          <cell r="E2585" t="str">
            <v>0015</v>
          </cell>
          <cell r="F2585" t="str">
            <v>0006</v>
          </cell>
          <cell r="G2585" t="str">
            <v>203</v>
          </cell>
          <cell r="H2585" t="str">
            <v>转购滤布等</v>
          </cell>
          <cell r="I2585" t="b">
            <v>0</v>
          </cell>
          <cell r="J2585">
            <v>19360</v>
          </cell>
          <cell r="K2585">
            <v>0</v>
          </cell>
          <cell r="L2585">
            <v>0</v>
          </cell>
        </row>
        <row r="2586">
          <cell r="A2586" t="str">
            <v>07</v>
          </cell>
          <cell r="B2586" t="str">
            <v>25</v>
          </cell>
          <cell r="C2586" t="str">
            <v>07</v>
          </cell>
          <cell r="D2586" t="str">
            <v>5</v>
          </cell>
          <cell r="E2586" t="str">
            <v>0021</v>
          </cell>
          <cell r="F2586" t="str">
            <v>0001</v>
          </cell>
          <cell r="G2586" t="str">
            <v>203</v>
          </cell>
          <cell r="H2586" t="str">
            <v>转铁板款</v>
          </cell>
          <cell r="I2586" t="b">
            <v>1</v>
          </cell>
          <cell r="J2586">
            <v>600000</v>
          </cell>
          <cell r="K2586">
            <v>0</v>
          </cell>
          <cell r="L2586">
            <v>0</v>
          </cell>
        </row>
        <row r="2587">
          <cell r="A2587" t="str">
            <v>07</v>
          </cell>
          <cell r="B2587" t="str">
            <v>26</v>
          </cell>
          <cell r="C2587" t="str">
            <v>07</v>
          </cell>
          <cell r="D2587" t="str">
            <v>5</v>
          </cell>
          <cell r="E2587" t="str">
            <v>0022</v>
          </cell>
          <cell r="F2587" t="str">
            <v>0002</v>
          </cell>
          <cell r="G2587" t="str">
            <v>203</v>
          </cell>
          <cell r="H2587" t="str">
            <v>转购铁板</v>
          </cell>
          <cell r="I2587" t="b">
            <v>0</v>
          </cell>
          <cell r="J2587">
            <v>544641.44999999995</v>
          </cell>
          <cell r="K2587">
            <v>0</v>
          </cell>
          <cell r="L2587">
            <v>0</v>
          </cell>
        </row>
        <row r="2588">
          <cell r="A2588" t="str">
            <v>08</v>
          </cell>
          <cell r="B2588" t="str">
            <v>05</v>
          </cell>
          <cell r="C2588" t="str">
            <v>08</v>
          </cell>
          <cell r="D2588" t="str">
            <v>3</v>
          </cell>
          <cell r="E2588" t="str">
            <v>0004</v>
          </cell>
          <cell r="F2588" t="str">
            <v>0002</v>
          </cell>
          <cell r="G2588" t="str">
            <v>203</v>
          </cell>
          <cell r="H2588" t="str">
            <v>退汇一支</v>
          </cell>
          <cell r="I2588" t="b">
            <v>0</v>
          </cell>
          <cell r="J2588">
            <v>562000</v>
          </cell>
          <cell r="K2588">
            <v>0</v>
          </cell>
          <cell r="L2588">
            <v>0</v>
          </cell>
        </row>
        <row r="2589">
          <cell r="A2589" t="str">
            <v>08</v>
          </cell>
          <cell r="B2589" t="str">
            <v>03</v>
          </cell>
          <cell r="C2589" t="str">
            <v>08</v>
          </cell>
          <cell r="D2589" t="str">
            <v>4</v>
          </cell>
          <cell r="E2589" t="str">
            <v>0005</v>
          </cell>
          <cell r="F2589" t="str">
            <v>0002</v>
          </cell>
          <cell r="G2589" t="str">
            <v>203</v>
          </cell>
          <cell r="H2589" t="str">
            <v>付货款</v>
          </cell>
          <cell r="I2589" t="b">
            <v>1</v>
          </cell>
          <cell r="J2589">
            <v>1283000</v>
          </cell>
          <cell r="K2589">
            <v>0</v>
          </cell>
          <cell r="L2589">
            <v>0</v>
          </cell>
        </row>
        <row r="2590">
          <cell r="A2590" t="str">
            <v>08</v>
          </cell>
          <cell r="B2590" t="str">
            <v>03</v>
          </cell>
          <cell r="C2590" t="str">
            <v>08</v>
          </cell>
          <cell r="D2590" t="str">
            <v>4</v>
          </cell>
          <cell r="E2590" t="str">
            <v>0005</v>
          </cell>
          <cell r="F2590" t="str">
            <v>0003</v>
          </cell>
          <cell r="G2590" t="str">
            <v>203</v>
          </cell>
          <cell r="H2590" t="str">
            <v>付工程款</v>
          </cell>
          <cell r="I2590" t="b">
            <v>1</v>
          </cell>
          <cell r="J2590">
            <v>300000</v>
          </cell>
          <cell r="K2590">
            <v>0</v>
          </cell>
          <cell r="L2590">
            <v>0</v>
          </cell>
        </row>
        <row r="2591">
          <cell r="A2591" t="str">
            <v>08</v>
          </cell>
          <cell r="B2591" t="str">
            <v>08</v>
          </cell>
          <cell r="C2591" t="str">
            <v>08</v>
          </cell>
          <cell r="D2591" t="str">
            <v>4</v>
          </cell>
          <cell r="E2591" t="str">
            <v>0016</v>
          </cell>
          <cell r="F2591" t="str">
            <v>0002</v>
          </cell>
          <cell r="G2591" t="str">
            <v>203</v>
          </cell>
          <cell r="H2591" t="str">
            <v>付工程款</v>
          </cell>
          <cell r="I2591" t="b">
            <v>1</v>
          </cell>
          <cell r="J2591">
            <v>500000</v>
          </cell>
          <cell r="K2591">
            <v>0</v>
          </cell>
          <cell r="L2591">
            <v>0</v>
          </cell>
        </row>
        <row r="2592">
          <cell r="A2592" t="str">
            <v>08</v>
          </cell>
          <cell r="B2592" t="str">
            <v>22</v>
          </cell>
          <cell r="C2592" t="str">
            <v>08</v>
          </cell>
          <cell r="D2592" t="str">
            <v>4</v>
          </cell>
          <cell r="E2592" t="str">
            <v>0029</v>
          </cell>
          <cell r="F2592" t="str">
            <v>0001</v>
          </cell>
          <cell r="G2592" t="str">
            <v>203</v>
          </cell>
          <cell r="H2592" t="str">
            <v>付货款</v>
          </cell>
          <cell r="I2592" t="b">
            <v>1</v>
          </cell>
          <cell r="J2592">
            <v>12600</v>
          </cell>
          <cell r="K2592">
            <v>0</v>
          </cell>
          <cell r="L2592">
            <v>0</v>
          </cell>
        </row>
        <row r="2593">
          <cell r="A2593" t="str">
            <v>08</v>
          </cell>
          <cell r="B2593" t="str">
            <v>22</v>
          </cell>
          <cell r="C2593" t="str">
            <v>08</v>
          </cell>
          <cell r="D2593" t="str">
            <v>4</v>
          </cell>
          <cell r="E2593" t="str">
            <v>0029</v>
          </cell>
          <cell r="F2593" t="str">
            <v>0002</v>
          </cell>
          <cell r="G2593" t="str">
            <v>203</v>
          </cell>
          <cell r="H2593" t="str">
            <v>付货款</v>
          </cell>
          <cell r="I2593" t="b">
            <v>1</v>
          </cell>
          <cell r="J2593">
            <v>64560</v>
          </cell>
          <cell r="K2593">
            <v>0</v>
          </cell>
          <cell r="L2593">
            <v>0</v>
          </cell>
        </row>
        <row r="2594">
          <cell r="A2594" t="str">
            <v>08</v>
          </cell>
          <cell r="B2594" t="str">
            <v>22</v>
          </cell>
          <cell r="C2594" t="str">
            <v>08</v>
          </cell>
          <cell r="D2594" t="str">
            <v>4</v>
          </cell>
          <cell r="E2594" t="str">
            <v>0029</v>
          </cell>
          <cell r="F2594" t="str">
            <v>0003</v>
          </cell>
          <cell r="G2594" t="str">
            <v>203</v>
          </cell>
          <cell r="H2594" t="str">
            <v>付货款</v>
          </cell>
          <cell r="I2594" t="b">
            <v>1</v>
          </cell>
          <cell r="J2594">
            <v>5400</v>
          </cell>
          <cell r="K2594">
            <v>0</v>
          </cell>
          <cell r="L2594">
            <v>0</v>
          </cell>
        </row>
        <row r="2595">
          <cell r="A2595" t="str">
            <v>08</v>
          </cell>
          <cell r="B2595" t="str">
            <v>22</v>
          </cell>
          <cell r="C2595" t="str">
            <v>08</v>
          </cell>
          <cell r="D2595" t="str">
            <v>4</v>
          </cell>
          <cell r="E2595" t="str">
            <v>0030</v>
          </cell>
          <cell r="F2595" t="str">
            <v>0001</v>
          </cell>
          <cell r="G2595" t="str">
            <v>203</v>
          </cell>
          <cell r="H2595" t="str">
            <v>付货款</v>
          </cell>
          <cell r="I2595" t="b">
            <v>1</v>
          </cell>
          <cell r="J2595">
            <v>78600</v>
          </cell>
          <cell r="K2595">
            <v>0</v>
          </cell>
          <cell r="L2595">
            <v>0</v>
          </cell>
        </row>
        <row r="2596">
          <cell r="A2596" t="str">
            <v>08</v>
          </cell>
          <cell r="B2596" t="str">
            <v>22</v>
          </cell>
          <cell r="C2596" t="str">
            <v>08</v>
          </cell>
          <cell r="D2596" t="str">
            <v>4</v>
          </cell>
          <cell r="E2596" t="str">
            <v>0030</v>
          </cell>
          <cell r="F2596" t="str">
            <v>0002</v>
          </cell>
          <cell r="G2596" t="str">
            <v>203</v>
          </cell>
          <cell r="H2596" t="str">
            <v>付货款</v>
          </cell>
          <cell r="I2596" t="b">
            <v>1</v>
          </cell>
          <cell r="J2596">
            <v>73710</v>
          </cell>
          <cell r="K2596">
            <v>0</v>
          </cell>
          <cell r="L2596">
            <v>0</v>
          </cell>
        </row>
        <row r="2597">
          <cell r="A2597" t="str">
            <v>08</v>
          </cell>
          <cell r="B2597" t="str">
            <v>22</v>
          </cell>
          <cell r="C2597" t="str">
            <v>08</v>
          </cell>
          <cell r="D2597" t="str">
            <v>4</v>
          </cell>
          <cell r="E2597" t="str">
            <v>0030</v>
          </cell>
          <cell r="F2597" t="str">
            <v>0003</v>
          </cell>
          <cell r="G2597" t="str">
            <v>203</v>
          </cell>
          <cell r="H2597" t="str">
            <v>付货款</v>
          </cell>
          <cell r="I2597" t="b">
            <v>1</v>
          </cell>
          <cell r="J2597">
            <v>2300000</v>
          </cell>
          <cell r="K2597">
            <v>0</v>
          </cell>
          <cell r="L2597">
            <v>0</v>
          </cell>
        </row>
        <row r="2598">
          <cell r="A2598" t="str">
            <v>08</v>
          </cell>
          <cell r="B2598" t="str">
            <v>22</v>
          </cell>
          <cell r="C2598" t="str">
            <v>08</v>
          </cell>
          <cell r="D2598" t="str">
            <v>4</v>
          </cell>
          <cell r="E2598" t="str">
            <v>0030</v>
          </cell>
          <cell r="F2598" t="str">
            <v>0004</v>
          </cell>
          <cell r="G2598" t="str">
            <v>203</v>
          </cell>
          <cell r="H2598" t="str">
            <v>付货款</v>
          </cell>
          <cell r="I2598" t="b">
            <v>1</v>
          </cell>
          <cell r="J2598">
            <v>15000</v>
          </cell>
          <cell r="K2598">
            <v>0</v>
          </cell>
          <cell r="L2598">
            <v>0</v>
          </cell>
        </row>
        <row r="2599">
          <cell r="A2599" t="str">
            <v>08</v>
          </cell>
          <cell r="B2599" t="str">
            <v>22</v>
          </cell>
          <cell r="C2599" t="str">
            <v>08</v>
          </cell>
          <cell r="D2599" t="str">
            <v>4</v>
          </cell>
          <cell r="E2599" t="str">
            <v>0031</v>
          </cell>
          <cell r="F2599" t="str">
            <v>0001</v>
          </cell>
          <cell r="G2599" t="str">
            <v>203</v>
          </cell>
          <cell r="H2599" t="str">
            <v>付货款</v>
          </cell>
          <cell r="I2599" t="b">
            <v>1</v>
          </cell>
          <cell r="J2599">
            <v>106950</v>
          </cell>
          <cell r="K2599">
            <v>0</v>
          </cell>
          <cell r="L2599">
            <v>0</v>
          </cell>
        </row>
        <row r="2600">
          <cell r="A2600" t="str">
            <v>08</v>
          </cell>
          <cell r="B2600" t="str">
            <v>22</v>
          </cell>
          <cell r="C2600" t="str">
            <v>08</v>
          </cell>
          <cell r="D2600" t="str">
            <v>4</v>
          </cell>
          <cell r="E2600" t="str">
            <v>0031</v>
          </cell>
          <cell r="F2600" t="str">
            <v>0002</v>
          </cell>
          <cell r="G2600" t="str">
            <v>203</v>
          </cell>
          <cell r="H2600" t="str">
            <v>付货款</v>
          </cell>
          <cell r="I2600" t="b">
            <v>1</v>
          </cell>
          <cell r="J2600">
            <v>27000</v>
          </cell>
          <cell r="K2600">
            <v>0</v>
          </cell>
          <cell r="L2600">
            <v>0</v>
          </cell>
        </row>
        <row r="2601">
          <cell r="A2601" t="str">
            <v>08</v>
          </cell>
          <cell r="B2601" t="str">
            <v>22</v>
          </cell>
          <cell r="C2601" t="str">
            <v>08</v>
          </cell>
          <cell r="D2601" t="str">
            <v>4</v>
          </cell>
          <cell r="E2601" t="str">
            <v>0031</v>
          </cell>
          <cell r="F2601" t="str">
            <v>0003</v>
          </cell>
          <cell r="G2601" t="str">
            <v>203</v>
          </cell>
          <cell r="H2601" t="str">
            <v>付货款</v>
          </cell>
          <cell r="I2601" t="b">
            <v>1</v>
          </cell>
          <cell r="J2601">
            <v>220000</v>
          </cell>
          <cell r="K2601">
            <v>0</v>
          </cell>
          <cell r="L2601">
            <v>0</v>
          </cell>
        </row>
        <row r="2602">
          <cell r="A2602" t="str">
            <v>08</v>
          </cell>
          <cell r="B2602" t="str">
            <v>27</v>
          </cell>
          <cell r="C2602" t="str">
            <v>08</v>
          </cell>
          <cell r="D2602" t="str">
            <v>5</v>
          </cell>
          <cell r="E2602" t="str">
            <v>0018</v>
          </cell>
          <cell r="F2602" t="str">
            <v>0002</v>
          </cell>
          <cell r="G2602" t="str">
            <v>203</v>
          </cell>
          <cell r="H2602" t="str">
            <v>转入库外购果汁532.717吨</v>
          </cell>
          <cell r="I2602" t="b">
            <v>0</v>
          </cell>
          <cell r="J2602">
            <v>2048911.53</v>
          </cell>
          <cell r="K2602">
            <v>0</v>
          </cell>
          <cell r="L2602">
            <v>0</v>
          </cell>
        </row>
        <row r="2603">
          <cell r="A2603" t="str">
            <v>08</v>
          </cell>
          <cell r="B2603" t="str">
            <v>28</v>
          </cell>
          <cell r="C2603" t="str">
            <v>08</v>
          </cell>
          <cell r="D2603" t="str">
            <v>5</v>
          </cell>
          <cell r="E2603" t="str">
            <v>0025</v>
          </cell>
          <cell r="F2603" t="str">
            <v>0004</v>
          </cell>
          <cell r="G2603" t="str">
            <v>203</v>
          </cell>
          <cell r="H2603" t="str">
            <v>转购硅藻土</v>
          </cell>
          <cell r="I2603" t="b">
            <v>0</v>
          </cell>
          <cell r="J2603">
            <v>75900</v>
          </cell>
          <cell r="K2603">
            <v>0</v>
          </cell>
          <cell r="L2603">
            <v>0</v>
          </cell>
        </row>
        <row r="2604">
          <cell r="A2604" t="str">
            <v>08</v>
          </cell>
          <cell r="B2604" t="str">
            <v>28</v>
          </cell>
          <cell r="C2604" t="str">
            <v>08</v>
          </cell>
          <cell r="D2604" t="str">
            <v>5</v>
          </cell>
          <cell r="E2604" t="str">
            <v>0025</v>
          </cell>
          <cell r="F2604" t="str">
            <v>0005</v>
          </cell>
          <cell r="G2604" t="str">
            <v>203</v>
          </cell>
          <cell r="H2604" t="str">
            <v>转购清洗酶</v>
          </cell>
          <cell r="I2604" t="b">
            <v>0</v>
          </cell>
          <cell r="J2604">
            <v>15000</v>
          </cell>
          <cell r="K2604">
            <v>0</v>
          </cell>
          <cell r="L2604">
            <v>0</v>
          </cell>
        </row>
        <row r="2605">
          <cell r="A2605" t="str">
            <v>08</v>
          </cell>
          <cell r="B2605" t="str">
            <v>28</v>
          </cell>
          <cell r="C2605" t="str">
            <v>08</v>
          </cell>
          <cell r="D2605" t="str">
            <v>5</v>
          </cell>
          <cell r="E2605" t="str">
            <v>0026</v>
          </cell>
          <cell r="F2605" t="str">
            <v>0004</v>
          </cell>
          <cell r="G2605" t="str">
            <v>203</v>
          </cell>
          <cell r="H2605" t="str">
            <v>转购明胶</v>
          </cell>
          <cell r="I2605" t="b">
            <v>0</v>
          </cell>
          <cell r="J2605">
            <v>77000</v>
          </cell>
          <cell r="K2605">
            <v>0</v>
          </cell>
          <cell r="L2605">
            <v>0</v>
          </cell>
        </row>
        <row r="2606">
          <cell r="A2606" t="str">
            <v>08</v>
          </cell>
          <cell r="B2606" t="str">
            <v>28</v>
          </cell>
          <cell r="C2606" t="str">
            <v>08</v>
          </cell>
          <cell r="D2606" t="str">
            <v>5</v>
          </cell>
          <cell r="E2606" t="str">
            <v>0026</v>
          </cell>
          <cell r="F2606" t="str">
            <v>0005</v>
          </cell>
          <cell r="G2606" t="str">
            <v>203</v>
          </cell>
          <cell r="H2606" t="str">
            <v>转购糖化酶</v>
          </cell>
          <cell r="I2606" t="b">
            <v>0</v>
          </cell>
          <cell r="J2606">
            <v>18000</v>
          </cell>
          <cell r="K2606">
            <v>0</v>
          </cell>
          <cell r="L2606">
            <v>0</v>
          </cell>
        </row>
        <row r="2607">
          <cell r="A2607" t="str">
            <v>09</v>
          </cell>
          <cell r="B2607" t="str">
            <v>20</v>
          </cell>
          <cell r="C2607" t="str">
            <v>09</v>
          </cell>
          <cell r="D2607" t="str">
            <v>2</v>
          </cell>
          <cell r="E2607" t="str">
            <v>0015</v>
          </cell>
          <cell r="F2607" t="str">
            <v>0001</v>
          </cell>
          <cell r="G2607" t="str">
            <v>203</v>
          </cell>
          <cell r="H2607" t="str">
            <v>付果款</v>
          </cell>
          <cell r="I2607" t="b">
            <v>1</v>
          </cell>
          <cell r="J2607">
            <v>5427</v>
          </cell>
          <cell r="K2607">
            <v>0</v>
          </cell>
          <cell r="L2607">
            <v>0</v>
          </cell>
        </row>
        <row r="2608">
          <cell r="A2608" t="str">
            <v>09</v>
          </cell>
          <cell r="B2608" t="str">
            <v>04</v>
          </cell>
          <cell r="C2608" t="str">
            <v>09</v>
          </cell>
          <cell r="D2608" t="str">
            <v>4</v>
          </cell>
          <cell r="E2608" t="str">
            <v>0006</v>
          </cell>
          <cell r="F2608" t="str">
            <v>0001</v>
          </cell>
          <cell r="G2608" t="str">
            <v>203</v>
          </cell>
          <cell r="H2608" t="str">
            <v>付货款</v>
          </cell>
          <cell r="I2608" t="b">
            <v>1</v>
          </cell>
          <cell r="J2608">
            <v>175346.97</v>
          </cell>
          <cell r="K2608">
            <v>0</v>
          </cell>
          <cell r="L2608">
            <v>0</v>
          </cell>
        </row>
        <row r="2609">
          <cell r="A2609" t="str">
            <v>09</v>
          </cell>
          <cell r="B2609" t="str">
            <v>04</v>
          </cell>
          <cell r="C2609" t="str">
            <v>09</v>
          </cell>
          <cell r="D2609" t="str">
            <v>4</v>
          </cell>
          <cell r="E2609" t="str">
            <v>0006</v>
          </cell>
          <cell r="F2609" t="str">
            <v>0002</v>
          </cell>
          <cell r="G2609" t="str">
            <v>203</v>
          </cell>
          <cell r="H2609" t="str">
            <v>付货款</v>
          </cell>
          <cell r="I2609" t="b">
            <v>1</v>
          </cell>
          <cell r="J2609">
            <v>7078.5</v>
          </cell>
          <cell r="K2609">
            <v>0</v>
          </cell>
          <cell r="L2609">
            <v>0</v>
          </cell>
        </row>
        <row r="2610">
          <cell r="A2610" t="str">
            <v>09</v>
          </cell>
          <cell r="B2610" t="str">
            <v>04</v>
          </cell>
          <cell r="C2610" t="str">
            <v>09</v>
          </cell>
          <cell r="D2610" t="str">
            <v>4</v>
          </cell>
          <cell r="E2610" t="str">
            <v>0006</v>
          </cell>
          <cell r="F2610" t="str">
            <v>0003</v>
          </cell>
          <cell r="G2610" t="str">
            <v>203</v>
          </cell>
          <cell r="H2610" t="str">
            <v>付货款</v>
          </cell>
          <cell r="I2610" t="b">
            <v>1</v>
          </cell>
          <cell r="J2610">
            <v>231000</v>
          </cell>
          <cell r="K2610">
            <v>0</v>
          </cell>
          <cell r="L2610">
            <v>0</v>
          </cell>
        </row>
        <row r="2611">
          <cell r="A2611" t="str">
            <v>09</v>
          </cell>
          <cell r="B2611" t="str">
            <v>04</v>
          </cell>
          <cell r="C2611" t="str">
            <v>09</v>
          </cell>
          <cell r="D2611" t="str">
            <v>4</v>
          </cell>
          <cell r="E2611" t="str">
            <v>0006</v>
          </cell>
          <cell r="F2611" t="str">
            <v>0004</v>
          </cell>
          <cell r="G2611" t="str">
            <v>203</v>
          </cell>
          <cell r="H2611" t="str">
            <v>付货款</v>
          </cell>
          <cell r="I2611" t="b">
            <v>1</v>
          </cell>
          <cell r="J2611">
            <v>400000</v>
          </cell>
          <cell r="K2611">
            <v>0</v>
          </cell>
          <cell r="L2611">
            <v>0</v>
          </cell>
        </row>
        <row r="2612">
          <cell r="A2612" t="str">
            <v>09</v>
          </cell>
          <cell r="B2612" t="str">
            <v>04</v>
          </cell>
          <cell r="C2612" t="str">
            <v>09</v>
          </cell>
          <cell r="D2612" t="str">
            <v>4</v>
          </cell>
          <cell r="E2612" t="str">
            <v>0006</v>
          </cell>
          <cell r="F2612" t="str">
            <v>0005</v>
          </cell>
          <cell r="G2612" t="str">
            <v>203</v>
          </cell>
          <cell r="H2612" t="str">
            <v>付货款</v>
          </cell>
          <cell r="I2612" t="b">
            <v>1</v>
          </cell>
          <cell r="J2612">
            <v>500000</v>
          </cell>
          <cell r="K2612">
            <v>0</v>
          </cell>
          <cell r="L2612">
            <v>0</v>
          </cell>
        </row>
        <row r="2613">
          <cell r="A2613" t="str">
            <v>09</v>
          </cell>
          <cell r="B2613" t="str">
            <v>23</v>
          </cell>
          <cell r="C2613" t="str">
            <v>09</v>
          </cell>
          <cell r="D2613" t="str">
            <v>4</v>
          </cell>
          <cell r="E2613" t="str">
            <v>0028</v>
          </cell>
          <cell r="F2613" t="str">
            <v>0001</v>
          </cell>
          <cell r="G2613" t="str">
            <v>203</v>
          </cell>
          <cell r="H2613" t="str">
            <v>付货款</v>
          </cell>
          <cell r="I2613" t="b">
            <v>1</v>
          </cell>
          <cell r="J2613">
            <v>9000</v>
          </cell>
          <cell r="K2613">
            <v>0</v>
          </cell>
          <cell r="L2613">
            <v>0</v>
          </cell>
        </row>
        <row r="2614">
          <cell r="A2614" t="str">
            <v>09</v>
          </cell>
          <cell r="B2614" t="str">
            <v>23</v>
          </cell>
          <cell r="C2614" t="str">
            <v>09</v>
          </cell>
          <cell r="D2614" t="str">
            <v>4</v>
          </cell>
          <cell r="E2614" t="str">
            <v>0028</v>
          </cell>
          <cell r="F2614" t="str">
            <v>0002</v>
          </cell>
          <cell r="G2614" t="str">
            <v>203</v>
          </cell>
          <cell r="H2614" t="str">
            <v>付货款</v>
          </cell>
          <cell r="I2614" t="b">
            <v>1</v>
          </cell>
          <cell r="J2614">
            <v>77000</v>
          </cell>
          <cell r="K2614">
            <v>0</v>
          </cell>
          <cell r="L2614">
            <v>0</v>
          </cell>
        </row>
        <row r="2615">
          <cell r="A2615" t="str">
            <v>09</v>
          </cell>
          <cell r="B2615" t="str">
            <v>23</v>
          </cell>
          <cell r="C2615" t="str">
            <v>09</v>
          </cell>
          <cell r="D2615" t="str">
            <v>4</v>
          </cell>
          <cell r="E2615" t="str">
            <v>0028</v>
          </cell>
          <cell r="F2615" t="str">
            <v>0003</v>
          </cell>
          <cell r="G2615" t="str">
            <v>203</v>
          </cell>
          <cell r="H2615" t="str">
            <v>付货款</v>
          </cell>
          <cell r="I2615" t="b">
            <v>1</v>
          </cell>
          <cell r="J2615">
            <v>34500</v>
          </cell>
          <cell r="K2615">
            <v>0</v>
          </cell>
          <cell r="L2615">
            <v>0</v>
          </cell>
        </row>
        <row r="2616">
          <cell r="A2616" t="str">
            <v>09</v>
          </cell>
          <cell r="B2616" t="str">
            <v>18</v>
          </cell>
          <cell r="C2616" t="str">
            <v>09</v>
          </cell>
          <cell r="D2616" t="str">
            <v>5</v>
          </cell>
          <cell r="E2616" t="str">
            <v>0007</v>
          </cell>
          <cell r="F2616" t="str">
            <v>0003</v>
          </cell>
          <cell r="G2616" t="str">
            <v>203</v>
          </cell>
          <cell r="H2616" t="str">
            <v>转购活性炭</v>
          </cell>
          <cell r="I2616" t="b">
            <v>0</v>
          </cell>
          <cell r="J2616">
            <v>74000</v>
          </cell>
          <cell r="K2616">
            <v>0</v>
          </cell>
          <cell r="L2616">
            <v>0</v>
          </cell>
        </row>
        <row r="2617">
          <cell r="A2617" t="str">
            <v>09</v>
          </cell>
          <cell r="B2617" t="str">
            <v>18</v>
          </cell>
          <cell r="C2617" t="str">
            <v>09</v>
          </cell>
          <cell r="D2617" t="str">
            <v>5</v>
          </cell>
          <cell r="E2617" t="str">
            <v>0007</v>
          </cell>
          <cell r="F2617" t="str">
            <v>0004</v>
          </cell>
          <cell r="G2617" t="str">
            <v>203</v>
          </cell>
          <cell r="H2617" t="str">
            <v>转购明胶</v>
          </cell>
          <cell r="I2617" t="b">
            <v>0</v>
          </cell>
          <cell r="J2617">
            <v>66000</v>
          </cell>
          <cell r="K2617">
            <v>0</v>
          </cell>
          <cell r="L2617">
            <v>0</v>
          </cell>
        </row>
        <row r="2618">
          <cell r="A2618" t="str">
            <v>09</v>
          </cell>
          <cell r="B2618" t="str">
            <v>18</v>
          </cell>
          <cell r="C2618" t="str">
            <v>09</v>
          </cell>
          <cell r="D2618" t="str">
            <v>5</v>
          </cell>
          <cell r="E2618" t="str">
            <v>0008</v>
          </cell>
          <cell r="F2618" t="str">
            <v>0004</v>
          </cell>
          <cell r="G2618" t="str">
            <v>203</v>
          </cell>
          <cell r="H2618" t="str">
            <v>转购硅溶胶</v>
          </cell>
          <cell r="I2618" t="b">
            <v>0</v>
          </cell>
          <cell r="J2618">
            <v>73710</v>
          </cell>
          <cell r="K2618">
            <v>0</v>
          </cell>
          <cell r="L2618">
            <v>0</v>
          </cell>
        </row>
        <row r="2619">
          <cell r="A2619" t="str">
            <v>09</v>
          </cell>
          <cell r="B2619" t="str">
            <v>18</v>
          </cell>
          <cell r="C2619" t="str">
            <v>09</v>
          </cell>
          <cell r="D2619" t="str">
            <v>5</v>
          </cell>
          <cell r="E2619" t="str">
            <v>0008</v>
          </cell>
          <cell r="F2619" t="str">
            <v>0005</v>
          </cell>
          <cell r="G2619" t="str">
            <v>203</v>
          </cell>
          <cell r="H2619" t="str">
            <v>转购无菌袋</v>
          </cell>
          <cell r="I2619" t="b">
            <v>0</v>
          </cell>
          <cell r="J2619">
            <v>93860</v>
          </cell>
          <cell r="K2619">
            <v>0</v>
          </cell>
          <cell r="L2619">
            <v>0</v>
          </cell>
        </row>
        <row r="2620">
          <cell r="A2620" t="str">
            <v>09</v>
          </cell>
          <cell r="B2620" t="str">
            <v>18</v>
          </cell>
          <cell r="C2620" t="str">
            <v>09</v>
          </cell>
          <cell r="D2620" t="str">
            <v>5</v>
          </cell>
          <cell r="E2620" t="str">
            <v>0009</v>
          </cell>
          <cell r="F2620" t="str">
            <v>0005</v>
          </cell>
          <cell r="G2620" t="str">
            <v>203</v>
          </cell>
          <cell r="H2620" t="str">
            <v>转购糖化酶</v>
          </cell>
          <cell r="I2620" t="b">
            <v>0</v>
          </cell>
          <cell r="J2620">
            <v>9000</v>
          </cell>
          <cell r="K2620">
            <v>0</v>
          </cell>
          <cell r="L2620">
            <v>0</v>
          </cell>
        </row>
        <row r="2621">
          <cell r="A2621" t="str">
            <v>09</v>
          </cell>
          <cell r="B2621" t="str">
            <v>18</v>
          </cell>
          <cell r="C2621" t="str">
            <v>09</v>
          </cell>
          <cell r="D2621" t="str">
            <v>5</v>
          </cell>
          <cell r="E2621" t="str">
            <v>0009</v>
          </cell>
          <cell r="F2621" t="str">
            <v>0006</v>
          </cell>
          <cell r="G2621" t="str">
            <v>203</v>
          </cell>
          <cell r="H2621" t="str">
            <v>转购果汁桶</v>
          </cell>
          <cell r="I2621" t="b">
            <v>0</v>
          </cell>
          <cell r="J2621">
            <v>64560</v>
          </cell>
          <cell r="K2621">
            <v>0</v>
          </cell>
          <cell r="L2621">
            <v>0</v>
          </cell>
        </row>
        <row r="2622">
          <cell r="A2622" t="str">
            <v>09</v>
          </cell>
          <cell r="B2622" t="str">
            <v>18</v>
          </cell>
          <cell r="C2622" t="str">
            <v>09</v>
          </cell>
          <cell r="D2622" t="str">
            <v>5</v>
          </cell>
          <cell r="E2622" t="str">
            <v>0009</v>
          </cell>
          <cell r="F2622" t="str">
            <v>0007</v>
          </cell>
          <cell r="G2622" t="str">
            <v>203</v>
          </cell>
          <cell r="H2622" t="str">
            <v>转购303粘合剂</v>
          </cell>
          <cell r="I2622" t="b">
            <v>0</v>
          </cell>
          <cell r="J2622">
            <v>6400</v>
          </cell>
          <cell r="K2622">
            <v>0</v>
          </cell>
          <cell r="L2622">
            <v>0</v>
          </cell>
        </row>
        <row r="2623">
          <cell r="A2623" t="str">
            <v>09</v>
          </cell>
          <cell r="B2623" t="str">
            <v>18</v>
          </cell>
          <cell r="C2623" t="str">
            <v>09</v>
          </cell>
          <cell r="D2623" t="str">
            <v>5</v>
          </cell>
          <cell r="E2623" t="str">
            <v>0009</v>
          </cell>
          <cell r="F2623" t="str">
            <v>0008</v>
          </cell>
          <cell r="G2623" t="str">
            <v>203</v>
          </cell>
          <cell r="H2623" t="str">
            <v>转购硅藻土</v>
          </cell>
          <cell r="I2623" t="b">
            <v>0</v>
          </cell>
          <cell r="J2623">
            <v>31050</v>
          </cell>
          <cell r="K2623">
            <v>0</v>
          </cell>
          <cell r="L2623">
            <v>0</v>
          </cell>
        </row>
        <row r="2624">
          <cell r="A2624" t="str">
            <v>09</v>
          </cell>
          <cell r="B2624" t="str">
            <v>24</v>
          </cell>
          <cell r="C2624" t="str">
            <v>09</v>
          </cell>
          <cell r="D2624" t="str">
            <v>5</v>
          </cell>
          <cell r="E2624" t="str">
            <v>0010</v>
          </cell>
          <cell r="F2624" t="str">
            <v>0004</v>
          </cell>
          <cell r="G2624" t="str">
            <v>203</v>
          </cell>
          <cell r="H2624" t="str">
            <v>转购PVC管等</v>
          </cell>
          <cell r="I2624" t="b">
            <v>0</v>
          </cell>
          <cell r="J2624">
            <v>257725.13</v>
          </cell>
          <cell r="K2624">
            <v>0</v>
          </cell>
          <cell r="L2624">
            <v>0</v>
          </cell>
        </row>
        <row r="2625">
          <cell r="A2625" t="str">
            <v>09</v>
          </cell>
          <cell r="B2625" t="str">
            <v>24</v>
          </cell>
          <cell r="C2625" t="str">
            <v>09</v>
          </cell>
          <cell r="D2625" t="str">
            <v>5</v>
          </cell>
          <cell r="E2625" t="str">
            <v>0012</v>
          </cell>
          <cell r="F2625" t="str">
            <v>0002</v>
          </cell>
          <cell r="G2625" t="str">
            <v>203</v>
          </cell>
          <cell r="H2625" t="str">
            <v>转新果汁车间材料工程款</v>
          </cell>
          <cell r="I2625" t="b">
            <v>0</v>
          </cell>
          <cell r="J2625">
            <v>2200000</v>
          </cell>
          <cell r="K2625">
            <v>0</v>
          </cell>
          <cell r="L2625">
            <v>0</v>
          </cell>
        </row>
        <row r="2626">
          <cell r="A2626" t="str">
            <v>09</v>
          </cell>
          <cell r="B2626" t="str">
            <v>24</v>
          </cell>
          <cell r="C2626" t="str">
            <v>09</v>
          </cell>
          <cell r="D2626" t="str">
            <v>5</v>
          </cell>
          <cell r="E2626" t="str">
            <v>0013</v>
          </cell>
          <cell r="F2626" t="str">
            <v>0001</v>
          </cell>
          <cell r="G2626" t="str">
            <v>203</v>
          </cell>
          <cell r="H2626" t="str">
            <v>转购平原果汁384.93吨</v>
          </cell>
          <cell r="I2626" t="b">
            <v>1</v>
          </cell>
          <cell r="J2626">
            <v>1480500</v>
          </cell>
          <cell r="K2626">
            <v>0</v>
          </cell>
          <cell r="L2626">
            <v>0</v>
          </cell>
        </row>
        <row r="2627">
          <cell r="A2627" t="str">
            <v>09</v>
          </cell>
          <cell r="B2627" t="str">
            <v>25</v>
          </cell>
          <cell r="C2627" t="str">
            <v>09</v>
          </cell>
          <cell r="D2627" t="str">
            <v>5</v>
          </cell>
          <cell r="E2627" t="str">
            <v>0014</v>
          </cell>
          <cell r="F2627" t="str">
            <v>0001</v>
          </cell>
          <cell r="G2627" t="str">
            <v>203</v>
          </cell>
          <cell r="H2627" t="str">
            <v>转购五莲果汁260吨</v>
          </cell>
          <cell r="I2627" t="b">
            <v>1</v>
          </cell>
          <cell r="J2627">
            <v>1000000</v>
          </cell>
          <cell r="K2627">
            <v>0</v>
          </cell>
          <cell r="L2627">
            <v>0</v>
          </cell>
        </row>
        <row r="2628">
          <cell r="A2628" t="str">
            <v>09</v>
          </cell>
          <cell r="B2628" t="str">
            <v>28</v>
          </cell>
          <cell r="C2628" t="str">
            <v>09</v>
          </cell>
          <cell r="D2628" t="str">
            <v>5</v>
          </cell>
          <cell r="E2628" t="str">
            <v>0020</v>
          </cell>
          <cell r="F2628" t="str">
            <v>0002</v>
          </cell>
          <cell r="G2628" t="str">
            <v>203</v>
          </cell>
          <cell r="H2628" t="str">
            <v>转购芮城果汁117.15吨</v>
          </cell>
          <cell r="I2628" t="b">
            <v>0</v>
          </cell>
          <cell r="J2628">
            <v>620895</v>
          </cell>
          <cell r="K2628">
            <v>0</v>
          </cell>
          <cell r="L2628">
            <v>0</v>
          </cell>
        </row>
        <row r="2629">
          <cell r="A2629" t="str">
            <v>09</v>
          </cell>
          <cell r="B2629" t="str">
            <v>28</v>
          </cell>
          <cell r="C2629" t="str">
            <v>09</v>
          </cell>
          <cell r="D2629" t="str">
            <v>5</v>
          </cell>
          <cell r="E2629" t="str">
            <v>0020</v>
          </cell>
          <cell r="F2629" t="str">
            <v>0004</v>
          </cell>
          <cell r="G2629" t="str">
            <v>203</v>
          </cell>
          <cell r="H2629" t="str">
            <v>转购芮城果汁101.75吨</v>
          </cell>
          <cell r="I2629" t="b">
            <v>0</v>
          </cell>
          <cell r="J2629">
            <v>399391.78</v>
          </cell>
          <cell r="K2629">
            <v>0</v>
          </cell>
          <cell r="L2629">
            <v>0</v>
          </cell>
        </row>
        <row r="2630">
          <cell r="A2630" t="str">
            <v>09</v>
          </cell>
          <cell r="B2630" t="str">
            <v>28</v>
          </cell>
          <cell r="C2630" t="str">
            <v>09</v>
          </cell>
          <cell r="D2630" t="str">
            <v>5</v>
          </cell>
          <cell r="E2630" t="str">
            <v>0029</v>
          </cell>
          <cell r="F2630" t="str">
            <v>0003</v>
          </cell>
          <cell r="G2630" t="str">
            <v>203</v>
          </cell>
          <cell r="H2630" t="str">
            <v>转入库外购苹果汁1552.488吨</v>
          </cell>
          <cell r="I2630" t="b">
            <v>0</v>
          </cell>
          <cell r="J2630">
            <v>5646887.3200000003</v>
          </cell>
          <cell r="K2630">
            <v>0</v>
          </cell>
          <cell r="L2630">
            <v>0</v>
          </cell>
        </row>
        <row r="2631">
          <cell r="A2631" t="str">
            <v>09</v>
          </cell>
          <cell r="B2631" t="str">
            <v>28</v>
          </cell>
          <cell r="C2631" t="str">
            <v>09</v>
          </cell>
          <cell r="D2631" t="str">
            <v>5</v>
          </cell>
          <cell r="E2631" t="str">
            <v>0029</v>
          </cell>
          <cell r="F2631" t="str">
            <v>0004</v>
          </cell>
          <cell r="G2631" t="str">
            <v>203</v>
          </cell>
          <cell r="H2631" t="str">
            <v>转入库外购梨汁58.289吨</v>
          </cell>
          <cell r="I2631" t="b">
            <v>0</v>
          </cell>
          <cell r="J2631">
            <v>274008.12</v>
          </cell>
          <cell r="K2631">
            <v>0</v>
          </cell>
          <cell r="L2631">
            <v>0</v>
          </cell>
        </row>
        <row r="2632">
          <cell r="A2632" t="str">
            <v>10</v>
          </cell>
          <cell r="B2632" t="str">
            <v>17</v>
          </cell>
          <cell r="C2632" t="str">
            <v>10</v>
          </cell>
          <cell r="D2632" t="str">
            <v>4</v>
          </cell>
          <cell r="E2632" t="str">
            <v>0014</v>
          </cell>
          <cell r="F2632" t="str">
            <v>0001</v>
          </cell>
          <cell r="G2632" t="str">
            <v>203</v>
          </cell>
          <cell r="H2632" t="str">
            <v>付工程款</v>
          </cell>
          <cell r="I2632" t="b">
            <v>1</v>
          </cell>
          <cell r="J2632">
            <v>800000</v>
          </cell>
          <cell r="K2632">
            <v>0</v>
          </cell>
          <cell r="L2632">
            <v>0</v>
          </cell>
        </row>
        <row r="2633">
          <cell r="A2633" t="str">
            <v>10</v>
          </cell>
          <cell r="B2633" t="str">
            <v>17</v>
          </cell>
          <cell r="C2633" t="str">
            <v>10</v>
          </cell>
          <cell r="D2633" t="str">
            <v>4</v>
          </cell>
          <cell r="E2633" t="str">
            <v>0014</v>
          </cell>
          <cell r="F2633" t="str">
            <v>0002</v>
          </cell>
          <cell r="G2633" t="str">
            <v>203</v>
          </cell>
          <cell r="H2633" t="str">
            <v>付工程款</v>
          </cell>
          <cell r="I2633" t="b">
            <v>1</v>
          </cell>
          <cell r="J2633">
            <v>200000</v>
          </cell>
          <cell r="K2633">
            <v>0</v>
          </cell>
          <cell r="L2633">
            <v>0</v>
          </cell>
        </row>
        <row r="2634">
          <cell r="A2634" t="str">
            <v>10</v>
          </cell>
          <cell r="B2634" t="str">
            <v>17</v>
          </cell>
          <cell r="C2634" t="str">
            <v>10</v>
          </cell>
          <cell r="D2634" t="str">
            <v>4</v>
          </cell>
          <cell r="E2634" t="str">
            <v>0014</v>
          </cell>
          <cell r="F2634" t="str">
            <v>0003</v>
          </cell>
          <cell r="G2634" t="str">
            <v>203</v>
          </cell>
          <cell r="H2634" t="str">
            <v>付工程款</v>
          </cell>
          <cell r="I2634" t="b">
            <v>1</v>
          </cell>
          <cell r="J2634">
            <v>200000</v>
          </cell>
          <cell r="K2634">
            <v>0</v>
          </cell>
          <cell r="L2634">
            <v>0</v>
          </cell>
        </row>
        <row r="2635">
          <cell r="A2635" t="str">
            <v>10</v>
          </cell>
          <cell r="B2635" t="str">
            <v>20</v>
          </cell>
          <cell r="C2635" t="str">
            <v>10</v>
          </cell>
          <cell r="D2635" t="str">
            <v>4</v>
          </cell>
          <cell r="E2635" t="str">
            <v>0019</v>
          </cell>
          <cell r="F2635" t="str">
            <v>0001</v>
          </cell>
          <cell r="G2635" t="str">
            <v>203</v>
          </cell>
          <cell r="H2635" t="str">
            <v>付货款</v>
          </cell>
          <cell r="I2635" t="b">
            <v>1</v>
          </cell>
          <cell r="J2635">
            <v>37950</v>
          </cell>
          <cell r="K2635">
            <v>0</v>
          </cell>
          <cell r="L2635">
            <v>0</v>
          </cell>
        </row>
        <row r="2636">
          <cell r="A2636" t="str">
            <v>10</v>
          </cell>
          <cell r="B2636" t="str">
            <v>20</v>
          </cell>
          <cell r="C2636" t="str">
            <v>10</v>
          </cell>
          <cell r="D2636" t="str">
            <v>4</v>
          </cell>
          <cell r="E2636" t="str">
            <v>0019</v>
          </cell>
          <cell r="F2636" t="str">
            <v>0002</v>
          </cell>
          <cell r="G2636" t="str">
            <v>203</v>
          </cell>
          <cell r="H2636" t="str">
            <v>付货款</v>
          </cell>
          <cell r="I2636" t="b">
            <v>1</v>
          </cell>
          <cell r="J2636">
            <v>400</v>
          </cell>
          <cell r="K2636">
            <v>0</v>
          </cell>
          <cell r="L2636">
            <v>0</v>
          </cell>
        </row>
        <row r="2637">
          <cell r="A2637" t="str">
            <v>10</v>
          </cell>
          <cell r="B2637" t="str">
            <v>20</v>
          </cell>
          <cell r="C2637" t="str">
            <v>10</v>
          </cell>
          <cell r="D2637" t="str">
            <v>4</v>
          </cell>
          <cell r="E2637" t="str">
            <v>0019</v>
          </cell>
          <cell r="F2637" t="str">
            <v>0003</v>
          </cell>
          <cell r="G2637" t="str">
            <v>203</v>
          </cell>
          <cell r="H2637" t="str">
            <v>付货款</v>
          </cell>
          <cell r="I2637" t="b">
            <v>1</v>
          </cell>
          <cell r="J2637">
            <v>33860</v>
          </cell>
          <cell r="K2637">
            <v>0</v>
          </cell>
          <cell r="L2637">
            <v>0</v>
          </cell>
        </row>
        <row r="2638">
          <cell r="A2638" t="str">
            <v>10</v>
          </cell>
          <cell r="B2638" t="str">
            <v>20</v>
          </cell>
          <cell r="C2638" t="str">
            <v>10</v>
          </cell>
          <cell r="D2638" t="str">
            <v>4</v>
          </cell>
          <cell r="E2638" t="str">
            <v>0019</v>
          </cell>
          <cell r="F2638" t="str">
            <v>0004</v>
          </cell>
          <cell r="G2638" t="str">
            <v>203</v>
          </cell>
          <cell r="H2638" t="str">
            <v>付货款</v>
          </cell>
          <cell r="I2638" t="b">
            <v>1</v>
          </cell>
          <cell r="J2638">
            <v>9000</v>
          </cell>
          <cell r="K2638">
            <v>0</v>
          </cell>
          <cell r="L2638">
            <v>0</v>
          </cell>
        </row>
        <row r="2639">
          <cell r="A2639" t="str">
            <v>10</v>
          </cell>
          <cell r="B2639" t="str">
            <v>20</v>
          </cell>
          <cell r="C2639" t="str">
            <v>10</v>
          </cell>
          <cell r="D2639" t="str">
            <v>4</v>
          </cell>
          <cell r="E2639" t="str">
            <v>0019</v>
          </cell>
          <cell r="F2639" t="str">
            <v>0005</v>
          </cell>
          <cell r="G2639" t="str">
            <v>203</v>
          </cell>
          <cell r="H2639" t="str">
            <v>付货款</v>
          </cell>
          <cell r="I2639" t="b">
            <v>1</v>
          </cell>
          <cell r="J2639">
            <v>35000</v>
          </cell>
          <cell r="K2639">
            <v>0</v>
          </cell>
          <cell r="L2639">
            <v>0</v>
          </cell>
        </row>
        <row r="2640">
          <cell r="A2640" t="str">
            <v>10</v>
          </cell>
          <cell r="B2640" t="str">
            <v>20</v>
          </cell>
          <cell r="C2640" t="str">
            <v>10</v>
          </cell>
          <cell r="D2640" t="str">
            <v>4</v>
          </cell>
          <cell r="E2640" t="str">
            <v>0019</v>
          </cell>
          <cell r="F2640" t="str">
            <v>0006</v>
          </cell>
          <cell r="G2640" t="str">
            <v>203</v>
          </cell>
          <cell r="H2640" t="str">
            <v>付货款</v>
          </cell>
          <cell r="I2640" t="b">
            <v>1</v>
          </cell>
          <cell r="J2640">
            <v>77000</v>
          </cell>
          <cell r="K2640">
            <v>0</v>
          </cell>
          <cell r="L2640">
            <v>0</v>
          </cell>
        </row>
        <row r="2641">
          <cell r="A2641" t="str">
            <v>10</v>
          </cell>
          <cell r="B2641" t="str">
            <v>20</v>
          </cell>
          <cell r="C2641" t="str">
            <v>10</v>
          </cell>
          <cell r="D2641" t="str">
            <v>4</v>
          </cell>
          <cell r="E2641" t="str">
            <v>0019</v>
          </cell>
          <cell r="F2641" t="str">
            <v>0007</v>
          </cell>
          <cell r="G2641" t="str">
            <v>203</v>
          </cell>
          <cell r="H2641" t="str">
            <v>付货款</v>
          </cell>
          <cell r="I2641" t="b">
            <v>1</v>
          </cell>
          <cell r="J2641">
            <v>22500</v>
          </cell>
          <cell r="K2641">
            <v>0</v>
          </cell>
          <cell r="L2641">
            <v>0</v>
          </cell>
        </row>
        <row r="2642">
          <cell r="A2642" t="str">
            <v>10</v>
          </cell>
          <cell r="B2642" t="str">
            <v>20</v>
          </cell>
          <cell r="C2642" t="str">
            <v>10</v>
          </cell>
          <cell r="D2642" t="str">
            <v>4</v>
          </cell>
          <cell r="E2642" t="str">
            <v>0019</v>
          </cell>
          <cell r="F2642" t="str">
            <v>0008</v>
          </cell>
          <cell r="G2642" t="str">
            <v>203</v>
          </cell>
          <cell r="H2642" t="str">
            <v>付货款</v>
          </cell>
          <cell r="I2642" t="b">
            <v>1</v>
          </cell>
          <cell r="J2642">
            <v>11000</v>
          </cell>
          <cell r="K2642">
            <v>0</v>
          </cell>
          <cell r="L2642">
            <v>0</v>
          </cell>
        </row>
        <row r="2643">
          <cell r="A2643" t="str">
            <v>10</v>
          </cell>
          <cell r="B2643" t="str">
            <v>24</v>
          </cell>
          <cell r="C2643" t="str">
            <v>10</v>
          </cell>
          <cell r="D2643" t="str">
            <v>5</v>
          </cell>
          <cell r="E2643" t="str">
            <v>0004</v>
          </cell>
          <cell r="F2643" t="str">
            <v>0001</v>
          </cell>
          <cell r="G2643" t="str">
            <v>203</v>
          </cell>
          <cell r="H2643" t="str">
            <v>转购五莲分公司果汁450吨</v>
          </cell>
          <cell r="I2643" t="b">
            <v>1</v>
          </cell>
          <cell r="J2643">
            <v>1730769.3</v>
          </cell>
          <cell r="K2643">
            <v>0</v>
          </cell>
          <cell r="L2643">
            <v>0</v>
          </cell>
        </row>
        <row r="2644">
          <cell r="A2644" t="str">
            <v>10</v>
          </cell>
          <cell r="B2644" t="str">
            <v>24</v>
          </cell>
          <cell r="C2644" t="str">
            <v>10</v>
          </cell>
          <cell r="D2644" t="str">
            <v>5</v>
          </cell>
          <cell r="E2644" t="str">
            <v>0005</v>
          </cell>
          <cell r="F2644" t="str">
            <v>0001</v>
          </cell>
          <cell r="G2644" t="str">
            <v>203</v>
          </cell>
          <cell r="H2644" t="str">
            <v>转购平原果汁622.44吨</v>
          </cell>
          <cell r="I2644" t="b">
            <v>1</v>
          </cell>
          <cell r="J2644">
            <v>2128000</v>
          </cell>
          <cell r="K2644">
            <v>0</v>
          </cell>
          <cell r="L2644">
            <v>0</v>
          </cell>
        </row>
        <row r="2645">
          <cell r="A2645" t="str">
            <v>10</v>
          </cell>
          <cell r="B2645" t="str">
            <v>24</v>
          </cell>
          <cell r="C2645" t="str">
            <v>10</v>
          </cell>
          <cell r="D2645" t="str">
            <v>5</v>
          </cell>
          <cell r="E2645" t="str">
            <v>0006</v>
          </cell>
          <cell r="F2645" t="str">
            <v>0001</v>
          </cell>
          <cell r="G2645" t="str">
            <v>203</v>
          </cell>
          <cell r="H2645" t="str">
            <v>转购滕州果汁162.5吨</v>
          </cell>
          <cell r="I2645" t="b">
            <v>1</v>
          </cell>
          <cell r="J2645">
            <v>625000.01</v>
          </cell>
          <cell r="K2645">
            <v>0</v>
          </cell>
          <cell r="L2645">
            <v>0</v>
          </cell>
        </row>
        <row r="2646">
          <cell r="A2646" t="str">
            <v>10</v>
          </cell>
          <cell r="B2646" t="str">
            <v>24</v>
          </cell>
          <cell r="C2646" t="str">
            <v>10</v>
          </cell>
          <cell r="D2646" t="str">
            <v>5</v>
          </cell>
          <cell r="E2646" t="str">
            <v>0006</v>
          </cell>
          <cell r="F2646" t="str">
            <v>0002</v>
          </cell>
          <cell r="G2646" t="str">
            <v>203</v>
          </cell>
          <cell r="H2646" t="str">
            <v>转购宝鸡果汁24.57吨</v>
          </cell>
          <cell r="I2646" t="b">
            <v>1</v>
          </cell>
          <cell r="J2646">
            <v>79800</v>
          </cell>
          <cell r="K2646">
            <v>0</v>
          </cell>
          <cell r="L2646">
            <v>0</v>
          </cell>
        </row>
        <row r="2647">
          <cell r="A2647" t="str">
            <v>10</v>
          </cell>
          <cell r="B2647" t="str">
            <v>24</v>
          </cell>
          <cell r="C2647" t="str">
            <v>10</v>
          </cell>
          <cell r="D2647" t="str">
            <v>5</v>
          </cell>
          <cell r="E2647" t="str">
            <v>0007</v>
          </cell>
          <cell r="F2647" t="str">
            <v>0001</v>
          </cell>
          <cell r="G2647" t="str">
            <v>203</v>
          </cell>
          <cell r="H2647" t="str">
            <v>转购澄城果汁137.144吨</v>
          </cell>
          <cell r="I2647" t="b">
            <v>1</v>
          </cell>
          <cell r="J2647">
            <v>449712.14</v>
          </cell>
          <cell r="K2647">
            <v>0</v>
          </cell>
          <cell r="L2647">
            <v>0</v>
          </cell>
        </row>
        <row r="2648">
          <cell r="A2648" t="str">
            <v>10</v>
          </cell>
          <cell r="B2648" t="str">
            <v>24</v>
          </cell>
          <cell r="C2648" t="str">
            <v>10</v>
          </cell>
          <cell r="D2648" t="str">
            <v>5</v>
          </cell>
          <cell r="E2648" t="str">
            <v>0007</v>
          </cell>
          <cell r="F2648" t="str">
            <v>0003</v>
          </cell>
          <cell r="G2648" t="str">
            <v>203</v>
          </cell>
          <cell r="H2648" t="str">
            <v>转购澄城果汁137.144吨</v>
          </cell>
          <cell r="I2648" t="b">
            <v>0</v>
          </cell>
          <cell r="J2648">
            <v>526163.19999999995</v>
          </cell>
          <cell r="K2648">
            <v>0</v>
          </cell>
          <cell r="L2648">
            <v>0</v>
          </cell>
        </row>
        <row r="2649">
          <cell r="A2649" t="str">
            <v>10</v>
          </cell>
          <cell r="B2649" t="str">
            <v>26</v>
          </cell>
          <cell r="C2649" t="str">
            <v>10</v>
          </cell>
          <cell r="D2649" t="str">
            <v>5</v>
          </cell>
          <cell r="E2649" t="str">
            <v>0017</v>
          </cell>
          <cell r="F2649" t="str">
            <v>0003</v>
          </cell>
          <cell r="G2649" t="str">
            <v>203</v>
          </cell>
          <cell r="H2649" t="str">
            <v>转水池工程及道路另星工程款</v>
          </cell>
          <cell r="I2649" t="b">
            <v>0</v>
          </cell>
          <cell r="J2649">
            <v>5312538.3499999996</v>
          </cell>
          <cell r="K2649">
            <v>0</v>
          </cell>
          <cell r="L2649">
            <v>0</v>
          </cell>
        </row>
        <row r="2650">
          <cell r="A2650" t="str">
            <v>10</v>
          </cell>
          <cell r="B2650" t="str">
            <v>26</v>
          </cell>
          <cell r="C2650" t="str">
            <v>10</v>
          </cell>
          <cell r="D2650" t="str">
            <v>5</v>
          </cell>
          <cell r="E2650" t="str">
            <v>0018</v>
          </cell>
          <cell r="F2650" t="str">
            <v>0003</v>
          </cell>
          <cell r="G2650" t="str">
            <v>203</v>
          </cell>
          <cell r="H2650" t="str">
            <v>转砼路面.砼院.围墙及其他工程款</v>
          </cell>
          <cell r="I2650" t="b">
            <v>0</v>
          </cell>
          <cell r="J2650">
            <v>943378.64</v>
          </cell>
          <cell r="K2650">
            <v>0</v>
          </cell>
          <cell r="L2650">
            <v>0</v>
          </cell>
        </row>
        <row r="2651">
          <cell r="A2651" t="str">
            <v>10</v>
          </cell>
          <cell r="B2651" t="str">
            <v>26</v>
          </cell>
          <cell r="C2651" t="str">
            <v>10</v>
          </cell>
          <cell r="D2651" t="str">
            <v>5</v>
          </cell>
          <cell r="E2651" t="str">
            <v>0019</v>
          </cell>
          <cell r="F2651" t="str">
            <v>0002</v>
          </cell>
          <cell r="G2651" t="str">
            <v>203</v>
          </cell>
          <cell r="H2651" t="str">
            <v>转果汁车间基础地面等另星工程款</v>
          </cell>
          <cell r="I2651" t="b">
            <v>0</v>
          </cell>
          <cell r="J2651">
            <v>691195.36</v>
          </cell>
          <cell r="K2651">
            <v>0</v>
          </cell>
          <cell r="L2651">
            <v>0</v>
          </cell>
        </row>
        <row r="2652">
          <cell r="A2652" t="str">
            <v>10</v>
          </cell>
          <cell r="B2652" t="str">
            <v>26</v>
          </cell>
          <cell r="C2652" t="str">
            <v>10</v>
          </cell>
          <cell r="D2652" t="str">
            <v>5</v>
          </cell>
          <cell r="E2652" t="str">
            <v>0021</v>
          </cell>
          <cell r="F2652" t="str">
            <v>0002</v>
          </cell>
          <cell r="G2652" t="str">
            <v>203</v>
          </cell>
          <cell r="H2652" t="str">
            <v>转入库外购苹果汁1963.5吨</v>
          </cell>
          <cell r="I2652" t="b">
            <v>0</v>
          </cell>
          <cell r="J2652">
            <v>6751735.2400000002</v>
          </cell>
          <cell r="K2652">
            <v>0</v>
          </cell>
          <cell r="L2652">
            <v>0</v>
          </cell>
        </row>
        <row r="2653">
          <cell r="A2653" t="str">
            <v>11</v>
          </cell>
          <cell r="B2653" t="str">
            <v>21</v>
          </cell>
          <cell r="C2653" t="str">
            <v>11</v>
          </cell>
          <cell r="D2653" t="str">
            <v>3</v>
          </cell>
          <cell r="E2653" t="str">
            <v>0005</v>
          </cell>
          <cell r="F2653" t="str">
            <v>0002</v>
          </cell>
          <cell r="G2653" t="str">
            <v>203</v>
          </cell>
          <cell r="H2653" t="str">
            <v>退汇一支</v>
          </cell>
          <cell r="I2653" t="b">
            <v>0</v>
          </cell>
          <cell r="J2653">
            <v>250</v>
          </cell>
          <cell r="K2653">
            <v>0</v>
          </cell>
          <cell r="L2653">
            <v>0</v>
          </cell>
        </row>
        <row r="2654">
          <cell r="A2654" t="str">
            <v>11</v>
          </cell>
          <cell r="B2654" t="str">
            <v>15</v>
          </cell>
          <cell r="C2654" t="str">
            <v>11</v>
          </cell>
          <cell r="D2654" t="str">
            <v>4</v>
          </cell>
          <cell r="E2654" t="str">
            <v>0021</v>
          </cell>
          <cell r="F2654" t="str">
            <v>0001</v>
          </cell>
          <cell r="G2654" t="str">
            <v>203</v>
          </cell>
          <cell r="H2654" t="str">
            <v>付货款</v>
          </cell>
          <cell r="I2654" t="b">
            <v>1</v>
          </cell>
          <cell r="J2654">
            <v>33000</v>
          </cell>
          <cell r="K2654">
            <v>0</v>
          </cell>
          <cell r="L2654">
            <v>0</v>
          </cell>
        </row>
        <row r="2655">
          <cell r="A2655" t="str">
            <v>11</v>
          </cell>
          <cell r="B2655" t="str">
            <v>15</v>
          </cell>
          <cell r="C2655" t="str">
            <v>11</v>
          </cell>
          <cell r="D2655" t="str">
            <v>4</v>
          </cell>
          <cell r="E2655" t="str">
            <v>0021</v>
          </cell>
          <cell r="F2655" t="str">
            <v>0002</v>
          </cell>
          <cell r="G2655" t="str">
            <v>203</v>
          </cell>
          <cell r="H2655" t="str">
            <v>付货款</v>
          </cell>
          <cell r="I2655" t="b">
            <v>1</v>
          </cell>
          <cell r="J2655">
            <v>27600</v>
          </cell>
          <cell r="K2655">
            <v>0</v>
          </cell>
          <cell r="L2655">
            <v>0</v>
          </cell>
        </row>
        <row r="2656">
          <cell r="A2656" t="str">
            <v>11</v>
          </cell>
          <cell r="B2656" t="str">
            <v>15</v>
          </cell>
          <cell r="C2656" t="str">
            <v>11</v>
          </cell>
          <cell r="D2656" t="str">
            <v>4</v>
          </cell>
          <cell r="E2656" t="str">
            <v>0021</v>
          </cell>
          <cell r="F2656" t="str">
            <v>0003</v>
          </cell>
          <cell r="G2656" t="str">
            <v>203</v>
          </cell>
          <cell r="H2656" t="str">
            <v>付货款</v>
          </cell>
          <cell r="I2656" t="b">
            <v>1</v>
          </cell>
          <cell r="J2656">
            <v>50000</v>
          </cell>
          <cell r="K2656">
            <v>0</v>
          </cell>
          <cell r="L2656">
            <v>0</v>
          </cell>
        </row>
        <row r="2657">
          <cell r="A2657" t="str">
            <v>11</v>
          </cell>
          <cell r="B2657" t="str">
            <v>15</v>
          </cell>
          <cell r="C2657" t="str">
            <v>11</v>
          </cell>
          <cell r="D2657" t="str">
            <v>4</v>
          </cell>
          <cell r="E2657" t="str">
            <v>0021</v>
          </cell>
          <cell r="F2657" t="str">
            <v>0004</v>
          </cell>
          <cell r="G2657" t="str">
            <v>203</v>
          </cell>
          <cell r="H2657" t="str">
            <v>付货款</v>
          </cell>
          <cell r="I2657" t="b">
            <v>1</v>
          </cell>
          <cell r="J2657">
            <v>50000</v>
          </cell>
          <cell r="K2657">
            <v>0</v>
          </cell>
          <cell r="L2657">
            <v>0</v>
          </cell>
        </row>
        <row r="2658">
          <cell r="A2658" t="str">
            <v>11</v>
          </cell>
          <cell r="B2658" t="str">
            <v>17</v>
          </cell>
          <cell r="C2658" t="str">
            <v>11</v>
          </cell>
          <cell r="D2658" t="str">
            <v>4</v>
          </cell>
          <cell r="E2658" t="str">
            <v>0029</v>
          </cell>
          <cell r="F2658" t="str">
            <v>0001</v>
          </cell>
          <cell r="G2658" t="str">
            <v>203</v>
          </cell>
          <cell r="H2658" t="str">
            <v>付货款</v>
          </cell>
          <cell r="I2658" t="b">
            <v>1</v>
          </cell>
          <cell r="J2658">
            <v>35000</v>
          </cell>
          <cell r="K2658">
            <v>0</v>
          </cell>
          <cell r="L2658">
            <v>0</v>
          </cell>
        </row>
        <row r="2659">
          <cell r="A2659" t="str">
            <v>11</v>
          </cell>
          <cell r="B2659" t="str">
            <v>17</v>
          </cell>
          <cell r="C2659" t="str">
            <v>11</v>
          </cell>
          <cell r="D2659" t="str">
            <v>4</v>
          </cell>
          <cell r="E2659" t="str">
            <v>0029</v>
          </cell>
          <cell r="F2659" t="str">
            <v>0002</v>
          </cell>
          <cell r="G2659" t="str">
            <v>203</v>
          </cell>
          <cell r="H2659" t="str">
            <v>付货款</v>
          </cell>
          <cell r="I2659" t="b">
            <v>1</v>
          </cell>
          <cell r="J2659">
            <v>33000</v>
          </cell>
          <cell r="K2659">
            <v>0</v>
          </cell>
          <cell r="L2659">
            <v>0</v>
          </cell>
        </row>
        <row r="2660">
          <cell r="A2660" t="str">
            <v>11</v>
          </cell>
          <cell r="B2660" t="str">
            <v>23</v>
          </cell>
          <cell r="C2660" t="str">
            <v>11</v>
          </cell>
          <cell r="D2660" t="str">
            <v>4</v>
          </cell>
          <cell r="E2660" t="str">
            <v>0038</v>
          </cell>
          <cell r="F2660" t="str">
            <v>0001</v>
          </cell>
          <cell r="G2660" t="str">
            <v>203</v>
          </cell>
          <cell r="H2660" t="str">
            <v>购铁板</v>
          </cell>
          <cell r="I2660" t="b">
            <v>1</v>
          </cell>
          <cell r="J2660">
            <v>57394.8</v>
          </cell>
          <cell r="K2660">
            <v>0</v>
          </cell>
          <cell r="L2660">
            <v>0</v>
          </cell>
        </row>
        <row r="2661">
          <cell r="A2661" t="str">
            <v>11</v>
          </cell>
          <cell r="B2661" t="str">
            <v>16</v>
          </cell>
          <cell r="C2661" t="str">
            <v>11</v>
          </cell>
          <cell r="D2661" t="str">
            <v>5</v>
          </cell>
          <cell r="E2661" t="str">
            <v>0001</v>
          </cell>
          <cell r="F2661" t="str">
            <v>0004</v>
          </cell>
          <cell r="G2661" t="str">
            <v>203</v>
          </cell>
          <cell r="H2661" t="str">
            <v>转购硅藻土</v>
          </cell>
          <cell r="I2661" t="b">
            <v>0</v>
          </cell>
          <cell r="J2661">
            <v>72450</v>
          </cell>
          <cell r="K2661">
            <v>0</v>
          </cell>
          <cell r="L2661">
            <v>0</v>
          </cell>
        </row>
        <row r="2662">
          <cell r="A2662" t="str">
            <v>11</v>
          </cell>
          <cell r="B2662" t="str">
            <v>16</v>
          </cell>
          <cell r="C2662" t="str">
            <v>11</v>
          </cell>
          <cell r="D2662" t="str">
            <v>5</v>
          </cell>
          <cell r="E2662" t="str">
            <v>0001</v>
          </cell>
          <cell r="F2662" t="str">
            <v>0005</v>
          </cell>
          <cell r="G2662" t="str">
            <v>203</v>
          </cell>
          <cell r="H2662" t="str">
            <v>转购编织袋</v>
          </cell>
          <cell r="I2662" t="b">
            <v>0</v>
          </cell>
          <cell r="J2662">
            <v>35000</v>
          </cell>
          <cell r="K2662">
            <v>0</v>
          </cell>
          <cell r="L2662">
            <v>0</v>
          </cell>
        </row>
        <row r="2663">
          <cell r="A2663" t="str">
            <v>11</v>
          </cell>
          <cell r="B2663" t="str">
            <v>16</v>
          </cell>
          <cell r="C2663" t="str">
            <v>11</v>
          </cell>
          <cell r="D2663" t="str">
            <v>5</v>
          </cell>
          <cell r="E2663" t="str">
            <v>0002</v>
          </cell>
          <cell r="F2663" t="str">
            <v>0004</v>
          </cell>
          <cell r="G2663" t="str">
            <v>203</v>
          </cell>
          <cell r="H2663" t="str">
            <v>转购机械密封</v>
          </cell>
          <cell r="I2663" t="b">
            <v>0</v>
          </cell>
          <cell r="J2663">
            <v>400</v>
          </cell>
          <cell r="K2663">
            <v>0</v>
          </cell>
          <cell r="L2663">
            <v>0</v>
          </cell>
        </row>
        <row r="2664">
          <cell r="A2664" t="str">
            <v>11</v>
          </cell>
          <cell r="B2664" t="str">
            <v>16</v>
          </cell>
          <cell r="C2664" t="str">
            <v>11</v>
          </cell>
          <cell r="D2664" t="str">
            <v>5</v>
          </cell>
          <cell r="E2664" t="str">
            <v>0002</v>
          </cell>
          <cell r="F2664" t="str">
            <v>0005</v>
          </cell>
          <cell r="G2664" t="str">
            <v>203</v>
          </cell>
          <cell r="H2664" t="str">
            <v>转购火碱</v>
          </cell>
          <cell r="I2664" t="b">
            <v>0</v>
          </cell>
          <cell r="J2664">
            <v>11000</v>
          </cell>
          <cell r="K2664">
            <v>0</v>
          </cell>
          <cell r="L2664">
            <v>0</v>
          </cell>
        </row>
        <row r="2665">
          <cell r="A2665" t="str">
            <v>11</v>
          </cell>
          <cell r="B2665" t="str">
            <v>16</v>
          </cell>
          <cell r="C2665" t="str">
            <v>11</v>
          </cell>
          <cell r="D2665" t="str">
            <v>5</v>
          </cell>
          <cell r="E2665" t="str">
            <v>0003</v>
          </cell>
          <cell r="F2665" t="str">
            <v>0004</v>
          </cell>
          <cell r="G2665" t="str">
            <v>203</v>
          </cell>
          <cell r="H2665" t="str">
            <v>转购维生素C</v>
          </cell>
          <cell r="I2665" t="b">
            <v>0</v>
          </cell>
          <cell r="J2665">
            <v>22500</v>
          </cell>
          <cell r="K2665">
            <v>0</v>
          </cell>
          <cell r="L2665">
            <v>0</v>
          </cell>
        </row>
        <row r="2666">
          <cell r="A2666" t="str">
            <v>11</v>
          </cell>
          <cell r="B2666" t="str">
            <v>16</v>
          </cell>
          <cell r="C2666" t="str">
            <v>11</v>
          </cell>
          <cell r="D2666" t="str">
            <v>5</v>
          </cell>
          <cell r="E2666" t="str">
            <v>0003</v>
          </cell>
          <cell r="F2666" t="str">
            <v>0005</v>
          </cell>
          <cell r="G2666" t="str">
            <v>203</v>
          </cell>
          <cell r="H2666" t="str">
            <v>转购明胶</v>
          </cell>
          <cell r="I2666" t="b">
            <v>0</v>
          </cell>
          <cell r="J2666">
            <v>231000</v>
          </cell>
          <cell r="K2666">
            <v>0</v>
          </cell>
          <cell r="L2666">
            <v>0</v>
          </cell>
        </row>
        <row r="2667">
          <cell r="A2667" t="str">
            <v>11</v>
          </cell>
          <cell r="B2667" t="str">
            <v>16</v>
          </cell>
          <cell r="C2667" t="str">
            <v>11</v>
          </cell>
          <cell r="D2667" t="str">
            <v>5</v>
          </cell>
          <cell r="E2667" t="str">
            <v>0004</v>
          </cell>
          <cell r="F2667" t="str">
            <v>0001</v>
          </cell>
          <cell r="G2667" t="str">
            <v>203</v>
          </cell>
          <cell r="H2667" t="str">
            <v>转订正2000年2月4-18#凭证</v>
          </cell>
          <cell r="I2667" t="b">
            <v>1</v>
          </cell>
          <cell r="J2667">
            <v>100000</v>
          </cell>
          <cell r="K2667">
            <v>0</v>
          </cell>
          <cell r="L2667">
            <v>0</v>
          </cell>
        </row>
        <row r="2668">
          <cell r="A2668" t="str">
            <v>11</v>
          </cell>
          <cell r="B2668" t="str">
            <v>16</v>
          </cell>
          <cell r="C2668" t="str">
            <v>11</v>
          </cell>
          <cell r="D2668" t="str">
            <v>5</v>
          </cell>
          <cell r="E2668" t="str">
            <v>0006</v>
          </cell>
          <cell r="F2668" t="str">
            <v>0001</v>
          </cell>
          <cell r="G2668" t="str">
            <v>203</v>
          </cell>
          <cell r="H2668" t="str">
            <v>转尚进果汁39.932吨</v>
          </cell>
          <cell r="I2668" t="b">
            <v>1</v>
          </cell>
          <cell r="J2668">
            <v>143345.64000000001</v>
          </cell>
          <cell r="K2668">
            <v>0</v>
          </cell>
          <cell r="L2668">
            <v>0</v>
          </cell>
        </row>
        <row r="2669">
          <cell r="A2669" t="str">
            <v>11</v>
          </cell>
          <cell r="B2669" t="str">
            <v>16</v>
          </cell>
          <cell r="C2669" t="str">
            <v>11</v>
          </cell>
          <cell r="D2669" t="str">
            <v>5</v>
          </cell>
          <cell r="E2669" t="str">
            <v>0007</v>
          </cell>
          <cell r="F2669" t="str">
            <v>0001</v>
          </cell>
          <cell r="G2669" t="str">
            <v>203</v>
          </cell>
          <cell r="H2669" t="str">
            <v>转购卢龙果汁300吨</v>
          </cell>
          <cell r="I2669" t="b">
            <v>1</v>
          </cell>
          <cell r="J2669">
            <v>1025641.03</v>
          </cell>
          <cell r="K2669">
            <v>0</v>
          </cell>
          <cell r="L2669">
            <v>0</v>
          </cell>
        </row>
        <row r="2670">
          <cell r="A2670" t="str">
            <v>11</v>
          </cell>
          <cell r="B2670" t="str">
            <v>16</v>
          </cell>
          <cell r="C2670" t="str">
            <v>11</v>
          </cell>
          <cell r="D2670" t="str">
            <v>5</v>
          </cell>
          <cell r="E2670" t="str">
            <v>0008</v>
          </cell>
          <cell r="F2670" t="str">
            <v>0001</v>
          </cell>
          <cell r="G2670" t="str">
            <v>203</v>
          </cell>
          <cell r="H2670" t="str">
            <v>转购五莲果汁300吨</v>
          </cell>
          <cell r="I2670" t="b">
            <v>1</v>
          </cell>
          <cell r="J2670">
            <v>1025641.08</v>
          </cell>
          <cell r="K2670">
            <v>0</v>
          </cell>
          <cell r="L2670">
            <v>0</v>
          </cell>
        </row>
        <row r="2671">
          <cell r="A2671" t="str">
            <v>11</v>
          </cell>
          <cell r="B2671" t="str">
            <v>16</v>
          </cell>
          <cell r="C2671" t="str">
            <v>11</v>
          </cell>
          <cell r="D2671" t="str">
            <v>5</v>
          </cell>
          <cell r="E2671" t="str">
            <v>0009</v>
          </cell>
          <cell r="F2671" t="str">
            <v>0001</v>
          </cell>
          <cell r="G2671" t="str">
            <v>203</v>
          </cell>
          <cell r="H2671" t="str">
            <v>转购滕州果汁390吨</v>
          </cell>
          <cell r="I2671" t="b">
            <v>1</v>
          </cell>
          <cell r="J2671">
            <v>1266666.7</v>
          </cell>
          <cell r="K2671">
            <v>0</v>
          </cell>
          <cell r="L2671">
            <v>0</v>
          </cell>
        </row>
        <row r="2672">
          <cell r="A2672" t="str">
            <v>11</v>
          </cell>
          <cell r="B2672" t="str">
            <v>16</v>
          </cell>
          <cell r="C2672" t="str">
            <v>11</v>
          </cell>
          <cell r="D2672" t="str">
            <v>5</v>
          </cell>
          <cell r="E2672" t="str">
            <v>0010</v>
          </cell>
          <cell r="F2672" t="str">
            <v>0002</v>
          </cell>
          <cell r="G2672" t="str">
            <v>203</v>
          </cell>
          <cell r="H2672" t="str">
            <v>转购钢板短途运费</v>
          </cell>
          <cell r="I2672" t="b">
            <v>0</v>
          </cell>
          <cell r="J2672">
            <v>5312</v>
          </cell>
          <cell r="K2672">
            <v>0</v>
          </cell>
          <cell r="L2672">
            <v>0</v>
          </cell>
        </row>
        <row r="2673">
          <cell r="A2673" t="str">
            <v>11</v>
          </cell>
          <cell r="B2673" t="str">
            <v>16</v>
          </cell>
          <cell r="C2673" t="str">
            <v>11</v>
          </cell>
          <cell r="D2673" t="str">
            <v>5</v>
          </cell>
          <cell r="E2673" t="str">
            <v>0011</v>
          </cell>
          <cell r="F2673" t="str">
            <v>0002</v>
          </cell>
          <cell r="G2673" t="str">
            <v>203</v>
          </cell>
          <cell r="H2673" t="str">
            <v>转购钢板654.34吨</v>
          </cell>
          <cell r="I2673" t="b">
            <v>0</v>
          </cell>
          <cell r="J2673">
            <v>2240802.4</v>
          </cell>
          <cell r="K2673">
            <v>0</v>
          </cell>
          <cell r="L2673">
            <v>0</v>
          </cell>
        </row>
        <row r="2674">
          <cell r="A2674" t="str">
            <v>11</v>
          </cell>
          <cell r="B2674" t="str">
            <v>26</v>
          </cell>
          <cell r="C2674" t="str">
            <v>11</v>
          </cell>
          <cell r="D2674" t="str">
            <v>5</v>
          </cell>
          <cell r="E2674" t="str">
            <v>0019</v>
          </cell>
          <cell r="F2674" t="str">
            <v>0001</v>
          </cell>
          <cell r="G2674" t="str">
            <v>203</v>
          </cell>
          <cell r="H2674" t="str">
            <v>转购江苏古城堡果汁56.652吨</v>
          </cell>
          <cell r="I2674" t="b">
            <v>1</v>
          </cell>
          <cell r="J2674">
            <v>164629.74</v>
          </cell>
          <cell r="K2674">
            <v>0</v>
          </cell>
          <cell r="L2674">
            <v>0</v>
          </cell>
        </row>
        <row r="2675">
          <cell r="A2675" t="str">
            <v>11</v>
          </cell>
          <cell r="B2675" t="str">
            <v>26</v>
          </cell>
          <cell r="C2675" t="str">
            <v>11</v>
          </cell>
          <cell r="D2675" t="str">
            <v>5</v>
          </cell>
          <cell r="E2675" t="str">
            <v>0019</v>
          </cell>
          <cell r="F2675" t="str">
            <v>0003</v>
          </cell>
          <cell r="G2675" t="str">
            <v>203</v>
          </cell>
          <cell r="H2675" t="str">
            <v>转购江苏古城堡果汁56.652吨</v>
          </cell>
          <cell r="I2675" t="b">
            <v>0</v>
          </cell>
          <cell r="J2675">
            <v>192616.8</v>
          </cell>
          <cell r="K2675">
            <v>0</v>
          </cell>
          <cell r="L2675">
            <v>0</v>
          </cell>
        </row>
        <row r="2676">
          <cell r="A2676" t="str">
            <v>11</v>
          </cell>
          <cell r="B2676" t="str">
            <v>29</v>
          </cell>
          <cell r="C2676" t="str">
            <v>11</v>
          </cell>
          <cell r="D2676" t="str">
            <v>5</v>
          </cell>
          <cell r="E2676" t="str">
            <v>0026</v>
          </cell>
          <cell r="F2676" t="str">
            <v>0002</v>
          </cell>
          <cell r="G2676" t="str">
            <v>203</v>
          </cell>
          <cell r="H2676" t="str">
            <v>转入库外购苹果汁2242.192吨</v>
          </cell>
          <cell r="I2676" t="b">
            <v>0</v>
          </cell>
          <cell r="J2676">
            <v>7588418.9800000004</v>
          </cell>
          <cell r="K2676">
            <v>0</v>
          </cell>
          <cell r="L2676">
            <v>0</v>
          </cell>
        </row>
        <row r="2677">
          <cell r="A2677" t="str">
            <v>11</v>
          </cell>
          <cell r="B2677" t="str">
            <v>29</v>
          </cell>
          <cell r="C2677" t="str">
            <v>11</v>
          </cell>
          <cell r="D2677" t="str">
            <v>5</v>
          </cell>
          <cell r="E2677" t="str">
            <v>0026</v>
          </cell>
          <cell r="F2677" t="str">
            <v>0004</v>
          </cell>
          <cell r="G2677" t="str">
            <v>203</v>
          </cell>
          <cell r="H2677" t="str">
            <v>转入库外购梨汁308吨</v>
          </cell>
          <cell r="I2677" t="b">
            <v>0</v>
          </cell>
          <cell r="J2677">
            <v>1000341.88</v>
          </cell>
          <cell r="K2677">
            <v>0</v>
          </cell>
          <cell r="L2677">
            <v>0</v>
          </cell>
        </row>
        <row r="2678">
          <cell r="A2678" t="str">
            <v>12</v>
          </cell>
          <cell r="B2678" t="str">
            <v>19</v>
          </cell>
          <cell r="C2678" t="str">
            <v>12</v>
          </cell>
          <cell r="D2678" t="str">
            <v>2</v>
          </cell>
          <cell r="E2678" t="str">
            <v>0017</v>
          </cell>
          <cell r="F2678" t="str">
            <v>0001</v>
          </cell>
          <cell r="G2678" t="str">
            <v>203</v>
          </cell>
          <cell r="H2678" t="str">
            <v>付果汁款</v>
          </cell>
          <cell r="I2678" t="b">
            <v>1</v>
          </cell>
          <cell r="J2678">
            <v>5000</v>
          </cell>
          <cell r="K2678">
            <v>0</v>
          </cell>
          <cell r="L2678">
            <v>0</v>
          </cell>
        </row>
        <row r="2679">
          <cell r="A2679" t="str">
            <v>12</v>
          </cell>
          <cell r="B2679" t="str">
            <v>15</v>
          </cell>
          <cell r="C2679" t="str">
            <v>12</v>
          </cell>
          <cell r="D2679" t="str">
            <v>3</v>
          </cell>
          <cell r="E2679" t="str">
            <v>0005</v>
          </cell>
          <cell r="F2679" t="str">
            <v>0003</v>
          </cell>
          <cell r="G2679" t="str">
            <v>203</v>
          </cell>
          <cell r="H2679" t="str">
            <v>收回多付款</v>
          </cell>
          <cell r="I2679" t="b">
            <v>0</v>
          </cell>
          <cell r="J2679">
            <v>3200</v>
          </cell>
          <cell r="K2679">
            <v>0</v>
          </cell>
          <cell r="L2679">
            <v>0</v>
          </cell>
        </row>
        <row r="2680">
          <cell r="A2680" t="str">
            <v>12</v>
          </cell>
          <cell r="B2680" t="str">
            <v>07</v>
          </cell>
          <cell r="C2680" t="str">
            <v>12</v>
          </cell>
          <cell r="D2680" t="str">
            <v>4</v>
          </cell>
          <cell r="E2680" t="str">
            <v>0005</v>
          </cell>
          <cell r="F2680" t="str">
            <v>0001</v>
          </cell>
          <cell r="G2680" t="str">
            <v>203</v>
          </cell>
          <cell r="H2680" t="str">
            <v>付货款</v>
          </cell>
          <cell r="I2680" t="b">
            <v>1</v>
          </cell>
          <cell r="J2680">
            <v>100000</v>
          </cell>
          <cell r="K2680">
            <v>0</v>
          </cell>
          <cell r="L2680">
            <v>0</v>
          </cell>
        </row>
        <row r="2681">
          <cell r="A2681" t="str">
            <v>12</v>
          </cell>
          <cell r="B2681" t="str">
            <v>07</v>
          </cell>
          <cell r="C2681" t="str">
            <v>12</v>
          </cell>
          <cell r="D2681" t="str">
            <v>4</v>
          </cell>
          <cell r="E2681" t="str">
            <v>0005</v>
          </cell>
          <cell r="F2681" t="str">
            <v>0002</v>
          </cell>
          <cell r="G2681" t="str">
            <v>203</v>
          </cell>
          <cell r="H2681" t="str">
            <v>付货款</v>
          </cell>
          <cell r="I2681" t="b">
            <v>1</v>
          </cell>
          <cell r="J2681">
            <v>55000</v>
          </cell>
          <cell r="K2681">
            <v>0</v>
          </cell>
          <cell r="L2681">
            <v>0</v>
          </cell>
        </row>
        <row r="2682">
          <cell r="A2682" t="str">
            <v>12</v>
          </cell>
          <cell r="B2682" t="str">
            <v>07</v>
          </cell>
          <cell r="C2682" t="str">
            <v>12</v>
          </cell>
          <cell r="D2682" t="str">
            <v>4</v>
          </cell>
          <cell r="E2682" t="str">
            <v>0005</v>
          </cell>
          <cell r="F2682" t="str">
            <v>0003</v>
          </cell>
          <cell r="G2682" t="str">
            <v>203</v>
          </cell>
          <cell r="H2682" t="str">
            <v>付货款</v>
          </cell>
          <cell r="I2682" t="b">
            <v>1</v>
          </cell>
          <cell r="J2682">
            <v>11000</v>
          </cell>
          <cell r="K2682">
            <v>0</v>
          </cell>
          <cell r="L2682">
            <v>0</v>
          </cell>
        </row>
        <row r="2683">
          <cell r="A2683" t="str">
            <v>12</v>
          </cell>
          <cell r="B2683" t="str">
            <v>08</v>
          </cell>
          <cell r="C2683" t="str">
            <v>12</v>
          </cell>
          <cell r="D2683" t="str">
            <v>4</v>
          </cell>
          <cell r="E2683" t="str">
            <v>0008</v>
          </cell>
          <cell r="F2683" t="str">
            <v>0001</v>
          </cell>
          <cell r="G2683" t="str">
            <v>203</v>
          </cell>
          <cell r="H2683" t="str">
            <v>付果汁款</v>
          </cell>
          <cell r="I2683" t="b">
            <v>1</v>
          </cell>
          <cell r="J2683">
            <v>100000</v>
          </cell>
          <cell r="K2683">
            <v>0</v>
          </cell>
          <cell r="L2683">
            <v>0</v>
          </cell>
        </row>
        <row r="2684">
          <cell r="A2684" t="str">
            <v>12</v>
          </cell>
          <cell r="B2684" t="str">
            <v>08</v>
          </cell>
          <cell r="C2684" t="str">
            <v>12</v>
          </cell>
          <cell r="D2684" t="str">
            <v>4</v>
          </cell>
          <cell r="E2684" t="str">
            <v>0008</v>
          </cell>
          <cell r="F2684" t="str">
            <v>0002</v>
          </cell>
          <cell r="G2684" t="str">
            <v>203</v>
          </cell>
          <cell r="H2684" t="str">
            <v>付果汁款</v>
          </cell>
          <cell r="I2684" t="b">
            <v>1</v>
          </cell>
          <cell r="J2684">
            <v>320589.5</v>
          </cell>
          <cell r="K2684">
            <v>0</v>
          </cell>
          <cell r="L2684">
            <v>0</v>
          </cell>
        </row>
        <row r="2685">
          <cell r="A2685" t="str">
            <v>12</v>
          </cell>
          <cell r="B2685" t="str">
            <v>08</v>
          </cell>
          <cell r="C2685" t="str">
            <v>12</v>
          </cell>
          <cell r="D2685" t="str">
            <v>4</v>
          </cell>
          <cell r="E2685" t="str">
            <v>0008</v>
          </cell>
          <cell r="F2685" t="str">
            <v>0003</v>
          </cell>
          <cell r="G2685" t="str">
            <v>203</v>
          </cell>
          <cell r="H2685" t="str">
            <v>付果汁款</v>
          </cell>
          <cell r="I2685" t="b">
            <v>1</v>
          </cell>
          <cell r="J2685">
            <v>249835.44</v>
          </cell>
          <cell r="K2685">
            <v>0</v>
          </cell>
          <cell r="L2685">
            <v>0</v>
          </cell>
        </row>
        <row r="2686">
          <cell r="A2686" t="str">
            <v>12</v>
          </cell>
          <cell r="B2686" t="str">
            <v>08</v>
          </cell>
          <cell r="C2686" t="str">
            <v>12</v>
          </cell>
          <cell r="D2686" t="str">
            <v>4</v>
          </cell>
          <cell r="E2686" t="str">
            <v>0015</v>
          </cell>
          <cell r="F2686" t="str">
            <v>0001</v>
          </cell>
          <cell r="G2686" t="str">
            <v>203</v>
          </cell>
          <cell r="H2686" t="str">
            <v>付工程款</v>
          </cell>
          <cell r="I2686" t="b">
            <v>1</v>
          </cell>
          <cell r="J2686">
            <v>300000</v>
          </cell>
          <cell r="K2686">
            <v>0</v>
          </cell>
          <cell r="L2686">
            <v>0</v>
          </cell>
        </row>
        <row r="2687">
          <cell r="A2687" t="str">
            <v>12</v>
          </cell>
          <cell r="B2687" t="str">
            <v>08</v>
          </cell>
          <cell r="C2687" t="str">
            <v>12</v>
          </cell>
          <cell r="D2687" t="str">
            <v>4</v>
          </cell>
          <cell r="E2687" t="str">
            <v>0015</v>
          </cell>
          <cell r="F2687" t="str">
            <v>0002</v>
          </cell>
          <cell r="G2687" t="str">
            <v>203</v>
          </cell>
          <cell r="H2687" t="str">
            <v>付工程款</v>
          </cell>
          <cell r="I2687" t="b">
            <v>1</v>
          </cell>
          <cell r="J2687">
            <v>150000</v>
          </cell>
          <cell r="K2687">
            <v>0</v>
          </cell>
          <cell r="L2687">
            <v>0</v>
          </cell>
        </row>
        <row r="2688">
          <cell r="A2688" t="str">
            <v>12</v>
          </cell>
          <cell r="B2688" t="str">
            <v>11</v>
          </cell>
          <cell r="C2688" t="str">
            <v>12</v>
          </cell>
          <cell r="D2688" t="str">
            <v>4</v>
          </cell>
          <cell r="E2688" t="str">
            <v>0021</v>
          </cell>
          <cell r="F2688" t="str">
            <v>0001</v>
          </cell>
          <cell r="G2688" t="str">
            <v>203</v>
          </cell>
          <cell r="H2688" t="str">
            <v>代付运费</v>
          </cell>
          <cell r="I2688" t="b">
            <v>1</v>
          </cell>
          <cell r="J2688">
            <v>53974.3</v>
          </cell>
          <cell r="K2688">
            <v>0</v>
          </cell>
          <cell r="L2688">
            <v>0</v>
          </cell>
        </row>
        <row r="2689">
          <cell r="A2689" t="str">
            <v>12</v>
          </cell>
          <cell r="B2689" t="str">
            <v>11</v>
          </cell>
          <cell r="C2689" t="str">
            <v>12</v>
          </cell>
          <cell r="D2689" t="str">
            <v>4</v>
          </cell>
          <cell r="E2689" t="str">
            <v>0021</v>
          </cell>
          <cell r="F2689" t="str">
            <v>0002</v>
          </cell>
          <cell r="G2689" t="str">
            <v>203</v>
          </cell>
          <cell r="H2689" t="str">
            <v>付货款</v>
          </cell>
          <cell r="I2689" t="b">
            <v>1</v>
          </cell>
          <cell r="J2689">
            <v>67500</v>
          </cell>
          <cell r="K2689">
            <v>0</v>
          </cell>
          <cell r="L2689">
            <v>0</v>
          </cell>
        </row>
        <row r="2690">
          <cell r="A2690" t="str">
            <v>12</v>
          </cell>
          <cell r="B2690" t="str">
            <v>11</v>
          </cell>
          <cell r="C2690" t="str">
            <v>12</v>
          </cell>
          <cell r="D2690" t="str">
            <v>4</v>
          </cell>
          <cell r="E2690" t="str">
            <v>0021</v>
          </cell>
          <cell r="F2690" t="str">
            <v>0003</v>
          </cell>
          <cell r="G2690" t="str">
            <v>203</v>
          </cell>
          <cell r="H2690" t="str">
            <v>付货款</v>
          </cell>
          <cell r="I2690" t="b">
            <v>1</v>
          </cell>
          <cell r="J2690">
            <v>47700</v>
          </cell>
          <cell r="K2690">
            <v>0</v>
          </cell>
          <cell r="L2690">
            <v>0</v>
          </cell>
        </row>
        <row r="2691">
          <cell r="A2691" t="str">
            <v>12</v>
          </cell>
          <cell r="B2691" t="str">
            <v>20</v>
          </cell>
          <cell r="C2691" t="str">
            <v>12</v>
          </cell>
          <cell r="D2691" t="str">
            <v>4</v>
          </cell>
          <cell r="E2691" t="str">
            <v>0038</v>
          </cell>
          <cell r="F2691" t="str">
            <v>0001</v>
          </cell>
          <cell r="G2691" t="str">
            <v>203</v>
          </cell>
          <cell r="H2691" t="str">
            <v>付果汁款</v>
          </cell>
          <cell r="I2691" t="b">
            <v>1</v>
          </cell>
          <cell r="J2691">
            <v>50000</v>
          </cell>
          <cell r="K2691">
            <v>0</v>
          </cell>
          <cell r="L2691">
            <v>0</v>
          </cell>
        </row>
        <row r="2692">
          <cell r="A2692" t="str">
            <v>12</v>
          </cell>
          <cell r="B2692" t="str">
            <v>20</v>
          </cell>
          <cell r="C2692" t="str">
            <v>12</v>
          </cell>
          <cell r="D2692" t="str">
            <v>4</v>
          </cell>
          <cell r="E2692" t="str">
            <v>0039</v>
          </cell>
          <cell r="F2692" t="str">
            <v>0002</v>
          </cell>
          <cell r="G2692" t="str">
            <v>203</v>
          </cell>
          <cell r="H2692" t="str">
            <v>付货款</v>
          </cell>
          <cell r="I2692" t="b">
            <v>1</v>
          </cell>
          <cell r="J2692">
            <v>1260000</v>
          </cell>
          <cell r="K2692">
            <v>0</v>
          </cell>
          <cell r="L2692">
            <v>0</v>
          </cell>
        </row>
        <row r="2693">
          <cell r="A2693" t="str">
            <v>12</v>
          </cell>
          <cell r="B2693" t="str">
            <v>20</v>
          </cell>
          <cell r="C2693" t="str">
            <v>12</v>
          </cell>
          <cell r="D2693" t="str">
            <v>4</v>
          </cell>
          <cell r="E2693" t="str">
            <v>0042</v>
          </cell>
          <cell r="F2693" t="str">
            <v>0001</v>
          </cell>
          <cell r="G2693" t="str">
            <v>203</v>
          </cell>
          <cell r="H2693" t="str">
            <v>付运费</v>
          </cell>
          <cell r="I2693" t="b">
            <v>1</v>
          </cell>
          <cell r="J2693">
            <v>3400</v>
          </cell>
          <cell r="K2693">
            <v>0</v>
          </cell>
          <cell r="L2693">
            <v>0</v>
          </cell>
        </row>
        <row r="2694">
          <cell r="A2694" t="str">
            <v>12</v>
          </cell>
          <cell r="B2694" t="str">
            <v>25</v>
          </cell>
          <cell r="C2694" t="str">
            <v>12</v>
          </cell>
          <cell r="D2694" t="str">
            <v>4</v>
          </cell>
          <cell r="E2694" t="str">
            <v>0056</v>
          </cell>
          <cell r="F2694" t="str">
            <v>0001</v>
          </cell>
          <cell r="G2694" t="str">
            <v>203</v>
          </cell>
          <cell r="H2694" t="str">
            <v>付果汁款</v>
          </cell>
          <cell r="I2694" t="b">
            <v>1</v>
          </cell>
          <cell r="J2694">
            <v>50000</v>
          </cell>
          <cell r="K2694">
            <v>0</v>
          </cell>
          <cell r="L2694">
            <v>0</v>
          </cell>
        </row>
        <row r="2695">
          <cell r="A2695" t="str">
            <v>12</v>
          </cell>
          <cell r="B2695" t="str">
            <v>25</v>
          </cell>
          <cell r="C2695" t="str">
            <v>12</v>
          </cell>
          <cell r="D2695" t="str">
            <v>4</v>
          </cell>
          <cell r="E2695" t="str">
            <v>0056</v>
          </cell>
          <cell r="F2695" t="str">
            <v>0002</v>
          </cell>
          <cell r="G2695" t="str">
            <v>203</v>
          </cell>
          <cell r="H2695" t="str">
            <v>付果汁款</v>
          </cell>
          <cell r="I2695" t="b">
            <v>1</v>
          </cell>
          <cell r="J2695">
            <v>100000</v>
          </cell>
          <cell r="K2695">
            <v>0</v>
          </cell>
          <cell r="L2695">
            <v>0</v>
          </cell>
        </row>
        <row r="2696">
          <cell r="A2696" t="str">
            <v>12</v>
          </cell>
          <cell r="B2696" t="str">
            <v>25</v>
          </cell>
          <cell r="C2696" t="str">
            <v>12</v>
          </cell>
          <cell r="D2696" t="str">
            <v>4</v>
          </cell>
          <cell r="E2696" t="str">
            <v>0056</v>
          </cell>
          <cell r="F2696" t="str">
            <v>0003</v>
          </cell>
          <cell r="G2696" t="str">
            <v>203</v>
          </cell>
          <cell r="H2696" t="str">
            <v>付土地款</v>
          </cell>
          <cell r="I2696" t="b">
            <v>1</v>
          </cell>
          <cell r="J2696">
            <v>100000</v>
          </cell>
          <cell r="K2696">
            <v>0</v>
          </cell>
          <cell r="L2696">
            <v>0</v>
          </cell>
        </row>
        <row r="2697">
          <cell r="A2697" t="str">
            <v>12</v>
          </cell>
          <cell r="B2697" t="str">
            <v>20</v>
          </cell>
          <cell r="C2697" t="str">
            <v>12</v>
          </cell>
          <cell r="D2697" t="str">
            <v>5</v>
          </cell>
          <cell r="E2697" t="str">
            <v>0009</v>
          </cell>
          <cell r="F2697" t="str">
            <v>0001</v>
          </cell>
          <cell r="G2697" t="str">
            <v>203</v>
          </cell>
          <cell r="H2697" t="str">
            <v>转购陕西机械梨汁58.289吨</v>
          </cell>
          <cell r="I2697" t="b">
            <v>1</v>
          </cell>
          <cell r="J2697">
            <v>274008.12</v>
          </cell>
          <cell r="K2697">
            <v>0</v>
          </cell>
          <cell r="L2697">
            <v>0</v>
          </cell>
        </row>
        <row r="2698">
          <cell r="A2698" t="str">
            <v>12</v>
          </cell>
          <cell r="B2698" t="str">
            <v>20</v>
          </cell>
          <cell r="C2698" t="str">
            <v>12</v>
          </cell>
          <cell r="D2698" t="str">
            <v>5</v>
          </cell>
          <cell r="E2698" t="str">
            <v>0009</v>
          </cell>
          <cell r="F2698" t="str">
            <v>0002</v>
          </cell>
          <cell r="G2698" t="str">
            <v>203</v>
          </cell>
          <cell r="H2698" t="str">
            <v>转购滕州梨汁376.965吨</v>
          </cell>
          <cell r="I2698" t="b">
            <v>1</v>
          </cell>
          <cell r="J2698">
            <v>1127673.0900000001</v>
          </cell>
          <cell r="K2698">
            <v>0</v>
          </cell>
          <cell r="L2698">
            <v>0</v>
          </cell>
        </row>
        <row r="2699">
          <cell r="A2699" t="str">
            <v>12</v>
          </cell>
          <cell r="B2699" t="str">
            <v>20</v>
          </cell>
          <cell r="C2699" t="str">
            <v>12</v>
          </cell>
          <cell r="D2699" t="str">
            <v>5</v>
          </cell>
          <cell r="E2699" t="str">
            <v>0009</v>
          </cell>
          <cell r="F2699" t="str">
            <v>0004</v>
          </cell>
          <cell r="G2699" t="str">
            <v>203</v>
          </cell>
          <cell r="H2699" t="str">
            <v>转购陕西机械梨汁58.289吨</v>
          </cell>
          <cell r="I2699" t="b">
            <v>0</v>
          </cell>
          <cell r="J2699">
            <v>320589.5</v>
          </cell>
          <cell r="K2699">
            <v>0</v>
          </cell>
          <cell r="L2699">
            <v>0</v>
          </cell>
        </row>
        <row r="2700">
          <cell r="A2700" t="str">
            <v>12</v>
          </cell>
          <cell r="B2700" t="str">
            <v>20</v>
          </cell>
          <cell r="C2700" t="str">
            <v>12</v>
          </cell>
          <cell r="D2700" t="str">
            <v>5</v>
          </cell>
          <cell r="E2700" t="str">
            <v>0010</v>
          </cell>
          <cell r="F2700" t="str">
            <v>0001</v>
          </cell>
          <cell r="G2700" t="str">
            <v>203</v>
          </cell>
          <cell r="H2700" t="str">
            <v>转购宝鸡分公司果汁49.5吨</v>
          </cell>
          <cell r="I2700" t="b">
            <v>1</v>
          </cell>
          <cell r="J2700">
            <v>160769.24</v>
          </cell>
          <cell r="K2700">
            <v>0</v>
          </cell>
          <cell r="L2700">
            <v>0</v>
          </cell>
        </row>
        <row r="2701">
          <cell r="A2701" t="str">
            <v>12</v>
          </cell>
          <cell r="B2701" t="str">
            <v>20</v>
          </cell>
          <cell r="C2701" t="str">
            <v>12</v>
          </cell>
          <cell r="D2701" t="str">
            <v>5</v>
          </cell>
          <cell r="E2701" t="str">
            <v>0010</v>
          </cell>
          <cell r="F2701" t="str">
            <v>0002</v>
          </cell>
          <cell r="G2701" t="str">
            <v>203</v>
          </cell>
          <cell r="H2701" t="str">
            <v>转购平原分公司果汁1331.881吨</v>
          </cell>
          <cell r="I2701" t="b">
            <v>1</v>
          </cell>
          <cell r="J2701">
            <v>4208259.41</v>
          </cell>
          <cell r="K2701">
            <v>0</v>
          </cell>
          <cell r="L2701">
            <v>0</v>
          </cell>
        </row>
        <row r="2702">
          <cell r="A2702" t="str">
            <v>12</v>
          </cell>
          <cell r="B2702" t="str">
            <v>20</v>
          </cell>
          <cell r="C2702" t="str">
            <v>12</v>
          </cell>
          <cell r="D2702" t="str">
            <v>5</v>
          </cell>
          <cell r="E2702" t="str">
            <v>0011</v>
          </cell>
          <cell r="F2702" t="str">
            <v>0001</v>
          </cell>
          <cell r="G2702" t="str">
            <v>203</v>
          </cell>
          <cell r="H2702" t="str">
            <v>转购卢龙苹果汁390吨</v>
          </cell>
          <cell r="I2702" t="b">
            <v>1</v>
          </cell>
          <cell r="J2702">
            <v>1333333.28</v>
          </cell>
          <cell r="K2702">
            <v>0</v>
          </cell>
          <cell r="L2702">
            <v>0</v>
          </cell>
        </row>
        <row r="2703">
          <cell r="A2703" t="str">
            <v>12</v>
          </cell>
          <cell r="B2703" t="str">
            <v>20</v>
          </cell>
          <cell r="C2703" t="str">
            <v>12</v>
          </cell>
          <cell r="D2703" t="str">
            <v>5</v>
          </cell>
          <cell r="E2703" t="str">
            <v>0011</v>
          </cell>
          <cell r="F2703" t="str">
            <v>0002</v>
          </cell>
          <cell r="G2703" t="str">
            <v>203</v>
          </cell>
          <cell r="H2703" t="str">
            <v>转购五莲苹果汁1671.53吨</v>
          </cell>
          <cell r="I2703" t="b">
            <v>1</v>
          </cell>
          <cell r="J2703">
            <v>4571708.72</v>
          </cell>
          <cell r="K2703">
            <v>0</v>
          </cell>
          <cell r="L2703">
            <v>0</v>
          </cell>
        </row>
        <row r="2704">
          <cell r="A2704" t="str">
            <v>12</v>
          </cell>
          <cell r="B2704" t="str">
            <v>20</v>
          </cell>
          <cell r="C2704" t="str">
            <v>12</v>
          </cell>
          <cell r="D2704" t="str">
            <v>5</v>
          </cell>
          <cell r="E2704" t="str">
            <v>0012</v>
          </cell>
          <cell r="F2704" t="str">
            <v>0001</v>
          </cell>
          <cell r="G2704" t="str">
            <v>203</v>
          </cell>
          <cell r="H2704" t="str">
            <v>转购滕州分公司苹果汁910.148吨</v>
          </cell>
          <cell r="I2704" t="b">
            <v>1</v>
          </cell>
          <cell r="J2704">
            <v>2644874.56</v>
          </cell>
          <cell r="K2704">
            <v>0</v>
          </cell>
          <cell r="L2704">
            <v>0</v>
          </cell>
        </row>
        <row r="2705">
          <cell r="A2705" t="str">
            <v>12</v>
          </cell>
          <cell r="B2705" t="str">
            <v>20</v>
          </cell>
          <cell r="C2705" t="str">
            <v>12</v>
          </cell>
          <cell r="D2705" t="str">
            <v>5</v>
          </cell>
          <cell r="E2705" t="str">
            <v>0013</v>
          </cell>
          <cell r="F2705" t="str">
            <v>0004</v>
          </cell>
          <cell r="G2705" t="str">
            <v>203</v>
          </cell>
          <cell r="H2705" t="str">
            <v>转购硅藻土</v>
          </cell>
          <cell r="I2705" t="b">
            <v>0</v>
          </cell>
          <cell r="J2705">
            <v>27600</v>
          </cell>
          <cell r="K2705">
            <v>0</v>
          </cell>
          <cell r="L2705">
            <v>0</v>
          </cell>
        </row>
        <row r="2706">
          <cell r="A2706" t="str">
            <v>12</v>
          </cell>
          <cell r="B2706" t="str">
            <v>20</v>
          </cell>
          <cell r="C2706" t="str">
            <v>12</v>
          </cell>
          <cell r="D2706" t="str">
            <v>5</v>
          </cell>
          <cell r="E2706" t="str">
            <v>0013</v>
          </cell>
          <cell r="F2706" t="str">
            <v>0005</v>
          </cell>
          <cell r="G2706" t="str">
            <v>203</v>
          </cell>
          <cell r="H2706" t="str">
            <v>转购苹果酸</v>
          </cell>
          <cell r="I2706" t="b">
            <v>0</v>
          </cell>
          <cell r="J2706">
            <v>31800</v>
          </cell>
          <cell r="K2706">
            <v>0</v>
          </cell>
          <cell r="L2706">
            <v>0</v>
          </cell>
        </row>
        <row r="2707">
          <cell r="A2707" t="str">
            <v>12</v>
          </cell>
          <cell r="B2707" t="str">
            <v>20</v>
          </cell>
          <cell r="C2707" t="str">
            <v>12</v>
          </cell>
          <cell r="D2707" t="str">
            <v>5</v>
          </cell>
          <cell r="E2707" t="str">
            <v>0013</v>
          </cell>
          <cell r="F2707" t="str">
            <v>0006</v>
          </cell>
          <cell r="G2707" t="str">
            <v>203</v>
          </cell>
          <cell r="H2707" t="str">
            <v>转购榨带</v>
          </cell>
          <cell r="I2707" t="b">
            <v>0</v>
          </cell>
          <cell r="J2707">
            <v>19000</v>
          </cell>
          <cell r="K2707">
            <v>0</v>
          </cell>
          <cell r="L2707">
            <v>0</v>
          </cell>
        </row>
        <row r="2708">
          <cell r="A2708" t="str">
            <v>12</v>
          </cell>
          <cell r="B2708" t="str">
            <v>20</v>
          </cell>
          <cell r="C2708" t="str">
            <v>12</v>
          </cell>
          <cell r="D2708" t="str">
            <v>5</v>
          </cell>
          <cell r="E2708" t="str">
            <v>0014</v>
          </cell>
          <cell r="F2708" t="str">
            <v>0004</v>
          </cell>
          <cell r="G2708" t="str">
            <v>203</v>
          </cell>
          <cell r="H2708" t="str">
            <v>转购明胶</v>
          </cell>
          <cell r="I2708" t="b">
            <v>0</v>
          </cell>
          <cell r="J2708">
            <v>33000</v>
          </cell>
          <cell r="K2708">
            <v>0</v>
          </cell>
          <cell r="L2708">
            <v>0</v>
          </cell>
        </row>
        <row r="2709">
          <cell r="A2709" t="str">
            <v>12</v>
          </cell>
          <cell r="B2709" t="str">
            <v>20</v>
          </cell>
          <cell r="C2709" t="str">
            <v>12</v>
          </cell>
          <cell r="D2709" t="str">
            <v>5</v>
          </cell>
          <cell r="E2709" t="str">
            <v>0014</v>
          </cell>
          <cell r="F2709" t="str">
            <v>0005</v>
          </cell>
          <cell r="G2709" t="str">
            <v>203</v>
          </cell>
          <cell r="H2709" t="str">
            <v>转购糖化酶</v>
          </cell>
          <cell r="I2709" t="b">
            <v>0</v>
          </cell>
          <cell r="J2709">
            <v>8750</v>
          </cell>
          <cell r="K2709">
            <v>0</v>
          </cell>
          <cell r="L2709">
            <v>0</v>
          </cell>
        </row>
        <row r="2710">
          <cell r="A2710" t="str">
            <v>12</v>
          </cell>
          <cell r="B2710" t="str">
            <v>20</v>
          </cell>
          <cell r="C2710" t="str">
            <v>12</v>
          </cell>
          <cell r="D2710" t="str">
            <v>5</v>
          </cell>
          <cell r="E2710" t="str">
            <v>0014</v>
          </cell>
          <cell r="F2710" t="str">
            <v>0006</v>
          </cell>
          <cell r="G2710" t="str">
            <v>203</v>
          </cell>
          <cell r="H2710" t="str">
            <v>转购木质纤维素</v>
          </cell>
          <cell r="I2710" t="b">
            <v>0</v>
          </cell>
          <cell r="J2710">
            <v>7078.5</v>
          </cell>
          <cell r="K2710">
            <v>0</v>
          </cell>
          <cell r="L2710">
            <v>0</v>
          </cell>
        </row>
        <row r="2711">
          <cell r="A2711" t="str">
            <v>12</v>
          </cell>
          <cell r="B2711" t="str">
            <v>20</v>
          </cell>
          <cell r="C2711" t="str">
            <v>12</v>
          </cell>
          <cell r="D2711" t="str">
            <v>5</v>
          </cell>
          <cell r="E2711" t="str">
            <v>0014</v>
          </cell>
          <cell r="F2711" t="str">
            <v>0007</v>
          </cell>
          <cell r="G2711" t="str">
            <v>203</v>
          </cell>
          <cell r="H2711" t="str">
            <v>转购板</v>
          </cell>
          <cell r="I2711" t="b">
            <v>0</v>
          </cell>
          <cell r="J2711">
            <v>57394.8</v>
          </cell>
          <cell r="K2711">
            <v>0</v>
          </cell>
          <cell r="L2711">
            <v>0</v>
          </cell>
        </row>
        <row r="2712">
          <cell r="A2712" t="str">
            <v>12</v>
          </cell>
          <cell r="B2712" t="str">
            <v>20</v>
          </cell>
          <cell r="C2712" t="str">
            <v>12</v>
          </cell>
          <cell r="D2712" t="str">
            <v>5</v>
          </cell>
          <cell r="E2712" t="str">
            <v>0015</v>
          </cell>
          <cell r="F2712" t="str">
            <v>0003</v>
          </cell>
          <cell r="G2712" t="str">
            <v>203</v>
          </cell>
          <cell r="H2712" t="str">
            <v>转运费</v>
          </cell>
          <cell r="I2712" t="b">
            <v>0</v>
          </cell>
          <cell r="J2712">
            <v>3600</v>
          </cell>
          <cell r="K2712">
            <v>0</v>
          </cell>
          <cell r="L2712">
            <v>0</v>
          </cell>
        </row>
        <row r="2713">
          <cell r="A2713" t="str">
            <v>12</v>
          </cell>
          <cell r="B2713" t="str">
            <v>20</v>
          </cell>
          <cell r="C2713" t="str">
            <v>12</v>
          </cell>
          <cell r="D2713" t="str">
            <v>5</v>
          </cell>
          <cell r="E2713" t="str">
            <v>0016</v>
          </cell>
          <cell r="F2713" t="str">
            <v>0002</v>
          </cell>
          <cell r="G2713" t="str">
            <v>203</v>
          </cell>
          <cell r="H2713" t="str">
            <v>转收货款</v>
          </cell>
          <cell r="I2713" t="b">
            <v>1</v>
          </cell>
          <cell r="J2713">
            <v>200</v>
          </cell>
          <cell r="K2713">
            <v>0</v>
          </cell>
          <cell r="L2713">
            <v>0</v>
          </cell>
        </row>
        <row r="2714">
          <cell r="A2714" t="str">
            <v>12</v>
          </cell>
          <cell r="B2714" t="str">
            <v>25</v>
          </cell>
          <cell r="C2714" t="str">
            <v>12</v>
          </cell>
          <cell r="D2714" t="str">
            <v>5</v>
          </cell>
          <cell r="E2714" t="str">
            <v>0025</v>
          </cell>
          <cell r="F2714" t="str">
            <v>0002</v>
          </cell>
          <cell r="G2714" t="str">
            <v>203</v>
          </cell>
          <cell r="H2714" t="str">
            <v>转代付货款</v>
          </cell>
          <cell r="I2714" t="b">
            <v>0</v>
          </cell>
          <cell r="J2714">
            <v>88000</v>
          </cell>
          <cell r="K2714">
            <v>0</v>
          </cell>
          <cell r="L2714">
            <v>0</v>
          </cell>
        </row>
        <row r="2715">
          <cell r="A2715" t="str">
            <v>12</v>
          </cell>
          <cell r="B2715" t="str">
            <v>25</v>
          </cell>
          <cell r="C2715" t="str">
            <v>12</v>
          </cell>
          <cell r="D2715" t="str">
            <v>5</v>
          </cell>
          <cell r="E2715" t="str">
            <v>0025</v>
          </cell>
          <cell r="F2715" t="str">
            <v>0003</v>
          </cell>
          <cell r="G2715" t="str">
            <v>203</v>
          </cell>
          <cell r="H2715" t="str">
            <v>转代付工程款</v>
          </cell>
          <cell r="I2715" t="b">
            <v>0</v>
          </cell>
          <cell r="J2715">
            <v>100000</v>
          </cell>
          <cell r="K2715">
            <v>0</v>
          </cell>
          <cell r="L2715">
            <v>0</v>
          </cell>
        </row>
        <row r="2716">
          <cell r="A2716" t="str">
            <v>12</v>
          </cell>
          <cell r="B2716" t="str">
            <v>26</v>
          </cell>
          <cell r="C2716" t="str">
            <v>12</v>
          </cell>
          <cell r="D2716" t="str">
            <v>5</v>
          </cell>
          <cell r="E2716" t="str">
            <v>0029</v>
          </cell>
          <cell r="F2716" t="str">
            <v>0001</v>
          </cell>
          <cell r="G2716" t="str">
            <v>203</v>
          </cell>
          <cell r="H2716" t="str">
            <v>转购87.922吨苹果汁</v>
          </cell>
          <cell r="I2716" t="b">
            <v>1</v>
          </cell>
          <cell r="J2716">
            <v>282938.27</v>
          </cell>
          <cell r="K2716">
            <v>0</v>
          </cell>
          <cell r="L2716">
            <v>0</v>
          </cell>
        </row>
        <row r="2717">
          <cell r="A2717" t="str">
            <v>12</v>
          </cell>
          <cell r="B2717" t="str">
            <v>26</v>
          </cell>
          <cell r="C2717" t="str">
            <v>12</v>
          </cell>
          <cell r="D2717" t="str">
            <v>5</v>
          </cell>
          <cell r="E2717" t="str">
            <v>0029</v>
          </cell>
          <cell r="F2717" t="str">
            <v>0003</v>
          </cell>
          <cell r="G2717" t="str">
            <v>203</v>
          </cell>
          <cell r="H2717" t="str">
            <v>转购87.922吨苹果汁</v>
          </cell>
          <cell r="I2717" t="b">
            <v>0</v>
          </cell>
          <cell r="J2717">
            <v>331037.76</v>
          </cell>
          <cell r="K2717">
            <v>0</v>
          </cell>
          <cell r="L2717">
            <v>0</v>
          </cell>
        </row>
        <row r="2718">
          <cell r="A2718" t="str">
            <v>12</v>
          </cell>
          <cell r="B2718" t="str">
            <v>27</v>
          </cell>
          <cell r="C2718" t="str">
            <v>12</v>
          </cell>
          <cell r="D2718" t="str">
            <v>5</v>
          </cell>
          <cell r="E2718" t="str">
            <v>0037</v>
          </cell>
          <cell r="F2718" t="str">
            <v>0001</v>
          </cell>
          <cell r="G2718" t="str">
            <v>203</v>
          </cell>
          <cell r="H2718" t="str">
            <v>转付果汁款</v>
          </cell>
          <cell r="I2718" t="b">
            <v>1</v>
          </cell>
          <cell r="J2718">
            <v>250000</v>
          </cell>
          <cell r="K2718">
            <v>0</v>
          </cell>
          <cell r="L2718">
            <v>0</v>
          </cell>
        </row>
        <row r="2719">
          <cell r="A2719" t="str">
            <v>12</v>
          </cell>
          <cell r="B2719" t="str">
            <v>29</v>
          </cell>
          <cell r="C2719" t="str">
            <v>12</v>
          </cell>
          <cell r="D2719" t="str">
            <v>5</v>
          </cell>
          <cell r="E2719" t="str">
            <v>0077</v>
          </cell>
          <cell r="F2719" t="str">
            <v>0004</v>
          </cell>
          <cell r="G2719" t="str">
            <v>203</v>
          </cell>
          <cell r="H2719" t="str">
            <v>转暂估委托加工费</v>
          </cell>
          <cell r="I2719" t="b">
            <v>0</v>
          </cell>
          <cell r="J2719">
            <v>892784.02</v>
          </cell>
          <cell r="K2719">
            <v>0</v>
          </cell>
          <cell r="L2719">
            <v>0</v>
          </cell>
        </row>
        <row r="2720">
          <cell r="A2720" t="str">
            <v>12</v>
          </cell>
          <cell r="B2720" t="str">
            <v>29</v>
          </cell>
          <cell r="C2720" t="str">
            <v>12</v>
          </cell>
          <cell r="D2720" t="str">
            <v>5</v>
          </cell>
          <cell r="E2720" t="str">
            <v>0078</v>
          </cell>
          <cell r="F2720" t="str">
            <v>0002</v>
          </cell>
          <cell r="G2720" t="str">
            <v>203</v>
          </cell>
          <cell r="H2720" t="str">
            <v>转暂估入库塑料袋39580个</v>
          </cell>
          <cell r="I2720" t="b">
            <v>0</v>
          </cell>
          <cell r="J2720">
            <v>197900</v>
          </cell>
          <cell r="K2720">
            <v>0</v>
          </cell>
          <cell r="L2720">
            <v>0</v>
          </cell>
        </row>
        <row r="2721">
          <cell r="A2721" t="str">
            <v>12</v>
          </cell>
          <cell r="B2721" t="str">
            <v>29</v>
          </cell>
          <cell r="C2721" t="str">
            <v>12</v>
          </cell>
          <cell r="D2721" t="str">
            <v>5</v>
          </cell>
          <cell r="E2721" t="str">
            <v>0079</v>
          </cell>
          <cell r="F2721" t="str">
            <v>0002</v>
          </cell>
          <cell r="G2721" t="str">
            <v>203</v>
          </cell>
          <cell r="H2721" t="str">
            <v>转入库外购苹果汁1844.413吨</v>
          </cell>
          <cell r="I2721" t="b">
            <v>0</v>
          </cell>
          <cell r="J2721">
            <v>5493163.5300000003</v>
          </cell>
          <cell r="K2721">
            <v>0</v>
          </cell>
          <cell r="L2721">
            <v>0</v>
          </cell>
        </row>
        <row r="2722">
          <cell r="A2722" t="str">
            <v>12</v>
          </cell>
          <cell r="B2722" t="str">
            <v>29</v>
          </cell>
          <cell r="C2722" t="str">
            <v>12</v>
          </cell>
          <cell r="D2722" t="str">
            <v>5</v>
          </cell>
          <cell r="E2722" t="str">
            <v>0079</v>
          </cell>
          <cell r="F2722" t="str">
            <v>0004</v>
          </cell>
          <cell r="G2722" t="str">
            <v>203</v>
          </cell>
          <cell r="H2722" t="str">
            <v>转入库外购梨汁68.965吨</v>
          </cell>
          <cell r="I2722" t="b">
            <v>0</v>
          </cell>
          <cell r="J2722">
            <v>127331.21</v>
          </cell>
          <cell r="K2722">
            <v>0</v>
          </cell>
          <cell r="L2722">
            <v>0</v>
          </cell>
        </row>
        <row r="2723">
          <cell r="A2723" t="str">
            <v>12</v>
          </cell>
          <cell r="B2723" t="str">
            <v>30</v>
          </cell>
          <cell r="C2723" t="str">
            <v>12</v>
          </cell>
          <cell r="D2723" t="str">
            <v>5</v>
          </cell>
          <cell r="E2723" t="str">
            <v>0091</v>
          </cell>
          <cell r="F2723" t="str">
            <v>0002</v>
          </cell>
          <cell r="G2723" t="str">
            <v>203</v>
          </cell>
          <cell r="H2723" t="str">
            <v>转夏西土地补偿费</v>
          </cell>
          <cell r="I2723" t="b">
            <v>0</v>
          </cell>
          <cell r="J2723">
            <v>552800</v>
          </cell>
          <cell r="K2723">
            <v>0</v>
          </cell>
          <cell r="L2723">
            <v>0</v>
          </cell>
        </row>
        <row r="2724">
          <cell r="A2724" t="str">
            <v>12</v>
          </cell>
          <cell r="B2724" t="str">
            <v>31</v>
          </cell>
          <cell r="C2724" t="str">
            <v>12</v>
          </cell>
          <cell r="D2724" t="str">
            <v>5</v>
          </cell>
          <cell r="E2724" t="str">
            <v>0094</v>
          </cell>
          <cell r="F2724" t="str">
            <v>0003</v>
          </cell>
          <cell r="G2724" t="str">
            <v>203</v>
          </cell>
          <cell r="H2724" t="str">
            <v>转出付夏西土地补偿费</v>
          </cell>
          <cell r="I2724" t="b">
            <v>1</v>
          </cell>
          <cell r="J2724">
            <v>130000</v>
          </cell>
          <cell r="K2724">
            <v>0</v>
          </cell>
          <cell r="L2724">
            <v>0</v>
          </cell>
        </row>
        <row r="2725">
          <cell r="A2725" t="str">
            <v>12</v>
          </cell>
          <cell r="B2725" t="str">
            <v>31</v>
          </cell>
          <cell r="C2725" t="str">
            <v>12</v>
          </cell>
          <cell r="D2725" t="str">
            <v>5</v>
          </cell>
          <cell r="E2725" t="str">
            <v>0096</v>
          </cell>
          <cell r="F2725" t="str">
            <v>0006</v>
          </cell>
          <cell r="G2725" t="str">
            <v>203</v>
          </cell>
          <cell r="H2725" t="str">
            <v>转户列支</v>
          </cell>
          <cell r="I2725" t="b">
            <v>0</v>
          </cell>
          <cell r="J2725">
            <v>220000</v>
          </cell>
          <cell r="K2725">
            <v>0</v>
          </cell>
          <cell r="L2725">
            <v>0</v>
          </cell>
        </row>
        <row r="2726">
          <cell r="A2726" t="str">
            <v>02</v>
          </cell>
          <cell r="B2726" t="str">
            <v>20</v>
          </cell>
          <cell r="C2726" t="str">
            <v>02</v>
          </cell>
          <cell r="D2726" t="str">
            <v>1</v>
          </cell>
          <cell r="E2726" t="str">
            <v>0014</v>
          </cell>
          <cell r="F2726" t="str">
            <v>0002</v>
          </cell>
          <cell r="G2726" t="str">
            <v>20901</v>
          </cell>
          <cell r="H2726" t="str">
            <v>收房款</v>
          </cell>
          <cell r="I2726" t="b">
            <v>0</v>
          </cell>
          <cell r="J2726">
            <v>10456</v>
          </cell>
          <cell r="K2726">
            <v>0</v>
          </cell>
          <cell r="L2726">
            <v>0</v>
          </cell>
        </row>
        <row r="2727">
          <cell r="A2727" t="str">
            <v>02</v>
          </cell>
          <cell r="B2727" t="str">
            <v>20</v>
          </cell>
          <cell r="C2727" t="str">
            <v>02</v>
          </cell>
          <cell r="D2727" t="str">
            <v>1</v>
          </cell>
          <cell r="E2727" t="str">
            <v>0014</v>
          </cell>
          <cell r="F2727" t="str">
            <v>0003</v>
          </cell>
          <cell r="G2727" t="str">
            <v>20901</v>
          </cell>
          <cell r="H2727" t="str">
            <v>收房款</v>
          </cell>
          <cell r="I2727" t="b">
            <v>0</v>
          </cell>
          <cell r="J2727">
            <v>11526</v>
          </cell>
          <cell r="K2727">
            <v>0</v>
          </cell>
          <cell r="L2727">
            <v>0</v>
          </cell>
        </row>
        <row r="2728">
          <cell r="A2728" t="str">
            <v>02</v>
          </cell>
          <cell r="B2728" t="str">
            <v>15</v>
          </cell>
          <cell r="C2728" t="str">
            <v>02</v>
          </cell>
          <cell r="D2728" t="str">
            <v>2</v>
          </cell>
          <cell r="E2728" t="str">
            <v>0028</v>
          </cell>
          <cell r="F2728" t="str">
            <v>0003</v>
          </cell>
          <cell r="G2728" t="str">
            <v>20901</v>
          </cell>
          <cell r="H2728" t="str">
            <v>退房款</v>
          </cell>
          <cell r="I2728" t="b">
            <v>1</v>
          </cell>
          <cell r="J2728">
            <v>3000</v>
          </cell>
          <cell r="K2728">
            <v>0</v>
          </cell>
          <cell r="L2728">
            <v>0</v>
          </cell>
        </row>
        <row r="2729">
          <cell r="A2729" t="str">
            <v>02</v>
          </cell>
          <cell r="B2729" t="str">
            <v>15</v>
          </cell>
          <cell r="C2729" t="str">
            <v>02</v>
          </cell>
          <cell r="D2729" t="str">
            <v>2</v>
          </cell>
          <cell r="E2729" t="str">
            <v>0028</v>
          </cell>
          <cell r="F2729" t="str">
            <v>0004</v>
          </cell>
          <cell r="G2729" t="str">
            <v>20901</v>
          </cell>
          <cell r="H2729" t="str">
            <v>退房款</v>
          </cell>
          <cell r="I2729" t="b">
            <v>1</v>
          </cell>
          <cell r="J2729">
            <v>2500</v>
          </cell>
          <cell r="K2729">
            <v>0</v>
          </cell>
          <cell r="L2729">
            <v>0</v>
          </cell>
        </row>
        <row r="2730">
          <cell r="A2730" t="str">
            <v>03</v>
          </cell>
          <cell r="B2730" t="str">
            <v>27</v>
          </cell>
          <cell r="C2730" t="str">
            <v>03</v>
          </cell>
          <cell r="D2730" t="str">
            <v>5</v>
          </cell>
          <cell r="E2730" t="str">
            <v>0001</v>
          </cell>
          <cell r="F2730" t="str">
            <v>0001</v>
          </cell>
          <cell r="G2730" t="str">
            <v>20901</v>
          </cell>
          <cell r="H2730" t="str">
            <v>转订出97年7月3-17#凭证错制</v>
          </cell>
          <cell r="I2730" t="b">
            <v>1</v>
          </cell>
          <cell r="J2730">
            <v>7390</v>
          </cell>
          <cell r="K2730">
            <v>0</v>
          </cell>
          <cell r="L2730">
            <v>0</v>
          </cell>
        </row>
        <row r="2731">
          <cell r="A2731" t="str">
            <v>03</v>
          </cell>
          <cell r="B2731" t="str">
            <v>27</v>
          </cell>
          <cell r="C2731" t="str">
            <v>03</v>
          </cell>
          <cell r="D2731" t="str">
            <v>5</v>
          </cell>
          <cell r="E2731" t="str">
            <v>0001</v>
          </cell>
          <cell r="F2731" t="str">
            <v>0003</v>
          </cell>
          <cell r="G2731" t="str">
            <v>20901</v>
          </cell>
          <cell r="H2731" t="str">
            <v>转调正97年7月3-17#凭证错制</v>
          </cell>
          <cell r="I2731" t="b">
            <v>0</v>
          </cell>
          <cell r="J2731">
            <v>9118.9</v>
          </cell>
          <cell r="K2731">
            <v>0</v>
          </cell>
          <cell r="L2731">
            <v>0</v>
          </cell>
        </row>
        <row r="2732">
          <cell r="A2732" t="str">
            <v>06</v>
          </cell>
          <cell r="B2732" t="str">
            <v>20</v>
          </cell>
          <cell r="C2732" t="str">
            <v>06</v>
          </cell>
          <cell r="D2732" t="str">
            <v>4</v>
          </cell>
          <cell r="E2732" t="str">
            <v>0012</v>
          </cell>
          <cell r="F2732" t="str">
            <v>0001</v>
          </cell>
          <cell r="G2732" t="str">
            <v>20901</v>
          </cell>
          <cell r="H2732" t="str">
            <v>退住房集资</v>
          </cell>
          <cell r="I2732" t="b">
            <v>1</v>
          </cell>
          <cell r="J2732">
            <v>1207</v>
          </cell>
          <cell r="K2732">
            <v>0</v>
          </cell>
          <cell r="L2732">
            <v>0</v>
          </cell>
        </row>
        <row r="2733">
          <cell r="A2733" t="str">
            <v>06</v>
          </cell>
          <cell r="B2733" t="str">
            <v>20</v>
          </cell>
          <cell r="C2733" t="str">
            <v>06</v>
          </cell>
          <cell r="D2733" t="str">
            <v>4</v>
          </cell>
          <cell r="E2733" t="str">
            <v>0012</v>
          </cell>
          <cell r="F2733" t="str">
            <v>0002</v>
          </cell>
          <cell r="G2733" t="str">
            <v>20901</v>
          </cell>
          <cell r="H2733" t="str">
            <v>退住房集资</v>
          </cell>
          <cell r="I2733" t="b">
            <v>1</v>
          </cell>
          <cell r="J2733">
            <v>5014</v>
          </cell>
          <cell r="K2733">
            <v>0</v>
          </cell>
          <cell r="L2733">
            <v>0</v>
          </cell>
        </row>
        <row r="2734">
          <cell r="A2734" t="str">
            <v>06</v>
          </cell>
          <cell r="B2734" t="str">
            <v>20</v>
          </cell>
          <cell r="C2734" t="str">
            <v>06</v>
          </cell>
          <cell r="D2734" t="str">
            <v>4</v>
          </cell>
          <cell r="E2734" t="str">
            <v>0012</v>
          </cell>
          <cell r="F2734" t="str">
            <v>0003</v>
          </cell>
          <cell r="G2734" t="str">
            <v>20901</v>
          </cell>
          <cell r="H2734" t="str">
            <v>退住房集资</v>
          </cell>
          <cell r="I2734" t="b">
            <v>1</v>
          </cell>
          <cell r="J2734">
            <v>5014</v>
          </cell>
          <cell r="K2734">
            <v>0</v>
          </cell>
          <cell r="L2734">
            <v>0</v>
          </cell>
        </row>
        <row r="2735">
          <cell r="A2735" t="str">
            <v>06</v>
          </cell>
          <cell r="B2735" t="str">
            <v>20</v>
          </cell>
          <cell r="C2735" t="str">
            <v>06</v>
          </cell>
          <cell r="D2735" t="str">
            <v>4</v>
          </cell>
          <cell r="E2735" t="str">
            <v>0012</v>
          </cell>
          <cell r="F2735" t="str">
            <v>0004</v>
          </cell>
          <cell r="G2735" t="str">
            <v>20901</v>
          </cell>
          <cell r="H2735" t="str">
            <v>退住房集资</v>
          </cell>
          <cell r="I2735" t="b">
            <v>1</v>
          </cell>
          <cell r="J2735">
            <v>1409</v>
          </cell>
          <cell r="K2735">
            <v>0</v>
          </cell>
          <cell r="L2735">
            <v>0</v>
          </cell>
        </row>
        <row r="2736">
          <cell r="A2736" t="str">
            <v>06</v>
          </cell>
          <cell r="B2736" t="str">
            <v>20</v>
          </cell>
          <cell r="C2736" t="str">
            <v>06</v>
          </cell>
          <cell r="D2736" t="str">
            <v>4</v>
          </cell>
          <cell r="E2736" t="str">
            <v>0012</v>
          </cell>
          <cell r="F2736" t="str">
            <v>0005</v>
          </cell>
          <cell r="G2736" t="str">
            <v>20901</v>
          </cell>
          <cell r="H2736" t="str">
            <v>退住房集资</v>
          </cell>
          <cell r="I2736" t="b">
            <v>1</v>
          </cell>
          <cell r="J2736">
            <v>6144</v>
          </cell>
          <cell r="K2736">
            <v>0</v>
          </cell>
          <cell r="L2736">
            <v>0</v>
          </cell>
        </row>
        <row r="2737">
          <cell r="A2737" t="str">
            <v>06</v>
          </cell>
          <cell r="B2737" t="str">
            <v>20</v>
          </cell>
          <cell r="C2737" t="str">
            <v>06</v>
          </cell>
          <cell r="D2737" t="str">
            <v>4</v>
          </cell>
          <cell r="E2737" t="str">
            <v>0012</v>
          </cell>
          <cell r="F2737" t="str">
            <v>0006</v>
          </cell>
          <cell r="G2737" t="str">
            <v>20901</v>
          </cell>
          <cell r="H2737" t="str">
            <v>退住房集资</v>
          </cell>
          <cell r="I2737" t="b">
            <v>1</v>
          </cell>
          <cell r="J2737">
            <v>6501</v>
          </cell>
          <cell r="K2737">
            <v>0</v>
          </cell>
          <cell r="L2737">
            <v>0</v>
          </cell>
        </row>
        <row r="2738">
          <cell r="A2738" t="str">
            <v>06</v>
          </cell>
          <cell r="B2738" t="str">
            <v>20</v>
          </cell>
          <cell r="C2738" t="str">
            <v>06</v>
          </cell>
          <cell r="D2738" t="str">
            <v>4</v>
          </cell>
          <cell r="E2738" t="str">
            <v>0012</v>
          </cell>
          <cell r="F2738" t="str">
            <v>0007</v>
          </cell>
          <cell r="G2738" t="str">
            <v>20901</v>
          </cell>
          <cell r="H2738" t="str">
            <v>退住房集资</v>
          </cell>
          <cell r="I2738" t="b">
            <v>1</v>
          </cell>
          <cell r="J2738">
            <v>6831</v>
          </cell>
          <cell r="K2738">
            <v>0</v>
          </cell>
          <cell r="L2738">
            <v>0</v>
          </cell>
        </row>
        <row r="2739">
          <cell r="A2739" t="str">
            <v>06</v>
          </cell>
          <cell r="B2739" t="str">
            <v>20</v>
          </cell>
          <cell r="C2739" t="str">
            <v>06</v>
          </cell>
          <cell r="D2739" t="str">
            <v>4</v>
          </cell>
          <cell r="E2739" t="str">
            <v>0012</v>
          </cell>
          <cell r="F2739" t="str">
            <v>0008</v>
          </cell>
          <cell r="G2739" t="str">
            <v>20901</v>
          </cell>
          <cell r="H2739" t="str">
            <v>退住房集资</v>
          </cell>
          <cell r="I2739" t="b">
            <v>1</v>
          </cell>
          <cell r="J2739">
            <v>5491</v>
          </cell>
          <cell r="K2739">
            <v>0</v>
          </cell>
          <cell r="L2739">
            <v>0</v>
          </cell>
        </row>
        <row r="2740">
          <cell r="A2740" t="str">
            <v>06</v>
          </cell>
          <cell r="B2740" t="str">
            <v>20</v>
          </cell>
          <cell r="C2740" t="str">
            <v>06</v>
          </cell>
          <cell r="D2740" t="str">
            <v>4</v>
          </cell>
          <cell r="E2740" t="str">
            <v>0012</v>
          </cell>
          <cell r="F2740" t="str">
            <v>0009</v>
          </cell>
          <cell r="G2740" t="str">
            <v>20901</v>
          </cell>
          <cell r="H2740" t="str">
            <v>退住房集资</v>
          </cell>
          <cell r="I2740" t="b">
            <v>1</v>
          </cell>
          <cell r="J2740">
            <v>2201</v>
          </cell>
          <cell r="K2740">
            <v>0</v>
          </cell>
          <cell r="L2740">
            <v>0</v>
          </cell>
        </row>
        <row r="2741">
          <cell r="A2741" t="str">
            <v>06</v>
          </cell>
          <cell r="B2741" t="str">
            <v>20</v>
          </cell>
          <cell r="C2741" t="str">
            <v>06</v>
          </cell>
          <cell r="D2741" t="str">
            <v>4</v>
          </cell>
          <cell r="E2741" t="str">
            <v>0012</v>
          </cell>
          <cell r="F2741" t="str">
            <v>0010</v>
          </cell>
          <cell r="G2741" t="str">
            <v>20901</v>
          </cell>
          <cell r="H2741" t="str">
            <v>退住房集资</v>
          </cell>
          <cell r="I2741" t="b">
            <v>1</v>
          </cell>
          <cell r="J2741">
            <v>1487</v>
          </cell>
          <cell r="K2741">
            <v>0</v>
          </cell>
          <cell r="L2741">
            <v>0</v>
          </cell>
        </row>
        <row r="2742">
          <cell r="A2742" t="str">
            <v>06</v>
          </cell>
          <cell r="B2742" t="str">
            <v>20</v>
          </cell>
          <cell r="C2742" t="str">
            <v>06</v>
          </cell>
          <cell r="D2742" t="str">
            <v>4</v>
          </cell>
          <cell r="E2742" t="str">
            <v>0012</v>
          </cell>
          <cell r="F2742" t="str">
            <v>0011</v>
          </cell>
          <cell r="G2742" t="str">
            <v>20901</v>
          </cell>
          <cell r="H2742" t="str">
            <v>退住房集资</v>
          </cell>
          <cell r="I2742" t="b">
            <v>1</v>
          </cell>
          <cell r="J2742">
            <v>9731</v>
          </cell>
          <cell r="K2742">
            <v>0</v>
          </cell>
          <cell r="L2742">
            <v>0</v>
          </cell>
        </row>
        <row r="2743">
          <cell r="A2743" t="str">
            <v>06</v>
          </cell>
          <cell r="B2743" t="str">
            <v>20</v>
          </cell>
          <cell r="C2743" t="str">
            <v>06</v>
          </cell>
          <cell r="D2743" t="str">
            <v>4</v>
          </cell>
          <cell r="E2743" t="str">
            <v>0012</v>
          </cell>
          <cell r="F2743" t="str">
            <v>0012</v>
          </cell>
          <cell r="G2743" t="str">
            <v>20901</v>
          </cell>
          <cell r="H2743" t="str">
            <v>退住房集资</v>
          </cell>
          <cell r="I2743" t="b">
            <v>1</v>
          </cell>
          <cell r="J2743">
            <v>8396</v>
          </cell>
          <cell r="K2743">
            <v>0</v>
          </cell>
          <cell r="L2743">
            <v>0</v>
          </cell>
        </row>
        <row r="2744">
          <cell r="A2744" t="str">
            <v>06</v>
          </cell>
          <cell r="B2744" t="str">
            <v>20</v>
          </cell>
          <cell r="C2744" t="str">
            <v>06</v>
          </cell>
          <cell r="D2744" t="str">
            <v>4</v>
          </cell>
          <cell r="E2744" t="str">
            <v>0012</v>
          </cell>
          <cell r="F2744" t="str">
            <v>0013</v>
          </cell>
          <cell r="G2744" t="str">
            <v>20901</v>
          </cell>
          <cell r="H2744" t="str">
            <v>退住房集资</v>
          </cell>
          <cell r="I2744" t="b">
            <v>1</v>
          </cell>
          <cell r="J2744">
            <v>1487</v>
          </cell>
          <cell r="K2744">
            <v>0</v>
          </cell>
          <cell r="L2744">
            <v>0</v>
          </cell>
        </row>
        <row r="2745">
          <cell r="A2745" t="str">
            <v>06</v>
          </cell>
          <cell r="B2745" t="str">
            <v>20</v>
          </cell>
          <cell r="C2745" t="str">
            <v>06</v>
          </cell>
          <cell r="D2745" t="str">
            <v>4</v>
          </cell>
          <cell r="E2745" t="str">
            <v>0012</v>
          </cell>
          <cell r="F2745" t="str">
            <v>0014</v>
          </cell>
          <cell r="G2745" t="str">
            <v>20901</v>
          </cell>
          <cell r="H2745" t="str">
            <v>退住房集资</v>
          </cell>
          <cell r="I2745" t="b">
            <v>1</v>
          </cell>
          <cell r="J2745">
            <v>259</v>
          </cell>
          <cell r="K2745">
            <v>0</v>
          </cell>
          <cell r="L2745">
            <v>0</v>
          </cell>
        </row>
        <row r="2746">
          <cell r="A2746" t="str">
            <v>06</v>
          </cell>
          <cell r="B2746" t="str">
            <v>20</v>
          </cell>
          <cell r="C2746" t="str">
            <v>06</v>
          </cell>
          <cell r="D2746" t="str">
            <v>4</v>
          </cell>
          <cell r="E2746" t="str">
            <v>0012</v>
          </cell>
          <cell r="F2746" t="str">
            <v>0015</v>
          </cell>
          <cell r="G2746" t="str">
            <v>20901</v>
          </cell>
          <cell r="H2746" t="str">
            <v>退住房集资</v>
          </cell>
          <cell r="I2746" t="b">
            <v>1</v>
          </cell>
          <cell r="J2746">
            <v>3044</v>
          </cell>
          <cell r="K2746">
            <v>0</v>
          </cell>
          <cell r="L2746">
            <v>0</v>
          </cell>
        </row>
        <row r="2747">
          <cell r="A2747" t="str">
            <v>06</v>
          </cell>
          <cell r="B2747" t="str">
            <v>20</v>
          </cell>
          <cell r="C2747" t="str">
            <v>06</v>
          </cell>
          <cell r="D2747" t="str">
            <v>4</v>
          </cell>
          <cell r="E2747" t="str">
            <v>0012</v>
          </cell>
          <cell r="F2747" t="str">
            <v>0016</v>
          </cell>
          <cell r="G2747" t="str">
            <v>20901</v>
          </cell>
          <cell r="H2747" t="str">
            <v>退住房集资</v>
          </cell>
          <cell r="I2747" t="b">
            <v>1</v>
          </cell>
          <cell r="J2747">
            <v>7000</v>
          </cell>
          <cell r="K2747">
            <v>0</v>
          </cell>
          <cell r="L2747">
            <v>0</v>
          </cell>
        </row>
        <row r="2748">
          <cell r="A2748" t="str">
            <v>06</v>
          </cell>
          <cell r="B2748" t="str">
            <v>20</v>
          </cell>
          <cell r="C2748" t="str">
            <v>06</v>
          </cell>
          <cell r="D2748" t="str">
            <v>4</v>
          </cell>
          <cell r="E2748" t="str">
            <v>0012</v>
          </cell>
          <cell r="F2748" t="str">
            <v>0017</v>
          </cell>
          <cell r="G2748" t="str">
            <v>20901</v>
          </cell>
          <cell r="H2748" t="str">
            <v>退住房集资</v>
          </cell>
          <cell r="I2748" t="b">
            <v>1</v>
          </cell>
          <cell r="J2748">
            <v>2207</v>
          </cell>
          <cell r="K2748">
            <v>0</v>
          </cell>
          <cell r="L2748">
            <v>0</v>
          </cell>
        </row>
        <row r="2749">
          <cell r="A2749" t="str">
            <v>06</v>
          </cell>
          <cell r="B2749" t="str">
            <v>20</v>
          </cell>
          <cell r="C2749" t="str">
            <v>06</v>
          </cell>
          <cell r="D2749" t="str">
            <v>4</v>
          </cell>
          <cell r="E2749" t="str">
            <v>0012</v>
          </cell>
          <cell r="F2749" t="str">
            <v>0018</v>
          </cell>
          <cell r="G2749" t="str">
            <v>20901</v>
          </cell>
          <cell r="H2749" t="str">
            <v>退住房集资</v>
          </cell>
          <cell r="I2749" t="b">
            <v>1</v>
          </cell>
          <cell r="J2749">
            <v>4167</v>
          </cell>
          <cell r="K2749">
            <v>0</v>
          </cell>
          <cell r="L2749">
            <v>0</v>
          </cell>
        </row>
        <row r="2750">
          <cell r="A2750" t="str">
            <v>06</v>
          </cell>
          <cell r="B2750" t="str">
            <v>20</v>
          </cell>
          <cell r="C2750" t="str">
            <v>06</v>
          </cell>
          <cell r="D2750" t="str">
            <v>4</v>
          </cell>
          <cell r="E2750" t="str">
            <v>0012</v>
          </cell>
          <cell r="F2750" t="str">
            <v>0019</v>
          </cell>
          <cell r="G2750" t="str">
            <v>20901</v>
          </cell>
          <cell r="H2750" t="str">
            <v>退住房集资</v>
          </cell>
          <cell r="I2750" t="b">
            <v>1</v>
          </cell>
          <cell r="J2750">
            <v>4864</v>
          </cell>
          <cell r="K2750">
            <v>0</v>
          </cell>
          <cell r="L2750">
            <v>0</v>
          </cell>
        </row>
        <row r="2751">
          <cell r="A2751" t="str">
            <v>06</v>
          </cell>
          <cell r="B2751" t="str">
            <v>20</v>
          </cell>
          <cell r="C2751" t="str">
            <v>06</v>
          </cell>
          <cell r="D2751" t="str">
            <v>4</v>
          </cell>
          <cell r="E2751" t="str">
            <v>0012</v>
          </cell>
          <cell r="F2751" t="str">
            <v>0020</v>
          </cell>
          <cell r="G2751" t="str">
            <v>20901</v>
          </cell>
          <cell r="H2751" t="str">
            <v>退住房集资</v>
          </cell>
          <cell r="I2751" t="b">
            <v>1</v>
          </cell>
          <cell r="J2751">
            <v>6837</v>
          </cell>
          <cell r="K2751">
            <v>0</v>
          </cell>
          <cell r="L2751">
            <v>0</v>
          </cell>
        </row>
        <row r="2752">
          <cell r="A2752" t="str">
            <v>06</v>
          </cell>
          <cell r="B2752" t="str">
            <v>20</v>
          </cell>
          <cell r="C2752" t="str">
            <v>06</v>
          </cell>
          <cell r="D2752" t="str">
            <v>4</v>
          </cell>
          <cell r="E2752" t="str">
            <v>0012</v>
          </cell>
          <cell r="F2752" t="str">
            <v>0021</v>
          </cell>
          <cell r="G2752" t="str">
            <v>20901</v>
          </cell>
          <cell r="H2752" t="str">
            <v>退住房集资</v>
          </cell>
          <cell r="I2752" t="b">
            <v>1</v>
          </cell>
          <cell r="J2752">
            <v>2628</v>
          </cell>
          <cell r="K2752">
            <v>0</v>
          </cell>
          <cell r="L2752">
            <v>0</v>
          </cell>
        </row>
        <row r="2753">
          <cell r="A2753" t="str">
            <v>06</v>
          </cell>
          <cell r="B2753" t="str">
            <v>20</v>
          </cell>
          <cell r="C2753" t="str">
            <v>06</v>
          </cell>
          <cell r="D2753" t="str">
            <v>4</v>
          </cell>
          <cell r="E2753" t="str">
            <v>0012</v>
          </cell>
          <cell r="F2753" t="str">
            <v>0022</v>
          </cell>
          <cell r="G2753" t="str">
            <v>20901</v>
          </cell>
          <cell r="H2753" t="str">
            <v>退住房集资</v>
          </cell>
          <cell r="I2753" t="b">
            <v>1</v>
          </cell>
          <cell r="J2753">
            <v>5701</v>
          </cell>
          <cell r="K2753">
            <v>0</v>
          </cell>
          <cell r="L2753">
            <v>0</v>
          </cell>
        </row>
        <row r="2754">
          <cell r="A2754" t="str">
            <v>06</v>
          </cell>
          <cell r="B2754" t="str">
            <v>20</v>
          </cell>
          <cell r="C2754" t="str">
            <v>06</v>
          </cell>
          <cell r="D2754" t="str">
            <v>4</v>
          </cell>
          <cell r="E2754" t="str">
            <v>0012</v>
          </cell>
          <cell r="F2754" t="str">
            <v>0023</v>
          </cell>
          <cell r="G2754" t="str">
            <v>20901</v>
          </cell>
          <cell r="H2754" t="str">
            <v>退住房集资</v>
          </cell>
          <cell r="I2754" t="b">
            <v>1</v>
          </cell>
          <cell r="J2754">
            <v>5491</v>
          </cell>
          <cell r="K2754">
            <v>0</v>
          </cell>
          <cell r="L2754">
            <v>0</v>
          </cell>
        </row>
        <row r="2755">
          <cell r="A2755" t="str">
            <v>06</v>
          </cell>
          <cell r="B2755" t="str">
            <v>20</v>
          </cell>
          <cell r="C2755" t="str">
            <v>06</v>
          </cell>
          <cell r="D2755" t="str">
            <v>4</v>
          </cell>
          <cell r="E2755" t="str">
            <v>0012</v>
          </cell>
          <cell r="F2755" t="str">
            <v>0024</v>
          </cell>
          <cell r="G2755" t="str">
            <v>20901</v>
          </cell>
          <cell r="H2755" t="str">
            <v>退住房集资</v>
          </cell>
          <cell r="I2755" t="b">
            <v>1</v>
          </cell>
          <cell r="J2755">
            <v>1409</v>
          </cell>
          <cell r="K2755">
            <v>0</v>
          </cell>
          <cell r="L2755">
            <v>0</v>
          </cell>
        </row>
        <row r="2756">
          <cell r="A2756" t="str">
            <v>06</v>
          </cell>
          <cell r="B2756" t="str">
            <v>20</v>
          </cell>
          <cell r="C2756" t="str">
            <v>06</v>
          </cell>
          <cell r="D2756" t="str">
            <v>4</v>
          </cell>
          <cell r="E2756" t="str">
            <v>0012</v>
          </cell>
          <cell r="F2756" t="str">
            <v>0025</v>
          </cell>
          <cell r="G2756" t="str">
            <v>20901</v>
          </cell>
          <cell r="H2756" t="str">
            <v>退住房集资</v>
          </cell>
          <cell r="I2756" t="b">
            <v>1</v>
          </cell>
          <cell r="J2756">
            <v>414</v>
          </cell>
          <cell r="K2756">
            <v>0</v>
          </cell>
          <cell r="L2756">
            <v>0</v>
          </cell>
        </row>
        <row r="2757">
          <cell r="A2757" t="str">
            <v>06</v>
          </cell>
          <cell r="B2757" t="str">
            <v>20</v>
          </cell>
          <cell r="C2757" t="str">
            <v>06</v>
          </cell>
          <cell r="D2757" t="str">
            <v>4</v>
          </cell>
          <cell r="E2757" t="str">
            <v>0012</v>
          </cell>
          <cell r="F2757" t="str">
            <v>0026</v>
          </cell>
          <cell r="G2757" t="str">
            <v>20901</v>
          </cell>
          <cell r="H2757" t="str">
            <v>退住房集资</v>
          </cell>
          <cell r="I2757" t="b">
            <v>1</v>
          </cell>
          <cell r="J2757">
            <v>6618</v>
          </cell>
          <cell r="K2757">
            <v>0</v>
          </cell>
          <cell r="L2757">
            <v>0</v>
          </cell>
        </row>
        <row r="2758">
          <cell r="A2758" t="str">
            <v>06</v>
          </cell>
          <cell r="B2758" t="str">
            <v>20</v>
          </cell>
          <cell r="C2758" t="str">
            <v>06</v>
          </cell>
          <cell r="D2758" t="str">
            <v>4</v>
          </cell>
          <cell r="E2758" t="str">
            <v>0012</v>
          </cell>
          <cell r="F2758" t="str">
            <v>0027</v>
          </cell>
          <cell r="G2758" t="str">
            <v>20901</v>
          </cell>
          <cell r="H2758" t="str">
            <v>退住房集资</v>
          </cell>
          <cell r="I2758" t="b">
            <v>1</v>
          </cell>
          <cell r="J2758">
            <v>1047</v>
          </cell>
          <cell r="K2758">
            <v>0</v>
          </cell>
          <cell r="L2758">
            <v>0</v>
          </cell>
        </row>
        <row r="2759">
          <cell r="A2759" t="str">
            <v>06</v>
          </cell>
          <cell r="B2759" t="str">
            <v>20</v>
          </cell>
          <cell r="C2759" t="str">
            <v>06</v>
          </cell>
          <cell r="D2759" t="str">
            <v>4</v>
          </cell>
          <cell r="E2759" t="str">
            <v>0012</v>
          </cell>
          <cell r="F2759" t="str">
            <v>0028</v>
          </cell>
          <cell r="G2759" t="str">
            <v>20901</v>
          </cell>
          <cell r="H2759" t="str">
            <v>退住房集资</v>
          </cell>
          <cell r="I2759" t="b">
            <v>1</v>
          </cell>
          <cell r="J2759">
            <v>5369</v>
          </cell>
          <cell r="K2759">
            <v>0</v>
          </cell>
          <cell r="L2759">
            <v>0</v>
          </cell>
        </row>
        <row r="2760">
          <cell r="A2760" t="str">
            <v>06</v>
          </cell>
          <cell r="B2760" t="str">
            <v>20</v>
          </cell>
          <cell r="C2760" t="str">
            <v>06</v>
          </cell>
          <cell r="D2760" t="str">
            <v>4</v>
          </cell>
          <cell r="E2760" t="str">
            <v>0012</v>
          </cell>
          <cell r="F2760" t="str">
            <v>0029</v>
          </cell>
          <cell r="G2760" t="str">
            <v>20901</v>
          </cell>
          <cell r="H2760" t="str">
            <v>退住房集资</v>
          </cell>
          <cell r="I2760" t="b">
            <v>1</v>
          </cell>
          <cell r="J2760">
            <v>3731</v>
          </cell>
          <cell r="K2760">
            <v>0</v>
          </cell>
          <cell r="L2760">
            <v>0</v>
          </cell>
        </row>
        <row r="2761">
          <cell r="A2761" t="str">
            <v>06</v>
          </cell>
          <cell r="B2761" t="str">
            <v>20</v>
          </cell>
          <cell r="C2761" t="str">
            <v>06</v>
          </cell>
          <cell r="D2761" t="str">
            <v>4</v>
          </cell>
          <cell r="E2761" t="str">
            <v>0012</v>
          </cell>
          <cell r="F2761" t="str">
            <v>0030</v>
          </cell>
          <cell r="G2761" t="str">
            <v>20901</v>
          </cell>
          <cell r="H2761" t="str">
            <v>退住房集资</v>
          </cell>
          <cell r="I2761" t="b">
            <v>1</v>
          </cell>
          <cell r="J2761">
            <v>2793</v>
          </cell>
          <cell r="K2761">
            <v>0</v>
          </cell>
          <cell r="L2761">
            <v>0</v>
          </cell>
        </row>
        <row r="2762">
          <cell r="A2762" t="str">
            <v>06</v>
          </cell>
          <cell r="B2762" t="str">
            <v>20</v>
          </cell>
          <cell r="C2762" t="str">
            <v>06</v>
          </cell>
          <cell r="D2762" t="str">
            <v>4</v>
          </cell>
          <cell r="E2762" t="str">
            <v>0012</v>
          </cell>
          <cell r="F2762" t="str">
            <v>0031</v>
          </cell>
          <cell r="G2762" t="str">
            <v>20901</v>
          </cell>
          <cell r="H2762" t="str">
            <v>退住房集资</v>
          </cell>
          <cell r="I2762" t="b">
            <v>1</v>
          </cell>
          <cell r="J2762">
            <v>9798</v>
          </cell>
          <cell r="K2762">
            <v>0</v>
          </cell>
          <cell r="L2762">
            <v>0</v>
          </cell>
        </row>
        <row r="2763">
          <cell r="A2763" t="str">
            <v>06</v>
          </cell>
          <cell r="B2763" t="str">
            <v>20</v>
          </cell>
          <cell r="C2763" t="str">
            <v>06</v>
          </cell>
          <cell r="D2763" t="str">
            <v>4</v>
          </cell>
          <cell r="E2763" t="str">
            <v>0012</v>
          </cell>
          <cell r="F2763" t="str">
            <v>0032</v>
          </cell>
          <cell r="G2763" t="str">
            <v>20901</v>
          </cell>
          <cell r="H2763" t="str">
            <v>退住房集资</v>
          </cell>
          <cell r="I2763" t="b">
            <v>1</v>
          </cell>
          <cell r="J2763">
            <v>2210</v>
          </cell>
          <cell r="K2763">
            <v>0</v>
          </cell>
          <cell r="L2763">
            <v>0</v>
          </cell>
        </row>
        <row r="2764">
          <cell r="A2764" t="str">
            <v>06</v>
          </cell>
          <cell r="B2764" t="str">
            <v>20</v>
          </cell>
          <cell r="C2764" t="str">
            <v>06</v>
          </cell>
          <cell r="D2764" t="str">
            <v>4</v>
          </cell>
          <cell r="E2764" t="str">
            <v>0012</v>
          </cell>
          <cell r="F2764" t="str">
            <v>0033</v>
          </cell>
          <cell r="G2764" t="str">
            <v>20901</v>
          </cell>
          <cell r="H2764" t="str">
            <v>退住房集资</v>
          </cell>
          <cell r="I2764" t="b">
            <v>1</v>
          </cell>
          <cell r="J2764">
            <v>7512</v>
          </cell>
          <cell r="K2764">
            <v>0</v>
          </cell>
          <cell r="L2764">
            <v>0</v>
          </cell>
        </row>
        <row r="2765">
          <cell r="A2765" t="str">
            <v>06</v>
          </cell>
          <cell r="B2765" t="str">
            <v>20</v>
          </cell>
          <cell r="C2765" t="str">
            <v>06</v>
          </cell>
          <cell r="D2765" t="str">
            <v>4</v>
          </cell>
          <cell r="E2765" t="str">
            <v>0012</v>
          </cell>
          <cell r="F2765" t="str">
            <v>0034</v>
          </cell>
          <cell r="G2765" t="str">
            <v>20901</v>
          </cell>
          <cell r="H2765" t="str">
            <v>退住房集资</v>
          </cell>
          <cell r="I2765" t="b">
            <v>1</v>
          </cell>
          <cell r="J2765">
            <v>7833</v>
          </cell>
          <cell r="K2765">
            <v>0</v>
          </cell>
          <cell r="L2765">
            <v>0</v>
          </cell>
        </row>
        <row r="2766">
          <cell r="A2766" t="str">
            <v>06</v>
          </cell>
          <cell r="B2766" t="str">
            <v>20</v>
          </cell>
          <cell r="C2766" t="str">
            <v>06</v>
          </cell>
          <cell r="D2766" t="str">
            <v>4</v>
          </cell>
          <cell r="E2766" t="str">
            <v>0012</v>
          </cell>
          <cell r="F2766" t="str">
            <v>0035</v>
          </cell>
          <cell r="G2766" t="str">
            <v>20901</v>
          </cell>
          <cell r="H2766" t="str">
            <v>退住房集资</v>
          </cell>
          <cell r="I2766" t="b">
            <v>1</v>
          </cell>
          <cell r="J2766">
            <v>9920</v>
          </cell>
          <cell r="K2766">
            <v>0</v>
          </cell>
          <cell r="L2766">
            <v>0</v>
          </cell>
        </row>
        <row r="2767">
          <cell r="A2767" t="str">
            <v>06</v>
          </cell>
          <cell r="B2767" t="str">
            <v>20</v>
          </cell>
          <cell r="C2767" t="str">
            <v>06</v>
          </cell>
          <cell r="D2767" t="str">
            <v>4</v>
          </cell>
          <cell r="E2767" t="str">
            <v>0012</v>
          </cell>
          <cell r="F2767" t="str">
            <v>0036</v>
          </cell>
          <cell r="G2767" t="str">
            <v>20901</v>
          </cell>
          <cell r="H2767" t="str">
            <v>退住房集资</v>
          </cell>
          <cell r="I2767" t="b">
            <v>1</v>
          </cell>
          <cell r="J2767">
            <v>1550</v>
          </cell>
          <cell r="K2767">
            <v>0</v>
          </cell>
          <cell r="L2767">
            <v>0</v>
          </cell>
        </row>
        <row r="2768">
          <cell r="A2768" t="str">
            <v>06</v>
          </cell>
          <cell r="B2768" t="str">
            <v>20</v>
          </cell>
          <cell r="C2768" t="str">
            <v>06</v>
          </cell>
          <cell r="D2768" t="str">
            <v>4</v>
          </cell>
          <cell r="E2768" t="str">
            <v>0012</v>
          </cell>
          <cell r="F2768" t="str">
            <v>0037</v>
          </cell>
          <cell r="G2768" t="str">
            <v>20901</v>
          </cell>
          <cell r="H2768" t="str">
            <v>退住房集资</v>
          </cell>
          <cell r="I2768" t="b">
            <v>1</v>
          </cell>
          <cell r="J2768">
            <v>3864</v>
          </cell>
          <cell r="K2768">
            <v>0</v>
          </cell>
          <cell r="L2768">
            <v>0</v>
          </cell>
        </row>
        <row r="2769">
          <cell r="A2769" t="str">
            <v>06</v>
          </cell>
          <cell r="B2769" t="str">
            <v>20</v>
          </cell>
          <cell r="C2769" t="str">
            <v>06</v>
          </cell>
          <cell r="D2769" t="str">
            <v>4</v>
          </cell>
          <cell r="E2769" t="str">
            <v>0012</v>
          </cell>
          <cell r="F2769" t="str">
            <v>0038</v>
          </cell>
          <cell r="G2769" t="str">
            <v>20901</v>
          </cell>
          <cell r="H2769" t="str">
            <v>退住房集资</v>
          </cell>
          <cell r="I2769" t="b">
            <v>1</v>
          </cell>
          <cell r="J2769">
            <v>912</v>
          </cell>
          <cell r="K2769">
            <v>0</v>
          </cell>
          <cell r="L2769">
            <v>0</v>
          </cell>
        </row>
        <row r="2770">
          <cell r="A2770" t="str">
            <v>06</v>
          </cell>
          <cell r="B2770" t="str">
            <v>20</v>
          </cell>
          <cell r="C2770" t="str">
            <v>06</v>
          </cell>
          <cell r="D2770" t="str">
            <v>4</v>
          </cell>
          <cell r="E2770" t="str">
            <v>0012</v>
          </cell>
          <cell r="F2770" t="str">
            <v>0039</v>
          </cell>
          <cell r="G2770" t="str">
            <v>20901</v>
          </cell>
          <cell r="H2770" t="str">
            <v>退住房集资</v>
          </cell>
          <cell r="I2770" t="b">
            <v>1</v>
          </cell>
          <cell r="J2770">
            <v>8373</v>
          </cell>
          <cell r="K2770">
            <v>0</v>
          </cell>
          <cell r="L2770">
            <v>0</v>
          </cell>
        </row>
        <row r="2771">
          <cell r="A2771" t="str">
            <v>06</v>
          </cell>
          <cell r="B2771" t="str">
            <v>20</v>
          </cell>
          <cell r="C2771" t="str">
            <v>06</v>
          </cell>
          <cell r="D2771" t="str">
            <v>4</v>
          </cell>
          <cell r="E2771" t="str">
            <v>0012</v>
          </cell>
          <cell r="F2771" t="str">
            <v>0040</v>
          </cell>
          <cell r="G2771" t="str">
            <v>20901</v>
          </cell>
          <cell r="H2771" t="str">
            <v>退住房集资</v>
          </cell>
          <cell r="I2771" t="b">
            <v>1</v>
          </cell>
          <cell r="J2771">
            <v>4691</v>
          </cell>
          <cell r="K2771">
            <v>0</v>
          </cell>
          <cell r="L2771">
            <v>0</v>
          </cell>
        </row>
        <row r="2772">
          <cell r="A2772" t="str">
            <v>06</v>
          </cell>
          <cell r="B2772" t="str">
            <v>20</v>
          </cell>
          <cell r="C2772" t="str">
            <v>06</v>
          </cell>
          <cell r="D2772" t="str">
            <v>4</v>
          </cell>
          <cell r="E2772" t="str">
            <v>0012</v>
          </cell>
          <cell r="F2772" t="str">
            <v>0041</v>
          </cell>
          <cell r="G2772" t="str">
            <v>20901</v>
          </cell>
          <cell r="H2772" t="str">
            <v>退住房集资</v>
          </cell>
          <cell r="I2772" t="b">
            <v>1</v>
          </cell>
          <cell r="J2772">
            <v>5179</v>
          </cell>
          <cell r="K2772">
            <v>0</v>
          </cell>
          <cell r="L2772">
            <v>0</v>
          </cell>
        </row>
        <row r="2773">
          <cell r="A2773" t="str">
            <v>06</v>
          </cell>
          <cell r="B2773" t="str">
            <v>20</v>
          </cell>
          <cell r="C2773" t="str">
            <v>06</v>
          </cell>
          <cell r="D2773" t="str">
            <v>4</v>
          </cell>
          <cell r="E2773" t="str">
            <v>0012</v>
          </cell>
          <cell r="F2773" t="str">
            <v>0042</v>
          </cell>
          <cell r="G2773" t="str">
            <v>20901</v>
          </cell>
          <cell r="H2773" t="str">
            <v>退住房集资</v>
          </cell>
          <cell r="I2773" t="b">
            <v>1</v>
          </cell>
          <cell r="J2773">
            <v>3195</v>
          </cell>
          <cell r="K2773">
            <v>0</v>
          </cell>
          <cell r="L2773">
            <v>0</v>
          </cell>
        </row>
        <row r="2774">
          <cell r="A2774" t="str">
            <v>06</v>
          </cell>
          <cell r="B2774" t="str">
            <v>20</v>
          </cell>
          <cell r="C2774" t="str">
            <v>06</v>
          </cell>
          <cell r="D2774" t="str">
            <v>4</v>
          </cell>
          <cell r="E2774" t="str">
            <v>0012</v>
          </cell>
          <cell r="F2774" t="str">
            <v>0043</v>
          </cell>
          <cell r="G2774" t="str">
            <v>20901</v>
          </cell>
          <cell r="H2774" t="str">
            <v>退住房集资</v>
          </cell>
          <cell r="I2774" t="b">
            <v>1</v>
          </cell>
          <cell r="J2774">
            <v>3014</v>
          </cell>
          <cell r="K2774">
            <v>0</v>
          </cell>
          <cell r="L2774">
            <v>0</v>
          </cell>
        </row>
        <row r="2775">
          <cell r="A2775" t="str">
            <v>06</v>
          </cell>
          <cell r="B2775" t="str">
            <v>20</v>
          </cell>
          <cell r="C2775" t="str">
            <v>06</v>
          </cell>
          <cell r="D2775" t="str">
            <v>4</v>
          </cell>
          <cell r="E2775" t="str">
            <v>0012</v>
          </cell>
          <cell r="F2775" t="str">
            <v>0044</v>
          </cell>
          <cell r="G2775" t="str">
            <v>20901</v>
          </cell>
          <cell r="H2775" t="str">
            <v>退住房集资</v>
          </cell>
          <cell r="I2775" t="b">
            <v>1</v>
          </cell>
          <cell r="J2775">
            <v>2394</v>
          </cell>
          <cell r="K2775">
            <v>0</v>
          </cell>
          <cell r="L2775">
            <v>0</v>
          </cell>
        </row>
        <row r="2776">
          <cell r="A2776" t="str">
            <v>06</v>
          </cell>
          <cell r="B2776" t="str">
            <v>20</v>
          </cell>
          <cell r="C2776" t="str">
            <v>06</v>
          </cell>
          <cell r="D2776" t="str">
            <v>4</v>
          </cell>
          <cell r="E2776" t="str">
            <v>0012</v>
          </cell>
          <cell r="F2776" t="str">
            <v>0045</v>
          </cell>
          <cell r="G2776" t="str">
            <v>20901</v>
          </cell>
          <cell r="H2776" t="str">
            <v>退住房集资</v>
          </cell>
          <cell r="I2776" t="b">
            <v>1</v>
          </cell>
          <cell r="J2776">
            <v>1387</v>
          </cell>
          <cell r="K2776">
            <v>0</v>
          </cell>
          <cell r="L2776">
            <v>0</v>
          </cell>
        </row>
        <row r="2777">
          <cell r="A2777" t="str">
            <v>06</v>
          </cell>
          <cell r="B2777" t="str">
            <v>20</v>
          </cell>
          <cell r="C2777" t="str">
            <v>06</v>
          </cell>
          <cell r="D2777" t="str">
            <v>4</v>
          </cell>
          <cell r="E2777" t="str">
            <v>0012</v>
          </cell>
          <cell r="F2777" t="str">
            <v>0046</v>
          </cell>
          <cell r="G2777" t="str">
            <v>20901</v>
          </cell>
          <cell r="H2777" t="str">
            <v>退住房集资</v>
          </cell>
          <cell r="I2777" t="b">
            <v>1</v>
          </cell>
          <cell r="J2777">
            <v>5190</v>
          </cell>
          <cell r="K2777">
            <v>0</v>
          </cell>
          <cell r="L2777">
            <v>0</v>
          </cell>
        </row>
        <row r="2778">
          <cell r="A2778" t="str">
            <v>06</v>
          </cell>
          <cell r="B2778" t="str">
            <v>20</v>
          </cell>
          <cell r="C2778" t="str">
            <v>06</v>
          </cell>
          <cell r="D2778" t="str">
            <v>4</v>
          </cell>
          <cell r="E2778" t="str">
            <v>0012</v>
          </cell>
          <cell r="F2778" t="str">
            <v>0047</v>
          </cell>
          <cell r="G2778" t="str">
            <v>20901</v>
          </cell>
          <cell r="H2778" t="str">
            <v>退住房集资</v>
          </cell>
          <cell r="I2778" t="b">
            <v>1</v>
          </cell>
          <cell r="J2778">
            <v>1369</v>
          </cell>
          <cell r="K2778">
            <v>0</v>
          </cell>
          <cell r="L2778">
            <v>0</v>
          </cell>
        </row>
        <row r="2779">
          <cell r="A2779" t="str">
            <v>06</v>
          </cell>
          <cell r="B2779" t="str">
            <v>20</v>
          </cell>
          <cell r="C2779" t="str">
            <v>06</v>
          </cell>
          <cell r="D2779" t="str">
            <v>4</v>
          </cell>
          <cell r="E2779" t="str">
            <v>0012</v>
          </cell>
          <cell r="F2779" t="str">
            <v>0048</v>
          </cell>
          <cell r="G2779" t="str">
            <v>20901</v>
          </cell>
          <cell r="H2779" t="str">
            <v>退住房集资</v>
          </cell>
          <cell r="I2779" t="b">
            <v>1</v>
          </cell>
          <cell r="J2779">
            <v>4247</v>
          </cell>
          <cell r="K2779">
            <v>0</v>
          </cell>
          <cell r="L2779">
            <v>0</v>
          </cell>
        </row>
        <row r="2780">
          <cell r="A2780" t="str">
            <v>06</v>
          </cell>
          <cell r="B2780" t="str">
            <v>20</v>
          </cell>
          <cell r="C2780" t="str">
            <v>06</v>
          </cell>
          <cell r="D2780" t="str">
            <v>4</v>
          </cell>
          <cell r="E2780" t="str">
            <v>0012</v>
          </cell>
          <cell r="F2780" t="str">
            <v>0049</v>
          </cell>
          <cell r="G2780" t="str">
            <v>20901</v>
          </cell>
          <cell r="H2780" t="str">
            <v>退住房集资</v>
          </cell>
          <cell r="I2780" t="b">
            <v>1</v>
          </cell>
          <cell r="J2780">
            <v>6584</v>
          </cell>
          <cell r="K2780">
            <v>0</v>
          </cell>
          <cell r="L2780">
            <v>0</v>
          </cell>
        </row>
        <row r="2781">
          <cell r="A2781" t="str">
            <v>08</v>
          </cell>
          <cell r="B2781" t="str">
            <v>10</v>
          </cell>
          <cell r="C2781" t="str">
            <v>08</v>
          </cell>
          <cell r="D2781" t="str">
            <v>1</v>
          </cell>
          <cell r="E2781" t="str">
            <v>0005</v>
          </cell>
          <cell r="F2781" t="str">
            <v>0002</v>
          </cell>
          <cell r="G2781" t="str">
            <v>20901</v>
          </cell>
          <cell r="H2781" t="str">
            <v>收房款</v>
          </cell>
          <cell r="I2781" t="b">
            <v>0</v>
          </cell>
          <cell r="J2781">
            <v>21261</v>
          </cell>
          <cell r="K2781">
            <v>0</v>
          </cell>
          <cell r="L2781">
            <v>0</v>
          </cell>
        </row>
        <row r="2782">
          <cell r="A2782" t="str">
            <v>09</v>
          </cell>
          <cell r="B2782" t="str">
            <v>18</v>
          </cell>
          <cell r="C2782" t="str">
            <v>09</v>
          </cell>
          <cell r="D2782" t="str">
            <v>5</v>
          </cell>
          <cell r="E2782" t="str">
            <v>0003</v>
          </cell>
          <cell r="F2782" t="str">
            <v>0004</v>
          </cell>
          <cell r="G2782" t="str">
            <v>20901</v>
          </cell>
          <cell r="H2782" t="str">
            <v>转冲销2000.3月5-1#凭证</v>
          </cell>
          <cell r="I2782" t="b">
            <v>1</v>
          </cell>
          <cell r="J2782">
            <v>-7390</v>
          </cell>
          <cell r="K2782">
            <v>0</v>
          </cell>
          <cell r="L2782">
            <v>0</v>
          </cell>
        </row>
        <row r="2783">
          <cell r="A2783" t="str">
            <v>09</v>
          </cell>
          <cell r="B2783" t="str">
            <v>18</v>
          </cell>
          <cell r="C2783" t="str">
            <v>09</v>
          </cell>
          <cell r="D2783" t="str">
            <v>5</v>
          </cell>
          <cell r="E2783" t="str">
            <v>0003</v>
          </cell>
          <cell r="F2783" t="str">
            <v>0006</v>
          </cell>
          <cell r="G2783" t="str">
            <v>20901</v>
          </cell>
          <cell r="H2783" t="str">
            <v>转冲销2000.3月5-1#凭证</v>
          </cell>
          <cell r="I2783" t="b">
            <v>0</v>
          </cell>
          <cell r="J2783">
            <v>-9118.9</v>
          </cell>
          <cell r="K2783">
            <v>0</v>
          </cell>
          <cell r="L2783">
            <v>0</v>
          </cell>
        </row>
        <row r="2784">
          <cell r="A2784" t="str">
            <v>09</v>
          </cell>
          <cell r="B2784" t="str">
            <v>18</v>
          </cell>
          <cell r="C2784" t="str">
            <v>09</v>
          </cell>
          <cell r="D2784" t="str">
            <v>5</v>
          </cell>
          <cell r="E2784" t="str">
            <v>0003</v>
          </cell>
          <cell r="F2784" t="str">
            <v>0008</v>
          </cell>
          <cell r="G2784" t="str">
            <v>20901</v>
          </cell>
          <cell r="H2784" t="str">
            <v>转调正1997.7月3-17#凭证错制</v>
          </cell>
          <cell r="I2784" t="b">
            <v>1</v>
          </cell>
          <cell r="J2784">
            <v>7390</v>
          </cell>
          <cell r="K2784">
            <v>0</v>
          </cell>
          <cell r="L2784">
            <v>0</v>
          </cell>
        </row>
        <row r="2785">
          <cell r="A2785" t="str">
            <v>09</v>
          </cell>
          <cell r="B2785" t="str">
            <v>18</v>
          </cell>
          <cell r="C2785" t="str">
            <v>09</v>
          </cell>
          <cell r="D2785" t="str">
            <v>5</v>
          </cell>
          <cell r="E2785" t="str">
            <v>0003</v>
          </cell>
          <cell r="F2785" t="str">
            <v>0010</v>
          </cell>
          <cell r="G2785" t="str">
            <v>20901</v>
          </cell>
          <cell r="H2785" t="str">
            <v>转调正1997.7月3-17#凭证错制</v>
          </cell>
          <cell r="I2785" t="b">
            <v>0</v>
          </cell>
          <cell r="J2785">
            <v>9118.9</v>
          </cell>
          <cell r="K2785">
            <v>0</v>
          </cell>
          <cell r="L2785">
            <v>0</v>
          </cell>
        </row>
        <row r="2786">
          <cell r="A2786" t="str">
            <v>02</v>
          </cell>
          <cell r="B2786" t="str">
            <v>14</v>
          </cell>
          <cell r="C2786" t="str">
            <v>02</v>
          </cell>
          <cell r="D2786" t="str">
            <v>4</v>
          </cell>
          <cell r="E2786" t="str">
            <v>0015</v>
          </cell>
          <cell r="F2786" t="str">
            <v>0011</v>
          </cell>
          <cell r="G2786" t="str">
            <v>20902</v>
          </cell>
          <cell r="H2786" t="str">
            <v>付1月份工人工资</v>
          </cell>
          <cell r="I2786" t="b">
            <v>1</v>
          </cell>
          <cell r="J2786">
            <v>1680</v>
          </cell>
          <cell r="K2786">
            <v>0</v>
          </cell>
          <cell r="L2786">
            <v>0</v>
          </cell>
        </row>
        <row r="2787">
          <cell r="A2787" t="str">
            <v>02</v>
          </cell>
          <cell r="B2787" t="str">
            <v>20</v>
          </cell>
          <cell r="C2787" t="str">
            <v>02</v>
          </cell>
          <cell r="D2787" t="str">
            <v>5</v>
          </cell>
          <cell r="E2787" t="str">
            <v>0002</v>
          </cell>
          <cell r="F2787" t="str">
            <v>0006</v>
          </cell>
          <cell r="G2787" t="str">
            <v>20902</v>
          </cell>
          <cell r="H2787" t="str">
            <v>计提99年12月份工会经费</v>
          </cell>
          <cell r="I2787" t="b">
            <v>0</v>
          </cell>
          <cell r="J2787">
            <v>4637.83</v>
          </cell>
          <cell r="K2787">
            <v>0</v>
          </cell>
          <cell r="L2787">
            <v>0</v>
          </cell>
        </row>
        <row r="2788">
          <cell r="A2788" t="str">
            <v>02</v>
          </cell>
          <cell r="B2788" t="str">
            <v>20</v>
          </cell>
          <cell r="C2788" t="str">
            <v>02</v>
          </cell>
          <cell r="D2788" t="str">
            <v>5</v>
          </cell>
          <cell r="E2788" t="str">
            <v>0002</v>
          </cell>
          <cell r="F2788" t="str">
            <v>0009</v>
          </cell>
          <cell r="G2788" t="str">
            <v>20902</v>
          </cell>
          <cell r="H2788" t="str">
            <v>计提99年12月职教费</v>
          </cell>
          <cell r="I2788" t="b">
            <v>0</v>
          </cell>
          <cell r="J2788">
            <v>3478.4</v>
          </cell>
          <cell r="K2788">
            <v>0</v>
          </cell>
          <cell r="L2788">
            <v>0</v>
          </cell>
        </row>
        <row r="2789">
          <cell r="A2789" t="str">
            <v>02</v>
          </cell>
          <cell r="B2789" t="str">
            <v>20</v>
          </cell>
          <cell r="C2789" t="str">
            <v>02</v>
          </cell>
          <cell r="D2789" t="str">
            <v>5</v>
          </cell>
          <cell r="E2789" t="str">
            <v>0004</v>
          </cell>
          <cell r="F2789" t="str">
            <v>0006</v>
          </cell>
          <cell r="G2789" t="str">
            <v>20902</v>
          </cell>
          <cell r="H2789" t="str">
            <v>计提1月份工会经费</v>
          </cell>
          <cell r="I2789" t="b">
            <v>0</v>
          </cell>
          <cell r="J2789">
            <v>4317.54</v>
          </cell>
          <cell r="K2789">
            <v>0</v>
          </cell>
          <cell r="L2789">
            <v>0</v>
          </cell>
        </row>
        <row r="2790">
          <cell r="A2790" t="str">
            <v>02</v>
          </cell>
          <cell r="B2790" t="str">
            <v>20</v>
          </cell>
          <cell r="C2790" t="str">
            <v>02</v>
          </cell>
          <cell r="D2790" t="str">
            <v>5</v>
          </cell>
          <cell r="E2790" t="str">
            <v>0004</v>
          </cell>
          <cell r="F2790" t="str">
            <v>0009</v>
          </cell>
          <cell r="G2790" t="str">
            <v>20902</v>
          </cell>
          <cell r="H2790" t="str">
            <v>计提1月份职教费</v>
          </cell>
          <cell r="I2790" t="b">
            <v>0</v>
          </cell>
          <cell r="J2790">
            <v>3238.19</v>
          </cell>
          <cell r="K2790">
            <v>0</v>
          </cell>
          <cell r="L2790">
            <v>0</v>
          </cell>
        </row>
        <row r="2791">
          <cell r="A2791" t="str">
            <v>03</v>
          </cell>
          <cell r="B2791" t="str">
            <v>02</v>
          </cell>
          <cell r="C2791" t="str">
            <v>03</v>
          </cell>
          <cell r="D2791" t="str">
            <v>3</v>
          </cell>
          <cell r="E2791" t="str">
            <v>0004</v>
          </cell>
          <cell r="F2791" t="str">
            <v>0002</v>
          </cell>
          <cell r="G2791" t="str">
            <v>20902</v>
          </cell>
          <cell r="H2791" t="str">
            <v>收农业产业科技经费</v>
          </cell>
          <cell r="I2791" t="b">
            <v>0</v>
          </cell>
          <cell r="J2791">
            <v>100000</v>
          </cell>
          <cell r="K2791">
            <v>0</v>
          </cell>
          <cell r="L2791">
            <v>0</v>
          </cell>
        </row>
        <row r="2792">
          <cell r="A2792" t="str">
            <v>03</v>
          </cell>
          <cell r="B2792" t="str">
            <v>02</v>
          </cell>
          <cell r="C2792" t="str">
            <v>03</v>
          </cell>
          <cell r="D2792" t="str">
            <v>4</v>
          </cell>
          <cell r="E2792" t="str">
            <v>0007</v>
          </cell>
          <cell r="F2792" t="str">
            <v>0001</v>
          </cell>
          <cell r="G2792" t="str">
            <v>20902</v>
          </cell>
          <cell r="H2792" t="str">
            <v>付工会经费</v>
          </cell>
          <cell r="I2792" t="b">
            <v>1</v>
          </cell>
          <cell r="J2792">
            <v>5000</v>
          </cell>
          <cell r="K2792">
            <v>0</v>
          </cell>
          <cell r="L2792">
            <v>0</v>
          </cell>
        </row>
        <row r="2793">
          <cell r="A2793" t="str">
            <v>03</v>
          </cell>
          <cell r="B2793" t="str">
            <v>27</v>
          </cell>
          <cell r="C2793" t="str">
            <v>03</v>
          </cell>
          <cell r="D2793" t="str">
            <v>5</v>
          </cell>
          <cell r="E2793" t="str">
            <v>0010</v>
          </cell>
          <cell r="F2793" t="str">
            <v>0002</v>
          </cell>
          <cell r="G2793" t="str">
            <v>20902</v>
          </cell>
          <cell r="H2793" t="str">
            <v>调正2月4-15号凭证错制</v>
          </cell>
          <cell r="I2793" t="b">
            <v>0</v>
          </cell>
          <cell r="J2793">
            <v>1680</v>
          </cell>
          <cell r="K2793">
            <v>0</v>
          </cell>
          <cell r="L2793">
            <v>0</v>
          </cell>
        </row>
        <row r="2794">
          <cell r="A2794" t="str">
            <v>03</v>
          </cell>
          <cell r="B2794" t="str">
            <v>27</v>
          </cell>
          <cell r="C2794" t="str">
            <v>03</v>
          </cell>
          <cell r="D2794" t="str">
            <v>5</v>
          </cell>
          <cell r="E2794" t="str">
            <v>0012</v>
          </cell>
          <cell r="F2794" t="str">
            <v>0004</v>
          </cell>
          <cell r="G2794" t="str">
            <v>20902</v>
          </cell>
          <cell r="H2794" t="str">
            <v>计提工会经费</v>
          </cell>
          <cell r="I2794" t="b">
            <v>0</v>
          </cell>
          <cell r="J2794">
            <v>564.22</v>
          </cell>
          <cell r="K2794">
            <v>0</v>
          </cell>
          <cell r="L2794">
            <v>0</v>
          </cell>
        </row>
        <row r="2795">
          <cell r="A2795" t="str">
            <v>03</v>
          </cell>
          <cell r="B2795" t="str">
            <v>27</v>
          </cell>
          <cell r="C2795" t="str">
            <v>03</v>
          </cell>
          <cell r="D2795" t="str">
            <v>5</v>
          </cell>
          <cell r="E2795" t="str">
            <v>0012</v>
          </cell>
          <cell r="F2795" t="str">
            <v>0006</v>
          </cell>
          <cell r="G2795" t="str">
            <v>20902</v>
          </cell>
          <cell r="H2795" t="str">
            <v>计提职教费</v>
          </cell>
          <cell r="I2795" t="b">
            <v>0</v>
          </cell>
          <cell r="J2795">
            <v>423.17</v>
          </cell>
          <cell r="K2795">
            <v>0</v>
          </cell>
          <cell r="L2795">
            <v>0</v>
          </cell>
        </row>
        <row r="2796">
          <cell r="A2796" t="str">
            <v>03</v>
          </cell>
          <cell r="B2796" t="str">
            <v>27</v>
          </cell>
          <cell r="C2796" t="str">
            <v>03</v>
          </cell>
          <cell r="D2796" t="str">
            <v>5</v>
          </cell>
          <cell r="E2796" t="str">
            <v>0014</v>
          </cell>
          <cell r="F2796" t="str">
            <v>0006</v>
          </cell>
          <cell r="G2796" t="str">
            <v>20902</v>
          </cell>
          <cell r="H2796" t="str">
            <v>计提本月工会经费</v>
          </cell>
          <cell r="I2796" t="b">
            <v>0</v>
          </cell>
          <cell r="J2796">
            <v>4362.6000000000004</v>
          </cell>
          <cell r="K2796">
            <v>0</v>
          </cell>
          <cell r="L2796">
            <v>0</v>
          </cell>
        </row>
        <row r="2797">
          <cell r="A2797" t="str">
            <v>03</v>
          </cell>
          <cell r="B2797" t="str">
            <v>27</v>
          </cell>
          <cell r="C2797" t="str">
            <v>03</v>
          </cell>
          <cell r="D2797" t="str">
            <v>5</v>
          </cell>
          <cell r="E2797" t="str">
            <v>0014</v>
          </cell>
          <cell r="F2797" t="str">
            <v>0009</v>
          </cell>
          <cell r="G2797" t="str">
            <v>20902</v>
          </cell>
          <cell r="H2797" t="str">
            <v>计提本月职教费</v>
          </cell>
          <cell r="I2797" t="b">
            <v>0</v>
          </cell>
          <cell r="J2797">
            <v>3271.97</v>
          </cell>
          <cell r="K2797">
            <v>0</v>
          </cell>
          <cell r="L2797">
            <v>0</v>
          </cell>
        </row>
        <row r="2798">
          <cell r="A2798" t="str">
            <v>04</v>
          </cell>
          <cell r="B2798" t="str">
            <v>20</v>
          </cell>
          <cell r="C2798" t="str">
            <v>04</v>
          </cell>
          <cell r="D2798" t="str">
            <v>5</v>
          </cell>
          <cell r="E2798" t="str">
            <v>0007</v>
          </cell>
          <cell r="F2798" t="str">
            <v>0004</v>
          </cell>
          <cell r="G2798" t="str">
            <v>20902</v>
          </cell>
          <cell r="H2798" t="str">
            <v>转户</v>
          </cell>
          <cell r="I2798" t="b">
            <v>0</v>
          </cell>
          <cell r="J2798">
            <v>11005.92</v>
          </cell>
          <cell r="K2798">
            <v>0</v>
          </cell>
          <cell r="L2798">
            <v>0</v>
          </cell>
        </row>
        <row r="2799">
          <cell r="A2799" t="str">
            <v>04</v>
          </cell>
          <cell r="B2799" t="str">
            <v>20</v>
          </cell>
          <cell r="C2799" t="str">
            <v>04</v>
          </cell>
          <cell r="D2799" t="str">
            <v>5</v>
          </cell>
          <cell r="E2799" t="str">
            <v>0007</v>
          </cell>
          <cell r="F2799" t="str">
            <v>0005</v>
          </cell>
          <cell r="G2799" t="str">
            <v>20902</v>
          </cell>
          <cell r="H2799" t="str">
            <v>转错制代垫刘永涛股本金及差额</v>
          </cell>
          <cell r="I2799" t="b">
            <v>1</v>
          </cell>
          <cell r="J2799">
            <v>4275</v>
          </cell>
          <cell r="K2799">
            <v>0</v>
          </cell>
          <cell r="L2799">
            <v>0</v>
          </cell>
        </row>
        <row r="2800">
          <cell r="A2800" t="str">
            <v>04</v>
          </cell>
          <cell r="B2800" t="str">
            <v>24</v>
          </cell>
          <cell r="C2800" t="str">
            <v>04</v>
          </cell>
          <cell r="D2800" t="str">
            <v>5</v>
          </cell>
          <cell r="E2800" t="str">
            <v>0015</v>
          </cell>
          <cell r="F2800" t="str">
            <v>0006</v>
          </cell>
          <cell r="G2800" t="str">
            <v>20902</v>
          </cell>
          <cell r="H2800" t="str">
            <v>计提本月工会经费</v>
          </cell>
          <cell r="I2800" t="b">
            <v>0</v>
          </cell>
          <cell r="J2800">
            <v>4642.3500000000004</v>
          </cell>
          <cell r="K2800">
            <v>0</v>
          </cell>
          <cell r="L2800">
            <v>0</v>
          </cell>
        </row>
        <row r="2801">
          <cell r="A2801" t="str">
            <v>04</v>
          </cell>
          <cell r="B2801" t="str">
            <v>24</v>
          </cell>
          <cell r="C2801" t="str">
            <v>04</v>
          </cell>
          <cell r="D2801" t="str">
            <v>5</v>
          </cell>
          <cell r="E2801" t="str">
            <v>0015</v>
          </cell>
          <cell r="F2801" t="str">
            <v>0009</v>
          </cell>
          <cell r="G2801" t="str">
            <v>20902</v>
          </cell>
          <cell r="H2801" t="str">
            <v>计提本月职教费</v>
          </cell>
          <cell r="I2801" t="b">
            <v>0</v>
          </cell>
          <cell r="J2801">
            <v>3481.78</v>
          </cell>
          <cell r="K2801">
            <v>0</v>
          </cell>
          <cell r="L2801">
            <v>0</v>
          </cell>
        </row>
        <row r="2802">
          <cell r="A2802" t="str">
            <v>05</v>
          </cell>
          <cell r="B2802" t="str">
            <v>12</v>
          </cell>
          <cell r="C2802" t="str">
            <v>05</v>
          </cell>
          <cell r="D2802" t="str">
            <v>2</v>
          </cell>
          <cell r="E2802" t="str">
            <v>0004</v>
          </cell>
          <cell r="F2802" t="str">
            <v>0004</v>
          </cell>
          <cell r="G2802" t="str">
            <v>20902</v>
          </cell>
          <cell r="H2802" t="str">
            <v>付个人所得税款</v>
          </cell>
          <cell r="I2802" t="b">
            <v>1</v>
          </cell>
          <cell r="J2802">
            <v>7306.11</v>
          </cell>
          <cell r="K2802">
            <v>0</v>
          </cell>
          <cell r="L2802">
            <v>0</v>
          </cell>
        </row>
        <row r="2803">
          <cell r="A2803" t="str">
            <v>05</v>
          </cell>
          <cell r="B2803" t="str">
            <v>11</v>
          </cell>
          <cell r="C2803" t="str">
            <v>05</v>
          </cell>
          <cell r="D2803" t="str">
            <v>4</v>
          </cell>
          <cell r="E2803" t="str">
            <v>0003</v>
          </cell>
          <cell r="F2803" t="str">
            <v>0002</v>
          </cell>
          <cell r="G2803" t="str">
            <v>20902</v>
          </cell>
          <cell r="H2803" t="str">
            <v>付制作费</v>
          </cell>
          <cell r="I2803" t="b">
            <v>1</v>
          </cell>
          <cell r="J2803">
            <v>7556</v>
          </cell>
          <cell r="K2803">
            <v>0</v>
          </cell>
          <cell r="L2803">
            <v>0</v>
          </cell>
        </row>
        <row r="2804">
          <cell r="A2804" t="str">
            <v>05</v>
          </cell>
          <cell r="B2804" t="str">
            <v>23</v>
          </cell>
          <cell r="C2804" t="str">
            <v>05</v>
          </cell>
          <cell r="D2804" t="str">
            <v>4</v>
          </cell>
          <cell r="E2804" t="str">
            <v>0021</v>
          </cell>
          <cell r="F2804" t="str">
            <v>0001</v>
          </cell>
          <cell r="G2804" t="str">
            <v>20902</v>
          </cell>
          <cell r="H2804" t="str">
            <v>付保费</v>
          </cell>
          <cell r="I2804" t="b">
            <v>1</v>
          </cell>
          <cell r="J2804">
            <v>10185.82</v>
          </cell>
          <cell r="K2804">
            <v>0</v>
          </cell>
          <cell r="L2804">
            <v>0</v>
          </cell>
        </row>
        <row r="2805">
          <cell r="A2805" t="str">
            <v>05</v>
          </cell>
          <cell r="B2805" t="str">
            <v>02</v>
          </cell>
          <cell r="C2805" t="str">
            <v>05</v>
          </cell>
          <cell r="D2805" t="str">
            <v>5</v>
          </cell>
          <cell r="E2805" t="str">
            <v>0001</v>
          </cell>
          <cell r="F2805" t="str">
            <v>0008</v>
          </cell>
          <cell r="G2805" t="str">
            <v>20902</v>
          </cell>
          <cell r="H2805" t="str">
            <v>转98.11-99.12月应交个人所得税</v>
          </cell>
          <cell r="I2805" t="b">
            <v>0</v>
          </cell>
          <cell r="J2805">
            <v>7306.11</v>
          </cell>
          <cell r="K2805">
            <v>0</v>
          </cell>
          <cell r="L2805">
            <v>0</v>
          </cell>
        </row>
        <row r="2806">
          <cell r="A2806" t="str">
            <v>05</v>
          </cell>
          <cell r="B2806" t="str">
            <v>25</v>
          </cell>
          <cell r="C2806" t="str">
            <v>05</v>
          </cell>
          <cell r="D2806" t="str">
            <v>5</v>
          </cell>
          <cell r="E2806" t="str">
            <v>0002</v>
          </cell>
          <cell r="F2806" t="str">
            <v>0006</v>
          </cell>
          <cell r="G2806" t="str">
            <v>20902</v>
          </cell>
          <cell r="H2806" t="str">
            <v>计提本月工会经费</v>
          </cell>
          <cell r="I2806" t="b">
            <v>0</v>
          </cell>
          <cell r="J2806">
            <v>5491.75</v>
          </cell>
          <cell r="K2806">
            <v>0</v>
          </cell>
          <cell r="L2806">
            <v>0</v>
          </cell>
        </row>
        <row r="2807">
          <cell r="A2807" t="str">
            <v>05</v>
          </cell>
          <cell r="B2807" t="str">
            <v>25</v>
          </cell>
          <cell r="C2807" t="str">
            <v>05</v>
          </cell>
          <cell r="D2807" t="str">
            <v>5</v>
          </cell>
          <cell r="E2807" t="str">
            <v>0002</v>
          </cell>
          <cell r="F2807" t="str">
            <v>0009</v>
          </cell>
          <cell r="G2807" t="str">
            <v>20902</v>
          </cell>
          <cell r="H2807" t="str">
            <v>计提本月职教费</v>
          </cell>
          <cell r="I2807" t="b">
            <v>0</v>
          </cell>
          <cell r="J2807">
            <v>4118.8500000000004</v>
          </cell>
          <cell r="K2807">
            <v>0</v>
          </cell>
          <cell r="L2807">
            <v>0</v>
          </cell>
        </row>
        <row r="2808">
          <cell r="A2808" t="str">
            <v>05</v>
          </cell>
          <cell r="B2808" t="str">
            <v>25</v>
          </cell>
          <cell r="C2808" t="str">
            <v>05</v>
          </cell>
          <cell r="D2808" t="str">
            <v>5</v>
          </cell>
          <cell r="E2808" t="str">
            <v>0006</v>
          </cell>
          <cell r="F2808" t="str">
            <v>0001</v>
          </cell>
          <cell r="G2808" t="str">
            <v>20902</v>
          </cell>
          <cell r="H2808" t="str">
            <v>转付企财保险费</v>
          </cell>
          <cell r="I2808" t="b">
            <v>1</v>
          </cell>
          <cell r="J2808">
            <v>7957</v>
          </cell>
          <cell r="K2808">
            <v>0</v>
          </cell>
          <cell r="L2808">
            <v>0</v>
          </cell>
        </row>
        <row r="2809">
          <cell r="A2809" t="str">
            <v>06</v>
          </cell>
          <cell r="B2809" t="str">
            <v>20</v>
          </cell>
          <cell r="C2809" t="str">
            <v>06</v>
          </cell>
          <cell r="D2809" t="str">
            <v>3</v>
          </cell>
          <cell r="E2809" t="str">
            <v>0002</v>
          </cell>
          <cell r="F2809" t="str">
            <v>0003</v>
          </cell>
          <cell r="G2809" t="str">
            <v>20902</v>
          </cell>
          <cell r="H2809" t="str">
            <v>收回住房集资金多付款</v>
          </cell>
          <cell r="I2809" t="b">
            <v>0</v>
          </cell>
          <cell r="J2809">
            <v>4446</v>
          </cell>
          <cell r="K2809">
            <v>0</v>
          </cell>
          <cell r="L2809">
            <v>0</v>
          </cell>
        </row>
        <row r="2810">
          <cell r="A2810" t="str">
            <v>06</v>
          </cell>
          <cell r="B2810" t="str">
            <v>20</v>
          </cell>
          <cell r="C2810" t="str">
            <v>06</v>
          </cell>
          <cell r="D2810" t="str">
            <v>4</v>
          </cell>
          <cell r="E2810" t="str">
            <v>0012</v>
          </cell>
          <cell r="F2810" t="str">
            <v>0050</v>
          </cell>
          <cell r="G2810" t="str">
            <v>20902</v>
          </cell>
          <cell r="H2810" t="str">
            <v>退住房集资</v>
          </cell>
          <cell r="I2810" t="b">
            <v>1</v>
          </cell>
          <cell r="J2810">
            <v>4446</v>
          </cell>
          <cell r="K2810">
            <v>0</v>
          </cell>
          <cell r="L2810">
            <v>0</v>
          </cell>
        </row>
        <row r="2811">
          <cell r="A2811" t="str">
            <v>06</v>
          </cell>
          <cell r="B2811" t="str">
            <v>16</v>
          </cell>
          <cell r="C2811" t="str">
            <v>06</v>
          </cell>
          <cell r="D2811" t="str">
            <v>5</v>
          </cell>
          <cell r="E2811" t="str">
            <v>0002</v>
          </cell>
          <cell r="F2811" t="str">
            <v>0001</v>
          </cell>
          <cell r="G2811" t="str">
            <v>20902</v>
          </cell>
          <cell r="H2811" t="str">
            <v>转付保险费</v>
          </cell>
          <cell r="I2811" t="b">
            <v>1</v>
          </cell>
          <cell r="J2811">
            <v>7308.5</v>
          </cell>
          <cell r="K2811">
            <v>0</v>
          </cell>
          <cell r="L2811">
            <v>0</v>
          </cell>
        </row>
        <row r="2812">
          <cell r="A2812" t="str">
            <v>06</v>
          </cell>
          <cell r="B2812" t="str">
            <v>16</v>
          </cell>
          <cell r="C2812" t="str">
            <v>06</v>
          </cell>
          <cell r="D2812" t="str">
            <v>5</v>
          </cell>
          <cell r="E2812" t="str">
            <v>0003</v>
          </cell>
          <cell r="F2812" t="str">
            <v>0002</v>
          </cell>
          <cell r="G2812" t="str">
            <v>20902</v>
          </cell>
          <cell r="H2812" t="str">
            <v>转购酶试剂</v>
          </cell>
          <cell r="I2812" t="b">
            <v>0</v>
          </cell>
          <cell r="J2812">
            <v>10119.15</v>
          </cell>
          <cell r="K2812">
            <v>0</v>
          </cell>
          <cell r="L2812">
            <v>0</v>
          </cell>
        </row>
        <row r="2813">
          <cell r="A2813" t="str">
            <v>06</v>
          </cell>
          <cell r="B2813" t="str">
            <v>20</v>
          </cell>
          <cell r="C2813" t="str">
            <v>06</v>
          </cell>
          <cell r="D2813" t="str">
            <v>5</v>
          </cell>
          <cell r="E2813" t="str">
            <v>0008</v>
          </cell>
          <cell r="F2813" t="str">
            <v>0006</v>
          </cell>
          <cell r="G2813" t="str">
            <v>20902</v>
          </cell>
          <cell r="H2813" t="str">
            <v>计提本月工会经费</v>
          </cell>
          <cell r="I2813" t="b">
            <v>0</v>
          </cell>
          <cell r="J2813">
            <v>5843.99</v>
          </cell>
          <cell r="K2813">
            <v>0</v>
          </cell>
          <cell r="L2813">
            <v>0</v>
          </cell>
        </row>
        <row r="2814">
          <cell r="A2814" t="str">
            <v>06</v>
          </cell>
          <cell r="B2814" t="str">
            <v>20</v>
          </cell>
          <cell r="C2814" t="str">
            <v>06</v>
          </cell>
          <cell r="D2814" t="str">
            <v>5</v>
          </cell>
          <cell r="E2814" t="str">
            <v>0008</v>
          </cell>
          <cell r="F2814" t="str">
            <v>0009</v>
          </cell>
          <cell r="G2814" t="str">
            <v>20902</v>
          </cell>
          <cell r="H2814" t="str">
            <v>计提本月职教费</v>
          </cell>
          <cell r="I2814" t="b">
            <v>0</v>
          </cell>
          <cell r="J2814">
            <v>4383</v>
          </cell>
          <cell r="K2814">
            <v>0</v>
          </cell>
          <cell r="L2814">
            <v>0</v>
          </cell>
        </row>
        <row r="2815">
          <cell r="A2815" t="str">
            <v>07</v>
          </cell>
          <cell r="B2815" t="str">
            <v>01</v>
          </cell>
          <cell r="C2815" t="str">
            <v>07</v>
          </cell>
          <cell r="D2815" t="str">
            <v>1</v>
          </cell>
          <cell r="E2815" t="str">
            <v>0001</v>
          </cell>
          <cell r="F2815" t="str">
            <v>0003</v>
          </cell>
          <cell r="G2815" t="str">
            <v>20902</v>
          </cell>
          <cell r="H2815" t="str">
            <v>代收款</v>
          </cell>
          <cell r="I2815" t="b">
            <v>0</v>
          </cell>
          <cell r="J2815">
            <v>47355</v>
          </cell>
          <cell r="K2815">
            <v>0</v>
          </cell>
          <cell r="L2815">
            <v>0</v>
          </cell>
        </row>
        <row r="2816">
          <cell r="A2816" t="str">
            <v>07</v>
          </cell>
          <cell r="B2816" t="str">
            <v>03</v>
          </cell>
          <cell r="C2816" t="str">
            <v>07</v>
          </cell>
          <cell r="D2816" t="str">
            <v>2</v>
          </cell>
          <cell r="E2816" t="str">
            <v>0001</v>
          </cell>
          <cell r="F2816" t="str">
            <v>0001</v>
          </cell>
          <cell r="G2816" t="str">
            <v>20902</v>
          </cell>
          <cell r="H2816" t="str">
            <v>付职工存款</v>
          </cell>
          <cell r="I2816" t="b">
            <v>1</v>
          </cell>
          <cell r="J2816">
            <v>30640</v>
          </cell>
          <cell r="K2816">
            <v>0</v>
          </cell>
          <cell r="L2816">
            <v>0</v>
          </cell>
        </row>
        <row r="2817">
          <cell r="A2817" t="str">
            <v>07</v>
          </cell>
          <cell r="B2817" t="str">
            <v>06</v>
          </cell>
          <cell r="C2817" t="str">
            <v>07</v>
          </cell>
          <cell r="D2817" t="str">
            <v>4</v>
          </cell>
          <cell r="E2817" t="str">
            <v>0004</v>
          </cell>
          <cell r="F2817" t="str">
            <v>0001</v>
          </cell>
          <cell r="G2817" t="str">
            <v>20902</v>
          </cell>
          <cell r="H2817" t="str">
            <v>付工会经费</v>
          </cell>
          <cell r="I2817" t="b">
            <v>1</v>
          </cell>
          <cell r="J2817">
            <v>5000</v>
          </cell>
          <cell r="K2817">
            <v>0</v>
          </cell>
          <cell r="L2817">
            <v>0</v>
          </cell>
        </row>
        <row r="2818">
          <cell r="A2818" t="str">
            <v>07</v>
          </cell>
          <cell r="B2818" t="str">
            <v>15</v>
          </cell>
          <cell r="C2818" t="str">
            <v>07</v>
          </cell>
          <cell r="D2818" t="str">
            <v>4</v>
          </cell>
          <cell r="E2818" t="str">
            <v>0011</v>
          </cell>
          <cell r="F2818" t="str">
            <v>0006</v>
          </cell>
          <cell r="G2818" t="str">
            <v>20902</v>
          </cell>
          <cell r="H2818" t="str">
            <v>付借款</v>
          </cell>
          <cell r="I2818" t="b">
            <v>1</v>
          </cell>
          <cell r="J2818">
            <v>289878.46000000002</v>
          </cell>
          <cell r="K2818">
            <v>0</v>
          </cell>
          <cell r="L2818">
            <v>0</v>
          </cell>
        </row>
        <row r="2819">
          <cell r="A2819" t="str">
            <v>07</v>
          </cell>
          <cell r="B2819" t="str">
            <v>12</v>
          </cell>
          <cell r="C2819" t="str">
            <v>07</v>
          </cell>
          <cell r="D2819" t="str">
            <v>5</v>
          </cell>
          <cell r="E2819" t="str">
            <v>0001</v>
          </cell>
          <cell r="F2819" t="str">
            <v>0004</v>
          </cell>
          <cell r="G2819" t="str">
            <v>20902</v>
          </cell>
          <cell r="H2819" t="str">
            <v>转本月工人奖金</v>
          </cell>
          <cell r="I2819" t="b">
            <v>1</v>
          </cell>
          <cell r="J2819">
            <v>166555.04999999999</v>
          </cell>
          <cell r="K2819">
            <v>0</v>
          </cell>
          <cell r="L2819">
            <v>0</v>
          </cell>
        </row>
        <row r="2820">
          <cell r="A2820" t="str">
            <v>07</v>
          </cell>
          <cell r="B2820" t="str">
            <v>12</v>
          </cell>
          <cell r="C2820" t="str">
            <v>07</v>
          </cell>
          <cell r="D2820" t="str">
            <v>5</v>
          </cell>
          <cell r="E2820" t="str">
            <v>0002</v>
          </cell>
          <cell r="F2820" t="str">
            <v>0006</v>
          </cell>
          <cell r="G2820" t="str">
            <v>20902</v>
          </cell>
          <cell r="H2820" t="str">
            <v>计提工会经费</v>
          </cell>
          <cell r="I2820" t="b">
            <v>0</v>
          </cell>
          <cell r="J2820">
            <v>5205.53</v>
          </cell>
          <cell r="K2820">
            <v>0</v>
          </cell>
          <cell r="L2820">
            <v>0</v>
          </cell>
        </row>
        <row r="2821">
          <cell r="A2821" t="str">
            <v>07</v>
          </cell>
          <cell r="B2821" t="str">
            <v>12</v>
          </cell>
          <cell r="C2821" t="str">
            <v>07</v>
          </cell>
          <cell r="D2821" t="str">
            <v>5</v>
          </cell>
          <cell r="E2821" t="str">
            <v>0002</v>
          </cell>
          <cell r="F2821" t="str">
            <v>0009</v>
          </cell>
          <cell r="G2821" t="str">
            <v>20902</v>
          </cell>
          <cell r="H2821" t="str">
            <v>计提职教费</v>
          </cell>
          <cell r="I2821" t="b">
            <v>0</v>
          </cell>
          <cell r="J2821">
            <v>3904.15</v>
          </cell>
          <cell r="K2821">
            <v>0</v>
          </cell>
          <cell r="L2821">
            <v>0</v>
          </cell>
        </row>
        <row r="2822">
          <cell r="A2822" t="str">
            <v>07</v>
          </cell>
          <cell r="B2822" t="str">
            <v>25</v>
          </cell>
          <cell r="C2822" t="str">
            <v>07</v>
          </cell>
          <cell r="D2822" t="str">
            <v>5</v>
          </cell>
          <cell r="E2822" t="str">
            <v>0019</v>
          </cell>
          <cell r="F2822" t="str">
            <v>0001</v>
          </cell>
          <cell r="G2822" t="str">
            <v>20902</v>
          </cell>
          <cell r="H2822" t="str">
            <v>转材料款</v>
          </cell>
          <cell r="I2822" t="b">
            <v>1</v>
          </cell>
          <cell r="J2822">
            <v>10119.15</v>
          </cell>
          <cell r="K2822">
            <v>0</v>
          </cell>
          <cell r="L2822">
            <v>0</v>
          </cell>
        </row>
        <row r="2823">
          <cell r="A2823" t="str">
            <v>08</v>
          </cell>
          <cell r="B2823" t="str">
            <v>01</v>
          </cell>
          <cell r="C2823" t="str">
            <v>08</v>
          </cell>
          <cell r="D2823" t="str">
            <v>1</v>
          </cell>
          <cell r="E2823" t="str">
            <v>0001</v>
          </cell>
          <cell r="F2823" t="str">
            <v>0002</v>
          </cell>
          <cell r="G2823" t="str">
            <v>20902</v>
          </cell>
          <cell r="H2823" t="str">
            <v>收高太修押金</v>
          </cell>
          <cell r="I2823" t="b">
            <v>0</v>
          </cell>
          <cell r="J2823">
            <v>2000</v>
          </cell>
          <cell r="K2823">
            <v>0</v>
          </cell>
          <cell r="L2823">
            <v>0</v>
          </cell>
        </row>
        <row r="2824">
          <cell r="A2824" t="str">
            <v>08</v>
          </cell>
          <cell r="B2824" t="str">
            <v>01</v>
          </cell>
          <cell r="C2824" t="str">
            <v>08</v>
          </cell>
          <cell r="D2824" t="str">
            <v>1</v>
          </cell>
          <cell r="E2824" t="str">
            <v>0001</v>
          </cell>
          <cell r="F2824" t="str">
            <v>0003</v>
          </cell>
          <cell r="G2824" t="str">
            <v>20902</v>
          </cell>
          <cell r="H2824" t="str">
            <v>收王中岭押金</v>
          </cell>
          <cell r="I2824" t="b">
            <v>0</v>
          </cell>
          <cell r="J2824">
            <v>2000</v>
          </cell>
          <cell r="K2824">
            <v>0</v>
          </cell>
          <cell r="L2824">
            <v>0</v>
          </cell>
        </row>
        <row r="2825">
          <cell r="A2825" t="str">
            <v>08</v>
          </cell>
          <cell r="B2825" t="str">
            <v>08</v>
          </cell>
          <cell r="C2825" t="str">
            <v>08</v>
          </cell>
          <cell r="D2825" t="str">
            <v>5</v>
          </cell>
          <cell r="E2825" t="str">
            <v>0002</v>
          </cell>
          <cell r="F2825" t="str">
            <v>0004</v>
          </cell>
          <cell r="G2825" t="str">
            <v>20902</v>
          </cell>
          <cell r="H2825" t="str">
            <v>计提本月管理部门工会经费</v>
          </cell>
          <cell r="I2825" t="b">
            <v>0</v>
          </cell>
          <cell r="J2825">
            <v>754.56</v>
          </cell>
          <cell r="K2825">
            <v>0</v>
          </cell>
          <cell r="L2825">
            <v>0</v>
          </cell>
        </row>
        <row r="2826">
          <cell r="A2826" t="str">
            <v>08</v>
          </cell>
          <cell r="B2826" t="str">
            <v>08</v>
          </cell>
          <cell r="C2826" t="str">
            <v>08</v>
          </cell>
          <cell r="D2826" t="str">
            <v>5</v>
          </cell>
          <cell r="E2826" t="str">
            <v>0002</v>
          </cell>
          <cell r="F2826" t="str">
            <v>0006</v>
          </cell>
          <cell r="G2826" t="str">
            <v>20902</v>
          </cell>
          <cell r="H2826" t="str">
            <v>计提本月管理部门职教费</v>
          </cell>
          <cell r="I2826" t="b">
            <v>0</v>
          </cell>
          <cell r="J2826">
            <v>565.92999999999995</v>
          </cell>
          <cell r="K2826">
            <v>0</v>
          </cell>
          <cell r="L2826">
            <v>0</v>
          </cell>
        </row>
        <row r="2827">
          <cell r="A2827" t="str">
            <v>09</v>
          </cell>
          <cell r="B2827" t="str">
            <v>05</v>
          </cell>
          <cell r="C2827" t="str">
            <v>09</v>
          </cell>
          <cell r="D2827" t="str">
            <v>1</v>
          </cell>
          <cell r="E2827" t="str">
            <v>0003</v>
          </cell>
          <cell r="F2827" t="str">
            <v>0002</v>
          </cell>
          <cell r="G2827" t="str">
            <v>20902</v>
          </cell>
          <cell r="H2827" t="str">
            <v>收李中壮车押金</v>
          </cell>
          <cell r="I2827" t="b">
            <v>0</v>
          </cell>
          <cell r="J2827">
            <v>2000</v>
          </cell>
          <cell r="K2827">
            <v>0</v>
          </cell>
          <cell r="L2827">
            <v>0</v>
          </cell>
        </row>
        <row r="2828">
          <cell r="A2828" t="str">
            <v>09</v>
          </cell>
          <cell r="B2828" t="str">
            <v>08</v>
          </cell>
          <cell r="C2828" t="str">
            <v>09</v>
          </cell>
          <cell r="D2828" t="str">
            <v>2</v>
          </cell>
          <cell r="E2828" t="str">
            <v>0005</v>
          </cell>
          <cell r="F2828" t="str">
            <v>0001</v>
          </cell>
          <cell r="G2828" t="str">
            <v>20902</v>
          </cell>
          <cell r="H2828" t="str">
            <v>付职工内部存款</v>
          </cell>
          <cell r="I2828" t="b">
            <v>1</v>
          </cell>
          <cell r="J2828">
            <v>51600</v>
          </cell>
          <cell r="K2828">
            <v>0</v>
          </cell>
          <cell r="L2828">
            <v>0</v>
          </cell>
        </row>
        <row r="2829">
          <cell r="A2829" t="str">
            <v>09</v>
          </cell>
          <cell r="B2829" t="str">
            <v>06</v>
          </cell>
          <cell r="C2829" t="str">
            <v>09</v>
          </cell>
          <cell r="D2829" t="str">
            <v>5</v>
          </cell>
          <cell r="E2829" t="str">
            <v>0002</v>
          </cell>
          <cell r="F2829" t="str">
            <v>0004</v>
          </cell>
          <cell r="G2829" t="str">
            <v>20902</v>
          </cell>
          <cell r="H2829" t="str">
            <v>计提本月工会经费</v>
          </cell>
          <cell r="I2829" t="b">
            <v>0</v>
          </cell>
          <cell r="J2829">
            <v>1189.47</v>
          </cell>
          <cell r="K2829">
            <v>0</v>
          </cell>
          <cell r="L2829">
            <v>0</v>
          </cell>
        </row>
        <row r="2830">
          <cell r="A2830" t="str">
            <v>09</v>
          </cell>
          <cell r="B2830" t="str">
            <v>06</v>
          </cell>
          <cell r="C2830" t="str">
            <v>09</v>
          </cell>
          <cell r="D2830" t="str">
            <v>5</v>
          </cell>
          <cell r="E2830" t="str">
            <v>0002</v>
          </cell>
          <cell r="F2830" t="str">
            <v>0006</v>
          </cell>
          <cell r="G2830" t="str">
            <v>20902</v>
          </cell>
          <cell r="H2830" t="str">
            <v>计提本月职教费</v>
          </cell>
          <cell r="I2830" t="b">
            <v>0</v>
          </cell>
          <cell r="J2830">
            <v>892.1</v>
          </cell>
          <cell r="K2830">
            <v>0</v>
          </cell>
          <cell r="L2830">
            <v>0</v>
          </cell>
        </row>
        <row r="2831">
          <cell r="A2831" t="str">
            <v>09</v>
          </cell>
          <cell r="B2831" t="str">
            <v>28</v>
          </cell>
          <cell r="C2831" t="str">
            <v>09</v>
          </cell>
          <cell r="D2831" t="str">
            <v>5</v>
          </cell>
          <cell r="E2831" t="str">
            <v>0021</v>
          </cell>
          <cell r="F2831" t="str">
            <v>0002</v>
          </cell>
          <cell r="G2831" t="str">
            <v>20902</v>
          </cell>
          <cell r="H2831" t="str">
            <v>转户</v>
          </cell>
          <cell r="I2831" t="b">
            <v>0</v>
          </cell>
          <cell r="J2831">
            <v>75314.02</v>
          </cell>
          <cell r="K2831">
            <v>0</v>
          </cell>
          <cell r="L2831">
            <v>0</v>
          </cell>
        </row>
        <row r="2832">
          <cell r="A2832" t="str">
            <v>10</v>
          </cell>
          <cell r="B2832" t="str">
            <v>15</v>
          </cell>
          <cell r="C2832" t="str">
            <v>10</v>
          </cell>
          <cell r="D2832" t="str">
            <v>2</v>
          </cell>
          <cell r="E2832" t="str">
            <v>0014</v>
          </cell>
          <cell r="F2832" t="str">
            <v>0003</v>
          </cell>
          <cell r="G2832" t="str">
            <v>20902</v>
          </cell>
          <cell r="H2832" t="str">
            <v>付职工内部存款</v>
          </cell>
          <cell r="I2832" t="b">
            <v>1</v>
          </cell>
          <cell r="J2832">
            <v>100</v>
          </cell>
          <cell r="K2832">
            <v>0</v>
          </cell>
          <cell r="L2832">
            <v>0</v>
          </cell>
        </row>
        <row r="2833">
          <cell r="A2833" t="str">
            <v>10</v>
          </cell>
          <cell r="B2833" t="str">
            <v>22</v>
          </cell>
          <cell r="C2833" t="str">
            <v>10</v>
          </cell>
          <cell r="D2833" t="str">
            <v>4</v>
          </cell>
          <cell r="E2833" t="str">
            <v>0025</v>
          </cell>
          <cell r="F2833" t="str">
            <v>0005</v>
          </cell>
          <cell r="G2833" t="str">
            <v>20902</v>
          </cell>
          <cell r="H2833" t="str">
            <v>代扣个人所得税</v>
          </cell>
          <cell r="I2833" t="b">
            <v>0</v>
          </cell>
          <cell r="J2833">
            <v>850.82</v>
          </cell>
          <cell r="K2833">
            <v>0</v>
          </cell>
          <cell r="L2833">
            <v>0</v>
          </cell>
        </row>
        <row r="2834">
          <cell r="A2834" t="str">
            <v>10</v>
          </cell>
          <cell r="B2834" t="str">
            <v>24</v>
          </cell>
          <cell r="C2834" t="str">
            <v>10</v>
          </cell>
          <cell r="D2834" t="str">
            <v>5</v>
          </cell>
          <cell r="E2834" t="str">
            <v>0013</v>
          </cell>
          <cell r="F2834" t="str">
            <v>0004</v>
          </cell>
          <cell r="G2834" t="str">
            <v>20902</v>
          </cell>
          <cell r="H2834" t="str">
            <v>提取本月工会经费</v>
          </cell>
          <cell r="I2834" t="b">
            <v>0</v>
          </cell>
          <cell r="J2834">
            <v>1257.42</v>
          </cell>
          <cell r="K2834">
            <v>0</v>
          </cell>
          <cell r="L2834">
            <v>0</v>
          </cell>
        </row>
        <row r="2835">
          <cell r="A2835" t="str">
            <v>10</v>
          </cell>
          <cell r="B2835" t="str">
            <v>24</v>
          </cell>
          <cell r="C2835" t="str">
            <v>10</v>
          </cell>
          <cell r="D2835" t="str">
            <v>5</v>
          </cell>
          <cell r="E2835" t="str">
            <v>0013</v>
          </cell>
          <cell r="F2835" t="str">
            <v>0006</v>
          </cell>
          <cell r="G2835" t="str">
            <v>20902</v>
          </cell>
          <cell r="H2835" t="str">
            <v>提取本月职教费</v>
          </cell>
          <cell r="I2835" t="b">
            <v>0</v>
          </cell>
          <cell r="J2835">
            <v>943.07</v>
          </cell>
          <cell r="K2835">
            <v>0</v>
          </cell>
          <cell r="L2835">
            <v>0</v>
          </cell>
        </row>
        <row r="2836">
          <cell r="A2836" t="str">
            <v>11</v>
          </cell>
          <cell r="B2836" t="str">
            <v>15</v>
          </cell>
          <cell r="C2836" t="str">
            <v>11</v>
          </cell>
          <cell r="D2836" t="str">
            <v>4</v>
          </cell>
          <cell r="E2836" t="str">
            <v>0027</v>
          </cell>
          <cell r="F2836" t="str">
            <v>0005</v>
          </cell>
          <cell r="G2836" t="str">
            <v>20902</v>
          </cell>
          <cell r="H2836" t="str">
            <v>代本月个人所得税</v>
          </cell>
          <cell r="I2836" t="b">
            <v>0</v>
          </cell>
          <cell r="J2836">
            <v>828.7</v>
          </cell>
          <cell r="K2836">
            <v>0</v>
          </cell>
          <cell r="L2836">
            <v>0</v>
          </cell>
        </row>
        <row r="2837">
          <cell r="A2837" t="str">
            <v>11</v>
          </cell>
          <cell r="B2837" t="str">
            <v>20</v>
          </cell>
          <cell r="C2837" t="str">
            <v>11</v>
          </cell>
          <cell r="D2837" t="str">
            <v>4</v>
          </cell>
          <cell r="E2837" t="str">
            <v>0031</v>
          </cell>
          <cell r="F2837" t="str">
            <v>0001</v>
          </cell>
          <cell r="G2837" t="str">
            <v>20902</v>
          </cell>
          <cell r="H2837" t="str">
            <v>酸苹果基地建设补助费</v>
          </cell>
          <cell r="I2837" t="b">
            <v>1</v>
          </cell>
          <cell r="J2837">
            <v>100000</v>
          </cell>
          <cell r="K2837">
            <v>0</v>
          </cell>
          <cell r="L2837">
            <v>0</v>
          </cell>
        </row>
        <row r="2838">
          <cell r="A2838" t="str">
            <v>11</v>
          </cell>
          <cell r="B2838" t="str">
            <v>18</v>
          </cell>
          <cell r="C2838" t="str">
            <v>11</v>
          </cell>
          <cell r="D2838" t="str">
            <v>5</v>
          </cell>
          <cell r="E2838" t="str">
            <v>0015</v>
          </cell>
          <cell r="F2838" t="str">
            <v>0004</v>
          </cell>
          <cell r="G2838" t="str">
            <v>20902</v>
          </cell>
          <cell r="H2838" t="str">
            <v>提取本月工会经费</v>
          </cell>
          <cell r="I2838" t="b">
            <v>0</v>
          </cell>
          <cell r="J2838">
            <v>1260.47</v>
          </cell>
          <cell r="K2838">
            <v>0</v>
          </cell>
          <cell r="L2838">
            <v>0</v>
          </cell>
        </row>
        <row r="2839">
          <cell r="A2839" t="str">
            <v>11</v>
          </cell>
          <cell r="B2839" t="str">
            <v>18</v>
          </cell>
          <cell r="C2839" t="str">
            <v>11</v>
          </cell>
          <cell r="D2839" t="str">
            <v>5</v>
          </cell>
          <cell r="E2839" t="str">
            <v>0015</v>
          </cell>
          <cell r="F2839" t="str">
            <v>0006</v>
          </cell>
          <cell r="G2839" t="str">
            <v>20902</v>
          </cell>
          <cell r="H2839" t="str">
            <v>提取本月职工教育经费</v>
          </cell>
          <cell r="I2839" t="b">
            <v>0</v>
          </cell>
          <cell r="J2839">
            <v>945.35</v>
          </cell>
          <cell r="K2839">
            <v>0</v>
          </cell>
          <cell r="L2839">
            <v>0</v>
          </cell>
        </row>
        <row r="2840">
          <cell r="A2840" t="str">
            <v>12</v>
          </cell>
          <cell r="B2840" t="str">
            <v>21</v>
          </cell>
          <cell r="C2840" t="str">
            <v>12</v>
          </cell>
          <cell r="D2840" t="str">
            <v>1</v>
          </cell>
          <cell r="E2840" t="str">
            <v>0006</v>
          </cell>
          <cell r="F2840" t="str">
            <v>0002</v>
          </cell>
          <cell r="G2840" t="str">
            <v>20902</v>
          </cell>
          <cell r="H2840" t="str">
            <v>收房款</v>
          </cell>
          <cell r="I2840" t="b">
            <v>0</v>
          </cell>
          <cell r="J2840">
            <v>10721</v>
          </cell>
          <cell r="K2840">
            <v>0</v>
          </cell>
          <cell r="L2840">
            <v>0</v>
          </cell>
        </row>
        <row r="2841">
          <cell r="A2841" t="str">
            <v>12</v>
          </cell>
          <cell r="B2841" t="str">
            <v>04</v>
          </cell>
          <cell r="C2841" t="str">
            <v>12</v>
          </cell>
          <cell r="D2841" t="str">
            <v>3</v>
          </cell>
          <cell r="E2841" t="str">
            <v>0003</v>
          </cell>
          <cell r="F2841" t="str">
            <v>0002</v>
          </cell>
          <cell r="G2841" t="str">
            <v>20902</v>
          </cell>
          <cell r="H2841" t="str">
            <v>收科技项目款</v>
          </cell>
          <cell r="I2841" t="b">
            <v>0</v>
          </cell>
          <cell r="J2841">
            <v>200000</v>
          </cell>
          <cell r="K2841">
            <v>0</v>
          </cell>
          <cell r="L2841">
            <v>0</v>
          </cell>
        </row>
        <row r="2842">
          <cell r="A2842" t="str">
            <v>12</v>
          </cell>
          <cell r="B2842" t="str">
            <v>08</v>
          </cell>
          <cell r="C2842" t="str">
            <v>12</v>
          </cell>
          <cell r="D2842" t="str">
            <v>4</v>
          </cell>
          <cell r="E2842" t="str">
            <v>0010</v>
          </cell>
          <cell r="F2842" t="str">
            <v>0005</v>
          </cell>
          <cell r="G2842" t="str">
            <v>20902</v>
          </cell>
          <cell r="H2842" t="str">
            <v>代扣个人所得税</v>
          </cell>
          <cell r="I2842" t="b">
            <v>0</v>
          </cell>
          <cell r="J2842">
            <v>868.95</v>
          </cell>
          <cell r="K2842">
            <v>0</v>
          </cell>
          <cell r="L2842">
            <v>0</v>
          </cell>
        </row>
        <row r="2843">
          <cell r="A2843" t="str">
            <v>12</v>
          </cell>
          <cell r="B2843" t="str">
            <v>08</v>
          </cell>
          <cell r="C2843" t="str">
            <v>12</v>
          </cell>
          <cell r="D2843" t="str">
            <v>4</v>
          </cell>
          <cell r="E2843" t="str">
            <v>0015</v>
          </cell>
          <cell r="F2843" t="str">
            <v>0003</v>
          </cell>
          <cell r="G2843" t="str">
            <v>20902</v>
          </cell>
          <cell r="H2843" t="str">
            <v>付科技培训费</v>
          </cell>
          <cell r="I2843" t="b">
            <v>1</v>
          </cell>
          <cell r="J2843">
            <v>50000</v>
          </cell>
          <cell r="K2843">
            <v>0</v>
          </cell>
          <cell r="L2843">
            <v>0</v>
          </cell>
        </row>
        <row r="2844">
          <cell r="A2844" t="str">
            <v>12</v>
          </cell>
          <cell r="B2844" t="str">
            <v>19</v>
          </cell>
          <cell r="C2844" t="str">
            <v>12</v>
          </cell>
          <cell r="D2844" t="str">
            <v>4</v>
          </cell>
          <cell r="E2844" t="str">
            <v>0031</v>
          </cell>
          <cell r="F2844" t="str">
            <v>0001</v>
          </cell>
          <cell r="G2844" t="str">
            <v>20902</v>
          </cell>
          <cell r="H2844" t="str">
            <v>付项目款</v>
          </cell>
          <cell r="I2844" t="b">
            <v>1</v>
          </cell>
          <cell r="J2844">
            <v>50000</v>
          </cell>
          <cell r="K2844">
            <v>0</v>
          </cell>
          <cell r="L2844">
            <v>0</v>
          </cell>
        </row>
        <row r="2845">
          <cell r="A2845" t="str">
            <v>12</v>
          </cell>
          <cell r="B2845" t="str">
            <v>30</v>
          </cell>
          <cell r="C2845" t="str">
            <v>12</v>
          </cell>
          <cell r="D2845" t="str">
            <v>4</v>
          </cell>
          <cell r="E2845" t="str">
            <v>0059</v>
          </cell>
          <cell r="F2845" t="str">
            <v>0001</v>
          </cell>
          <cell r="G2845" t="str">
            <v>20902</v>
          </cell>
          <cell r="H2845" t="str">
            <v>付工会经费</v>
          </cell>
          <cell r="I2845" t="b">
            <v>1</v>
          </cell>
          <cell r="J2845">
            <v>36889.29</v>
          </cell>
          <cell r="K2845">
            <v>0</v>
          </cell>
          <cell r="L2845">
            <v>0</v>
          </cell>
        </row>
        <row r="2846">
          <cell r="A2846" t="str">
            <v>12</v>
          </cell>
          <cell r="B2846" t="str">
            <v>08</v>
          </cell>
          <cell r="C2846" t="str">
            <v>12</v>
          </cell>
          <cell r="D2846" t="str">
            <v>5</v>
          </cell>
          <cell r="E2846" t="str">
            <v>0002</v>
          </cell>
          <cell r="F2846" t="str">
            <v>0004</v>
          </cell>
          <cell r="G2846" t="str">
            <v>20902</v>
          </cell>
          <cell r="H2846" t="str">
            <v>提取工会经费</v>
          </cell>
          <cell r="I2846" t="b">
            <v>0</v>
          </cell>
          <cell r="J2846">
            <v>1278.07</v>
          </cell>
          <cell r="K2846">
            <v>0</v>
          </cell>
          <cell r="L2846">
            <v>0</v>
          </cell>
        </row>
        <row r="2847">
          <cell r="A2847" t="str">
            <v>12</v>
          </cell>
          <cell r="B2847" t="str">
            <v>08</v>
          </cell>
          <cell r="C2847" t="str">
            <v>12</v>
          </cell>
          <cell r="D2847" t="str">
            <v>5</v>
          </cell>
          <cell r="E2847" t="str">
            <v>0002</v>
          </cell>
          <cell r="F2847" t="str">
            <v>0006</v>
          </cell>
          <cell r="G2847" t="str">
            <v>20902</v>
          </cell>
          <cell r="H2847" t="str">
            <v>提取职工教育经费</v>
          </cell>
          <cell r="I2847" t="b">
            <v>0</v>
          </cell>
          <cell r="J2847">
            <v>958.54</v>
          </cell>
          <cell r="K2847">
            <v>0</v>
          </cell>
          <cell r="L2847">
            <v>0</v>
          </cell>
        </row>
        <row r="2848">
          <cell r="A2848" t="str">
            <v>12</v>
          </cell>
          <cell r="B2848" t="str">
            <v>30</v>
          </cell>
          <cell r="C2848" t="str">
            <v>12</v>
          </cell>
          <cell r="D2848" t="str">
            <v>5</v>
          </cell>
          <cell r="E2848" t="str">
            <v>0088</v>
          </cell>
          <cell r="F2848" t="str">
            <v>0004</v>
          </cell>
          <cell r="G2848" t="str">
            <v>20902</v>
          </cell>
          <cell r="H2848" t="str">
            <v>转代扣个人所得税</v>
          </cell>
          <cell r="I2848" t="b">
            <v>0</v>
          </cell>
          <cell r="J2848">
            <v>487.8</v>
          </cell>
          <cell r="K2848">
            <v>0</v>
          </cell>
          <cell r="L2848">
            <v>0</v>
          </cell>
        </row>
        <row r="2849">
          <cell r="A2849" t="str">
            <v>12</v>
          </cell>
          <cell r="B2849" t="str">
            <v>30</v>
          </cell>
          <cell r="C2849" t="str">
            <v>12</v>
          </cell>
          <cell r="D2849" t="str">
            <v>5</v>
          </cell>
          <cell r="E2849" t="str">
            <v>0088</v>
          </cell>
          <cell r="F2849" t="str">
            <v>0009</v>
          </cell>
          <cell r="G2849" t="str">
            <v>20902</v>
          </cell>
          <cell r="H2849" t="str">
            <v>转发工人工资</v>
          </cell>
          <cell r="I2849" t="b">
            <v>0</v>
          </cell>
          <cell r="J2849">
            <v>40742.5</v>
          </cell>
          <cell r="K2849">
            <v>0</v>
          </cell>
          <cell r="L2849">
            <v>0</v>
          </cell>
        </row>
        <row r="2850">
          <cell r="A2850" t="str">
            <v>12</v>
          </cell>
          <cell r="B2850" t="str">
            <v>30</v>
          </cell>
          <cell r="C2850" t="str">
            <v>12</v>
          </cell>
          <cell r="D2850" t="str">
            <v>5</v>
          </cell>
          <cell r="E2850" t="str">
            <v>0090</v>
          </cell>
          <cell r="F2850" t="str">
            <v>0004</v>
          </cell>
          <cell r="G2850" t="str">
            <v>20902</v>
          </cell>
          <cell r="H2850" t="str">
            <v>提取工会经费</v>
          </cell>
          <cell r="I2850" t="b">
            <v>0</v>
          </cell>
          <cell r="J2850">
            <v>820.37</v>
          </cell>
          <cell r="K2850">
            <v>0</v>
          </cell>
          <cell r="L2850">
            <v>0</v>
          </cell>
        </row>
        <row r="2851">
          <cell r="A2851" t="str">
            <v>12</v>
          </cell>
          <cell r="B2851" t="str">
            <v>30</v>
          </cell>
          <cell r="C2851" t="str">
            <v>12</v>
          </cell>
          <cell r="D2851" t="str">
            <v>5</v>
          </cell>
          <cell r="E2851" t="str">
            <v>0090</v>
          </cell>
          <cell r="F2851" t="str">
            <v>0006</v>
          </cell>
          <cell r="G2851" t="str">
            <v>20902</v>
          </cell>
          <cell r="H2851" t="str">
            <v>提取职教费</v>
          </cell>
          <cell r="I2851" t="b">
            <v>0</v>
          </cell>
          <cell r="J2851">
            <v>615.28</v>
          </cell>
          <cell r="K2851">
            <v>0</v>
          </cell>
          <cell r="L2851">
            <v>0</v>
          </cell>
        </row>
        <row r="2852">
          <cell r="A2852" t="str">
            <v>12</v>
          </cell>
          <cell r="B2852" t="str">
            <v>31</v>
          </cell>
          <cell r="C2852" t="str">
            <v>12</v>
          </cell>
          <cell r="D2852" t="str">
            <v>5</v>
          </cell>
          <cell r="E2852" t="str">
            <v>0092</v>
          </cell>
          <cell r="F2852" t="str">
            <v>0002</v>
          </cell>
          <cell r="G2852" t="str">
            <v>20902</v>
          </cell>
          <cell r="H2852" t="str">
            <v>提取2000.07-12月份住房补贴</v>
          </cell>
          <cell r="I2852" t="b">
            <v>0</v>
          </cell>
          <cell r="J2852">
            <v>19681.080000000002</v>
          </cell>
          <cell r="K2852">
            <v>0</v>
          </cell>
          <cell r="L2852">
            <v>0</v>
          </cell>
        </row>
        <row r="2853">
          <cell r="A2853" t="str">
            <v>12</v>
          </cell>
          <cell r="B2853" t="str">
            <v>31</v>
          </cell>
          <cell r="C2853" t="str">
            <v>12</v>
          </cell>
          <cell r="D2853" t="str">
            <v>5</v>
          </cell>
          <cell r="E2853" t="str">
            <v>0096</v>
          </cell>
          <cell r="F2853" t="str">
            <v>0010</v>
          </cell>
          <cell r="G2853" t="str">
            <v>20902</v>
          </cell>
          <cell r="H2853" t="str">
            <v>转户</v>
          </cell>
          <cell r="I2853" t="b">
            <v>0</v>
          </cell>
          <cell r="J2853">
            <v>1962871.21</v>
          </cell>
          <cell r="K2853">
            <v>0</v>
          </cell>
          <cell r="L2853">
            <v>0</v>
          </cell>
        </row>
        <row r="2854">
          <cell r="A2854" t="str">
            <v>12</v>
          </cell>
          <cell r="B2854" t="str">
            <v>31</v>
          </cell>
          <cell r="C2854" t="str">
            <v>12</v>
          </cell>
          <cell r="D2854" t="str">
            <v>5</v>
          </cell>
          <cell r="E2854" t="str">
            <v>0099</v>
          </cell>
          <cell r="F2854" t="str">
            <v>0002</v>
          </cell>
          <cell r="G2854" t="str">
            <v>20902</v>
          </cell>
          <cell r="H2854" t="str">
            <v>转预提2000年效益工资及综合奖</v>
          </cell>
          <cell r="I2854" t="b">
            <v>0</v>
          </cell>
          <cell r="J2854">
            <v>1110000</v>
          </cell>
          <cell r="K2854">
            <v>0</v>
          </cell>
          <cell r="L2854">
            <v>0</v>
          </cell>
        </row>
        <row r="2855">
          <cell r="A2855" t="str">
            <v>12</v>
          </cell>
          <cell r="B2855" t="str">
            <v>31</v>
          </cell>
          <cell r="C2855" t="str">
            <v>12</v>
          </cell>
          <cell r="D2855" t="str">
            <v>5</v>
          </cell>
          <cell r="E2855" t="str">
            <v>0108</v>
          </cell>
          <cell r="F2855" t="str">
            <v>0002</v>
          </cell>
          <cell r="G2855" t="str">
            <v>20902</v>
          </cell>
          <cell r="H2855" t="str">
            <v>转户</v>
          </cell>
          <cell r="I2855" t="b">
            <v>0</v>
          </cell>
          <cell r="J2855">
            <v>1000000</v>
          </cell>
          <cell r="K2855">
            <v>0</v>
          </cell>
          <cell r="L2855">
            <v>0</v>
          </cell>
        </row>
        <row r="2856">
          <cell r="A2856" t="str">
            <v>02</v>
          </cell>
          <cell r="B2856" t="str">
            <v>15</v>
          </cell>
          <cell r="C2856" t="str">
            <v>02</v>
          </cell>
          <cell r="D2856" t="str">
            <v>2</v>
          </cell>
          <cell r="E2856" t="str">
            <v>0028</v>
          </cell>
          <cell r="F2856" t="str">
            <v>0002</v>
          </cell>
          <cell r="G2856" t="str">
            <v>20903</v>
          </cell>
          <cell r="H2856" t="str">
            <v>退风险金</v>
          </cell>
          <cell r="I2856" t="b">
            <v>1</v>
          </cell>
          <cell r="J2856">
            <v>500</v>
          </cell>
          <cell r="K2856">
            <v>0</v>
          </cell>
          <cell r="L2856">
            <v>0</v>
          </cell>
        </row>
        <row r="2857">
          <cell r="A2857" t="str">
            <v>06</v>
          </cell>
          <cell r="B2857" t="str">
            <v>01</v>
          </cell>
          <cell r="C2857" t="str">
            <v>06</v>
          </cell>
          <cell r="D2857" t="str">
            <v>2</v>
          </cell>
          <cell r="E2857" t="str">
            <v>0002</v>
          </cell>
          <cell r="F2857" t="str">
            <v>0002</v>
          </cell>
          <cell r="G2857" t="str">
            <v>20903</v>
          </cell>
          <cell r="H2857" t="str">
            <v>退风险金</v>
          </cell>
          <cell r="I2857" t="b">
            <v>1</v>
          </cell>
          <cell r="J2857">
            <v>1456</v>
          </cell>
          <cell r="K2857">
            <v>0</v>
          </cell>
          <cell r="L2857">
            <v>0</v>
          </cell>
        </row>
        <row r="2858">
          <cell r="A2858" t="str">
            <v>07</v>
          </cell>
          <cell r="B2858" t="str">
            <v>03</v>
          </cell>
          <cell r="C2858" t="str">
            <v>07</v>
          </cell>
          <cell r="D2858" t="str">
            <v>2</v>
          </cell>
          <cell r="E2858" t="str">
            <v>0001</v>
          </cell>
          <cell r="F2858" t="str">
            <v>0002</v>
          </cell>
          <cell r="G2858" t="str">
            <v>20903</v>
          </cell>
          <cell r="H2858" t="str">
            <v>付职工风险金</v>
          </cell>
          <cell r="I2858" t="b">
            <v>1</v>
          </cell>
          <cell r="J2858">
            <v>2000</v>
          </cell>
          <cell r="K2858">
            <v>0</v>
          </cell>
          <cell r="L2858">
            <v>0</v>
          </cell>
        </row>
        <row r="2859">
          <cell r="A2859" t="str">
            <v>06</v>
          </cell>
          <cell r="B2859" t="str">
            <v>05</v>
          </cell>
          <cell r="C2859" t="str">
            <v>06</v>
          </cell>
          <cell r="D2859" t="str">
            <v>1</v>
          </cell>
          <cell r="E2859" t="str">
            <v>0002</v>
          </cell>
          <cell r="F2859" t="str">
            <v>0002</v>
          </cell>
          <cell r="G2859" t="str">
            <v>20904</v>
          </cell>
          <cell r="H2859" t="str">
            <v>收借款</v>
          </cell>
          <cell r="I2859" t="b">
            <v>0</v>
          </cell>
          <cell r="J2859">
            <v>3222</v>
          </cell>
          <cell r="K2859">
            <v>0</v>
          </cell>
          <cell r="L2859">
            <v>0</v>
          </cell>
        </row>
        <row r="2860">
          <cell r="A2860" t="str">
            <v>06</v>
          </cell>
          <cell r="B2860" t="str">
            <v>05</v>
          </cell>
          <cell r="C2860" t="str">
            <v>06</v>
          </cell>
          <cell r="D2860" t="str">
            <v>1</v>
          </cell>
          <cell r="E2860" t="str">
            <v>0002</v>
          </cell>
          <cell r="F2860" t="str">
            <v>0003</v>
          </cell>
          <cell r="G2860" t="str">
            <v>20904</v>
          </cell>
          <cell r="H2860" t="str">
            <v>收借款</v>
          </cell>
          <cell r="I2860" t="b">
            <v>0</v>
          </cell>
          <cell r="J2860">
            <v>39156</v>
          </cell>
          <cell r="K2860">
            <v>0</v>
          </cell>
          <cell r="L2860">
            <v>0</v>
          </cell>
        </row>
        <row r="2861">
          <cell r="A2861" t="str">
            <v>06</v>
          </cell>
          <cell r="B2861" t="str">
            <v>05</v>
          </cell>
          <cell r="C2861" t="str">
            <v>06</v>
          </cell>
          <cell r="D2861" t="str">
            <v>1</v>
          </cell>
          <cell r="E2861" t="str">
            <v>0002</v>
          </cell>
          <cell r="F2861" t="str">
            <v>0004</v>
          </cell>
          <cell r="G2861" t="str">
            <v>20904</v>
          </cell>
          <cell r="H2861" t="str">
            <v>收借款</v>
          </cell>
          <cell r="I2861" t="b">
            <v>0</v>
          </cell>
          <cell r="J2861">
            <v>1798</v>
          </cell>
          <cell r="K2861">
            <v>0</v>
          </cell>
          <cell r="L2861">
            <v>0</v>
          </cell>
        </row>
        <row r="2862">
          <cell r="A2862" t="str">
            <v>06</v>
          </cell>
          <cell r="B2862" t="str">
            <v>05</v>
          </cell>
          <cell r="C2862" t="str">
            <v>06</v>
          </cell>
          <cell r="D2862" t="str">
            <v>1</v>
          </cell>
          <cell r="E2862" t="str">
            <v>0002</v>
          </cell>
          <cell r="F2862" t="str">
            <v>0005</v>
          </cell>
          <cell r="G2862" t="str">
            <v>20904</v>
          </cell>
          <cell r="H2862" t="str">
            <v>收借款</v>
          </cell>
          <cell r="I2862" t="b">
            <v>0</v>
          </cell>
          <cell r="J2862">
            <v>3102</v>
          </cell>
          <cell r="K2862">
            <v>0</v>
          </cell>
          <cell r="L2862">
            <v>0</v>
          </cell>
        </row>
        <row r="2863">
          <cell r="A2863" t="str">
            <v>06</v>
          </cell>
          <cell r="B2863" t="str">
            <v>05</v>
          </cell>
          <cell r="C2863" t="str">
            <v>06</v>
          </cell>
          <cell r="D2863" t="str">
            <v>1</v>
          </cell>
          <cell r="E2863" t="str">
            <v>0002</v>
          </cell>
          <cell r="F2863" t="str">
            <v>0006</v>
          </cell>
          <cell r="G2863" t="str">
            <v>20904</v>
          </cell>
          <cell r="H2863" t="str">
            <v>收借款</v>
          </cell>
          <cell r="I2863" t="b">
            <v>0</v>
          </cell>
          <cell r="J2863">
            <v>3102</v>
          </cell>
          <cell r="K2863">
            <v>0</v>
          </cell>
          <cell r="L2863">
            <v>0</v>
          </cell>
        </row>
        <row r="2864">
          <cell r="A2864" t="str">
            <v>06</v>
          </cell>
          <cell r="B2864" t="str">
            <v>05</v>
          </cell>
          <cell r="C2864" t="str">
            <v>06</v>
          </cell>
          <cell r="D2864" t="str">
            <v>1</v>
          </cell>
          <cell r="E2864" t="str">
            <v>0002</v>
          </cell>
          <cell r="F2864" t="str">
            <v>0007</v>
          </cell>
          <cell r="G2864" t="str">
            <v>20904</v>
          </cell>
          <cell r="H2864" t="str">
            <v>收借款</v>
          </cell>
          <cell r="I2864" t="b">
            <v>0</v>
          </cell>
          <cell r="J2864">
            <v>2143</v>
          </cell>
          <cell r="K2864">
            <v>0</v>
          </cell>
          <cell r="L2864">
            <v>0</v>
          </cell>
        </row>
        <row r="2865">
          <cell r="A2865" t="str">
            <v>06</v>
          </cell>
          <cell r="B2865" t="str">
            <v>05</v>
          </cell>
          <cell r="C2865" t="str">
            <v>06</v>
          </cell>
          <cell r="D2865" t="str">
            <v>1</v>
          </cell>
          <cell r="E2865" t="str">
            <v>0002</v>
          </cell>
          <cell r="F2865" t="str">
            <v>0008</v>
          </cell>
          <cell r="G2865" t="str">
            <v>20904</v>
          </cell>
          <cell r="H2865" t="str">
            <v>收借款</v>
          </cell>
          <cell r="I2865" t="b">
            <v>0</v>
          </cell>
          <cell r="J2865">
            <v>3386</v>
          </cell>
          <cell r="K2865">
            <v>0</v>
          </cell>
          <cell r="L2865">
            <v>0</v>
          </cell>
        </row>
        <row r="2866">
          <cell r="A2866" t="str">
            <v>06</v>
          </cell>
          <cell r="B2866" t="str">
            <v>05</v>
          </cell>
          <cell r="C2866" t="str">
            <v>06</v>
          </cell>
          <cell r="D2866" t="str">
            <v>1</v>
          </cell>
          <cell r="E2866" t="str">
            <v>0002</v>
          </cell>
          <cell r="F2866" t="str">
            <v>0009</v>
          </cell>
          <cell r="G2866" t="str">
            <v>20904</v>
          </cell>
          <cell r="H2866" t="str">
            <v>收借款</v>
          </cell>
          <cell r="I2866" t="b">
            <v>0</v>
          </cell>
          <cell r="J2866">
            <v>2727</v>
          </cell>
          <cell r="K2866">
            <v>0</v>
          </cell>
          <cell r="L2866">
            <v>0</v>
          </cell>
        </row>
        <row r="2867">
          <cell r="A2867" t="str">
            <v>06</v>
          </cell>
          <cell r="B2867" t="str">
            <v>05</v>
          </cell>
          <cell r="C2867" t="str">
            <v>06</v>
          </cell>
          <cell r="D2867" t="str">
            <v>1</v>
          </cell>
          <cell r="E2867" t="str">
            <v>0002</v>
          </cell>
          <cell r="F2867" t="str">
            <v>0010</v>
          </cell>
          <cell r="G2867" t="str">
            <v>20904</v>
          </cell>
          <cell r="H2867" t="str">
            <v>收借款</v>
          </cell>
          <cell r="I2867" t="b">
            <v>0</v>
          </cell>
          <cell r="J2867">
            <v>1754</v>
          </cell>
          <cell r="K2867">
            <v>0</v>
          </cell>
          <cell r="L2867">
            <v>0</v>
          </cell>
        </row>
        <row r="2868">
          <cell r="A2868" t="str">
            <v>06</v>
          </cell>
          <cell r="B2868" t="str">
            <v>05</v>
          </cell>
          <cell r="C2868" t="str">
            <v>06</v>
          </cell>
          <cell r="D2868" t="str">
            <v>1</v>
          </cell>
          <cell r="E2868" t="str">
            <v>0002</v>
          </cell>
          <cell r="F2868" t="str">
            <v>0011</v>
          </cell>
          <cell r="G2868" t="str">
            <v>20904</v>
          </cell>
          <cell r="H2868" t="str">
            <v>收借款</v>
          </cell>
          <cell r="I2868" t="b">
            <v>0</v>
          </cell>
          <cell r="J2868">
            <v>3702</v>
          </cell>
          <cell r="K2868">
            <v>0</v>
          </cell>
          <cell r="L2868">
            <v>0</v>
          </cell>
        </row>
        <row r="2869">
          <cell r="A2869" t="str">
            <v>06</v>
          </cell>
          <cell r="B2869" t="str">
            <v>05</v>
          </cell>
          <cell r="C2869" t="str">
            <v>06</v>
          </cell>
          <cell r="D2869" t="str">
            <v>1</v>
          </cell>
          <cell r="E2869" t="str">
            <v>0002</v>
          </cell>
          <cell r="F2869" t="str">
            <v>0012</v>
          </cell>
          <cell r="G2869" t="str">
            <v>20904</v>
          </cell>
          <cell r="H2869" t="str">
            <v>收借款</v>
          </cell>
          <cell r="I2869" t="b">
            <v>0</v>
          </cell>
          <cell r="J2869">
            <v>1364</v>
          </cell>
          <cell r="K2869">
            <v>0</v>
          </cell>
          <cell r="L2869">
            <v>0</v>
          </cell>
        </row>
        <row r="2870">
          <cell r="A2870" t="str">
            <v>06</v>
          </cell>
          <cell r="B2870" t="str">
            <v>05</v>
          </cell>
          <cell r="C2870" t="str">
            <v>06</v>
          </cell>
          <cell r="D2870" t="str">
            <v>1</v>
          </cell>
          <cell r="E2870" t="str">
            <v>0002</v>
          </cell>
          <cell r="F2870" t="str">
            <v>0013</v>
          </cell>
          <cell r="G2870" t="str">
            <v>20904</v>
          </cell>
          <cell r="H2870" t="str">
            <v>收借款</v>
          </cell>
          <cell r="I2870" t="b">
            <v>0</v>
          </cell>
          <cell r="J2870">
            <v>3206</v>
          </cell>
          <cell r="K2870">
            <v>0</v>
          </cell>
          <cell r="L2870">
            <v>0</v>
          </cell>
        </row>
        <row r="2871">
          <cell r="A2871" t="str">
            <v>06</v>
          </cell>
          <cell r="B2871" t="str">
            <v>05</v>
          </cell>
          <cell r="C2871" t="str">
            <v>06</v>
          </cell>
          <cell r="D2871" t="str">
            <v>1</v>
          </cell>
          <cell r="E2871" t="str">
            <v>0002</v>
          </cell>
          <cell r="F2871" t="str">
            <v>0014</v>
          </cell>
          <cell r="G2871" t="str">
            <v>20904</v>
          </cell>
          <cell r="H2871" t="str">
            <v>收借款</v>
          </cell>
          <cell r="I2871" t="b">
            <v>0</v>
          </cell>
          <cell r="J2871">
            <v>2338</v>
          </cell>
          <cell r="K2871">
            <v>0</v>
          </cell>
          <cell r="L2871">
            <v>0</v>
          </cell>
        </row>
        <row r="2872">
          <cell r="A2872" t="str">
            <v>06</v>
          </cell>
          <cell r="B2872" t="str">
            <v>05</v>
          </cell>
          <cell r="C2872" t="str">
            <v>06</v>
          </cell>
          <cell r="D2872" t="str">
            <v>1</v>
          </cell>
          <cell r="E2872" t="str">
            <v>0002</v>
          </cell>
          <cell r="F2872" t="str">
            <v>0015</v>
          </cell>
          <cell r="G2872" t="str">
            <v>20904</v>
          </cell>
          <cell r="H2872" t="str">
            <v>收借款</v>
          </cell>
          <cell r="I2872" t="b">
            <v>0</v>
          </cell>
          <cell r="J2872">
            <v>3222</v>
          </cell>
          <cell r="K2872">
            <v>0</v>
          </cell>
          <cell r="L2872">
            <v>0</v>
          </cell>
        </row>
        <row r="2873">
          <cell r="A2873" t="str">
            <v>06</v>
          </cell>
          <cell r="B2873" t="str">
            <v>05</v>
          </cell>
          <cell r="C2873" t="str">
            <v>06</v>
          </cell>
          <cell r="D2873" t="str">
            <v>1</v>
          </cell>
          <cell r="E2873" t="str">
            <v>0002</v>
          </cell>
          <cell r="F2873" t="str">
            <v>0016</v>
          </cell>
          <cell r="G2873" t="str">
            <v>20904</v>
          </cell>
          <cell r="H2873" t="str">
            <v>收借款</v>
          </cell>
          <cell r="I2873" t="b">
            <v>0</v>
          </cell>
          <cell r="J2873">
            <v>3222</v>
          </cell>
          <cell r="K2873">
            <v>0</v>
          </cell>
          <cell r="L2873">
            <v>0</v>
          </cell>
        </row>
        <row r="2874">
          <cell r="A2874" t="str">
            <v>06</v>
          </cell>
          <cell r="B2874" t="str">
            <v>05</v>
          </cell>
          <cell r="C2874" t="str">
            <v>06</v>
          </cell>
          <cell r="D2874" t="str">
            <v>1</v>
          </cell>
          <cell r="E2874" t="str">
            <v>0002</v>
          </cell>
          <cell r="F2874" t="str">
            <v>0017</v>
          </cell>
          <cell r="G2874" t="str">
            <v>20904</v>
          </cell>
          <cell r="H2874" t="str">
            <v>收借款</v>
          </cell>
          <cell r="I2874" t="b">
            <v>0</v>
          </cell>
          <cell r="J2874">
            <v>1798</v>
          </cell>
          <cell r="K2874">
            <v>0</v>
          </cell>
          <cell r="L2874">
            <v>0</v>
          </cell>
        </row>
        <row r="2875">
          <cell r="A2875" t="str">
            <v>06</v>
          </cell>
          <cell r="B2875" t="str">
            <v>05</v>
          </cell>
          <cell r="C2875" t="str">
            <v>06</v>
          </cell>
          <cell r="D2875" t="str">
            <v>1</v>
          </cell>
          <cell r="E2875" t="str">
            <v>0002</v>
          </cell>
          <cell r="F2875" t="str">
            <v>0018</v>
          </cell>
          <cell r="G2875" t="str">
            <v>20904</v>
          </cell>
          <cell r="H2875" t="str">
            <v>收借款</v>
          </cell>
          <cell r="I2875" t="b">
            <v>0</v>
          </cell>
          <cell r="J2875">
            <v>9201</v>
          </cell>
          <cell r="K2875">
            <v>0</v>
          </cell>
          <cell r="L2875">
            <v>0</v>
          </cell>
        </row>
        <row r="2876">
          <cell r="A2876" t="str">
            <v>06</v>
          </cell>
          <cell r="B2876" t="str">
            <v>05</v>
          </cell>
          <cell r="C2876" t="str">
            <v>06</v>
          </cell>
          <cell r="D2876" t="str">
            <v>1</v>
          </cell>
          <cell r="E2876" t="str">
            <v>0002</v>
          </cell>
          <cell r="F2876" t="str">
            <v>0019</v>
          </cell>
          <cell r="G2876" t="str">
            <v>20904</v>
          </cell>
          <cell r="H2876" t="str">
            <v>收借款</v>
          </cell>
          <cell r="I2876" t="b">
            <v>0</v>
          </cell>
          <cell r="J2876">
            <v>11062</v>
          </cell>
          <cell r="K2876">
            <v>0</v>
          </cell>
          <cell r="L2876">
            <v>0</v>
          </cell>
        </row>
        <row r="2877">
          <cell r="A2877" t="str">
            <v>06</v>
          </cell>
          <cell r="B2877" t="str">
            <v>05</v>
          </cell>
          <cell r="C2877" t="str">
            <v>06</v>
          </cell>
          <cell r="D2877" t="str">
            <v>1</v>
          </cell>
          <cell r="E2877" t="str">
            <v>0002</v>
          </cell>
          <cell r="F2877" t="str">
            <v>0020</v>
          </cell>
          <cell r="G2877" t="str">
            <v>20904</v>
          </cell>
          <cell r="H2877" t="str">
            <v>收借款</v>
          </cell>
          <cell r="I2877" t="b">
            <v>0</v>
          </cell>
          <cell r="J2877">
            <v>1798</v>
          </cell>
          <cell r="K2877">
            <v>0</v>
          </cell>
          <cell r="L2877">
            <v>0</v>
          </cell>
        </row>
        <row r="2878">
          <cell r="A2878" t="str">
            <v>06</v>
          </cell>
          <cell r="B2878" t="str">
            <v>05</v>
          </cell>
          <cell r="C2878" t="str">
            <v>06</v>
          </cell>
          <cell r="D2878" t="str">
            <v>1</v>
          </cell>
          <cell r="E2878" t="str">
            <v>0002</v>
          </cell>
          <cell r="F2878" t="str">
            <v>0021</v>
          </cell>
          <cell r="G2878" t="str">
            <v>20904</v>
          </cell>
          <cell r="H2878" t="str">
            <v>收借款</v>
          </cell>
          <cell r="I2878" t="b">
            <v>0</v>
          </cell>
          <cell r="J2878">
            <v>1798</v>
          </cell>
          <cell r="K2878">
            <v>0</v>
          </cell>
          <cell r="L2878">
            <v>0</v>
          </cell>
        </row>
        <row r="2879">
          <cell r="A2879" t="str">
            <v>06</v>
          </cell>
          <cell r="B2879" t="str">
            <v>05</v>
          </cell>
          <cell r="C2879" t="str">
            <v>06</v>
          </cell>
          <cell r="D2879" t="str">
            <v>1</v>
          </cell>
          <cell r="E2879" t="str">
            <v>0002</v>
          </cell>
          <cell r="F2879" t="str">
            <v>0022</v>
          </cell>
          <cell r="G2879" t="str">
            <v>20904</v>
          </cell>
          <cell r="H2879" t="str">
            <v>收借款</v>
          </cell>
          <cell r="I2879" t="b">
            <v>0</v>
          </cell>
          <cell r="J2879">
            <v>1678</v>
          </cell>
          <cell r="K2879">
            <v>0</v>
          </cell>
          <cell r="L2879">
            <v>0</v>
          </cell>
        </row>
        <row r="2880">
          <cell r="A2880" t="str">
            <v>06</v>
          </cell>
          <cell r="B2880" t="str">
            <v>05</v>
          </cell>
          <cell r="C2880" t="str">
            <v>06</v>
          </cell>
          <cell r="D2880" t="str">
            <v>1</v>
          </cell>
          <cell r="E2880" t="str">
            <v>0002</v>
          </cell>
          <cell r="F2880" t="str">
            <v>0023</v>
          </cell>
          <cell r="G2880" t="str">
            <v>20904</v>
          </cell>
          <cell r="H2880" t="str">
            <v>收借款</v>
          </cell>
          <cell r="I2880" t="b">
            <v>0</v>
          </cell>
          <cell r="J2880">
            <v>3117</v>
          </cell>
          <cell r="K2880">
            <v>0</v>
          </cell>
          <cell r="L2880">
            <v>0</v>
          </cell>
        </row>
        <row r="2881">
          <cell r="A2881" t="str">
            <v>06</v>
          </cell>
          <cell r="B2881" t="str">
            <v>05</v>
          </cell>
          <cell r="C2881" t="str">
            <v>06</v>
          </cell>
          <cell r="D2881" t="str">
            <v>1</v>
          </cell>
          <cell r="E2881" t="str">
            <v>0002</v>
          </cell>
          <cell r="F2881" t="str">
            <v>0024</v>
          </cell>
          <cell r="G2881" t="str">
            <v>20904</v>
          </cell>
          <cell r="H2881" t="str">
            <v>收借款</v>
          </cell>
          <cell r="I2881" t="b">
            <v>0</v>
          </cell>
          <cell r="J2881">
            <v>1798</v>
          </cell>
          <cell r="K2881">
            <v>0</v>
          </cell>
          <cell r="L2881">
            <v>0</v>
          </cell>
        </row>
        <row r="2882">
          <cell r="A2882" t="str">
            <v>06</v>
          </cell>
          <cell r="B2882" t="str">
            <v>05</v>
          </cell>
          <cell r="C2882" t="str">
            <v>06</v>
          </cell>
          <cell r="D2882" t="str">
            <v>1</v>
          </cell>
          <cell r="E2882" t="str">
            <v>0002</v>
          </cell>
          <cell r="F2882" t="str">
            <v>0025</v>
          </cell>
          <cell r="G2882" t="str">
            <v>20904</v>
          </cell>
          <cell r="H2882" t="str">
            <v>收借款</v>
          </cell>
          <cell r="I2882" t="b">
            <v>0</v>
          </cell>
          <cell r="J2882">
            <v>1798</v>
          </cell>
          <cell r="K2882">
            <v>0</v>
          </cell>
          <cell r="L2882">
            <v>0</v>
          </cell>
        </row>
        <row r="2883">
          <cell r="A2883" t="str">
            <v>06</v>
          </cell>
          <cell r="B2883" t="str">
            <v>05</v>
          </cell>
          <cell r="C2883" t="str">
            <v>06</v>
          </cell>
          <cell r="D2883" t="str">
            <v>1</v>
          </cell>
          <cell r="E2883" t="str">
            <v>0002</v>
          </cell>
          <cell r="F2883" t="str">
            <v>0026</v>
          </cell>
          <cell r="G2883" t="str">
            <v>20904</v>
          </cell>
          <cell r="H2883" t="str">
            <v>收借款</v>
          </cell>
          <cell r="I2883" t="b">
            <v>0</v>
          </cell>
          <cell r="J2883">
            <v>3386</v>
          </cell>
          <cell r="K2883">
            <v>0</v>
          </cell>
          <cell r="L2883">
            <v>0</v>
          </cell>
        </row>
        <row r="2884">
          <cell r="A2884" t="str">
            <v>06</v>
          </cell>
          <cell r="B2884" t="str">
            <v>05</v>
          </cell>
          <cell r="C2884" t="str">
            <v>06</v>
          </cell>
          <cell r="D2884" t="str">
            <v>1</v>
          </cell>
          <cell r="E2884" t="str">
            <v>0002</v>
          </cell>
          <cell r="F2884" t="str">
            <v>0027</v>
          </cell>
          <cell r="G2884" t="str">
            <v>20904</v>
          </cell>
          <cell r="H2884" t="str">
            <v>收借款</v>
          </cell>
          <cell r="I2884" t="b">
            <v>0</v>
          </cell>
          <cell r="J2884">
            <v>2652</v>
          </cell>
          <cell r="K2884">
            <v>0</v>
          </cell>
          <cell r="L2884">
            <v>0</v>
          </cell>
        </row>
        <row r="2885">
          <cell r="A2885" t="str">
            <v>06</v>
          </cell>
          <cell r="B2885" t="str">
            <v>05</v>
          </cell>
          <cell r="C2885" t="str">
            <v>06</v>
          </cell>
          <cell r="D2885" t="str">
            <v>1</v>
          </cell>
          <cell r="E2885" t="str">
            <v>0002</v>
          </cell>
          <cell r="F2885" t="str">
            <v>0028</v>
          </cell>
          <cell r="G2885" t="str">
            <v>20904</v>
          </cell>
          <cell r="H2885" t="str">
            <v>收借款</v>
          </cell>
          <cell r="I2885" t="b">
            <v>0</v>
          </cell>
          <cell r="J2885">
            <v>13861</v>
          </cell>
          <cell r="K2885">
            <v>0</v>
          </cell>
          <cell r="L2885">
            <v>0</v>
          </cell>
        </row>
        <row r="2886">
          <cell r="A2886" t="str">
            <v>06</v>
          </cell>
          <cell r="B2886" t="str">
            <v>05</v>
          </cell>
          <cell r="C2886" t="str">
            <v>06</v>
          </cell>
          <cell r="D2886" t="str">
            <v>1</v>
          </cell>
          <cell r="E2886" t="str">
            <v>0002</v>
          </cell>
          <cell r="F2886" t="str">
            <v>0029</v>
          </cell>
          <cell r="G2886" t="str">
            <v>20904</v>
          </cell>
          <cell r="H2886" t="str">
            <v>收借款</v>
          </cell>
          <cell r="I2886" t="b">
            <v>0</v>
          </cell>
          <cell r="J2886">
            <v>3252</v>
          </cell>
          <cell r="K2886">
            <v>0</v>
          </cell>
          <cell r="L2886">
            <v>0</v>
          </cell>
        </row>
        <row r="2887">
          <cell r="A2887" t="str">
            <v>06</v>
          </cell>
          <cell r="B2887" t="str">
            <v>05</v>
          </cell>
          <cell r="C2887" t="str">
            <v>06</v>
          </cell>
          <cell r="D2887" t="str">
            <v>1</v>
          </cell>
          <cell r="E2887" t="str">
            <v>0002</v>
          </cell>
          <cell r="F2887" t="str">
            <v>0030</v>
          </cell>
          <cell r="G2887" t="str">
            <v>20904</v>
          </cell>
          <cell r="H2887" t="str">
            <v>收借款</v>
          </cell>
          <cell r="I2887" t="b">
            <v>0</v>
          </cell>
          <cell r="J2887">
            <v>1798</v>
          </cell>
          <cell r="K2887">
            <v>0</v>
          </cell>
          <cell r="L2887">
            <v>0</v>
          </cell>
        </row>
        <row r="2888">
          <cell r="A2888" t="str">
            <v>06</v>
          </cell>
          <cell r="B2888" t="str">
            <v>05</v>
          </cell>
          <cell r="C2888" t="str">
            <v>06</v>
          </cell>
          <cell r="D2888" t="str">
            <v>1</v>
          </cell>
          <cell r="E2888" t="str">
            <v>0002</v>
          </cell>
          <cell r="F2888" t="str">
            <v>0031</v>
          </cell>
          <cell r="G2888" t="str">
            <v>20904</v>
          </cell>
          <cell r="H2888" t="str">
            <v>收借款</v>
          </cell>
          <cell r="I2888" t="b">
            <v>0</v>
          </cell>
          <cell r="J2888">
            <v>1258</v>
          </cell>
          <cell r="K2888">
            <v>0</v>
          </cell>
          <cell r="L2888">
            <v>0</v>
          </cell>
        </row>
        <row r="2889">
          <cell r="A2889" t="str">
            <v>06</v>
          </cell>
          <cell r="B2889" t="str">
            <v>05</v>
          </cell>
          <cell r="C2889" t="str">
            <v>06</v>
          </cell>
          <cell r="D2889" t="str">
            <v>1</v>
          </cell>
          <cell r="E2889" t="str">
            <v>0002</v>
          </cell>
          <cell r="F2889" t="str">
            <v>0032</v>
          </cell>
          <cell r="G2889" t="str">
            <v>20904</v>
          </cell>
          <cell r="H2889" t="str">
            <v>收借款</v>
          </cell>
          <cell r="I2889" t="b">
            <v>0</v>
          </cell>
          <cell r="J2889">
            <v>11868</v>
          </cell>
          <cell r="K2889">
            <v>0</v>
          </cell>
          <cell r="L2889">
            <v>0</v>
          </cell>
        </row>
        <row r="2890">
          <cell r="A2890" t="str">
            <v>06</v>
          </cell>
          <cell r="B2890" t="str">
            <v>05</v>
          </cell>
          <cell r="C2890" t="str">
            <v>06</v>
          </cell>
          <cell r="D2890" t="str">
            <v>1</v>
          </cell>
          <cell r="E2890" t="str">
            <v>0002</v>
          </cell>
          <cell r="F2890" t="str">
            <v>0033</v>
          </cell>
          <cell r="G2890" t="str">
            <v>20904</v>
          </cell>
          <cell r="H2890" t="str">
            <v>收借款</v>
          </cell>
          <cell r="I2890" t="b">
            <v>0</v>
          </cell>
          <cell r="J2890">
            <v>2218</v>
          </cell>
          <cell r="K2890">
            <v>0</v>
          </cell>
          <cell r="L2890">
            <v>0</v>
          </cell>
        </row>
        <row r="2891">
          <cell r="A2891" t="str">
            <v>06</v>
          </cell>
          <cell r="B2891" t="str">
            <v>05</v>
          </cell>
          <cell r="C2891" t="str">
            <v>06</v>
          </cell>
          <cell r="D2891" t="str">
            <v>1</v>
          </cell>
          <cell r="E2891" t="str">
            <v>0002</v>
          </cell>
          <cell r="F2891" t="str">
            <v>0034</v>
          </cell>
          <cell r="G2891" t="str">
            <v>20904</v>
          </cell>
          <cell r="H2891" t="str">
            <v>收借款</v>
          </cell>
          <cell r="I2891" t="b">
            <v>0</v>
          </cell>
          <cell r="J2891">
            <v>3960</v>
          </cell>
          <cell r="K2891">
            <v>0</v>
          </cell>
          <cell r="L2891">
            <v>0</v>
          </cell>
        </row>
        <row r="2892">
          <cell r="A2892" t="str">
            <v>06</v>
          </cell>
          <cell r="B2892" t="str">
            <v>05</v>
          </cell>
          <cell r="C2892" t="str">
            <v>06</v>
          </cell>
          <cell r="D2892" t="str">
            <v>1</v>
          </cell>
          <cell r="E2892" t="str">
            <v>0002</v>
          </cell>
          <cell r="F2892" t="str">
            <v>0035</v>
          </cell>
          <cell r="G2892" t="str">
            <v>20904</v>
          </cell>
          <cell r="H2892" t="str">
            <v>收借款</v>
          </cell>
          <cell r="I2892" t="b">
            <v>0</v>
          </cell>
          <cell r="J2892">
            <v>3117</v>
          </cell>
          <cell r="K2892">
            <v>0</v>
          </cell>
          <cell r="L2892">
            <v>0</v>
          </cell>
        </row>
        <row r="2893">
          <cell r="A2893" t="str">
            <v>06</v>
          </cell>
          <cell r="B2893" t="str">
            <v>05</v>
          </cell>
          <cell r="C2893" t="str">
            <v>06</v>
          </cell>
          <cell r="D2893" t="str">
            <v>1</v>
          </cell>
          <cell r="E2893" t="str">
            <v>0002</v>
          </cell>
          <cell r="F2893" t="str">
            <v>0036</v>
          </cell>
          <cell r="G2893" t="str">
            <v>20904</v>
          </cell>
          <cell r="H2893" t="str">
            <v>收借款</v>
          </cell>
          <cell r="I2893" t="b">
            <v>0</v>
          </cell>
          <cell r="J2893">
            <v>2143</v>
          </cell>
          <cell r="K2893">
            <v>0</v>
          </cell>
          <cell r="L2893">
            <v>0</v>
          </cell>
        </row>
        <row r="2894">
          <cell r="A2894" t="str">
            <v>06</v>
          </cell>
          <cell r="B2894" t="str">
            <v>05</v>
          </cell>
          <cell r="C2894" t="str">
            <v>06</v>
          </cell>
          <cell r="D2894" t="str">
            <v>1</v>
          </cell>
          <cell r="E2894" t="str">
            <v>0002</v>
          </cell>
          <cell r="F2894" t="str">
            <v>0037</v>
          </cell>
          <cell r="G2894" t="str">
            <v>20904</v>
          </cell>
          <cell r="H2894" t="str">
            <v>收借款</v>
          </cell>
          <cell r="I2894" t="b">
            <v>0</v>
          </cell>
          <cell r="J2894">
            <v>1258</v>
          </cell>
          <cell r="K2894">
            <v>0</v>
          </cell>
          <cell r="L2894">
            <v>0</v>
          </cell>
        </row>
        <row r="2895">
          <cell r="A2895" t="str">
            <v>06</v>
          </cell>
          <cell r="B2895" t="str">
            <v>05</v>
          </cell>
          <cell r="C2895" t="str">
            <v>06</v>
          </cell>
          <cell r="D2895" t="str">
            <v>1</v>
          </cell>
          <cell r="E2895" t="str">
            <v>0002</v>
          </cell>
          <cell r="F2895" t="str">
            <v>0038</v>
          </cell>
          <cell r="G2895" t="str">
            <v>20904</v>
          </cell>
          <cell r="H2895" t="str">
            <v>收借款</v>
          </cell>
          <cell r="I2895" t="b">
            <v>0</v>
          </cell>
          <cell r="J2895">
            <v>3102</v>
          </cell>
          <cell r="K2895">
            <v>0</v>
          </cell>
          <cell r="L2895">
            <v>0</v>
          </cell>
        </row>
        <row r="2896">
          <cell r="A2896" t="str">
            <v>06</v>
          </cell>
          <cell r="B2896" t="str">
            <v>05</v>
          </cell>
          <cell r="C2896" t="str">
            <v>06</v>
          </cell>
          <cell r="D2896" t="str">
            <v>1</v>
          </cell>
          <cell r="E2896" t="str">
            <v>0002</v>
          </cell>
          <cell r="F2896" t="str">
            <v>0039</v>
          </cell>
          <cell r="G2896" t="str">
            <v>20904</v>
          </cell>
          <cell r="H2896" t="str">
            <v>收借款</v>
          </cell>
          <cell r="I2896" t="b">
            <v>0</v>
          </cell>
          <cell r="J2896">
            <v>3102</v>
          </cell>
          <cell r="K2896">
            <v>0</v>
          </cell>
          <cell r="L2896">
            <v>0</v>
          </cell>
        </row>
        <row r="2897">
          <cell r="A2897" t="str">
            <v>06</v>
          </cell>
          <cell r="B2897" t="str">
            <v>05</v>
          </cell>
          <cell r="C2897" t="str">
            <v>06</v>
          </cell>
          <cell r="D2897" t="str">
            <v>1</v>
          </cell>
          <cell r="E2897" t="str">
            <v>0002</v>
          </cell>
          <cell r="F2897" t="str">
            <v>0040</v>
          </cell>
          <cell r="G2897" t="str">
            <v>20904</v>
          </cell>
          <cell r="H2897" t="str">
            <v>收借款</v>
          </cell>
          <cell r="I2897" t="b">
            <v>0</v>
          </cell>
          <cell r="J2897">
            <v>1754</v>
          </cell>
          <cell r="K2897">
            <v>0</v>
          </cell>
          <cell r="L2897">
            <v>0</v>
          </cell>
        </row>
        <row r="2898">
          <cell r="A2898" t="str">
            <v>06</v>
          </cell>
          <cell r="B2898" t="str">
            <v>05</v>
          </cell>
          <cell r="C2898" t="str">
            <v>06</v>
          </cell>
          <cell r="D2898" t="str">
            <v>1</v>
          </cell>
          <cell r="E2898" t="str">
            <v>0002</v>
          </cell>
          <cell r="F2898" t="str">
            <v>0041</v>
          </cell>
          <cell r="G2898" t="str">
            <v>20904</v>
          </cell>
          <cell r="H2898" t="str">
            <v>收借款</v>
          </cell>
          <cell r="I2898" t="b">
            <v>0</v>
          </cell>
          <cell r="J2898">
            <v>1798</v>
          </cell>
          <cell r="K2898">
            <v>0</v>
          </cell>
          <cell r="L2898">
            <v>0</v>
          </cell>
        </row>
        <row r="2899">
          <cell r="A2899" t="str">
            <v>06</v>
          </cell>
          <cell r="B2899" t="str">
            <v>05</v>
          </cell>
          <cell r="C2899" t="str">
            <v>06</v>
          </cell>
          <cell r="D2899" t="str">
            <v>1</v>
          </cell>
          <cell r="E2899" t="str">
            <v>0002</v>
          </cell>
          <cell r="F2899" t="str">
            <v>0042</v>
          </cell>
          <cell r="G2899" t="str">
            <v>20904</v>
          </cell>
          <cell r="H2899" t="str">
            <v>收借款</v>
          </cell>
          <cell r="I2899" t="b">
            <v>0</v>
          </cell>
          <cell r="J2899">
            <v>3222</v>
          </cell>
          <cell r="K2899">
            <v>0</v>
          </cell>
          <cell r="L2899">
            <v>0</v>
          </cell>
        </row>
        <row r="2900">
          <cell r="A2900" t="str">
            <v>06</v>
          </cell>
          <cell r="B2900" t="str">
            <v>05</v>
          </cell>
          <cell r="C2900" t="str">
            <v>06</v>
          </cell>
          <cell r="D2900" t="str">
            <v>1</v>
          </cell>
          <cell r="E2900" t="str">
            <v>0002</v>
          </cell>
          <cell r="F2900" t="str">
            <v>0043</v>
          </cell>
          <cell r="G2900" t="str">
            <v>20904</v>
          </cell>
          <cell r="H2900" t="str">
            <v>收借款</v>
          </cell>
          <cell r="I2900" t="b">
            <v>0</v>
          </cell>
          <cell r="J2900">
            <v>1798</v>
          </cell>
          <cell r="K2900">
            <v>0</v>
          </cell>
          <cell r="L2900">
            <v>0</v>
          </cell>
        </row>
        <row r="2901">
          <cell r="A2901" t="str">
            <v>06</v>
          </cell>
          <cell r="B2901" t="str">
            <v>05</v>
          </cell>
          <cell r="C2901" t="str">
            <v>06</v>
          </cell>
          <cell r="D2901" t="str">
            <v>1</v>
          </cell>
          <cell r="E2901" t="str">
            <v>0002</v>
          </cell>
          <cell r="F2901" t="str">
            <v>0044</v>
          </cell>
          <cell r="G2901" t="str">
            <v>20904</v>
          </cell>
          <cell r="H2901" t="str">
            <v>收借款</v>
          </cell>
          <cell r="I2901" t="b">
            <v>0</v>
          </cell>
          <cell r="J2901">
            <v>2353</v>
          </cell>
          <cell r="K2901">
            <v>0</v>
          </cell>
          <cell r="L2901">
            <v>0</v>
          </cell>
        </row>
        <row r="2902">
          <cell r="A2902" t="str">
            <v>06</v>
          </cell>
          <cell r="B2902" t="str">
            <v>05</v>
          </cell>
          <cell r="C2902" t="str">
            <v>06</v>
          </cell>
          <cell r="D2902" t="str">
            <v>1</v>
          </cell>
          <cell r="E2902" t="str">
            <v>0002</v>
          </cell>
          <cell r="F2902" t="str">
            <v>0045</v>
          </cell>
          <cell r="G2902" t="str">
            <v>20904</v>
          </cell>
          <cell r="H2902" t="str">
            <v>收借款</v>
          </cell>
          <cell r="I2902" t="b">
            <v>0</v>
          </cell>
          <cell r="J2902">
            <v>2202</v>
          </cell>
          <cell r="K2902">
            <v>0</v>
          </cell>
          <cell r="L2902">
            <v>0</v>
          </cell>
        </row>
        <row r="2903">
          <cell r="A2903" t="str">
            <v>06</v>
          </cell>
          <cell r="B2903" t="str">
            <v>05</v>
          </cell>
          <cell r="C2903" t="str">
            <v>06</v>
          </cell>
          <cell r="D2903" t="str">
            <v>1</v>
          </cell>
          <cell r="E2903" t="str">
            <v>0002</v>
          </cell>
          <cell r="F2903" t="str">
            <v>0046</v>
          </cell>
          <cell r="G2903" t="str">
            <v>20904</v>
          </cell>
          <cell r="H2903" t="str">
            <v>收借款</v>
          </cell>
          <cell r="I2903" t="b">
            <v>0</v>
          </cell>
          <cell r="J2903">
            <v>3252</v>
          </cell>
          <cell r="K2903">
            <v>0</v>
          </cell>
          <cell r="L2903">
            <v>0</v>
          </cell>
        </row>
        <row r="2904">
          <cell r="A2904" t="str">
            <v>06</v>
          </cell>
          <cell r="B2904" t="str">
            <v>05</v>
          </cell>
          <cell r="C2904" t="str">
            <v>06</v>
          </cell>
          <cell r="D2904" t="str">
            <v>1</v>
          </cell>
          <cell r="E2904" t="str">
            <v>0002</v>
          </cell>
          <cell r="F2904" t="str">
            <v>0047</v>
          </cell>
          <cell r="G2904" t="str">
            <v>20904</v>
          </cell>
          <cell r="H2904" t="str">
            <v>收借款</v>
          </cell>
          <cell r="I2904" t="b">
            <v>0</v>
          </cell>
          <cell r="J2904">
            <v>10717</v>
          </cell>
          <cell r="K2904">
            <v>0</v>
          </cell>
          <cell r="L2904">
            <v>0</v>
          </cell>
        </row>
        <row r="2905">
          <cell r="A2905" t="str">
            <v>06</v>
          </cell>
          <cell r="B2905" t="str">
            <v>05</v>
          </cell>
          <cell r="C2905" t="str">
            <v>06</v>
          </cell>
          <cell r="D2905" t="str">
            <v>1</v>
          </cell>
          <cell r="E2905" t="str">
            <v>0002</v>
          </cell>
          <cell r="F2905" t="str">
            <v>0048</v>
          </cell>
          <cell r="G2905" t="str">
            <v>20904</v>
          </cell>
          <cell r="H2905" t="str">
            <v>收借款</v>
          </cell>
          <cell r="I2905" t="b">
            <v>0</v>
          </cell>
          <cell r="J2905">
            <v>4301</v>
          </cell>
          <cell r="K2905">
            <v>0</v>
          </cell>
          <cell r="L2905">
            <v>0</v>
          </cell>
        </row>
        <row r="2906">
          <cell r="A2906" t="str">
            <v>06</v>
          </cell>
          <cell r="B2906" t="str">
            <v>05</v>
          </cell>
          <cell r="C2906" t="str">
            <v>06</v>
          </cell>
          <cell r="D2906" t="str">
            <v>1</v>
          </cell>
          <cell r="E2906" t="str">
            <v>0002</v>
          </cell>
          <cell r="F2906" t="str">
            <v>0049</v>
          </cell>
          <cell r="G2906" t="str">
            <v>20904</v>
          </cell>
          <cell r="H2906" t="str">
            <v>收借款</v>
          </cell>
          <cell r="I2906" t="b">
            <v>0</v>
          </cell>
          <cell r="J2906">
            <v>1754</v>
          </cell>
          <cell r="K2906">
            <v>0</v>
          </cell>
          <cell r="L2906">
            <v>0</v>
          </cell>
        </row>
        <row r="2907">
          <cell r="A2907" t="str">
            <v>06</v>
          </cell>
          <cell r="B2907" t="str">
            <v>05</v>
          </cell>
          <cell r="C2907" t="str">
            <v>06</v>
          </cell>
          <cell r="D2907" t="str">
            <v>1</v>
          </cell>
          <cell r="E2907" t="str">
            <v>0002</v>
          </cell>
          <cell r="F2907" t="str">
            <v>0050</v>
          </cell>
          <cell r="G2907" t="str">
            <v>20904</v>
          </cell>
          <cell r="H2907" t="str">
            <v>收借款</v>
          </cell>
          <cell r="I2907" t="b">
            <v>0</v>
          </cell>
          <cell r="J2907">
            <v>109879</v>
          </cell>
          <cell r="K2907">
            <v>0</v>
          </cell>
          <cell r="L2907">
            <v>0</v>
          </cell>
        </row>
        <row r="2908">
          <cell r="A2908" t="str">
            <v>06</v>
          </cell>
          <cell r="B2908" t="str">
            <v>05</v>
          </cell>
          <cell r="C2908" t="str">
            <v>06</v>
          </cell>
          <cell r="D2908" t="str">
            <v>1</v>
          </cell>
          <cell r="E2908" t="str">
            <v>0002</v>
          </cell>
          <cell r="F2908" t="str">
            <v>0051</v>
          </cell>
          <cell r="G2908" t="str">
            <v>20904</v>
          </cell>
          <cell r="H2908" t="str">
            <v>收借款</v>
          </cell>
          <cell r="I2908" t="b">
            <v>0</v>
          </cell>
          <cell r="J2908">
            <v>2188</v>
          </cell>
          <cell r="K2908">
            <v>0</v>
          </cell>
          <cell r="L2908">
            <v>0</v>
          </cell>
        </row>
        <row r="2909">
          <cell r="A2909" t="str">
            <v>06</v>
          </cell>
          <cell r="B2909" t="str">
            <v>05</v>
          </cell>
          <cell r="C2909" t="str">
            <v>06</v>
          </cell>
          <cell r="D2909" t="str">
            <v>1</v>
          </cell>
          <cell r="E2909" t="str">
            <v>0003</v>
          </cell>
          <cell r="F2909" t="str">
            <v>0002</v>
          </cell>
          <cell r="G2909" t="str">
            <v>20904</v>
          </cell>
          <cell r="H2909" t="str">
            <v>收借款</v>
          </cell>
          <cell r="I2909" t="b">
            <v>0</v>
          </cell>
          <cell r="J2909">
            <v>1798</v>
          </cell>
          <cell r="K2909">
            <v>0</v>
          </cell>
          <cell r="L2909">
            <v>0</v>
          </cell>
        </row>
        <row r="2910">
          <cell r="A2910" t="str">
            <v>06</v>
          </cell>
          <cell r="B2910" t="str">
            <v>05</v>
          </cell>
          <cell r="C2910" t="str">
            <v>06</v>
          </cell>
          <cell r="D2910" t="str">
            <v>1</v>
          </cell>
          <cell r="E2910" t="str">
            <v>0003</v>
          </cell>
          <cell r="F2910" t="str">
            <v>0003</v>
          </cell>
          <cell r="G2910" t="str">
            <v>20904</v>
          </cell>
          <cell r="H2910" t="str">
            <v>收借款</v>
          </cell>
          <cell r="I2910" t="b">
            <v>0</v>
          </cell>
          <cell r="J2910">
            <v>1798</v>
          </cell>
          <cell r="K2910">
            <v>0</v>
          </cell>
          <cell r="L2910">
            <v>0</v>
          </cell>
        </row>
        <row r="2911">
          <cell r="A2911" t="str">
            <v>06</v>
          </cell>
          <cell r="B2911" t="str">
            <v>05</v>
          </cell>
          <cell r="C2911" t="str">
            <v>06</v>
          </cell>
          <cell r="D2911" t="str">
            <v>1</v>
          </cell>
          <cell r="E2911" t="str">
            <v>0003</v>
          </cell>
          <cell r="F2911" t="str">
            <v>0004</v>
          </cell>
          <cell r="G2911" t="str">
            <v>20904</v>
          </cell>
          <cell r="H2911" t="str">
            <v>收借款</v>
          </cell>
          <cell r="I2911" t="b">
            <v>0</v>
          </cell>
          <cell r="J2911">
            <v>1754</v>
          </cell>
          <cell r="K2911">
            <v>0</v>
          </cell>
          <cell r="L2911">
            <v>0</v>
          </cell>
        </row>
        <row r="2912">
          <cell r="A2912" t="str">
            <v>06</v>
          </cell>
          <cell r="B2912" t="str">
            <v>05</v>
          </cell>
          <cell r="C2912" t="str">
            <v>06</v>
          </cell>
          <cell r="D2912" t="str">
            <v>1</v>
          </cell>
          <cell r="E2912" t="str">
            <v>0003</v>
          </cell>
          <cell r="F2912" t="str">
            <v>0005</v>
          </cell>
          <cell r="G2912" t="str">
            <v>20904</v>
          </cell>
          <cell r="H2912" t="str">
            <v>收借款</v>
          </cell>
          <cell r="I2912" t="b">
            <v>0</v>
          </cell>
          <cell r="J2912">
            <v>35589</v>
          </cell>
          <cell r="K2912">
            <v>0</v>
          </cell>
          <cell r="L2912">
            <v>0</v>
          </cell>
        </row>
        <row r="2913">
          <cell r="A2913" t="str">
            <v>06</v>
          </cell>
          <cell r="B2913" t="str">
            <v>05</v>
          </cell>
          <cell r="C2913" t="str">
            <v>06</v>
          </cell>
          <cell r="D2913" t="str">
            <v>1</v>
          </cell>
          <cell r="E2913" t="str">
            <v>0003</v>
          </cell>
          <cell r="F2913" t="str">
            <v>0006</v>
          </cell>
          <cell r="G2913" t="str">
            <v>20904</v>
          </cell>
          <cell r="H2913" t="str">
            <v>收借款</v>
          </cell>
          <cell r="I2913" t="b">
            <v>0</v>
          </cell>
          <cell r="J2913">
            <v>2338</v>
          </cell>
          <cell r="K2913">
            <v>0</v>
          </cell>
          <cell r="L2913">
            <v>0</v>
          </cell>
        </row>
        <row r="2914">
          <cell r="A2914" t="str">
            <v>06</v>
          </cell>
          <cell r="B2914" t="str">
            <v>05</v>
          </cell>
          <cell r="C2914" t="str">
            <v>06</v>
          </cell>
          <cell r="D2914" t="str">
            <v>1</v>
          </cell>
          <cell r="E2914" t="str">
            <v>0003</v>
          </cell>
          <cell r="F2914" t="str">
            <v>0007</v>
          </cell>
          <cell r="G2914" t="str">
            <v>20904</v>
          </cell>
          <cell r="H2914" t="str">
            <v>收借款</v>
          </cell>
          <cell r="I2914" t="b">
            <v>0</v>
          </cell>
          <cell r="J2914">
            <v>1258</v>
          </cell>
          <cell r="K2914">
            <v>0</v>
          </cell>
          <cell r="L2914">
            <v>0</v>
          </cell>
        </row>
        <row r="2915">
          <cell r="A2915" t="str">
            <v>06</v>
          </cell>
          <cell r="B2915" t="str">
            <v>05</v>
          </cell>
          <cell r="C2915" t="str">
            <v>06</v>
          </cell>
          <cell r="D2915" t="str">
            <v>1</v>
          </cell>
          <cell r="E2915" t="str">
            <v>0003</v>
          </cell>
          <cell r="F2915" t="str">
            <v>0008</v>
          </cell>
          <cell r="G2915" t="str">
            <v>20904</v>
          </cell>
          <cell r="H2915" t="str">
            <v>收借款</v>
          </cell>
          <cell r="I2915" t="b">
            <v>0</v>
          </cell>
          <cell r="J2915">
            <v>3102</v>
          </cell>
          <cell r="K2915">
            <v>0</v>
          </cell>
          <cell r="L2915">
            <v>0</v>
          </cell>
        </row>
        <row r="2916">
          <cell r="A2916" t="str">
            <v>06</v>
          </cell>
          <cell r="B2916" t="str">
            <v>05</v>
          </cell>
          <cell r="C2916" t="str">
            <v>06</v>
          </cell>
          <cell r="D2916" t="str">
            <v>1</v>
          </cell>
          <cell r="E2916" t="str">
            <v>0003</v>
          </cell>
          <cell r="F2916" t="str">
            <v>0009</v>
          </cell>
          <cell r="G2916" t="str">
            <v>20904</v>
          </cell>
          <cell r="H2916" t="str">
            <v>收借款</v>
          </cell>
          <cell r="I2916" t="b">
            <v>0</v>
          </cell>
          <cell r="J2916">
            <v>1169</v>
          </cell>
          <cell r="K2916">
            <v>0</v>
          </cell>
          <cell r="L2916">
            <v>0</v>
          </cell>
        </row>
        <row r="2917">
          <cell r="A2917" t="str">
            <v>06</v>
          </cell>
          <cell r="B2917" t="str">
            <v>05</v>
          </cell>
          <cell r="C2917" t="str">
            <v>06</v>
          </cell>
          <cell r="D2917" t="str">
            <v>1</v>
          </cell>
          <cell r="E2917" t="str">
            <v>0003</v>
          </cell>
          <cell r="F2917" t="str">
            <v>0010</v>
          </cell>
          <cell r="G2917" t="str">
            <v>20904</v>
          </cell>
          <cell r="H2917" t="str">
            <v>收借款</v>
          </cell>
          <cell r="I2917" t="b">
            <v>0</v>
          </cell>
          <cell r="J2917">
            <v>2143</v>
          </cell>
          <cell r="K2917">
            <v>0</v>
          </cell>
          <cell r="L2917">
            <v>0</v>
          </cell>
        </row>
        <row r="2918">
          <cell r="A2918" t="str">
            <v>06</v>
          </cell>
          <cell r="B2918" t="str">
            <v>05</v>
          </cell>
          <cell r="C2918" t="str">
            <v>06</v>
          </cell>
          <cell r="D2918" t="str">
            <v>1</v>
          </cell>
          <cell r="E2918" t="str">
            <v>0003</v>
          </cell>
          <cell r="F2918" t="str">
            <v>0011</v>
          </cell>
          <cell r="G2918" t="str">
            <v>20904</v>
          </cell>
          <cell r="H2918" t="str">
            <v>收借款</v>
          </cell>
          <cell r="I2918" t="b">
            <v>0</v>
          </cell>
          <cell r="J2918">
            <v>3386</v>
          </cell>
          <cell r="K2918">
            <v>0</v>
          </cell>
          <cell r="L2918">
            <v>0</v>
          </cell>
        </row>
        <row r="2919">
          <cell r="A2919" t="str">
            <v>06</v>
          </cell>
          <cell r="B2919" t="str">
            <v>05</v>
          </cell>
          <cell r="C2919" t="str">
            <v>06</v>
          </cell>
          <cell r="D2919" t="str">
            <v>1</v>
          </cell>
          <cell r="E2919" t="str">
            <v>0003</v>
          </cell>
          <cell r="F2919" t="str">
            <v>0012</v>
          </cell>
          <cell r="G2919" t="str">
            <v>20904</v>
          </cell>
          <cell r="H2919" t="str">
            <v>收借款</v>
          </cell>
          <cell r="I2919" t="b">
            <v>0</v>
          </cell>
          <cell r="J2919">
            <v>2143</v>
          </cell>
          <cell r="K2919">
            <v>0</v>
          </cell>
          <cell r="L2919">
            <v>0</v>
          </cell>
        </row>
        <row r="2920">
          <cell r="A2920" t="str">
            <v>06</v>
          </cell>
          <cell r="B2920" t="str">
            <v>05</v>
          </cell>
          <cell r="C2920" t="str">
            <v>06</v>
          </cell>
          <cell r="D2920" t="str">
            <v>1</v>
          </cell>
          <cell r="E2920" t="str">
            <v>0003</v>
          </cell>
          <cell r="F2920" t="str">
            <v>0013</v>
          </cell>
          <cell r="G2920" t="str">
            <v>20904</v>
          </cell>
          <cell r="H2920" t="str">
            <v>收借款</v>
          </cell>
          <cell r="I2920" t="b">
            <v>0</v>
          </cell>
          <cell r="J2920">
            <v>2262</v>
          </cell>
          <cell r="K2920">
            <v>0</v>
          </cell>
          <cell r="L2920">
            <v>0</v>
          </cell>
        </row>
        <row r="2921">
          <cell r="A2921" t="str">
            <v>06</v>
          </cell>
          <cell r="B2921" t="str">
            <v>05</v>
          </cell>
          <cell r="C2921" t="str">
            <v>06</v>
          </cell>
          <cell r="D2921" t="str">
            <v>1</v>
          </cell>
          <cell r="E2921" t="str">
            <v>0003</v>
          </cell>
          <cell r="F2921" t="str">
            <v>0014</v>
          </cell>
          <cell r="G2921" t="str">
            <v>20904</v>
          </cell>
          <cell r="H2921" t="str">
            <v>收借款</v>
          </cell>
          <cell r="I2921" t="b">
            <v>0</v>
          </cell>
          <cell r="J2921">
            <v>3147</v>
          </cell>
          <cell r="K2921">
            <v>0</v>
          </cell>
          <cell r="L2921">
            <v>0</v>
          </cell>
        </row>
        <row r="2922">
          <cell r="A2922" t="str">
            <v>06</v>
          </cell>
          <cell r="B2922" t="str">
            <v>05</v>
          </cell>
          <cell r="C2922" t="str">
            <v>06</v>
          </cell>
          <cell r="D2922" t="str">
            <v>1</v>
          </cell>
          <cell r="E2922" t="str">
            <v>0003</v>
          </cell>
          <cell r="F2922" t="str">
            <v>0015</v>
          </cell>
          <cell r="G2922" t="str">
            <v>20904</v>
          </cell>
          <cell r="H2922" t="str">
            <v>收借款</v>
          </cell>
          <cell r="I2922" t="b">
            <v>0</v>
          </cell>
          <cell r="J2922">
            <v>3117</v>
          </cell>
          <cell r="K2922">
            <v>0</v>
          </cell>
          <cell r="L2922">
            <v>0</v>
          </cell>
        </row>
        <row r="2923">
          <cell r="A2923" t="str">
            <v>06</v>
          </cell>
          <cell r="B2923" t="str">
            <v>05</v>
          </cell>
          <cell r="C2923" t="str">
            <v>06</v>
          </cell>
          <cell r="D2923" t="str">
            <v>1</v>
          </cell>
          <cell r="E2923" t="str">
            <v>0003</v>
          </cell>
          <cell r="F2923" t="str">
            <v>0016</v>
          </cell>
          <cell r="G2923" t="str">
            <v>20904</v>
          </cell>
          <cell r="H2923" t="str">
            <v>收借款</v>
          </cell>
          <cell r="I2923" t="b">
            <v>0</v>
          </cell>
          <cell r="J2923">
            <v>2143</v>
          </cell>
          <cell r="K2923">
            <v>0</v>
          </cell>
          <cell r="L2923">
            <v>0</v>
          </cell>
        </row>
        <row r="2924">
          <cell r="A2924" t="str">
            <v>06</v>
          </cell>
          <cell r="B2924" t="str">
            <v>05</v>
          </cell>
          <cell r="C2924" t="str">
            <v>06</v>
          </cell>
          <cell r="D2924" t="str">
            <v>1</v>
          </cell>
          <cell r="E2924" t="str">
            <v>0003</v>
          </cell>
          <cell r="F2924" t="str">
            <v>0017</v>
          </cell>
          <cell r="G2924" t="str">
            <v>20904</v>
          </cell>
          <cell r="H2924" t="str">
            <v>收借款</v>
          </cell>
          <cell r="I2924" t="b">
            <v>0</v>
          </cell>
          <cell r="J2924">
            <v>1798</v>
          </cell>
          <cell r="K2924">
            <v>0</v>
          </cell>
          <cell r="L2924">
            <v>0</v>
          </cell>
        </row>
        <row r="2925">
          <cell r="A2925" t="str">
            <v>06</v>
          </cell>
          <cell r="B2925" t="str">
            <v>05</v>
          </cell>
          <cell r="C2925" t="str">
            <v>06</v>
          </cell>
          <cell r="D2925" t="str">
            <v>1</v>
          </cell>
          <cell r="E2925" t="str">
            <v>0003</v>
          </cell>
          <cell r="F2925" t="str">
            <v>0018</v>
          </cell>
          <cell r="G2925" t="str">
            <v>20904</v>
          </cell>
          <cell r="H2925" t="str">
            <v>收借款</v>
          </cell>
          <cell r="I2925" t="b">
            <v>0</v>
          </cell>
          <cell r="J2925">
            <v>3386</v>
          </cell>
          <cell r="K2925">
            <v>0</v>
          </cell>
          <cell r="L2925">
            <v>0</v>
          </cell>
        </row>
        <row r="2926">
          <cell r="A2926" t="str">
            <v>06</v>
          </cell>
          <cell r="B2926" t="str">
            <v>05</v>
          </cell>
          <cell r="C2926" t="str">
            <v>06</v>
          </cell>
          <cell r="D2926" t="str">
            <v>1</v>
          </cell>
          <cell r="E2926" t="str">
            <v>0003</v>
          </cell>
          <cell r="F2926" t="str">
            <v>0019</v>
          </cell>
          <cell r="G2926" t="str">
            <v>20904</v>
          </cell>
          <cell r="H2926" t="str">
            <v>收借款</v>
          </cell>
          <cell r="I2926" t="b">
            <v>0</v>
          </cell>
          <cell r="J2926">
            <v>11478</v>
          </cell>
          <cell r="K2926">
            <v>0</v>
          </cell>
          <cell r="L2926">
            <v>0</v>
          </cell>
        </row>
        <row r="2927">
          <cell r="A2927" t="str">
            <v>06</v>
          </cell>
          <cell r="B2927" t="str">
            <v>05</v>
          </cell>
          <cell r="C2927" t="str">
            <v>06</v>
          </cell>
          <cell r="D2927" t="str">
            <v>1</v>
          </cell>
          <cell r="E2927" t="str">
            <v>0003</v>
          </cell>
          <cell r="F2927" t="str">
            <v>0020</v>
          </cell>
          <cell r="G2927" t="str">
            <v>20904</v>
          </cell>
          <cell r="H2927" t="str">
            <v>收借款</v>
          </cell>
          <cell r="I2927" t="b">
            <v>0</v>
          </cell>
          <cell r="J2927">
            <v>9126</v>
          </cell>
          <cell r="K2927">
            <v>0</v>
          </cell>
          <cell r="L2927">
            <v>0</v>
          </cell>
        </row>
        <row r="2928">
          <cell r="A2928" t="str">
            <v>06</v>
          </cell>
          <cell r="B2928" t="str">
            <v>05</v>
          </cell>
          <cell r="C2928" t="str">
            <v>06</v>
          </cell>
          <cell r="D2928" t="str">
            <v>1</v>
          </cell>
          <cell r="E2928" t="str">
            <v>0003</v>
          </cell>
          <cell r="F2928" t="str">
            <v>0021</v>
          </cell>
          <cell r="G2928" t="str">
            <v>20904</v>
          </cell>
          <cell r="H2928" t="str">
            <v>收借款</v>
          </cell>
          <cell r="I2928" t="b">
            <v>0</v>
          </cell>
          <cell r="J2928">
            <v>11595</v>
          </cell>
          <cell r="K2928">
            <v>0</v>
          </cell>
          <cell r="L2928">
            <v>0</v>
          </cell>
        </row>
        <row r="2929">
          <cell r="A2929" t="str">
            <v>06</v>
          </cell>
          <cell r="B2929" t="str">
            <v>05</v>
          </cell>
          <cell r="C2929" t="str">
            <v>06</v>
          </cell>
          <cell r="D2929" t="str">
            <v>1</v>
          </cell>
          <cell r="E2929" t="str">
            <v>0003</v>
          </cell>
          <cell r="F2929" t="str">
            <v>0022</v>
          </cell>
          <cell r="G2929" t="str">
            <v>20904</v>
          </cell>
          <cell r="H2929" t="str">
            <v>收借款</v>
          </cell>
          <cell r="I2929" t="b">
            <v>0</v>
          </cell>
          <cell r="J2929">
            <v>3297</v>
          </cell>
          <cell r="K2929">
            <v>0</v>
          </cell>
          <cell r="L2929">
            <v>0</v>
          </cell>
        </row>
        <row r="2930">
          <cell r="A2930" t="str">
            <v>06</v>
          </cell>
          <cell r="B2930" t="str">
            <v>05</v>
          </cell>
          <cell r="C2930" t="str">
            <v>06</v>
          </cell>
          <cell r="D2930" t="str">
            <v>1</v>
          </cell>
          <cell r="E2930" t="str">
            <v>0003</v>
          </cell>
          <cell r="F2930" t="str">
            <v>0023</v>
          </cell>
          <cell r="G2930" t="str">
            <v>20904</v>
          </cell>
          <cell r="H2930" t="str">
            <v>收借款</v>
          </cell>
          <cell r="I2930" t="b">
            <v>0</v>
          </cell>
          <cell r="J2930">
            <v>3147</v>
          </cell>
          <cell r="K2930">
            <v>0</v>
          </cell>
          <cell r="L2930">
            <v>0</v>
          </cell>
        </row>
        <row r="2931">
          <cell r="A2931" t="str">
            <v>06</v>
          </cell>
          <cell r="B2931" t="str">
            <v>05</v>
          </cell>
          <cell r="C2931" t="str">
            <v>06</v>
          </cell>
          <cell r="D2931" t="str">
            <v>1</v>
          </cell>
          <cell r="E2931" t="str">
            <v>0003</v>
          </cell>
          <cell r="F2931" t="str">
            <v>0024</v>
          </cell>
          <cell r="G2931" t="str">
            <v>20904</v>
          </cell>
          <cell r="H2931" t="str">
            <v>收借款</v>
          </cell>
          <cell r="I2931" t="b">
            <v>0</v>
          </cell>
          <cell r="J2931">
            <v>1798</v>
          </cell>
          <cell r="K2931">
            <v>0</v>
          </cell>
          <cell r="L2931">
            <v>0</v>
          </cell>
        </row>
        <row r="2932">
          <cell r="A2932" t="str">
            <v>06</v>
          </cell>
          <cell r="B2932" t="str">
            <v>05</v>
          </cell>
          <cell r="C2932" t="str">
            <v>06</v>
          </cell>
          <cell r="D2932" t="str">
            <v>1</v>
          </cell>
          <cell r="E2932" t="str">
            <v>0003</v>
          </cell>
          <cell r="F2932" t="str">
            <v>0025</v>
          </cell>
          <cell r="G2932" t="str">
            <v>20904</v>
          </cell>
          <cell r="H2932" t="str">
            <v>收借款</v>
          </cell>
          <cell r="I2932" t="b">
            <v>0</v>
          </cell>
          <cell r="J2932">
            <v>2153.1999999999998</v>
          </cell>
          <cell r="K2932">
            <v>0</v>
          </cell>
          <cell r="L2932">
            <v>0</v>
          </cell>
        </row>
        <row r="2933">
          <cell r="A2933" t="str">
            <v>06</v>
          </cell>
          <cell r="B2933" t="str">
            <v>05</v>
          </cell>
          <cell r="C2933" t="str">
            <v>06</v>
          </cell>
          <cell r="D2933" t="str">
            <v>1</v>
          </cell>
          <cell r="E2933" t="str">
            <v>0003</v>
          </cell>
          <cell r="F2933" t="str">
            <v>0026</v>
          </cell>
          <cell r="G2933" t="str">
            <v>20904</v>
          </cell>
          <cell r="H2933" t="str">
            <v>收借款</v>
          </cell>
          <cell r="I2933" t="b">
            <v>0</v>
          </cell>
          <cell r="J2933">
            <v>3342</v>
          </cell>
          <cell r="K2933">
            <v>0</v>
          </cell>
          <cell r="L2933">
            <v>0</v>
          </cell>
        </row>
        <row r="2934">
          <cell r="A2934" t="str">
            <v>06</v>
          </cell>
          <cell r="B2934" t="str">
            <v>05</v>
          </cell>
          <cell r="C2934" t="str">
            <v>06</v>
          </cell>
          <cell r="D2934" t="str">
            <v>1</v>
          </cell>
          <cell r="E2934" t="str">
            <v>0003</v>
          </cell>
          <cell r="F2934" t="str">
            <v>0027</v>
          </cell>
          <cell r="G2934" t="str">
            <v>20904</v>
          </cell>
          <cell r="H2934" t="str">
            <v>收借款</v>
          </cell>
          <cell r="I2934" t="b">
            <v>0</v>
          </cell>
          <cell r="J2934">
            <v>22253</v>
          </cell>
          <cell r="K2934">
            <v>0</v>
          </cell>
          <cell r="L2934">
            <v>0</v>
          </cell>
        </row>
        <row r="2935">
          <cell r="A2935" t="str">
            <v>06</v>
          </cell>
          <cell r="B2935" t="str">
            <v>05</v>
          </cell>
          <cell r="C2935" t="str">
            <v>06</v>
          </cell>
          <cell r="D2935" t="str">
            <v>1</v>
          </cell>
          <cell r="E2935" t="str">
            <v>0003</v>
          </cell>
          <cell r="F2935" t="str">
            <v>0028</v>
          </cell>
          <cell r="G2935" t="str">
            <v>20904</v>
          </cell>
          <cell r="H2935" t="str">
            <v>收借款</v>
          </cell>
          <cell r="I2935" t="b">
            <v>0</v>
          </cell>
          <cell r="J2935">
            <v>2068</v>
          </cell>
          <cell r="K2935">
            <v>0</v>
          </cell>
          <cell r="L2935">
            <v>0</v>
          </cell>
        </row>
        <row r="2936">
          <cell r="A2936" t="str">
            <v>06</v>
          </cell>
          <cell r="B2936" t="str">
            <v>05</v>
          </cell>
          <cell r="C2936" t="str">
            <v>06</v>
          </cell>
          <cell r="D2936" t="str">
            <v>1</v>
          </cell>
          <cell r="E2936" t="str">
            <v>0003</v>
          </cell>
          <cell r="F2936" t="str">
            <v>0029</v>
          </cell>
          <cell r="G2936" t="str">
            <v>20904</v>
          </cell>
          <cell r="H2936" t="str">
            <v>收借款</v>
          </cell>
          <cell r="I2936" t="b">
            <v>0</v>
          </cell>
          <cell r="J2936">
            <v>3087</v>
          </cell>
          <cell r="K2936">
            <v>0</v>
          </cell>
          <cell r="L2936">
            <v>0</v>
          </cell>
        </row>
        <row r="2937">
          <cell r="A2937" t="str">
            <v>06</v>
          </cell>
          <cell r="B2937" t="str">
            <v>05</v>
          </cell>
          <cell r="C2937" t="str">
            <v>06</v>
          </cell>
          <cell r="D2937" t="str">
            <v>1</v>
          </cell>
          <cell r="E2937" t="str">
            <v>0003</v>
          </cell>
          <cell r="F2937" t="str">
            <v>0030</v>
          </cell>
          <cell r="G2937" t="str">
            <v>20904</v>
          </cell>
          <cell r="H2937" t="str">
            <v>收借款</v>
          </cell>
          <cell r="I2937" t="b">
            <v>0</v>
          </cell>
          <cell r="J2937">
            <v>18300</v>
          </cell>
          <cell r="K2937">
            <v>0</v>
          </cell>
          <cell r="L2937">
            <v>0</v>
          </cell>
        </row>
        <row r="2938">
          <cell r="A2938" t="str">
            <v>06</v>
          </cell>
          <cell r="B2938" t="str">
            <v>05</v>
          </cell>
          <cell r="C2938" t="str">
            <v>06</v>
          </cell>
          <cell r="D2938" t="str">
            <v>1</v>
          </cell>
          <cell r="E2938" t="str">
            <v>0003</v>
          </cell>
          <cell r="F2938" t="str">
            <v>0031</v>
          </cell>
          <cell r="G2938" t="str">
            <v>20904</v>
          </cell>
          <cell r="H2938" t="str">
            <v>收借款</v>
          </cell>
          <cell r="I2938" t="b">
            <v>0</v>
          </cell>
          <cell r="J2938">
            <v>3100</v>
          </cell>
          <cell r="K2938">
            <v>0</v>
          </cell>
          <cell r="L2938">
            <v>0</v>
          </cell>
        </row>
        <row r="2939">
          <cell r="A2939" t="str">
            <v>06</v>
          </cell>
          <cell r="B2939" t="str">
            <v>05</v>
          </cell>
          <cell r="C2939" t="str">
            <v>06</v>
          </cell>
          <cell r="D2939" t="str">
            <v>1</v>
          </cell>
          <cell r="E2939" t="str">
            <v>0003</v>
          </cell>
          <cell r="F2939" t="str">
            <v>0032</v>
          </cell>
          <cell r="G2939" t="str">
            <v>20904</v>
          </cell>
          <cell r="H2939" t="str">
            <v>收借款</v>
          </cell>
          <cell r="I2939" t="b">
            <v>0</v>
          </cell>
          <cell r="J2939">
            <v>9920</v>
          </cell>
          <cell r="K2939">
            <v>0</v>
          </cell>
          <cell r="L2939">
            <v>0</v>
          </cell>
        </row>
        <row r="2940">
          <cell r="A2940" t="str">
            <v>06</v>
          </cell>
          <cell r="B2940" t="str">
            <v>05</v>
          </cell>
          <cell r="C2940" t="str">
            <v>06</v>
          </cell>
          <cell r="D2940" t="str">
            <v>1</v>
          </cell>
          <cell r="E2940" t="str">
            <v>0003</v>
          </cell>
          <cell r="F2940" t="str">
            <v>0033</v>
          </cell>
          <cell r="G2940" t="str">
            <v>20904</v>
          </cell>
          <cell r="H2940" t="str">
            <v>收借款</v>
          </cell>
          <cell r="I2940" t="b">
            <v>0</v>
          </cell>
          <cell r="J2940">
            <v>2158</v>
          </cell>
          <cell r="K2940">
            <v>0</v>
          </cell>
          <cell r="L2940">
            <v>0</v>
          </cell>
        </row>
        <row r="2941">
          <cell r="A2941" t="str">
            <v>06</v>
          </cell>
          <cell r="B2941" t="str">
            <v>05</v>
          </cell>
          <cell r="C2941" t="str">
            <v>06</v>
          </cell>
          <cell r="D2941" t="str">
            <v>1</v>
          </cell>
          <cell r="E2941" t="str">
            <v>0003</v>
          </cell>
          <cell r="F2941" t="str">
            <v>0034</v>
          </cell>
          <cell r="G2941" t="str">
            <v>20904</v>
          </cell>
          <cell r="H2941" t="str">
            <v>收借款</v>
          </cell>
          <cell r="I2941" t="b">
            <v>0</v>
          </cell>
          <cell r="J2941">
            <v>16000</v>
          </cell>
          <cell r="K2941">
            <v>0</v>
          </cell>
          <cell r="L2941">
            <v>0</v>
          </cell>
        </row>
        <row r="2942">
          <cell r="A2942" t="str">
            <v>06</v>
          </cell>
          <cell r="B2942" t="str">
            <v>05</v>
          </cell>
          <cell r="C2942" t="str">
            <v>06</v>
          </cell>
          <cell r="D2942" t="str">
            <v>1</v>
          </cell>
          <cell r="E2942" t="str">
            <v>0003</v>
          </cell>
          <cell r="F2942" t="str">
            <v>0035</v>
          </cell>
          <cell r="G2942" t="str">
            <v>20904</v>
          </cell>
          <cell r="H2942" t="str">
            <v>收借款</v>
          </cell>
          <cell r="I2942" t="b">
            <v>0</v>
          </cell>
          <cell r="J2942">
            <v>9081</v>
          </cell>
          <cell r="K2942">
            <v>0</v>
          </cell>
          <cell r="L2942">
            <v>0</v>
          </cell>
        </row>
        <row r="2943">
          <cell r="A2943" t="str">
            <v>06</v>
          </cell>
          <cell r="B2943" t="str">
            <v>05</v>
          </cell>
          <cell r="C2943" t="str">
            <v>06</v>
          </cell>
          <cell r="D2943" t="str">
            <v>1</v>
          </cell>
          <cell r="E2943" t="str">
            <v>0003</v>
          </cell>
          <cell r="F2943" t="str">
            <v>0036</v>
          </cell>
          <cell r="G2943" t="str">
            <v>20904</v>
          </cell>
          <cell r="H2943" t="str">
            <v>收借款</v>
          </cell>
          <cell r="I2943" t="b">
            <v>0</v>
          </cell>
          <cell r="J2943">
            <v>20000</v>
          </cell>
          <cell r="K2943">
            <v>0</v>
          </cell>
          <cell r="L2943">
            <v>0</v>
          </cell>
        </row>
        <row r="2944">
          <cell r="A2944" t="str">
            <v>06</v>
          </cell>
          <cell r="B2944" t="str">
            <v>05</v>
          </cell>
          <cell r="C2944" t="str">
            <v>06</v>
          </cell>
          <cell r="D2944" t="str">
            <v>1</v>
          </cell>
          <cell r="E2944" t="str">
            <v>0003</v>
          </cell>
          <cell r="F2944" t="str">
            <v>0037</v>
          </cell>
          <cell r="G2944" t="str">
            <v>20904</v>
          </cell>
          <cell r="H2944" t="str">
            <v>收借款</v>
          </cell>
          <cell r="I2944" t="b">
            <v>0</v>
          </cell>
          <cell r="J2944">
            <v>12309</v>
          </cell>
          <cell r="K2944">
            <v>0</v>
          </cell>
          <cell r="L2944">
            <v>0</v>
          </cell>
        </row>
        <row r="2945">
          <cell r="A2945" t="str">
            <v>06</v>
          </cell>
          <cell r="B2945" t="str">
            <v>05</v>
          </cell>
          <cell r="C2945" t="str">
            <v>06</v>
          </cell>
          <cell r="D2945" t="str">
            <v>1</v>
          </cell>
          <cell r="E2945" t="str">
            <v>0003</v>
          </cell>
          <cell r="F2945" t="str">
            <v>0038</v>
          </cell>
          <cell r="G2945" t="str">
            <v>20904</v>
          </cell>
          <cell r="H2945" t="str">
            <v>收借款</v>
          </cell>
          <cell r="I2945" t="b">
            <v>0</v>
          </cell>
          <cell r="J2945">
            <v>17742</v>
          </cell>
          <cell r="K2945">
            <v>0</v>
          </cell>
          <cell r="L2945">
            <v>0</v>
          </cell>
        </row>
        <row r="2946">
          <cell r="A2946" t="str">
            <v>06</v>
          </cell>
          <cell r="B2946" t="str">
            <v>05</v>
          </cell>
          <cell r="C2946" t="str">
            <v>06</v>
          </cell>
          <cell r="D2946" t="str">
            <v>1</v>
          </cell>
          <cell r="E2946" t="str">
            <v>0003</v>
          </cell>
          <cell r="F2946" t="str">
            <v>0039</v>
          </cell>
          <cell r="G2946" t="str">
            <v>20904</v>
          </cell>
          <cell r="H2946" t="str">
            <v>收借款</v>
          </cell>
          <cell r="I2946" t="b">
            <v>0</v>
          </cell>
          <cell r="J2946">
            <v>19076</v>
          </cell>
          <cell r="K2946">
            <v>0</v>
          </cell>
          <cell r="L2946">
            <v>0</v>
          </cell>
        </row>
        <row r="2947">
          <cell r="A2947" t="str">
            <v>06</v>
          </cell>
          <cell r="B2947" t="str">
            <v>05</v>
          </cell>
          <cell r="C2947" t="str">
            <v>06</v>
          </cell>
          <cell r="D2947" t="str">
            <v>1</v>
          </cell>
          <cell r="E2947" t="str">
            <v>0003</v>
          </cell>
          <cell r="F2947" t="str">
            <v>0040</v>
          </cell>
          <cell r="G2947" t="str">
            <v>20904</v>
          </cell>
          <cell r="H2947" t="str">
            <v>收借款</v>
          </cell>
          <cell r="I2947" t="b">
            <v>0</v>
          </cell>
          <cell r="J2947">
            <v>3192</v>
          </cell>
          <cell r="K2947">
            <v>0</v>
          </cell>
          <cell r="L2947">
            <v>0</v>
          </cell>
        </row>
        <row r="2948">
          <cell r="A2948" t="str">
            <v>06</v>
          </cell>
          <cell r="B2948" t="str">
            <v>05</v>
          </cell>
          <cell r="C2948" t="str">
            <v>06</v>
          </cell>
          <cell r="D2948" t="str">
            <v>1</v>
          </cell>
          <cell r="E2948" t="str">
            <v>0003</v>
          </cell>
          <cell r="F2948" t="str">
            <v>0041</v>
          </cell>
          <cell r="G2948" t="str">
            <v>20904</v>
          </cell>
          <cell r="H2948" t="str">
            <v>收借款</v>
          </cell>
          <cell r="I2948" t="b">
            <v>0</v>
          </cell>
          <cell r="J2948">
            <v>1394</v>
          </cell>
          <cell r="K2948">
            <v>0</v>
          </cell>
          <cell r="L2948">
            <v>0</v>
          </cell>
        </row>
        <row r="2949">
          <cell r="A2949" t="str">
            <v>06</v>
          </cell>
          <cell r="B2949" t="str">
            <v>05</v>
          </cell>
          <cell r="C2949" t="str">
            <v>06</v>
          </cell>
          <cell r="D2949" t="str">
            <v>1</v>
          </cell>
          <cell r="E2949" t="str">
            <v>0003</v>
          </cell>
          <cell r="F2949" t="str">
            <v>0042</v>
          </cell>
          <cell r="G2949" t="str">
            <v>20904</v>
          </cell>
          <cell r="H2949" t="str">
            <v>收借款</v>
          </cell>
          <cell r="I2949" t="b">
            <v>0</v>
          </cell>
          <cell r="J2949">
            <v>14296</v>
          </cell>
          <cell r="K2949">
            <v>0</v>
          </cell>
          <cell r="L2949">
            <v>0</v>
          </cell>
        </row>
        <row r="2950">
          <cell r="A2950" t="str">
            <v>06</v>
          </cell>
          <cell r="B2950" t="str">
            <v>05</v>
          </cell>
          <cell r="C2950" t="str">
            <v>06</v>
          </cell>
          <cell r="D2950" t="str">
            <v>1</v>
          </cell>
          <cell r="E2950" t="str">
            <v>0003</v>
          </cell>
          <cell r="F2950" t="str">
            <v>0043</v>
          </cell>
          <cell r="G2950" t="str">
            <v>20904</v>
          </cell>
          <cell r="H2950" t="str">
            <v>收借款</v>
          </cell>
          <cell r="I2950" t="b">
            <v>0</v>
          </cell>
          <cell r="J2950">
            <v>2922</v>
          </cell>
          <cell r="K2950">
            <v>0</v>
          </cell>
          <cell r="L2950">
            <v>0</v>
          </cell>
        </row>
        <row r="2951">
          <cell r="A2951" t="str">
            <v>06</v>
          </cell>
          <cell r="B2951" t="str">
            <v>05</v>
          </cell>
          <cell r="C2951" t="str">
            <v>06</v>
          </cell>
          <cell r="D2951" t="str">
            <v>1</v>
          </cell>
          <cell r="E2951" t="str">
            <v>0003</v>
          </cell>
          <cell r="F2951" t="str">
            <v>0044</v>
          </cell>
          <cell r="G2951" t="str">
            <v>20904</v>
          </cell>
          <cell r="H2951" t="str">
            <v>收借款</v>
          </cell>
          <cell r="I2951" t="b">
            <v>0</v>
          </cell>
          <cell r="J2951">
            <v>2188</v>
          </cell>
          <cell r="K2951">
            <v>0</v>
          </cell>
          <cell r="L2951">
            <v>0</v>
          </cell>
        </row>
        <row r="2952">
          <cell r="A2952" t="str">
            <v>06</v>
          </cell>
          <cell r="B2952" t="str">
            <v>05</v>
          </cell>
          <cell r="C2952" t="str">
            <v>06</v>
          </cell>
          <cell r="D2952" t="str">
            <v>1</v>
          </cell>
          <cell r="E2952" t="str">
            <v>0003</v>
          </cell>
          <cell r="F2952" t="str">
            <v>0045</v>
          </cell>
          <cell r="G2952" t="str">
            <v>20904</v>
          </cell>
          <cell r="H2952" t="str">
            <v>收借款</v>
          </cell>
          <cell r="I2952" t="b">
            <v>0</v>
          </cell>
          <cell r="J2952">
            <v>1754</v>
          </cell>
          <cell r="K2952">
            <v>0</v>
          </cell>
          <cell r="L2952">
            <v>0</v>
          </cell>
        </row>
        <row r="2953">
          <cell r="A2953" t="str">
            <v>06</v>
          </cell>
          <cell r="B2953" t="str">
            <v>05</v>
          </cell>
          <cell r="C2953" t="str">
            <v>06</v>
          </cell>
          <cell r="D2953" t="str">
            <v>1</v>
          </cell>
          <cell r="E2953" t="str">
            <v>0003</v>
          </cell>
          <cell r="F2953" t="str">
            <v>0046</v>
          </cell>
          <cell r="G2953" t="str">
            <v>20904</v>
          </cell>
          <cell r="H2953" t="str">
            <v>收借款</v>
          </cell>
          <cell r="I2953" t="b">
            <v>0</v>
          </cell>
          <cell r="J2953">
            <v>1798</v>
          </cell>
          <cell r="K2953">
            <v>0</v>
          </cell>
          <cell r="L2953">
            <v>0</v>
          </cell>
        </row>
        <row r="2954">
          <cell r="A2954" t="str">
            <v>06</v>
          </cell>
          <cell r="B2954" t="str">
            <v>05</v>
          </cell>
          <cell r="C2954" t="str">
            <v>06</v>
          </cell>
          <cell r="D2954" t="str">
            <v>1</v>
          </cell>
          <cell r="E2954" t="str">
            <v>0003</v>
          </cell>
          <cell r="F2954" t="str">
            <v>0047</v>
          </cell>
          <cell r="G2954" t="str">
            <v>20904</v>
          </cell>
          <cell r="H2954" t="str">
            <v>收借款</v>
          </cell>
          <cell r="I2954" t="b">
            <v>0</v>
          </cell>
          <cell r="J2954">
            <v>8901</v>
          </cell>
          <cell r="K2954">
            <v>0</v>
          </cell>
          <cell r="L2954">
            <v>0</v>
          </cell>
        </row>
        <row r="2955">
          <cell r="A2955" t="str">
            <v>06</v>
          </cell>
          <cell r="B2955" t="str">
            <v>05</v>
          </cell>
          <cell r="C2955" t="str">
            <v>06</v>
          </cell>
          <cell r="D2955" t="str">
            <v>1</v>
          </cell>
          <cell r="E2955" t="str">
            <v>0003</v>
          </cell>
          <cell r="F2955" t="str">
            <v>0048</v>
          </cell>
          <cell r="G2955" t="str">
            <v>20904</v>
          </cell>
          <cell r="H2955" t="str">
            <v>收借款</v>
          </cell>
          <cell r="I2955" t="b">
            <v>0</v>
          </cell>
          <cell r="J2955">
            <v>3746</v>
          </cell>
          <cell r="K2955">
            <v>0</v>
          </cell>
          <cell r="L2955">
            <v>0</v>
          </cell>
        </row>
        <row r="2956">
          <cell r="A2956" t="str">
            <v>06</v>
          </cell>
          <cell r="B2956" t="str">
            <v>05</v>
          </cell>
          <cell r="C2956" t="str">
            <v>06</v>
          </cell>
          <cell r="D2956" t="str">
            <v>1</v>
          </cell>
          <cell r="E2956" t="str">
            <v>0003</v>
          </cell>
          <cell r="F2956" t="str">
            <v>0049</v>
          </cell>
          <cell r="G2956" t="str">
            <v>20904</v>
          </cell>
          <cell r="H2956" t="str">
            <v>收借款</v>
          </cell>
          <cell r="I2956" t="b">
            <v>0</v>
          </cell>
          <cell r="J2956">
            <v>14026</v>
          </cell>
          <cell r="K2956">
            <v>0</v>
          </cell>
          <cell r="L2956">
            <v>0</v>
          </cell>
        </row>
        <row r="2957">
          <cell r="A2957" t="str">
            <v>06</v>
          </cell>
          <cell r="B2957" t="str">
            <v>05</v>
          </cell>
          <cell r="C2957" t="str">
            <v>06</v>
          </cell>
          <cell r="D2957" t="str">
            <v>1</v>
          </cell>
          <cell r="E2957" t="str">
            <v>0003</v>
          </cell>
          <cell r="F2957" t="str">
            <v>0050</v>
          </cell>
          <cell r="G2957" t="str">
            <v>20904</v>
          </cell>
          <cell r="H2957" t="str">
            <v>收借款</v>
          </cell>
          <cell r="I2957" t="b">
            <v>0</v>
          </cell>
          <cell r="J2957">
            <v>9875</v>
          </cell>
          <cell r="K2957">
            <v>0</v>
          </cell>
          <cell r="L2957">
            <v>0</v>
          </cell>
        </row>
        <row r="2958">
          <cell r="A2958" t="str">
            <v>06</v>
          </cell>
          <cell r="B2958" t="str">
            <v>05</v>
          </cell>
          <cell r="C2958" t="str">
            <v>06</v>
          </cell>
          <cell r="D2958" t="str">
            <v>1</v>
          </cell>
          <cell r="E2958" t="str">
            <v>0003</v>
          </cell>
          <cell r="F2958" t="str">
            <v>0051</v>
          </cell>
          <cell r="G2958" t="str">
            <v>20904</v>
          </cell>
          <cell r="H2958" t="str">
            <v>收借款</v>
          </cell>
          <cell r="I2958" t="b">
            <v>0</v>
          </cell>
          <cell r="J2958">
            <v>3477</v>
          </cell>
          <cell r="K2958">
            <v>0</v>
          </cell>
          <cell r="L2958">
            <v>0</v>
          </cell>
        </row>
        <row r="2959">
          <cell r="A2959" t="str">
            <v>06</v>
          </cell>
          <cell r="B2959" t="str">
            <v>05</v>
          </cell>
          <cell r="C2959" t="str">
            <v>06</v>
          </cell>
          <cell r="D2959" t="str">
            <v>1</v>
          </cell>
          <cell r="E2959" t="str">
            <v>0003</v>
          </cell>
          <cell r="F2959" t="str">
            <v>0052</v>
          </cell>
          <cell r="G2959" t="str">
            <v>20904</v>
          </cell>
          <cell r="H2959" t="str">
            <v>收借款</v>
          </cell>
          <cell r="I2959" t="b">
            <v>0</v>
          </cell>
          <cell r="J2959">
            <v>3072</v>
          </cell>
          <cell r="K2959">
            <v>0</v>
          </cell>
          <cell r="L2959">
            <v>0</v>
          </cell>
        </row>
        <row r="2960">
          <cell r="A2960" t="str">
            <v>06</v>
          </cell>
          <cell r="B2960" t="str">
            <v>05</v>
          </cell>
          <cell r="C2960" t="str">
            <v>06</v>
          </cell>
          <cell r="D2960" t="str">
            <v>1</v>
          </cell>
          <cell r="E2960" t="str">
            <v>0003</v>
          </cell>
          <cell r="F2960" t="str">
            <v>0053</v>
          </cell>
          <cell r="G2960" t="str">
            <v>20904</v>
          </cell>
          <cell r="H2960" t="str">
            <v>收借款</v>
          </cell>
          <cell r="I2960" t="b">
            <v>0</v>
          </cell>
          <cell r="J2960">
            <v>3477</v>
          </cell>
          <cell r="K2960">
            <v>0</v>
          </cell>
          <cell r="L2960">
            <v>0</v>
          </cell>
        </row>
        <row r="2961">
          <cell r="A2961" t="str">
            <v>06</v>
          </cell>
          <cell r="B2961" t="str">
            <v>05</v>
          </cell>
          <cell r="C2961" t="str">
            <v>06</v>
          </cell>
          <cell r="D2961" t="str">
            <v>1</v>
          </cell>
          <cell r="E2961" t="str">
            <v>0003</v>
          </cell>
          <cell r="F2961" t="str">
            <v>0054</v>
          </cell>
          <cell r="G2961" t="str">
            <v>20904</v>
          </cell>
          <cell r="H2961" t="str">
            <v>收借款</v>
          </cell>
          <cell r="I2961" t="b">
            <v>0</v>
          </cell>
          <cell r="J2961">
            <v>11583</v>
          </cell>
          <cell r="K2961">
            <v>0</v>
          </cell>
          <cell r="L2961">
            <v>0</v>
          </cell>
        </row>
        <row r="2962">
          <cell r="A2962" t="str">
            <v>06</v>
          </cell>
          <cell r="B2962" t="str">
            <v>05</v>
          </cell>
          <cell r="C2962" t="str">
            <v>06</v>
          </cell>
          <cell r="D2962" t="str">
            <v>1</v>
          </cell>
          <cell r="E2962" t="str">
            <v>0003</v>
          </cell>
          <cell r="F2962" t="str">
            <v>0055</v>
          </cell>
          <cell r="G2962" t="str">
            <v>20904</v>
          </cell>
          <cell r="H2962" t="str">
            <v>收借款</v>
          </cell>
          <cell r="I2962" t="b">
            <v>0</v>
          </cell>
          <cell r="J2962">
            <v>3057</v>
          </cell>
          <cell r="K2962">
            <v>0</v>
          </cell>
          <cell r="L2962">
            <v>0</v>
          </cell>
        </row>
        <row r="2963">
          <cell r="A2963" t="str">
            <v>06</v>
          </cell>
          <cell r="B2963" t="str">
            <v>05</v>
          </cell>
          <cell r="C2963" t="str">
            <v>06</v>
          </cell>
          <cell r="D2963" t="str">
            <v>1</v>
          </cell>
          <cell r="E2963" t="str">
            <v>0003</v>
          </cell>
          <cell r="F2963" t="str">
            <v>0056</v>
          </cell>
          <cell r="G2963" t="str">
            <v>20904</v>
          </cell>
          <cell r="H2963" t="str">
            <v>收借款</v>
          </cell>
          <cell r="I2963" t="b">
            <v>0</v>
          </cell>
          <cell r="J2963">
            <v>1723</v>
          </cell>
          <cell r="K2963">
            <v>0</v>
          </cell>
          <cell r="L2963">
            <v>0</v>
          </cell>
        </row>
        <row r="2964">
          <cell r="A2964" t="str">
            <v>06</v>
          </cell>
          <cell r="B2964" t="str">
            <v>05</v>
          </cell>
          <cell r="C2964" t="str">
            <v>06</v>
          </cell>
          <cell r="D2964" t="str">
            <v>1</v>
          </cell>
          <cell r="E2964" t="str">
            <v>0003</v>
          </cell>
          <cell r="F2964" t="str">
            <v>0057</v>
          </cell>
          <cell r="G2964" t="str">
            <v>20904</v>
          </cell>
          <cell r="H2964" t="str">
            <v>收借款</v>
          </cell>
          <cell r="I2964" t="b">
            <v>0</v>
          </cell>
          <cell r="J2964">
            <v>3102</v>
          </cell>
          <cell r="K2964">
            <v>0</v>
          </cell>
          <cell r="L2964">
            <v>0</v>
          </cell>
        </row>
        <row r="2965">
          <cell r="A2965" t="str">
            <v>07</v>
          </cell>
          <cell r="B2965" t="str">
            <v>05</v>
          </cell>
          <cell r="C2965" t="str">
            <v>07</v>
          </cell>
          <cell r="D2965" t="str">
            <v>1</v>
          </cell>
          <cell r="E2965" t="str">
            <v>0004</v>
          </cell>
          <cell r="F2965" t="str">
            <v>0002</v>
          </cell>
          <cell r="G2965" t="str">
            <v>20904</v>
          </cell>
          <cell r="H2965" t="str">
            <v>收借款</v>
          </cell>
          <cell r="I2965" t="b">
            <v>0</v>
          </cell>
          <cell r="J2965">
            <v>10220</v>
          </cell>
          <cell r="K2965">
            <v>0</v>
          </cell>
          <cell r="L2965">
            <v>0</v>
          </cell>
        </row>
        <row r="2966">
          <cell r="A2966" t="str">
            <v>07</v>
          </cell>
          <cell r="B2966" t="str">
            <v>05</v>
          </cell>
          <cell r="C2966" t="str">
            <v>07</v>
          </cell>
          <cell r="D2966" t="str">
            <v>1</v>
          </cell>
          <cell r="E2966" t="str">
            <v>0004</v>
          </cell>
          <cell r="F2966" t="str">
            <v>0003</v>
          </cell>
          <cell r="G2966" t="str">
            <v>20904</v>
          </cell>
          <cell r="H2966" t="str">
            <v>收借款</v>
          </cell>
          <cell r="I2966" t="b">
            <v>0</v>
          </cell>
          <cell r="J2966">
            <v>3117</v>
          </cell>
          <cell r="K2966">
            <v>0</v>
          </cell>
          <cell r="L2966">
            <v>0</v>
          </cell>
        </row>
        <row r="2967">
          <cell r="A2967" t="str">
            <v>07</v>
          </cell>
          <cell r="B2967" t="str">
            <v>05</v>
          </cell>
          <cell r="C2967" t="str">
            <v>07</v>
          </cell>
          <cell r="D2967" t="str">
            <v>1</v>
          </cell>
          <cell r="E2967" t="str">
            <v>0004</v>
          </cell>
          <cell r="F2967" t="str">
            <v>0004</v>
          </cell>
          <cell r="G2967" t="str">
            <v>20904</v>
          </cell>
          <cell r="H2967" t="str">
            <v>收借款</v>
          </cell>
          <cell r="I2967" t="b">
            <v>0</v>
          </cell>
          <cell r="J2967">
            <v>1423</v>
          </cell>
          <cell r="K2967">
            <v>0</v>
          </cell>
          <cell r="L2967">
            <v>0</v>
          </cell>
        </row>
        <row r="2968">
          <cell r="A2968" t="str">
            <v>07</v>
          </cell>
          <cell r="B2968" t="str">
            <v>05</v>
          </cell>
          <cell r="C2968" t="str">
            <v>07</v>
          </cell>
          <cell r="D2968" t="str">
            <v>1</v>
          </cell>
          <cell r="E2968" t="str">
            <v>0004</v>
          </cell>
          <cell r="F2968" t="str">
            <v>0005</v>
          </cell>
          <cell r="G2968" t="str">
            <v>20904</v>
          </cell>
          <cell r="H2968" t="str">
            <v>收借款</v>
          </cell>
          <cell r="I2968" t="b">
            <v>0</v>
          </cell>
          <cell r="J2968">
            <v>3386</v>
          </cell>
          <cell r="K2968">
            <v>0</v>
          </cell>
          <cell r="L2968">
            <v>0</v>
          </cell>
        </row>
        <row r="2969">
          <cell r="A2969" t="str">
            <v>07</v>
          </cell>
          <cell r="B2969" t="str">
            <v>05</v>
          </cell>
          <cell r="C2969" t="str">
            <v>07</v>
          </cell>
          <cell r="D2969" t="str">
            <v>1</v>
          </cell>
          <cell r="E2969" t="str">
            <v>0004</v>
          </cell>
          <cell r="F2969" t="str">
            <v>0006</v>
          </cell>
          <cell r="G2969" t="str">
            <v>20904</v>
          </cell>
          <cell r="H2969" t="str">
            <v>收借款</v>
          </cell>
          <cell r="I2969" t="b">
            <v>0</v>
          </cell>
          <cell r="J2969">
            <v>3252</v>
          </cell>
          <cell r="K2969">
            <v>0</v>
          </cell>
          <cell r="L2969">
            <v>0</v>
          </cell>
        </row>
        <row r="2970">
          <cell r="A2970" t="str">
            <v>07</v>
          </cell>
          <cell r="B2970" t="str">
            <v>05</v>
          </cell>
          <cell r="C2970" t="str">
            <v>07</v>
          </cell>
          <cell r="D2970" t="str">
            <v>1</v>
          </cell>
          <cell r="E2970" t="str">
            <v>0004</v>
          </cell>
          <cell r="F2970" t="str">
            <v>0007</v>
          </cell>
          <cell r="G2970" t="str">
            <v>20904</v>
          </cell>
          <cell r="H2970" t="str">
            <v>收借款</v>
          </cell>
          <cell r="I2970" t="b">
            <v>0</v>
          </cell>
          <cell r="J2970">
            <v>10100</v>
          </cell>
          <cell r="K2970">
            <v>0</v>
          </cell>
          <cell r="L2970">
            <v>0</v>
          </cell>
        </row>
        <row r="2971">
          <cell r="A2971" t="str">
            <v>07</v>
          </cell>
          <cell r="B2971" t="str">
            <v>05</v>
          </cell>
          <cell r="C2971" t="str">
            <v>07</v>
          </cell>
          <cell r="D2971" t="str">
            <v>1</v>
          </cell>
          <cell r="E2971" t="str">
            <v>0004</v>
          </cell>
          <cell r="F2971" t="str">
            <v>0008</v>
          </cell>
          <cell r="G2971" t="str">
            <v>20904</v>
          </cell>
          <cell r="H2971" t="str">
            <v>收借款</v>
          </cell>
          <cell r="I2971" t="b">
            <v>0</v>
          </cell>
          <cell r="J2971">
            <v>3102</v>
          </cell>
          <cell r="K2971">
            <v>0</v>
          </cell>
          <cell r="L2971">
            <v>0</v>
          </cell>
        </row>
        <row r="2972">
          <cell r="A2972" t="str">
            <v>07</v>
          </cell>
          <cell r="B2972" t="str">
            <v>05</v>
          </cell>
          <cell r="C2972" t="str">
            <v>07</v>
          </cell>
          <cell r="D2972" t="str">
            <v>1</v>
          </cell>
          <cell r="E2972" t="str">
            <v>0004</v>
          </cell>
          <cell r="F2972" t="str">
            <v>0009</v>
          </cell>
          <cell r="G2972" t="str">
            <v>20904</v>
          </cell>
          <cell r="H2972" t="str">
            <v>收借款</v>
          </cell>
          <cell r="I2972" t="b">
            <v>0</v>
          </cell>
          <cell r="J2972">
            <v>1798</v>
          </cell>
          <cell r="K2972">
            <v>0</v>
          </cell>
          <cell r="L2972">
            <v>0</v>
          </cell>
        </row>
        <row r="2973">
          <cell r="A2973" t="str">
            <v>07</v>
          </cell>
          <cell r="B2973" t="str">
            <v>05</v>
          </cell>
          <cell r="C2973" t="str">
            <v>07</v>
          </cell>
          <cell r="D2973" t="str">
            <v>1</v>
          </cell>
          <cell r="E2973" t="str">
            <v>0004</v>
          </cell>
          <cell r="F2973" t="str">
            <v>0010</v>
          </cell>
          <cell r="G2973" t="str">
            <v>20904</v>
          </cell>
          <cell r="H2973" t="str">
            <v>收借款</v>
          </cell>
          <cell r="I2973" t="b">
            <v>0</v>
          </cell>
          <cell r="J2973">
            <v>17038</v>
          </cell>
          <cell r="K2973">
            <v>0</v>
          </cell>
          <cell r="L2973">
            <v>0</v>
          </cell>
        </row>
        <row r="2974">
          <cell r="A2974" t="str">
            <v>07</v>
          </cell>
          <cell r="B2974" t="str">
            <v>05</v>
          </cell>
          <cell r="C2974" t="str">
            <v>07</v>
          </cell>
          <cell r="D2974" t="str">
            <v>1</v>
          </cell>
          <cell r="E2974" t="str">
            <v>0004</v>
          </cell>
          <cell r="F2974" t="str">
            <v>0011</v>
          </cell>
          <cell r="G2974" t="str">
            <v>20904</v>
          </cell>
          <cell r="H2974" t="str">
            <v>收借款</v>
          </cell>
          <cell r="I2974" t="b">
            <v>0</v>
          </cell>
          <cell r="J2974">
            <v>3192</v>
          </cell>
          <cell r="K2974">
            <v>0</v>
          </cell>
          <cell r="L2974">
            <v>0</v>
          </cell>
        </row>
        <row r="2975">
          <cell r="A2975" t="str">
            <v>07</v>
          </cell>
          <cell r="B2975" t="str">
            <v>05</v>
          </cell>
          <cell r="C2975" t="str">
            <v>07</v>
          </cell>
          <cell r="D2975" t="str">
            <v>1</v>
          </cell>
          <cell r="E2975" t="str">
            <v>0004</v>
          </cell>
          <cell r="F2975" t="str">
            <v>0012</v>
          </cell>
          <cell r="G2975" t="str">
            <v>20904</v>
          </cell>
          <cell r="H2975" t="str">
            <v>收借款</v>
          </cell>
          <cell r="I2975" t="b">
            <v>0</v>
          </cell>
          <cell r="J2975">
            <v>1918</v>
          </cell>
          <cell r="K2975">
            <v>0</v>
          </cell>
          <cell r="L2975">
            <v>0</v>
          </cell>
        </row>
        <row r="2976">
          <cell r="A2976" t="str">
            <v>07</v>
          </cell>
          <cell r="B2976" t="str">
            <v>05</v>
          </cell>
          <cell r="C2976" t="str">
            <v>07</v>
          </cell>
          <cell r="D2976" t="str">
            <v>1</v>
          </cell>
          <cell r="E2976" t="str">
            <v>0004</v>
          </cell>
          <cell r="F2976" t="str">
            <v>0013</v>
          </cell>
          <cell r="G2976" t="str">
            <v>20904</v>
          </cell>
          <cell r="H2976" t="str">
            <v>收借款</v>
          </cell>
          <cell r="I2976" t="b">
            <v>0</v>
          </cell>
          <cell r="J2976">
            <v>1798</v>
          </cell>
          <cell r="K2976">
            <v>0</v>
          </cell>
          <cell r="L2976">
            <v>0</v>
          </cell>
        </row>
        <row r="2977">
          <cell r="A2977" t="str">
            <v>07</v>
          </cell>
          <cell r="B2977" t="str">
            <v>05</v>
          </cell>
          <cell r="C2977" t="str">
            <v>07</v>
          </cell>
          <cell r="D2977" t="str">
            <v>1</v>
          </cell>
          <cell r="E2977" t="str">
            <v>0004</v>
          </cell>
          <cell r="F2977" t="str">
            <v>0014</v>
          </cell>
          <cell r="G2977" t="str">
            <v>20904</v>
          </cell>
          <cell r="H2977" t="str">
            <v>收借款</v>
          </cell>
          <cell r="I2977" t="b">
            <v>0</v>
          </cell>
          <cell r="J2977">
            <v>9830</v>
          </cell>
          <cell r="K2977">
            <v>0</v>
          </cell>
          <cell r="L2977">
            <v>0</v>
          </cell>
        </row>
        <row r="2978">
          <cell r="A2978" t="str">
            <v>07</v>
          </cell>
          <cell r="B2978" t="str">
            <v>05</v>
          </cell>
          <cell r="C2978" t="str">
            <v>07</v>
          </cell>
          <cell r="D2978" t="str">
            <v>1</v>
          </cell>
          <cell r="E2978" t="str">
            <v>0004</v>
          </cell>
          <cell r="F2978" t="str">
            <v>0015</v>
          </cell>
          <cell r="G2978" t="str">
            <v>20904</v>
          </cell>
          <cell r="H2978" t="str">
            <v>收借款</v>
          </cell>
          <cell r="I2978" t="b">
            <v>0</v>
          </cell>
          <cell r="J2978">
            <v>1798</v>
          </cell>
          <cell r="K2978">
            <v>0</v>
          </cell>
          <cell r="L2978">
            <v>0</v>
          </cell>
        </row>
        <row r="2979">
          <cell r="A2979" t="str">
            <v>07</v>
          </cell>
          <cell r="B2979" t="str">
            <v>05</v>
          </cell>
          <cell r="C2979" t="str">
            <v>07</v>
          </cell>
          <cell r="D2979" t="str">
            <v>1</v>
          </cell>
          <cell r="E2979" t="str">
            <v>0004</v>
          </cell>
          <cell r="F2979" t="str">
            <v>0016</v>
          </cell>
          <cell r="G2979" t="str">
            <v>20904</v>
          </cell>
          <cell r="H2979" t="str">
            <v>收借款</v>
          </cell>
          <cell r="I2979" t="b">
            <v>0</v>
          </cell>
          <cell r="J2979">
            <v>1798</v>
          </cell>
          <cell r="K2979">
            <v>0</v>
          </cell>
          <cell r="L2979">
            <v>0</v>
          </cell>
        </row>
        <row r="2980">
          <cell r="A2980" t="str">
            <v>07</v>
          </cell>
          <cell r="B2980" t="str">
            <v>05</v>
          </cell>
          <cell r="C2980" t="str">
            <v>07</v>
          </cell>
          <cell r="D2980" t="str">
            <v>1</v>
          </cell>
          <cell r="E2980" t="str">
            <v>0004</v>
          </cell>
          <cell r="F2980" t="str">
            <v>0017</v>
          </cell>
          <cell r="G2980" t="str">
            <v>20904</v>
          </cell>
          <cell r="H2980" t="str">
            <v>收借款</v>
          </cell>
          <cell r="I2980" t="b">
            <v>0</v>
          </cell>
          <cell r="J2980">
            <v>13322</v>
          </cell>
          <cell r="K2980">
            <v>0</v>
          </cell>
          <cell r="L2980">
            <v>0</v>
          </cell>
        </row>
        <row r="2981">
          <cell r="A2981" t="str">
            <v>07</v>
          </cell>
          <cell r="B2981" t="str">
            <v>05</v>
          </cell>
          <cell r="C2981" t="str">
            <v>07</v>
          </cell>
          <cell r="D2981" t="str">
            <v>1</v>
          </cell>
          <cell r="E2981" t="str">
            <v>0004</v>
          </cell>
          <cell r="F2981" t="str">
            <v>0018</v>
          </cell>
          <cell r="G2981" t="str">
            <v>20904</v>
          </cell>
          <cell r="H2981" t="str">
            <v>收借款</v>
          </cell>
          <cell r="I2981" t="b">
            <v>0</v>
          </cell>
          <cell r="J2981">
            <v>18881</v>
          </cell>
          <cell r="K2981">
            <v>0</v>
          </cell>
          <cell r="L2981">
            <v>0</v>
          </cell>
        </row>
        <row r="2982">
          <cell r="A2982" t="str">
            <v>07</v>
          </cell>
          <cell r="B2982" t="str">
            <v>05</v>
          </cell>
          <cell r="C2982" t="str">
            <v>07</v>
          </cell>
          <cell r="D2982" t="str">
            <v>1</v>
          </cell>
          <cell r="E2982" t="str">
            <v>0004</v>
          </cell>
          <cell r="F2982" t="str">
            <v>0019</v>
          </cell>
          <cell r="G2982" t="str">
            <v>20904</v>
          </cell>
          <cell r="H2982" t="str">
            <v>收借款</v>
          </cell>
          <cell r="I2982" t="b">
            <v>0</v>
          </cell>
          <cell r="J2982">
            <v>12018</v>
          </cell>
          <cell r="K2982">
            <v>0</v>
          </cell>
          <cell r="L2982">
            <v>0</v>
          </cell>
        </row>
        <row r="2983">
          <cell r="A2983" t="str">
            <v>07</v>
          </cell>
          <cell r="B2983" t="str">
            <v>05</v>
          </cell>
          <cell r="C2983" t="str">
            <v>07</v>
          </cell>
          <cell r="D2983" t="str">
            <v>1</v>
          </cell>
          <cell r="E2983" t="str">
            <v>0004</v>
          </cell>
          <cell r="F2983" t="str">
            <v>0020</v>
          </cell>
          <cell r="G2983" t="str">
            <v>20904</v>
          </cell>
          <cell r="H2983" t="str">
            <v>收借款</v>
          </cell>
          <cell r="I2983" t="b">
            <v>0</v>
          </cell>
          <cell r="J2983">
            <v>3012</v>
          </cell>
          <cell r="K2983">
            <v>0</v>
          </cell>
          <cell r="L2983">
            <v>0</v>
          </cell>
        </row>
        <row r="2984">
          <cell r="A2984" t="str">
            <v>07</v>
          </cell>
          <cell r="B2984" t="str">
            <v>05</v>
          </cell>
          <cell r="C2984" t="str">
            <v>07</v>
          </cell>
          <cell r="D2984" t="str">
            <v>1</v>
          </cell>
          <cell r="E2984" t="str">
            <v>0004</v>
          </cell>
          <cell r="F2984" t="str">
            <v>0021</v>
          </cell>
          <cell r="G2984" t="str">
            <v>20904</v>
          </cell>
          <cell r="H2984" t="str">
            <v>收借款</v>
          </cell>
          <cell r="I2984" t="b">
            <v>0</v>
          </cell>
          <cell r="J2984">
            <v>16394</v>
          </cell>
          <cell r="K2984">
            <v>0</v>
          </cell>
          <cell r="L2984">
            <v>0</v>
          </cell>
        </row>
        <row r="2985">
          <cell r="A2985" t="str">
            <v>07</v>
          </cell>
          <cell r="B2985" t="str">
            <v>05</v>
          </cell>
          <cell r="C2985" t="str">
            <v>07</v>
          </cell>
          <cell r="D2985" t="str">
            <v>1</v>
          </cell>
          <cell r="E2985" t="str">
            <v>0004</v>
          </cell>
          <cell r="F2985" t="str">
            <v>0022</v>
          </cell>
          <cell r="G2985" t="str">
            <v>20904</v>
          </cell>
          <cell r="H2985" t="str">
            <v>收借款</v>
          </cell>
          <cell r="I2985" t="b">
            <v>0</v>
          </cell>
          <cell r="J2985">
            <v>18730</v>
          </cell>
          <cell r="K2985">
            <v>0</v>
          </cell>
          <cell r="L2985">
            <v>0</v>
          </cell>
        </row>
        <row r="2986">
          <cell r="A2986" t="str">
            <v>07</v>
          </cell>
          <cell r="B2986" t="str">
            <v>05</v>
          </cell>
          <cell r="C2986" t="str">
            <v>07</v>
          </cell>
          <cell r="D2986" t="str">
            <v>1</v>
          </cell>
          <cell r="E2986" t="str">
            <v>0004</v>
          </cell>
          <cell r="F2986" t="str">
            <v>0023</v>
          </cell>
          <cell r="G2986" t="str">
            <v>20904</v>
          </cell>
          <cell r="H2986" t="str">
            <v>收借款</v>
          </cell>
          <cell r="I2986" t="b">
            <v>0</v>
          </cell>
          <cell r="J2986">
            <v>3237</v>
          </cell>
          <cell r="K2986">
            <v>0</v>
          </cell>
          <cell r="L2986">
            <v>0</v>
          </cell>
        </row>
        <row r="2987">
          <cell r="A2987" t="str">
            <v>07</v>
          </cell>
          <cell r="B2987" t="str">
            <v>05</v>
          </cell>
          <cell r="C2987" t="str">
            <v>07</v>
          </cell>
          <cell r="D2987" t="str">
            <v>1</v>
          </cell>
          <cell r="E2987" t="str">
            <v>0004</v>
          </cell>
          <cell r="F2987" t="str">
            <v>0024</v>
          </cell>
          <cell r="G2987" t="str">
            <v>20904</v>
          </cell>
          <cell r="H2987" t="str">
            <v>收借款</v>
          </cell>
          <cell r="I2987" t="b">
            <v>0</v>
          </cell>
          <cell r="J2987">
            <v>3297</v>
          </cell>
          <cell r="K2987">
            <v>0</v>
          </cell>
          <cell r="L2987">
            <v>0</v>
          </cell>
        </row>
        <row r="2988">
          <cell r="A2988" t="str">
            <v>07</v>
          </cell>
          <cell r="B2988" t="str">
            <v>05</v>
          </cell>
          <cell r="C2988" t="str">
            <v>07</v>
          </cell>
          <cell r="D2988" t="str">
            <v>1</v>
          </cell>
          <cell r="E2988" t="str">
            <v>0004</v>
          </cell>
          <cell r="F2988" t="str">
            <v>0025</v>
          </cell>
          <cell r="G2988" t="str">
            <v>20904</v>
          </cell>
          <cell r="H2988" t="str">
            <v>收借款</v>
          </cell>
          <cell r="I2988" t="b">
            <v>0</v>
          </cell>
          <cell r="J2988">
            <v>1858</v>
          </cell>
          <cell r="K2988">
            <v>0</v>
          </cell>
          <cell r="L2988">
            <v>0</v>
          </cell>
        </row>
        <row r="2989">
          <cell r="A2989" t="str">
            <v>07</v>
          </cell>
          <cell r="B2989" t="str">
            <v>05</v>
          </cell>
          <cell r="C2989" t="str">
            <v>07</v>
          </cell>
          <cell r="D2989" t="str">
            <v>1</v>
          </cell>
          <cell r="E2989" t="str">
            <v>0004</v>
          </cell>
          <cell r="F2989" t="str">
            <v>0026</v>
          </cell>
          <cell r="G2989" t="str">
            <v>20904</v>
          </cell>
          <cell r="H2989" t="str">
            <v>收借款</v>
          </cell>
          <cell r="I2989" t="b">
            <v>0</v>
          </cell>
          <cell r="J2989">
            <v>1948</v>
          </cell>
          <cell r="K2989">
            <v>0</v>
          </cell>
          <cell r="L2989">
            <v>0</v>
          </cell>
        </row>
        <row r="2990">
          <cell r="A2990" t="str">
            <v>07</v>
          </cell>
          <cell r="B2990" t="str">
            <v>05</v>
          </cell>
          <cell r="C2990" t="str">
            <v>07</v>
          </cell>
          <cell r="D2990" t="str">
            <v>1</v>
          </cell>
          <cell r="E2990" t="str">
            <v>0004</v>
          </cell>
          <cell r="F2990" t="str">
            <v>0027</v>
          </cell>
          <cell r="G2990" t="str">
            <v>20904</v>
          </cell>
          <cell r="H2990" t="str">
            <v>收借款</v>
          </cell>
          <cell r="I2990" t="b">
            <v>0</v>
          </cell>
          <cell r="J2990">
            <v>3386</v>
          </cell>
          <cell r="K2990">
            <v>0</v>
          </cell>
          <cell r="L2990">
            <v>0</v>
          </cell>
        </row>
        <row r="2991">
          <cell r="A2991" t="str">
            <v>07</v>
          </cell>
          <cell r="B2991" t="str">
            <v>05</v>
          </cell>
          <cell r="C2991" t="str">
            <v>07</v>
          </cell>
          <cell r="D2991" t="str">
            <v>1</v>
          </cell>
          <cell r="E2991" t="str">
            <v>0004</v>
          </cell>
          <cell r="F2991" t="str">
            <v>0028</v>
          </cell>
          <cell r="G2991" t="str">
            <v>20904</v>
          </cell>
          <cell r="H2991" t="str">
            <v>收借款</v>
          </cell>
          <cell r="I2991" t="b">
            <v>0</v>
          </cell>
          <cell r="J2991">
            <v>2892</v>
          </cell>
          <cell r="K2991">
            <v>0</v>
          </cell>
          <cell r="L2991">
            <v>0</v>
          </cell>
        </row>
        <row r="2992">
          <cell r="A2992" t="str">
            <v>07</v>
          </cell>
          <cell r="B2992" t="str">
            <v>05</v>
          </cell>
          <cell r="C2992" t="str">
            <v>07</v>
          </cell>
          <cell r="D2992" t="str">
            <v>1</v>
          </cell>
          <cell r="E2992" t="str">
            <v>0004</v>
          </cell>
          <cell r="F2992" t="str">
            <v>0029</v>
          </cell>
          <cell r="G2992" t="str">
            <v>20904</v>
          </cell>
          <cell r="H2992" t="str">
            <v>收借款</v>
          </cell>
          <cell r="I2992" t="b">
            <v>0</v>
          </cell>
          <cell r="J2992">
            <v>4181</v>
          </cell>
          <cell r="K2992">
            <v>0</v>
          </cell>
          <cell r="L2992">
            <v>0</v>
          </cell>
        </row>
        <row r="2993">
          <cell r="A2993" t="str">
            <v>07</v>
          </cell>
          <cell r="B2993" t="str">
            <v>05</v>
          </cell>
          <cell r="C2993" t="str">
            <v>07</v>
          </cell>
          <cell r="D2993" t="str">
            <v>1</v>
          </cell>
          <cell r="E2993" t="str">
            <v>0004</v>
          </cell>
          <cell r="F2993" t="str">
            <v>0030</v>
          </cell>
          <cell r="G2993" t="str">
            <v>20904</v>
          </cell>
          <cell r="H2993" t="str">
            <v>收借款</v>
          </cell>
          <cell r="I2993" t="b">
            <v>0</v>
          </cell>
          <cell r="J2993">
            <v>3386</v>
          </cell>
          <cell r="K2993">
            <v>0</v>
          </cell>
          <cell r="L2993">
            <v>0</v>
          </cell>
        </row>
        <row r="2994">
          <cell r="A2994" t="str">
            <v>07</v>
          </cell>
          <cell r="B2994" t="str">
            <v>05</v>
          </cell>
          <cell r="C2994" t="str">
            <v>07</v>
          </cell>
          <cell r="D2994" t="str">
            <v>1</v>
          </cell>
          <cell r="E2994" t="str">
            <v>0004</v>
          </cell>
          <cell r="F2994" t="str">
            <v>0031</v>
          </cell>
          <cell r="G2994" t="str">
            <v>20904</v>
          </cell>
          <cell r="H2994" t="str">
            <v>收借款</v>
          </cell>
          <cell r="I2994" t="b">
            <v>0</v>
          </cell>
          <cell r="J2994">
            <v>16618</v>
          </cell>
          <cell r="K2994">
            <v>0</v>
          </cell>
          <cell r="L2994">
            <v>0</v>
          </cell>
        </row>
        <row r="2995">
          <cell r="A2995" t="str">
            <v>07</v>
          </cell>
          <cell r="B2995" t="str">
            <v>05</v>
          </cell>
          <cell r="C2995" t="str">
            <v>07</v>
          </cell>
          <cell r="D2995" t="str">
            <v>1</v>
          </cell>
          <cell r="E2995" t="str">
            <v>0004</v>
          </cell>
          <cell r="F2995" t="str">
            <v>0032</v>
          </cell>
          <cell r="G2995" t="str">
            <v>20904</v>
          </cell>
          <cell r="H2995" t="str">
            <v>收借款</v>
          </cell>
          <cell r="I2995" t="b">
            <v>0</v>
          </cell>
          <cell r="J2995">
            <v>3102</v>
          </cell>
          <cell r="K2995">
            <v>0</v>
          </cell>
          <cell r="L2995">
            <v>0</v>
          </cell>
        </row>
        <row r="2996">
          <cell r="A2996" t="str">
            <v>07</v>
          </cell>
          <cell r="B2996" t="str">
            <v>05</v>
          </cell>
          <cell r="C2996" t="str">
            <v>07</v>
          </cell>
          <cell r="D2996" t="str">
            <v>1</v>
          </cell>
          <cell r="E2996" t="str">
            <v>0004</v>
          </cell>
          <cell r="F2996" t="str">
            <v>0033</v>
          </cell>
          <cell r="G2996" t="str">
            <v>20904</v>
          </cell>
          <cell r="H2996" t="str">
            <v>收借款</v>
          </cell>
          <cell r="I2996" t="b">
            <v>0</v>
          </cell>
          <cell r="J2996">
            <v>2202</v>
          </cell>
          <cell r="K2996">
            <v>0</v>
          </cell>
          <cell r="L2996">
            <v>0</v>
          </cell>
        </row>
        <row r="2997">
          <cell r="A2997" t="str">
            <v>07</v>
          </cell>
          <cell r="B2997" t="str">
            <v>10</v>
          </cell>
          <cell r="C2997" t="str">
            <v>07</v>
          </cell>
          <cell r="D2997" t="str">
            <v>1</v>
          </cell>
          <cell r="E2997" t="str">
            <v>0005</v>
          </cell>
          <cell r="F2997" t="str">
            <v>0002</v>
          </cell>
          <cell r="G2997" t="str">
            <v>20904</v>
          </cell>
          <cell r="H2997" t="str">
            <v>收借款</v>
          </cell>
          <cell r="I2997" t="b">
            <v>0</v>
          </cell>
          <cell r="J2997">
            <v>1798</v>
          </cell>
          <cell r="K2997">
            <v>0</v>
          </cell>
          <cell r="L2997">
            <v>0</v>
          </cell>
        </row>
        <row r="2998">
          <cell r="A2998" t="str">
            <v>07</v>
          </cell>
          <cell r="B2998" t="str">
            <v>10</v>
          </cell>
          <cell r="C2998" t="str">
            <v>07</v>
          </cell>
          <cell r="D2998" t="str">
            <v>1</v>
          </cell>
          <cell r="E2998" t="str">
            <v>0005</v>
          </cell>
          <cell r="F2998" t="str">
            <v>0003</v>
          </cell>
          <cell r="G2998" t="str">
            <v>20904</v>
          </cell>
          <cell r="H2998" t="str">
            <v>收借款</v>
          </cell>
          <cell r="I2998" t="b">
            <v>0</v>
          </cell>
          <cell r="J2998">
            <v>1798</v>
          </cell>
          <cell r="K2998">
            <v>0</v>
          </cell>
          <cell r="L2998">
            <v>0</v>
          </cell>
        </row>
        <row r="2999">
          <cell r="A2999" t="str">
            <v>07</v>
          </cell>
          <cell r="B2999" t="str">
            <v>10</v>
          </cell>
          <cell r="C2999" t="str">
            <v>07</v>
          </cell>
          <cell r="D2999" t="str">
            <v>1</v>
          </cell>
          <cell r="E2999" t="str">
            <v>0005</v>
          </cell>
          <cell r="F2999" t="str">
            <v>0004</v>
          </cell>
          <cell r="G2999" t="str">
            <v>20904</v>
          </cell>
          <cell r="H2999" t="str">
            <v>收借款</v>
          </cell>
          <cell r="I2999" t="b">
            <v>0</v>
          </cell>
          <cell r="J2999">
            <v>2338</v>
          </cell>
          <cell r="K2999">
            <v>0</v>
          </cell>
          <cell r="L2999">
            <v>0</v>
          </cell>
        </row>
        <row r="3000">
          <cell r="A3000" t="str">
            <v>07</v>
          </cell>
          <cell r="B3000" t="str">
            <v>10</v>
          </cell>
          <cell r="C3000" t="str">
            <v>07</v>
          </cell>
          <cell r="D3000" t="str">
            <v>1</v>
          </cell>
          <cell r="E3000" t="str">
            <v>0005</v>
          </cell>
          <cell r="F3000" t="str">
            <v>0005</v>
          </cell>
          <cell r="G3000" t="str">
            <v>20904</v>
          </cell>
          <cell r="H3000" t="str">
            <v>收借款</v>
          </cell>
          <cell r="I3000" t="b">
            <v>0</v>
          </cell>
          <cell r="J3000">
            <v>3012</v>
          </cell>
          <cell r="K3000">
            <v>0</v>
          </cell>
          <cell r="L3000">
            <v>0</v>
          </cell>
        </row>
        <row r="3001">
          <cell r="A3001" t="str">
            <v>07</v>
          </cell>
          <cell r="B3001" t="str">
            <v>10</v>
          </cell>
          <cell r="C3001" t="str">
            <v>07</v>
          </cell>
          <cell r="D3001" t="str">
            <v>1</v>
          </cell>
          <cell r="E3001" t="str">
            <v>0005</v>
          </cell>
          <cell r="F3001" t="str">
            <v>0006</v>
          </cell>
          <cell r="G3001" t="str">
            <v>20904</v>
          </cell>
          <cell r="H3001" t="str">
            <v>收借款</v>
          </cell>
          <cell r="I3001" t="b">
            <v>0</v>
          </cell>
          <cell r="J3001">
            <v>5874</v>
          </cell>
          <cell r="K3001">
            <v>0</v>
          </cell>
          <cell r="L3001">
            <v>0</v>
          </cell>
        </row>
        <row r="3002">
          <cell r="A3002" t="str">
            <v>07</v>
          </cell>
          <cell r="B3002" t="str">
            <v>10</v>
          </cell>
          <cell r="C3002" t="str">
            <v>07</v>
          </cell>
          <cell r="D3002" t="str">
            <v>1</v>
          </cell>
          <cell r="E3002" t="str">
            <v>0005</v>
          </cell>
          <cell r="F3002" t="str">
            <v>0007</v>
          </cell>
          <cell r="G3002" t="str">
            <v>20904</v>
          </cell>
          <cell r="H3002" t="str">
            <v>收借款</v>
          </cell>
          <cell r="I3002" t="b">
            <v>0</v>
          </cell>
          <cell r="J3002">
            <v>3102</v>
          </cell>
          <cell r="K3002">
            <v>0</v>
          </cell>
          <cell r="L3002">
            <v>0</v>
          </cell>
        </row>
        <row r="3003">
          <cell r="A3003" t="str">
            <v>07</v>
          </cell>
          <cell r="B3003" t="str">
            <v>10</v>
          </cell>
          <cell r="C3003" t="str">
            <v>07</v>
          </cell>
          <cell r="D3003" t="str">
            <v>1</v>
          </cell>
          <cell r="E3003" t="str">
            <v>0005</v>
          </cell>
          <cell r="F3003" t="str">
            <v>0008</v>
          </cell>
          <cell r="G3003" t="str">
            <v>20904</v>
          </cell>
          <cell r="H3003" t="str">
            <v>收借款</v>
          </cell>
          <cell r="I3003" t="b">
            <v>0</v>
          </cell>
          <cell r="J3003">
            <v>14262</v>
          </cell>
          <cell r="K3003">
            <v>0</v>
          </cell>
          <cell r="L3003">
            <v>0</v>
          </cell>
        </row>
        <row r="3004">
          <cell r="A3004" t="str">
            <v>07</v>
          </cell>
          <cell r="B3004" t="str">
            <v>10</v>
          </cell>
          <cell r="C3004" t="str">
            <v>07</v>
          </cell>
          <cell r="D3004" t="str">
            <v>1</v>
          </cell>
          <cell r="E3004" t="str">
            <v>0005</v>
          </cell>
          <cell r="F3004" t="str">
            <v>0009</v>
          </cell>
          <cell r="G3004" t="str">
            <v>20904</v>
          </cell>
          <cell r="H3004" t="str">
            <v>收借款</v>
          </cell>
          <cell r="I3004" t="b">
            <v>0</v>
          </cell>
          <cell r="J3004">
            <v>6324</v>
          </cell>
          <cell r="K3004">
            <v>0</v>
          </cell>
          <cell r="L3004">
            <v>0</v>
          </cell>
        </row>
        <row r="3005">
          <cell r="A3005" t="str">
            <v>07</v>
          </cell>
          <cell r="B3005" t="str">
            <v>10</v>
          </cell>
          <cell r="C3005" t="str">
            <v>07</v>
          </cell>
          <cell r="D3005" t="str">
            <v>1</v>
          </cell>
          <cell r="E3005" t="str">
            <v>0005</v>
          </cell>
          <cell r="F3005" t="str">
            <v>0010</v>
          </cell>
          <cell r="G3005" t="str">
            <v>20904</v>
          </cell>
          <cell r="H3005" t="str">
            <v>收借款</v>
          </cell>
          <cell r="I3005" t="b">
            <v>0</v>
          </cell>
          <cell r="J3005">
            <v>2164.1999999999998</v>
          </cell>
          <cell r="K3005">
            <v>0</v>
          </cell>
          <cell r="L3005">
            <v>0</v>
          </cell>
        </row>
        <row r="3006">
          <cell r="A3006" t="str">
            <v>07</v>
          </cell>
          <cell r="B3006" t="str">
            <v>10</v>
          </cell>
          <cell r="C3006" t="str">
            <v>07</v>
          </cell>
          <cell r="D3006" t="str">
            <v>1</v>
          </cell>
          <cell r="E3006" t="str">
            <v>0005</v>
          </cell>
          <cell r="F3006" t="str">
            <v>0011</v>
          </cell>
          <cell r="G3006" t="str">
            <v>20904</v>
          </cell>
          <cell r="H3006" t="str">
            <v>收借款</v>
          </cell>
          <cell r="I3006" t="b">
            <v>0</v>
          </cell>
          <cell r="J3006">
            <v>1798</v>
          </cell>
          <cell r="K3006">
            <v>0</v>
          </cell>
          <cell r="L3006">
            <v>0</v>
          </cell>
        </row>
        <row r="3007">
          <cell r="A3007" t="str">
            <v>07</v>
          </cell>
          <cell r="B3007" t="str">
            <v>10</v>
          </cell>
          <cell r="C3007" t="str">
            <v>07</v>
          </cell>
          <cell r="D3007" t="str">
            <v>1</v>
          </cell>
          <cell r="E3007" t="str">
            <v>0005</v>
          </cell>
          <cell r="F3007" t="str">
            <v>0012</v>
          </cell>
          <cell r="G3007" t="str">
            <v>20904</v>
          </cell>
          <cell r="H3007" t="str">
            <v>收借款</v>
          </cell>
          <cell r="I3007" t="b">
            <v>0</v>
          </cell>
          <cell r="J3007">
            <v>5538</v>
          </cell>
          <cell r="K3007">
            <v>0</v>
          </cell>
          <cell r="L3007">
            <v>0</v>
          </cell>
        </row>
        <row r="3008">
          <cell r="A3008" t="str">
            <v>07</v>
          </cell>
          <cell r="B3008" t="str">
            <v>10</v>
          </cell>
          <cell r="C3008" t="str">
            <v>07</v>
          </cell>
          <cell r="D3008" t="str">
            <v>1</v>
          </cell>
          <cell r="E3008" t="str">
            <v>0005</v>
          </cell>
          <cell r="F3008" t="str">
            <v>0013</v>
          </cell>
          <cell r="G3008" t="str">
            <v>20904</v>
          </cell>
          <cell r="H3008" t="str">
            <v>收借款</v>
          </cell>
          <cell r="I3008" t="b">
            <v>0</v>
          </cell>
          <cell r="J3008">
            <v>3597</v>
          </cell>
          <cell r="K3008">
            <v>0</v>
          </cell>
          <cell r="L3008">
            <v>0</v>
          </cell>
        </row>
        <row r="3009">
          <cell r="A3009" t="str">
            <v>07</v>
          </cell>
          <cell r="B3009" t="str">
            <v>10</v>
          </cell>
          <cell r="C3009" t="str">
            <v>07</v>
          </cell>
          <cell r="D3009" t="str">
            <v>1</v>
          </cell>
          <cell r="E3009" t="str">
            <v>0005</v>
          </cell>
          <cell r="F3009" t="str">
            <v>0014</v>
          </cell>
          <cell r="G3009" t="str">
            <v>20904</v>
          </cell>
          <cell r="H3009" t="str">
            <v>收借款</v>
          </cell>
          <cell r="I3009" t="b">
            <v>0</v>
          </cell>
          <cell r="J3009">
            <v>1798</v>
          </cell>
          <cell r="K3009">
            <v>0</v>
          </cell>
          <cell r="L3009">
            <v>0</v>
          </cell>
        </row>
        <row r="3010">
          <cell r="A3010" t="str">
            <v>07</v>
          </cell>
          <cell r="B3010" t="str">
            <v>10</v>
          </cell>
          <cell r="C3010" t="str">
            <v>07</v>
          </cell>
          <cell r="D3010" t="str">
            <v>1</v>
          </cell>
          <cell r="E3010" t="str">
            <v>0005</v>
          </cell>
          <cell r="F3010" t="str">
            <v>0015</v>
          </cell>
          <cell r="G3010" t="str">
            <v>20904</v>
          </cell>
          <cell r="H3010" t="str">
            <v>收借款</v>
          </cell>
          <cell r="I3010" t="b">
            <v>0</v>
          </cell>
          <cell r="J3010">
            <v>8017</v>
          </cell>
          <cell r="K3010">
            <v>0</v>
          </cell>
          <cell r="L3010">
            <v>0</v>
          </cell>
        </row>
        <row r="3011">
          <cell r="A3011" t="str">
            <v>07</v>
          </cell>
          <cell r="B3011" t="str">
            <v>10</v>
          </cell>
          <cell r="C3011" t="str">
            <v>07</v>
          </cell>
          <cell r="D3011" t="str">
            <v>1</v>
          </cell>
          <cell r="E3011" t="str">
            <v>0005</v>
          </cell>
          <cell r="F3011" t="str">
            <v>0016</v>
          </cell>
          <cell r="G3011" t="str">
            <v>20904</v>
          </cell>
          <cell r="H3011" t="str">
            <v>收借款</v>
          </cell>
          <cell r="I3011" t="b">
            <v>0</v>
          </cell>
          <cell r="J3011">
            <v>3941</v>
          </cell>
          <cell r="K3011">
            <v>0</v>
          </cell>
          <cell r="L3011">
            <v>0</v>
          </cell>
        </row>
        <row r="3012">
          <cell r="A3012" t="str">
            <v>07</v>
          </cell>
          <cell r="B3012" t="str">
            <v>10</v>
          </cell>
          <cell r="C3012" t="str">
            <v>07</v>
          </cell>
          <cell r="D3012" t="str">
            <v>1</v>
          </cell>
          <cell r="E3012" t="str">
            <v>0005</v>
          </cell>
          <cell r="F3012" t="str">
            <v>0017</v>
          </cell>
          <cell r="G3012" t="str">
            <v>20904</v>
          </cell>
          <cell r="H3012" t="str">
            <v>收借款</v>
          </cell>
          <cell r="I3012" t="b">
            <v>0</v>
          </cell>
          <cell r="J3012">
            <v>16603</v>
          </cell>
          <cell r="K3012">
            <v>0</v>
          </cell>
          <cell r="L3012">
            <v>0</v>
          </cell>
        </row>
        <row r="3013">
          <cell r="A3013" t="str">
            <v>07</v>
          </cell>
          <cell r="B3013" t="str">
            <v>10</v>
          </cell>
          <cell r="C3013" t="str">
            <v>07</v>
          </cell>
          <cell r="D3013" t="str">
            <v>1</v>
          </cell>
          <cell r="E3013" t="str">
            <v>0005</v>
          </cell>
          <cell r="F3013" t="str">
            <v>0018</v>
          </cell>
          <cell r="G3013" t="str">
            <v>20904</v>
          </cell>
          <cell r="H3013" t="str">
            <v>收借款</v>
          </cell>
          <cell r="I3013" t="b">
            <v>0</v>
          </cell>
          <cell r="J3013">
            <v>3386</v>
          </cell>
          <cell r="K3013">
            <v>0</v>
          </cell>
          <cell r="L3013">
            <v>0</v>
          </cell>
        </row>
        <row r="3014">
          <cell r="A3014" t="str">
            <v>07</v>
          </cell>
          <cell r="B3014" t="str">
            <v>10</v>
          </cell>
          <cell r="C3014" t="str">
            <v>07</v>
          </cell>
          <cell r="D3014" t="str">
            <v>1</v>
          </cell>
          <cell r="E3014" t="str">
            <v>0005</v>
          </cell>
          <cell r="F3014" t="str">
            <v>0019</v>
          </cell>
          <cell r="G3014" t="str">
            <v>20904</v>
          </cell>
          <cell r="H3014" t="str">
            <v>收借款</v>
          </cell>
          <cell r="I3014" t="b">
            <v>0</v>
          </cell>
          <cell r="J3014">
            <v>3147</v>
          </cell>
          <cell r="K3014">
            <v>0</v>
          </cell>
          <cell r="L3014">
            <v>0</v>
          </cell>
        </row>
        <row r="3015">
          <cell r="A3015" t="str">
            <v>07</v>
          </cell>
          <cell r="B3015" t="str">
            <v>10</v>
          </cell>
          <cell r="C3015" t="str">
            <v>07</v>
          </cell>
          <cell r="D3015" t="str">
            <v>1</v>
          </cell>
          <cell r="E3015" t="str">
            <v>0005</v>
          </cell>
          <cell r="F3015" t="str">
            <v>0020</v>
          </cell>
          <cell r="G3015" t="str">
            <v>20904</v>
          </cell>
          <cell r="H3015" t="str">
            <v>收借款</v>
          </cell>
          <cell r="I3015" t="b">
            <v>0</v>
          </cell>
          <cell r="J3015">
            <v>16843</v>
          </cell>
          <cell r="K3015">
            <v>0</v>
          </cell>
          <cell r="L3015">
            <v>0</v>
          </cell>
        </row>
        <row r="3016">
          <cell r="A3016" t="str">
            <v>07</v>
          </cell>
          <cell r="B3016" t="str">
            <v>10</v>
          </cell>
          <cell r="C3016" t="str">
            <v>07</v>
          </cell>
          <cell r="D3016" t="str">
            <v>1</v>
          </cell>
          <cell r="E3016" t="str">
            <v>0005</v>
          </cell>
          <cell r="F3016" t="str">
            <v>0021</v>
          </cell>
          <cell r="G3016" t="str">
            <v>20904</v>
          </cell>
          <cell r="H3016" t="str">
            <v>收借款</v>
          </cell>
          <cell r="I3016" t="b">
            <v>0</v>
          </cell>
          <cell r="J3016">
            <v>1798</v>
          </cell>
          <cell r="K3016">
            <v>0</v>
          </cell>
          <cell r="L3016">
            <v>0</v>
          </cell>
        </row>
        <row r="3017">
          <cell r="A3017" t="str">
            <v>07</v>
          </cell>
          <cell r="B3017" t="str">
            <v>10</v>
          </cell>
          <cell r="C3017" t="str">
            <v>07</v>
          </cell>
          <cell r="D3017" t="str">
            <v>1</v>
          </cell>
          <cell r="E3017" t="str">
            <v>0005</v>
          </cell>
          <cell r="F3017" t="str">
            <v>0022</v>
          </cell>
          <cell r="G3017" t="str">
            <v>20904</v>
          </cell>
          <cell r="H3017" t="str">
            <v>收借款</v>
          </cell>
          <cell r="I3017" t="b">
            <v>0</v>
          </cell>
          <cell r="J3017">
            <v>1798</v>
          </cell>
          <cell r="K3017">
            <v>0</v>
          </cell>
          <cell r="L3017">
            <v>0</v>
          </cell>
        </row>
        <row r="3018">
          <cell r="A3018" t="str">
            <v>07</v>
          </cell>
          <cell r="B3018" t="str">
            <v>10</v>
          </cell>
          <cell r="C3018" t="str">
            <v>07</v>
          </cell>
          <cell r="D3018" t="str">
            <v>1</v>
          </cell>
          <cell r="E3018" t="str">
            <v>0005</v>
          </cell>
          <cell r="F3018" t="str">
            <v>0023</v>
          </cell>
          <cell r="G3018" t="str">
            <v>20904</v>
          </cell>
          <cell r="H3018" t="str">
            <v>收借款</v>
          </cell>
          <cell r="I3018" t="b">
            <v>0</v>
          </cell>
          <cell r="J3018">
            <v>1798</v>
          </cell>
          <cell r="K3018">
            <v>0</v>
          </cell>
          <cell r="L3018">
            <v>0</v>
          </cell>
        </row>
        <row r="3019">
          <cell r="A3019" t="str">
            <v>07</v>
          </cell>
          <cell r="B3019" t="str">
            <v>10</v>
          </cell>
          <cell r="C3019" t="str">
            <v>07</v>
          </cell>
          <cell r="D3019" t="str">
            <v>1</v>
          </cell>
          <cell r="E3019" t="str">
            <v>0005</v>
          </cell>
          <cell r="F3019" t="str">
            <v>0024</v>
          </cell>
          <cell r="G3019" t="str">
            <v>20904</v>
          </cell>
          <cell r="H3019" t="str">
            <v>收借款</v>
          </cell>
          <cell r="I3019" t="b">
            <v>0</v>
          </cell>
          <cell r="J3019">
            <v>20454</v>
          </cell>
          <cell r="K3019">
            <v>0</v>
          </cell>
          <cell r="L3019">
            <v>0</v>
          </cell>
        </row>
        <row r="3020">
          <cell r="A3020" t="str">
            <v>07</v>
          </cell>
          <cell r="B3020" t="str">
            <v>10</v>
          </cell>
          <cell r="C3020" t="str">
            <v>07</v>
          </cell>
          <cell r="D3020" t="str">
            <v>1</v>
          </cell>
          <cell r="E3020" t="str">
            <v>0005</v>
          </cell>
          <cell r="F3020" t="str">
            <v>0025</v>
          </cell>
          <cell r="G3020" t="str">
            <v>20904</v>
          </cell>
          <cell r="H3020" t="str">
            <v>收借款</v>
          </cell>
          <cell r="I3020" t="b">
            <v>0</v>
          </cell>
          <cell r="J3020">
            <v>1798</v>
          </cell>
          <cell r="K3020">
            <v>0</v>
          </cell>
          <cell r="L3020">
            <v>0</v>
          </cell>
        </row>
        <row r="3021">
          <cell r="A3021" t="str">
            <v>07</v>
          </cell>
          <cell r="B3021" t="str">
            <v>10</v>
          </cell>
          <cell r="C3021" t="str">
            <v>07</v>
          </cell>
          <cell r="D3021" t="str">
            <v>1</v>
          </cell>
          <cell r="E3021" t="str">
            <v>0005</v>
          </cell>
          <cell r="F3021" t="str">
            <v>0026</v>
          </cell>
          <cell r="G3021" t="str">
            <v>20904</v>
          </cell>
          <cell r="H3021" t="str">
            <v>收借款</v>
          </cell>
          <cell r="I3021" t="b">
            <v>0</v>
          </cell>
          <cell r="J3021">
            <v>2143</v>
          </cell>
          <cell r="K3021">
            <v>0</v>
          </cell>
          <cell r="L3021">
            <v>0</v>
          </cell>
        </row>
        <row r="3022">
          <cell r="A3022" t="str">
            <v>07</v>
          </cell>
          <cell r="B3022" t="str">
            <v>15</v>
          </cell>
          <cell r="C3022" t="str">
            <v>07</v>
          </cell>
          <cell r="D3022" t="str">
            <v>1</v>
          </cell>
          <cell r="E3022" t="str">
            <v>0006</v>
          </cell>
          <cell r="F3022" t="str">
            <v>0002</v>
          </cell>
          <cell r="G3022" t="str">
            <v>20904</v>
          </cell>
          <cell r="H3022" t="str">
            <v>收借款</v>
          </cell>
          <cell r="I3022" t="b">
            <v>0</v>
          </cell>
          <cell r="J3022">
            <v>200000</v>
          </cell>
          <cell r="K3022">
            <v>0</v>
          </cell>
          <cell r="L3022">
            <v>0</v>
          </cell>
        </row>
        <row r="3023">
          <cell r="A3023" t="str">
            <v>07</v>
          </cell>
          <cell r="B3023" t="str">
            <v>15</v>
          </cell>
          <cell r="C3023" t="str">
            <v>07</v>
          </cell>
          <cell r="D3023" t="str">
            <v>1</v>
          </cell>
          <cell r="E3023" t="str">
            <v>0006</v>
          </cell>
          <cell r="F3023" t="str">
            <v>0003</v>
          </cell>
          <cell r="G3023" t="str">
            <v>20904</v>
          </cell>
          <cell r="H3023" t="str">
            <v>收借款</v>
          </cell>
          <cell r="I3023" t="b">
            <v>0</v>
          </cell>
          <cell r="J3023">
            <v>1700</v>
          </cell>
          <cell r="K3023">
            <v>0</v>
          </cell>
          <cell r="L3023">
            <v>0</v>
          </cell>
        </row>
        <row r="3024">
          <cell r="A3024" t="str">
            <v>07</v>
          </cell>
          <cell r="B3024" t="str">
            <v>15</v>
          </cell>
          <cell r="C3024" t="str">
            <v>07</v>
          </cell>
          <cell r="D3024" t="str">
            <v>1</v>
          </cell>
          <cell r="E3024" t="str">
            <v>0006</v>
          </cell>
          <cell r="F3024" t="str">
            <v>0004</v>
          </cell>
          <cell r="G3024" t="str">
            <v>20904</v>
          </cell>
          <cell r="H3024" t="str">
            <v>收借款</v>
          </cell>
          <cell r="I3024" t="b">
            <v>0</v>
          </cell>
          <cell r="J3024">
            <v>16454</v>
          </cell>
          <cell r="K3024">
            <v>0</v>
          </cell>
          <cell r="L3024">
            <v>0</v>
          </cell>
        </row>
        <row r="3025">
          <cell r="A3025" t="str">
            <v>07</v>
          </cell>
          <cell r="B3025" t="str">
            <v>15</v>
          </cell>
          <cell r="C3025" t="str">
            <v>07</v>
          </cell>
          <cell r="D3025" t="str">
            <v>1</v>
          </cell>
          <cell r="E3025" t="str">
            <v>0006</v>
          </cell>
          <cell r="F3025" t="str">
            <v>0005</v>
          </cell>
          <cell r="G3025" t="str">
            <v>20904</v>
          </cell>
          <cell r="H3025" t="str">
            <v>收借款</v>
          </cell>
          <cell r="I3025" t="b">
            <v>0</v>
          </cell>
          <cell r="J3025">
            <v>10220</v>
          </cell>
          <cell r="K3025">
            <v>0</v>
          </cell>
          <cell r="L3025">
            <v>0</v>
          </cell>
        </row>
        <row r="3026">
          <cell r="A3026" t="str">
            <v>07</v>
          </cell>
          <cell r="B3026" t="str">
            <v>15</v>
          </cell>
          <cell r="C3026" t="str">
            <v>07</v>
          </cell>
          <cell r="D3026" t="str">
            <v>1</v>
          </cell>
          <cell r="E3026" t="str">
            <v>0006</v>
          </cell>
          <cell r="F3026" t="str">
            <v>0006</v>
          </cell>
          <cell r="G3026" t="str">
            <v>20904</v>
          </cell>
          <cell r="H3026" t="str">
            <v>收借款</v>
          </cell>
          <cell r="I3026" t="b">
            <v>0</v>
          </cell>
          <cell r="J3026">
            <v>1754</v>
          </cell>
          <cell r="K3026">
            <v>0</v>
          </cell>
          <cell r="L3026">
            <v>0</v>
          </cell>
        </row>
        <row r="3027">
          <cell r="A3027" t="str">
            <v>07</v>
          </cell>
          <cell r="B3027" t="str">
            <v>15</v>
          </cell>
          <cell r="C3027" t="str">
            <v>07</v>
          </cell>
          <cell r="D3027" t="str">
            <v>1</v>
          </cell>
          <cell r="E3027" t="str">
            <v>0006</v>
          </cell>
          <cell r="F3027" t="str">
            <v>0007</v>
          </cell>
          <cell r="G3027" t="str">
            <v>20904</v>
          </cell>
          <cell r="H3027" t="str">
            <v>收借款</v>
          </cell>
          <cell r="I3027" t="b">
            <v>0</v>
          </cell>
          <cell r="J3027">
            <v>1798</v>
          </cell>
          <cell r="K3027">
            <v>0</v>
          </cell>
          <cell r="L3027">
            <v>0</v>
          </cell>
        </row>
        <row r="3028">
          <cell r="A3028" t="str">
            <v>07</v>
          </cell>
          <cell r="B3028" t="str">
            <v>15</v>
          </cell>
          <cell r="C3028" t="str">
            <v>07</v>
          </cell>
          <cell r="D3028" t="str">
            <v>1</v>
          </cell>
          <cell r="E3028" t="str">
            <v>0006</v>
          </cell>
          <cell r="F3028" t="str">
            <v>0008</v>
          </cell>
          <cell r="G3028" t="str">
            <v>20904</v>
          </cell>
          <cell r="H3028" t="str">
            <v>收借款</v>
          </cell>
          <cell r="I3028" t="b">
            <v>0</v>
          </cell>
          <cell r="J3028">
            <v>1258</v>
          </cell>
          <cell r="K3028">
            <v>0</v>
          </cell>
          <cell r="L3028">
            <v>0</v>
          </cell>
        </row>
        <row r="3029">
          <cell r="A3029" t="str">
            <v>07</v>
          </cell>
          <cell r="B3029" t="str">
            <v>15</v>
          </cell>
          <cell r="C3029" t="str">
            <v>07</v>
          </cell>
          <cell r="D3029" t="str">
            <v>1</v>
          </cell>
          <cell r="E3029" t="str">
            <v>0006</v>
          </cell>
          <cell r="F3029" t="str">
            <v>0009</v>
          </cell>
          <cell r="G3029" t="str">
            <v>20904</v>
          </cell>
          <cell r="H3029" t="str">
            <v>收借款</v>
          </cell>
          <cell r="I3029" t="b">
            <v>0</v>
          </cell>
          <cell r="J3029">
            <v>1258</v>
          </cell>
          <cell r="K3029">
            <v>0</v>
          </cell>
          <cell r="L3029">
            <v>0</v>
          </cell>
        </row>
        <row r="3030">
          <cell r="A3030" t="str">
            <v>07</v>
          </cell>
          <cell r="B3030" t="str">
            <v>15</v>
          </cell>
          <cell r="C3030" t="str">
            <v>07</v>
          </cell>
          <cell r="D3030" t="str">
            <v>1</v>
          </cell>
          <cell r="E3030" t="str">
            <v>0006</v>
          </cell>
          <cell r="F3030" t="str">
            <v>0010</v>
          </cell>
          <cell r="G3030" t="str">
            <v>20904</v>
          </cell>
          <cell r="H3030" t="str">
            <v>收借款</v>
          </cell>
          <cell r="I3030" t="b">
            <v>0</v>
          </cell>
          <cell r="J3030">
            <v>9051</v>
          </cell>
          <cell r="K3030">
            <v>0</v>
          </cell>
          <cell r="L3030">
            <v>0</v>
          </cell>
        </row>
        <row r="3031">
          <cell r="A3031" t="str">
            <v>07</v>
          </cell>
          <cell r="B3031" t="str">
            <v>15</v>
          </cell>
          <cell r="C3031" t="str">
            <v>07</v>
          </cell>
          <cell r="D3031" t="str">
            <v>1</v>
          </cell>
          <cell r="E3031" t="str">
            <v>0006</v>
          </cell>
          <cell r="F3031" t="str">
            <v>0011</v>
          </cell>
          <cell r="G3031" t="str">
            <v>20904</v>
          </cell>
          <cell r="H3031" t="str">
            <v>收借款</v>
          </cell>
          <cell r="I3031" t="b">
            <v>0</v>
          </cell>
          <cell r="J3031">
            <v>3386</v>
          </cell>
          <cell r="K3031">
            <v>0</v>
          </cell>
          <cell r="L3031">
            <v>0</v>
          </cell>
        </row>
        <row r="3032">
          <cell r="A3032" t="str">
            <v>07</v>
          </cell>
          <cell r="B3032" t="str">
            <v>15</v>
          </cell>
          <cell r="C3032" t="str">
            <v>07</v>
          </cell>
          <cell r="D3032" t="str">
            <v>1</v>
          </cell>
          <cell r="E3032" t="str">
            <v>0006</v>
          </cell>
          <cell r="F3032" t="str">
            <v>0012</v>
          </cell>
          <cell r="G3032" t="str">
            <v>20904</v>
          </cell>
          <cell r="H3032" t="str">
            <v>收借款</v>
          </cell>
          <cell r="I3032" t="b">
            <v>0</v>
          </cell>
          <cell r="J3032">
            <v>1798</v>
          </cell>
          <cell r="K3032">
            <v>0</v>
          </cell>
          <cell r="L3032">
            <v>0</v>
          </cell>
        </row>
        <row r="3033">
          <cell r="A3033" t="str">
            <v>07</v>
          </cell>
          <cell r="B3033" t="str">
            <v>15</v>
          </cell>
          <cell r="C3033" t="str">
            <v>07</v>
          </cell>
          <cell r="D3033" t="str">
            <v>1</v>
          </cell>
          <cell r="E3033" t="str">
            <v>0006</v>
          </cell>
          <cell r="F3033" t="str">
            <v>0013</v>
          </cell>
          <cell r="G3033" t="str">
            <v>20904</v>
          </cell>
          <cell r="H3033" t="str">
            <v>收借款</v>
          </cell>
          <cell r="I3033" t="b">
            <v>0</v>
          </cell>
          <cell r="J3033">
            <v>1258</v>
          </cell>
          <cell r="K3033">
            <v>0</v>
          </cell>
          <cell r="L3033">
            <v>0</v>
          </cell>
        </row>
        <row r="3034">
          <cell r="A3034" t="str">
            <v>07</v>
          </cell>
          <cell r="B3034" t="str">
            <v>15</v>
          </cell>
          <cell r="C3034" t="str">
            <v>07</v>
          </cell>
          <cell r="D3034" t="str">
            <v>1</v>
          </cell>
          <cell r="E3034" t="str">
            <v>0006</v>
          </cell>
          <cell r="F3034" t="str">
            <v>0014</v>
          </cell>
          <cell r="G3034" t="str">
            <v>20904</v>
          </cell>
          <cell r="H3034" t="str">
            <v>收借款</v>
          </cell>
          <cell r="I3034" t="b">
            <v>0</v>
          </cell>
          <cell r="J3034">
            <v>5634</v>
          </cell>
          <cell r="K3034">
            <v>0</v>
          </cell>
          <cell r="L3034">
            <v>0</v>
          </cell>
        </row>
        <row r="3035">
          <cell r="A3035" t="str">
            <v>07</v>
          </cell>
          <cell r="B3035" t="str">
            <v>15</v>
          </cell>
          <cell r="C3035" t="str">
            <v>07</v>
          </cell>
          <cell r="D3035" t="str">
            <v>1</v>
          </cell>
          <cell r="E3035" t="str">
            <v>0006</v>
          </cell>
          <cell r="F3035" t="str">
            <v>0015</v>
          </cell>
          <cell r="G3035" t="str">
            <v>20904</v>
          </cell>
          <cell r="H3035" t="str">
            <v>收借款</v>
          </cell>
          <cell r="I3035" t="b">
            <v>0</v>
          </cell>
          <cell r="J3035">
            <v>1126</v>
          </cell>
          <cell r="K3035">
            <v>0</v>
          </cell>
          <cell r="L3035">
            <v>0</v>
          </cell>
        </row>
        <row r="3036">
          <cell r="A3036" t="str">
            <v>07</v>
          </cell>
          <cell r="B3036" t="str">
            <v>15</v>
          </cell>
          <cell r="C3036" t="str">
            <v>07</v>
          </cell>
          <cell r="D3036" t="str">
            <v>1</v>
          </cell>
          <cell r="E3036" t="str">
            <v>0006</v>
          </cell>
          <cell r="F3036" t="str">
            <v>0016</v>
          </cell>
          <cell r="G3036" t="str">
            <v>20904</v>
          </cell>
          <cell r="H3036" t="str">
            <v>收借款</v>
          </cell>
          <cell r="I3036" t="b">
            <v>0</v>
          </cell>
          <cell r="J3036">
            <v>1798</v>
          </cell>
          <cell r="K3036">
            <v>0</v>
          </cell>
          <cell r="L3036">
            <v>0</v>
          </cell>
        </row>
        <row r="3037">
          <cell r="A3037" t="str">
            <v>07</v>
          </cell>
          <cell r="B3037" t="str">
            <v>15</v>
          </cell>
          <cell r="C3037" t="str">
            <v>07</v>
          </cell>
          <cell r="D3037" t="str">
            <v>1</v>
          </cell>
          <cell r="E3037" t="str">
            <v>0006</v>
          </cell>
          <cell r="F3037" t="str">
            <v>0017</v>
          </cell>
          <cell r="G3037" t="str">
            <v>20904</v>
          </cell>
          <cell r="H3037" t="str">
            <v>收借款</v>
          </cell>
          <cell r="I3037" t="b">
            <v>0</v>
          </cell>
          <cell r="J3037">
            <v>2338</v>
          </cell>
          <cell r="K3037">
            <v>0</v>
          </cell>
          <cell r="L3037">
            <v>0</v>
          </cell>
        </row>
        <row r="3038">
          <cell r="A3038" t="str">
            <v>07</v>
          </cell>
          <cell r="B3038" t="str">
            <v>15</v>
          </cell>
          <cell r="C3038" t="str">
            <v>07</v>
          </cell>
          <cell r="D3038" t="str">
            <v>1</v>
          </cell>
          <cell r="E3038" t="str">
            <v>0006</v>
          </cell>
          <cell r="F3038" t="str">
            <v>0018</v>
          </cell>
          <cell r="G3038" t="str">
            <v>20904</v>
          </cell>
          <cell r="H3038" t="str">
            <v>收借款</v>
          </cell>
          <cell r="I3038" t="b">
            <v>0</v>
          </cell>
          <cell r="J3038">
            <v>3386</v>
          </cell>
          <cell r="K3038">
            <v>0</v>
          </cell>
          <cell r="L3038">
            <v>0</v>
          </cell>
        </row>
        <row r="3039">
          <cell r="A3039" t="str">
            <v>07</v>
          </cell>
          <cell r="B3039" t="str">
            <v>15</v>
          </cell>
          <cell r="C3039" t="str">
            <v>07</v>
          </cell>
          <cell r="D3039" t="str">
            <v>1</v>
          </cell>
          <cell r="E3039" t="str">
            <v>0006</v>
          </cell>
          <cell r="F3039" t="str">
            <v>0019</v>
          </cell>
          <cell r="G3039" t="str">
            <v>20904</v>
          </cell>
          <cell r="H3039" t="str">
            <v>收借款</v>
          </cell>
          <cell r="I3039" t="b">
            <v>0</v>
          </cell>
          <cell r="J3039">
            <v>1798</v>
          </cell>
          <cell r="K3039">
            <v>0</v>
          </cell>
          <cell r="L3039">
            <v>0</v>
          </cell>
        </row>
        <row r="3040">
          <cell r="A3040" t="str">
            <v>07</v>
          </cell>
          <cell r="B3040" t="str">
            <v>15</v>
          </cell>
          <cell r="C3040" t="str">
            <v>07</v>
          </cell>
          <cell r="D3040" t="str">
            <v>1</v>
          </cell>
          <cell r="E3040" t="str">
            <v>0006</v>
          </cell>
          <cell r="F3040" t="str">
            <v>0020</v>
          </cell>
          <cell r="G3040" t="str">
            <v>20904</v>
          </cell>
          <cell r="H3040" t="str">
            <v>收借款</v>
          </cell>
          <cell r="I3040" t="b">
            <v>0</v>
          </cell>
          <cell r="J3040">
            <v>1798</v>
          </cell>
          <cell r="K3040">
            <v>0</v>
          </cell>
          <cell r="L3040">
            <v>0</v>
          </cell>
        </row>
        <row r="3041">
          <cell r="A3041" t="str">
            <v>07</v>
          </cell>
          <cell r="B3041" t="str">
            <v>15</v>
          </cell>
          <cell r="C3041" t="str">
            <v>07</v>
          </cell>
          <cell r="D3041" t="str">
            <v>1</v>
          </cell>
          <cell r="E3041" t="str">
            <v>0006</v>
          </cell>
          <cell r="F3041" t="str">
            <v>0021</v>
          </cell>
          <cell r="G3041" t="str">
            <v>20904</v>
          </cell>
          <cell r="H3041" t="str">
            <v>收借款</v>
          </cell>
          <cell r="I3041" t="b">
            <v>0</v>
          </cell>
          <cell r="J3041">
            <v>3431</v>
          </cell>
          <cell r="K3041">
            <v>0</v>
          </cell>
          <cell r="L3041">
            <v>0</v>
          </cell>
        </row>
        <row r="3042">
          <cell r="A3042" t="str">
            <v>07</v>
          </cell>
          <cell r="B3042" t="str">
            <v>15</v>
          </cell>
          <cell r="C3042" t="str">
            <v>07</v>
          </cell>
          <cell r="D3042" t="str">
            <v>1</v>
          </cell>
          <cell r="E3042" t="str">
            <v>0006</v>
          </cell>
          <cell r="F3042" t="str">
            <v>0022</v>
          </cell>
          <cell r="G3042" t="str">
            <v>20904</v>
          </cell>
          <cell r="H3042" t="str">
            <v>收借款</v>
          </cell>
          <cell r="I3042" t="b">
            <v>0</v>
          </cell>
          <cell r="J3042">
            <v>1258</v>
          </cell>
          <cell r="K3042">
            <v>0</v>
          </cell>
          <cell r="L3042">
            <v>0</v>
          </cell>
        </row>
        <row r="3043">
          <cell r="A3043" t="str">
            <v>07</v>
          </cell>
          <cell r="B3043" t="str">
            <v>15</v>
          </cell>
          <cell r="C3043" t="str">
            <v>07</v>
          </cell>
          <cell r="D3043" t="str">
            <v>1</v>
          </cell>
          <cell r="E3043" t="str">
            <v>0006</v>
          </cell>
          <cell r="F3043" t="str">
            <v>0023</v>
          </cell>
          <cell r="G3043" t="str">
            <v>20904</v>
          </cell>
          <cell r="H3043" t="str">
            <v>收借款</v>
          </cell>
          <cell r="I3043" t="b">
            <v>0</v>
          </cell>
          <cell r="J3043">
            <v>1754</v>
          </cell>
          <cell r="K3043">
            <v>0</v>
          </cell>
          <cell r="L3043">
            <v>0</v>
          </cell>
        </row>
        <row r="3044">
          <cell r="A3044" t="str">
            <v>07</v>
          </cell>
          <cell r="B3044" t="str">
            <v>15</v>
          </cell>
          <cell r="C3044" t="str">
            <v>07</v>
          </cell>
          <cell r="D3044" t="str">
            <v>1</v>
          </cell>
          <cell r="E3044" t="str">
            <v>0006</v>
          </cell>
          <cell r="F3044" t="str">
            <v>0024</v>
          </cell>
          <cell r="G3044" t="str">
            <v>20904</v>
          </cell>
          <cell r="H3044" t="str">
            <v>收借款</v>
          </cell>
          <cell r="I3044" t="b">
            <v>0</v>
          </cell>
          <cell r="J3044">
            <v>1754</v>
          </cell>
          <cell r="K3044">
            <v>0</v>
          </cell>
          <cell r="L3044">
            <v>0</v>
          </cell>
        </row>
        <row r="3045">
          <cell r="A3045" t="str">
            <v>07</v>
          </cell>
          <cell r="B3045" t="str">
            <v>15</v>
          </cell>
          <cell r="C3045" t="str">
            <v>07</v>
          </cell>
          <cell r="D3045" t="str">
            <v>1</v>
          </cell>
          <cell r="E3045" t="str">
            <v>0006</v>
          </cell>
          <cell r="F3045" t="str">
            <v>0025</v>
          </cell>
          <cell r="G3045" t="str">
            <v>20904</v>
          </cell>
          <cell r="H3045" t="str">
            <v>收借款</v>
          </cell>
          <cell r="I3045" t="b">
            <v>0</v>
          </cell>
          <cell r="J3045">
            <v>3252</v>
          </cell>
          <cell r="K3045">
            <v>0</v>
          </cell>
          <cell r="L3045">
            <v>0</v>
          </cell>
        </row>
        <row r="3046">
          <cell r="A3046" t="str">
            <v>07</v>
          </cell>
          <cell r="B3046" t="str">
            <v>15</v>
          </cell>
          <cell r="C3046" t="str">
            <v>07</v>
          </cell>
          <cell r="D3046" t="str">
            <v>1</v>
          </cell>
          <cell r="E3046" t="str">
            <v>0006</v>
          </cell>
          <cell r="F3046" t="str">
            <v>0026</v>
          </cell>
          <cell r="G3046" t="str">
            <v>20904</v>
          </cell>
          <cell r="H3046" t="str">
            <v>收借款</v>
          </cell>
          <cell r="I3046" t="b">
            <v>0</v>
          </cell>
          <cell r="J3046">
            <v>3192</v>
          </cell>
          <cell r="K3046">
            <v>0</v>
          </cell>
          <cell r="L3046">
            <v>0</v>
          </cell>
        </row>
        <row r="3047">
          <cell r="A3047" t="str">
            <v>07</v>
          </cell>
          <cell r="B3047" t="str">
            <v>18</v>
          </cell>
          <cell r="C3047" t="str">
            <v>07</v>
          </cell>
          <cell r="D3047" t="str">
            <v>1</v>
          </cell>
          <cell r="E3047" t="str">
            <v>0007</v>
          </cell>
          <cell r="F3047" t="str">
            <v>0002</v>
          </cell>
          <cell r="G3047" t="str">
            <v>20904</v>
          </cell>
          <cell r="H3047" t="str">
            <v>收存款</v>
          </cell>
          <cell r="I3047" t="b">
            <v>0</v>
          </cell>
          <cell r="J3047">
            <v>11500</v>
          </cell>
          <cell r="K3047">
            <v>0</v>
          </cell>
          <cell r="L3047">
            <v>0</v>
          </cell>
        </row>
        <row r="3048">
          <cell r="A3048" t="str">
            <v>09</v>
          </cell>
          <cell r="B3048" t="str">
            <v>10</v>
          </cell>
          <cell r="C3048" t="str">
            <v>09</v>
          </cell>
          <cell r="D3048" t="str">
            <v>1</v>
          </cell>
          <cell r="E3048" t="str">
            <v>0005</v>
          </cell>
          <cell r="F3048" t="str">
            <v>0002</v>
          </cell>
          <cell r="G3048" t="str">
            <v>20904</v>
          </cell>
          <cell r="H3048" t="str">
            <v>收借款</v>
          </cell>
          <cell r="I3048" t="b">
            <v>0</v>
          </cell>
          <cell r="J3048">
            <v>11044</v>
          </cell>
          <cell r="K3048">
            <v>0</v>
          </cell>
          <cell r="L3048">
            <v>0</v>
          </cell>
        </row>
        <row r="3049">
          <cell r="A3049" t="str">
            <v>09</v>
          </cell>
          <cell r="B3049" t="str">
            <v>10</v>
          </cell>
          <cell r="C3049" t="str">
            <v>09</v>
          </cell>
          <cell r="D3049" t="str">
            <v>1</v>
          </cell>
          <cell r="E3049" t="str">
            <v>0005</v>
          </cell>
          <cell r="F3049" t="str">
            <v>0003</v>
          </cell>
          <cell r="G3049" t="str">
            <v>20904</v>
          </cell>
          <cell r="H3049" t="str">
            <v>收借款</v>
          </cell>
          <cell r="I3049" t="b">
            <v>0</v>
          </cell>
          <cell r="J3049">
            <v>16648</v>
          </cell>
          <cell r="K3049">
            <v>0</v>
          </cell>
          <cell r="L3049">
            <v>0</v>
          </cell>
        </row>
        <row r="3050">
          <cell r="A3050" t="str">
            <v>09</v>
          </cell>
          <cell r="B3050" t="str">
            <v>10</v>
          </cell>
          <cell r="C3050" t="str">
            <v>09</v>
          </cell>
          <cell r="D3050" t="str">
            <v>1</v>
          </cell>
          <cell r="E3050" t="str">
            <v>0005</v>
          </cell>
          <cell r="F3050" t="str">
            <v>0004</v>
          </cell>
          <cell r="G3050" t="str">
            <v>20904</v>
          </cell>
          <cell r="H3050" t="str">
            <v>收借款</v>
          </cell>
          <cell r="I3050" t="b">
            <v>0</v>
          </cell>
          <cell r="J3050">
            <v>11284</v>
          </cell>
          <cell r="K3050">
            <v>0</v>
          </cell>
          <cell r="L3050">
            <v>0</v>
          </cell>
        </row>
        <row r="3051">
          <cell r="A3051" t="str">
            <v>09</v>
          </cell>
          <cell r="B3051" t="str">
            <v>10</v>
          </cell>
          <cell r="C3051" t="str">
            <v>09</v>
          </cell>
          <cell r="D3051" t="str">
            <v>1</v>
          </cell>
          <cell r="E3051" t="str">
            <v>0005</v>
          </cell>
          <cell r="F3051" t="str">
            <v>0005</v>
          </cell>
          <cell r="G3051" t="str">
            <v>20904</v>
          </cell>
          <cell r="H3051" t="str">
            <v>收借款</v>
          </cell>
          <cell r="I3051" t="b">
            <v>0</v>
          </cell>
          <cell r="J3051">
            <v>13262</v>
          </cell>
          <cell r="K3051">
            <v>0</v>
          </cell>
          <cell r="L3051">
            <v>0</v>
          </cell>
        </row>
        <row r="3052">
          <cell r="A3052" t="str">
            <v>09</v>
          </cell>
          <cell r="B3052" t="str">
            <v>10</v>
          </cell>
          <cell r="C3052" t="str">
            <v>09</v>
          </cell>
          <cell r="D3052" t="str">
            <v>1</v>
          </cell>
          <cell r="E3052" t="str">
            <v>0005</v>
          </cell>
          <cell r="F3052" t="str">
            <v>0006</v>
          </cell>
          <cell r="G3052" t="str">
            <v>20904</v>
          </cell>
          <cell r="H3052" t="str">
            <v>收借款</v>
          </cell>
          <cell r="I3052" t="b">
            <v>0</v>
          </cell>
          <cell r="J3052">
            <v>22103</v>
          </cell>
          <cell r="K3052">
            <v>0</v>
          </cell>
          <cell r="L3052">
            <v>0</v>
          </cell>
        </row>
        <row r="3053">
          <cell r="A3053" t="str">
            <v>09</v>
          </cell>
          <cell r="B3053" t="str">
            <v>10</v>
          </cell>
          <cell r="C3053" t="str">
            <v>09</v>
          </cell>
          <cell r="D3053" t="str">
            <v>1</v>
          </cell>
          <cell r="E3053" t="str">
            <v>0005</v>
          </cell>
          <cell r="F3053" t="str">
            <v>0007</v>
          </cell>
          <cell r="G3053" t="str">
            <v>20904</v>
          </cell>
          <cell r="H3053" t="str">
            <v>收借款</v>
          </cell>
          <cell r="I3053" t="b">
            <v>0</v>
          </cell>
          <cell r="J3053">
            <v>12527</v>
          </cell>
          <cell r="K3053">
            <v>0</v>
          </cell>
          <cell r="L3053">
            <v>0</v>
          </cell>
        </row>
        <row r="3054">
          <cell r="A3054" t="str">
            <v>09</v>
          </cell>
          <cell r="B3054" t="str">
            <v>10</v>
          </cell>
          <cell r="C3054" t="str">
            <v>09</v>
          </cell>
          <cell r="D3054" t="str">
            <v>1</v>
          </cell>
          <cell r="E3054" t="str">
            <v>0005</v>
          </cell>
          <cell r="F3054" t="str">
            <v>0008</v>
          </cell>
          <cell r="G3054" t="str">
            <v>20904</v>
          </cell>
          <cell r="H3054" t="str">
            <v>收借款</v>
          </cell>
          <cell r="I3054" t="b">
            <v>0</v>
          </cell>
          <cell r="J3054">
            <v>12498</v>
          </cell>
          <cell r="K3054">
            <v>0</v>
          </cell>
          <cell r="L3054">
            <v>0</v>
          </cell>
        </row>
        <row r="3055">
          <cell r="A3055" t="str">
            <v>02</v>
          </cell>
          <cell r="B3055" t="str">
            <v>14</v>
          </cell>
          <cell r="C3055" t="str">
            <v>02</v>
          </cell>
          <cell r="D3055" t="str">
            <v>4</v>
          </cell>
          <cell r="E3055" t="str">
            <v>0015</v>
          </cell>
          <cell r="F3055" t="str">
            <v>0001</v>
          </cell>
          <cell r="G3055" t="str">
            <v>21101</v>
          </cell>
          <cell r="H3055" t="str">
            <v>付1月份工人工资</v>
          </cell>
          <cell r="I3055" t="b">
            <v>1</v>
          </cell>
          <cell r="J3055">
            <v>91158.57</v>
          </cell>
          <cell r="K3055">
            <v>0</v>
          </cell>
          <cell r="L3055">
            <v>0</v>
          </cell>
        </row>
        <row r="3056">
          <cell r="A3056" t="str">
            <v>02</v>
          </cell>
          <cell r="B3056" t="str">
            <v>18</v>
          </cell>
          <cell r="C3056" t="str">
            <v>02</v>
          </cell>
          <cell r="D3056" t="str">
            <v>4</v>
          </cell>
          <cell r="E3056" t="str">
            <v>0022</v>
          </cell>
          <cell r="F3056" t="str">
            <v>0001</v>
          </cell>
          <cell r="G3056" t="str">
            <v>21101</v>
          </cell>
          <cell r="H3056" t="str">
            <v>付99年12月份工人工资</v>
          </cell>
          <cell r="I3056" t="b">
            <v>1</v>
          </cell>
          <cell r="J3056">
            <v>84989.43</v>
          </cell>
          <cell r="K3056">
            <v>0</v>
          </cell>
          <cell r="L3056">
            <v>0</v>
          </cell>
        </row>
        <row r="3057">
          <cell r="A3057" t="str">
            <v>02</v>
          </cell>
          <cell r="B3057" t="str">
            <v>20</v>
          </cell>
          <cell r="C3057" t="str">
            <v>02</v>
          </cell>
          <cell r="D3057" t="str">
            <v>5</v>
          </cell>
          <cell r="E3057" t="str">
            <v>0001</v>
          </cell>
          <cell r="F3057" t="str">
            <v>0004</v>
          </cell>
          <cell r="G3057" t="str">
            <v>21101</v>
          </cell>
          <cell r="H3057" t="str">
            <v>转99年12月份工人工资</v>
          </cell>
          <cell r="I3057" t="b">
            <v>0</v>
          </cell>
          <cell r="J3057">
            <v>84989.43</v>
          </cell>
          <cell r="K3057">
            <v>0</v>
          </cell>
          <cell r="L3057">
            <v>0</v>
          </cell>
        </row>
        <row r="3058">
          <cell r="A3058" t="str">
            <v>02</v>
          </cell>
          <cell r="B3058" t="str">
            <v>20</v>
          </cell>
          <cell r="C3058" t="str">
            <v>02</v>
          </cell>
          <cell r="D3058" t="str">
            <v>5</v>
          </cell>
          <cell r="E3058" t="str">
            <v>0003</v>
          </cell>
          <cell r="F3058" t="str">
            <v>0004</v>
          </cell>
          <cell r="G3058" t="str">
            <v>21101</v>
          </cell>
          <cell r="H3058" t="str">
            <v>转1月份工人工资</v>
          </cell>
          <cell r="I3058" t="b">
            <v>0</v>
          </cell>
          <cell r="J3058">
            <v>91158.57</v>
          </cell>
          <cell r="K3058">
            <v>0</v>
          </cell>
          <cell r="L3058">
            <v>0</v>
          </cell>
        </row>
        <row r="3059">
          <cell r="A3059" t="str">
            <v>03</v>
          </cell>
          <cell r="B3059" t="str">
            <v>25</v>
          </cell>
          <cell r="C3059" t="str">
            <v>03</v>
          </cell>
          <cell r="D3059" t="str">
            <v>2</v>
          </cell>
          <cell r="E3059" t="str">
            <v>0026</v>
          </cell>
          <cell r="F3059" t="str">
            <v>0001</v>
          </cell>
          <cell r="G3059" t="str">
            <v>21101</v>
          </cell>
          <cell r="H3059" t="str">
            <v>付工人工资</v>
          </cell>
          <cell r="I3059" t="b">
            <v>1</v>
          </cell>
          <cell r="J3059">
            <v>8860.9</v>
          </cell>
          <cell r="K3059">
            <v>0</v>
          </cell>
          <cell r="L3059">
            <v>0</v>
          </cell>
        </row>
        <row r="3060">
          <cell r="A3060" t="str">
            <v>03</v>
          </cell>
          <cell r="B3060" t="str">
            <v>20</v>
          </cell>
          <cell r="C3060" t="str">
            <v>03</v>
          </cell>
          <cell r="D3060" t="str">
            <v>4</v>
          </cell>
          <cell r="E3060" t="str">
            <v>0028</v>
          </cell>
          <cell r="F3060" t="str">
            <v>0001</v>
          </cell>
          <cell r="G3060" t="str">
            <v>21101</v>
          </cell>
          <cell r="H3060" t="str">
            <v>付本月工人工资</v>
          </cell>
          <cell r="I3060" t="b">
            <v>1</v>
          </cell>
          <cell r="J3060">
            <v>92977.7</v>
          </cell>
          <cell r="K3060">
            <v>0</v>
          </cell>
          <cell r="L3060">
            <v>0</v>
          </cell>
        </row>
        <row r="3061">
          <cell r="A3061" t="str">
            <v>03</v>
          </cell>
          <cell r="B3061" t="str">
            <v>27</v>
          </cell>
          <cell r="C3061" t="str">
            <v>03</v>
          </cell>
          <cell r="D3061" t="str">
            <v>5</v>
          </cell>
          <cell r="E3061" t="str">
            <v>0010</v>
          </cell>
          <cell r="F3061" t="str">
            <v>0001</v>
          </cell>
          <cell r="G3061" t="str">
            <v>21101</v>
          </cell>
          <cell r="H3061" t="str">
            <v>调正2月4-15号凭证错制</v>
          </cell>
          <cell r="I3061" t="b">
            <v>1</v>
          </cell>
          <cell r="J3061">
            <v>1680</v>
          </cell>
          <cell r="K3061">
            <v>0</v>
          </cell>
          <cell r="L3061">
            <v>0</v>
          </cell>
        </row>
        <row r="3062">
          <cell r="A3062" t="str">
            <v>03</v>
          </cell>
          <cell r="B3062" t="str">
            <v>27</v>
          </cell>
          <cell r="C3062" t="str">
            <v>03</v>
          </cell>
          <cell r="D3062" t="str">
            <v>5</v>
          </cell>
          <cell r="E3062" t="str">
            <v>0011</v>
          </cell>
          <cell r="F3062" t="str">
            <v>0002</v>
          </cell>
          <cell r="G3062" t="str">
            <v>21101</v>
          </cell>
          <cell r="H3062" t="str">
            <v>转工人工资</v>
          </cell>
          <cell r="I3062" t="b">
            <v>0</v>
          </cell>
          <cell r="J3062">
            <v>10540.9</v>
          </cell>
          <cell r="K3062">
            <v>0</v>
          </cell>
          <cell r="L3062">
            <v>0</v>
          </cell>
        </row>
        <row r="3063">
          <cell r="A3063" t="str">
            <v>03</v>
          </cell>
          <cell r="B3063" t="str">
            <v>27</v>
          </cell>
          <cell r="C3063" t="str">
            <v>03</v>
          </cell>
          <cell r="D3063" t="str">
            <v>5</v>
          </cell>
          <cell r="E3063" t="str">
            <v>0013</v>
          </cell>
          <cell r="F3063" t="str">
            <v>0004</v>
          </cell>
          <cell r="G3063" t="str">
            <v>21101</v>
          </cell>
          <cell r="H3063" t="str">
            <v>转本月工人工资</v>
          </cell>
          <cell r="I3063" t="b">
            <v>0</v>
          </cell>
          <cell r="J3063">
            <v>92977.7</v>
          </cell>
          <cell r="K3063">
            <v>0</v>
          </cell>
          <cell r="L3063">
            <v>0</v>
          </cell>
        </row>
        <row r="3064">
          <cell r="A3064" t="str">
            <v>04</v>
          </cell>
          <cell r="B3064" t="str">
            <v>19</v>
          </cell>
          <cell r="C3064" t="str">
            <v>04</v>
          </cell>
          <cell r="D3064" t="str">
            <v>4</v>
          </cell>
          <cell r="E3064" t="str">
            <v>0022</v>
          </cell>
          <cell r="F3064" t="str">
            <v>0001</v>
          </cell>
          <cell r="G3064" t="str">
            <v>21101</v>
          </cell>
          <cell r="H3064" t="str">
            <v>付本月工人工资</v>
          </cell>
          <cell r="I3064" t="b">
            <v>1</v>
          </cell>
          <cell r="J3064">
            <v>102539.58</v>
          </cell>
          <cell r="K3064">
            <v>0</v>
          </cell>
          <cell r="L3064">
            <v>0</v>
          </cell>
        </row>
        <row r="3065">
          <cell r="A3065" t="str">
            <v>04</v>
          </cell>
          <cell r="B3065" t="str">
            <v>24</v>
          </cell>
          <cell r="C3065" t="str">
            <v>04</v>
          </cell>
          <cell r="D3065" t="str">
            <v>5</v>
          </cell>
          <cell r="E3065" t="str">
            <v>0014</v>
          </cell>
          <cell r="F3065" t="str">
            <v>0004</v>
          </cell>
          <cell r="G3065" t="str">
            <v>21101</v>
          </cell>
          <cell r="H3065" t="str">
            <v>转本月工人工资</v>
          </cell>
          <cell r="I3065" t="b">
            <v>0</v>
          </cell>
          <cell r="J3065">
            <v>102539.58</v>
          </cell>
          <cell r="K3065">
            <v>0</v>
          </cell>
          <cell r="L3065">
            <v>0</v>
          </cell>
        </row>
        <row r="3066">
          <cell r="A3066" t="str">
            <v>05</v>
          </cell>
          <cell r="B3066" t="str">
            <v>25</v>
          </cell>
          <cell r="C3066" t="str">
            <v>05</v>
          </cell>
          <cell r="D3066" t="str">
            <v>4</v>
          </cell>
          <cell r="E3066" t="str">
            <v>0027</v>
          </cell>
          <cell r="F3066" t="str">
            <v>0001</v>
          </cell>
          <cell r="G3066" t="str">
            <v>21101</v>
          </cell>
          <cell r="H3066" t="str">
            <v>付本月工人工资</v>
          </cell>
          <cell r="I3066" t="b">
            <v>1</v>
          </cell>
          <cell r="J3066">
            <v>94609.47</v>
          </cell>
          <cell r="K3066">
            <v>0</v>
          </cell>
          <cell r="L3066">
            <v>0</v>
          </cell>
        </row>
        <row r="3067">
          <cell r="A3067" t="str">
            <v>05</v>
          </cell>
          <cell r="B3067" t="str">
            <v>02</v>
          </cell>
          <cell r="C3067" t="str">
            <v>05</v>
          </cell>
          <cell r="D3067" t="str">
            <v>5</v>
          </cell>
          <cell r="E3067" t="str">
            <v>0001</v>
          </cell>
          <cell r="F3067" t="str">
            <v>0004</v>
          </cell>
          <cell r="G3067" t="str">
            <v>21101</v>
          </cell>
          <cell r="H3067" t="str">
            <v>转本月工人工资</v>
          </cell>
          <cell r="I3067" t="b">
            <v>0</v>
          </cell>
          <cell r="J3067">
            <v>94609.47</v>
          </cell>
          <cell r="K3067">
            <v>0</v>
          </cell>
          <cell r="L3067">
            <v>0</v>
          </cell>
        </row>
        <row r="3068">
          <cell r="A3068" t="str">
            <v>06</v>
          </cell>
          <cell r="B3068" t="str">
            <v>20</v>
          </cell>
          <cell r="C3068" t="str">
            <v>06</v>
          </cell>
          <cell r="D3068" t="str">
            <v>4</v>
          </cell>
          <cell r="E3068" t="str">
            <v>0013</v>
          </cell>
          <cell r="F3068" t="str">
            <v>0001</v>
          </cell>
          <cell r="G3068" t="str">
            <v>21101</v>
          </cell>
          <cell r="H3068" t="str">
            <v>付本月工人工资</v>
          </cell>
          <cell r="I3068" t="b">
            <v>1</v>
          </cell>
          <cell r="J3068">
            <v>89648.37</v>
          </cell>
          <cell r="K3068">
            <v>0</v>
          </cell>
          <cell r="L3068">
            <v>0</v>
          </cell>
        </row>
        <row r="3069">
          <cell r="A3069" t="str">
            <v>06</v>
          </cell>
          <cell r="B3069" t="str">
            <v>20</v>
          </cell>
          <cell r="C3069" t="str">
            <v>06</v>
          </cell>
          <cell r="D3069" t="str">
            <v>5</v>
          </cell>
          <cell r="E3069" t="str">
            <v>0007</v>
          </cell>
          <cell r="F3069" t="str">
            <v>0004</v>
          </cell>
          <cell r="G3069" t="str">
            <v>21101</v>
          </cell>
          <cell r="H3069" t="str">
            <v>转本月工人工资</v>
          </cell>
          <cell r="I3069" t="b">
            <v>0</v>
          </cell>
          <cell r="J3069">
            <v>89648.37</v>
          </cell>
          <cell r="K3069">
            <v>0</v>
          </cell>
          <cell r="L3069">
            <v>0</v>
          </cell>
        </row>
        <row r="3070">
          <cell r="A3070" t="str">
            <v>07</v>
          </cell>
          <cell r="B3070" t="str">
            <v>12</v>
          </cell>
          <cell r="C3070" t="str">
            <v>07</v>
          </cell>
          <cell r="D3070" t="str">
            <v>4</v>
          </cell>
          <cell r="E3070" t="str">
            <v>0009</v>
          </cell>
          <cell r="F3070" t="str">
            <v>0001</v>
          </cell>
          <cell r="G3070" t="str">
            <v>21101</v>
          </cell>
          <cell r="H3070" t="str">
            <v>付工人工资</v>
          </cell>
          <cell r="I3070" t="b">
            <v>1</v>
          </cell>
          <cell r="J3070">
            <v>90992.97</v>
          </cell>
          <cell r="K3070">
            <v>0</v>
          </cell>
          <cell r="L3070">
            <v>0</v>
          </cell>
        </row>
        <row r="3071">
          <cell r="A3071" t="str">
            <v>07</v>
          </cell>
          <cell r="B3071" t="str">
            <v>12</v>
          </cell>
          <cell r="C3071" t="str">
            <v>07</v>
          </cell>
          <cell r="D3071" t="str">
            <v>5</v>
          </cell>
          <cell r="E3071" t="str">
            <v>0001</v>
          </cell>
          <cell r="F3071" t="str">
            <v>0007</v>
          </cell>
          <cell r="G3071" t="str">
            <v>21101</v>
          </cell>
          <cell r="H3071" t="str">
            <v>转本月工人工资</v>
          </cell>
          <cell r="I3071" t="b">
            <v>0</v>
          </cell>
          <cell r="J3071">
            <v>90992.97</v>
          </cell>
          <cell r="K3071">
            <v>0</v>
          </cell>
          <cell r="L3071">
            <v>0</v>
          </cell>
        </row>
        <row r="3072">
          <cell r="A3072" t="str">
            <v>08</v>
          </cell>
          <cell r="B3072" t="str">
            <v>08</v>
          </cell>
          <cell r="C3072" t="str">
            <v>08</v>
          </cell>
          <cell r="D3072" t="str">
            <v>4</v>
          </cell>
          <cell r="E3072" t="str">
            <v>0015</v>
          </cell>
          <cell r="F3072" t="str">
            <v>0001</v>
          </cell>
          <cell r="G3072" t="str">
            <v>21101</v>
          </cell>
          <cell r="H3072" t="str">
            <v>付工人工资</v>
          </cell>
          <cell r="I3072" t="b">
            <v>1</v>
          </cell>
          <cell r="J3072">
            <v>36546.1</v>
          </cell>
          <cell r="K3072">
            <v>0</v>
          </cell>
          <cell r="L3072">
            <v>0</v>
          </cell>
        </row>
        <row r="3073">
          <cell r="A3073" t="str">
            <v>08</v>
          </cell>
          <cell r="B3073" t="str">
            <v>08</v>
          </cell>
          <cell r="C3073" t="str">
            <v>08</v>
          </cell>
          <cell r="D3073" t="str">
            <v>5</v>
          </cell>
          <cell r="E3073" t="str">
            <v>0001</v>
          </cell>
          <cell r="F3073" t="str">
            <v>0003</v>
          </cell>
          <cell r="G3073" t="str">
            <v>21101</v>
          </cell>
          <cell r="H3073" t="str">
            <v>转本月工人工资</v>
          </cell>
          <cell r="I3073" t="b">
            <v>0</v>
          </cell>
          <cell r="J3073">
            <v>36546.1</v>
          </cell>
          <cell r="K3073">
            <v>0</v>
          </cell>
          <cell r="L3073">
            <v>0</v>
          </cell>
        </row>
        <row r="3074">
          <cell r="A3074" t="str">
            <v>09</v>
          </cell>
          <cell r="B3074" t="str">
            <v>06</v>
          </cell>
          <cell r="C3074" t="str">
            <v>09</v>
          </cell>
          <cell r="D3074" t="str">
            <v>4</v>
          </cell>
          <cell r="E3074" t="str">
            <v>0010</v>
          </cell>
          <cell r="F3074" t="str">
            <v>0001</v>
          </cell>
          <cell r="G3074" t="str">
            <v>21101</v>
          </cell>
          <cell r="H3074" t="str">
            <v>付本月工人工资</v>
          </cell>
          <cell r="I3074" t="b">
            <v>1</v>
          </cell>
          <cell r="J3074">
            <v>37816.300000000003</v>
          </cell>
          <cell r="K3074">
            <v>0</v>
          </cell>
          <cell r="L3074">
            <v>0</v>
          </cell>
        </row>
        <row r="3075">
          <cell r="A3075" t="str">
            <v>09</v>
          </cell>
          <cell r="B3075" t="str">
            <v>06</v>
          </cell>
          <cell r="C3075" t="str">
            <v>09</v>
          </cell>
          <cell r="D3075" t="str">
            <v>5</v>
          </cell>
          <cell r="E3075" t="str">
            <v>0001</v>
          </cell>
          <cell r="F3075" t="str">
            <v>0003</v>
          </cell>
          <cell r="G3075" t="str">
            <v>21101</v>
          </cell>
          <cell r="H3075" t="str">
            <v>转本月工人工资</v>
          </cell>
          <cell r="I3075" t="b">
            <v>0</v>
          </cell>
          <cell r="J3075">
            <v>37816.300000000003</v>
          </cell>
          <cell r="K3075">
            <v>0</v>
          </cell>
          <cell r="L3075">
            <v>0</v>
          </cell>
        </row>
        <row r="3076">
          <cell r="A3076" t="str">
            <v>10</v>
          </cell>
          <cell r="B3076" t="str">
            <v>22</v>
          </cell>
          <cell r="C3076" t="str">
            <v>10</v>
          </cell>
          <cell r="D3076" t="str">
            <v>4</v>
          </cell>
          <cell r="E3076" t="str">
            <v>0025</v>
          </cell>
          <cell r="F3076" t="str">
            <v>0001</v>
          </cell>
          <cell r="G3076" t="str">
            <v>21101</v>
          </cell>
          <cell r="H3076" t="str">
            <v>付工人工资</v>
          </cell>
          <cell r="I3076" t="b">
            <v>1</v>
          </cell>
          <cell r="J3076">
            <v>36912.39</v>
          </cell>
          <cell r="K3076">
            <v>0</v>
          </cell>
          <cell r="L3076">
            <v>0</v>
          </cell>
        </row>
        <row r="3077">
          <cell r="A3077" t="str">
            <v>10</v>
          </cell>
          <cell r="B3077" t="str">
            <v>24</v>
          </cell>
          <cell r="C3077" t="str">
            <v>10</v>
          </cell>
          <cell r="D3077" t="str">
            <v>5</v>
          </cell>
          <cell r="E3077" t="str">
            <v>0012</v>
          </cell>
          <cell r="F3077" t="str">
            <v>0003</v>
          </cell>
          <cell r="G3077" t="str">
            <v>21101</v>
          </cell>
          <cell r="H3077" t="str">
            <v>转工人工资</v>
          </cell>
          <cell r="I3077" t="b">
            <v>0</v>
          </cell>
          <cell r="J3077">
            <v>36912.39</v>
          </cell>
          <cell r="K3077">
            <v>0</v>
          </cell>
          <cell r="L3077">
            <v>0</v>
          </cell>
        </row>
        <row r="3078">
          <cell r="A3078" t="str">
            <v>11</v>
          </cell>
          <cell r="B3078" t="str">
            <v>15</v>
          </cell>
          <cell r="C3078" t="str">
            <v>11</v>
          </cell>
          <cell r="D3078" t="str">
            <v>4</v>
          </cell>
          <cell r="E3078" t="str">
            <v>0027</v>
          </cell>
          <cell r="F3078" t="str">
            <v>0001</v>
          </cell>
          <cell r="G3078" t="str">
            <v>21101</v>
          </cell>
          <cell r="H3078" t="str">
            <v>付工人工资</v>
          </cell>
          <cell r="I3078" t="b">
            <v>1</v>
          </cell>
          <cell r="J3078">
            <v>36355.51</v>
          </cell>
          <cell r="K3078">
            <v>0</v>
          </cell>
          <cell r="L3078">
            <v>0</v>
          </cell>
        </row>
        <row r="3079">
          <cell r="A3079" t="str">
            <v>11</v>
          </cell>
          <cell r="B3079" t="str">
            <v>18</v>
          </cell>
          <cell r="C3079" t="str">
            <v>11</v>
          </cell>
          <cell r="D3079" t="str">
            <v>5</v>
          </cell>
          <cell r="E3079" t="str">
            <v>0014</v>
          </cell>
          <cell r="F3079" t="str">
            <v>0003</v>
          </cell>
          <cell r="G3079" t="str">
            <v>21101</v>
          </cell>
          <cell r="H3079" t="str">
            <v>转本月工人工资</v>
          </cell>
          <cell r="I3079" t="b">
            <v>0</v>
          </cell>
          <cell r="J3079">
            <v>36355.51</v>
          </cell>
          <cell r="K3079">
            <v>0</v>
          </cell>
          <cell r="L3079">
            <v>0</v>
          </cell>
        </row>
        <row r="3080">
          <cell r="A3080" t="str">
            <v>12</v>
          </cell>
          <cell r="B3080" t="str">
            <v>08</v>
          </cell>
          <cell r="C3080" t="str">
            <v>12</v>
          </cell>
          <cell r="D3080" t="str">
            <v>4</v>
          </cell>
          <cell r="E3080" t="str">
            <v>0010</v>
          </cell>
          <cell r="F3080" t="str">
            <v>0001</v>
          </cell>
          <cell r="G3080" t="str">
            <v>21101</v>
          </cell>
          <cell r="H3080" t="str">
            <v>付工人工资</v>
          </cell>
          <cell r="I3080" t="b">
            <v>1</v>
          </cell>
          <cell r="J3080">
            <v>36802.25</v>
          </cell>
          <cell r="K3080">
            <v>0</v>
          </cell>
          <cell r="L3080">
            <v>0</v>
          </cell>
        </row>
        <row r="3081">
          <cell r="A3081" t="str">
            <v>12</v>
          </cell>
          <cell r="B3081" t="str">
            <v>08</v>
          </cell>
          <cell r="C3081" t="str">
            <v>12</v>
          </cell>
          <cell r="D3081" t="str">
            <v>5</v>
          </cell>
          <cell r="E3081" t="str">
            <v>0001</v>
          </cell>
          <cell r="F3081" t="str">
            <v>0003</v>
          </cell>
          <cell r="G3081" t="str">
            <v>21101</v>
          </cell>
          <cell r="H3081" t="str">
            <v>转工人工资</v>
          </cell>
          <cell r="I3081" t="b">
            <v>0</v>
          </cell>
          <cell r="J3081">
            <v>36802.25</v>
          </cell>
          <cell r="K3081">
            <v>0</v>
          </cell>
          <cell r="L3081">
            <v>0</v>
          </cell>
        </row>
        <row r="3082">
          <cell r="A3082" t="str">
            <v>12</v>
          </cell>
          <cell r="B3082" t="str">
            <v>30</v>
          </cell>
          <cell r="C3082" t="str">
            <v>12</v>
          </cell>
          <cell r="D3082" t="str">
            <v>5</v>
          </cell>
          <cell r="E3082" t="str">
            <v>0088</v>
          </cell>
          <cell r="F3082" t="str">
            <v>0001</v>
          </cell>
          <cell r="G3082" t="str">
            <v>21101</v>
          </cell>
          <cell r="H3082" t="str">
            <v>转工人工资</v>
          </cell>
          <cell r="I3082" t="b">
            <v>1</v>
          </cell>
          <cell r="J3082">
            <v>39197.5</v>
          </cell>
          <cell r="K3082">
            <v>0</v>
          </cell>
          <cell r="L3082">
            <v>0</v>
          </cell>
        </row>
        <row r="3083">
          <cell r="A3083" t="str">
            <v>12</v>
          </cell>
          <cell r="B3083" t="str">
            <v>30</v>
          </cell>
          <cell r="C3083" t="str">
            <v>12</v>
          </cell>
          <cell r="D3083" t="str">
            <v>5</v>
          </cell>
          <cell r="E3083" t="str">
            <v>0089</v>
          </cell>
          <cell r="F3083" t="str">
            <v>0003</v>
          </cell>
          <cell r="G3083" t="str">
            <v>21101</v>
          </cell>
          <cell r="H3083" t="str">
            <v>转工人工资</v>
          </cell>
          <cell r="I3083" t="b">
            <v>0</v>
          </cell>
          <cell r="J3083">
            <v>39197.5</v>
          </cell>
          <cell r="K3083">
            <v>0</v>
          </cell>
          <cell r="L3083">
            <v>0</v>
          </cell>
        </row>
        <row r="3084">
          <cell r="A3084" t="str">
            <v>02</v>
          </cell>
          <cell r="B3084" t="str">
            <v>14</v>
          </cell>
          <cell r="C3084" t="str">
            <v>02</v>
          </cell>
          <cell r="D3084" t="str">
            <v>4</v>
          </cell>
          <cell r="E3084" t="str">
            <v>0015</v>
          </cell>
          <cell r="F3084" t="str">
            <v>0002</v>
          </cell>
          <cell r="G3084" t="str">
            <v>21102</v>
          </cell>
          <cell r="H3084" t="str">
            <v>付1月份工人夜班费</v>
          </cell>
          <cell r="I3084" t="b">
            <v>1</v>
          </cell>
          <cell r="J3084">
            <v>9252</v>
          </cell>
          <cell r="K3084">
            <v>0</v>
          </cell>
          <cell r="L3084">
            <v>0</v>
          </cell>
        </row>
        <row r="3085">
          <cell r="A3085" t="str">
            <v>02</v>
          </cell>
          <cell r="B3085" t="str">
            <v>18</v>
          </cell>
          <cell r="C3085" t="str">
            <v>02</v>
          </cell>
          <cell r="D3085" t="str">
            <v>4</v>
          </cell>
          <cell r="E3085" t="str">
            <v>0022</v>
          </cell>
          <cell r="F3085" t="str">
            <v>0002</v>
          </cell>
          <cell r="G3085" t="str">
            <v>21102</v>
          </cell>
          <cell r="H3085" t="str">
            <v>付99年12月份工人夜班费</v>
          </cell>
          <cell r="I3085" t="b">
            <v>1</v>
          </cell>
          <cell r="J3085">
            <v>8296</v>
          </cell>
          <cell r="K3085">
            <v>0</v>
          </cell>
          <cell r="L3085">
            <v>0</v>
          </cell>
        </row>
        <row r="3086">
          <cell r="A3086" t="str">
            <v>02</v>
          </cell>
          <cell r="B3086" t="str">
            <v>20</v>
          </cell>
          <cell r="C3086" t="str">
            <v>02</v>
          </cell>
          <cell r="D3086" t="str">
            <v>5</v>
          </cell>
          <cell r="E3086" t="str">
            <v>0001</v>
          </cell>
          <cell r="F3086" t="str">
            <v>0005</v>
          </cell>
          <cell r="G3086" t="str">
            <v>21102</v>
          </cell>
          <cell r="H3086" t="str">
            <v>转99年12月份工人夜班费</v>
          </cell>
          <cell r="I3086" t="b">
            <v>0</v>
          </cell>
          <cell r="J3086">
            <v>8296</v>
          </cell>
          <cell r="K3086">
            <v>0</v>
          </cell>
          <cell r="L3086">
            <v>0</v>
          </cell>
        </row>
        <row r="3087">
          <cell r="A3087" t="str">
            <v>02</v>
          </cell>
          <cell r="B3087" t="str">
            <v>20</v>
          </cell>
          <cell r="C3087" t="str">
            <v>02</v>
          </cell>
          <cell r="D3087" t="str">
            <v>5</v>
          </cell>
          <cell r="E3087" t="str">
            <v>0003</v>
          </cell>
          <cell r="F3087" t="str">
            <v>0005</v>
          </cell>
          <cell r="G3087" t="str">
            <v>21102</v>
          </cell>
          <cell r="H3087" t="str">
            <v>转1月份工人夜班费</v>
          </cell>
          <cell r="I3087" t="b">
            <v>0</v>
          </cell>
          <cell r="J3087">
            <v>9252</v>
          </cell>
          <cell r="K3087">
            <v>0</v>
          </cell>
          <cell r="L3087">
            <v>0</v>
          </cell>
        </row>
        <row r="3088">
          <cell r="A3088" t="str">
            <v>03</v>
          </cell>
          <cell r="B3088" t="str">
            <v>25</v>
          </cell>
          <cell r="C3088" t="str">
            <v>03</v>
          </cell>
          <cell r="D3088" t="str">
            <v>2</v>
          </cell>
          <cell r="E3088" t="str">
            <v>0026</v>
          </cell>
          <cell r="F3088" t="str">
            <v>0002</v>
          </cell>
          <cell r="G3088" t="str">
            <v>21102</v>
          </cell>
          <cell r="H3088" t="str">
            <v>付工人夜班费</v>
          </cell>
          <cell r="I3088" t="b">
            <v>1</v>
          </cell>
          <cell r="J3088">
            <v>133</v>
          </cell>
          <cell r="K3088">
            <v>0</v>
          </cell>
          <cell r="L3088">
            <v>0</v>
          </cell>
        </row>
        <row r="3089">
          <cell r="A3089" t="str">
            <v>03</v>
          </cell>
          <cell r="B3089" t="str">
            <v>20</v>
          </cell>
          <cell r="C3089" t="str">
            <v>03</v>
          </cell>
          <cell r="D3089" t="str">
            <v>4</v>
          </cell>
          <cell r="E3089" t="str">
            <v>0028</v>
          </cell>
          <cell r="F3089" t="str">
            <v>0002</v>
          </cell>
          <cell r="G3089" t="str">
            <v>21102</v>
          </cell>
          <cell r="H3089" t="str">
            <v>付本月工人夜班费</v>
          </cell>
          <cell r="I3089" t="b">
            <v>1</v>
          </cell>
          <cell r="J3089">
            <v>4914</v>
          </cell>
          <cell r="K3089">
            <v>0</v>
          </cell>
          <cell r="L3089">
            <v>0</v>
          </cell>
        </row>
        <row r="3090">
          <cell r="A3090" t="str">
            <v>03</v>
          </cell>
          <cell r="B3090" t="str">
            <v>27</v>
          </cell>
          <cell r="C3090" t="str">
            <v>03</v>
          </cell>
          <cell r="D3090" t="str">
            <v>5</v>
          </cell>
          <cell r="E3090" t="str">
            <v>0011</v>
          </cell>
          <cell r="F3090" t="str">
            <v>0003</v>
          </cell>
          <cell r="G3090" t="str">
            <v>21102</v>
          </cell>
          <cell r="H3090" t="str">
            <v>转工人夜班费</v>
          </cell>
          <cell r="I3090" t="b">
            <v>0</v>
          </cell>
          <cell r="J3090">
            <v>133</v>
          </cell>
          <cell r="K3090">
            <v>0</v>
          </cell>
          <cell r="L3090">
            <v>0</v>
          </cell>
        </row>
        <row r="3091">
          <cell r="A3091" t="str">
            <v>03</v>
          </cell>
          <cell r="B3091" t="str">
            <v>27</v>
          </cell>
          <cell r="C3091" t="str">
            <v>03</v>
          </cell>
          <cell r="D3091" t="str">
            <v>5</v>
          </cell>
          <cell r="E3091" t="str">
            <v>0013</v>
          </cell>
          <cell r="F3091" t="str">
            <v>0005</v>
          </cell>
          <cell r="G3091" t="str">
            <v>21102</v>
          </cell>
          <cell r="H3091" t="str">
            <v>转本月工人夜班费</v>
          </cell>
          <cell r="I3091" t="b">
            <v>0</v>
          </cell>
          <cell r="J3091">
            <v>4914</v>
          </cell>
          <cell r="K3091">
            <v>0</v>
          </cell>
          <cell r="L3091">
            <v>0</v>
          </cell>
        </row>
        <row r="3092">
          <cell r="A3092" t="str">
            <v>04</v>
          </cell>
          <cell r="B3092" t="str">
            <v>19</v>
          </cell>
          <cell r="C3092" t="str">
            <v>04</v>
          </cell>
          <cell r="D3092" t="str">
            <v>4</v>
          </cell>
          <cell r="E3092" t="str">
            <v>0022</v>
          </cell>
          <cell r="F3092" t="str">
            <v>0002</v>
          </cell>
          <cell r="G3092" t="str">
            <v>21102</v>
          </cell>
          <cell r="H3092" t="str">
            <v>付本月工人夜班费</v>
          </cell>
          <cell r="I3092" t="b">
            <v>1</v>
          </cell>
          <cell r="J3092">
            <v>7533</v>
          </cell>
          <cell r="K3092">
            <v>0</v>
          </cell>
          <cell r="L3092">
            <v>0</v>
          </cell>
        </row>
        <row r="3093">
          <cell r="A3093" t="str">
            <v>04</v>
          </cell>
          <cell r="B3093" t="str">
            <v>24</v>
          </cell>
          <cell r="C3093" t="str">
            <v>04</v>
          </cell>
          <cell r="D3093" t="str">
            <v>5</v>
          </cell>
          <cell r="E3093" t="str">
            <v>0014</v>
          </cell>
          <cell r="F3093" t="str">
            <v>0005</v>
          </cell>
          <cell r="G3093" t="str">
            <v>21102</v>
          </cell>
          <cell r="H3093" t="str">
            <v>转本月工人夜班费</v>
          </cell>
          <cell r="I3093" t="b">
            <v>0</v>
          </cell>
          <cell r="J3093">
            <v>7533</v>
          </cell>
          <cell r="K3093">
            <v>0</v>
          </cell>
          <cell r="L3093">
            <v>0</v>
          </cell>
        </row>
        <row r="3094">
          <cell r="A3094" t="str">
            <v>05</v>
          </cell>
          <cell r="B3094" t="str">
            <v>25</v>
          </cell>
          <cell r="C3094" t="str">
            <v>05</v>
          </cell>
          <cell r="D3094" t="str">
            <v>4</v>
          </cell>
          <cell r="E3094" t="str">
            <v>0027</v>
          </cell>
          <cell r="F3094" t="str">
            <v>0002</v>
          </cell>
          <cell r="G3094" t="str">
            <v>21102</v>
          </cell>
          <cell r="H3094" t="str">
            <v>付本月工人夜班费</v>
          </cell>
          <cell r="I3094" t="b">
            <v>1</v>
          </cell>
          <cell r="J3094">
            <v>3857</v>
          </cell>
          <cell r="K3094">
            <v>0</v>
          </cell>
          <cell r="L3094">
            <v>0</v>
          </cell>
        </row>
        <row r="3095">
          <cell r="A3095" t="str">
            <v>05</v>
          </cell>
          <cell r="B3095" t="str">
            <v>02</v>
          </cell>
          <cell r="C3095" t="str">
            <v>05</v>
          </cell>
          <cell r="D3095" t="str">
            <v>5</v>
          </cell>
          <cell r="E3095" t="str">
            <v>0001</v>
          </cell>
          <cell r="F3095" t="str">
            <v>0005</v>
          </cell>
          <cell r="G3095" t="str">
            <v>21102</v>
          </cell>
          <cell r="H3095" t="str">
            <v>转本月工人夜班费</v>
          </cell>
          <cell r="I3095" t="b">
            <v>0</v>
          </cell>
          <cell r="J3095">
            <v>3857</v>
          </cell>
          <cell r="K3095">
            <v>0</v>
          </cell>
          <cell r="L3095">
            <v>0</v>
          </cell>
        </row>
        <row r="3096">
          <cell r="A3096" t="str">
            <v>06</v>
          </cell>
          <cell r="B3096" t="str">
            <v>20</v>
          </cell>
          <cell r="C3096" t="str">
            <v>06</v>
          </cell>
          <cell r="D3096" t="str">
            <v>4</v>
          </cell>
          <cell r="E3096" t="str">
            <v>0013</v>
          </cell>
          <cell r="F3096" t="str">
            <v>0002</v>
          </cell>
          <cell r="G3096" t="str">
            <v>21102</v>
          </cell>
          <cell r="H3096" t="str">
            <v>付本月工人夜班费</v>
          </cell>
          <cell r="I3096" t="b">
            <v>1</v>
          </cell>
          <cell r="J3096">
            <v>2514</v>
          </cell>
          <cell r="K3096">
            <v>0</v>
          </cell>
          <cell r="L3096">
            <v>0</v>
          </cell>
        </row>
        <row r="3097">
          <cell r="A3097" t="str">
            <v>06</v>
          </cell>
          <cell r="B3097" t="str">
            <v>20</v>
          </cell>
          <cell r="C3097" t="str">
            <v>06</v>
          </cell>
          <cell r="D3097" t="str">
            <v>5</v>
          </cell>
          <cell r="E3097" t="str">
            <v>0007</v>
          </cell>
          <cell r="F3097" t="str">
            <v>0005</v>
          </cell>
          <cell r="G3097" t="str">
            <v>21102</v>
          </cell>
          <cell r="H3097" t="str">
            <v>转本月工人夜班费</v>
          </cell>
          <cell r="I3097" t="b">
            <v>0</v>
          </cell>
          <cell r="J3097">
            <v>2514</v>
          </cell>
          <cell r="K3097">
            <v>0</v>
          </cell>
          <cell r="L3097">
            <v>0</v>
          </cell>
        </row>
        <row r="3098">
          <cell r="A3098" t="str">
            <v>07</v>
          </cell>
          <cell r="B3098" t="str">
            <v>12</v>
          </cell>
          <cell r="C3098" t="str">
            <v>07</v>
          </cell>
          <cell r="D3098" t="str">
            <v>4</v>
          </cell>
          <cell r="E3098" t="str">
            <v>0009</v>
          </cell>
          <cell r="F3098" t="str">
            <v>0002</v>
          </cell>
          <cell r="G3098" t="str">
            <v>21102</v>
          </cell>
          <cell r="H3098" t="str">
            <v>付工人夜班费</v>
          </cell>
          <cell r="I3098" t="b">
            <v>1</v>
          </cell>
          <cell r="J3098">
            <v>2729</v>
          </cell>
          <cell r="K3098">
            <v>0</v>
          </cell>
          <cell r="L3098">
            <v>0</v>
          </cell>
        </row>
        <row r="3099">
          <cell r="A3099" t="str">
            <v>07</v>
          </cell>
          <cell r="B3099" t="str">
            <v>12</v>
          </cell>
          <cell r="C3099" t="str">
            <v>07</v>
          </cell>
          <cell r="D3099" t="str">
            <v>5</v>
          </cell>
          <cell r="E3099" t="str">
            <v>0001</v>
          </cell>
          <cell r="F3099" t="str">
            <v>0005</v>
          </cell>
          <cell r="G3099" t="str">
            <v>21102</v>
          </cell>
          <cell r="H3099" t="str">
            <v>转本月工人夜班费</v>
          </cell>
          <cell r="I3099" t="b">
            <v>0</v>
          </cell>
          <cell r="J3099">
            <v>2729</v>
          </cell>
          <cell r="K3099">
            <v>0</v>
          </cell>
          <cell r="L3099">
            <v>0</v>
          </cell>
        </row>
        <row r="3100">
          <cell r="A3100" t="str">
            <v>08</v>
          </cell>
          <cell r="B3100" t="str">
            <v>08</v>
          </cell>
          <cell r="C3100" t="str">
            <v>08</v>
          </cell>
          <cell r="D3100" t="str">
            <v>4</v>
          </cell>
          <cell r="E3100" t="str">
            <v>0015</v>
          </cell>
          <cell r="F3100" t="str">
            <v>0002</v>
          </cell>
          <cell r="G3100" t="str">
            <v>21102</v>
          </cell>
          <cell r="H3100" t="str">
            <v>付工人夜班费</v>
          </cell>
          <cell r="I3100" t="b">
            <v>1</v>
          </cell>
          <cell r="J3100">
            <v>1182</v>
          </cell>
          <cell r="K3100">
            <v>0</v>
          </cell>
          <cell r="L3100">
            <v>0</v>
          </cell>
        </row>
        <row r="3101">
          <cell r="A3101" t="str">
            <v>08</v>
          </cell>
          <cell r="B3101" t="str">
            <v>08</v>
          </cell>
          <cell r="C3101" t="str">
            <v>08</v>
          </cell>
          <cell r="D3101" t="str">
            <v>5</v>
          </cell>
          <cell r="E3101" t="str">
            <v>0001</v>
          </cell>
          <cell r="F3101" t="str">
            <v>0004</v>
          </cell>
          <cell r="G3101" t="str">
            <v>21102</v>
          </cell>
          <cell r="H3101" t="str">
            <v>转本月工人夜班费</v>
          </cell>
          <cell r="I3101" t="b">
            <v>0</v>
          </cell>
          <cell r="J3101">
            <v>1182</v>
          </cell>
          <cell r="K3101">
            <v>0</v>
          </cell>
          <cell r="L3101">
            <v>0</v>
          </cell>
        </row>
        <row r="3102">
          <cell r="A3102" t="str">
            <v>09</v>
          </cell>
          <cell r="B3102" t="str">
            <v>06</v>
          </cell>
          <cell r="C3102" t="str">
            <v>09</v>
          </cell>
          <cell r="D3102" t="str">
            <v>4</v>
          </cell>
          <cell r="E3102" t="str">
            <v>0010</v>
          </cell>
          <cell r="F3102" t="str">
            <v>0002</v>
          </cell>
          <cell r="G3102" t="str">
            <v>21102</v>
          </cell>
          <cell r="H3102" t="str">
            <v>付本月工人夜班费</v>
          </cell>
          <cell r="I3102" t="b">
            <v>1</v>
          </cell>
          <cell r="J3102">
            <v>1532</v>
          </cell>
          <cell r="K3102">
            <v>0</v>
          </cell>
          <cell r="L3102">
            <v>0</v>
          </cell>
        </row>
        <row r="3103">
          <cell r="A3103" t="str">
            <v>09</v>
          </cell>
          <cell r="B3103" t="str">
            <v>06</v>
          </cell>
          <cell r="C3103" t="str">
            <v>09</v>
          </cell>
          <cell r="D3103" t="str">
            <v>5</v>
          </cell>
          <cell r="E3103" t="str">
            <v>0001</v>
          </cell>
          <cell r="F3103" t="str">
            <v>0004</v>
          </cell>
          <cell r="G3103" t="str">
            <v>21102</v>
          </cell>
          <cell r="H3103" t="str">
            <v>转本月工人夜班费</v>
          </cell>
          <cell r="I3103" t="b">
            <v>0</v>
          </cell>
          <cell r="J3103">
            <v>1532</v>
          </cell>
          <cell r="K3103">
            <v>0</v>
          </cell>
          <cell r="L3103">
            <v>0</v>
          </cell>
        </row>
        <row r="3104">
          <cell r="A3104" t="str">
            <v>10</v>
          </cell>
          <cell r="B3104" t="str">
            <v>22</v>
          </cell>
          <cell r="C3104" t="str">
            <v>10</v>
          </cell>
          <cell r="D3104" t="str">
            <v>4</v>
          </cell>
          <cell r="E3104" t="str">
            <v>0025</v>
          </cell>
          <cell r="F3104" t="str">
            <v>0002</v>
          </cell>
          <cell r="G3104" t="str">
            <v>21102</v>
          </cell>
          <cell r="H3104" t="str">
            <v>付工人夜班费</v>
          </cell>
          <cell r="I3104" t="b">
            <v>1</v>
          </cell>
          <cell r="J3104">
            <v>1779</v>
          </cell>
          <cell r="K3104">
            <v>0</v>
          </cell>
          <cell r="L3104">
            <v>0</v>
          </cell>
        </row>
        <row r="3105">
          <cell r="A3105" t="str">
            <v>10</v>
          </cell>
          <cell r="B3105" t="str">
            <v>24</v>
          </cell>
          <cell r="C3105" t="str">
            <v>10</v>
          </cell>
          <cell r="D3105" t="str">
            <v>5</v>
          </cell>
          <cell r="E3105" t="str">
            <v>0012</v>
          </cell>
          <cell r="F3105" t="str">
            <v>0004</v>
          </cell>
          <cell r="G3105" t="str">
            <v>21102</v>
          </cell>
          <cell r="H3105" t="str">
            <v>转工人夜班费</v>
          </cell>
          <cell r="I3105" t="b">
            <v>0</v>
          </cell>
          <cell r="J3105">
            <v>1779</v>
          </cell>
          <cell r="K3105">
            <v>0</v>
          </cell>
          <cell r="L3105">
            <v>0</v>
          </cell>
        </row>
        <row r="3106">
          <cell r="A3106" t="str">
            <v>11</v>
          </cell>
          <cell r="B3106" t="str">
            <v>15</v>
          </cell>
          <cell r="C3106" t="str">
            <v>11</v>
          </cell>
          <cell r="D3106" t="str">
            <v>4</v>
          </cell>
          <cell r="E3106" t="str">
            <v>0027</v>
          </cell>
          <cell r="F3106" t="str">
            <v>0002</v>
          </cell>
          <cell r="G3106" t="str">
            <v>21102</v>
          </cell>
          <cell r="H3106" t="str">
            <v>付工人夜班费</v>
          </cell>
          <cell r="I3106" t="b">
            <v>1</v>
          </cell>
          <cell r="J3106">
            <v>1618</v>
          </cell>
          <cell r="K3106">
            <v>0</v>
          </cell>
          <cell r="L3106">
            <v>0</v>
          </cell>
        </row>
        <row r="3107">
          <cell r="A3107" t="str">
            <v>11</v>
          </cell>
          <cell r="B3107" t="str">
            <v>18</v>
          </cell>
          <cell r="C3107" t="str">
            <v>11</v>
          </cell>
          <cell r="D3107" t="str">
            <v>5</v>
          </cell>
          <cell r="E3107" t="str">
            <v>0014</v>
          </cell>
          <cell r="F3107" t="str">
            <v>0004</v>
          </cell>
          <cell r="G3107" t="str">
            <v>21102</v>
          </cell>
          <cell r="H3107" t="str">
            <v>转本月工人夜班</v>
          </cell>
          <cell r="I3107" t="b">
            <v>0</v>
          </cell>
          <cell r="J3107">
            <v>1618</v>
          </cell>
          <cell r="K3107">
            <v>0</v>
          </cell>
          <cell r="L3107">
            <v>0</v>
          </cell>
        </row>
        <row r="3108">
          <cell r="A3108" t="str">
            <v>12</v>
          </cell>
          <cell r="B3108" t="str">
            <v>08</v>
          </cell>
          <cell r="C3108" t="str">
            <v>12</v>
          </cell>
          <cell r="D3108" t="str">
            <v>4</v>
          </cell>
          <cell r="E3108" t="str">
            <v>0010</v>
          </cell>
          <cell r="F3108" t="str">
            <v>0002</v>
          </cell>
          <cell r="G3108" t="str">
            <v>21102</v>
          </cell>
          <cell r="H3108" t="str">
            <v>付工人夜班费</v>
          </cell>
          <cell r="I3108" t="b">
            <v>1</v>
          </cell>
          <cell r="J3108">
            <v>1775</v>
          </cell>
          <cell r="K3108">
            <v>0</v>
          </cell>
          <cell r="L3108">
            <v>0</v>
          </cell>
        </row>
        <row r="3109">
          <cell r="A3109" t="str">
            <v>12</v>
          </cell>
          <cell r="B3109" t="str">
            <v>08</v>
          </cell>
          <cell r="C3109" t="str">
            <v>12</v>
          </cell>
          <cell r="D3109" t="str">
            <v>5</v>
          </cell>
          <cell r="E3109" t="str">
            <v>0001</v>
          </cell>
          <cell r="F3109" t="str">
            <v>0004</v>
          </cell>
          <cell r="G3109" t="str">
            <v>21102</v>
          </cell>
          <cell r="H3109" t="str">
            <v>转工人夜班费</v>
          </cell>
          <cell r="I3109" t="b">
            <v>0</v>
          </cell>
          <cell r="J3109">
            <v>1775</v>
          </cell>
          <cell r="K3109">
            <v>0</v>
          </cell>
          <cell r="L3109">
            <v>0</v>
          </cell>
        </row>
        <row r="3110">
          <cell r="A3110" t="str">
            <v>12</v>
          </cell>
          <cell r="B3110" t="str">
            <v>30</v>
          </cell>
          <cell r="C3110" t="str">
            <v>12</v>
          </cell>
          <cell r="D3110" t="str">
            <v>5</v>
          </cell>
          <cell r="E3110" t="str">
            <v>0088</v>
          </cell>
          <cell r="F3110" t="str">
            <v>0002</v>
          </cell>
          <cell r="G3110" t="str">
            <v>21102</v>
          </cell>
          <cell r="H3110" t="str">
            <v>转工人夜班费</v>
          </cell>
          <cell r="I3110" t="b">
            <v>1</v>
          </cell>
          <cell r="J3110">
            <v>1821</v>
          </cell>
          <cell r="K3110">
            <v>0</v>
          </cell>
          <cell r="L3110">
            <v>0</v>
          </cell>
        </row>
        <row r="3111">
          <cell r="A3111" t="str">
            <v>12</v>
          </cell>
          <cell r="B3111" t="str">
            <v>30</v>
          </cell>
          <cell r="C3111" t="str">
            <v>12</v>
          </cell>
          <cell r="D3111" t="str">
            <v>5</v>
          </cell>
          <cell r="E3111" t="str">
            <v>0089</v>
          </cell>
          <cell r="F3111" t="str">
            <v>0004</v>
          </cell>
          <cell r="G3111" t="str">
            <v>21102</v>
          </cell>
          <cell r="H3111" t="str">
            <v>转工人夜班费</v>
          </cell>
          <cell r="I3111" t="b">
            <v>0</v>
          </cell>
          <cell r="J3111">
            <v>1821</v>
          </cell>
          <cell r="K3111">
            <v>0</v>
          </cell>
          <cell r="L3111">
            <v>0</v>
          </cell>
        </row>
        <row r="3112">
          <cell r="A3112" t="str">
            <v>02</v>
          </cell>
          <cell r="B3112" t="str">
            <v>14</v>
          </cell>
          <cell r="C3112" t="str">
            <v>02</v>
          </cell>
          <cell r="D3112" t="str">
            <v>4</v>
          </cell>
          <cell r="E3112" t="str">
            <v>0015</v>
          </cell>
          <cell r="F3112" t="str">
            <v>0003</v>
          </cell>
          <cell r="G3112" t="str">
            <v>21103</v>
          </cell>
          <cell r="H3112" t="str">
            <v>付1月份工人奖金</v>
          </cell>
          <cell r="I3112" t="b">
            <v>1</v>
          </cell>
          <cell r="J3112">
            <v>115466.3</v>
          </cell>
          <cell r="K3112">
            <v>0</v>
          </cell>
          <cell r="L3112">
            <v>0</v>
          </cell>
        </row>
        <row r="3113">
          <cell r="A3113" t="str">
            <v>02</v>
          </cell>
          <cell r="B3113" t="str">
            <v>18</v>
          </cell>
          <cell r="C3113" t="str">
            <v>02</v>
          </cell>
          <cell r="D3113" t="str">
            <v>4</v>
          </cell>
          <cell r="E3113" t="str">
            <v>0022</v>
          </cell>
          <cell r="F3113" t="str">
            <v>0003</v>
          </cell>
          <cell r="G3113" t="str">
            <v>21103</v>
          </cell>
          <cell r="H3113" t="str">
            <v>付99年12月份工人奖金</v>
          </cell>
          <cell r="I3113" t="b">
            <v>1</v>
          </cell>
          <cell r="J3113">
            <v>138607.1</v>
          </cell>
          <cell r="K3113">
            <v>0</v>
          </cell>
          <cell r="L3113">
            <v>0</v>
          </cell>
        </row>
        <row r="3114">
          <cell r="A3114" t="str">
            <v>02</v>
          </cell>
          <cell r="B3114" t="str">
            <v>20</v>
          </cell>
          <cell r="C3114" t="str">
            <v>02</v>
          </cell>
          <cell r="D3114" t="str">
            <v>5</v>
          </cell>
          <cell r="E3114" t="str">
            <v>0001</v>
          </cell>
          <cell r="F3114" t="str">
            <v>0006</v>
          </cell>
          <cell r="G3114" t="str">
            <v>21103</v>
          </cell>
          <cell r="H3114" t="str">
            <v>转99年12月份工人奖金</v>
          </cell>
          <cell r="I3114" t="b">
            <v>0</v>
          </cell>
          <cell r="J3114">
            <v>138607.1</v>
          </cell>
          <cell r="K3114">
            <v>0</v>
          </cell>
          <cell r="L3114">
            <v>0</v>
          </cell>
        </row>
        <row r="3115">
          <cell r="A3115" t="str">
            <v>02</v>
          </cell>
          <cell r="B3115" t="str">
            <v>20</v>
          </cell>
          <cell r="C3115" t="str">
            <v>02</v>
          </cell>
          <cell r="D3115" t="str">
            <v>5</v>
          </cell>
          <cell r="E3115" t="str">
            <v>0003</v>
          </cell>
          <cell r="F3115" t="str">
            <v>0006</v>
          </cell>
          <cell r="G3115" t="str">
            <v>21103</v>
          </cell>
          <cell r="H3115" t="str">
            <v>转1月份工人奖金</v>
          </cell>
          <cell r="I3115" t="b">
            <v>0</v>
          </cell>
          <cell r="J3115">
            <v>115466.3</v>
          </cell>
          <cell r="K3115">
            <v>0</v>
          </cell>
          <cell r="L3115">
            <v>0</v>
          </cell>
        </row>
        <row r="3116">
          <cell r="A3116" t="str">
            <v>03</v>
          </cell>
          <cell r="B3116" t="str">
            <v>25</v>
          </cell>
          <cell r="C3116" t="str">
            <v>03</v>
          </cell>
          <cell r="D3116" t="str">
            <v>2</v>
          </cell>
          <cell r="E3116" t="str">
            <v>0026</v>
          </cell>
          <cell r="F3116" t="str">
            <v>0003</v>
          </cell>
          <cell r="G3116" t="str">
            <v>21103</v>
          </cell>
          <cell r="H3116" t="str">
            <v>付工人奖金</v>
          </cell>
          <cell r="I3116" t="b">
            <v>1</v>
          </cell>
          <cell r="J3116">
            <v>17537.099999999999</v>
          </cell>
          <cell r="K3116">
            <v>0</v>
          </cell>
          <cell r="L3116">
            <v>0</v>
          </cell>
        </row>
        <row r="3117">
          <cell r="A3117" t="str">
            <v>03</v>
          </cell>
          <cell r="B3117" t="str">
            <v>20</v>
          </cell>
          <cell r="C3117" t="str">
            <v>03</v>
          </cell>
          <cell r="D3117" t="str">
            <v>4</v>
          </cell>
          <cell r="E3117" t="str">
            <v>0028</v>
          </cell>
          <cell r="F3117" t="str">
            <v>0003</v>
          </cell>
          <cell r="G3117" t="str">
            <v>21103</v>
          </cell>
          <cell r="H3117" t="str">
            <v>付本月工人奖金</v>
          </cell>
          <cell r="I3117" t="b">
            <v>1</v>
          </cell>
          <cell r="J3117">
            <v>120238.7</v>
          </cell>
          <cell r="K3117">
            <v>0</v>
          </cell>
          <cell r="L3117">
            <v>0</v>
          </cell>
        </row>
        <row r="3118">
          <cell r="A3118" t="str">
            <v>03</v>
          </cell>
          <cell r="B3118" t="str">
            <v>27</v>
          </cell>
          <cell r="C3118" t="str">
            <v>03</v>
          </cell>
          <cell r="D3118" t="str">
            <v>5</v>
          </cell>
          <cell r="E3118" t="str">
            <v>0011</v>
          </cell>
          <cell r="F3118" t="str">
            <v>0004</v>
          </cell>
          <cell r="G3118" t="str">
            <v>21103</v>
          </cell>
          <cell r="H3118" t="str">
            <v>转工人奖金</v>
          </cell>
          <cell r="I3118" t="b">
            <v>0</v>
          </cell>
          <cell r="J3118">
            <v>17537.099999999999</v>
          </cell>
          <cell r="K3118">
            <v>0</v>
          </cell>
          <cell r="L3118">
            <v>0</v>
          </cell>
        </row>
        <row r="3119">
          <cell r="A3119" t="str">
            <v>03</v>
          </cell>
          <cell r="B3119" t="str">
            <v>27</v>
          </cell>
          <cell r="C3119" t="str">
            <v>03</v>
          </cell>
          <cell r="D3119" t="str">
            <v>5</v>
          </cell>
          <cell r="E3119" t="str">
            <v>0013</v>
          </cell>
          <cell r="F3119" t="str">
            <v>0006</v>
          </cell>
          <cell r="G3119" t="str">
            <v>21103</v>
          </cell>
          <cell r="H3119" t="str">
            <v>转本月工人奖金</v>
          </cell>
          <cell r="I3119" t="b">
            <v>0</v>
          </cell>
          <cell r="J3119">
            <v>120238.7</v>
          </cell>
          <cell r="K3119">
            <v>0</v>
          </cell>
          <cell r="L3119">
            <v>0</v>
          </cell>
        </row>
        <row r="3120">
          <cell r="A3120" t="str">
            <v>04</v>
          </cell>
          <cell r="B3120" t="str">
            <v>19</v>
          </cell>
          <cell r="C3120" t="str">
            <v>04</v>
          </cell>
          <cell r="D3120" t="str">
            <v>4</v>
          </cell>
          <cell r="E3120" t="str">
            <v>0022</v>
          </cell>
          <cell r="F3120" t="str">
            <v>0003</v>
          </cell>
          <cell r="G3120" t="str">
            <v>21103</v>
          </cell>
          <cell r="H3120" t="str">
            <v>付本月工人奖金</v>
          </cell>
          <cell r="I3120" t="b">
            <v>1</v>
          </cell>
          <cell r="J3120">
            <v>122045</v>
          </cell>
          <cell r="K3120">
            <v>0</v>
          </cell>
          <cell r="L3120">
            <v>0</v>
          </cell>
        </row>
        <row r="3121">
          <cell r="A3121" t="str">
            <v>04</v>
          </cell>
          <cell r="B3121" t="str">
            <v>24</v>
          </cell>
          <cell r="C3121" t="str">
            <v>04</v>
          </cell>
          <cell r="D3121" t="str">
            <v>5</v>
          </cell>
          <cell r="E3121" t="str">
            <v>0014</v>
          </cell>
          <cell r="F3121" t="str">
            <v>0006</v>
          </cell>
          <cell r="G3121" t="str">
            <v>21103</v>
          </cell>
          <cell r="H3121" t="str">
            <v>转本月工人奖金</v>
          </cell>
          <cell r="I3121" t="b">
            <v>0</v>
          </cell>
          <cell r="J3121">
            <v>122045</v>
          </cell>
          <cell r="K3121">
            <v>0</v>
          </cell>
          <cell r="L3121">
            <v>0</v>
          </cell>
        </row>
        <row r="3122">
          <cell r="A3122" t="str">
            <v>05</v>
          </cell>
          <cell r="B3122" t="str">
            <v>24</v>
          </cell>
          <cell r="C3122" t="str">
            <v>05</v>
          </cell>
          <cell r="D3122" t="str">
            <v>2</v>
          </cell>
          <cell r="E3122" t="str">
            <v>0019</v>
          </cell>
          <cell r="F3122" t="str">
            <v>0001</v>
          </cell>
          <cell r="G3122" t="str">
            <v>21103</v>
          </cell>
          <cell r="H3122" t="str">
            <v>补发工人奖金</v>
          </cell>
          <cell r="I3122" t="b">
            <v>1</v>
          </cell>
          <cell r="J3122">
            <v>80959.100000000006</v>
          </cell>
          <cell r="K3122">
            <v>0</v>
          </cell>
          <cell r="L3122">
            <v>0</v>
          </cell>
        </row>
        <row r="3123">
          <cell r="A3123" t="str">
            <v>05</v>
          </cell>
          <cell r="B3123" t="str">
            <v>25</v>
          </cell>
          <cell r="C3123" t="str">
            <v>05</v>
          </cell>
          <cell r="D3123" t="str">
            <v>4</v>
          </cell>
          <cell r="E3123" t="str">
            <v>0027</v>
          </cell>
          <cell r="F3123" t="str">
            <v>0003</v>
          </cell>
          <cell r="G3123" t="str">
            <v>21103</v>
          </cell>
          <cell r="H3123" t="str">
            <v>付本月工人奖金</v>
          </cell>
          <cell r="I3123" t="b">
            <v>1</v>
          </cell>
          <cell r="J3123">
            <v>95162.8</v>
          </cell>
          <cell r="K3123">
            <v>0</v>
          </cell>
          <cell r="L3123">
            <v>0</v>
          </cell>
        </row>
        <row r="3124">
          <cell r="A3124" t="str">
            <v>05</v>
          </cell>
          <cell r="B3124" t="str">
            <v>02</v>
          </cell>
          <cell r="C3124" t="str">
            <v>05</v>
          </cell>
          <cell r="D3124" t="str">
            <v>5</v>
          </cell>
          <cell r="E3124" t="str">
            <v>0001</v>
          </cell>
          <cell r="F3124" t="str">
            <v>0006</v>
          </cell>
          <cell r="G3124" t="str">
            <v>21103</v>
          </cell>
          <cell r="H3124" t="str">
            <v>转本月工人奖金</v>
          </cell>
          <cell r="I3124" t="b">
            <v>0</v>
          </cell>
          <cell r="J3124">
            <v>176121.9</v>
          </cell>
          <cell r="K3124">
            <v>0</v>
          </cell>
          <cell r="L3124">
            <v>0</v>
          </cell>
        </row>
        <row r="3125">
          <cell r="A3125" t="str">
            <v>06</v>
          </cell>
          <cell r="B3125" t="str">
            <v>20</v>
          </cell>
          <cell r="C3125" t="str">
            <v>06</v>
          </cell>
          <cell r="D3125" t="str">
            <v>4</v>
          </cell>
          <cell r="E3125" t="str">
            <v>0013</v>
          </cell>
          <cell r="F3125" t="str">
            <v>0003</v>
          </cell>
          <cell r="G3125" t="str">
            <v>21103</v>
          </cell>
          <cell r="H3125" t="str">
            <v>付本月工人奖金</v>
          </cell>
          <cell r="I3125" t="b">
            <v>1</v>
          </cell>
          <cell r="J3125">
            <v>200037</v>
          </cell>
          <cell r="K3125">
            <v>0</v>
          </cell>
          <cell r="L3125">
            <v>0</v>
          </cell>
        </row>
        <row r="3126">
          <cell r="A3126" t="str">
            <v>06</v>
          </cell>
          <cell r="B3126" t="str">
            <v>20</v>
          </cell>
          <cell r="C3126" t="str">
            <v>06</v>
          </cell>
          <cell r="D3126" t="str">
            <v>5</v>
          </cell>
          <cell r="E3126" t="str">
            <v>0007</v>
          </cell>
          <cell r="F3126" t="str">
            <v>0006</v>
          </cell>
          <cell r="G3126" t="str">
            <v>21103</v>
          </cell>
          <cell r="H3126" t="str">
            <v>转本月工人奖金</v>
          </cell>
          <cell r="I3126" t="b">
            <v>0</v>
          </cell>
          <cell r="J3126">
            <v>200037</v>
          </cell>
          <cell r="K3126">
            <v>0</v>
          </cell>
          <cell r="L3126">
            <v>0</v>
          </cell>
        </row>
        <row r="3127">
          <cell r="A3127" t="str">
            <v>07</v>
          </cell>
          <cell r="B3127" t="str">
            <v>12</v>
          </cell>
          <cell r="C3127" t="str">
            <v>07</v>
          </cell>
          <cell r="D3127" t="str">
            <v>4</v>
          </cell>
          <cell r="E3127" t="str">
            <v>0009</v>
          </cell>
          <cell r="F3127" t="str">
            <v>0003</v>
          </cell>
          <cell r="G3127" t="str">
            <v>21103</v>
          </cell>
          <cell r="H3127" t="str">
            <v>付工人奖金</v>
          </cell>
          <cell r="I3127" t="b">
            <v>1</v>
          </cell>
          <cell r="J3127">
            <v>166555.04999999999</v>
          </cell>
          <cell r="K3127">
            <v>0</v>
          </cell>
          <cell r="L3127">
            <v>0</v>
          </cell>
        </row>
        <row r="3128">
          <cell r="A3128" t="str">
            <v>07</v>
          </cell>
          <cell r="B3128" t="str">
            <v>12</v>
          </cell>
          <cell r="C3128" t="str">
            <v>07</v>
          </cell>
          <cell r="D3128" t="str">
            <v>5</v>
          </cell>
          <cell r="E3128" t="str">
            <v>0001</v>
          </cell>
          <cell r="F3128" t="str">
            <v>0006</v>
          </cell>
          <cell r="G3128" t="str">
            <v>21103</v>
          </cell>
          <cell r="H3128" t="str">
            <v>转本月工人奖金</v>
          </cell>
          <cell r="I3128" t="b">
            <v>0</v>
          </cell>
          <cell r="J3128">
            <v>166555.04999999999</v>
          </cell>
          <cell r="K3128">
            <v>0</v>
          </cell>
          <cell r="L3128">
            <v>0</v>
          </cell>
        </row>
        <row r="3129">
          <cell r="A3129" t="str">
            <v>09</v>
          </cell>
          <cell r="B3129" t="str">
            <v>06</v>
          </cell>
          <cell r="C3129" t="str">
            <v>09</v>
          </cell>
          <cell r="D3129" t="str">
            <v>4</v>
          </cell>
          <cell r="E3129" t="str">
            <v>0010</v>
          </cell>
          <cell r="F3129" t="str">
            <v>0003</v>
          </cell>
          <cell r="G3129" t="str">
            <v>21103</v>
          </cell>
          <cell r="H3129" t="str">
            <v>付本月工人奖金</v>
          </cell>
          <cell r="I3129" t="b">
            <v>1</v>
          </cell>
          <cell r="J3129">
            <v>20125</v>
          </cell>
          <cell r="K3129">
            <v>0</v>
          </cell>
          <cell r="L3129">
            <v>0</v>
          </cell>
        </row>
        <row r="3130">
          <cell r="A3130" t="str">
            <v>09</v>
          </cell>
          <cell r="B3130" t="str">
            <v>06</v>
          </cell>
          <cell r="C3130" t="str">
            <v>09</v>
          </cell>
          <cell r="D3130" t="str">
            <v>5</v>
          </cell>
          <cell r="E3130" t="str">
            <v>0001</v>
          </cell>
          <cell r="F3130" t="str">
            <v>0005</v>
          </cell>
          <cell r="G3130" t="str">
            <v>21103</v>
          </cell>
          <cell r="H3130" t="str">
            <v>转本月工人奖金</v>
          </cell>
          <cell r="I3130" t="b">
            <v>0</v>
          </cell>
          <cell r="J3130">
            <v>20125</v>
          </cell>
          <cell r="K3130">
            <v>0</v>
          </cell>
          <cell r="L3130">
            <v>0</v>
          </cell>
        </row>
        <row r="3131">
          <cell r="A3131" t="str">
            <v>10</v>
          </cell>
          <cell r="B3131" t="str">
            <v>22</v>
          </cell>
          <cell r="C3131" t="str">
            <v>10</v>
          </cell>
          <cell r="D3131" t="str">
            <v>4</v>
          </cell>
          <cell r="E3131" t="str">
            <v>0025</v>
          </cell>
          <cell r="F3131" t="str">
            <v>0003</v>
          </cell>
          <cell r="G3131" t="str">
            <v>21103</v>
          </cell>
          <cell r="H3131" t="str">
            <v>付工人奖金</v>
          </cell>
          <cell r="I3131" t="b">
            <v>1</v>
          </cell>
          <cell r="J3131">
            <v>24180</v>
          </cell>
          <cell r="K3131">
            <v>0</v>
          </cell>
          <cell r="L3131">
            <v>0</v>
          </cell>
        </row>
        <row r="3132">
          <cell r="A3132" t="str">
            <v>10</v>
          </cell>
          <cell r="B3132" t="str">
            <v>24</v>
          </cell>
          <cell r="C3132" t="str">
            <v>10</v>
          </cell>
          <cell r="D3132" t="str">
            <v>5</v>
          </cell>
          <cell r="E3132" t="str">
            <v>0012</v>
          </cell>
          <cell r="F3132" t="str">
            <v>0005</v>
          </cell>
          <cell r="G3132" t="str">
            <v>21103</v>
          </cell>
          <cell r="H3132" t="str">
            <v>转工人奖金</v>
          </cell>
          <cell r="I3132" t="b">
            <v>0</v>
          </cell>
          <cell r="J3132">
            <v>24180</v>
          </cell>
          <cell r="K3132">
            <v>0</v>
          </cell>
          <cell r="L3132">
            <v>0</v>
          </cell>
        </row>
        <row r="3133">
          <cell r="A3133" t="str">
            <v>11</v>
          </cell>
          <cell r="B3133" t="str">
            <v>15</v>
          </cell>
          <cell r="C3133" t="str">
            <v>11</v>
          </cell>
          <cell r="D3133" t="str">
            <v>4</v>
          </cell>
          <cell r="E3133" t="str">
            <v>0027</v>
          </cell>
          <cell r="F3133" t="str">
            <v>0003</v>
          </cell>
          <cell r="G3133" t="str">
            <v>21103</v>
          </cell>
          <cell r="H3133" t="str">
            <v>付工人奖金</v>
          </cell>
          <cell r="I3133" t="b">
            <v>1</v>
          </cell>
          <cell r="J3133">
            <v>25050</v>
          </cell>
          <cell r="K3133">
            <v>0</v>
          </cell>
          <cell r="L3133">
            <v>0</v>
          </cell>
        </row>
        <row r="3134">
          <cell r="A3134" t="str">
            <v>11</v>
          </cell>
          <cell r="B3134" t="str">
            <v>18</v>
          </cell>
          <cell r="C3134" t="str">
            <v>11</v>
          </cell>
          <cell r="D3134" t="str">
            <v>5</v>
          </cell>
          <cell r="E3134" t="str">
            <v>0014</v>
          </cell>
          <cell r="F3134" t="str">
            <v>0005</v>
          </cell>
          <cell r="G3134" t="str">
            <v>21103</v>
          </cell>
          <cell r="H3134" t="str">
            <v>转本月工人奖金</v>
          </cell>
          <cell r="I3134" t="b">
            <v>0</v>
          </cell>
          <cell r="J3134">
            <v>25050</v>
          </cell>
          <cell r="K3134">
            <v>0</v>
          </cell>
          <cell r="L3134">
            <v>0</v>
          </cell>
        </row>
        <row r="3135">
          <cell r="A3135" t="str">
            <v>12</v>
          </cell>
          <cell r="B3135" t="str">
            <v>08</v>
          </cell>
          <cell r="C3135" t="str">
            <v>12</v>
          </cell>
          <cell r="D3135" t="str">
            <v>4</v>
          </cell>
          <cell r="E3135" t="str">
            <v>0010</v>
          </cell>
          <cell r="F3135" t="str">
            <v>0003</v>
          </cell>
          <cell r="G3135" t="str">
            <v>21103</v>
          </cell>
          <cell r="H3135" t="str">
            <v>付工人奖金</v>
          </cell>
          <cell r="I3135" t="b">
            <v>1</v>
          </cell>
          <cell r="J3135">
            <v>25326</v>
          </cell>
          <cell r="K3135">
            <v>0</v>
          </cell>
          <cell r="L3135">
            <v>0</v>
          </cell>
        </row>
        <row r="3136">
          <cell r="A3136" t="str">
            <v>12</v>
          </cell>
          <cell r="B3136" t="str">
            <v>08</v>
          </cell>
          <cell r="C3136" t="str">
            <v>12</v>
          </cell>
          <cell r="D3136" t="str">
            <v>5</v>
          </cell>
          <cell r="E3136" t="str">
            <v>0001</v>
          </cell>
          <cell r="F3136" t="str">
            <v>0005</v>
          </cell>
          <cell r="G3136" t="str">
            <v>21103</v>
          </cell>
          <cell r="H3136" t="str">
            <v>转工人奖金</v>
          </cell>
          <cell r="I3136" t="b">
            <v>0</v>
          </cell>
          <cell r="J3136">
            <v>25326</v>
          </cell>
          <cell r="K3136">
            <v>0</v>
          </cell>
          <cell r="L3136">
            <v>0</v>
          </cell>
        </row>
        <row r="3137">
          <cell r="A3137" t="str">
            <v>02</v>
          </cell>
          <cell r="B3137" t="str">
            <v>02</v>
          </cell>
          <cell r="C3137" t="str">
            <v>02</v>
          </cell>
          <cell r="D3137" t="str">
            <v>1</v>
          </cell>
          <cell r="E3137" t="str">
            <v>0002</v>
          </cell>
          <cell r="F3137" t="str">
            <v>0003</v>
          </cell>
          <cell r="G3137" t="str">
            <v>214</v>
          </cell>
          <cell r="H3137" t="str">
            <v>收回取暖费</v>
          </cell>
          <cell r="I3137" t="b">
            <v>0</v>
          </cell>
          <cell r="J3137">
            <v>8303.25</v>
          </cell>
          <cell r="K3137">
            <v>0</v>
          </cell>
          <cell r="L3137">
            <v>0</v>
          </cell>
        </row>
        <row r="3138">
          <cell r="A3138" t="str">
            <v>02</v>
          </cell>
          <cell r="B3138" t="str">
            <v>20</v>
          </cell>
          <cell r="C3138" t="str">
            <v>02</v>
          </cell>
          <cell r="D3138" t="str">
            <v>1</v>
          </cell>
          <cell r="E3138" t="str">
            <v>0012</v>
          </cell>
          <cell r="F3138" t="str">
            <v>0002</v>
          </cell>
          <cell r="G3138" t="str">
            <v>214</v>
          </cell>
          <cell r="H3138" t="str">
            <v>收暖气费</v>
          </cell>
          <cell r="I3138" t="b">
            <v>0</v>
          </cell>
          <cell r="J3138">
            <v>7557.15</v>
          </cell>
          <cell r="K3138">
            <v>0</v>
          </cell>
          <cell r="L3138">
            <v>0</v>
          </cell>
        </row>
        <row r="3139">
          <cell r="A3139" t="str">
            <v>02</v>
          </cell>
          <cell r="B3139" t="str">
            <v>20</v>
          </cell>
          <cell r="C3139" t="str">
            <v>02</v>
          </cell>
          <cell r="D3139" t="str">
            <v>1</v>
          </cell>
          <cell r="E3139" t="str">
            <v>0013</v>
          </cell>
          <cell r="F3139" t="str">
            <v>0002</v>
          </cell>
          <cell r="G3139" t="str">
            <v>214</v>
          </cell>
          <cell r="H3139" t="str">
            <v>收暖气费</v>
          </cell>
          <cell r="I3139" t="b">
            <v>0</v>
          </cell>
          <cell r="J3139">
            <v>11519.7</v>
          </cell>
          <cell r="K3139">
            <v>0</v>
          </cell>
          <cell r="L3139">
            <v>0</v>
          </cell>
        </row>
        <row r="3140">
          <cell r="A3140" t="str">
            <v>02</v>
          </cell>
          <cell r="B3140" t="str">
            <v>02</v>
          </cell>
          <cell r="C3140" t="str">
            <v>02</v>
          </cell>
          <cell r="D3140" t="str">
            <v>2</v>
          </cell>
          <cell r="E3140" t="str">
            <v>0006</v>
          </cell>
          <cell r="F3140" t="str">
            <v>0001</v>
          </cell>
          <cell r="G3140" t="str">
            <v>214</v>
          </cell>
          <cell r="H3140" t="str">
            <v>付采暖费</v>
          </cell>
          <cell r="I3140" t="b">
            <v>1</v>
          </cell>
          <cell r="J3140">
            <v>18406.09</v>
          </cell>
          <cell r="K3140">
            <v>0</v>
          </cell>
          <cell r="L3140">
            <v>0</v>
          </cell>
        </row>
        <row r="3141">
          <cell r="A3141" t="str">
            <v>02</v>
          </cell>
          <cell r="B3141" t="str">
            <v>07</v>
          </cell>
          <cell r="C3141" t="str">
            <v>02</v>
          </cell>
          <cell r="D3141" t="str">
            <v>2</v>
          </cell>
          <cell r="E3141" t="str">
            <v>0017</v>
          </cell>
          <cell r="F3141" t="str">
            <v>0001</v>
          </cell>
          <cell r="G3141" t="str">
            <v>214</v>
          </cell>
          <cell r="H3141" t="str">
            <v>付药费等</v>
          </cell>
          <cell r="I3141" t="b">
            <v>1</v>
          </cell>
          <cell r="J3141">
            <v>18615.599999999999</v>
          </cell>
          <cell r="K3141">
            <v>0</v>
          </cell>
          <cell r="L3141">
            <v>0</v>
          </cell>
        </row>
        <row r="3142">
          <cell r="A3142" t="str">
            <v>02</v>
          </cell>
          <cell r="B3142" t="str">
            <v>19</v>
          </cell>
          <cell r="C3142" t="str">
            <v>02</v>
          </cell>
          <cell r="D3142" t="str">
            <v>2</v>
          </cell>
          <cell r="E3142" t="str">
            <v>0030</v>
          </cell>
          <cell r="F3142" t="str">
            <v>0001</v>
          </cell>
          <cell r="G3142" t="str">
            <v>214</v>
          </cell>
          <cell r="H3142" t="str">
            <v>付取暖费</v>
          </cell>
          <cell r="I3142" t="b">
            <v>1</v>
          </cell>
          <cell r="J3142">
            <v>7139.1</v>
          </cell>
          <cell r="K3142">
            <v>0</v>
          </cell>
          <cell r="L3142">
            <v>0</v>
          </cell>
        </row>
        <row r="3143">
          <cell r="A3143" t="str">
            <v>02</v>
          </cell>
          <cell r="B3143" t="str">
            <v>21</v>
          </cell>
          <cell r="C3143" t="str">
            <v>02</v>
          </cell>
          <cell r="D3143" t="str">
            <v>2</v>
          </cell>
          <cell r="E3143" t="str">
            <v>0042</v>
          </cell>
          <cell r="F3143" t="str">
            <v>0001</v>
          </cell>
          <cell r="G3143" t="str">
            <v>214</v>
          </cell>
          <cell r="H3143" t="str">
            <v>付年货款等</v>
          </cell>
          <cell r="I3143" t="b">
            <v>1</v>
          </cell>
          <cell r="J3143">
            <v>94381.9</v>
          </cell>
          <cell r="K3143">
            <v>0</v>
          </cell>
          <cell r="L3143">
            <v>0</v>
          </cell>
        </row>
        <row r="3144">
          <cell r="A3144" t="str">
            <v>02</v>
          </cell>
          <cell r="B3144" t="str">
            <v>14</v>
          </cell>
          <cell r="C3144" t="str">
            <v>02</v>
          </cell>
          <cell r="D3144" t="str">
            <v>4</v>
          </cell>
          <cell r="E3144" t="str">
            <v>0015</v>
          </cell>
          <cell r="F3144" t="str">
            <v>0004</v>
          </cell>
          <cell r="G3144" t="str">
            <v>214</v>
          </cell>
          <cell r="H3144" t="str">
            <v>付本月工人独生子女费</v>
          </cell>
          <cell r="I3144" t="b">
            <v>1</v>
          </cell>
          <cell r="J3144">
            <v>535</v>
          </cell>
          <cell r="K3144">
            <v>0</v>
          </cell>
          <cell r="L3144">
            <v>0</v>
          </cell>
        </row>
        <row r="3145">
          <cell r="A3145" t="str">
            <v>02</v>
          </cell>
          <cell r="B3145" t="str">
            <v>15</v>
          </cell>
          <cell r="C3145" t="str">
            <v>02</v>
          </cell>
          <cell r="D3145" t="str">
            <v>4</v>
          </cell>
          <cell r="E3145" t="str">
            <v>0017</v>
          </cell>
          <cell r="F3145" t="str">
            <v>0001</v>
          </cell>
          <cell r="G3145" t="str">
            <v>214</v>
          </cell>
          <cell r="H3145" t="str">
            <v>付春节年货款</v>
          </cell>
          <cell r="I3145" t="b">
            <v>1</v>
          </cell>
          <cell r="J3145">
            <v>60320</v>
          </cell>
          <cell r="K3145">
            <v>0</v>
          </cell>
          <cell r="L3145">
            <v>0</v>
          </cell>
        </row>
        <row r="3146">
          <cell r="A3146" t="str">
            <v>02</v>
          </cell>
          <cell r="B3146" t="str">
            <v>18</v>
          </cell>
          <cell r="C3146" t="str">
            <v>02</v>
          </cell>
          <cell r="D3146" t="str">
            <v>4</v>
          </cell>
          <cell r="E3146" t="str">
            <v>0022</v>
          </cell>
          <cell r="F3146" t="str">
            <v>0004</v>
          </cell>
          <cell r="G3146" t="str">
            <v>214</v>
          </cell>
          <cell r="H3146" t="str">
            <v>付本月职工独生子女费</v>
          </cell>
          <cell r="I3146" t="b">
            <v>1</v>
          </cell>
          <cell r="J3146">
            <v>540</v>
          </cell>
          <cell r="K3146">
            <v>0</v>
          </cell>
          <cell r="L3146">
            <v>0</v>
          </cell>
        </row>
        <row r="3147">
          <cell r="A3147" t="str">
            <v>02</v>
          </cell>
          <cell r="B3147" t="str">
            <v>18</v>
          </cell>
          <cell r="C3147" t="str">
            <v>02</v>
          </cell>
          <cell r="D3147" t="str">
            <v>4</v>
          </cell>
          <cell r="E3147" t="str">
            <v>0022</v>
          </cell>
          <cell r="F3147" t="str">
            <v>0005</v>
          </cell>
          <cell r="G3147" t="str">
            <v>214</v>
          </cell>
          <cell r="H3147" t="str">
            <v>付本月职工取暖费</v>
          </cell>
          <cell r="I3147" t="b">
            <v>1</v>
          </cell>
          <cell r="J3147">
            <v>5352</v>
          </cell>
          <cell r="K3147">
            <v>0</v>
          </cell>
          <cell r="L3147">
            <v>0</v>
          </cell>
        </row>
        <row r="3148">
          <cell r="A3148" t="str">
            <v>02</v>
          </cell>
          <cell r="B3148" t="str">
            <v>20</v>
          </cell>
          <cell r="C3148" t="str">
            <v>02</v>
          </cell>
          <cell r="D3148" t="str">
            <v>5</v>
          </cell>
          <cell r="E3148" t="str">
            <v>0002</v>
          </cell>
          <cell r="F3148" t="str">
            <v>0003</v>
          </cell>
          <cell r="G3148" t="str">
            <v>214</v>
          </cell>
          <cell r="H3148" t="str">
            <v>计提99年12月份职工福利费</v>
          </cell>
          <cell r="I3148" t="b">
            <v>0</v>
          </cell>
          <cell r="J3148">
            <v>32464.959999999999</v>
          </cell>
          <cell r="K3148">
            <v>0</v>
          </cell>
          <cell r="L3148">
            <v>0</v>
          </cell>
        </row>
        <row r="3149">
          <cell r="A3149" t="str">
            <v>02</v>
          </cell>
          <cell r="B3149" t="str">
            <v>20</v>
          </cell>
          <cell r="C3149" t="str">
            <v>02</v>
          </cell>
          <cell r="D3149" t="str">
            <v>5</v>
          </cell>
          <cell r="E3149" t="str">
            <v>0004</v>
          </cell>
          <cell r="F3149" t="str">
            <v>0003</v>
          </cell>
          <cell r="G3149" t="str">
            <v>214</v>
          </cell>
          <cell r="H3149" t="str">
            <v>计提1月份职工福利费</v>
          </cell>
          <cell r="I3149" t="b">
            <v>0</v>
          </cell>
          <cell r="J3149">
            <v>30222.76</v>
          </cell>
          <cell r="K3149">
            <v>0</v>
          </cell>
          <cell r="L3149">
            <v>0</v>
          </cell>
        </row>
        <row r="3150">
          <cell r="A3150" t="str">
            <v>02</v>
          </cell>
          <cell r="B3150" t="str">
            <v>28</v>
          </cell>
          <cell r="C3150" t="str">
            <v>02</v>
          </cell>
          <cell r="D3150" t="str">
            <v>5</v>
          </cell>
          <cell r="E3150" t="str">
            <v>0026</v>
          </cell>
          <cell r="F3150" t="str">
            <v>0004</v>
          </cell>
          <cell r="G3150" t="str">
            <v>214</v>
          </cell>
          <cell r="H3150" t="str">
            <v>转各厂代扣取暖费</v>
          </cell>
          <cell r="I3150" t="b">
            <v>1</v>
          </cell>
          <cell r="J3150">
            <v>-657.2</v>
          </cell>
          <cell r="K3150">
            <v>0</v>
          </cell>
          <cell r="L3150">
            <v>0</v>
          </cell>
        </row>
        <row r="3151">
          <cell r="A3151" t="str">
            <v>03</v>
          </cell>
          <cell r="B3151" t="str">
            <v>01</v>
          </cell>
          <cell r="C3151" t="str">
            <v>03</v>
          </cell>
          <cell r="D3151" t="str">
            <v>2</v>
          </cell>
          <cell r="E3151" t="str">
            <v>0001</v>
          </cell>
          <cell r="F3151" t="str">
            <v>0001</v>
          </cell>
          <cell r="G3151" t="str">
            <v>214</v>
          </cell>
          <cell r="H3151" t="str">
            <v>付采暖费.早餐费等</v>
          </cell>
          <cell r="I3151" t="b">
            <v>1</v>
          </cell>
          <cell r="J3151">
            <v>46213.03</v>
          </cell>
          <cell r="K3151">
            <v>0</v>
          </cell>
          <cell r="L3151">
            <v>0</v>
          </cell>
        </row>
        <row r="3152">
          <cell r="A3152" t="str">
            <v>03</v>
          </cell>
          <cell r="B3152" t="str">
            <v>25</v>
          </cell>
          <cell r="C3152" t="str">
            <v>03</v>
          </cell>
          <cell r="D3152" t="str">
            <v>2</v>
          </cell>
          <cell r="E3152" t="str">
            <v>0026</v>
          </cell>
          <cell r="F3152" t="str">
            <v>0004</v>
          </cell>
          <cell r="G3152" t="str">
            <v>214</v>
          </cell>
          <cell r="H3152" t="str">
            <v>付独生子女费</v>
          </cell>
          <cell r="I3152" t="b">
            <v>1</v>
          </cell>
          <cell r="J3152">
            <v>55</v>
          </cell>
          <cell r="K3152">
            <v>0</v>
          </cell>
          <cell r="L3152">
            <v>0</v>
          </cell>
        </row>
        <row r="3153">
          <cell r="A3153" t="str">
            <v>03</v>
          </cell>
          <cell r="B3153" t="str">
            <v>20</v>
          </cell>
          <cell r="C3153" t="str">
            <v>03</v>
          </cell>
          <cell r="D3153" t="str">
            <v>4</v>
          </cell>
          <cell r="E3153" t="str">
            <v>0028</v>
          </cell>
          <cell r="F3153" t="str">
            <v>0004</v>
          </cell>
          <cell r="G3153" t="str">
            <v>214</v>
          </cell>
          <cell r="H3153" t="str">
            <v>付本月工人独生子女费</v>
          </cell>
          <cell r="I3153" t="b">
            <v>1</v>
          </cell>
          <cell r="J3153">
            <v>600</v>
          </cell>
          <cell r="K3153">
            <v>0</v>
          </cell>
          <cell r="L3153">
            <v>0</v>
          </cell>
        </row>
        <row r="3154">
          <cell r="A3154" t="str">
            <v>03</v>
          </cell>
          <cell r="B3154" t="str">
            <v>27</v>
          </cell>
          <cell r="C3154" t="str">
            <v>03</v>
          </cell>
          <cell r="D3154" t="str">
            <v>5</v>
          </cell>
          <cell r="E3154" t="str">
            <v>0012</v>
          </cell>
          <cell r="F3154" t="str">
            <v>0002</v>
          </cell>
          <cell r="G3154" t="str">
            <v>214</v>
          </cell>
          <cell r="H3154" t="str">
            <v>计提福利费</v>
          </cell>
          <cell r="I3154" t="b">
            <v>0</v>
          </cell>
          <cell r="J3154">
            <v>3949.54</v>
          </cell>
          <cell r="K3154">
            <v>0</v>
          </cell>
          <cell r="L3154">
            <v>0</v>
          </cell>
        </row>
        <row r="3155">
          <cell r="A3155" t="str">
            <v>03</v>
          </cell>
          <cell r="B3155" t="str">
            <v>27</v>
          </cell>
          <cell r="C3155" t="str">
            <v>03</v>
          </cell>
          <cell r="D3155" t="str">
            <v>5</v>
          </cell>
          <cell r="E3155" t="str">
            <v>0014</v>
          </cell>
          <cell r="F3155" t="str">
            <v>0003</v>
          </cell>
          <cell r="G3155" t="str">
            <v>214</v>
          </cell>
          <cell r="H3155" t="str">
            <v>计提本月福利费</v>
          </cell>
          <cell r="I3155" t="b">
            <v>0</v>
          </cell>
          <cell r="J3155">
            <v>30538.26</v>
          </cell>
          <cell r="K3155">
            <v>0</v>
          </cell>
          <cell r="L3155">
            <v>0</v>
          </cell>
        </row>
        <row r="3156">
          <cell r="A3156" t="str">
            <v>04</v>
          </cell>
          <cell r="B3156" t="str">
            <v>02</v>
          </cell>
          <cell r="C3156" t="str">
            <v>04</v>
          </cell>
          <cell r="D3156" t="str">
            <v>2</v>
          </cell>
          <cell r="E3156" t="str">
            <v>0002</v>
          </cell>
          <cell r="F3156" t="str">
            <v>0001</v>
          </cell>
          <cell r="G3156" t="str">
            <v>214</v>
          </cell>
          <cell r="H3156" t="str">
            <v>付药费.早餐费.采暖费等</v>
          </cell>
          <cell r="I3156" t="b">
            <v>1</v>
          </cell>
          <cell r="J3156">
            <v>3344.6</v>
          </cell>
          <cell r="K3156">
            <v>0</v>
          </cell>
          <cell r="L3156">
            <v>0</v>
          </cell>
        </row>
        <row r="3157">
          <cell r="A3157" t="str">
            <v>04</v>
          </cell>
          <cell r="B3157" t="str">
            <v>19</v>
          </cell>
          <cell r="C3157" t="str">
            <v>04</v>
          </cell>
          <cell r="D3157" t="str">
            <v>4</v>
          </cell>
          <cell r="E3157" t="str">
            <v>0022</v>
          </cell>
          <cell r="F3157" t="str">
            <v>0004</v>
          </cell>
          <cell r="G3157" t="str">
            <v>214</v>
          </cell>
          <cell r="H3157" t="str">
            <v>付本月工人独生子女费</v>
          </cell>
          <cell r="I3157" t="b">
            <v>1</v>
          </cell>
          <cell r="J3157">
            <v>610</v>
          </cell>
          <cell r="K3157">
            <v>0</v>
          </cell>
          <cell r="L3157">
            <v>0</v>
          </cell>
        </row>
        <row r="3158">
          <cell r="A3158" t="str">
            <v>04</v>
          </cell>
          <cell r="B3158" t="str">
            <v>24</v>
          </cell>
          <cell r="C3158" t="str">
            <v>04</v>
          </cell>
          <cell r="D3158" t="str">
            <v>5</v>
          </cell>
          <cell r="E3158" t="str">
            <v>0015</v>
          </cell>
          <cell r="F3158" t="str">
            <v>0003</v>
          </cell>
          <cell r="G3158" t="str">
            <v>214</v>
          </cell>
          <cell r="H3158" t="str">
            <v>计提本月职工福利费</v>
          </cell>
          <cell r="I3158" t="b">
            <v>0</v>
          </cell>
          <cell r="J3158">
            <v>32496.47</v>
          </cell>
          <cell r="K3158">
            <v>0</v>
          </cell>
          <cell r="L3158">
            <v>0</v>
          </cell>
        </row>
        <row r="3159">
          <cell r="A3159" t="str">
            <v>05</v>
          </cell>
          <cell r="B3159" t="str">
            <v>08</v>
          </cell>
          <cell r="C3159" t="str">
            <v>05</v>
          </cell>
          <cell r="D3159" t="str">
            <v>2</v>
          </cell>
          <cell r="E3159" t="str">
            <v>0002</v>
          </cell>
          <cell r="F3159" t="str">
            <v>0001</v>
          </cell>
          <cell r="G3159" t="str">
            <v>214</v>
          </cell>
          <cell r="H3159" t="str">
            <v>付3月份理发费.采暖费</v>
          </cell>
          <cell r="I3159" t="b">
            <v>1</v>
          </cell>
          <cell r="J3159">
            <v>3584</v>
          </cell>
          <cell r="K3159">
            <v>0</v>
          </cell>
          <cell r="L3159">
            <v>0</v>
          </cell>
        </row>
        <row r="3160">
          <cell r="A3160" t="str">
            <v>05</v>
          </cell>
          <cell r="B3160" t="str">
            <v>25</v>
          </cell>
          <cell r="C3160" t="str">
            <v>05</v>
          </cell>
          <cell r="D3160" t="str">
            <v>4</v>
          </cell>
          <cell r="E3160" t="str">
            <v>0027</v>
          </cell>
          <cell r="F3160" t="str">
            <v>0004</v>
          </cell>
          <cell r="G3160" t="str">
            <v>214</v>
          </cell>
          <cell r="H3160" t="str">
            <v>付本月工人独生子女费</v>
          </cell>
          <cell r="I3160" t="b">
            <v>1</v>
          </cell>
          <cell r="J3160">
            <v>620</v>
          </cell>
          <cell r="K3160">
            <v>0</v>
          </cell>
          <cell r="L3160">
            <v>0</v>
          </cell>
        </row>
        <row r="3161">
          <cell r="A3161" t="str">
            <v>05</v>
          </cell>
          <cell r="B3161" t="str">
            <v>25</v>
          </cell>
          <cell r="C3161" t="str">
            <v>05</v>
          </cell>
          <cell r="D3161" t="str">
            <v>5</v>
          </cell>
          <cell r="E3161" t="str">
            <v>0002</v>
          </cell>
          <cell r="F3161" t="str">
            <v>0003</v>
          </cell>
          <cell r="G3161" t="str">
            <v>214</v>
          </cell>
          <cell r="H3161" t="str">
            <v>计提本月职工福利费</v>
          </cell>
          <cell r="I3161" t="b">
            <v>0</v>
          </cell>
          <cell r="J3161">
            <v>38442.370000000003</v>
          </cell>
          <cell r="K3161">
            <v>0</v>
          </cell>
          <cell r="L3161">
            <v>0</v>
          </cell>
        </row>
        <row r="3162">
          <cell r="A3162" t="str">
            <v>06</v>
          </cell>
          <cell r="B3162" t="str">
            <v>01</v>
          </cell>
          <cell r="C3162" t="str">
            <v>06</v>
          </cell>
          <cell r="D3162" t="str">
            <v>2</v>
          </cell>
          <cell r="E3162" t="str">
            <v>0002</v>
          </cell>
          <cell r="F3162" t="str">
            <v>0001</v>
          </cell>
          <cell r="G3162" t="str">
            <v>214</v>
          </cell>
          <cell r="H3162" t="str">
            <v>付2000.4月份理发费.伙房用电机</v>
          </cell>
          <cell r="I3162" t="b">
            <v>1</v>
          </cell>
          <cell r="J3162">
            <v>2941</v>
          </cell>
          <cell r="K3162">
            <v>0</v>
          </cell>
          <cell r="L3162">
            <v>0</v>
          </cell>
        </row>
        <row r="3163">
          <cell r="A3163" t="str">
            <v>06</v>
          </cell>
          <cell r="B3163" t="str">
            <v>20</v>
          </cell>
          <cell r="C3163" t="str">
            <v>06</v>
          </cell>
          <cell r="D3163" t="str">
            <v>4</v>
          </cell>
          <cell r="E3163" t="str">
            <v>0013</v>
          </cell>
          <cell r="F3163" t="str">
            <v>0004</v>
          </cell>
          <cell r="G3163" t="str">
            <v>214</v>
          </cell>
          <cell r="H3163" t="str">
            <v>付本月工人独生子女费.药费</v>
          </cell>
          <cell r="I3163" t="b">
            <v>1</v>
          </cell>
          <cell r="J3163">
            <v>4620</v>
          </cell>
          <cell r="K3163">
            <v>0</v>
          </cell>
          <cell r="L3163">
            <v>0</v>
          </cell>
        </row>
        <row r="3164">
          <cell r="A3164" t="str">
            <v>06</v>
          </cell>
          <cell r="B3164" t="str">
            <v>20</v>
          </cell>
          <cell r="C3164" t="str">
            <v>06</v>
          </cell>
          <cell r="D3164" t="str">
            <v>5</v>
          </cell>
          <cell r="E3164" t="str">
            <v>0008</v>
          </cell>
          <cell r="F3164" t="str">
            <v>0003</v>
          </cell>
          <cell r="G3164" t="str">
            <v>214</v>
          </cell>
          <cell r="H3164" t="str">
            <v>计提本月职工福利费</v>
          </cell>
          <cell r="I3164" t="b">
            <v>0</v>
          </cell>
          <cell r="J3164">
            <v>40907.910000000003</v>
          </cell>
          <cell r="K3164">
            <v>0</v>
          </cell>
          <cell r="L3164">
            <v>0</v>
          </cell>
        </row>
        <row r="3165">
          <cell r="A3165" t="str">
            <v>07</v>
          </cell>
          <cell r="B3165" t="str">
            <v>10</v>
          </cell>
          <cell r="C3165" t="str">
            <v>07</v>
          </cell>
          <cell r="D3165" t="str">
            <v>2</v>
          </cell>
          <cell r="E3165" t="str">
            <v>0007</v>
          </cell>
          <cell r="F3165" t="str">
            <v>0001</v>
          </cell>
          <cell r="G3165" t="str">
            <v>214</v>
          </cell>
          <cell r="H3165" t="str">
            <v>付药费.采暖费</v>
          </cell>
          <cell r="I3165" t="b">
            <v>1</v>
          </cell>
          <cell r="J3165">
            <v>3316.1</v>
          </cell>
          <cell r="K3165">
            <v>0</v>
          </cell>
          <cell r="L3165">
            <v>0</v>
          </cell>
        </row>
        <row r="3166">
          <cell r="A3166" t="str">
            <v>07</v>
          </cell>
          <cell r="B3166" t="str">
            <v>20</v>
          </cell>
          <cell r="C3166" t="str">
            <v>07</v>
          </cell>
          <cell r="D3166" t="str">
            <v>2</v>
          </cell>
          <cell r="E3166" t="str">
            <v>0018</v>
          </cell>
          <cell r="F3166" t="str">
            <v>0001</v>
          </cell>
          <cell r="G3166" t="str">
            <v>214</v>
          </cell>
          <cell r="H3166" t="str">
            <v>付车费</v>
          </cell>
          <cell r="I3166" t="b">
            <v>1</v>
          </cell>
          <cell r="J3166">
            <v>37</v>
          </cell>
          <cell r="K3166">
            <v>0</v>
          </cell>
          <cell r="L3166">
            <v>0</v>
          </cell>
        </row>
        <row r="3167">
          <cell r="A3167" t="str">
            <v>07</v>
          </cell>
          <cell r="B3167" t="str">
            <v>12</v>
          </cell>
          <cell r="C3167" t="str">
            <v>07</v>
          </cell>
          <cell r="D3167" t="str">
            <v>4</v>
          </cell>
          <cell r="E3167" t="str">
            <v>0009</v>
          </cell>
          <cell r="F3167" t="str">
            <v>0005</v>
          </cell>
          <cell r="G3167" t="str">
            <v>214</v>
          </cell>
          <cell r="H3167" t="str">
            <v>付职工独生子女费</v>
          </cell>
          <cell r="I3167" t="b">
            <v>1</v>
          </cell>
          <cell r="J3167">
            <v>4385</v>
          </cell>
          <cell r="K3167">
            <v>0</v>
          </cell>
          <cell r="L3167">
            <v>0</v>
          </cell>
        </row>
        <row r="3168">
          <cell r="A3168" t="str">
            <v>07</v>
          </cell>
          <cell r="B3168" t="str">
            <v>12</v>
          </cell>
          <cell r="C3168" t="str">
            <v>07</v>
          </cell>
          <cell r="D3168" t="str">
            <v>5</v>
          </cell>
          <cell r="E3168" t="str">
            <v>0002</v>
          </cell>
          <cell r="F3168" t="str">
            <v>0003</v>
          </cell>
          <cell r="G3168" t="str">
            <v>214</v>
          </cell>
          <cell r="H3168" t="str">
            <v>计提职工福利费</v>
          </cell>
          <cell r="I3168" t="b">
            <v>0</v>
          </cell>
          <cell r="J3168">
            <v>36438.76</v>
          </cell>
          <cell r="K3168">
            <v>0</v>
          </cell>
          <cell r="L3168">
            <v>0</v>
          </cell>
        </row>
        <row r="3169">
          <cell r="A3169" t="str">
            <v>08</v>
          </cell>
          <cell r="B3169" t="str">
            <v>05</v>
          </cell>
          <cell r="C3169" t="str">
            <v>08</v>
          </cell>
          <cell r="D3169" t="str">
            <v>2</v>
          </cell>
          <cell r="E3169" t="str">
            <v>0010</v>
          </cell>
          <cell r="F3169" t="str">
            <v>0001</v>
          </cell>
          <cell r="G3169" t="str">
            <v>214</v>
          </cell>
          <cell r="H3169" t="str">
            <v>付药费等</v>
          </cell>
          <cell r="I3169" t="b">
            <v>1</v>
          </cell>
          <cell r="J3169">
            <v>3171.7</v>
          </cell>
          <cell r="K3169">
            <v>0</v>
          </cell>
          <cell r="L3169">
            <v>0</v>
          </cell>
        </row>
        <row r="3170">
          <cell r="A3170" t="str">
            <v>08</v>
          </cell>
          <cell r="B3170" t="str">
            <v>08</v>
          </cell>
          <cell r="C3170" t="str">
            <v>08</v>
          </cell>
          <cell r="D3170" t="str">
            <v>4</v>
          </cell>
          <cell r="E3170" t="str">
            <v>0015</v>
          </cell>
          <cell r="F3170" t="str">
            <v>0003</v>
          </cell>
          <cell r="G3170" t="str">
            <v>214</v>
          </cell>
          <cell r="H3170" t="str">
            <v>付职工独生子女费</v>
          </cell>
          <cell r="I3170" t="b">
            <v>1</v>
          </cell>
          <cell r="J3170">
            <v>1515</v>
          </cell>
          <cell r="K3170">
            <v>0</v>
          </cell>
          <cell r="L3170">
            <v>0</v>
          </cell>
        </row>
        <row r="3171">
          <cell r="A3171" t="str">
            <v>08</v>
          </cell>
          <cell r="B3171" t="str">
            <v>08</v>
          </cell>
          <cell r="C3171" t="str">
            <v>08</v>
          </cell>
          <cell r="D3171" t="str">
            <v>5</v>
          </cell>
          <cell r="E3171" t="str">
            <v>0002</v>
          </cell>
          <cell r="F3171" t="str">
            <v>0002</v>
          </cell>
          <cell r="G3171" t="str">
            <v>214</v>
          </cell>
          <cell r="H3171" t="str">
            <v>计提本月管理部门福利费</v>
          </cell>
          <cell r="I3171" t="b">
            <v>0</v>
          </cell>
          <cell r="J3171">
            <v>5281.93</v>
          </cell>
          <cell r="K3171">
            <v>0</v>
          </cell>
          <cell r="L3171">
            <v>0</v>
          </cell>
        </row>
        <row r="3172">
          <cell r="A3172" t="str">
            <v>08</v>
          </cell>
          <cell r="B3172" t="str">
            <v>27</v>
          </cell>
          <cell r="C3172" t="str">
            <v>08</v>
          </cell>
          <cell r="D3172" t="str">
            <v>5</v>
          </cell>
          <cell r="E3172" t="str">
            <v>0023</v>
          </cell>
          <cell r="F3172" t="str">
            <v>0001</v>
          </cell>
          <cell r="G3172" t="str">
            <v>214</v>
          </cell>
          <cell r="H3172" t="str">
            <v>转药费</v>
          </cell>
          <cell r="I3172" t="b">
            <v>1</v>
          </cell>
          <cell r="J3172">
            <v>287.3</v>
          </cell>
          <cell r="K3172">
            <v>0</v>
          </cell>
          <cell r="L3172">
            <v>0</v>
          </cell>
        </row>
        <row r="3173">
          <cell r="A3173" t="str">
            <v>09</v>
          </cell>
          <cell r="B3173" t="str">
            <v>05</v>
          </cell>
          <cell r="C3173" t="str">
            <v>09</v>
          </cell>
          <cell r="D3173" t="str">
            <v>2</v>
          </cell>
          <cell r="E3173" t="str">
            <v>0004</v>
          </cell>
          <cell r="F3173" t="str">
            <v>0005</v>
          </cell>
          <cell r="G3173" t="str">
            <v>214</v>
          </cell>
          <cell r="H3173" t="str">
            <v>付赞助款</v>
          </cell>
          <cell r="I3173" t="b">
            <v>1</v>
          </cell>
          <cell r="J3173">
            <v>800</v>
          </cell>
          <cell r="K3173">
            <v>0</v>
          </cell>
          <cell r="L3173">
            <v>0</v>
          </cell>
        </row>
        <row r="3174">
          <cell r="A3174" t="str">
            <v>09</v>
          </cell>
          <cell r="B3174" t="str">
            <v>08</v>
          </cell>
          <cell r="C3174" t="str">
            <v>09</v>
          </cell>
          <cell r="D3174" t="str">
            <v>2</v>
          </cell>
          <cell r="E3174" t="str">
            <v>0006</v>
          </cell>
          <cell r="F3174" t="str">
            <v>0001</v>
          </cell>
          <cell r="G3174" t="str">
            <v>214</v>
          </cell>
          <cell r="H3174" t="str">
            <v>付理发费等</v>
          </cell>
          <cell r="I3174" t="b">
            <v>1</v>
          </cell>
          <cell r="J3174">
            <v>6450</v>
          </cell>
          <cell r="K3174">
            <v>0</v>
          </cell>
          <cell r="L3174">
            <v>0</v>
          </cell>
        </row>
        <row r="3175">
          <cell r="A3175" t="str">
            <v>09</v>
          </cell>
          <cell r="B3175" t="str">
            <v>20</v>
          </cell>
          <cell r="C3175" t="str">
            <v>09</v>
          </cell>
          <cell r="D3175" t="str">
            <v>2</v>
          </cell>
          <cell r="E3175" t="str">
            <v>0016</v>
          </cell>
          <cell r="F3175" t="str">
            <v>0001</v>
          </cell>
          <cell r="G3175" t="str">
            <v>214</v>
          </cell>
          <cell r="H3175" t="str">
            <v>付职工早餐补助</v>
          </cell>
          <cell r="I3175" t="b">
            <v>1</v>
          </cell>
          <cell r="J3175">
            <v>1070.4000000000001</v>
          </cell>
          <cell r="K3175">
            <v>0</v>
          </cell>
          <cell r="L3175">
            <v>0</v>
          </cell>
        </row>
        <row r="3176">
          <cell r="A3176" t="str">
            <v>09</v>
          </cell>
          <cell r="B3176" t="str">
            <v>06</v>
          </cell>
          <cell r="C3176" t="str">
            <v>09</v>
          </cell>
          <cell r="D3176" t="str">
            <v>4</v>
          </cell>
          <cell r="E3176" t="str">
            <v>0010</v>
          </cell>
          <cell r="F3176" t="str">
            <v>0004</v>
          </cell>
          <cell r="G3176" t="str">
            <v>214</v>
          </cell>
          <cell r="H3176" t="str">
            <v>付本月职工独生子女费.遗属补助</v>
          </cell>
          <cell r="I3176" t="b">
            <v>1</v>
          </cell>
          <cell r="J3176">
            <v>1250</v>
          </cell>
          <cell r="K3176">
            <v>0</v>
          </cell>
          <cell r="L3176">
            <v>0</v>
          </cell>
        </row>
        <row r="3177">
          <cell r="A3177" t="str">
            <v>09</v>
          </cell>
          <cell r="B3177" t="str">
            <v>06</v>
          </cell>
          <cell r="C3177" t="str">
            <v>09</v>
          </cell>
          <cell r="D3177" t="str">
            <v>5</v>
          </cell>
          <cell r="E3177" t="str">
            <v>0002</v>
          </cell>
          <cell r="F3177" t="str">
            <v>0002</v>
          </cell>
          <cell r="G3177" t="str">
            <v>214</v>
          </cell>
          <cell r="H3177" t="str">
            <v>计提本月职工福利费</v>
          </cell>
          <cell r="I3177" t="b">
            <v>0</v>
          </cell>
          <cell r="J3177">
            <v>8326.26</v>
          </cell>
          <cell r="K3177">
            <v>0</v>
          </cell>
          <cell r="L3177">
            <v>0</v>
          </cell>
        </row>
        <row r="3178">
          <cell r="A3178" t="str">
            <v>10</v>
          </cell>
          <cell r="B3178" t="str">
            <v>01</v>
          </cell>
          <cell r="C3178" t="str">
            <v>10</v>
          </cell>
          <cell r="D3178" t="str">
            <v>2</v>
          </cell>
          <cell r="E3178" t="str">
            <v>0002</v>
          </cell>
          <cell r="F3178" t="str">
            <v>0001</v>
          </cell>
          <cell r="G3178" t="str">
            <v>214</v>
          </cell>
          <cell r="H3178" t="str">
            <v>付理发票费.免餐费等</v>
          </cell>
          <cell r="I3178" t="b">
            <v>1</v>
          </cell>
          <cell r="J3178">
            <v>7577</v>
          </cell>
          <cell r="K3178">
            <v>0</v>
          </cell>
          <cell r="L3178">
            <v>0</v>
          </cell>
        </row>
        <row r="3179">
          <cell r="A3179" t="str">
            <v>10</v>
          </cell>
          <cell r="B3179" t="str">
            <v>05</v>
          </cell>
          <cell r="C3179" t="str">
            <v>10</v>
          </cell>
          <cell r="D3179" t="str">
            <v>4</v>
          </cell>
          <cell r="E3179" t="str">
            <v>0007</v>
          </cell>
          <cell r="F3179" t="str">
            <v>0004</v>
          </cell>
          <cell r="G3179" t="str">
            <v>214</v>
          </cell>
          <cell r="H3179" t="str">
            <v>付解困资金</v>
          </cell>
          <cell r="I3179" t="b">
            <v>1</v>
          </cell>
          <cell r="J3179">
            <v>12050</v>
          </cell>
          <cell r="K3179">
            <v>0</v>
          </cell>
          <cell r="L3179">
            <v>0</v>
          </cell>
        </row>
        <row r="3180">
          <cell r="A3180" t="str">
            <v>10</v>
          </cell>
          <cell r="B3180" t="str">
            <v>22</v>
          </cell>
          <cell r="C3180" t="str">
            <v>10</v>
          </cell>
          <cell r="D3180" t="str">
            <v>4</v>
          </cell>
          <cell r="E3180" t="str">
            <v>0025</v>
          </cell>
          <cell r="F3180" t="str">
            <v>0004</v>
          </cell>
          <cell r="G3180" t="str">
            <v>214</v>
          </cell>
          <cell r="H3180" t="str">
            <v>付职工独生子女费及遗属补助费</v>
          </cell>
          <cell r="I3180" t="b">
            <v>1</v>
          </cell>
          <cell r="J3180">
            <v>1805</v>
          </cell>
          <cell r="K3180">
            <v>0</v>
          </cell>
          <cell r="L3180">
            <v>0</v>
          </cell>
        </row>
        <row r="3181">
          <cell r="A3181" t="str">
            <v>10</v>
          </cell>
          <cell r="B3181" t="str">
            <v>24</v>
          </cell>
          <cell r="C3181" t="str">
            <v>10</v>
          </cell>
          <cell r="D3181" t="str">
            <v>5</v>
          </cell>
          <cell r="E3181" t="str">
            <v>0013</v>
          </cell>
          <cell r="F3181" t="str">
            <v>0002</v>
          </cell>
          <cell r="G3181" t="str">
            <v>214</v>
          </cell>
          <cell r="H3181" t="str">
            <v>提取本月职工福利费</v>
          </cell>
          <cell r="I3181" t="b">
            <v>0</v>
          </cell>
          <cell r="J3181">
            <v>8802</v>
          </cell>
          <cell r="K3181">
            <v>0</v>
          </cell>
          <cell r="L3181">
            <v>0</v>
          </cell>
        </row>
        <row r="3182">
          <cell r="A3182" t="str">
            <v>11</v>
          </cell>
          <cell r="B3182" t="str">
            <v>10</v>
          </cell>
          <cell r="C3182" t="str">
            <v>11</v>
          </cell>
          <cell r="D3182" t="str">
            <v>2</v>
          </cell>
          <cell r="E3182" t="str">
            <v>0013</v>
          </cell>
          <cell r="F3182" t="str">
            <v>0001</v>
          </cell>
          <cell r="G3182" t="str">
            <v>214</v>
          </cell>
          <cell r="H3182" t="str">
            <v>付免餐费.药费</v>
          </cell>
          <cell r="I3182" t="b">
            <v>1</v>
          </cell>
          <cell r="J3182">
            <v>2648.2</v>
          </cell>
          <cell r="K3182">
            <v>0</v>
          </cell>
          <cell r="L3182">
            <v>0</v>
          </cell>
        </row>
        <row r="3183">
          <cell r="A3183" t="str">
            <v>11</v>
          </cell>
          <cell r="B3183" t="str">
            <v>15</v>
          </cell>
          <cell r="C3183" t="str">
            <v>11</v>
          </cell>
          <cell r="D3183" t="str">
            <v>4</v>
          </cell>
          <cell r="E3183" t="str">
            <v>0027</v>
          </cell>
          <cell r="F3183" t="str">
            <v>0004</v>
          </cell>
          <cell r="G3183" t="str">
            <v>214</v>
          </cell>
          <cell r="H3183" t="str">
            <v>付工人独生子女费.遗属补助费</v>
          </cell>
          <cell r="I3183" t="b">
            <v>1</v>
          </cell>
          <cell r="J3183">
            <v>1900</v>
          </cell>
          <cell r="K3183">
            <v>0</v>
          </cell>
          <cell r="L3183">
            <v>0</v>
          </cell>
        </row>
        <row r="3184">
          <cell r="A3184" t="str">
            <v>11</v>
          </cell>
          <cell r="B3184" t="str">
            <v>15</v>
          </cell>
          <cell r="C3184" t="str">
            <v>11</v>
          </cell>
          <cell r="D3184" t="str">
            <v>4</v>
          </cell>
          <cell r="E3184" t="str">
            <v>0027</v>
          </cell>
          <cell r="F3184" t="str">
            <v>0006</v>
          </cell>
          <cell r="G3184" t="str">
            <v>214</v>
          </cell>
          <cell r="H3184" t="str">
            <v>代扣采暖费</v>
          </cell>
          <cell r="I3184" t="b">
            <v>0</v>
          </cell>
          <cell r="J3184">
            <v>8867.5</v>
          </cell>
          <cell r="K3184">
            <v>0</v>
          </cell>
          <cell r="L3184">
            <v>0</v>
          </cell>
        </row>
        <row r="3185">
          <cell r="A3185" t="str">
            <v>11</v>
          </cell>
          <cell r="B3185" t="str">
            <v>18</v>
          </cell>
          <cell r="C3185" t="str">
            <v>11</v>
          </cell>
          <cell r="D3185" t="str">
            <v>5</v>
          </cell>
          <cell r="E3185" t="str">
            <v>0015</v>
          </cell>
          <cell r="F3185" t="str">
            <v>0002</v>
          </cell>
          <cell r="G3185" t="str">
            <v>214</v>
          </cell>
          <cell r="H3185" t="str">
            <v>提取本月福利费</v>
          </cell>
          <cell r="I3185" t="b">
            <v>0</v>
          </cell>
          <cell r="J3185">
            <v>8823.2900000000009</v>
          </cell>
          <cell r="K3185">
            <v>0</v>
          </cell>
          <cell r="L3185">
            <v>0</v>
          </cell>
        </row>
        <row r="3186">
          <cell r="A3186" t="str">
            <v>11</v>
          </cell>
          <cell r="B3186" t="str">
            <v>18</v>
          </cell>
          <cell r="C3186" t="str">
            <v>11</v>
          </cell>
          <cell r="D3186" t="str">
            <v>5</v>
          </cell>
          <cell r="E3186" t="str">
            <v>0018</v>
          </cell>
          <cell r="F3186" t="str">
            <v>0004</v>
          </cell>
          <cell r="G3186" t="str">
            <v>214</v>
          </cell>
          <cell r="H3186" t="str">
            <v>转代扣采暖费</v>
          </cell>
          <cell r="I3186" t="b">
            <v>1</v>
          </cell>
          <cell r="J3186">
            <v>-61958</v>
          </cell>
          <cell r="K3186">
            <v>0</v>
          </cell>
          <cell r="L3186">
            <v>0</v>
          </cell>
        </row>
        <row r="3187">
          <cell r="A3187" t="str">
            <v>12</v>
          </cell>
          <cell r="B3187" t="str">
            <v>08</v>
          </cell>
          <cell r="C3187" t="str">
            <v>12</v>
          </cell>
          <cell r="D3187" t="str">
            <v>2</v>
          </cell>
          <cell r="E3187" t="str">
            <v>0008</v>
          </cell>
          <cell r="F3187" t="str">
            <v>0001</v>
          </cell>
          <cell r="G3187" t="str">
            <v>214</v>
          </cell>
          <cell r="H3187" t="str">
            <v>付早餐费.理发费</v>
          </cell>
          <cell r="I3187" t="b">
            <v>1</v>
          </cell>
          <cell r="J3187">
            <v>7528</v>
          </cell>
          <cell r="K3187">
            <v>0</v>
          </cell>
          <cell r="L3187">
            <v>0</v>
          </cell>
        </row>
        <row r="3188">
          <cell r="A3188" t="str">
            <v>12</v>
          </cell>
          <cell r="B3188" t="str">
            <v>22</v>
          </cell>
          <cell r="C3188" t="str">
            <v>12</v>
          </cell>
          <cell r="D3188" t="str">
            <v>2</v>
          </cell>
          <cell r="E3188" t="str">
            <v>0028</v>
          </cell>
          <cell r="F3188" t="str">
            <v>0001</v>
          </cell>
          <cell r="G3188" t="str">
            <v>214</v>
          </cell>
          <cell r="H3188" t="str">
            <v>付药费</v>
          </cell>
          <cell r="I3188" t="b">
            <v>1</v>
          </cell>
          <cell r="J3188">
            <v>8542</v>
          </cell>
          <cell r="K3188">
            <v>0</v>
          </cell>
          <cell r="L3188">
            <v>0</v>
          </cell>
        </row>
        <row r="3189">
          <cell r="A3189" t="str">
            <v>12</v>
          </cell>
          <cell r="B3189" t="str">
            <v>08</v>
          </cell>
          <cell r="C3189" t="str">
            <v>12</v>
          </cell>
          <cell r="D3189" t="str">
            <v>4</v>
          </cell>
          <cell r="E3189" t="str">
            <v>0010</v>
          </cell>
          <cell r="F3189" t="str">
            <v>0004</v>
          </cell>
          <cell r="G3189" t="str">
            <v>214</v>
          </cell>
          <cell r="H3189" t="str">
            <v>付职工独生子女费及遗属补助费</v>
          </cell>
          <cell r="I3189" t="b">
            <v>1</v>
          </cell>
          <cell r="J3189">
            <v>1900</v>
          </cell>
          <cell r="K3189">
            <v>0</v>
          </cell>
          <cell r="L3189">
            <v>0</v>
          </cell>
        </row>
        <row r="3190">
          <cell r="A3190" t="str">
            <v>12</v>
          </cell>
          <cell r="B3190" t="str">
            <v>08</v>
          </cell>
          <cell r="C3190" t="str">
            <v>12</v>
          </cell>
          <cell r="D3190" t="str">
            <v>5</v>
          </cell>
          <cell r="E3190" t="str">
            <v>0002</v>
          </cell>
          <cell r="F3190" t="str">
            <v>0002</v>
          </cell>
          <cell r="G3190" t="str">
            <v>214</v>
          </cell>
          <cell r="H3190" t="str">
            <v>提取职工福利费</v>
          </cell>
          <cell r="I3190" t="b">
            <v>0</v>
          </cell>
          <cell r="J3190">
            <v>8946.4599999999991</v>
          </cell>
          <cell r="K3190">
            <v>0</v>
          </cell>
          <cell r="L3190">
            <v>0</v>
          </cell>
        </row>
        <row r="3191">
          <cell r="A3191" t="str">
            <v>12</v>
          </cell>
          <cell r="B3191" t="str">
            <v>20</v>
          </cell>
          <cell r="C3191" t="str">
            <v>12</v>
          </cell>
          <cell r="D3191" t="str">
            <v>5</v>
          </cell>
          <cell r="E3191" t="str">
            <v>0006</v>
          </cell>
          <cell r="F3191" t="str">
            <v>0001</v>
          </cell>
          <cell r="G3191" t="str">
            <v>214</v>
          </cell>
          <cell r="H3191" t="str">
            <v>转报销药费</v>
          </cell>
          <cell r="I3191" t="b">
            <v>1</v>
          </cell>
          <cell r="J3191">
            <v>316.3</v>
          </cell>
          <cell r="K3191">
            <v>0</v>
          </cell>
          <cell r="L3191">
            <v>0</v>
          </cell>
        </row>
        <row r="3192">
          <cell r="A3192" t="str">
            <v>12</v>
          </cell>
          <cell r="B3192" t="str">
            <v>20</v>
          </cell>
          <cell r="C3192" t="str">
            <v>12</v>
          </cell>
          <cell r="D3192" t="str">
            <v>5</v>
          </cell>
          <cell r="E3192" t="str">
            <v>0017</v>
          </cell>
          <cell r="F3192" t="str">
            <v>0004</v>
          </cell>
          <cell r="G3192" t="str">
            <v>214</v>
          </cell>
          <cell r="H3192" t="str">
            <v>转代扣采暖费</v>
          </cell>
          <cell r="I3192" t="b">
            <v>1</v>
          </cell>
          <cell r="J3192">
            <v>-3210</v>
          </cell>
          <cell r="K3192">
            <v>0</v>
          </cell>
          <cell r="L3192">
            <v>0</v>
          </cell>
        </row>
        <row r="3193">
          <cell r="A3193" t="str">
            <v>12</v>
          </cell>
          <cell r="B3193" t="str">
            <v>30</v>
          </cell>
          <cell r="C3193" t="str">
            <v>12</v>
          </cell>
          <cell r="D3193" t="str">
            <v>5</v>
          </cell>
          <cell r="E3193" t="str">
            <v>0088</v>
          </cell>
          <cell r="F3193" t="str">
            <v>0003</v>
          </cell>
          <cell r="G3193" t="str">
            <v>214</v>
          </cell>
          <cell r="H3193" t="str">
            <v>转职工独生子女费及遗属补助费</v>
          </cell>
          <cell r="I3193" t="b">
            <v>1</v>
          </cell>
          <cell r="J3193">
            <v>2045</v>
          </cell>
          <cell r="K3193">
            <v>0</v>
          </cell>
          <cell r="L3193">
            <v>0</v>
          </cell>
        </row>
        <row r="3194">
          <cell r="A3194" t="str">
            <v>12</v>
          </cell>
          <cell r="B3194" t="str">
            <v>30</v>
          </cell>
          <cell r="C3194" t="str">
            <v>12</v>
          </cell>
          <cell r="D3194" t="str">
            <v>5</v>
          </cell>
          <cell r="E3194" t="str">
            <v>0088</v>
          </cell>
          <cell r="F3194" t="str">
            <v>0008</v>
          </cell>
          <cell r="G3194" t="str">
            <v>214</v>
          </cell>
          <cell r="H3194" t="str">
            <v>转代扣暖气费</v>
          </cell>
          <cell r="I3194" t="b">
            <v>1</v>
          </cell>
          <cell r="J3194">
            <v>-162</v>
          </cell>
          <cell r="K3194">
            <v>0</v>
          </cell>
          <cell r="L3194">
            <v>0</v>
          </cell>
        </row>
        <row r="3195">
          <cell r="A3195" t="str">
            <v>12</v>
          </cell>
          <cell r="B3195" t="str">
            <v>30</v>
          </cell>
          <cell r="C3195" t="str">
            <v>12</v>
          </cell>
          <cell r="D3195" t="str">
            <v>5</v>
          </cell>
          <cell r="E3195" t="str">
            <v>0090</v>
          </cell>
          <cell r="F3195" t="str">
            <v>0002</v>
          </cell>
          <cell r="G3195" t="str">
            <v>214</v>
          </cell>
          <cell r="H3195" t="str">
            <v>提取职工福利费</v>
          </cell>
          <cell r="I3195" t="b">
            <v>0</v>
          </cell>
          <cell r="J3195">
            <v>5742.59</v>
          </cell>
          <cell r="K3195">
            <v>0</v>
          </cell>
          <cell r="L3195">
            <v>0</v>
          </cell>
        </row>
        <row r="3196">
          <cell r="A3196" t="str">
            <v>12</v>
          </cell>
          <cell r="B3196" t="str">
            <v>31</v>
          </cell>
          <cell r="C3196" t="str">
            <v>12</v>
          </cell>
          <cell r="D3196" t="str">
            <v>5</v>
          </cell>
          <cell r="E3196" t="str">
            <v>0097</v>
          </cell>
          <cell r="F3196" t="str">
            <v>0005</v>
          </cell>
          <cell r="G3196" t="str">
            <v>214</v>
          </cell>
          <cell r="H3196" t="str">
            <v>转代扣暖气费</v>
          </cell>
          <cell r="I3196" t="b">
            <v>1</v>
          </cell>
          <cell r="J3196">
            <v>-200</v>
          </cell>
          <cell r="K3196">
            <v>0</v>
          </cell>
          <cell r="L3196">
            <v>0</v>
          </cell>
        </row>
        <row r="3197">
          <cell r="A3197" t="str">
            <v>02</v>
          </cell>
          <cell r="B3197" t="str">
            <v>05</v>
          </cell>
          <cell r="C3197" t="str">
            <v>02</v>
          </cell>
          <cell r="D3197" t="str">
            <v>1</v>
          </cell>
          <cell r="E3197" t="str">
            <v>0006</v>
          </cell>
          <cell r="F3197" t="str">
            <v>0005</v>
          </cell>
          <cell r="G3197" t="str">
            <v>221010101</v>
          </cell>
          <cell r="H3197" t="str">
            <v>销苹果浓汁税款</v>
          </cell>
          <cell r="I3197" t="b">
            <v>0</v>
          </cell>
          <cell r="J3197">
            <v>555.9</v>
          </cell>
          <cell r="K3197">
            <v>0</v>
          </cell>
          <cell r="L3197">
            <v>0</v>
          </cell>
        </row>
        <row r="3198">
          <cell r="A3198" t="str">
            <v>02</v>
          </cell>
          <cell r="B3198" t="str">
            <v>05</v>
          </cell>
          <cell r="C3198" t="str">
            <v>02</v>
          </cell>
          <cell r="D3198" t="str">
            <v>3</v>
          </cell>
          <cell r="E3198" t="str">
            <v>0003</v>
          </cell>
          <cell r="F3198" t="str">
            <v>0003</v>
          </cell>
          <cell r="G3198" t="str">
            <v>221010101</v>
          </cell>
          <cell r="H3198" t="str">
            <v>销苹果浓汁税款</v>
          </cell>
          <cell r="I3198" t="b">
            <v>0</v>
          </cell>
          <cell r="J3198">
            <v>5077.33</v>
          </cell>
          <cell r="K3198">
            <v>0</v>
          </cell>
          <cell r="L3198">
            <v>0</v>
          </cell>
        </row>
        <row r="3199">
          <cell r="A3199" t="str">
            <v>02</v>
          </cell>
          <cell r="B3199" t="str">
            <v>05</v>
          </cell>
          <cell r="C3199" t="str">
            <v>02</v>
          </cell>
          <cell r="D3199" t="str">
            <v>3</v>
          </cell>
          <cell r="E3199" t="str">
            <v>0003</v>
          </cell>
          <cell r="F3199" t="str">
            <v>0005</v>
          </cell>
          <cell r="G3199" t="str">
            <v>221010101</v>
          </cell>
          <cell r="H3199" t="str">
            <v>销山楂浓汁税款</v>
          </cell>
          <cell r="I3199" t="b">
            <v>0</v>
          </cell>
          <cell r="J3199">
            <v>3628.85</v>
          </cell>
          <cell r="K3199">
            <v>0</v>
          </cell>
          <cell r="L3199">
            <v>0</v>
          </cell>
        </row>
        <row r="3200">
          <cell r="A3200" t="str">
            <v>02</v>
          </cell>
          <cell r="B3200" t="str">
            <v>20</v>
          </cell>
          <cell r="C3200" t="str">
            <v>02</v>
          </cell>
          <cell r="D3200" t="str">
            <v>5</v>
          </cell>
          <cell r="E3200" t="str">
            <v>0005</v>
          </cell>
          <cell r="F3200" t="str">
            <v>0002</v>
          </cell>
          <cell r="G3200" t="str">
            <v>221010101</v>
          </cell>
          <cell r="H3200" t="str">
            <v>转销明胶及其他材料税金</v>
          </cell>
          <cell r="I3200" t="b">
            <v>0</v>
          </cell>
          <cell r="J3200">
            <v>3233.23</v>
          </cell>
          <cell r="K3200">
            <v>0</v>
          </cell>
          <cell r="L3200">
            <v>0</v>
          </cell>
        </row>
        <row r="3201">
          <cell r="A3201" t="str">
            <v>02</v>
          </cell>
          <cell r="B3201" t="str">
            <v>22</v>
          </cell>
          <cell r="C3201" t="str">
            <v>02</v>
          </cell>
          <cell r="D3201" t="str">
            <v>5</v>
          </cell>
          <cell r="E3201" t="str">
            <v>0006</v>
          </cell>
          <cell r="F3201" t="str">
            <v>0002</v>
          </cell>
          <cell r="G3201" t="str">
            <v>221010101</v>
          </cell>
          <cell r="H3201" t="str">
            <v>转销苹果浓汁27.92吨税金</v>
          </cell>
          <cell r="I3201" t="b">
            <v>0</v>
          </cell>
          <cell r="J3201">
            <v>32007.88</v>
          </cell>
          <cell r="K3201">
            <v>0</v>
          </cell>
          <cell r="L3201">
            <v>0</v>
          </cell>
        </row>
        <row r="3202">
          <cell r="A3202" t="str">
            <v>02</v>
          </cell>
          <cell r="B3202" t="str">
            <v>28</v>
          </cell>
          <cell r="C3202" t="str">
            <v>02</v>
          </cell>
          <cell r="D3202" t="str">
            <v>5</v>
          </cell>
          <cell r="E3202" t="str">
            <v>0024</v>
          </cell>
          <cell r="F3202" t="str">
            <v>0005</v>
          </cell>
          <cell r="G3202" t="str">
            <v>221010101</v>
          </cell>
          <cell r="H3202" t="str">
            <v>转各厂本月耗材料税款</v>
          </cell>
          <cell r="I3202" t="b">
            <v>0</v>
          </cell>
          <cell r="J3202">
            <v>129660.61</v>
          </cell>
          <cell r="K3202">
            <v>0</v>
          </cell>
          <cell r="L3202">
            <v>0</v>
          </cell>
        </row>
        <row r="3203">
          <cell r="A3203" t="str">
            <v>03</v>
          </cell>
          <cell r="B3203" t="str">
            <v>21</v>
          </cell>
          <cell r="C3203" t="str">
            <v>03</v>
          </cell>
          <cell r="D3203" t="str">
            <v>1</v>
          </cell>
          <cell r="E3203" t="str">
            <v>0004</v>
          </cell>
          <cell r="F3203" t="str">
            <v>0003</v>
          </cell>
          <cell r="G3203" t="str">
            <v>221010101</v>
          </cell>
          <cell r="H3203" t="str">
            <v>销苹果浓汁税款</v>
          </cell>
          <cell r="I3203" t="b">
            <v>0</v>
          </cell>
          <cell r="J3203">
            <v>1586.66</v>
          </cell>
          <cell r="K3203">
            <v>0</v>
          </cell>
          <cell r="L3203">
            <v>0</v>
          </cell>
        </row>
        <row r="3204">
          <cell r="A3204" t="str">
            <v>03</v>
          </cell>
          <cell r="B3204" t="str">
            <v>12</v>
          </cell>
          <cell r="C3204" t="str">
            <v>03</v>
          </cell>
          <cell r="D3204" t="str">
            <v>3</v>
          </cell>
          <cell r="E3204" t="str">
            <v>0007</v>
          </cell>
          <cell r="F3204" t="str">
            <v>0002</v>
          </cell>
          <cell r="G3204" t="str">
            <v>221010101</v>
          </cell>
          <cell r="H3204" t="str">
            <v>内销1.78吨税金</v>
          </cell>
          <cell r="I3204" t="b">
            <v>0</v>
          </cell>
          <cell r="J3204">
            <v>1128.0999999999999</v>
          </cell>
          <cell r="K3204">
            <v>0</v>
          </cell>
          <cell r="L3204">
            <v>0</v>
          </cell>
        </row>
        <row r="3205">
          <cell r="A3205" t="str">
            <v>03</v>
          </cell>
          <cell r="B3205" t="str">
            <v>27</v>
          </cell>
          <cell r="C3205" t="str">
            <v>03</v>
          </cell>
          <cell r="D3205" t="str">
            <v>5</v>
          </cell>
          <cell r="E3205" t="str">
            <v>0006</v>
          </cell>
          <cell r="F3205" t="str">
            <v>0002</v>
          </cell>
          <cell r="G3205" t="str">
            <v>221010101</v>
          </cell>
          <cell r="H3205" t="str">
            <v>转销山楂汁1.86吨税金</v>
          </cell>
          <cell r="I3205" t="b">
            <v>0</v>
          </cell>
          <cell r="J3205">
            <v>4032.05</v>
          </cell>
          <cell r="K3205">
            <v>0</v>
          </cell>
          <cell r="L3205">
            <v>0</v>
          </cell>
        </row>
        <row r="3206">
          <cell r="A3206" t="str">
            <v>04</v>
          </cell>
          <cell r="B3206" t="str">
            <v>24</v>
          </cell>
          <cell r="C3206" t="str">
            <v>04</v>
          </cell>
          <cell r="D3206" t="str">
            <v>5</v>
          </cell>
          <cell r="E3206" t="str">
            <v>0012</v>
          </cell>
          <cell r="F3206" t="str">
            <v>0005</v>
          </cell>
          <cell r="G3206" t="str">
            <v>221010101</v>
          </cell>
          <cell r="H3206" t="str">
            <v>转3月份各厂耗材料税金</v>
          </cell>
          <cell r="I3206" t="b">
            <v>0</v>
          </cell>
          <cell r="J3206">
            <v>142666.75</v>
          </cell>
          <cell r="K3206">
            <v>0</v>
          </cell>
          <cell r="L3206">
            <v>0</v>
          </cell>
        </row>
        <row r="3207">
          <cell r="A3207" t="str">
            <v>04</v>
          </cell>
          <cell r="B3207" t="str">
            <v>24</v>
          </cell>
          <cell r="C3207" t="str">
            <v>04</v>
          </cell>
          <cell r="D3207" t="str">
            <v>5</v>
          </cell>
          <cell r="E3207" t="str">
            <v>0018</v>
          </cell>
          <cell r="F3207" t="str">
            <v>0002</v>
          </cell>
          <cell r="G3207" t="str">
            <v>221010101</v>
          </cell>
          <cell r="H3207" t="str">
            <v>转订出山楂浓汁0.185吨税金</v>
          </cell>
          <cell r="I3207" t="b">
            <v>0</v>
          </cell>
          <cell r="J3207">
            <v>-362.88</v>
          </cell>
          <cell r="K3207">
            <v>0</v>
          </cell>
          <cell r="L3207">
            <v>0</v>
          </cell>
        </row>
        <row r="3208">
          <cell r="A3208" t="str">
            <v>04</v>
          </cell>
          <cell r="B3208" t="str">
            <v>24</v>
          </cell>
          <cell r="C3208" t="str">
            <v>04</v>
          </cell>
          <cell r="D3208" t="str">
            <v>5</v>
          </cell>
          <cell r="E3208" t="str">
            <v>0018</v>
          </cell>
          <cell r="F3208" t="str">
            <v>0005</v>
          </cell>
          <cell r="G3208" t="str">
            <v>221010101</v>
          </cell>
          <cell r="H3208" t="str">
            <v>转销山楂浓汁0.185吨税金</v>
          </cell>
          <cell r="I3208" t="b">
            <v>0</v>
          </cell>
          <cell r="J3208">
            <v>440.61</v>
          </cell>
          <cell r="K3208">
            <v>0</v>
          </cell>
          <cell r="L3208">
            <v>0</v>
          </cell>
        </row>
        <row r="3209">
          <cell r="A3209" t="str">
            <v>04</v>
          </cell>
          <cell r="B3209" t="str">
            <v>25</v>
          </cell>
          <cell r="C3209" t="str">
            <v>04</v>
          </cell>
          <cell r="D3209" t="str">
            <v>5</v>
          </cell>
          <cell r="E3209" t="str">
            <v>0019</v>
          </cell>
          <cell r="F3209" t="str">
            <v>0003</v>
          </cell>
          <cell r="G3209" t="str">
            <v>221010101</v>
          </cell>
          <cell r="H3209" t="str">
            <v>转销材料税金</v>
          </cell>
          <cell r="I3209" t="b">
            <v>0</v>
          </cell>
          <cell r="J3209">
            <v>32669.52</v>
          </cell>
          <cell r="K3209">
            <v>0</v>
          </cell>
          <cell r="L3209">
            <v>0</v>
          </cell>
        </row>
        <row r="3210">
          <cell r="A3210" t="str">
            <v>05</v>
          </cell>
          <cell r="B3210" t="str">
            <v>26</v>
          </cell>
          <cell r="C3210" t="str">
            <v>05</v>
          </cell>
          <cell r="D3210" t="str">
            <v>5</v>
          </cell>
          <cell r="E3210" t="str">
            <v>0016</v>
          </cell>
          <cell r="F3210" t="str">
            <v>0004</v>
          </cell>
          <cell r="G3210" t="str">
            <v>221010101</v>
          </cell>
          <cell r="H3210" t="str">
            <v>转5月份各厂耗材料税金</v>
          </cell>
          <cell r="I3210" t="b">
            <v>0</v>
          </cell>
          <cell r="J3210">
            <v>17146.27</v>
          </cell>
          <cell r="K3210">
            <v>0</v>
          </cell>
          <cell r="L3210">
            <v>0</v>
          </cell>
        </row>
        <row r="3211">
          <cell r="A3211" t="str">
            <v>07</v>
          </cell>
          <cell r="B3211" t="str">
            <v>24</v>
          </cell>
          <cell r="C3211" t="str">
            <v>07</v>
          </cell>
          <cell r="D3211" t="str">
            <v>1</v>
          </cell>
          <cell r="E3211" t="str">
            <v>0010</v>
          </cell>
          <cell r="F3211" t="str">
            <v>0003</v>
          </cell>
          <cell r="G3211" t="str">
            <v>221010101</v>
          </cell>
          <cell r="H3211" t="str">
            <v>销山楂浓汁税款</v>
          </cell>
          <cell r="I3211" t="b">
            <v>0</v>
          </cell>
          <cell r="J3211">
            <v>4854.59</v>
          </cell>
          <cell r="K3211">
            <v>0</v>
          </cell>
          <cell r="L3211">
            <v>0</v>
          </cell>
        </row>
        <row r="3212">
          <cell r="A3212" t="str">
            <v>07</v>
          </cell>
          <cell r="B3212" t="str">
            <v>25</v>
          </cell>
          <cell r="C3212" t="str">
            <v>07</v>
          </cell>
          <cell r="D3212" t="str">
            <v>5</v>
          </cell>
          <cell r="E3212" t="str">
            <v>0017</v>
          </cell>
          <cell r="F3212" t="str">
            <v>0002</v>
          </cell>
          <cell r="G3212" t="str">
            <v>221010101</v>
          </cell>
          <cell r="H3212" t="str">
            <v>转销山楂汁2.035吨税金</v>
          </cell>
          <cell r="I3212" t="b">
            <v>0</v>
          </cell>
          <cell r="J3212">
            <v>4435.26</v>
          </cell>
          <cell r="K3212">
            <v>0</v>
          </cell>
          <cell r="L3212">
            <v>0</v>
          </cell>
        </row>
        <row r="3213">
          <cell r="A3213" t="str">
            <v>07</v>
          </cell>
          <cell r="B3213" t="str">
            <v>27</v>
          </cell>
          <cell r="C3213" t="str">
            <v>07</v>
          </cell>
          <cell r="D3213" t="str">
            <v>5</v>
          </cell>
          <cell r="E3213" t="str">
            <v>0029</v>
          </cell>
          <cell r="F3213" t="str">
            <v>0005</v>
          </cell>
          <cell r="G3213" t="str">
            <v>221010101</v>
          </cell>
          <cell r="H3213" t="str">
            <v>转7月份各厂耗材料税金</v>
          </cell>
          <cell r="I3213" t="b">
            <v>0</v>
          </cell>
          <cell r="J3213">
            <v>42849.02</v>
          </cell>
          <cell r="K3213">
            <v>0</v>
          </cell>
          <cell r="L3213">
            <v>0</v>
          </cell>
        </row>
        <row r="3214">
          <cell r="A3214" t="str">
            <v>08</v>
          </cell>
          <cell r="B3214" t="str">
            <v>14</v>
          </cell>
          <cell r="C3214" t="str">
            <v>08</v>
          </cell>
          <cell r="D3214" t="str">
            <v>3</v>
          </cell>
          <cell r="E3214" t="str">
            <v>0005</v>
          </cell>
          <cell r="F3214" t="str">
            <v>0003</v>
          </cell>
          <cell r="G3214" t="str">
            <v>221010101</v>
          </cell>
          <cell r="H3214" t="str">
            <v>销浓汁税款</v>
          </cell>
          <cell r="I3214" t="b">
            <v>0</v>
          </cell>
          <cell r="J3214">
            <v>170</v>
          </cell>
          <cell r="K3214">
            <v>0</v>
          </cell>
          <cell r="L3214">
            <v>0</v>
          </cell>
        </row>
        <row r="3215">
          <cell r="A3215" t="str">
            <v>08</v>
          </cell>
          <cell r="B3215" t="str">
            <v>27</v>
          </cell>
          <cell r="C3215" t="str">
            <v>08</v>
          </cell>
          <cell r="D3215" t="str">
            <v>5</v>
          </cell>
          <cell r="E3215" t="str">
            <v>0016</v>
          </cell>
          <cell r="F3215" t="str">
            <v>0006</v>
          </cell>
          <cell r="G3215" t="str">
            <v>221010101</v>
          </cell>
          <cell r="H3215" t="str">
            <v>转各分公司本月耗材料税金</v>
          </cell>
          <cell r="I3215" t="b">
            <v>0</v>
          </cell>
          <cell r="J3215">
            <v>144518.17000000001</v>
          </cell>
          <cell r="K3215">
            <v>0</v>
          </cell>
          <cell r="L3215">
            <v>0</v>
          </cell>
        </row>
        <row r="3216">
          <cell r="A3216" t="str">
            <v>09</v>
          </cell>
          <cell r="B3216" t="str">
            <v>28</v>
          </cell>
          <cell r="C3216" t="str">
            <v>09</v>
          </cell>
          <cell r="D3216" t="str">
            <v>5</v>
          </cell>
          <cell r="E3216" t="str">
            <v>0023</v>
          </cell>
          <cell r="F3216" t="str">
            <v>0004</v>
          </cell>
          <cell r="G3216" t="str">
            <v>221010101</v>
          </cell>
          <cell r="H3216" t="str">
            <v>转韩城.宝鸡8月份耗材料税款</v>
          </cell>
          <cell r="I3216" t="b">
            <v>0</v>
          </cell>
          <cell r="J3216">
            <v>94626.72</v>
          </cell>
          <cell r="K3216">
            <v>0</v>
          </cell>
          <cell r="L3216">
            <v>0</v>
          </cell>
        </row>
        <row r="3217">
          <cell r="A3217" t="str">
            <v>09</v>
          </cell>
          <cell r="B3217" t="str">
            <v>28</v>
          </cell>
          <cell r="C3217" t="str">
            <v>09</v>
          </cell>
          <cell r="D3217" t="str">
            <v>5</v>
          </cell>
          <cell r="E3217" t="str">
            <v>0024</v>
          </cell>
          <cell r="F3217" t="str">
            <v>0008</v>
          </cell>
          <cell r="G3217" t="str">
            <v>221010101</v>
          </cell>
          <cell r="H3217" t="str">
            <v>转本月各分公司耗材料税款</v>
          </cell>
          <cell r="I3217" t="b">
            <v>0</v>
          </cell>
          <cell r="J3217">
            <v>242159.8</v>
          </cell>
          <cell r="K3217">
            <v>0</v>
          </cell>
          <cell r="L3217">
            <v>0</v>
          </cell>
        </row>
        <row r="3218">
          <cell r="A3218" t="str">
            <v>10</v>
          </cell>
          <cell r="B3218" t="str">
            <v>20</v>
          </cell>
          <cell r="C3218" t="str">
            <v>10</v>
          </cell>
          <cell r="D3218" t="str">
            <v>3</v>
          </cell>
          <cell r="E3218" t="str">
            <v>0004</v>
          </cell>
          <cell r="F3218" t="str">
            <v>0003</v>
          </cell>
          <cell r="G3218" t="str">
            <v>221010101</v>
          </cell>
          <cell r="H3218" t="str">
            <v>销山楂浓汁税款</v>
          </cell>
          <cell r="I3218" t="b">
            <v>0</v>
          </cell>
          <cell r="J3218">
            <v>4838.46</v>
          </cell>
          <cell r="K3218">
            <v>0</v>
          </cell>
          <cell r="L3218">
            <v>0</v>
          </cell>
        </row>
        <row r="3219">
          <cell r="A3219" t="str">
            <v>10</v>
          </cell>
          <cell r="B3219" t="str">
            <v>24</v>
          </cell>
          <cell r="C3219" t="str">
            <v>10</v>
          </cell>
          <cell r="D3219" t="str">
            <v>5</v>
          </cell>
          <cell r="E3219" t="str">
            <v>0003</v>
          </cell>
          <cell r="F3219" t="str">
            <v>0003</v>
          </cell>
          <cell r="G3219" t="str">
            <v>221010101</v>
          </cell>
          <cell r="H3219" t="str">
            <v>转滕州分公司9月份用材料税金</v>
          </cell>
          <cell r="I3219" t="b">
            <v>0</v>
          </cell>
          <cell r="J3219">
            <v>42473.94</v>
          </cell>
          <cell r="K3219">
            <v>0</v>
          </cell>
          <cell r="L3219">
            <v>0</v>
          </cell>
        </row>
        <row r="3220">
          <cell r="A3220" t="str">
            <v>10</v>
          </cell>
          <cell r="B3220" t="str">
            <v>26</v>
          </cell>
          <cell r="C3220" t="str">
            <v>10</v>
          </cell>
          <cell r="D3220" t="str">
            <v>5</v>
          </cell>
          <cell r="E3220" t="str">
            <v>0014</v>
          </cell>
          <cell r="F3220" t="str">
            <v>0008</v>
          </cell>
          <cell r="G3220" t="str">
            <v>221010101</v>
          </cell>
          <cell r="H3220" t="str">
            <v>转各分公司本月耗材料税款</v>
          </cell>
          <cell r="I3220" t="b">
            <v>0</v>
          </cell>
          <cell r="J3220">
            <v>158547.69</v>
          </cell>
          <cell r="K3220">
            <v>0</v>
          </cell>
          <cell r="L3220">
            <v>0</v>
          </cell>
        </row>
        <row r="3221">
          <cell r="A3221" t="str">
            <v>11</v>
          </cell>
          <cell r="B3221" t="str">
            <v>24</v>
          </cell>
          <cell r="C3221" t="str">
            <v>11</v>
          </cell>
          <cell r="D3221" t="str">
            <v>3</v>
          </cell>
          <cell r="E3221" t="str">
            <v>0007</v>
          </cell>
          <cell r="F3221" t="str">
            <v>0003</v>
          </cell>
          <cell r="G3221" t="str">
            <v>221010101</v>
          </cell>
          <cell r="H3221" t="str">
            <v>销苹果浓汁税款</v>
          </cell>
          <cell r="I3221" t="b">
            <v>0</v>
          </cell>
          <cell r="J3221">
            <v>44192.74</v>
          </cell>
          <cell r="K3221">
            <v>0</v>
          </cell>
          <cell r="L3221">
            <v>0</v>
          </cell>
        </row>
        <row r="3222">
          <cell r="A3222" t="str">
            <v>11</v>
          </cell>
          <cell r="B3222" t="str">
            <v>29</v>
          </cell>
          <cell r="C3222" t="str">
            <v>11</v>
          </cell>
          <cell r="D3222" t="str">
            <v>5</v>
          </cell>
          <cell r="E3222" t="str">
            <v>0022</v>
          </cell>
          <cell r="F3222" t="str">
            <v>0010</v>
          </cell>
          <cell r="G3222" t="str">
            <v>221010101</v>
          </cell>
          <cell r="H3222" t="str">
            <v>转11月份各分公司耗材料税款</v>
          </cell>
          <cell r="I3222" t="b">
            <v>0</v>
          </cell>
          <cell r="J3222">
            <v>236033.72</v>
          </cell>
          <cell r="K3222">
            <v>0</v>
          </cell>
          <cell r="L3222">
            <v>0</v>
          </cell>
        </row>
        <row r="3223">
          <cell r="A3223" t="str">
            <v>12</v>
          </cell>
          <cell r="B3223" t="str">
            <v>27</v>
          </cell>
          <cell r="C3223" t="str">
            <v>12</v>
          </cell>
          <cell r="D3223" t="str">
            <v>5</v>
          </cell>
          <cell r="E3223" t="str">
            <v>0038</v>
          </cell>
          <cell r="F3223" t="str">
            <v>0005</v>
          </cell>
          <cell r="G3223" t="str">
            <v>221010101</v>
          </cell>
          <cell r="H3223" t="str">
            <v>转销山楂浓汁0.185吨税金</v>
          </cell>
          <cell r="I3223" t="b">
            <v>0</v>
          </cell>
          <cell r="J3223">
            <v>349.44</v>
          </cell>
          <cell r="K3223">
            <v>0</v>
          </cell>
          <cell r="L3223">
            <v>0</v>
          </cell>
        </row>
        <row r="3224">
          <cell r="A3224" t="str">
            <v>12</v>
          </cell>
          <cell r="B3224" t="str">
            <v>28</v>
          </cell>
          <cell r="C3224" t="str">
            <v>12</v>
          </cell>
          <cell r="D3224" t="str">
            <v>5</v>
          </cell>
          <cell r="E3224" t="str">
            <v>0042</v>
          </cell>
          <cell r="F3224" t="str">
            <v>0005</v>
          </cell>
          <cell r="G3224" t="str">
            <v>221010101</v>
          </cell>
          <cell r="H3224" t="str">
            <v>转各厂耗水电税款</v>
          </cell>
          <cell r="I3224" t="b">
            <v>0</v>
          </cell>
          <cell r="J3224">
            <v>364785.91</v>
          </cell>
          <cell r="K3224">
            <v>0</v>
          </cell>
          <cell r="L3224">
            <v>0</v>
          </cell>
        </row>
        <row r="3225">
          <cell r="A3225" t="str">
            <v>12</v>
          </cell>
          <cell r="B3225" t="str">
            <v>28</v>
          </cell>
          <cell r="C3225" t="str">
            <v>12</v>
          </cell>
          <cell r="D3225" t="str">
            <v>5</v>
          </cell>
          <cell r="E3225" t="str">
            <v>0043</v>
          </cell>
          <cell r="F3225" t="str">
            <v>0006</v>
          </cell>
          <cell r="G3225" t="str">
            <v>221010101</v>
          </cell>
          <cell r="H3225" t="str">
            <v>转各厂本月耗材料税款</v>
          </cell>
          <cell r="I3225" t="b">
            <v>0</v>
          </cell>
          <cell r="J3225">
            <v>134993.35999999999</v>
          </cell>
          <cell r="K3225">
            <v>0</v>
          </cell>
          <cell r="L3225">
            <v>0</v>
          </cell>
        </row>
        <row r="3226">
          <cell r="A3226" t="str">
            <v>02</v>
          </cell>
          <cell r="B3226" t="str">
            <v>02</v>
          </cell>
          <cell r="C3226" t="str">
            <v>02</v>
          </cell>
          <cell r="D3226" t="str">
            <v>2</v>
          </cell>
          <cell r="E3226" t="str">
            <v>0007</v>
          </cell>
          <cell r="F3226" t="str">
            <v>0002</v>
          </cell>
          <cell r="G3226" t="str">
            <v>221010102</v>
          </cell>
          <cell r="H3226" t="str">
            <v>购材料税金</v>
          </cell>
          <cell r="I3226" t="b">
            <v>1</v>
          </cell>
          <cell r="J3226">
            <v>3707.02</v>
          </cell>
          <cell r="K3226">
            <v>0</v>
          </cell>
          <cell r="L3226">
            <v>0</v>
          </cell>
        </row>
        <row r="3227">
          <cell r="A3227" t="str">
            <v>02</v>
          </cell>
          <cell r="B3227" t="str">
            <v>02</v>
          </cell>
          <cell r="C3227" t="str">
            <v>02</v>
          </cell>
          <cell r="D3227" t="str">
            <v>2</v>
          </cell>
          <cell r="E3227" t="str">
            <v>0008</v>
          </cell>
          <cell r="F3227" t="str">
            <v>0002</v>
          </cell>
          <cell r="G3227" t="str">
            <v>221010102</v>
          </cell>
          <cell r="H3227" t="str">
            <v>付税款</v>
          </cell>
          <cell r="I3227" t="b">
            <v>1</v>
          </cell>
          <cell r="J3227">
            <v>88.63</v>
          </cell>
          <cell r="K3227">
            <v>0</v>
          </cell>
          <cell r="L3227">
            <v>0</v>
          </cell>
        </row>
        <row r="3228">
          <cell r="A3228" t="str">
            <v>02</v>
          </cell>
          <cell r="B3228" t="str">
            <v>10</v>
          </cell>
          <cell r="C3228" t="str">
            <v>02</v>
          </cell>
          <cell r="D3228" t="str">
            <v>2</v>
          </cell>
          <cell r="E3228" t="str">
            <v>0023</v>
          </cell>
          <cell r="F3228" t="str">
            <v>0004</v>
          </cell>
          <cell r="G3228" t="str">
            <v>221010102</v>
          </cell>
          <cell r="H3228" t="str">
            <v>购滤膜等税款</v>
          </cell>
          <cell r="I3228" t="b">
            <v>1</v>
          </cell>
          <cell r="J3228">
            <v>231.32</v>
          </cell>
          <cell r="K3228">
            <v>0</v>
          </cell>
          <cell r="L3228">
            <v>0</v>
          </cell>
        </row>
        <row r="3229">
          <cell r="A3229" t="str">
            <v>02</v>
          </cell>
          <cell r="B3229" t="str">
            <v>21</v>
          </cell>
          <cell r="C3229" t="str">
            <v>02</v>
          </cell>
          <cell r="D3229" t="str">
            <v>2</v>
          </cell>
          <cell r="E3229" t="str">
            <v>0039</v>
          </cell>
          <cell r="F3229" t="str">
            <v>0003</v>
          </cell>
          <cell r="G3229" t="str">
            <v>221010102</v>
          </cell>
          <cell r="H3229" t="str">
            <v>购材料税款</v>
          </cell>
          <cell r="I3229" t="b">
            <v>1</v>
          </cell>
          <cell r="J3229">
            <v>6726.56</v>
          </cell>
          <cell r="K3229">
            <v>0</v>
          </cell>
          <cell r="L3229">
            <v>0</v>
          </cell>
        </row>
        <row r="3230">
          <cell r="A3230" t="str">
            <v>02</v>
          </cell>
          <cell r="B3230" t="str">
            <v>08</v>
          </cell>
          <cell r="C3230" t="str">
            <v>02</v>
          </cell>
          <cell r="D3230" t="str">
            <v>4</v>
          </cell>
          <cell r="E3230" t="str">
            <v>0008</v>
          </cell>
          <cell r="F3230" t="str">
            <v>0004</v>
          </cell>
          <cell r="G3230" t="str">
            <v>221010102</v>
          </cell>
          <cell r="H3230" t="str">
            <v>付税款</v>
          </cell>
          <cell r="I3230" t="b">
            <v>1</v>
          </cell>
          <cell r="J3230">
            <v>992.97</v>
          </cell>
          <cell r="K3230">
            <v>0</v>
          </cell>
          <cell r="L3230">
            <v>0</v>
          </cell>
        </row>
        <row r="3231">
          <cell r="A3231" t="str">
            <v>02</v>
          </cell>
          <cell r="B3231" t="str">
            <v>10</v>
          </cell>
          <cell r="C3231" t="str">
            <v>02</v>
          </cell>
          <cell r="D3231" t="str">
            <v>4</v>
          </cell>
          <cell r="E3231" t="str">
            <v>0009</v>
          </cell>
          <cell r="F3231" t="str">
            <v>0002</v>
          </cell>
          <cell r="G3231" t="str">
            <v>221010102</v>
          </cell>
          <cell r="H3231" t="str">
            <v>购材料税款</v>
          </cell>
          <cell r="I3231" t="b">
            <v>1</v>
          </cell>
          <cell r="J3231">
            <v>5454.63</v>
          </cell>
          <cell r="K3231">
            <v>0</v>
          </cell>
          <cell r="L3231">
            <v>0</v>
          </cell>
        </row>
        <row r="3232">
          <cell r="A3232" t="str">
            <v>02</v>
          </cell>
          <cell r="B3232" t="str">
            <v>14</v>
          </cell>
          <cell r="C3232" t="str">
            <v>02</v>
          </cell>
          <cell r="D3232" t="str">
            <v>4</v>
          </cell>
          <cell r="E3232" t="str">
            <v>0014</v>
          </cell>
          <cell r="F3232" t="str">
            <v>0002</v>
          </cell>
          <cell r="G3232" t="str">
            <v>221010102</v>
          </cell>
          <cell r="H3232" t="str">
            <v>购材料税款</v>
          </cell>
          <cell r="I3232" t="b">
            <v>1</v>
          </cell>
          <cell r="J3232">
            <v>26616.39</v>
          </cell>
          <cell r="K3232">
            <v>0</v>
          </cell>
          <cell r="L3232">
            <v>0</v>
          </cell>
        </row>
        <row r="3233">
          <cell r="A3233" t="str">
            <v>02</v>
          </cell>
          <cell r="B3233" t="str">
            <v>18</v>
          </cell>
          <cell r="C3233" t="str">
            <v>02</v>
          </cell>
          <cell r="D3233" t="str">
            <v>4</v>
          </cell>
          <cell r="E3233" t="str">
            <v>0020</v>
          </cell>
          <cell r="F3233" t="str">
            <v>0002</v>
          </cell>
          <cell r="G3233" t="str">
            <v>221010102</v>
          </cell>
          <cell r="H3233" t="str">
            <v>购材料税款</v>
          </cell>
          <cell r="I3233" t="b">
            <v>1</v>
          </cell>
          <cell r="J3233">
            <v>23922.400000000001</v>
          </cell>
          <cell r="K3233">
            <v>0</v>
          </cell>
          <cell r="L3233">
            <v>0</v>
          </cell>
        </row>
        <row r="3234">
          <cell r="A3234" t="str">
            <v>02</v>
          </cell>
          <cell r="B3234" t="str">
            <v>18</v>
          </cell>
          <cell r="C3234" t="str">
            <v>02</v>
          </cell>
          <cell r="D3234" t="str">
            <v>4</v>
          </cell>
          <cell r="E3234" t="str">
            <v>0021</v>
          </cell>
          <cell r="F3234" t="str">
            <v>0002</v>
          </cell>
          <cell r="G3234" t="str">
            <v>221010102</v>
          </cell>
          <cell r="H3234" t="str">
            <v>购材料税款</v>
          </cell>
          <cell r="I3234" t="b">
            <v>1</v>
          </cell>
          <cell r="J3234">
            <v>39788.980000000003</v>
          </cell>
          <cell r="K3234">
            <v>0</v>
          </cell>
          <cell r="L3234">
            <v>0</v>
          </cell>
        </row>
        <row r="3235">
          <cell r="A3235" t="str">
            <v>02</v>
          </cell>
          <cell r="B3235" t="str">
            <v>20</v>
          </cell>
          <cell r="C3235" t="str">
            <v>02</v>
          </cell>
          <cell r="D3235" t="str">
            <v>4</v>
          </cell>
          <cell r="E3235" t="str">
            <v>0029</v>
          </cell>
          <cell r="F3235" t="str">
            <v>0002</v>
          </cell>
          <cell r="G3235" t="str">
            <v>221010102</v>
          </cell>
          <cell r="H3235" t="str">
            <v>付税款</v>
          </cell>
          <cell r="I3235" t="b">
            <v>1</v>
          </cell>
          <cell r="J3235">
            <v>91.42</v>
          </cell>
          <cell r="K3235">
            <v>0</v>
          </cell>
          <cell r="L3235">
            <v>0</v>
          </cell>
        </row>
        <row r="3236">
          <cell r="A3236" t="str">
            <v>02</v>
          </cell>
          <cell r="B3236" t="str">
            <v>22</v>
          </cell>
          <cell r="C3236" t="str">
            <v>02</v>
          </cell>
          <cell r="D3236" t="str">
            <v>4</v>
          </cell>
          <cell r="E3236" t="str">
            <v>0033</v>
          </cell>
          <cell r="F3236" t="str">
            <v>0003</v>
          </cell>
          <cell r="G3236" t="str">
            <v>221010102</v>
          </cell>
          <cell r="H3236" t="str">
            <v>付水费.电费税款</v>
          </cell>
          <cell r="I3236" t="b">
            <v>1</v>
          </cell>
          <cell r="J3236">
            <v>23207.34</v>
          </cell>
          <cell r="K3236">
            <v>0</v>
          </cell>
          <cell r="L3236">
            <v>0</v>
          </cell>
        </row>
        <row r="3237">
          <cell r="A3237" t="str">
            <v>02</v>
          </cell>
          <cell r="B3237" t="str">
            <v>22</v>
          </cell>
          <cell r="C3237" t="str">
            <v>02</v>
          </cell>
          <cell r="D3237" t="str">
            <v>5</v>
          </cell>
          <cell r="E3237" t="str">
            <v>0010</v>
          </cell>
          <cell r="F3237" t="str">
            <v>0002</v>
          </cell>
          <cell r="G3237" t="str">
            <v>221010102</v>
          </cell>
          <cell r="H3237" t="str">
            <v>转购材料税金</v>
          </cell>
          <cell r="I3237" t="b">
            <v>1</v>
          </cell>
          <cell r="J3237">
            <v>11115.39</v>
          </cell>
          <cell r="K3237">
            <v>0</v>
          </cell>
          <cell r="L3237">
            <v>0</v>
          </cell>
        </row>
        <row r="3238">
          <cell r="A3238" t="str">
            <v>02</v>
          </cell>
          <cell r="B3238" t="str">
            <v>22</v>
          </cell>
          <cell r="C3238" t="str">
            <v>02</v>
          </cell>
          <cell r="D3238" t="str">
            <v>5</v>
          </cell>
          <cell r="E3238" t="str">
            <v>0011</v>
          </cell>
          <cell r="F3238" t="str">
            <v>0002</v>
          </cell>
          <cell r="G3238" t="str">
            <v>221010102</v>
          </cell>
          <cell r="H3238" t="str">
            <v>转购明胶等税金</v>
          </cell>
          <cell r="I3238" t="b">
            <v>1</v>
          </cell>
          <cell r="J3238">
            <v>31820.51</v>
          </cell>
          <cell r="K3238">
            <v>0</v>
          </cell>
          <cell r="L3238">
            <v>0</v>
          </cell>
        </row>
        <row r="3239">
          <cell r="A3239" t="str">
            <v>02</v>
          </cell>
          <cell r="B3239" t="str">
            <v>23</v>
          </cell>
          <cell r="C3239" t="str">
            <v>02</v>
          </cell>
          <cell r="D3239" t="str">
            <v>5</v>
          </cell>
          <cell r="E3239" t="str">
            <v>0013</v>
          </cell>
          <cell r="F3239" t="str">
            <v>0002</v>
          </cell>
          <cell r="G3239" t="str">
            <v>221010102</v>
          </cell>
          <cell r="H3239" t="str">
            <v>转报销配件税金</v>
          </cell>
          <cell r="I3239" t="b">
            <v>1</v>
          </cell>
          <cell r="J3239">
            <v>102.58</v>
          </cell>
          <cell r="K3239">
            <v>0</v>
          </cell>
          <cell r="L3239">
            <v>0</v>
          </cell>
        </row>
        <row r="3240">
          <cell r="A3240" t="str">
            <v>02</v>
          </cell>
          <cell r="B3240" t="str">
            <v>26</v>
          </cell>
          <cell r="C3240" t="str">
            <v>02</v>
          </cell>
          <cell r="D3240" t="str">
            <v>5</v>
          </cell>
          <cell r="E3240" t="str">
            <v>0022</v>
          </cell>
          <cell r="F3240" t="str">
            <v>0002</v>
          </cell>
          <cell r="G3240" t="str">
            <v>221010102</v>
          </cell>
          <cell r="H3240" t="str">
            <v>转购五莲分公司苹果汁税金</v>
          </cell>
          <cell r="I3240" t="b">
            <v>1</v>
          </cell>
          <cell r="J3240">
            <v>904270.98</v>
          </cell>
          <cell r="K3240">
            <v>0</v>
          </cell>
          <cell r="L3240">
            <v>0</v>
          </cell>
        </row>
        <row r="3241">
          <cell r="A3241" t="str">
            <v>02</v>
          </cell>
          <cell r="B3241" t="str">
            <v>26</v>
          </cell>
          <cell r="C3241" t="str">
            <v>02</v>
          </cell>
          <cell r="D3241" t="str">
            <v>5</v>
          </cell>
          <cell r="E3241" t="str">
            <v>0023</v>
          </cell>
          <cell r="F3241" t="str">
            <v>0002</v>
          </cell>
          <cell r="G3241" t="str">
            <v>221010102</v>
          </cell>
          <cell r="H3241" t="str">
            <v>转购卢龙分公司苹果汁税金</v>
          </cell>
          <cell r="I3241" t="b">
            <v>1</v>
          </cell>
          <cell r="J3241">
            <v>652805.73</v>
          </cell>
          <cell r="K3241">
            <v>0</v>
          </cell>
          <cell r="L3241">
            <v>0</v>
          </cell>
        </row>
        <row r="3242">
          <cell r="A3242" t="str">
            <v>02</v>
          </cell>
          <cell r="B3242" t="str">
            <v>29</v>
          </cell>
          <cell r="C3242" t="str">
            <v>02</v>
          </cell>
          <cell r="D3242" t="str">
            <v>5</v>
          </cell>
          <cell r="E3242" t="str">
            <v>0047</v>
          </cell>
          <cell r="F3242" t="str">
            <v>0002</v>
          </cell>
          <cell r="G3242" t="str">
            <v>221010102</v>
          </cell>
          <cell r="H3242" t="str">
            <v>转购尚进果汁1000吨税金</v>
          </cell>
          <cell r="I3242" t="b">
            <v>1</v>
          </cell>
          <cell r="J3242">
            <v>765000</v>
          </cell>
          <cell r="K3242">
            <v>0</v>
          </cell>
          <cell r="L3242">
            <v>0</v>
          </cell>
        </row>
        <row r="3243">
          <cell r="A3243" t="str">
            <v>03</v>
          </cell>
          <cell r="B3243" t="str">
            <v>05</v>
          </cell>
          <cell r="C3243" t="str">
            <v>03</v>
          </cell>
          <cell r="D3243" t="str">
            <v>2</v>
          </cell>
          <cell r="E3243" t="str">
            <v>0003</v>
          </cell>
          <cell r="F3243" t="str">
            <v>0003</v>
          </cell>
          <cell r="G3243" t="str">
            <v>221010102</v>
          </cell>
          <cell r="H3243" t="str">
            <v>购材料税款</v>
          </cell>
          <cell r="I3243" t="b">
            <v>1</v>
          </cell>
          <cell r="J3243">
            <v>1038.3</v>
          </cell>
          <cell r="K3243">
            <v>0</v>
          </cell>
          <cell r="L3243">
            <v>0</v>
          </cell>
        </row>
        <row r="3244">
          <cell r="A3244" t="str">
            <v>03</v>
          </cell>
          <cell r="B3244" t="str">
            <v>02</v>
          </cell>
          <cell r="C3244" t="str">
            <v>03</v>
          </cell>
          <cell r="D3244" t="str">
            <v>4</v>
          </cell>
          <cell r="E3244" t="str">
            <v>0003</v>
          </cell>
          <cell r="F3244" t="str">
            <v>0003</v>
          </cell>
          <cell r="G3244" t="str">
            <v>221010102</v>
          </cell>
          <cell r="H3244" t="str">
            <v>付材料税金</v>
          </cell>
          <cell r="I3244" t="b">
            <v>1</v>
          </cell>
          <cell r="J3244">
            <v>1009.22</v>
          </cell>
          <cell r="K3244">
            <v>0</v>
          </cell>
          <cell r="L3244">
            <v>0</v>
          </cell>
        </row>
        <row r="3245">
          <cell r="A3245" t="str">
            <v>03</v>
          </cell>
          <cell r="B3245" t="str">
            <v>10</v>
          </cell>
          <cell r="C3245" t="str">
            <v>03</v>
          </cell>
          <cell r="D3245" t="str">
            <v>4</v>
          </cell>
          <cell r="E3245" t="str">
            <v>0011</v>
          </cell>
          <cell r="F3245" t="str">
            <v>0003</v>
          </cell>
          <cell r="G3245" t="str">
            <v>221010102</v>
          </cell>
          <cell r="H3245" t="str">
            <v>付材料税金</v>
          </cell>
          <cell r="I3245" t="b">
            <v>1</v>
          </cell>
          <cell r="J3245">
            <v>30783.09</v>
          </cell>
          <cell r="K3245">
            <v>0</v>
          </cell>
          <cell r="L3245">
            <v>0</v>
          </cell>
        </row>
        <row r="3246">
          <cell r="A3246" t="str">
            <v>03</v>
          </cell>
          <cell r="B3246" t="str">
            <v>10</v>
          </cell>
          <cell r="C3246" t="str">
            <v>03</v>
          </cell>
          <cell r="D3246" t="str">
            <v>4</v>
          </cell>
          <cell r="E3246" t="str">
            <v>0012</v>
          </cell>
          <cell r="F3246" t="str">
            <v>0003</v>
          </cell>
          <cell r="G3246" t="str">
            <v>221010102</v>
          </cell>
          <cell r="H3246" t="str">
            <v>付材料税金</v>
          </cell>
          <cell r="I3246" t="b">
            <v>1</v>
          </cell>
          <cell r="J3246">
            <v>3840.14</v>
          </cell>
          <cell r="K3246">
            <v>0</v>
          </cell>
          <cell r="L3246">
            <v>0</v>
          </cell>
        </row>
        <row r="3247">
          <cell r="A3247" t="str">
            <v>03</v>
          </cell>
          <cell r="B3247" t="str">
            <v>13</v>
          </cell>
          <cell r="C3247" t="str">
            <v>03</v>
          </cell>
          <cell r="D3247" t="str">
            <v>4</v>
          </cell>
          <cell r="E3247" t="str">
            <v>0015</v>
          </cell>
          <cell r="F3247" t="str">
            <v>0003</v>
          </cell>
          <cell r="G3247" t="str">
            <v>221010102</v>
          </cell>
          <cell r="H3247" t="str">
            <v>付材料税金</v>
          </cell>
          <cell r="I3247" t="b">
            <v>1</v>
          </cell>
          <cell r="J3247">
            <v>29120.85</v>
          </cell>
          <cell r="K3247">
            <v>0</v>
          </cell>
          <cell r="L3247">
            <v>0</v>
          </cell>
        </row>
        <row r="3248">
          <cell r="A3248" t="str">
            <v>03</v>
          </cell>
          <cell r="B3248" t="str">
            <v>14</v>
          </cell>
          <cell r="C3248" t="str">
            <v>03</v>
          </cell>
          <cell r="D3248" t="str">
            <v>4</v>
          </cell>
          <cell r="E3248" t="str">
            <v>0019</v>
          </cell>
          <cell r="F3248" t="str">
            <v>0005</v>
          </cell>
          <cell r="G3248" t="str">
            <v>221010102</v>
          </cell>
          <cell r="H3248" t="str">
            <v>付材料税金</v>
          </cell>
          <cell r="I3248" t="b">
            <v>1</v>
          </cell>
          <cell r="J3248">
            <v>1225.5999999999999</v>
          </cell>
          <cell r="K3248">
            <v>0</v>
          </cell>
          <cell r="L3248">
            <v>0</v>
          </cell>
        </row>
        <row r="3249">
          <cell r="A3249" t="str">
            <v>03</v>
          </cell>
          <cell r="B3249" t="str">
            <v>16</v>
          </cell>
          <cell r="C3249" t="str">
            <v>03</v>
          </cell>
          <cell r="D3249" t="str">
            <v>4</v>
          </cell>
          <cell r="E3249" t="str">
            <v>0021</v>
          </cell>
          <cell r="F3249" t="str">
            <v>0002</v>
          </cell>
          <cell r="G3249" t="str">
            <v>221010102</v>
          </cell>
          <cell r="H3249" t="str">
            <v>付电费17%税金</v>
          </cell>
          <cell r="I3249" t="b">
            <v>1</v>
          </cell>
          <cell r="J3249">
            <v>4525.46</v>
          </cell>
          <cell r="K3249">
            <v>0</v>
          </cell>
          <cell r="L3249">
            <v>0</v>
          </cell>
        </row>
        <row r="3250">
          <cell r="A3250" t="str">
            <v>03</v>
          </cell>
          <cell r="B3250" t="str">
            <v>18</v>
          </cell>
          <cell r="C3250" t="str">
            <v>03</v>
          </cell>
          <cell r="D3250" t="str">
            <v>4</v>
          </cell>
          <cell r="E3250" t="str">
            <v>0027</v>
          </cell>
          <cell r="F3250" t="str">
            <v>0004</v>
          </cell>
          <cell r="G3250" t="str">
            <v>221010102</v>
          </cell>
          <cell r="H3250" t="str">
            <v>付银行存款</v>
          </cell>
          <cell r="I3250" t="b">
            <v>1</v>
          </cell>
          <cell r="J3250">
            <v>3500.44</v>
          </cell>
          <cell r="K3250">
            <v>0</v>
          </cell>
          <cell r="L3250">
            <v>0</v>
          </cell>
        </row>
        <row r="3251">
          <cell r="A3251" t="str">
            <v>03</v>
          </cell>
          <cell r="B3251" t="str">
            <v>27</v>
          </cell>
          <cell r="C3251" t="str">
            <v>03</v>
          </cell>
          <cell r="D3251" t="str">
            <v>5</v>
          </cell>
          <cell r="E3251" t="str">
            <v>0007</v>
          </cell>
          <cell r="F3251" t="str">
            <v>0002</v>
          </cell>
          <cell r="G3251" t="str">
            <v>221010102</v>
          </cell>
          <cell r="H3251" t="str">
            <v>转购明胶税金</v>
          </cell>
          <cell r="I3251" t="b">
            <v>1</v>
          </cell>
          <cell r="J3251">
            <v>17581.189999999999</v>
          </cell>
          <cell r="K3251">
            <v>0</v>
          </cell>
          <cell r="L3251">
            <v>0</v>
          </cell>
        </row>
        <row r="3252">
          <cell r="A3252" t="str">
            <v>03</v>
          </cell>
          <cell r="B3252" t="str">
            <v>27</v>
          </cell>
          <cell r="C3252" t="str">
            <v>03</v>
          </cell>
          <cell r="D3252" t="str">
            <v>5</v>
          </cell>
          <cell r="E3252" t="str">
            <v>0008</v>
          </cell>
          <cell r="F3252" t="str">
            <v>0002</v>
          </cell>
          <cell r="G3252" t="str">
            <v>221010102</v>
          </cell>
          <cell r="H3252" t="str">
            <v>转购硅溶胶.硅藻土税金</v>
          </cell>
          <cell r="I3252" t="b">
            <v>1</v>
          </cell>
          <cell r="J3252">
            <v>37094.89</v>
          </cell>
          <cell r="K3252">
            <v>0</v>
          </cell>
          <cell r="L3252">
            <v>0</v>
          </cell>
        </row>
        <row r="3253">
          <cell r="A3253" t="str">
            <v>04</v>
          </cell>
          <cell r="B3253" t="str">
            <v>20</v>
          </cell>
          <cell r="C3253" t="str">
            <v>04</v>
          </cell>
          <cell r="D3253" t="str">
            <v>2</v>
          </cell>
          <cell r="E3253" t="str">
            <v>0011</v>
          </cell>
          <cell r="F3253" t="str">
            <v>0003</v>
          </cell>
          <cell r="G3253" t="str">
            <v>221010102</v>
          </cell>
          <cell r="H3253" t="str">
            <v>购材料税款</v>
          </cell>
          <cell r="I3253" t="b">
            <v>1</v>
          </cell>
          <cell r="J3253">
            <v>2474.89</v>
          </cell>
          <cell r="K3253">
            <v>0</v>
          </cell>
          <cell r="L3253">
            <v>0</v>
          </cell>
        </row>
        <row r="3254">
          <cell r="A3254" t="str">
            <v>04</v>
          </cell>
          <cell r="B3254" t="str">
            <v>12</v>
          </cell>
          <cell r="C3254" t="str">
            <v>04</v>
          </cell>
          <cell r="D3254" t="str">
            <v>4</v>
          </cell>
          <cell r="E3254" t="str">
            <v>0010</v>
          </cell>
          <cell r="F3254" t="str">
            <v>0003</v>
          </cell>
          <cell r="G3254" t="str">
            <v>221010102</v>
          </cell>
          <cell r="H3254" t="str">
            <v>购材料税款</v>
          </cell>
          <cell r="I3254" t="b">
            <v>1</v>
          </cell>
          <cell r="J3254">
            <v>36126.68</v>
          </cell>
          <cell r="K3254">
            <v>0</v>
          </cell>
          <cell r="L3254">
            <v>0</v>
          </cell>
        </row>
        <row r="3255">
          <cell r="A3255" t="str">
            <v>04</v>
          </cell>
          <cell r="B3255" t="str">
            <v>20</v>
          </cell>
          <cell r="C3255" t="str">
            <v>04</v>
          </cell>
          <cell r="D3255" t="str">
            <v>5</v>
          </cell>
          <cell r="E3255" t="str">
            <v>0003</v>
          </cell>
          <cell r="F3255" t="str">
            <v>0002</v>
          </cell>
          <cell r="G3255" t="str">
            <v>221010102</v>
          </cell>
          <cell r="H3255" t="str">
            <v>转购五莲果汁111.094吨税金</v>
          </cell>
          <cell r="I3255" t="b">
            <v>1</v>
          </cell>
          <cell r="J3255">
            <v>72638.37</v>
          </cell>
          <cell r="K3255">
            <v>0</v>
          </cell>
          <cell r="L3255">
            <v>0</v>
          </cell>
        </row>
        <row r="3256">
          <cell r="A3256" t="str">
            <v>04</v>
          </cell>
          <cell r="B3256" t="str">
            <v>26</v>
          </cell>
          <cell r="C3256" t="str">
            <v>04</v>
          </cell>
          <cell r="D3256" t="str">
            <v>5</v>
          </cell>
          <cell r="E3256" t="str">
            <v>0029</v>
          </cell>
          <cell r="F3256" t="str">
            <v>0002</v>
          </cell>
          <cell r="G3256" t="str">
            <v>221010102</v>
          </cell>
          <cell r="H3256" t="str">
            <v>转购苹果浓汁税款</v>
          </cell>
          <cell r="I3256" t="b">
            <v>1</v>
          </cell>
          <cell r="J3256">
            <v>124195.8</v>
          </cell>
          <cell r="K3256">
            <v>0</v>
          </cell>
          <cell r="L3256">
            <v>0</v>
          </cell>
        </row>
        <row r="3257">
          <cell r="A3257" t="str">
            <v>05</v>
          </cell>
          <cell r="B3257" t="str">
            <v>12</v>
          </cell>
          <cell r="C3257" t="str">
            <v>05</v>
          </cell>
          <cell r="D3257" t="str">
            <v>2</v>
          </cell>
          <cell r="E3257" t="str">
            <v>0004</v>
          </cell>
          <cell r="F3257" t="str">
            <v>0003</v>
          </cell>
          <cell r="G3257" t="str">
            <v>221010102</v>
          </cell>
          <cell r="H3257" t="str">
            <v>购填料税款</v>
          </cell>
          <cell r="I3257" t="b">
            <v>1</v>
          </cell>
          <cell r="J3257">
            <v>312.39</v>
          </cell>
          <cell r="K3257">
            <v>0</v>
          </cell>
          <cell r="L3257">
            <v>0</v>
          </cell>
        </row>
        <row r="3258">
          <cell r="A3258" t="str">
            <v>05</v>
          </cell>
          <cell r="B3258" t="str">
            <v>21</v>
          </cell>
          <cell r="C3258" t="str">
            <v>05</v>
          </cell>
          <cell r="D3258" t="str">
            <v>2</v>
          </cell>
          <cell r="E3258" t="str">
            <v>0016</v>
          </cell>
          <cell r="F3258" t="str">
            <v>0003</v>
          </cell>
          <cell r="G3258" t="str">
            <v>221010102</v>
          </cell>
          <cell r="H3258" t="str">
            <v>购材料税款</v>
          </cell>
          <cell r="I3258" t="b">
            <v>1</v>
          </cell>
          <cell r="J3258">
            <v>1050.02</v>
          </cell>
          <cell r="K3258">
            <v>0</v>
          </cell>
          <cell r="L3258">
            <v>0</v>
          </cell>
        </row>
        <row r="3259">
          <cell r="A3259" t="str">
            <v>05</v>
          </cell>
          <cell r="B3259" t="str">
            <v>24</v>
          </cell>
          <cell r="C3259" t="str">
            <v>05</v>
          </cell>
          <cell r="D3259" t="str">
            <v>2</v>
          </cell>
          <cell r="E3259" t="str">
            <v>0018</v>
          </cell>
          <cell r="F3259" t="str">
            <v>0004</v>
          </cell>
          <cell r="G3259" t="str">
            <v>221010102</v>
          </cell>
          <cell r="H3259" t="str">
            <v>付税款</v>
          </cell>
          <cell r="I3259" t="b">
            <v>1</v>
          </cell>
          <cell r="J3259">
            <v>219.26</v>
          </cell>
          <cell r="K3259">
            <v>0</v>
          </cell>
          <cell r="L3259">
            <v>0</v>
          </cell>
        </row>
        <row r="3260">
          <cell r="A3260" t="str">
            <v>05</v>
          </cell>
          <cell r="B3260" t="str">
            <v>15</v>
          </cell>
          <cell r="C3260" t="str">
            <v>05</v>
          </cell>
          <cell r="D3260" t="str">
            <v>4</v>
          </cell>
          <cell r="E3260" t="str">
            <v>0010</v>
          </cell>
          <cell r="F3260" t="str">
            <v>0003</v>
          </cell>
          <cell r="G3260" t="str">
            <v>221010102</v>
          </cell>
          <cell r="H3260" t="str">
            <v>购油款税款</v>
          </cell>
          <cell r="I3260" t="b">
            <v>1</v>
          </cell>
          <cell r="J3260">
            <v>169.45</v>
          </cell>
          <cell r="K3260">
            <v>0</v>
          </cell>
          <cell r="L3260">
            <v>0</v>
          </cell>
        </row>
        <row r="3261">
          <cell r="A3261" t="str">
            <v>05</v>
          </cell>
          <cell r="B3261" t="str">
            <v>15</v>
          </cell>
          <cell r="C3261" t="str">
            <v>05</v>
          </cell>
          <cell r="D3261" t="str">
            <v>4</v>
          </cell>
          <cell r="E3261" t="str">
            <v>0011</v>
          </cell>
          <cell r="F3261" t="str">
            <v>0003</v>
          </cell>
          <cell r="G3261" t="str">
            <v>221010102</v>
          </cell>
          <cell r="H3261" t="str">
            <v>购材料税款</v>
          </cell>
          <cell r="I3261" t="b">
            <v>1</v>
          </cell>
          <cell r="J3261">
            <v>17677.22</v>
          </cell>
          <cell r="K3261">
            <v>0</v>
          </cell>
          <cell r="L3261">
            <v>0</v>
          </cell>
        </row>
        <row r="3262">
          <cell r="A3262" t="str">
            <v>05</v>
          </cell>
          <cell r="B3262" t="str">
            <v>16</v>
          </cell>
          <cell r="C3262" t="str">
            <v>05</v>
          </cell>
          <cell r="D3262" t="str">
            <v>4</v>
          </cell>
          <cell r="E3262" t="str">
            <v>0012</v>
          </cell>
          <cell r="F3262" t="str">
            <v>0003</v>
          </cell>
          <cell r="G3262" t="str">
            <v>221010102</v>
          </cell>
          <cell r="H3262" t="str">
            <v>付电费.水费税款</v>
          </cell>
          <cell r="I3262" t="b">
            <v>1</v>
          </cell>
          <cell r="J3262">
            <v>5680.4</v>
          </cell>
          <cell r="K3262">
            <v>0</v>
          </cell>
          <cell r="L3262">
            <v>0</v>
          </cell>
        </row>
        <row r="3263">
          <cell r="A3263" t="str">
            <v>05</v>
          </cell>
          <cell r="B3263" t="str">
            <v>18</v>
          </cell>
          <cell r="C3263" t="str">
            <v>05</v>
          </cell>
          <cell r="D3263" t="str">
            <v>4</v>
          </cell>
          <cell r="E3263" t="str">
            <v>0017</v>
          </cell>
          <cell r="F3263" t="str">
            <v>0003</v>
          </cell>
          <cell r="G3263" t="str">
            <v>221010102</v>
          </cell>
          <cell r="H3263" t="str">
            <v>付电费税款</v>
          </cell>
          <cell r="I3263" t="b">
            <v>1</v>
          </cell>
          <cell r="J3263">
            <v>4694.13</v>
          </cell>
          <cell r="K3263">
            <v>0</v>
          </cell>
          <cell r="L3263">
            <v>0</v>
          </cell>
        </row>
        <row r="3264">
          <cell r="A3264" t="str">
            <v>05</v>
          </cell>
          <cell r="B3264" t="str">
            <v>18</v>
          </cell>
          <cell r="C3264" t="str">
            <v>05</v>
          </cell>
          <cell r="D3264" t="str">
            <v>4</v>
          </cell>
          <cell r="E3264" t="str">
            <v>0018</v>
          </cell>
          <cell r="F3264" t="str">
            <v>0003</v>
          </cell>
          <cell r="G3264" t="str">
            <v>221010102</v>
          </cell>
          <cell r="H3264" t="str">
            <v>购材料税款</v>
          </cell>
          <cell r="I3264" t="b">
            <v>1</v>
          </cell>
          <cell r="J3264">
            <v>8970.48</v>
          </cell>
          <cell r="K3264">
            <v>0</v>
          </cell>
          <cell r="L3264">
            <v>0</v>
          </cell>
        </row>
        <row r="3265">
          <cell r="A3265" t="str">
            <v>05</v>
          </cell>
          <cell r="B3265" t="str">
            <v>25</v>
          </cell>
          <cell r="C3265" t="str">
            <v>05</v>
          </cell>
          <cell r="D3265" t="str">
            <v>4</v>
          </cell>
          <cell r="E3265" t="str">
            <v>0028</v>
          </cell>
          <cell r="F3265" t="str">
            <v>0003</v>
          </cell>
          <cell r="G3265" t="str">
            <v>221010102</v>
          </cell>
          <cell r="H3265" t="str">
            <v>购材料税款</v>
          </cell>
          <cell r="I3265" t="b">
            <v>1</v>
          </cell>
          <cell r="J3265">
            <v>1645.6</v>
          </cell>
          <cell r="K3265">
            <v>0</v>
          </cell>
          <cell r="L3265">
            <v>0</v>
          </cell>
        </row>
        <row r="3266">
          <cell r="A3266" t="str">
            <v>05</v>
          </cell>
          <cell r="B3266" t="str">
            <v>25</v>
          </cell>
          <cell r="C3266" t="str">
            <v>05</v>
          </cell>
          <cell r="D3266" t="str">
            <v>5</v>
          </cell>
          <cell r="E3266" t="str">
            <v>0009</v>
          </cell>
          <cell r="F3266" t="str">
            <v>0003</v>
          </cell>
          <cell r="G3266" t="str">
            <v>221010102</v>
          </cell>
          <cell r="H3266" t="str">
            <v>转购材料税金</v>
          </cell>
          <cell r="I3266" t="b">
            <v>1</v>
          </cell>
          <cell r="J3266">
            <v>310.94</v>
          </cell>
          <cell r="K3266">
            <v>0</v>
          </cell>
          <cell r="L3266">
            <v>0</v>
          </cell>
        </row>
        <row r="3267">
          <cell r="A3267" t="str">
            <v>05</v>
          </cell>
          <cell r="B3267" t="str">
            <v>26</v>
          </cell>
          <cell r="C3267" t="str">
            <v>05</v>
          </cell>
          <cell r="D3267" t="str">
            <v>5</v>
          </cell>
          <cell r="E3267" t="str">
            <v>0017</v>
          </cell>
          <cell r="F3267" t="str">
            <v>0002</v>
          </cell>
          <cell r="G3267" t="str">
            <v>221010102</v>
          </cell>
          <cell r="H3267" t="str">
            <v>转购尚进果汁1899.5吨税金</v>
          </cell>
          <cell r="I3267" t="b">
            <v>1</v>
          </cell>
          <cell r="J3267">
            <v>1453117.5</v>
          </cell>
          <cell r="K3267">
            <v>0</v>
          </cell>
          <cell r="L3267">
            <v>0</v>
          </cell>
        </row>
        <row r="3268">
          <cell r="A3268" t="str">
            <v>05</v>
          </cell>
          <cell r="B3268" t="str">
            <v>29</v>
          </cell>
          <cell r="C3268" t="str">
            <v>05</v>
          </cell>
          <cell r="D3268" t="str">
            <v>5</v>
          </cell>
          <cell r="E3268" t="str">
            <v>0032</v>
          </cell>
          <cell r="F3268" t="str">
            <v>0003</v>
          </cell>
          <cell r="G3268" t="str">
            <v>221010102</v>
          </cell>
          <cell r="H3268" t="str">
            <v>转购铁桶559个税金</v>
          </cell>
          <cell r="I3268" t="b">
            <v>1</v>
          </cell>
          <cell r="J3268">
            <v>11289.89</v>
          </cell>
          <cell r="K3268">
            <v>0</v>
          </cell>
          <cell r="L3268">
            <v>0</v>
          </cell>
        </row>
        <row r="3269">
          <cell r="A3269" t="str">
            <v>06</v>
          </cell>
          <cell r="B3269" t="str">
            <v>05</v>
          </cell>
          <cell r="C3269" t="str">
            <v>06</v>
          </cell>
          <cell r="D3269" t="str">
            <v>2</v>
          </cell>
          <cell r="E3269" t="str">
            <v>0004</v>
          </cell>
          <cell r="F3269" t="str">
            <v>0004</v>
          </cell>
          <cell r="G3269" t="str">
            <v>221010102</v>
          </cell>
          <cell r="H3269" t="str">
            <v>付税款</v>
          </cell>
          <cell r="I3269" t="b">
            <v>1</v>
          </cell>
          <cell r="J3269">
            <v>201.67</v>
          </cell>
          <cell r="K3269">
            <v>0</v>
          </cell>
          <cell r="L3269">
            <v>0</v>
          </cell>
        </row>
        <row r="3270">
          <cell r="A3270" t="str">
            <v>06</v>
          </cell>
          <cell r="B3270" t="str">
            <v>10</v>
          </cell>
          <cell r="C3270" t="str">
            <v>06</v>
          </cell>
          <cell r="D3270" t="str">
            <v>2</v>
          </cell>
          <cell r="E3270" t="str">
            <v>0009</v>
          </cell>
          <cell r="F3270" t="str">
            <v>0003</v>
          </cell>
          <cell r="G3270" t="str">
            <v>221010102</v>
          </cell>
          <cell r="H3270" t="str">
            <v>购材料税款</v>
          </cell>
          <cell r="I3270" t="b">
            <v>1</v>
          </cell>
          <cell r="J3270">
            <v>30.66</v>
          </cell>
          <cell r="K3270">
            <v>0</v>
          </cell>
          <cell r="L3270">
            <v>0</v>
          </cell>
        </row>
        <row r="3271">
          <cell r="A3271" t="str">
            <v>06</v>
          </cell>
          <cell r="B3271" t="str">
            <v>15</v>
          </cell>
          <cell r="C3271" t="str">
            <v>06</v>
          </cell>
          <cell r="D3271" t="str">
            <v>4</v>
          </cell>
          <cell r="E3271" t="str">
            <v>0004</v>
          </cell>
          <cell r="F3271" t="str">
            <v>0003</v>
          </cell>
          <cell r="G3271" t="str">
            <v>221010102</v>
          </cell>
          <cell r="H3271" t="str">
            <v>购材料税款</v>
          </cell>
          <cell r="I3271" t="b">
            <v>1</v>
          </cell>
          <cell r="J3271">
            <v>11890.77</v>
          </cell>
          <cell r="K3271">
            <v>0</v>
          </cell>
          <cell r="L3271">
            <v>0</v>
          </cell>
        </row>
        <row r="3272">
          <cell r="A3272" t="str">
            <v>07</v>
          </cell>
          <cell r="B3272" t="str">
            <v>15</v>
          </cell>
          <cell r="C3272" t="str">
            <v>07</v>
          </cell>
          <cell r="D3272" t="str">
            <v>2</v>
          </cell>
          <cell r="E3272" t="str">
            <v>0010</v>
          </cell>
          <cell r="F3272" t="str">
            <v>0003</v>
          </cell>
          <cell r="G3272" t="str">
            <v>221010102</v>
          </cell>
          <cell r="H3272" t="str">
            <v>购材料税款</v>
          </cell>
          <cell r="I3272" t="b">
            <v>1</v>
          </cell>
          <cell r="J3272">
            <v>1335.94</v>
          </cell>
          <cell r="K3272">
            <v>0</v>
          </cell>
          <cell r="L3272">
            <v>0</v>
          </cell>
        </row>
        <row r="3273">
          <cell r="A3273" t="str">
            <v>07</v>
          </cell>
          <cell r="B3273" t="str">
            <v>21</v>
          </cell>
          <cell r="C3273" t="str">
            <v>07</v>
          </cell>
          <cell r="D3273" t="str">
            <v>2</v>
          </cell>
          <cell r="E3273" t="str">
            <v>0020</v>
          </cell>
          <cell r="F3273" t="str">
            <v>0003</v>
          </cell>
          <cell r="G3273" t="str">
            <v>221010102</v>
          </cell>
          <cell r="H3273" t="str">
            <v>购材料税款</v>
          </cell>
          <cell r="I3273" t="b">
            <v>1</v>
          </cell>
          <cell r="J3273">
            <v>649.48</v>
          </cell>
          <cell r="K3273">
            <v>0</v>
          </cell>
          <cell r="L3273">
            <v>0</v>
          </cell>
        </row>
        <row r="3274">
          <cell r="A3274" t="str">
            <v>07</v>
          </cell>
          <cell r="B3274" t="str">
            <v>15</v>
          </cell>
          <cell r="C3274" t="str">
            <v>07</v>
          </cell>
          <cell r="D3274" t="str">
            <v>4</v>
          </cell>
          <cell r="E3274" t="str">
            <v>0012</v>
          </cell>
          <cell r="F3274" t="str">
            <v>0003</v>
          </cell>
          <cell r="G3274" t="str">
            <v>221010102</v>
          </cell>
          <cell r="H3274" t="str">
            <v>付电费.水费税款</v>
          </cell>
          <cell r="I3274" t="b">
            <v>1</v>
          </cell>
          <cell r="J3274">
            <v>6136.43</v>
          </cell>
          <cell r="K3274">
            <v>0</v>
          </cell>
          <cell r="L3274">
            <v>0</v>
          </cell>
        </row>
        <row r="3275">
          <cell r="A3275" t="str">
            <v>07</v>
          </cell>
          <cell r="B3275" t="str">
            <v>19</v>
          </cell>
          <cell r="C3275" t="str">
            <v>07</v>
          </cell>
          <cell r="D3275" t="str">
            <v>4</v>
          </cell>
          <cell r="E3275" t="str">
            <v>0018</v>
          </cell>
          <cell r="F3275" t="str">
            <v>0003</v>
          </cell>
          <cell r="G3275" t="str">
            <v>221010102</v>
          </cell>
          <cell r="H3275" t="str">
            <v>购材料税款</v>
          </cell>
          <cell r="I3275" t="b">
            <v>1</v>
          </cell>
          <cell r="J3275">
            <v>6585.84</v>
          </cell>
          <cell r="K3275">
            <v>0</v>
          </cell>
          <cell r="L3275">
            <v>0</v>
          </cell>
        </row>
        <row r="3276">
          <cell r="A3276" t="str">
            <v>07</v>
          </cell>
          <cell r="B3276" t="str">
            <v>19</v>
          </cell>
          <cell r="C3276" t="str">
            <v>07</v>
          </cell>
          <cell r="D3276" t="str">
            <v>4</v>
          </cell>
          <cell r="E3276" t="str">
            <v>0020</v>
          </cell>
          <cell r="F3276" t="str">
            <v>0003</v>
          </cell>
          <cell r="G3276" t="str">
            <v>221010102</v>
          </cell>
          <cell r="H3276" t="str">
            <v>购材料税款</v>
          </cell>
          <cell r="I3276" t="b">
            <v>1</v>
          </cell>
          <cell r="J3276">
            <v>10303.84</v>
          </cell>
          <cell r="K3276">
            <v>0</v>
          </cell>
          <cell r="L3276">
            <v>0</v>
          </cell>
        </row>
        <row r="3277">
          <cell r="A3277" t="str">
            <v>07</v>
          </cell>
          <cell r="B3277" t="str">
            <v>25</v>
          </cell>
          <cell r="C3277" t="str">
            <v>07</v>
          </cell>
          <cell r="D3277" t="str">
            <v>5</v>
          </cell>
          <cell r="E3277" t="str">
            <v>0014</v>
          </cell>
          <cell r="F3277" t="str">
            <v>0002</v>
          </cell>
          <cell r="G3277" t="str">
            <v>221010102</v>
          </cell>
          <cell r="H3277" t="str">
            <v>转化验室用易耗品税金</v>
          </cell>
          <cell r="I3277" t="b">
            <v>1</v>
          </cell>
          <cell r="J3277">
            <v>1237.22</v>
          </cell>
          <cell r="K3277">
            <v>0</v>
          </cell>
          <cell r="L3277">
            <v>0</v>
          </cell>
        </row>
        <row r="3278">
          <cell r="A3278" t="str">
            <v>07</v>
          </cell>
          <cell r="B3278" t="str">
            <v>25</v>
          </cell>
          <cell r="C3278" t="str">
            <v>07</v>
          </cell>
          <cell r="D3278" t="str">
            <v>5</v>
          </cell>
          <cell r="E3278" t="str">
            <v>0015</v>
          </cell>
          <cell r="F3278" t="str">
            <v>0002</v>
          </cell>
          <cell r="G3278" t="str">
            <v>221010102</v>
          </cell>
          <cell r="H3278" t="str">
            <v>转购材料税金</v>
          </cell>
          <cell r="I3278" t="b">
            <v>1</v>
          </cell>
          <cell r="J3278">
            <v>4320.33</v>
          </cell>
          <cell r="K3278">
            <v>0</v>
          </cell>
          <cell r="L3278">
            <v>0</v>
          </cell>
        </row>
        <row r="3279">
          <cell r="A3279" t="str">
            <v>07</v>
          </cell>
          <cell r="B3279" t="str">
            <v>25</v>
          </cell>
          <cell r="C3279" t="str">
            <v>07</v>
          </cell>
          <cell r="D3279" t="str">
            <v>5</v>
          </cell>
          <cell r="E3279" t="str">
            <v>0018</v>
          </cell>
          <cell r="F3279" t="str">
            <v>0003</v>
          </cell>
          <cell r="G3279" t="str">
            <v>221010102</v>
          </cell>
          <cell r="H3279" t="str">
            <v>转购材料税金</v>
          </cell>
          <cell r="I3279" t="b">
            <v>1</v>
          </cell>
          <cell r="J3279">
            <v>81.37</v>
          </cell>
          <cell r="K3279">
            <v>0</v>
          </cell>
          <cell r="L3279">
            <v>0</v>
          </cell>
        </row>
        <row r="3280">
          <cell r="A3280" t="str">
            <v>07</v>
          </cell>
          <cell r="B3280" t="str">
            <v>27</v>
          </cell>
          <cell r="C3280" t="str">
            <v>07</v>
          </cell>
          <cell r="D3280" t="str">
            <v>5</v>
          </cell>
          <cell r="E3280" t="str">
            <v>0027</v>
          </cell>
          <cell r="F3280" t="str">
            <v>0002</v>
          </cell>
          <cell r="G3280" t="str">
            <v>221010102</v>
          </cell>
          <cell r="H3280" t="str">
            <v>转购尚进果汁374.387吨税金</v>
          </cell>
          <cell r="I3280" t="b">
            <v>1</v>
          </cell>
          <cell r="J3280">
            <v>245011.41</v>
          </cell>
          <cell r="K3280">
            <v>0</v>
          </cell>
          <cell r="L3280">
            <v>0</v>
          </cell>
        </row>
        <row r="3281">
          <cell r="A3281" t="str">
            <v>08</v>
          </cell>
          <cell r="B3281" t="str">
            <v>05</v>
          </cell>
          <cell r="C3281" t="str">
            <v>08</v>
          </cell>
          <cell r="D3281" t="str">
            <v>2</v>
          </cell>
          <cell r="E3281" t="str">
            <v>0009</v>
          </cell>
          <cell r="F3281" t="str">
            <v>0002</v>
          </cell>
          <cell r="G3281" t="str">
            <v>221010102</v>
          </cell>
          <cell r="H3281" t="str">
            <v>购材料税款</v>
          </cell>
          <cell r="I3281" t="b">
            <v>1</v>
          </cell>
          <cell r="J3281">
            <v>4475.21</v>
          </cell>
          <cell r="K3281">
            <v>0</v>
          </cell>
          <cell r="L3281">
            <v>0</v>
          </cell>
        </row>
        <row r="3282">
          <cell r="A3282" t="str">
            <v>08</v>
          </cell>
          <cell r="B3282" t="str">
            <v>15</v>
          </cell>
          <cell r="C3282" t="str">
            <v>08</v>
          </cell>
          <cell r="D3282" t="str">
            <v>2</v>
          </cell>
          <cell r="E3282" t="str">
            <v>0017</v>
          </cell>
          <cell r="F3282" t="str">
            <v>0003</v>
          </cell>
          <cell r="G3282" t="str">
            <v>221010102</v>
          </cell>
          <cell r="H3282" t="str">
            <v>购材料税款</v>
          </cell>
          <cell r="I3282" t="b">
            <v>1</v>
          </cell>
          <cell r="J3282">
            <v>39.229999999999997</v>
          </cell>
          <cell r="K3282">
            <v>0</v>
          </cell>
          <cell r="L3282">
            <v>0</v>
          </cell>
        </row>
        <row r="3283">
          <cell r="A3283" t="str">
            <v>08</v>
          </cell>
          <cell r="B3283" t="str">
            <v>06</v>
          </cell>
          <cell r="C3283" t="str">
            <v>08</v>
          </cell>
          <cell r="D3283" t="str">
            <v>4</v>
          </cell>
          <cell r="E3283" t="str">
            <v>0010</v>
          </cell>
          <cell r="F3283" t="str">
            <v>0002</v>
          </cell>
          <cell r="G3283" t="str">
            <v>221010102</v>
          </cell>
          <cell r="H3283" t="str">
            <v>付税款</v>
          </cell>
          <cell r="I3283" t="b">
            <v>1</v>
          </cell>
          <cell r="J3283">
            <v>3240.17</v>
          </cell>
          <cell r="K3283">
            <v>0</v>
          </cell>
          <cell r="L3283">
            <v>0</v>
          </cell>
        </row>
        <row r="3284">
          <cell r="A3284" t="str">
            <v>08</v>
          </cell>
          <cell r="B3284" t="str">
            <v>08</v>
          </cell>
          <cell r="C3284" t="str">
            <v>08</v>
          </cell>
          <cell r="D3284" t="str">
            <v>4</v>
          </cell>
          <cell r="E3284" t="str">
            <v>0014</v>
          </cell>
          <cell r="F3284" t="str">
            <v>0003</v>
          </cell>
          <cell r="G3284" t="str">
            <v>221010102</v>
          </cell>
          <cell r="H3284" t="str">
            <v>购材料税款</v>
          </cell>
          <cell r="I3284" t="b">
            <v>1</v>
          </cell>
          <cell r="J3284">
            <v>11347.51</v>
          </cell>
          <cell r="K3284">
            <v>0</v>
          </cell>
          <cell r="L3284">
            <v>0</v>
          </cell>
        </row>
        <row r="3285">
          <cell r="A3285" t="str">
            <v>08</v>
          </cell>
          <cell r="B3285" t="str">
            <v>20</v>
          </cell>
          <cell r="C3285" t="str">
            <v>08</v>
          </cell>
          <cell r="D3285" t="str">
            <v>4</v>
          </cell>
          <cell r="E3285" t="str">
            <v>0025</v>
          </cell>
          <cell r="F3285" t="str">
            <v>0003</v>
          </cell>
          <cell r="G3285" t="str">
            <v>221010102</v>
          </cell>
          <cell r="H3285" t="str">
            <v>购材料税款</v>
          </cell>
          <cell r="I3285" t="b">
            <v>1</v>
          </cell>
          <cell r="J3285">
            <v>5398.6</v>
          </cell>
          <cell r="K3285">
            <v>0</v>
          </cell>
          <cell r="L3285">
            <v>0</v>
          </cell>
        </row>
        <row r="3286">
          <cell r="A3286" t="str">
            <v>08</v>
          </cell>
          <cell r="B3286" t="str">
            <v>20</v>
          </cell>
          <cell r="C3286" t="str">
            <v>08</v>
          </cell>
          <cell r="D3286" t="str">
            <v>4</v>
          </cell>
          <cell r="E3286" t="str">
            <v>0026</v>
          </cell>
          <cell r="F3286" t="str">
            <v>0002</v>
          </cell>
          <cell r="G3286" t="str">
            <v>221010102</v>
          </cell>
          <cell r="H3286" t="str">
            <v>付税款</v>
          </cell>
          <cell r="I3286" t="b">
            <v>1</v>
          </cell>
          <cell r="J3286">
            <v>7819.49</v>
          </cell>
          <cell r="K3286">
            <v>0</v>
          </cell>
          <cell r="L3286">
            <v>0</v>
          </cell>
        </row>
        <row r="3287">
          <cell r="A3287" t="str">
            <v>08</v>
          </cell>
          <cell r="B3287" t="str">
            <v>24</v>
          </cell>
          <cell r="C3287" t="str">
            <v>08</v>
          </cell>
          <cell r="D3287" t="str">
            <v>5</v>
          </cell>
          <cell r="E3287" t="str">
            <v>0008</v>
          </cell>
          <cell r="F3287" t="str">
            <v>0002</v>
          </cell>
          <cell r="G3287" t="str">
            <v>221010102</v>
          </cell>
          <cell r="H3287" t="str">
            <v>转购尚进果汁1000吨税金</v>
          </cell>
          <cell r="I3287" t="b">
            <v>1</v>
          </cell>
          <cell r="J3287">
            <v>765000</v>
          </cell>
          <cell r="K3287">
            <v>0</v>
          </cell>
          <cell r="L3287">
            <v>0</v>
          </cell>
        </row>
        <row r="3288">
          <cell r="A3288" t="str">
            <v>08</v>
          </cell>
          <cell r="B3288" t="str">
            <v>28</v>
          </cell>
          <cell r="C3288" t="str">
            <v>08</v>
          </cell>
          <cell r="D3288" t="str">
            <v>5</v>
          </cell>
          <cell r="E3288" t="str">
            <v>0025</v>
          </cell>
          <cell r="F3288" t="str">
            <v>0002</v>
          </cell>
          <cell r="G3288" t="str">
            <v>221010102</v>
          </cell>
          <cell r="H3288" t="str">
            <v>转购硅藻土等税金</v>
          </cell>
          <cell r="I3288" t="b">
            <v>1</v>
          </cell>
          <cell r="J3288">
            <v>13207.65</v>
          </cell>
          <cell r="K3288">
            <v>0</v>
          </cell>
          <cell r="L3288">
            <v>0</v>
          </cell>
        </row>
        <row r="3289">
          <cell r="A3289" t="str">
            <v>08</v>
          </cell>
          <cell r="B3289" t="str">
            <v>28</v>
          </cell>
          <cell r="C3289" t="str">
            <v>08</v>
          </cell>
          <cell r="D3289" t="str">
            <v>5</v>
          </cell>
          <cell r="E3289" t="str">
            <v>0026</v>
          </cell>
          <cell r="F3289" t="str">
            <v>0002</v>
          </cell>
          <cell r="G3289" t="str">
            <v>221010102</v>
          </cell>
          <cell r="H3289" t="str">
            <v>转购明胶.糖化酶等税金</v>
          </cell>
          <cell r="I3289" t="b">
            <v>1</v>
          </cell>
          <cell r="J3289">
            <v>13803.41</v>
          </cell>
          <cell r="K3289">
            <v>0</v>
          </cell>
          <cell r="L3289">
            <v>0</v>
          </cell>
        </row>
        <row r="3290">
          <cell r="A3290" t="str">
            <v>09</v>
          </cell>
          <cell r="B3290" t="str">
            <v>05</v>
          </cell>
          <cell r="C3290" t="str">
            <v>09</v>
          </cell>
          <cell r="D3290" t="str">
            <v>2</v>
          </cell>
          <cell r="E3290" t="str">
            <v>0004</v>
          </cell>
          <cell r="F3290" t="str">
            <v>0004</v>
          </cell>
          <cell r="G3290" t="str">
            <v>221010102</v>
          </cell>
          <cell r="H3290" t="str">
            <v>付税款</v>
          </cell>
          <cell r="I3290" t="b">
            <v>1</v>
          </cell>
          <cell r="J3290">
            <v>380.69</v>
          </cell>
          <cell r="K3290">
            <v>0</v>
          </cell>
          <cell r="L3290">
            <v>0</v>
          </cell>
        </row>
        <row r="3291">
          <cell r="A3291" t="str">
            <v>09</v>
          </cell>
          <cell r="B3291" t="str">
            <v>10</v>
          </cell>
          <cell r="C3291" t="str">
            <v>09</v>
          </cell>
          <cell r="D3291" t="str">
            <v>2</v>
          </cell>
          <cell r="E3291" t="str">
            <v>0007</v>
          </cell>
          <cell r="F3291" t="str">
            <v>0003</v>
          </cell>
          <cell r="G3291" t="str">
            <v>221010102</v>
          </cell>
          <cell r="H3291" t="str">
            <v>购材料税款</v>
          </cell>
          <cell r="I3291" t="b">
            <v>1</v>
          </cell>
          <cell r="J3291">
            <v>80.790000000000006</v>
          </cell>
          <cell r="K3291">
            <v>0</v>
          </cell>
          <cell r="L3291">
            <v>0</v>
          </cell>
        </row>
        <row r="3292">
          <cell r="A3292" t="str">
            <v>09</v>
          </cell>
          <cell r="B3292" t="str">
            <v>20</v>
          </cell>
          <cell r="C3292" t="str">
            <v>09</v>
          </cell>
          <cell r="D3292" t="str">
            <v>2</v>
          </cell>
          <cell r="E3292" t="str">
            <v>0013</v>
          </cell>
          <cell r="F3292" t="str">
            <v>0003</v>
          </cell>
          <cell r="G3292" t="str">
            <v>221010102</v>
          </cell>
          <cell r="H3292" t="str">
            <v>购材料税款</v>
          </cell>
          <cell r="I3292" t="b">
            <v>1</v>
          </cell>
          <cell r="J3292">
            <v>6503</v>
          </cell>
          <cell r="K3292">
            <v>0</v>
          </cell>
          <cell r="L3292">
            <v>0</v>
          </cell>
        </row>
        <row r="3293">
          <cell r="A3293" t="str">
            <v>09</v>
          </cell>
          <cell r="B3293" t="str">
            <v>06</v>
          </cell>
          <cell r="C3293" t="str">
            <v>09</v>
          </cell>
          <cell r="D3293" t="str">
            <v>4</v>
          </cell>
          <cell r="E3293" t="str">
            <v>0008</v>
          </cell>
          <cell r="F3293" t="str">
            <v>0003</v>
          </cell>
          <cell r="G3293" t="str">
            <v>221010102</v>
          </cell>
          <cell r="H3293" t="str">
            <v>购材料税款</v>
          </cell>
          <cell r="I3293" t="b">
            <v>1</v>
          </cell>
          <cell r="J3293">
            <v>31827.78</v>
          </cell>
          <cell r="K3293">
            <v>0</v>
          </cell>
          <cell r="L3293">
            <v>0</v>
          </cell>
        </row>
        <row r="3294">
          <cell r="A3294" t="str">
            <v>09</v>
          </cell>
          <cell r="B3294" t="str">
            <v>14</v>
          </cell>
          <cell r="C3294" t="str">
            <v>09</v>
          </cell>
          <cell r="D3294" t="str">
            <v>4</v>
          </cell>
          <cell r="E3294" t="str">
            <v>0016</v>
          </cell>
          <cell r="F3294" t="str">
            <v>0003</v>
          </cell>
          <cell r="G3294" t="str">
            <v>221010102</v>
          </cell>
          <cell r="H3294" t="str">
            <v>购材料税款</v>
          </cell>
          <cell r="I3294" t="b">
            <v>1</v>
          </cell>
          <cell r="J3294">
            <v>16258.97</v>
          </cell>
          <cell r="K3294">
            <v>0</v>
          </cell>
          <cell r="L3294">
            <v>0</v>
          </cell>
        </row>
        <row r="3295">
          <cell r="A3295" t="str">
            <v>09</v>
          </cell>
          <cell r="B3295" t="str">
            <v>14</v>
          </cell>
          <cell r="C3295" t="str">
            <v>09</v>
          </cell>
          <cell r="D3295" t="str">
            <v>4</v>
          </cell>
          <cell r="E3295" t="str">
            <v>0017</v>
          </cell>
          <cell r="F3295" t="str">
            <v>0002</v>
          </cell>
          <cell r="G3295" t="str">
            <v>221010102</v>
          </cell>
          <cell r="H3295" t="str">
            <v>付水电费税款</v>
          </cell>
          <cell r="I3295" t="b">
            <v>1</v>
          </cell>
          <cell r="J3295">
            <v>8791.17</v>
          </cell>
          <cell r="K3295">
            <v>0</v>
          </cell>
          <cell r="L3295">
            <v>0</v>
          </cell>
        </row>
        <row r="3296">
          <cell r="A3296" t="str">
            <v>09</v>
          </cell>
          <cell r="B3296" t="str">
            <v>15</v>
          </cell>
          <cell r="C3296" t="str">
            <v>09</v>
          </cell>
          <cell r="D3296" t="str">
            <v>4</v>
          </cell>
          <cell r="E3296" t="str">
            <v>0018</v>
          </cell>
          <cell r="F3296" t="str">
            <v>0003</v>
          </cell>
          <cell r="G3296" t="str">
            <v>221010102</v>
          </cell>
          <cell r="H3296" t="str">
            <v>购材料税款</v>
          </cell>
          <cell r="I3296" t="b">
            <v>1</v>
          </cell>
          <cell r="J3296">
            <v>7498.61</v>
          </cell>
          <cell r="K3296">
            <v>0</v>
          </cell>
          <cell r="L3296">
            <v>0</v>
          </cell>
        </row>
        <row r="3297">
          <cell r="A3297" t="str">
            <v>09</v>
          </cell>
          <cell r="B3297" t="str">
            <v>15</v>
          </cell>
          <cell r="C3297" t="str">
            <v>09</v>
          </cell>
          <cell r="D3297" t="str">
            <v>4</v>
          </cell>
          <cell r="E3297" t="str">
            <v>0019</v>
          </cell>
          <cell r="F3297" t="str">
            <v>0003</v>
          </cell>
          <cell r="G3297" t="str">
            <v>221010102</v>
          </cell>
          <cell r="H3297" t="str">
            <v>购材料税款</v>
          </cell>
          <cell r="I3297" t="b">
            <v>1</v>
          </cell>
          <cell r="J3297">
            <v>5593.6</v>
          </cell>
          <cell r="K3297">
            <v>0</v>
          </cell>
          <cell r="L3297">
            <v>0</v>
          </cell>
        </row>
        <row r="3298">
          <cell r="A3298" t="str">
            <v>09</v>
          </cell>
          <cell r="B3298" t="str">
            <v>23</v>
          </cell>
          <cell r="C3298" t="str">
            <v>09</v>
          </cell>
          <cell r="D3298" t="str">
            <v>4</v>
          </cell>
          <cell r="E3298" t="str">
            <v>0026</v>
          </cell>
          <cell r="F3298" t="str">
            <v>0003</v>
          </cell>
          <cell r="G3298" t="str">
            <v>221010102</v>
          </cell>
          <cell r="H3298" t="str">
            <v>购材料税款</v>
          </cell>
          <cell r="I3298" t="b">
            <v>1</v>
          </cell>
          <cell r="J3298">
            <v>80363.14</v>
          </cell>
          <cell r="K3298">
            <v>0</v>
          </cell>
          <cell r="L3298">
            <v>0</v>
          </cell>
        </row>
        <row r="3299">
          <cell r="A3299" t="str">
            <v>09</v>
          </cell>
          <cell r="B3299" t="str">
            <v>23</v>
          </cell>
          <cell r="C3299" t="str">
            <v>09</v>
          </cell>
          <cell r="D3299" t="str">
            <v>4</v>
          </cell>
          <cell r="E3299" t="str">
            <v>0029</v>
          </cell>
          <cell r="F3299" t="str">
            <v>0003</v>
          </cell>
          <cell r="G3299" t="str">
            <v>221010102</v>
          </cell>
          <cell r="H3299" t="str">
            <v>购材料税款</v>
          </cell>
          <cell r="I3299" t="b">
            <v>1</v>
          </cell>
          <cell r="J3299">
            <v>8572.65</v>
          </cell>
          <cell r="K3299">
            <v>0</v>
          </cell>
          <cell r="L3299">
            <v>0</v>
          </cell>
        </row>
        <row r="3300">
          <cell r="A3300" t="str">
            <v>09</v>
          </cell>
          <cell r="B3300" t="str">
            <v>18</v>
          </cell>
          <cell r="C3300" t="str">
            <v>09</v>
          </cell>
          <cell r="D3300" t="str">
            <v>5</v>
          </cell>
          <cell r="E3300" t="str">
            <v>0007</v>
          </cell>
          <cell r="F3300" t="str">
            <v>0002</v>
          </cell>
          <cell r="G3300" t="str">
            <v>221010102</v>
          </cell>
          <cell r="H3300" t="str">
            <v>转购活性炭等税金</v>
          </cell>
          <cell r="I3300" t="b">
            <v>1</v>
          </cell>
          <cell r="J3300">
            <v>20341.88</v>
          </cell>
          <cell r="K3300">
            <v>0</v>
          </cell>
          <cell r="L3300">
            <v>0</v>
          </cell>
        </row>
        <row r="3301">
          <cell r="A3301" t="str">
            <v>09</v>
          </cell>
          <cell r="B3301" t="str">
            <v>18</v>
          </cell>
          <cell r="C3301" t="str">
            <v>09</v>
          </cell>
          <cell r="D3301" t="str">
            <v>5</v>
          </cell>
          <cell r="E3301" t="str">
            <v>0008</v>
          </cell>
          <cell r="F3301" t="str">
            <v>0002</v>
          </cell>
          <cell r="G3301" t="str">
            <v>221010102</v>
          </cell>
          <cell r="H3301" t="str">
            <v>转购硅溶胶等税金</v>
          </cell>
          <cell r="I3301" t="b">
            <v>1</v>
          </cell>
          <cell r="J3301">
            <v>22689.919999999998</v>
          </cell>
          <cell r="K3301">
            <v>0</v>
          </cell>
          <cell r="L3301">
            <v>0</v>
          </cell>
        </row>
        <row r="3302">
          <cell r="A3302" t="str">
            <v>09</v>
          </cell>
          <cell r="B3302" t="str">
            <v>18</v>
          </cell>
          <cell r="C3302" t="str">
            <v>09</v>
          </cell>
          <cell r="D3302" t="str">
            <v>5</v>
          </cell>
          <cell r="E3302" t="str">
            <v>0009</v>
          </cell>
          <cell r="F3302" t="str">
            <v>0002</v>
          </cell>
          <cell r="G3302" t="str">
            <v>221010102</v>
          </cell>
          <cell r="H3302" t="str">
            <v>转购糖化酶等税金</v>
          </cell>
          <cell r="I3302" t="b">
            <v>1</v>
          </cell>
          <cell r="J3302">
            <v>15661.79</v>
          </cell>
          <cell r="K3302">
            <v>0</v>
          </cell>
          <cell r="L3302">
            <v>0</v>
          </cell>
        </row>
        <row r="3303">
          <cell r="A3303" t="str">
            <v>09</v>
          </cell>
          <cell r="B3303" t="str">
            <v>24</v>
          </cell>
          <cell r="C3303" t="str">
            <v>09</v>
          </cell>
          <cell r="D3303" t="str">
            <v>5</v>
          </cell>
          <cell r="E3303" t="str">
            <v>0010</v>
          </cell>
          <cell r="F3303" t="str">
            <v>0002</v>
          </cell>
          <cell r="G3303" t="str">
            <v>221010102</v>
          </cell>
          <cell r="H3303" t="str">
            <v>转购PVC管等税金</v>
          </cell>
          <cell r="I3303" t="b">
            <v>1</v>
          </cell>
          <cell r="J3303">
            <v>37447.24</v>
          </cell>
          <cell r="K3303">
            <v>0</v>
          </cell>
          <cell r="L3303">
            <v>0</v>
          </cell>
        </row>
        <row r="3304">
          <cell r="A3304" t="str">
            <v>09</v>
          </cell>
          <cell r="B3304" t="str">
            <v>24</v>
          </cell>
          <cell r="C3304" t="str">
            <v>09</v>
          </cell>
          <cell r="D3304" t="str">
            <v>5</v>
          </cell>
          <cell r="E3304" t="str">
            <v>0013</v>
          </cell>
          <cell r="F3304" t="str">
            <v>0002</v>
          </cell>
          <cell r="G3304" t="str">
            <v>221010102</v>
          </cell>
          <cell r="H3304" t="str">
            <v>转购平原果汁384.93吨税金</v>
          </cell>
          <cell r="I3304" t="b">
            <v>1</v>
          </cell>
          <cell r="J3304">
            <v>251685</v>
          </cell>
          <cell r="K3304">
            <v>0</v>
          </cell>
          <cell r="L3304">
            <v>0</v>
          </cell>
        </row>
        <row r="3305">
          <cell r="A3305" t="str">
            <v>09</v>
          </cell>
          <cell r="B3305" t="str">
            <v>25</v>
          </cell>
          <cell r="C3305" t="str">
            <v>09</v>
          </cell>
          <cell r="D3305" t="str">
            <v>5</v>
          </cell>
          <cell r="E3305" t="str">
            <v>0014</v>
          </cell>
          <cell r="F3305" t="str">
            <v>0002</v>
          </cell>
          <cell r="G3305" t="str">
            <v>221010102</v>
          </cell>
          <cell r="H3305" t="str">
            <v>转购五莲果汁260吨税金</v>
          </cell>
          <cell r="I3305" t="b">
            <v>1</v>
          </cell>
          <cell r="J3305">
            <v>170000</v>
          </cell>
          <cell r="K3305">
            <v>0</v>
          </cell>
          <cell r="L3305">
            <v>0</v>
          </cell>
        </row>
        <row r="3306">
          <cell r="A3306" t="str">
            <v>10</v>
          </cell>
          <cell r="B3306" t="str">
            <v>10</v>
          </cell>
          <cell r="C3306" t="str">
            <v>10</v>
          </cell>
          <cell r="D3306" t="str">
            <v>2</v>
          </cell>
          <cell r="E3306" t="str">
            <v>0009</v>
          </cell>
          <cell r="F3306" t="str">
            <v>0003</v>
          </cell>
          <cell r="G3306" t="str">
            <v>221010102</v>
          </cell>
          <cell r="H3306" t="str">
            <v>购材料税款</v>
          </cell>
          <cell r="I3306" t="b">
            <v>1</v>
          </cell>
          <cell r="J3306">
            <v>706.36</v>
          </cell>
          <cell r="K3306">
            <v>0</v>
          </cell>
          <cell r="L3306">
            <v>0</v>
          </cell>
        </row>
        <row r="3307">
          <cell r="A3307" t="str">
            <v>10</v>
          </cell>
          <cell r="B3307" t="str">
            <v>22</v>
          </cell>
          <cell r="C3307" t="str">
            <v>10</v>
          </cell>
          <cell r="D3307" t="str">
            <v>4</v>
          </cell>
          <cell r="E3307" t="str">
            <v>0024</v>
          </cell>
          <cell r="F3307" t="str">
            <v>0003</v>
          </cell>
          <cell r="G3307" t="str">
            <v>221010102</v>
          </cell>
          <cell r="H3307" t="str">
            <v>购材料税款</v>
          </cell>
          <cell r="I3307" t="b">
            <v>1</v>
          </cell>
          <cell r="J3307">
            <v>6013.88</v>
          </cell>
          <cell r="K3307">
            <v>0</v>
          </cell>
          <cell r="L3307">
            <v>0</v>
          </cell>
        </row>
        <row r="3308">
          <cell r="A3308" t="str">
            <v>10</v>
          </cell>
          <cell r="B3308" t="str">
            <v>22</v>
          </cell>
          <cell r="C3308" t="str">
            <v>10</v>
          </cell>
          <cell r="D3308" t="str">
            <v>4</v>
          </cell>
          <cell r="E3308" t="str">
            <v>0026</v>
          </cell>
          <cell r="F3308" t="str">
            <v>0003</v>
          </cell>
          <cell r="G3308" t="str">
            <v>221010102</v>
          </cell>
          <cell r="H3308" t="str">
            <v>购材料税款</v>
          </cell>
          <cell r="I3308" t="b">
            <v>1</v>
          </cell>
          <cell r="J3308">
            <v>48567.69</v>
          </cell>
          <cell r="K3308">
            <v>0</v>
          </cell>
          <cell r="L3308">
            <v>0</v>
          </cell>
        </row>
        <row r="3309">
          <cell r="A3309" t="str">
            <v>10</v>
          </cell>
          <cell r="B3309" t="str">
            <v>22</v>
          </cell>
          <cell r="C3309" t="str">
            <v>10</v>
          </cell>
          <cell r="D3309" t="str">
            <v>4</v>
          </cell>
          <cell r="E3309" t="str">
            <v>0027</v>
          </cell>
          <cell r="F3309" t="str">
            <v>0002</v>
          </cell>
          <cell r="G3309" t="str">
            <v>221010102</v>
          </cell>
          <cell r="H3309" t="str">
            <v>付水费税款</v>
          </cell>
          <cell r="I3309" t="b">
            <v>1</v>
          </cell>
          <cell r="J3309">
            <v>1393.4</v>
          </cell>
          <cell r="K3309">
            <v>0</v>
          </cell>
          <cell r="L3309">
            <v>0</v>
          </cell>
        </row>
        <row r="3310">
          <cell r="A3310" t="str">
            <v>10</v>
          </cell>
          <cell r="B3310" t="str">
            <v>22</v>
          </cell>
          <cell r="C3310" t="str">
            <v>10</v>
          </cell>
          <cell r="D3310" t="str">
            <v>4</v>
          </cell>
          <cell r="E3310" t="str">
            <v>0028</v>
          </cell>
          <cell r="F3310" t="str">
            <v>0003</v>
          </cell>
          <cell r="G3310" t="str">
            <v>221010102</v>
          </cell>
          <cell r="H3310" t="str">
            <v>购材料税款</v>
          </cell>
          <cell r="I3310" t="b">
            <v>1</v>
          </cell>
          <cell r="J3310">
            <v>3667.87</v>
          </cell>
          <cell r="K3310">
            <v>0</v>
          </cell>
          <cell r="L3310">
            <v>0</v>
          </cell>
        </row>
        <row r="3311">
          <cell r="A3311" t="str">
            <v>10</v>
          </cell>
          <cell r="B3311" t="str">
            <v>24</v>
          </cell>
          <cell r="C3311" t="str">
            <v>10</v>
          </cell>
          <cell r="D3311" t="str">
            <v>5</v>
          </cell>
          <cell r="E3311" t="str">
            <v>0004</v>
          </cell>
          <cell r="F3311" t="str">
            <v>0002</v>
          </cell>
          <cell r="G3311" t="str">
            <v>221010102</v>
          </cell>
          <cell r="H3311" t="str">
            <v>转购五莲分公司果汁450吨税金</v>
          </cell>
          <cell r="I3311" t="b">
            <v>1</v>
          </cell>
          <cell r="J3311">
            <v>294230.7</v>
          </cell>
          <cell r="K3311">
            <v>0</v>
          </cell>
          <cell r="L3311">
            <v>0</v>
          </cell>
        </row>
        <row r="3312">
          <cell r="A3312" t="str">
            <v>10</v>
          </cell>
          <cell r="B3312" t="str">
            <v>24</v>
          </cell>
          <cell r="C3312" t="str">
            <v>10</v>
          </cell>
          <cell r="D3312" t="str">
            <v>5</v>
          </cell>
          <cell r="E3312" t="str">
            <v>0005</v>
          </cell>
          <cell r="F3312" t="str">
            <v>0002</v>
          </cell>
          <cell r="G3312" t="str">
            <v>221010102</v>
          </cell>
          <cell r="H3312" t="str">
            <v>转购平原果汁622.44吨税金</v>
          </cell>
          <cell r="I3312" t="b">
            <v>1</v>
          </cell>
          <cell r="J3312">
            <v>361760</v>
          </cell>
          <cell r="K3312">
            <v>0</v>
          </cell>
          <cell r="L3312">
            <v>0</v>
          </cell>
        </row>
        <row r="3313">
          <cell r="A3313" t="str">
            <v>10</v>
          </cell>
          <cell r="B3313" t="str">
            <v>24</v>
          </cell>
          <cell r="C3313" t="str">
            <v>10</v>
          </cell>
          <cell r="D3313" t="str">
            <v>5</v>
          </cell>
          <cell r="E3313" t="str">
            <v>0006</v>
          </cell>
          <cell r="F3313" t="str">
            <v>0003</v>
          </cell>
          <cell r="G3313" t="str">
            <v>221010102</v>
          </cell>
          <cell r="H3313" t="str">
            <v>转购宝鸡.滕州果汁税金</v>
          </cell>
          <cell r="I3313" t="b">
            <v>1</v>
          </cell>
          <cell r="J3313">
            <v>119815.99</v>
          </cell>
          <cell r="K3313">
            <v>0</v>
          </cell>
          <cell r="L3313">
            <v>0</v>
          </cell>
        </row>
        <row r="3314">
          <cell r="A3314" t="str">
            <v>10</v>
          </cell>
          <cell r="B3314" t="str">
            <v>24</v>
          </cell>
          <cell r="C3314" t="str">
            <v>10</v>
          </cell>
          <cell r="D3314" t="str">
            <v>5</v>
          </cell>
          <cell r="E3314" t="str">
            <v>0007</v>
          </cell>
          <cell r="F3314" t="str">
            <v>0002</v>
          </cell>
          <cell r="G3314" t="str">
            <v>221010102</v>
          </cell>
          <cell r="H3314" t="str">
            <v>转购澄城果汁137.144吨税金</v>
          </cell>
          <cell r="I3314" t="b">
            <v>1</v>
          </cell>
          <cell r="J3314">
            <v>76451.06</v>
          </cell>
          <cell r="K3314">
            <v>0</v>
          </cell>
          <cell r="L3314">
            <v>0</v>
          </cell>
        </row>
        <row r="3315">
          <cell r="A3315" t="str">
            <v>11</v>
          </cell>
          <cell r="B3315" t="str">
            <v>15</v>
          </cell>
          <cell r="C3315" t="str">
            <v>11</v>
          </cell>
          <cell r="D3315" t="str">
            <v>2</v>
          </cell>
          <cell r="E3315" t="str">
            <v>0018</v>
          </cell>
          <cell r="F3315" t="str">
            <v>0003</v>
          </cell>
          <cell r="G3315" t="str">
            <v>221010102</v>
          </cell>
          <cell r="H3315" t="str">
            <v>购材料税款</v>
          </cell>
          <cell r="I3315" t="b">
            <v>1</v>
          </cell>
          <cell r="J3315">
            <v>92.7</v>
          </cell>
          <cell r="K3315">
            <v>0</v>
          </cell>
          <cell r="L3315">
            <v>0</v>
          </cell>
        </row>
        <row r="3316">
          <cell r="A3316" t="str">
            <v>11</v>
          </cell>
          <cell r="B3316" t="str">
            <v>15</v>
          </cell>
          <cell r="C3316" t="str">
            <v>11</v>
          </cell>
          <cell r="D3316" t="str">
            <v>2</v>
          </cell>
          <cell r="E3316" t="str">
            <v>0019</v>
          </cell>
          <cell r="F3316" t="str">
            <v>0002</v>
          </cell>
          <cell r="G3316" t="str">
            <v>221010102</v>
          </cell>
          <cell r="H3316" t="str">
            <v>购材料税款</v>
          </cell>
          <cell r="I3316" t="b">
            <v>1</v>
          </cell>
          <cell r="J3316">
            <v>2729.2</v>
          </cell>
          <cell r="K3316">
            <v>0</v>
          </cell>
          <cell r="L3316">
            <v>0</v>
          </cell>
        </row>
        <row r="3317">
          <cell r="A3317" t="str">
            <v>11</v>
          </cell>
          <cell r="B3317" t="str">
            <v>21</v>
          </cell>
          <cell r="C3317" t="str">
            <v>11</v>
          </cell>
          <cell r="D3317" t="str">
            <v>2</v>
          </cell>
          <cell r="E3317" t="str">
            <v>0024</v>
          </cell>
          <cell r="F3317" t="str">
            <v>0002</v>
          </cell>
          <cell r="G3317" t="str">
            <v>221010102</v>
          </cell>
          <cell r="H3317" t="str">
            <v>购材料税款</v>
          </cell>
          <cell r="I3317" t="b">
            <v>1</v>
          </cell>
          <cell r="J3317">
            <v>1980.23</v>
          </cell>
          <cell r="K3317">
            <v>0</v>
          </cell>
          <cell r="L3317">
            <v>0</v>
          </cell>
        </row>
        <row r="3318">
          <cell r="A3318" t="str">
            <v>11</v>
          </cell>
          <cell r="B3318" t="str">
            <v>14</v>
          </cell>
          <cell r="C3318" t="str">
            <v>11</v>
          </cell>
          <cell r="D3318" t="str">
            <v>4</v>
          </cell>
          <cell r="E3318" t="str">
            <v>0015</v>
          </cell>
          <cell r="F3318" t="str">
            <v>0003</v>
          </cell>
          <cell r="G3318" t="str">
            <v>221010102</v>
          </cell>
          <cell r="H3318" t="str">
            <v>购材料税款</v>
          </cell>
          <cell r="I3318" t="b">
            <v>1</v>
          </cell>
          <cell r="J3318">
            <v>10532.81</v>
          </cell>
          <cell r="K3318">
            <v>0</v>
          </cell>
          <cell r="L3318">
            <v>0</v>
          </cell>
        </row>
        <row r="3319">
          <cell r="A3319" t="str">
            <v>11</v>
          </cell>
          <cell r="B3319" t="str">
            <v>14</v>
          </cell>
          <cell r="C3319" t="str">
            <v>11</v>
          </cell>
          <cell r="D3319" t="str">
            <v>4</v>
          </cell>
          <cell r="E3319" t="str">
            <v>0016</v>
          </cell>
          <cell r="F3319" t="str">
            <v>0002</v>
          </cell>
          <cell r="G3319" t="str">
            <v>221010102</v>
          </cell>
          <cell r="H3319" t="str">
            <v>付税款</v>
          </cell>
          <cell r="I3319" t="b">
            <v>1</v>
          </cell>
          <cell r="J3319">
            <v>6952.78</v>
          </cell>
          <cell r="K3319">
            <v>0</v>
          </cell>
          <cell r="L3319">
            <v>0</v>
          </cell>
        </row>
        <row r="3320">
          <cell r="A3320" t="str">
            <v>11</v>
          </cell>
          <cell r="B3320" t="str">
            <v>15</v>
          </cell>
          <cell r="C3320" t="str">
            <v>11</v>
          </cell>
          <cell r="D3320" t="str">
            <v>4</v>
          </cell>
          <cell r="E3320" t="str">
            <v>0019</v>
          </cell>
          <cell r="F3320" t="str">
            <v>0003</v>
          </cell>
          <cell r="G3320" t="str">
            <v>221010102</v>
          </cell>
          <cell r="H3320" t="str">
            <v>购材料税款</v>
          </cell>
          <cell r="I3320" t="b">
            <v>1</v>
          </cell>
          <cell r="J3320">
            <v>11288.07</v>
          </cell>
          <cell r="K3320">
            <v>0</v>
          </cell>
          <cell r="L3320">
            <v>0</v>
          </cell>
        </row>
        <row r="3321">
          <cell r="A3321" t="str">
            <v>11</v>
          </cell>
          <cell r="B3321" t="str">
            <v>15</v>
          </cell>
          <cell r="C3321" t="str">
            <v>11</v>
          </cell>
          <cell r="D3321" t="str">
            <v>4</v>
          </cell>
          <cell r="E3321" t="str">
            <v>0022</v>
          </cell>
          <cell r="F3321" t="str">
            <v>0003</v>
          </cell>
          <cell r="G3321" t="str">
            <v>221010102</v>
          </cell>
          <cell r="H3321" t="str">
            <v>购材料税款</v>
          </cell>
          <cell r="I3321" t="b">
            <v>1</v>
          </cell>
          <cell r="J3321">
            <v>10647.3</v>
          </cell>
          <cell r="K3321">
            <v>0</v>
          </cell>
          <cell r="L3321">
            <v>0</v>
          </cell>
        </row>
        <row r="3322">
          <cell r="A3322" t="str">
            <v>11</v>
          </cell>
          <cell r="B3322" t="str">
            <v>23</v>
          </cell>
          <cell r="C3322" t="str">
            <v>11</v>
          </cell>
          <cell r="D3322" t="str">
            <v>4</v>
          </cell>
          <cell r="E3322" t="str">
            <v>0035</v>
          </cell>
          <cell r="F3322" t="str">
            <v>0003</v>
          </cell>
          <cell r="G3322" t="str">
            <v>221010102</v>
          </cell>
          <cell r="H3322" t="str">
            <v>购材料税款</v>
          </cell>
          <cell r="I3322" t="b">
            <v>1</v>
          </cell>
          <cell r="J3322">
            <v>10372.81</v>
          </cell>
          <cell r="K3322">
            <v>0</v>
          </cell>
          <cell r="L3322">
            <v>0</v>
          </cell>
        </row>
        <row r="3323">
          <cell r="A3323" t="str">
            <v>11</v>
          </cell>
          <cell r="B3323" t="str">
            <v>23</v>
          </cell>
          <cell r="C3323" t="str">
            <v>11</v>
          </cell>
          <cell r="D3323" t="str">
            <v>4</v>
          </cell>
          <cell r="E3323" t="str">
            <v>0036</v>
          </cell>
          <cell r="F3323" t="str">
            <v>0003</v>
          </cell>
          <cell r="G3323" t="str">
            <v>221010102</v>
          </cell>
          <cell r="H3323" t="str">
            <v>购材料税款</v>
          </cell>
          <cell r="I3323" t="b">
            <v>1</v>
          </cell>
          <cell r="J3323">
            <v>172864.55</v>
          </cell>
          <cell r="K3323">
            <v>0</v>
          </cell>
          <cell r="L3323">
            <v>0</v>
          </cell>
        </row>
        <row r="3324">
          <cell r="A3324" t="str">
            <v>11</v>
          </cell>
          <cell r="B3324" t="str">
            <v>23</v>
          </cell>
          <cell r="C3324" t="str">
            <v>11</v>
          </cell>
          <cell r="D3324" t="str">
            <v>4</v>
          </cell>
          <cell r="E3324" t="str">
            <v>0037</v>
          </cell>
          <cell r="F3324" t="str">
            <v>0002</v>
          </cell>
          <cell r="G3324" t="str">
            <v>221010102</v>
          </cell>
          <cell r="H3324" t="str">
            <v>付税款</v>
          </cell>
          <cell r="I3324" t="b">
            <v>1</v>
          </cell>
          <cell r="J3324">
            <v>27826.15</v>
          </cell>
          <cell r="K3324">
            <v>0</v>
          </cell>
          <cell r="L3324">
            <v>0</v>
          </cell>
        </row>
        <row r="3325">
          <cell r="A3325" t="str">
            <v>11</v>
          </cell>
          <cell r="B3325" t="str">
            <v>16</v>
          </cell>
          <cell r="C3325" t="str">
            <v>11</v>
          </cell>
          <cell r="D3325" t="str">
            <v>5</v>
          </cell>
          <cell r="E3325" t="str">
            <v>0001</v>
          </cell>
          <cell r="F3325" t="str">
            <v>0003</v>
          </cell>
          <cell r="G3325" t="str">
            <v>221010102</v>
          </cell>
          <cell r="H3325" t="str">
            <v>转购硅藻土税金</v>
          </cell>
          <cell r="I3325" t="b">
            <v>1</v>
          </cell>
          <cell r="J3325">
            <v>10526.92</v>
          </cell>
          <cell r="K3325">
            <v>0</v>
          </cell>
          <cell r="L3325">
            <v>0</v>
          </cell>
        </row>
        <row r="3326">
          <cell r="A3326" t="str">
            <v>11</v>
          </cell>
          <cell r="B3326" t="str">
            <v>16</v>
          </cell>
          <cell r="C3326" t="str">
            <v>11</v>
          </cell>
          <cell r="D3326" t="str">
            <v>5</v>
          </cell>
          <cell r="E3326" t="str">
            <v>0002</v>
          </cell>
          <cell r="F3326" t="str">
            <v>0003</v>
          </cell>
          <cell r="G3326" t="str">
            <v>221010102</v>
          </cell>
          <cell r="H3326" t="str">
            <v>转购机械密封.火碱税金</v>
          </cell>
          <cell r="I3326" t="b">
            <v>1</v>
          </cell>
          <cell r="J3326">
            <v>1656.41</v>
          </cell>
          <cell r="K3326">
            <v>0</v>
          </cell>
          <cell r="L3326">
            <v>0</v>
          </cell>
        </row>
        <row r="3327">
          <cell r="A3327" t="str">
            <v>11</v>
          </cell>
          <cell r="B3327" t="str">
            <v>16</v>
          </cell>
          <cell r="C3327" t="str">
            <v>11</v>
          </cell>
          <cell r="D3327" t="str">
            <v>5</v>
          </cell>
          <cell r="E3327" t="str">
            <v>0003</v>
          </cell>
          <cell r="F3327" t="str">
            <v>0003</v>
          </cell>
          <cell r="G3327" t="str">
            <v>221010102</v>
          </cell>
          <cell r="H3327" t="str">
            <v>转购维生素C.明胶税金</v>
          </cell>
          <cell r="I3327" t="b">
            <v>1</v>
          </cell>
          <cell r="J3327">
            <v>36833.32</v>
          </cell>
          <cell r="K3327">
            <v>0</v>
          </cell>
          <cell r="L3327">
            <v>0</v>
          </cell>
        </row>
        <row r="3328">
          <cell r="A3328" t="str">
            <v>11</v>
          </cell>
          <cell r="B3328" t="str">
            <v>16</v>
          </cell>
          <cell r="C3328" t="str">
            <v>11</v>
          </cell>
          <cell r="D3328" t="str">
            <v>5</v>
          </cell>
          <cell r="E3328" t="str">
            <v>0006</v>
          </cell>
          <cell r="F3328" t="str">
            <v>0002</v>
          </cell>
          <cell r="G3328" t="str">
            <v>221010102</v>
          </cell>
          <cell r="H3328" t="str">
            <v>转尚进果汁税金</v>
          </cell>
          <cell r="I3328" t="b">
            <v>1</v>
          </cell>
          <cell r="J3328">
            <v>24368.76</v>
          </cell>
          <cell r="K3328">
            <v>0</v>
          </cell>
          <cell r="L3328">
            <v>0</v>
          </cell>
        </row>
        <row r="3329">
          <cell r="A3329" t="str">
            <v>11</v>
          </cell>
          <cell r="B3329" t="str">
            <v>16</v>
          </cell>
          <cell r="C3329" t="str">
            <v>11</v>
          </cell>
          <cell r="D3329" t="str">
            <v>5</v>
          </cell>
          <cell r="E3329" t="str">
            <v>0007</v>
          </cell>
          <cell r="F3329" t="str">
            <v>0002</v>
          </cell>
          <cell r="G3329" t="str">
            <v>221010102</v>
          </cell>
          <cell r="H3329" t="str">
            <v>转购卢龙果汁300吨税金</v>
          </cell>
          <cell r="I3329" t="b">
            <v>1</v>
          </cell>
          <cell r="J3329">
            <v>174358.97</v>
          </cell>
          <cell r="K3329">
            <v>0</v>
          </cell>
          <cell r="L3329">
            <v>0</v>
          </cell>
        </row>
        <row r="3330">
          <cell r="A3330" t="str">
            <v>11</v>
          </cell>
          <cell r="B3330" t="str">
            <v>16</v>
          </cell>
          <cell r="C3330" t="str">
            <v>11</v>
          </cell>
          <cell r="D3330" t="str">
            <v>5</v>
          </cell>
          <cell r="E3330" t="str">
            <v>0008</v>
          </cell>
          <cell r="F3330" t="str">
            <v>0002</v>
          </cell>
          <cell r="G3330" t="str">
            <v>221010102</v>
          </cell>
          <cell r="H3330" t="str">
            <v>转购五莲果汁300吨税金</v>
          </cell>
          <cell r="I3330" t="b">
            <v>1</v>
          </cell>
          <cell r="J3330">
            <v>174358.92</v>
          </cell>
          <cell r="K3330">
            <v>0</v>
          </cell>
          <cell r="L3330">
            <v>0</v>
          </cell>
        </row>
        <row r="3331">
          <cell r="A3331" t="str">
            <v>11</v>
          </cell>
          <cell r="B3331" t="str">
            <v>16</v>
          </cell>
          <cell r="C3331" t="str">
            <v>11</v>
          </cell>
          <cell r="D3331" t="str">
            <v>5</v>
          </cell>
          <cell r="E3331" t="str">
            <v>0009</v>
          </cell>
          <cell r="F3331" t="str">
            <v>0002</v>
          </cell>
          <cell r="G3331" t="str">
            <v>221010102</v>
          </cell>
          <cell r="H3331" t="str">
            <v>转购滕州果汁390吨税金</v>
          </cell>
          <cell r="I3331" t="b">
            <v>1</v>
          </cell>
          <cell r="J3331">
            <v>215333.3</v>
          </cell>
          <cell r="K3331">
            <v>0</v>
          </cell>
          <cell r="L3331">
            <v>0</v>
          </cell>
        </row>
        <row r="3332">
          <cell r="A3332" t="str">
            <v>11</v>
          </cell>
          <cell r="B3332" t="str">
            <v>26</v>
          </cell>
          <cell r="C3332" t="str">
            <v>11</v>
          </cell>
          <cell r="D3332" t="str">
            <v>5</v>
          </cell>
          <cell r="E3332" t="str">
            <v>0019</v>
          </cell>
          <cell r="F3332" t="str">
            <v>0002</v>
          </cell>
          <cell r="G3332" t="str">
            <v>221010102</v>
          </cell>
          <cell r="H3332" t="str">
            <v>转购江苏古城堡果汁56.652吨税金</v>
          </cell>
          <cell r="I3332" t="b">
            <v>1</v>
          </cell>
          <cell r="J3332">
            <v>27987.06</v>
          </cell>
          <cell r="K3332">
            <v>0</v>
          </cell>
          <cell r="L3332">
            <v>0</v>
          </cell>
        </row>
        <row r="3333">
          <cell r="A3333" t="str">
            <v>12</v>
          </cell>
          <cell r="B3333" t="str">
            <v>10</v>
          </cell>
          <cell r="C3333" t="str">
            <v>12</v>
          </cell>
          <cell r="D3333" t="str">
            <v>2</v>
          </cell>
          <cell r="E3333" t="str">
            <v>0011</v>
          </cell>
          <cell r="F3333" t="str">
            <v>0003</v>
          </cell>
          <cell r="G3333" t="str">
            <v>221010102</v>
          </cell>
          <cell r="H3333" t="str">
            <v>付税款</v>
          </cell>
          <cell r="I3333" t="b">
            <v>1</v>
          </cell>
          <cell r="J3333">
            <v>155.19</v>
          </cell>
          <cell r="K3333">
            <v>0</v>
          </cell>
          <cell r="L3333">
            <v>0</v>
          </cell>
        </row>
        <row r="3334">
          <cell r="A3334" t="str">
            <v>12</v>
          </cell>
          <cell r="B3334" t="str">
            <v>15</v>
          </cell>
          <cell r="C3334" t="str">
            <v>12</v>
          </cell>
          <cell r="D3334" t="str">
            <v>2</v>
          </cell>
          <cell r="E3334" t="str">
            <v>0016</v>
          </cell>
          <cell r="F3334" t="str">
            <v>0003</v>
          </cell>
          <cell r="G3334" t="str">
            <v>221010102</v>
          </cell>
          <cell r="H3334" t="str">
            <v>购材料税款</v>
          </cell>
          <cell r="I3334" t="b">
            <v>1</v>
          </cell>
          <cell r="J3334">
            <v>2008.71</v>
          </cell>
          <cell r="K3334">
            <v>0</v>
          </cell>
          <cell r="L3334">
            <v>0</v>
          </cell>
        </row>
        <row r="3335">
          <cell r="A3335" t="str">
            <v>12</v>
          </cell>
          <cell r="B3335" t="str">
            <v>10</v>
          </cell>
          <cell r="C3335" t="str">
            <v>12</v>
          </cell>
          <cell r="D3335" t="str">
            <v>4</v>
          </cell>
          <cell r="E3335" t="str">
            <v>0019</v>
          </cell>
          <cell r="F3335" t="str">
            <v>0002</v>
          </cell>
          <cell r="G3335" t="str">
            <v>221010102</v>
          </cell>
          <cell r="H3335" t="str">
            <v>购材料税款</v>
          </cell>
          <cell r="I3335" t="b">
            <v>1</v>
          </cell>
          <cell r="J3335">
            <v>13978.33</v>
          </cell>
          <cell r="K3335">
            <v>0</v>
          </cell>
          <cell r="L3335">
            <v>0</v>
          </cell>
        </row>
        <row r="3336">
          <cell r="A3336" t="str">
            <v>12</v>
          </cell>
          <cell r="B3336" t="str">
            <v>20</v>
          </cell>
          <cell r="C3336" t="str">
            <v>12</v>
          </cell>
          <cell r="D3336" t="str">
            <v>4</v>
          </cell>
          <cell r="E3336" t="str">
            <v>0033</v>
          </cell>
          <cell r="F3336" t="str">
            <v>0002</v>
          </cell>
          <cell r="G3336" t="str">
            <v>221010102</v>
          </cell>
          <cell r="H3336" t="str">
            <v>购材料税款</v>
          </cell>
          <cell r="I3336" t="b">
            <v>1</v>
          </cell>
          <cell r="J3336">
            <v>30667.93</v>
          </cell>
          <cell r="K3336">
            <v>0</v>
          </cell>
          <cell r="L3336">
            <v>0</v>
          </cell>
        </row>
        <row r="3337">
          <cell r="A3337" t="str">
            <v>12</v>
          </cell>
          <cell r="B3337" t="str">
            <v>20</v>
          </cell>
          <cell r="C3337" t="str">
            <v>12</v>
          </cell>
          <cell r="D3337" t="str">
            <v>4</v>
          </cell>
          <cell r="E3337" t="str">
            <v>0037</v>
          </cell>
          <cell r="F3337" t="str">
            <v>0003</v>
          </cell>
          <cell r="G3337" t="str">
            <v>221010102</v>
          </cell>
          <cell r="H3337" t="str">
            <v>付电.水费税款</v>
          </cell>
          <cell r="I3337" t="b">
            <v>1</v>
          </cell>
          <cell r="J3337">
            <v>89307.55</v>
          </cell>
          <cell r="K3337">
            <v>0</v>
          </cell>
          <cell r="L3337">
            <v>0</v>
          </cell>
        </row>
        <row r="3338">
          <cell r="A3338" t="str">
            <v>12</v>
          </cell>
          <cell r="B3338" t="str">
            <v>23</v>
          </cell>
          <cell r="C3338" t="str">
            <v>12</v>
          </cell>
          <cell r="D3338" t="str">
            <v>4</v>
          </cell>
          <cell r="E3338" t="str">
            <v>0052</v>
          </cell>
          <cell r="F3338" t="str">
            <v>0003</v>
          </cell>
          <cell r="G3338" t="str">
            <v>221010102</v>
          </cell>
          <cell r="H3338" t="str">
            <v>购材料税款</v>
          </cell>
          <cell r="I3338" t="b">
            <v>1</v>
          </cell>
          <cell r="J3338">
            <v>12283.48</v>
          </cell>
          <cell r="K3338">
            <v>0</v>
          </cell>
          <cell r="L3338">
            <v>0</v>
          </cell>
        </row>
        <row r="3339">
          <cell r="A3339" t="str">
            <v>12</v>
          </cell>
          <cell r="B3339" t="str">
            <v>23</v>
          </cell>
          <cell r="C3339" t="str">
            <v>12</v>
          </cell>
          <cell r="D3339" t="str">
            <v>4</v>
          </cell>
          <cell r="E3339" t="str">
            <v>0053</v>
          </cell>
          <cell r="F3339" t="str">
            <v>0004</v>
          </cell>
          <cell r="G3339" t="str">
            <v>221010102</v>
          </cell>
          <cell r="H3339" t="str">
            <v>付税款</v>
          </cell>
          <cell r="I3339" t="b">
            <v>1</v>
          </cell>
          <cell r="J3339">
            <v>83403.72</v>
          </cell>
          <cell r="K3339">
            <v>0</v>
          </cell>
          <cell r="L3339">
            <v>0</v>
          </cell>
        </row>
        <row r="3340">
          <cell r="A3340" t="str">
            <v>12</v>
          </cell>
          <cell r="B3340" t="str">
            <v>20</v>
          </cell>
          <cell r="C3340" t="str">
            <v>12</v>
          </cell>
          <cell r="D3340" t="str">
            <v>5</v>
          </cell>
          <cell r="E3340" t="str">
            <v>0009</v>
          </cell>
          <cell r="F3340" t="str">
            <v>0003</v>
          </cell>
          <cell r="G3340" t="str">
            <v>221010102</v>
          </cell>
          <cell r="H3340" t="str">
            <v>转购滕州.陕西梨汁税金</v>
          </cell>
          <cell r="I3340" t="b">
            <v>1</v>
          </cell>
          <cell r="J3340">
            <v>238285.79</v>
          </cell>
          <cell r="K3340">
            <v>0</v>
          </cell>
          <cell r="L3340">
            <v>0</v>
          </cell>
        </row>
        <row r="3341">
          <cell r="A3341" t="str">
            <v>12</v>
          </cell>
          <cell r="B3341" t="str">
            <v>20</v>
          </cell>
          <cell r="C3341" t="str">
            <v>12</v>
          </cell>
          <cell r="D3341" t="str">
            <v>5</v>
          </cell>
          <cell r="E3341" t="str">
            <v>0010</v>
          </cell>
          <cell r="F3341" t="str">
            <v>0003</v>
          </cell>
          <cell r="G3341" t="str">
            <v>221010102</v>
          </cell>
          <cell r="H3341" t="str">
            <v>转购平原.宝鸡果汁税金</v>
          </cell>
          <cell r="I3341" t="b">
            <v>1</v>
          </cell>
          <cell r="J3341">
            <v>742734.85</v>
          </cell>
          <cell r="K3341">
            <v>0</v>
          </cell>
          <cell r="L3341">
            <v>0</v>
          </cell>
        </row>
        <row r="3342">
          <cell r="A3342" t="str">
            <v>12</v>
          </cell>
          <cell r="B3342" t="str">
            <v>20</v>
          </cell>
          <cell r="C3342" t="str">
            <v>12</v>
          </cell>
          <cell r="D3342" t="str">
            <v>5</v>
          </cell>
          <cell r="E3342" t="str">
            <v>0011</v>
          </cell>
          <cell r="F3342" t="str">
            <v>0003</v>
          </cell>
          <cell r="G3342" t="str">
            <v>221010102</v>
          </cell>
          <cell r="H3342" t="str">
            <v>转购五莲.卢龙苹果汁税金</v>
          </cell>
          <cell r="I3342" t="b">
            <v>1</v>
          </cell>
          <cell r="J3342">
            <v>1003857.2</v>
          </cell>
          <cell r="K3342">
            <v>0</v>
          </cell>
          <cell r="L3342">
            <v>0</v>
          </cell>
        </row>
        <row r="3343">
          <cell r="A3343" t="str">
            <v>12</v>
          </cell>
          <cell r="B3343" t="str">
            <v>20</v>
          </cell>
          <cell r="C3343" t="str">
            <v>12</v>
          </cell>
          <cell r="D3343" t="str">
            <v>5</v>
          </cell>
          <cell r="E3343" t="str">
            <v>0012</v>
          </cell>
          <cell r="F3343" t="str">
            <v>0002</v>
          </cell>
          <cell r="G3343" t="str">
            <v>221010102</v>
          </cell>
          <cell r="H3343" t="str">
            <v>转购滕州分公司苹果汁税金</v>
          </cell>
          <cell r="I3343" t="b">
            <v>1</v>
          </cell>
          <cell r="J3343">
            <v>449628.64</v>
          </cell>
          <cell r="K3343">
            <v>0</v>
          </cell>
          <cell r="L3343">
            <v>0</v>
          </cell>
        </row>
        <row r="3344">
          <cell r="A3344" t="str">
            <v>12</v>
          </cell>
          <cell r="B3344" t="str">
            <v>20</v>
          </cell>
          <cell r="C3344" t="str">
            <v>12</v>
          </cell>
          <cell r="D3344" t="str">
            <v>5</v>
          </cell>
          <cell r="E3344" t="str">
            <v>0013</v>
          </cell>
          <cell r="F3344" t="str">
            <v>0002</v>
          </cell>
          <cell r="G3344" t="str">
            <v>221010102</v>
          </cell>
          <cell r="H3344" t="str">
            <v>转购硅藻土.苹果酸等税金</v>
          </cell>
          <cell r="I3344" t="b">
            <v>1</v>
          </cell>
          <cell r="J3344">
            <v>8570.94</v>
          </cell>
          <cell r="K3344">
            <v>0</v>
          </cell>
          <cell r="L3344">
            <v>0</v>
          </cell>
        </row>
        <row r="3345">
          <cell r="A3345" t="str">
            <v>12</v>
          </cell>
          <cell r="B3345" t="str">
            <v>20</v>
          </cell>
          <cell r="C3345" t="str">
            <v>12</v>
          </cell>
          <cell r="D3345" t="str">
            <v>5</v>
          </cell>
          <cell r="E3345" t="str">
            <v>0014</v>
          </cell>
          <cell r="F3345" t="str">
            <v>0002</v>
          </cell>
          <cell r="G3345" t="str">
            <v>221010102</v>
          </cell>
          <cell r="H3345" t="str">
            <v>转购明胶.糖化酶等税金</v>
          </cell>
          <cell r="I3345" t="b">
            <v>1</v>
          </cell>
          <cell r="J3345">
            <v>15434.16</v>
          </cell>
          <cell r="K3345">
            <v>0</v>
          </cell>
          <cell r="L3345">
            <v>0</v>
          </cell>
        </row>
        <row r="3346">
          <cell r="A3346" t="str">
            <v>12</v>
          </cell>
          <cell r="B3346" t="str">
            <v>26</v>
          </cell>
          <cell r="C3346" t="str">
            <v>12</v>
          </cell>
          <cell r="D3346" t="str">
            <v>5</v>
          </cell>
          <cell r="E3346" t="str">
            <v>0029</v>
          </cell>
          <cell r="F3346" t="str">
            <v>0002</v>
          </cell>
          <cell r="G3346" t="str">
            <v>221010102</v>
          </cell>
          <cell r="H3346" t="str">
            <v>转购87.922吨苹果汁税金</v>
          </cell>
          <cell r="I3346" t="b">
            <v>1</v>
          </cell>
          <cell r="J3346">
            <v>48099.49</v>
          </cell>
          <cell r="K3346">
            <v>0</v>
          </cell>
          <cell r="L3346">
            <v>0</v>
          </cell>
        </row>
        <row r="3347">
          <cell r="A3347" t="str">
            <v>02</v>
          </cell>
          <cell r="B3347" t="str">
            <v>26</v>
          </cell>
          <cell r="C3347" t="str">
            <v>02</v>
          </cell>
          <cell r="D3347" t="str">
            <v>5</v>
          </cell>
          <cell r="E3347" t="str">
            <v>0020</v>
          </cell>
          <cell r="F3347" t="str">
            <v>0006</v>
          </cell>
          <cell r="G3347" t="str">
            <v>221010105</v>
          </cell>
          <cell r="H3347" t="str">
            <v>转各厂耗水电税金款</v>
          </cell>
          <cell r="I3347" t="b">
            <v>0</v>
          </cell>
          <cell r="J3347">
            <v>14186.88</v>
          </cell>
          <cell r="K3347">
            <v>0</v>
          </cell>
          <cell r="L3347">
            <v>0</v>
          </cell>
        </row>
        <row r="3348">
          <cell r="A3348" t="str">
            <v>04</v>
          </cell>
          <cell r="B3348" t="str">
            <v>20</v>
          </cell>
          <cell r="C3348" t="str">
            <v>04</v>
          </cell>
          <cell r="D3348" t="str">
            <v>5</v>
          </cell>
          <cell r="E3348" t="str">
            <v>0011</v>
          </cell>
          <cell r="F3348" t="str">
            <v>0004</v>
          </cell>
          <cell r="G3348" t="str">
            <v>221010105</v>
          </cell>
          <cell r="H3348" t="str">
            <v>转各厂耗水税金款</v>
          </cell>
          <cell r="I3348" t="b">
            <v>0</v>
          </cell>
          <cell r="J3348">
            <v>6436.31</v>
          </cell>
          <cell r="K3348">
            <v>0</v>
          </cell>
          <cell r="L3348">
            <v>0</v>
          </cell>
        </row>
        <row r="3349">
          <cell r="A3349" t="str">
            <v>05</v>
          </cell>
          <cell r="B3349" t="str">
            <v>25</v>
          </cell>
          <cell r="C3349" t="str">
            <v>05</v>
          </cell>
          <cell r="D3349" t="str">
            <v>5</v>
          </cell>
          <cell r="E3349" t="str">
            <v>0003</v>
          </cell>
          <cell r="F3349" t="str">
            <v>0006</v>
          </cell>
          <cell r="G3349" t="str">
            <v>221010105</v>
          </cell>
          <cell r="H3349" t="str">
            <v>转各厂耗水电税金款</v>
          </cell>
          <cell r="I3349" t="b">
            <v>0</v>
          </cell>
          <cell r="J3349">
            <v>1022.25</v>
          </cell>
          <cell r="K3349">
            <v>0</v>
          </cell>
          <cell r="L3349">
            <v>0</v>
          </cell>
        </row>
        <row r="3350">
          <cell r="A3350" t="str">
            <v>02</v>
          </cell>
          <cell r="B3350" t="str">
            <v>05</v>
          </cell>
          <cell r="C3350" t="str">
            <v>02</v>
          </cell>
          <cell r="D3350" t="str">
            <v>1</v>
          </cell>
          <cell r="E3350" t="str">
            <v>0004</v>
          </cell>
          <cell r="F3350" t="str">
            <v>0005</v>
          </cell>
          <cell r="G3350" t="str">
            <v>221010201</v>
          </cell>
          <cell r="H3350" t="str">
            <v>收旧袋款税款</v>
          </cell>
          <cell r="I3350" t="b">
            <v>0</v>
          </cell>
          <cell r="J3350">
            <v>136.58000000000001</v>
          </cell>
          <cell r="K3350">
            <v>0</v>
          </cell>
          <cell r="L3350">
            <v>0</v>
          </cell>
        </row>
        <row r="3351">
          <cell r="A3351" t="str">
            <v>02</v>
          </cell>
          <cell r="B3351" t="str">
            <v>05</v>
          </cell>
          <cell r="C3351" t="str">
            <v>02</v>
          </cell>
          <cell r="D3351" t="str">
            <v>1</v>
          </cell>
          <cell r="E3351" t="str">
            <v>0006</v>
          </cell>
          <cell r="F3351" t="str">
            <v>0003</v>
          </cell>
          <cell r="G3351" t="str">
            <v>221010201</v>
          </cell>
          <cell r="H3351" t="str">
            <v>销苹果浓汁税款</v>
          </cell>
          <cell r="I3351" t="b">
            <v>0</v>
          </cell>
          <cell r="J3351">
            <v>1768</v>
          </cell>
          <cell r="K3351">
            <v>0</v>
          </cell>
          <cell r="L3351">
            <v>0</v>
          </cell>
        </row>
        <row r="3352">
          <cell r="A3352" t="str">
            <v>02</v>
          </cell>
          <cell r="B3352" t="str">
            <v>16</v>
          </cell>
          <cell r="C3352" t="str">
            <v>02</v>
          </cell>
          <cell r="D3352" t="str">
            <v>1</v>
          </cell>
          <cell r="E3352" t="str">
            <v>0009</v>
          </cell>
          <cell r="F3352" t="str">
            <v>0005</v>
          </cell>
          <cell r="G3352" t="str">
            <v>221010201</v>
          </cell>
          <cell r="H3352" t="str">
            <v>收旧袋款税款</v>
          </cell>
          <cell r="I3352" t="b">
            <v>0</v>
          </cell>
          <cell r="J3352">
            <v>72.650000000000006</v>
          </cell>
          <cell r="K3352">
            <v>0</v>
          </cell>
          <cell r="L3352">
            <v>0</v>
          </cell>
        </row>
        <row r="3353">
          <cell r="A3353" t="str">
            <v>02</v>
          </cell>
          <cell r="B3353" t="str">
            <v>16</v>
          </cell>
          <cell r="C3353" t="str">
            <v>02</v>
          </cell>
          <cell r="D3353" t="str">
            <v>1</v>
          </cell>
          <cell r="E3353" t="str">
            <v>0010</v>
          </cell>
          <cell r="F3353" t="str">
            <v>0003</v>
          </cell>
          <cell r="G3353" t="str">
            <v>221010201</v>
          </cell>
          <cell r="H3353" t="str">
            <v>销硅藻土税款</v>
          </cell>
          <cell r="I3353" t="b">
            <v>0</v>
          </cell>
          <cell r="J3353">
            <v>29.06</v>
          </cell>
          <cell r="K3353">
            <v>0</v>
          </cell>
          <cell r="L3353">
            <v>0</v>
          </cell>
        </row>
        <row r="3354">
          <cell r="A3354" t="str">
            <v>02</v>
          </cell>
          <cell r="B3354" t="str">
            <v>16</v>
          </cell>
          <cell r="C3354" t="str">
            <v>02</v>
          </cell>
          <cell r="D3354" t="str">
            <v>1</v>
          </cell>
          <cell r="E3354" t="str">
            <v>0011</v>
          </cell>
          <cell r="F3354" t="str">
            <v>0003</v>
          </cell>
          <cell r="G3354" t="str">
            <v>221010201</v>
          </cell>
          <cell r="H3354" t="str">
            <v>销苹果浓汁税款</v>
          </cell>
          <cell r="I3354" t="b">
            <v>0</v>
          </cell>
          <cell r="J3354">
            <v>296.41000000000003</v>
          </cell>
          <cell r="K3354">
            <v>0</v>
          </cell>
          <cell r="L3354">
            <v>0</v>
          </cell>
        </row>
        <row r="3355">
          <cell r="A3355" t="str">
            <v>02</v>
          </cell>
          <cell r="B3355" t="str">
            <v>16</v>
          </cell>
          <cell r="C3355" t="str">
            <v>02</v>
          </cell>
          <cell r="D3355" t="str">
            <v>1</v>
          </cell>
          <cell r="E3355" t="str">
            <v>0011</v>
          </cell>
          <cell r="F3355" t="str">
            <v>0005</v>
          </cell>
          <cell r="G3355" t="str">
            <v>221010201</v>
          </cell>
          <cell r="H3355" t="str">
            <v>销山楂浓汁税款</v>
          </cell>
          <cell r="I3355" t="b">
            <v>0</v>
          </cell>
          <cell r="J3355">
            <v>11.62</v>
          </cell>
          <cell r="K3355">
            <v>0</v>
          </cell>
          <cell r="L3355">
            <v>0</v>
          </cell>
        </row>
        <row r="3356">
          <cell r="A3356" t="str">
            <v>02</v>
          </cell>
          <cell r="B3356" t="str">
            <v>29</v>
          </cell>
          <cell r="C3356" t="str">
            <v>02</v>
          </cell>
          <cell r="D3356" t="str">
            <v>5</v>
          </cell>
          <cell r="E3356" t="str">
            <v>0044</v>
          </cell>
          <cell r="F3356" t="str">
            <v>0003</v>
          </cell>
          <cell r="G3356" t="str">
            <v>221010201</v>
          </cell>
          <cell r="H3356" t="str">
            <v>转销旧塑料桶及苹果汁税金</v>
          </cell>
          <cell r="I3356" t="b">
            <v>0</v>
          </cell>
          <cell r="J3356">
            <v>1101.3699999999999</v>
          </cell>
          <cell r="K3356">
            <v>0</v>
          </cell>
          <cell r="L3356">
            <v>0</v>
          </cell>
        </row>
        <row r="3357">
          <cell r="A3357" t="str">
            <v>03</v>
          </cell>
          <cell r="B3357" t="str">
            <v>17</v>
          </cell>
          <cell r="C3357" t="str">
            <v>03</v>
          </cell>
          <cell r="D3357" t="str">
            <v>1</v>
          </cell>
          <cell r="E3357" t="str">
            <v>0002</v>
          </cell>
          <cell r="F3357" t="str">
            <v>0003</v>
          </cell>
          <cell r="G3357" t="str">
            <v>221010201</v>
          </cell>
          <cell r="H3357" t="str">
            <v>销苹果浓汁税款</v>
          </cell>
          <cell r="I3357" t="b">
            <v>0</v>
          </cell>
          <cell r="J3357">
            <v>8.14</v>
          </cell>
          <cell r="K3357">
            <v>0</v>
          </cell>
          <cell r="L3357">
            <v>0</v>
          </cell>
        </row>
        <row r="3358">
          <cell r="A3358" t="str">
            <v>03</v>
          </cell>
          <cell r="B3358" t="str">
            <v>17</v>
          </cell>
          <cell r="C3358" t="str">
            <v>03</v>
          </cell>
          <cell r="D3358" t="str">
            <v>1</v>
          </cell>
          <cell r="E3358" t="str">
            <v>0002</v>
          </cell>
          <cell r="F3358" t="str">
            <v>0005</v>
          </cell>
          <cell r="G3358" t="str">
            <v>221010201</v>
          </cell>
          <cell r="H3358" t="str">
            <v>销硅藻土.塑料桶税款</v>
          </cell>
          <cell r="I3358" t="b">
            <v>0</v>
          </cell>
          <cell r="J3358">
            <v>30.37</v>
          </cell>
          <cell r="K3358">
            <v>0</v>
          </cell>
          <cell r="L3358">
            <v>0</v>
          </cell>
        </row>
        <row r="3359">
          <cell r="A3359" t="str">
            <v>03</v>
          </cell>
          <cell r="B3359" t="str">
            <v>27</v>
          </cell>
          <cell r="C3359" t="str">
            <v>03</v>
          </cell>
          <cell r="D3359" t="str">
            <v>1</v>
          </cell>
          <cell r="E3359" t="str">
            <v>0005</v>
          </cell>
          <cell r="F3359" t="str">
            <v>0003</v>
          </cell>
          <cell r="G3359" t="str">
            <v>221010201</v>
          </cell>
          <cell r="H3359" t="str">
            <v>销果渣款税款</v>
          </cell>
          <cell r="I3359" t="b">
            <v>0</v>
          </cell>
          <cell r="J3359">
            <v>16590.400000000001</v>
          </cell>
          <cell r="K3359">
            <v>0</v>
          </cell>
          <cell r="L3359">
            <v>0</v>
          </cell>
        </row>
        <row r="3360">
          <cell r="A3360" t="str">
            <v>03</v>
          </cell>
          <cell r="B3360" t="str">
            <v>27</v>
          </cell>
          <cell r="C3360" t="str">
            <v>03</v>
          </cell>
          <cell r="D3360" t="str">
            <v>1</v>
          </cell>
          <cell r="E3360" t="str">
            <v>0006</v>
          </cell>
          <cell r="F3360" t="str">
            <v>0003</v>
          </cell>
          <cell r="G3360" t="str">
            <v>221010201</v>
          </cell>
          <cell r="H3360" t="str">
            <v>销苹果浓汁税款</v>
          </cell>
          <cell r="I3360" t="b">
            <v>0</v>
          </cell>
          <cell r="J3360">
            <v>453.33</v>
          </cell>
          <cell r="K3360">
            <v>0</v>
          </cell>
          <cell r="L3360">
            <v>0</v>
          </cell>
        </row>
        <row r="3361">
          <cell r="A3361" t="str">
            <v>04</v>
          </cell>
          <cell r="B3361" t="str">
            <v>17</v>
          </cell>
          <cell r="C3361" t="str">
            <v>04</v>
          </cell>
          <cell r="D3361" t="str">
            <v>1</v>
          </cell>
          <cell r="E3361" t="str">
            <v>0003</v>
          </cell>
          <cell r="F3361" t="str">
            <v>0003</v>
          </cell>
          <cell r="G3361" t="str">
            <v>221010201</v>
          </cell>
          <cell r="H3361" t="str">
            <v>销旧桶.旧电瓶.果渣款税款</v>
          </cell>
          <cell r="I3361" t="b">
            <v>0</v>
          </cell>
          <cell r="J3361">
            <v>13531.92</v>
          </cell>
          <cell r="K3361">
            <v>0</v>
          </cell>
          <cell r="L3361">
            <v>0</v>
          </cell>
        </row>
        <row r="3362">
          <cell r="A3362" t="str">
            <v>04</v>
          </cell>
          <cell r="B3362" t="str">
            <v>20</v>
          </cell>
          <cell r="C3362" t="str">
            <v>04</v>
          </cell>
          <cell r="D3362" t="str">
            <v>1</v>
          </cell>
          <cell r="E3362" t="str">
            <v>0005</v>
          </cell>
          <cell r="F3362" t="str">
            <v>0003</v>
          </cell>
          <cell r="G3362" t="str">
            <v>221010201</v>
          </cell>
          <cell r="H3362" t="str">
            <v>转销苹果浓汁0.1吨税金</v>
          </cell>
          <cell r="I3362" t="b">
            <v>0</v>
          </cell>
          <cell r="J3362">
            <v>116.24</v>
          </cell>
          <cell r="K3362">
            <v>0</v>
          </cell>
          <cell r="L3362">
            <v>0</v>
          </cell>
        </row>
        <row r="3363">
          <cell r="A3363" t="str">
            <v>05</v>
          </cell>
          <cell r="B3363" t="str">
            <v>20</v>
          </cell>
          <cell r="C3363" t="str">
            <v>05</v>
          </cell>
          <cell r="D3363" t="str">
            <v>1</v>
          </cell>
          <cell r="E3363" t="str">
            <v>0003</v>
          </cell>
          <cell r="F3363" t="str">
            <v>0003</v>
          </cell>
          <cell r="G3363" t="str">
            <v>221010201</v>
          </cell>
          <cell r="H3363" t="str">
            <v>销干果渣税款</v>
          </cell>
          <cell r="I3363" t="b">
            <v>0</v>
          </cell>
          <cell r="J3363">
            <v>3027.57</v>
          </cell>
          <cell r="K3363">
            <v>0</v>
          </cell>
          <cell r="L3363">
            <v>0</v>
          </cell>
        </row>
        <row r="3364">
          <cell r="A3364" t="str">
            <v>06</v>
          </cell>
          <cell r="B3364" t="str">
            <v>10</v>
          </cell>
          <cell r="C3364" t="str">
            <v>06</v>
          </cell>
          <cell r="D3364" t="str">
            <v>3</v>
          </cell>
          <cell r="E3364" t="str">
            <v>0001</v>
          </cell>
          <cell r="F3364" t="str">
            <v>0003</v>
          </cell>
          <cell r="G3364" t="str">
            <v>221010201</v>
          </cell>
          <cell r="H3364" t="str">
            <v>销旧桶税款</v>
          </cell>
          <cell r="I3364" t="b">
            <v>0</v>
          </cell>
          <cell r="J3364">
            <v>3138.46</v>
          </cell>
          <cell r="K3364">
            <v>0</v>
          </cell>
          <cell r="L3364">
            <v>0</v>
          </cell>
        </row>
        <row r="3365">
          <cell r="A3365" t="str">
            <v>07</v>
          </cell>
          <cell r="B3365" t="str">
            <v>03</v>
          </cell>
          <cell r="C3365" t="str">
            <v>07</v>
          </cell>
          <cell r="D3365" t="str">
            <v>1</v>
          </cell>
          <cell r="E3365" t="str">
            <v>0002</v>
          </cell>
          <cell r="F3365" t="str">
            <v>0003</v>
          </cell>
          <cell r="G3365" t="str">
            <v>221010201</v>
          </cell>
          <cell r="H3365" t="str">
            <v>销苹果浓汁税款</v>
          </cell>
          <cell r="I3365" t="b">
            <v>0</v>
          </cell>
          <cell r="J3365">
            <v>722.14</v>
          </cell>
          <cell r="K3365">
            <v>0</v>
          </cell>
          <cell r="L3365">
            <v>0</v>
          </cell>
        </row>
        <row r="3366">
          <cell r="A3366" t="str">
            <v>07</v>
          </cell>
          <cell r="B3366" t="str">
            <v>26</v>
          </cell>
          <cell r="C3366" t="str">
            <v>07</v>
          </cell>
          <cell r="D3366" t="str">
            <v>3</v>
          </cell>
          <cell r="E3366" t="str">
            <v>0006</v>
          </cell>
          <cell r="F3366" t="str">
            <v>0003</v>
          </cell>
          <cell r="G3366" t="str">
            <v>221010201</v>
          </cell>
          <cell r="H3366" t="str">
            <v>收果楂款税款</v>
          </cell>
          <cell r="I3366" t="b">
            <v>0</v>
          </cell>
          <cell r="J3366">
            <v>12908.89</v>
          </cell>
          <cell r="K3366">
            <v>0</v>
          </cell>
          <cell r="L3366">
            <v>0</v>
          </cell>
        </row>
        <row r="3367">
          <cell r="A3367" t="str">
            <v>08</v>
          </cell>
          <cell r="B3367" t="str">
            <v>03</v>
          </cell>
          <cell r="C3367" t="str">
            <v>08</v>
          </cell>
          <cell r="D3367" t="str">
            <v>1</v>
          </cell>
          <cell r="E3367" t="str">
            <v>0002</v>
          </cell>
          <cell r="F3367" t="str">
            <v>0003</v>
          </cell>
          <cell r="G3367" t="str">
            <v>221010201</v>
          </cell>
          <cell r="H3367" t="str">
            <v>销果渣税款</v>
          </cell>
          <cell r="I3367" t="b">
            <v>0</v>
          </cell>
          <cell r="J3367">
            <v>23426.52</v>
          </cell>
          <cell r="K3367">
            <v>0</v>
          </cell>
          <cell r="L3367">
            <v>0</v>
          </cell>
        </row>
        <row r="3368">
          <cell r="A3368" t="str">
            <v>08</v>
          </cell>
          <cell r="B3368" t="str">
            <v>08</v>
          </cell>
          <cell r="C3368" t="str">
            <v>08</v>
          </cell>
          <cell r="D3368" t="str">
            <v>1</v>
          </cell>
          <cell r="E3368" t="str">
            <v>0004</v>
          </cell>
          <cell r="F3368" t="str">
            <v>0003</v>
          </cell>
          <cell r="G3368" t="str">
            <v>221010201</v>
          </cell>
          <cell r="H3368" t="str">
            <v>销干果渣.旧铁桶税款</v>
          </cell>
          <cell r="I3368" t="b">
            <v>0</v>
          </cell>
          <cell r="J3368">
            <v>7323.88</v>
          </cell>
          <cell r="K3368">
            <v>0</v>
          </cell>
          <cell r="L3368">
            <v>0</v>
          </cell>
        </row>
        <row r="3369">
          <cell r="A3369" t="str">
            <v>08</v>
          </cell>
          <cell r="B3369" t="str">
            <v>15</v>
          </cell>
          <cell r="C3369" t="str">
            <v>08</v>
          </cell>
          <cell r="D3369" t="str">
            <v>1</v>
          </cell>
          <cell r="E3369" t="str">
            <v>0006</v>
          </cell>
          <cell r="F3369" t="str">
            <v>0003</v>
          </cell>
          <cell r="G3369" t="str">
            <v>221010201</v>
          </cell>
          <cell r="H3369" t="str">
            <v>销苹果浓汁税款</v>
          </cell>
          <cell r="I3369" t="b">
            <v>0</v>
          </cell>
          <cell r="J3369">
            <v>647.02</v>
          </cell>
          <cell r="K3369">
            <v>0</v>
          </cell>
          <cell r="L3369">
            <v>0</v>
          </cell>
        </row>
        <row r="3370">
          <cell r="A3370" t="str">
            <v>08</v>
          </cell>
          <cell r="B3370" t="str">
            <v>15</v>
          </cell>
          <cell r="C3370" t="str">
            <v>08</v>
          </cell>
          <cell r="D3370" t="str">
            <v>1</v>
          </cell>
          <cell r="E3370" t="str">
            <v>0006</v>
          </cell>
          <cell r="F3370" t="str">
            <v>0005</v>
          </cell>
          <cell r="G3370" t="str">
            <v>221010201</v>
          </cell>
          <cell r="H3370" t="str">
            <v>销山楂浓汁税款</v>
          </cell>
          <cell r="I3370" t="b">
            <v>0</v>
          </cell>
          <cell r="J3370">
            <v>36.619999999999997</v>
          </cell>
          <cell r="K3370">
            <v>0</v>
          </cell>
          <cell r="L3370">
            <v>0</v>
          </cell>
        </row>
        <row r="3371">
          <cell r="A3371" t="str">
            <v>08</v>
          </cell>
          <cell r="B3371" t="str">
            <v>23</v>
          </cell>
          <cell r="C3371" t="str">
            <v>08</v>
          </cell>
          <cell r="D3371" t="str">
            <v>1</v>
          </cell>
          <cell r="E3371" t="str">
            <v>0007</v>
          </cell>
          <cell r="F3371" t="str">
            <v>0003</v>
          </cell>
          <cell r="G3371" t="str">
            <v>221010201</v>
          </cell>
          <cell r="H3371" t="str">
            <v>销活性炭税款</v>
          </cell>
          <cell r="I3371" t="b">
            <v>0</v>
          </cell>
          <cell r="J3371">
            <v>988.03</v>
          </cell>
          <cell r="K3371">
            <v>0</v>
          </cell>
          <cell r="L3371">
            <v>0</v>
          </cell>
        </row>
        <row r="3372">
          <cell r="A3372" t="str">
            <v>08</v>
          </cell>
          <cell r="B3372" t="str">
            <v>27</v>
          </cell>
          <cell r="C3372" t="str">
            <v>08</v>
          </cell>
          <cell r="D3372" t="str">
            <v>5</v>
          </cell>
          <cell r="E3372" t="str">
            <v>0022</v>
          </cell>
          <cell r="F3372" t="str">
            <v>0003</v>
          </cell>
          <cell r="G3372" t="str">
            <v>221010201</v>
          </cell>
          <cell r="H3372" t="str">
            <v>转销苹果浓汁0.195吨税金</v>
          </cell>
          <cell r="I3372" t="b">
            <v>0</v>
          </cell>
          <cell r="J3372">
            <v>248.46</v>
          </cell>
          <cell r="K3372">
            <v>0</v>
          </cell>
          <cell r="L3372">
            <v>0</v>
          </cell>
        </row>
        <row r="3373">
          <cell r="A3373" t="str">
            <v>09</v>
          </cell>
          <cell r="B3373" t="str">
            <v>01</v>
          </cell>
          <cell r="C3373" t="str">
            <v>09</v>
          </cell>
          <cell r="D3373" t="str">
            <v>1</v>
          </cell>
          <cell r="E3373" t="str">
            <v>0001</v>
          </cell>
          <cell r="F3373" t="str">
            <v>0003</v>
          </cell>
          <cell r="G3373" t="str">
            <v>221010201</v>
          </cell>
          <cell r="H3373" t="str">
            <v>销苹果浓汁税款</v>
          </cell>
          <cell r="I3373" t="b">
            <v>0</v>
          </cell>
          <cell r="J3373">
            <v>97.64</v>
          </cell>
          <cell r="K3373">
            <v>0</v>
          </cell>
          <cell r="L3373">
            <v>0</v>
          </cell>
        </row>
        <row r="3374">
          <cell r="A3374" t="str">
            <v>09</v>
          </cell>
          <cell r="B3374" t="str">
            <v>03</v>
          </cell>
          <cell r="C3374" t="str">
            <v>09</v>
          </cell>
          <cell r="D3374" t="str">
            <v>1</v>
          </cell>
          <cell r="E3374" t="str">
            <v>0002</v>
          </cell>
          <cell r="F3374" t="str">
            <v>0005</v>
          </cell>
          <cell r="G3374" t="str">
            <v>221010201</v>
          </cell>
          <cell r="H3374" t="str">
            <v>收税款</v>
          </cell>
          <cell r="I3374" t="b">
            <v>0</v>
          </cell>
          <cell r="J3374">
            <v>1176.92</v>
          </cell>
          <cell r="K3374">
            <v>0</v>
          </cell>
          <cell r="L3374">
            <v>0</v>
          </cell>
        </row>
        <row r="3375">
          <cell r="A3375" t="str">
            <v>09</v>
          </cell>
          <cell r="B3375" t="str">
            <v>20</v>
          </cell>
          <cell r="C3375" t="str">
            <v>09</v>
          </cell>
          <cell r="D3375" t="str">
            <v>1</v>
          </cell>
          <cell r="E3375" t="str">
            <v>0006</v>
          </cell>
          <cell r="F3375" t="str">
            <v>0003</v>
          </cell>
          <cell r="G3375" t="str">
            <v>221010201</v>
          </cell>
          <cell r="H3375" t="str">
            <v>销苹果浓汁税款</v>
          </cell>
          <cell r="I3375" t="b">
            <v>0</v>
          </cell>
          <cell r="J3375">
            <v>104.62</v>
          </cell>
          <cell r="K3375">
            <v>0</v>
          </cell>
          <cell r="L3375">
            <v>0</v>
          </cell>
        </row>
        <row r="3376">
          <cell r="A3376" t="str">
            <v>09</v>
          </cell>
          <cell r="B3376" t="str">
            <v>23</v>
          </cell>
          <cell r="C3376" t="str">
            <v>09</v>
          </cell>
          <cell r="D3376" t="str">
            <v>3</v>
          </cell>
          <cell r="E3376" t="str">
            <v>0008</v>
          </cell>
          <cell r="F3376" t="str">
            <v>0003</v>
          </cell>
          <cell r="G3376" t="str">
            <v>221010201</v>
          </cell>
          <cell r="H3376" t="str">
            <v>销山楂浓汁税款</v>
          </cell>
          <cell r="I3376" t="b">
            <v>0</v>
          </cell>
          <cell r="J3376">
            <v>799.15</v>
          </cell>
          <cell r="K3376">
            <v>0</v>
          </cell>
          <cell r="L3376">
            <v>0</v>
          </cell>
        </row>
        <row r="3377">
          <cell r="A3377" t="str">
            <v>10</v>
          </cell>
          <cell r="B3377" t="str">
            <v>04</v>
          </cell>
          <cell r="C3377" t="str">
            <v>10</v>
          </cell>
          <cell r="D3377" t="str">
            <v>1</v>
          </cell>
          <cell r="E3377" t="str">
            <v>0002</v>
          </cell>
          <cell r="F3377" t="str">
            <v>0005</v>
          </cell>
          <cell r="G3377" t="str">
            <v>221010201</v>
          </cell>
          <cell r="H3377" t="str">
            <v>收税款</v>
          </cell>
          <cell r="I3377" t="b">
            <v>0</v>
          </cell>
          <cell r="J3377">
            <v>7953.09</v>
          </cell>
          <cell r="K3377">
            <v>0</v>
          </cell>
          <cell r="L3377">
            <v>0</v>
          </cell>
        </row>
        <row r="3378">
          <cell r="A3378" t="str">
            <v>10</v>
          </cell>
          <cell r="B3378" t="str">
            <v>20</v>
          </cell>
          <cell r="C3378" t="str">
            <v>10</v>
          </cell>
          <cell r="D3378" t="str">
            <v>1</v>
          </cell>
          <cell r="E3378" t="str">
            <v>0006</v>
          </cell>
          <cell r="F3378" t="str">
            <v>0003</v>
          </cell>
          <cell r="G3378" t="str">
            <v>221010201</v>
          </cell>
          <cell r="H3378" t="str">
            <v>收编织袋.果渣款税款</v>
          </cell>
          <cell r="I3378" t="b">
            <v>0</v>
          </cell>
          <cell r="J3378">
            <v>6756.61</v>
          </cell>
          <cell r="K3378">
            <v>0</v>
          </cell>
          <cell r="L3378">
            <v>0</v>
          </cell>
        </row>
        <row r="3379">
          <cell r="A3379" t="str">
            <v>10</v>
          </cell>
          <cell r="B3379" t="str">
            <v>20</v>
          </cell>
          <cell r="C3379" t="str">
            <v>10</v>
          </cell>
          <cell r="D3379" t="str">
            <v>1</v>
          </cell>
          <cell r="E3379" t="str">
            <v>0006</v>
          </cell>
          <cell r="F3379" t="str">
            <v>0005</v>
          </cell>
          <cell r="G3379" t="str">
            <v>221010201</v>
          </cell>
          <cell r="H3379" t="str">
            <v>收浓汁款税款</v>
          </cell>
          <cell r="I3379" t="b">
            <v>0</v>
          </cell>
          <cell r="J3379">
            <v>13.08</v>
          </cell>
          <cell r="K3379">
            <v>0</v>
          </cell>
          <cell r="L3379">
            <v>0</v>
          </cell>
        </row>
        <row r="3380">
          <cell r="A3380" t="str">
            <v>11</v>
          </cell>
          <cell r="B3380" t="str">
            <v>08</v>
          </cell>
          <cell r="C3380" t="str">
            <v>11</v>
          </cell>
          <cell r="D3380" t="str">
            <v>1</v>
          </cell>
          <cell r="E3380" t="str">
            <v>0001</v>
          </cell>
          <cell r="F3380" t="str">
            <v>0003</v>
          </cell>
          <cell r="G3380" t="str">
            <v>221010201</v>
          </cell>
          <cell r="H3380" t="str">
            <v>销苹果浓汁税款</v>
          </cell>
          <cell r="I3380" t="b">
            <v>0</v>
          </cell>
          <cell r="J3380">
            <v>113.33</v>
          </cell>
          <cell r="K3380">
            <v>0</v>
          </cell>
          <cell r="L3380">
            <v>0</v>
          </cell>
        </row>
        <row r="3381">
          <cell r="A3381" t="str">
            <v>11</v>
          </cell>
          <cell r="B3381" t="str">
            <v>16</v>
          </cell>
          <cell r="C3381" t="str">
            <v>11</v>
          </cell>
          <cell r="D3381" t="str">
            <v>1</v>
          </cell>
          <cell r="E3381" t="str">
            <v>0002</v>
          </cell>
          <cell r="F3381" t="str">
            <v>0003</v>
          </cell>
          <cell r="G3381" t="str">
            <v>221010201</v>
          </cell>
          <cell r="H3381" t="str">
            <v>收税款</v>
          </cell>
          <cell r="I3381" t="b">
            <v>0</v>
          </cell>
          <cell r="J3381">
            <v>246.19</v>
          </cell>
          <cell r="K3381">
            <v>0</v>
          </cell>
          <cell r="L3381">
            <v>0</v>
          </cell>
        </row>
        <row r="3382">
          <cell r="A3382" t="str">
            <v>11</v>
          </cell>
          <cell r="B3382" t="str">
            <v>18</v>
          </cell>
          <cell r="C3382" t="str">
            <v>11</v>
          </cell>
          <cell r="D3382" t="str">
            <v>5</v>
          </cell>
          <cell r="E3382" t="str">
            <v>0016</v>
          </cell>
          <cell r="F3382" t="str">
            <v>0003</v>
          </cell>
          <cell r="G3382" t="str">
            <v>221010201</v>
          </cell>
          <cell r="H3382" t="str">
            <v>转订正99年10月1-4#凭证错制</v>
          </cell>
          <cell r="I3382" t="b">
            <v>0</v>
          </cell>
          <cell r="J3382">
            <v>20.34</v>
          </cell>
          <cell r="K3382">
            <v>0</v>
          </cell>
          <cell r="L3382">
            <v>0</v>
          </cell>
        </row>
        <row r="3383">
          <cell r="A3383" t="str">
            <v>12</v>
          </cell>
          <cell r="B3383" t="str">
            <v>01</v>
          </cell>
          <cell r="C3383" t="str">
            <v>12</v>
          </cell>
          <cell r="D3383" t="str">
            <v>1</v>
          </cell>
          <cell r="E3383" t="str">
            <v>0001</v>
          </cell>
          <cell r="F3383" t="str">
            <v>0003</v>
          </cell>
          <cell r="G3383" t="str">
            <v>221010201</v>
          </cell>
          <cell r="H3383" t="str">
            <v>销果渣税款</v>
          </cell>
          <cell r="I3383" t="b">
            <v>0</v>
          </cell>
          <cell r="J3383">
            <v>3377.91</v>
          </cell>
          <cell r="K3383">
            <v>0</v>
          </cell>
          <cell r="L3383">
            <v>0</v>
          </cell>
        </row>
        <row r="3384">
          <cell r="A3384" t="str">
            <v>12</v>
          </cell>
          <cell r="B3384" t="str">
            <v>20</v>
          </cell>
          <cell r="C3384" t="str">
            <v>12</v>
          </cell>
          <cell r="D3384" t="str">
            <v>1</v>
          </cell>
          <cell r="E3384" t="str">
            <v>0005</v>
          </cell>
          <cell r="F3384" t="str">
            <v>0005</v>
          </cell>
          <cell r="G3384" t="str">
            <v>221010201</v>
          </cell>
          <cell r="H3384" t="str">
            <v>收旧铁桶款税款</v>
          </cell>
          <cell r="I3384" t="b">
            <v>0</v>
          </cell>
          <cell r="J3384">
            <v>789.7</v>
          </cell>
          <cell r="K3384">
            <v>0</v>
          </cell>
          <cell r="L3384">
            <v>0</v>
          </cell>
        </row>
        <row r="3385">
          <cell r="A3385" t="str">
            <v>12</v>
          </cell>
          <cell r="B3385" t="str">
            <v>05</v>
          </cell>
          <cell r="C3385" t="str">
            <v>12</v>
          </cell>
          <cell r="D3385" t="str">
            <v>3</v>
          </cell>
          <cell r="E3385" t="str">
            <v>0004</v>
          </cell>
          <cell r="F3385" t="str">
            <v>0003</v>
          </cell>
          <cell r="G3385" t="str">
            <v>221010201</v>
          </cell>
          <cell r="H3385" t="str">
            <v>收浓汁税款</v>
          </cell>
          <cell r="I3385" t="b">
            <v>0</v>
          </cell>
          <cell r="J3385">
            <v>1935.38</v>
          </cell>
          <cell r="K3385">
            <v>0</v>
          </cell>
          <cell r="L3385">
            <v>0</v>
          </cell>
        </row>
        <row r="3386">
          <cell r="A3386" t="str">
            <v>02</v>
          </cell>
          <cell r="B3386" t="str">
            <v>15</v>
          </cell>
          <cell r="C3386" t="str">
            <v>02</v>
          </cell>
          <cell r="D3386" t="str">
            <v>4</v>
          </cell>
          <cell r="E3386" t="str">
            <v>0016</v>
          </cell>
          <cell r="F3386" t="str">
            <v>0003</v>
          </cell>
          <cell r="G3386" t="str">
            <v>221010202</v>
          </cell>
          <cell r="H3386" t="str">
            <v>付运费税款</v>
          </cell>
          <cell r="I3386" t="b">
            <v>1</v>
          </cell>
          <cell r="J3386">
            <v>173.42</v>
          </cell>
          <cell r="K3386">
            <v>0</v>
          </cell>
          <cell r="L3386">
            <v>0</v>
          </cell>
        </row>
        <row r="3387">
          <cell r="A3387" t="str">
            <v>02</v>
          </cell>
          <cell r="B3387" t="str">
            <v>18</v>
          </cell>
          <cell r="C3387" t="str">
            <v>02</v>
          </cell>
          <cell r="D3387" t="str">
            <v>4</v>
          </cell>
          <cell r="E3387" t="str">
            <v>0023</v>
          </cell>
          <cell r="F3387" t="str">
            <v>0003</v>
          </cell>
          <cell r="G3387" t="str">
            <v>221010202</v>
          </cell>
          <cell r="H3387" t="str">
            <v>付FUR053#发票运费税款</v>
          </cell>
          <cell r="I3387" t="b">
            <v>1</v>
          </cell>
          <cell r="J3387">
            <v>263.02</v>
          </cell>
          <cell r="K3387">
            <v>0</v>
          </cell>
          <cell r="L3387">
            <v>0</v>
          </cell>
        </row>
        <row r="3388">
          <cell r="A3388" t="str">
            <v>02</v>
          </cell>
          <cell r="B3388" t="str">
            <v>18</v>
          </cell>
          <cell r="C3388" t="str">
            <v>02</v>
          </cell>
          <cell r="D3388" t="str">
            <v>4</v>
          </cell>
          <cell r="E3388" t="str">
            <v>0024</v>
          </cell>
          <cell r="F3388" t="str">
            <v>0002</v>
          </cell>
          <cell r="G3388" t="str">
            <v>221010202</v>
          </cell>
          <cell r="H3388" t="str">
            <v>付运费税款</v>
          </cell>
          <cell r="I3388" t="b">
            <v>1</v>
          </cell>
          <cell r="J3388">
            <v>3094.07</v>
          </cell>
          <cell r="K3388">
            <v>0</v>
          </cell>
          <cell r="L3388">
            <v>0</v>
          </cell>
        </row>
        <row r="3389">
          <cell r="A3389" t="str">
            <v>02</v>
          </cell>
          <cell r="B3389" t="str">
            <v>19</v>
          </cell>
          <cell r="C3389" t="str">
            <v>02</v>
          </cell>
          <cell r="D3389" t="str">
            <v>4</v>
          </cell>
          <cell r="E3389" t="str">
            <v>0025</v>
          </cell>
          <cell r="F3389" t="str">
            <v>0003</v>
          </cell>
          <cell r="G3389" t="str">
            <v>221010202</v>
          </cell>
          <cell r="H3389" t="str">
            <v>付运费税款</v>
          </cell>
          <cell r="I3389" t="b">
            <v>1</v>
          </cell>
          <cell r="J3389">
            <v>4365.74</v>
          </cell>
          <cell r="K3389">
            <v>0</v>
          </cell>
          <cell r="L3389">
            <v>0</v>
          </cell>
        </row>
        <row r="3390">
          <cell r="A3390" t="str">
            <v>02</v>
          </cell>
          <cell r="B3390" t="str">
            <v>19</v>
          </cell>
          <cell r="C3390" t="str">
            <v>02</v>
          </cell>
          <cell r="D3390" t="str">
            <v>4</v>
          </cell>
          <cell r="E3390" t="str">
            <v>0026</v>
          </cell>
          <cell r="F3390" t="str">
            <v>0003</v>
          </cell>
          <cell r="G3390" t="str">
            <v>221010202</v>
          </cell>
          <cell r="H3390" t="str">
            <v>付运费税款</v>
          </cell>
          <cell r="I3390" t="b">
            <v>1</v>
          </cell>
          <cell r="J3390">
            <v>1395.3</v>
          </cell>
          <cell r="K3390">
            <v>0</v>
          </cell>
          <cell r="L3390">
            <v>0</v>
          </cell>
        </row>
        <row r="3391">
          <cell r="A3391" t="str">
            <v>02</v>
          </cell>
          <cell r="B3391" t="str">
            <v>20</v>
          </cell>
          <cell r="C3391" t="str">
            <v>02</v>
          </cell>
          <cell r="D3391" t="str">
            <v>4</v>
          </cell>
          <cell r="E3391" t="str">
            <v>0028</v>
          </cell>
          <cell r="F3391" t="str">
            <v>0002</v>
          </cell>
          <cell r="G3391" t="str">
            <v>221010202</v>
          </cell>
          <cell r="H3391" t="str">
            <v>付FUR9963.9964#发票税款</v>
          </cell>
          <cell r="I3391" t="b">
            <v>1</v>
          </cell>
          <cell r="J3391">
            <v>423.5</v>
          </cell>
          <cell r="K3391">
            <v>0</v>
          </cell>
          <cell r="L3391">
            <v>0</v>
          </cell>
        </row>
        <row r="3392">
          <cell r="A3392" t="str">
            <v>02</v>
          </cell>
          <cell r="B3392" t="str">
            <v>22</v>
          </cell>
          <cell r="C3392" t="str">
            <v>02</v>
          </cell>
          <cell r="D3392" t="str">
            <v>4</v>
          </cell>
          <cell r="E3392" t="str">
            <v>0034</v>
          </cell>
          <cell r="F3392" t="str">
            <v>0003</v>
          </cell>
          <cell r="G3392" t="str">
            <v>221010202</v>
          </cell>
          <cell r="H3392" t="str">
            <v>付税款</v>
          </cell>
          <cell r="I3392" t="b">
            <v>1</v>
          </cell>
          <cell r="J3392">
            <v>277.2</v>
          </cell>
          <cell r="K3392">
            <v>0</v>
          </cell>
          <cell r="L3392">
            <v>0</v>
          </cell>
        </row>
        <row r="3393">
          <cell r="A3393" t="str">
            <v>02</v>
          </cell>
          <cell r="B3393" t="str">
            <v>22</v>
          </cell>
          <cell r="C3393" t="str">
            <v>02</v>
          </cell>
          <cell r="D3393" t="str">
            <v>4</v>
          </cell>
          <cell r="E3393" t="str">
            <v>0035</v>
          </cell>
          <cell r="F3393" t="str">
            <v>0003</v>
          </cell>
          <cell r="G3393" t="str">
            <v>221010202</v>
          </cell>
          <cell r="H3393" t="str">
            <v>付税款</v>
          </cell>
          <cell r="I3393" t="b">
            <v>1</v>
          </cell>
          <cell r="J3393">
            <v>756</v>
          </cell>
          <cell r="K3393">
            <v>0</v>
          </cell>
          <cell r="L3393">
            <v>0</v>
          </cell>
        </row>
        <row r="3394">
          <cell r="A3394" t="str">
            <v>02</v>
          </cell>
          <cell r="B3394" t="str">
            <v>22</v>
          </cell>
          <cell r="C3394" t="str">
            <v>02</v>
          </cell>
          <cell r="D3394" t="str">
            <v>4</v>
          </cell>
          <cell r="E3394" t="str">
            <v>0036</v>
          </cell>
          <cell r="F3394" t="str">
            <v>0003</v>
          </cell>
          <cell r="G3394" t="str">
            <v>221010202</v>
          </cell>
          <cell r="H3394" t="str">
            <v>付税款</v>
          </cell>
          <cell r="I3394" t="b">
            <v>1</v>
          </cell>
          <cell r="J3394">
            <v>1260</v>
          </cell>
          <cell r="K3394">
            <v>0</v>
          </cell>
          <cell r="L3394">
            <v>0</v>
          </cell>
        </row>
        <row r="3395">
          <cell r="A3395" t="str">
            <v>02</v>
          </cell>
          <cell r="B3395" t="str">
            <v>22</v>
          </cell>
          <cell r="C3395" t="str">
            <v>02</v>
          </cell>
          <cell r="D3395" t="str">
            <v>4</v>
          </cell>
          <cell r="E3395" t="str">
            <v>0037</v>
          </cell>
          <cell r="F3395" t="str">
            <v>0003</v>
          </cell>
          <cell r="G3395" t="str">
            <v>221010202</v>
          </cell>
          <cell r="H3395" t="str">
            <v>付税款</v>
          </cell>
          <cell r="I3395" t="b">
            <v>1</v>
          </cell>
          <cell r="J3395">
            <v>90.3</v>
          </cell>
          <cell r="K3395">
            <v>0</v>
          </cell>
          <cell r="L3395">
            <v>0</v>
          </cell>
        </row>
        <row r="3396">
          <cell r="A3396" t="str">
            <v>02</v>
          </cell>
          <cell r="B3396" t="str">
            <v>22</v>
          </cell>
          <cell r="C3396" t="str">
            <v>02</v>
          </cell>
          <cell r="D3396" t="str">
            <v>4</v>
          </cell>
          <cell r="E3396" t="str">
            <v>0038</v>
          </cell>
          <cell r="F3396" t="str">
            <v>0002</v>
          </cell>
          <cell r="G3396" t="str">
            <v>221010202</v>
          </cell>
          <cell r="H3396" t="str">
            <v>付税款</v>
          </cell>
          <cell r="I3396" t="b">
            <v>1</v>
          </cell>
          <cell r="J3396">
            <v>336</v>
          </cell>
          <cell r="K3396">
            <v>0</v>
          </cell>
          <cell r="L3396">
            <v>0</v>
          </cell>
        </row>
        <row r="3397">
          <cell r="A3397" t="str">
            <v>02</v>
          </cell>
          <cell r="B3397" t="str">
            <v>22</v>
          </cell>
          <cell r="C3397" t="str">
            <v>02</v>
          </cell>
          <cell r="D3397" t="str">
            <v>4</v>
          </cell>
          <cell r="E3397" t="str">
            <v>0039</v>
          </cell>
          <cell r="F3397" t="str">
            <v>0003</v>
          </cell>
          <cell r="G3397" t="str">
            <v>221010202</v>
          </cell>
          <cell r="H3397" t="str">
            <v>付税款</v>
          </cell>
          <cell r="I3397" t="b">
            <v>1</v>
          </cell>
          <cell r="J3397">
            <v>1432.2</v>
          </cell>
          <cell r="K3397">
            <v>0</v>
          </cell>
          <cell r="L3397">
            <v>0</v>
          </cell>
        </row>
        <row r="3398">
          <cell r="A3398" t="str">
            <v>02</v>
          </cell>
          <cell r="B3398" t="str">
            <v>25</v>
          </cell>
          <cell r="C3398" t="str">
            <v>02</v>
          </cell>
          <cell r="D3398" t="str">
            <v>4</v>
          </cell>
          <cell r="E3398" t="str">
            <v>0040</v>
          </cell>
          <cell r="F3398" t="str">
            <v>0004</v>
          </cell>
          <cell r="G3398" t="str">
            <v>221010202</v>
          </cell>
          <cell r="H3398" t="str">
            <v>付海运费税款</v>
          </cell>
          <cell r="I3398" t="b">
            <v>1</v>
          </cell>
          <cell r="J3398">
            <v>27684.62</v>
          </cell>
          <cell r="K3398">
            <v>0</v>
          </cell>
          <cell r="L3398">
            <v>0</v>
          </cell>
        </row>
        <row r="3399">
          <cell r="A3399" t="str">
            <v>02</v>
          </cell>
          <cell r="B3399" t="str">
            <v>25</v>
          </cell>
          <cell r="C3399" t="str">
            <v>02</v>
          </cell>
          <cell r="D3399" t="str">
            <v>4</v>
          </cell>
          <cell r="E3399" t="str">
            <v>0041</v>
          </cell>
          <cell r="F3399" t="str">
            <v>0002</v>
          </cell>
          <cell r="G3399" t="str">
            <v>221010202</v>
          </cell>
          <cell r="H3399" t="str">
            <v>付海运费税款</v>
          </cell>
          <cell r="I3399" t="b">
            <v>1</v>
          </cell>
          <cell r="J3399">
            <v>4165.71</v>
          </cell>
          <cell r="K3399">
            <v>0</v>
          </cell>
          <cell r="L3399">
            <v>0</v>
          </cell>
        </row>
        <row r="3400">
          <cell r="A3400" t="str">
            <v>02</v>
          </cell>
          <cell r="B3400" t="str">
            <v>25</v>
          </cell>
          <cell r="C3400" t="str">
            <v>02</v>
          </cell>
          <cell r="D3400" t="str">
            <v>4</v>
          </cell>
          <cell r="E3400" t="str">
            <v>0043</v>
          </cell>
          <cell r="F3400" t="str">
            <v>0003</v>
          </cell>
          <cell r="G3400" t="str">
            <v>221010202</v>
          </cell>
          <cell r="H3400" t="str">
            <v>付海运费税款</v>
          </cell>
          <cell r="I3400" t="b">
            <v>1</v>
          </cell>
          <cell r="J3400">
            <v>8730.64</v>
          </cell>
          <cell r="K3400">
            <v>0</v>
          </cell>
          <cell r="L3400">
            <v>0</v>
          </cell>
        </row>
        <row r="3401">
          <cell r="A3401" t="str">
            <v>02</v>
          </cell>
          <cell r="B3401" t="str">
            <v>25</v>
          </cell>
          <cell r="C3401" t="str">
            <v>02</v>
          </cell>
          <cell r="D3401" t="str">
            <v>5</v>
          </cell>
          <cell r="E3401" t="str">
            <v>0017</v>
          </cell>
          <cell r="F3401" t="str">
            <v>0003</v>
          </cell>
          <cell r="G3401" t="str">
            <v>221010202</v>
          </cell>
          <cell r="H3401" t="str">
            <v>转付海运费USD114505*8.28税金</v>
          </cell>
          <cell r="I3401" t="b">
            <v>1</v>
          </cell>
          <cell r="J3401">
            <v>66367.100000000006</v>
          </cell>
          <cell r="K3401">
            <v>0</v>
          </cell>
          <cell r="L3401">
            <v>0</v>
          </cell>
        </row>
        <row r="3402">
          <cell r="A3402" t="str">
            <v>02</v>
          </cell>
          <cell r="B3402" t="str">
            <v>29</v>
          </cell>
          <cell r="C3402" t="str">
            <v>02</v>
          </cell>
          <cell r="D3402" t="str">
            <v>5</v>
          </cell>
          <cell r="E3402" t="str">
            <v>0043</v>
          </cell>
          <cell r="F3402" t="str">
            <v>0002</v>
          </cell>
          <cell r="G3402" t="str">
            <v>221010202</v>
          </cell>
          <cell r="H3402" t="str">
            <v>转FVE9970/9972#发票海运费税款</v>
          </cell>
          <cell r="I3402" t="b">
            <v>1</v>
          </cell>
          <cell r="J3402">
            <v>12564.25</v>
          </cell>
          <cell r="K3402">
            <v>0</v>
          </cell>
          <cell r="L3402">
            <v>0</v>
          </cell>
        </row>
        <row r="3403">
          <cell r="A3403" t="str">
            <v>03</v>
          </cell>
          <cell r="B3403" t="str">
            <v>17</v>
          </cell>
          <cell r="C3403" t="str">
            <v>03</v>
          </cell>
          <cell r="D3403" t="str">
            <v>2</v>
          </cell>
          <cell r="E3403" t="str">
            <v>0014</v>
          </cell>
          <cell r="F3403" t="str">
            <v>0003</v>
          </cell>
          <cell r="G3403" t="str">
            <v>221010202</v>
          </cell>
          <cell r="H3403" t="str">
            <v>付运费税款</v>
          </cell>
          <cell r="I3403" t="b">
            <v>1</v>
          </cell>
          <cell r="J3403">
            <v>105</v>
          </cell>
          <cell r="K3403">
            <v>0</v>
          </cell>
          <cell r="L3403">
            <v>0</v>
          </cell>
        </row>
        <row r="3404">
          <cell r="A3404" t="str">
            <v>03</v>
          </cell>
          <cell r="B3404" t="str">
            <v>25</v>
          </cell>
          <cell r="C3404" t="str">
            <v>03</v>
          </cell>
          <cell r="D3404" t="str">
            <v>2</v>
          </cell>
          <cell r="E3404" t="str">
            <v>0023</v>
          </cell>
          <cell r="F3404" t="str">
            <v>0002</v>
          </cell>
          <cell r="G3404" t="str">
            <v>221010202</v>
          </cell>
          <cell r="H3404" t="str">
            <v>付运费税款</v>
          </cell>
          <cell r="I3404" t="b">
            <v>1</v>
          </cell>
          <cell r="J3404">
            <v>98</v>
          </cell>
          <cell r="K3404">
            <v>0</v>
          </cell>
          <cell r="L3404">
            <v>0</v>
          </cell>
        </row>
        <row r="3405">
          <cell r="A3405" t="str">
            <v>03</v>
          </cell>
          <cell r="B3405" t="str">
            <v>14</v>
          </cell>
          <cell r="C3405" t="str">
            <v>03</v>
          </cell>
          <cell r="D3405" t="str">
            <v>4</v>
          </cell>
          <cell r="E3405" t="str">
            <v>0018</v>
          </cell>
          <cell r="F3405" t="str">
            <v>0004</v>
          </cell>
          <cell r="G3405" t="str">
            <v>221010202</v>
          </cell>
          <cell r="H3405" t="str">
            <v>付陆运费7%税金</v>
          </cell>
          <cell r="I3405" t="b">
            <v>1</v>
          </cell>
          <cell r="J3405">
            <v>2352</v>
          </cell>
          <cell r="K3405">
            <v>0</v>
          </cell>
          <cell r="L3405">
            <v>0</v>
          </cell>
        </row>
        <row r="3406">
          <cell r="A3406" t="str">
            <v>03</v>
          </cell>
          <cell r="B3406" t="str">
            <v>15</v>
          </cell>
          <cell r="C3406" t="str">
            <v>03</v>
          </cell>
          <cell r="D3406" t="str">
            <v>4</v>
          </cell>
          <cell r="E3406" t="str">
            <v>0020</v>
          </cell>
          <cell r="F3406" t="str">
            <v>0003</v>
          </cell>
          <cell r="G3406" t="str">
            <v>221010202</v>
          </cell>
          <cell r="H3406" t="str">
            <v>付出口陆运费7%税金</v>
          </cell>
          <cell r="I3406" t="b">
            <v>1</v>
          </cell>
          <cell r="J3406">
            <v>1134</v>
          </cell>
          <cell r="K3406">
            <v>0</v>
          </cell>
          <cell r="L3406">
            <v>0</v>
          </cell>
        </row>
        <row r="3407">
          <cell r="A3407" t="str">
            <v>03</v>
          </cell>
          <cell r="B3407" t="str">
            <v>17</v>
          </cell>
          <cell r="C3407" t="str">
            <v>03</v>
          </cell>
          <cell r="D3407" t="str">
            <v>4</v>
          </cell>
          <cell r="E3407" t="str">
            <v>0024</v>
          </cell>
          <cell r="F3407" t="str">
            <v>0003</v>
          </cell>
          <cell r="G3407" t="str">
            <v>221010202</v>
          </cell>
          <cell r="H3407" t="str">
            <v>付海运费7%税金</v>
          </cell>
          <cell r="I3407" t="b">
            <v>1</v>
          </cell>
          <cell r="J3407">
            <v>38334.5</v>
          </cell>
          <cell r="K3407">
            <v>0</v>
          </cell>
          <cell r="L3407">
            <v>0</v>
          </cell>
        </row>
        <row r="3408">
          <cell r="A3408" t="str">
            <v>03</v>
          </cell>
          <cell r="B3408" t="str">
            <v>27</v>
          </cell>
          <cell r="C3408" t="str">
            <v>03</v>
          </cell>
          <cell r="D3408" t="str">
            <v>5</v>
          </cell>
          <cell r="E3408" t="str">
            <v>0003</v>
          </cell>
          <cell r="F3408" t="str">
            <v>0001</v>
          </cell>
          <cell r="G3408" t="str">
            <v>221010202</v>
          </cell>
          <cell r="H3408" t="str">
            <v>转出期初存货抵扣已征税款额</v>
          </cell>
          <cell r="I3408" t="b">
            <v>1</v>
          </cell>
          <cell r="J3408">
            <v>86207.67</v>
          </cell>
          <cell r="K3408">
            <v>0</v>
          </cell>
          <cell r="L3408">
            <v>0</v>
          </cell>
        </row>
        <row r="3409">
          <cell r="A3409" t="str">
            <v>04</v>
          </cell>
          <cell r="B3409" t="str">
            <v>05</v>
          </cell>
          <cell r="C3409" t="str">
            <v>04</v>
          </cell>
          <cell r="D3409" t="str">
            <v>2</v>
          </cell>
          <cell r="E3409" t="str">
            <v>0004</v>
          </cell>
          <cell r="F3409" t="str">
            <v>0003</v>
          </cell>
          <cell r="G3409" t="str">
            <v>221010202</v>
          </cell>
          <cell r="H3409" t="str">
            <v>付运费税款</v>
          </cell>
          <cell r="I3409" t="b">
            <v>1</v>
          </cell>
          <cell r="J3409">
            <v>111.72</v>
          </cell>
          <cell r="K3409">
            <v>0</v>
          </cell>
          <cell r="L3409">
            <v>0</v>
          </cell>
        </row>
        <row r="3410">
          <cell r="A3410" t="str">
            <v>04</v>
          </cell>
          <cell r="B3410" t="str">
            <v>16</v>
          </cell>
          <cell r="C3410" t="str">
            <v>04</v>
          </cell>
          <cell r="D3410" t="str">
            <v>4</v>
          </cell>
          <cell r="E3410" t="str">
            <v>0015</v>
          </cell>
          <cell r="F3410" t="str">
            <v>0003</v>
          </cell>
          <cell r="G3410" t="str">
            <v>221010202</v>
          </cell>
          <cell r="H3410" t="str">
            <v>付运费税款</v>
          </cell>
          <cell r="I3410" t="b">
            <v>1</v>
          </cell>
          <cell r="J3410">
            <v>257.52999999999997</v>
          </cell>
          <cell r="K3410">
            <v>0</v>
          </cell>
          <cell r="L3410">
            <v>0</v>
          </cell>
        </row>
        <row r="3411">
          <cell r="A3411" t="str">
            <v>04</v>
          </cell>
          <cell r="B3411" t="str">
            <v>16</v>
          </cell>
          <cell r="C3411" t="str">
            <v>04</v>
          </cell>
          <cell r="D3411" t="str">
            <v>4</v>
          </cell>
          <cell r="E3411" t="str">
            <v>0016</v>
          </cell>
          <cell r="F3411" t="str">
            <v>0003</v>
          </cell>
          <cell r="G3411" t="str">
            <v>221010202</v>
          </cell>
          <cell r="H3411" t="str">
            <v>付运费税款</v>
          </cell>
          <cell r="I3411" t="b">
            <v>1</v>
          </cell>
          <cell r="J3411">
            <v>766.5</v>
          </cell>
          <cell r="K3411">
            <v>0</v>
          </cell>
          <cell r="L3411">
            <v>0</v>
          </cell>
        </row>
        <row r="3412">
          <cell r="A3412" t="str">
            <v>04</v>
          </cell>
          <cell r="B3412" t="str">
            <v>16</v>
          </cell>
          <cell r="C3412" t="str">
            <v>04</v>
          </cell>
          <cell r="D3412" t="str">
            <v>4</v>
          </cell>
          <cell r="E3412" t="str">
            <v>0017</v>
          </cell>
          <cell r="F3412" t="str">
            <v>0004</v>
          </cell>
          <cell r="G3412" t="str">
            <v>221010202</v>
          </cell>
          <cell r="H3412" t="str">
            <v>付运费税款</v>
          </cell>
          <cell r="I3412" t="b">
            <v>1</v>
          </cell>
          <cell r="J3412">
            <v>3150</v>
          </cell>
          <cell r="K3412">
            <v>0</v>
          </cell>
          <cell r="L3412">
            <v>0</v>
          </cell>
        </row>
        <row r="3413">
          <cell r="A3413" t="str">
            <v>04</v>
          </cell>
          <cell r="B3413" t="str">
            <v>19</v>
          </cell>
          <cell r="C3413" t="str">
            <v>04</v>
          </cell>
          <cell r="D3413" t="str">
            <v>4</v>
          </cell>
          <cell r="E3413" t="str">
            <v>0018</v>
          </cell>
          <cell r="F3413" t="str">
            <v>0003</v>
          </cell>
          <cell r="G3413" t="str">
            <v>221010202</v>
          </cell>
          <cell r="H3413" t="str">
            <v>付运费税款</v>
          </cell>
          <cell r="I3413" t="b">
            <v>1</v>
          </cell>
          <cell r="J3413">
            <v>69.3</v>
          </cell>
          <cell r="K3413">
            <v>0</v>
          </cell>
          <cell r="L3413">
            <v>0</v>
          </cell>
        </row>
        <row r="3414">
          <cell r="A3414" t="str">
            <v>04</v>
          </cell>
          <cell r="B3414" t="str">
            <v>20</v>
          </cell>
          <cell r="C3414" t="str">
            <v>04</v>
          </cell>
          <cell r="D3414" t="str">
            <v>4</v>
          </cell>
          <cell r="E3414" t="str">
            <v>0024</v>
          </cell>
          <cell r="F3414" t="str">
            <v>0002</v>
          </cell>
          <cell r="G3414" t="str">
            <v>221010202</v>
          </cell>
          <cell r="H3414" t="str">
            <v>付材料运费税款</v>
          </cell>
          <cell r="I3414" t="b">
            <v>1</v>
          </cell>
          <cell r="J3414">
            <v>646.82000000000005</v>
          </cell>
          <cell r="K3414">
            <v>0</v>
          </cell>
          <cell r="L3414">
            <v>0</v>
          </cell>
        </row>
        <row r="3415">
          <cell r="A3415" t="str">
            <v>05</v>
          </cell>
          <cell r="B3415" t="str">
            <v>20</v>
          </cell>
          <cell r="C3415" t="str">
            <v>05</v>
          </cell>
          <cell r="D3415" t="str">
            <v>2</v>
          </cell>
          <cell r="E3415" t="str">
            <v>0013</v>
          </cell>
          <cell r="F3415" t="str">
            <v>0004</v>
          </cell>
          <cell r="G3415" t="str">
            <v>221010202</v>
          </cell>
          <cell r="H3415" t="str">
            <v>付税款</v>
          </cell>
          <cell r="I3415" t="b">
            <v>1</v>
          </cell>
          <cell r="J3415">
            <v>80.36</v>
          </cell>
          <cell r="K3415">
            <v>0</v>
          </cell>
          <cell r="L3415">
            <v>0</v>
          </cell>
        </row>
        <row r="3416">
          <cell r="A3416" t="str">
            <v>05</v>
          </cell>
          <cell r="B3416" t="str">
            <v>09</v>
          </cell>
          <cell r="C3416" t="str">
            <v>05</v>
          </cell>
          <cell r="D3416" t="str">
            <v>4</v>
          </cell>
          <cell r="E3416" t="str">
            <v>0002</v>
          </cell>
          <cell r="F3416" t="str">
            <v>0003</v>
          </cell>
          <cell r="G3416" t="str">
            <v>221010202</v>
          </cell>
          <cell r="H3416" t="str">
            <v>付运费税款</v>
          </cell>
          <cell r="I3416" t="b">
            <v>1</v>
          </cell>
          <cell r="J3416">
            <v>300.52</v>
          </cell>
          <cell r="K3416">
            <v>0</v>
          </cell>
          <cell r="L3416">
            <v>0</v>
          </cell>
        </row>
        <row r="3417">
          <cell r="A3417" t="str">
            <v>05</v>
          </cell>
          <cell r="B3417" t="str">
            <v>11</v>
          </cell>
          <cell r="C3417" t="str">
            <v>05</v>
          </cell>
          <cell r="D3417" t="str">
            <v>4</v>
          </cell>
          <cell r="E3417" t="str">
            <v>0004</v>
          </cell>
          <cell r="F3417" t="str">
            <v>0003</v>
          </cell>
          <cell r="G3417" t="str">
            <v>221010202</v>
          </cell>
          <cell r="H3417" t="str">
            <v>付运费税款</v>
          </cell>
          <cell r="I3417" t="b">
            <v>1</v>
          </cell>
          <cell r="J3417">
            <v>693</v>
          </cell>
          <cell r="K3417">
            <v>0</v>
          </cell>
          <cell r="L3417">
            <v>0</v>
          </cell>
        </row>
        <row r="3418">
          <cell r="A3418" t="str">
            <v>05</v>
          </cell>
          <cell r="B3418" t="str">
            <v>15</v>
          </cell>
          <cell r="C3418" t="str">
            <v>05</v>
          </cell>
          <cell r="D3418" t="str">
            <v>4</v>
          </cell>
          <cell r="E3418" t="str">
            <v>0009</v>
          </cell>
          <cell r="F3418" t="str">
            <v>0003</v>
          </cell>
          <cell r="G3418" t="str">
            <v>221010202</v>
          </cell>
          <cell r="H3418" t="str">
            <v>付运费税款</v>
          </cell>
          <cell r="I3418" t="b">
            <v>1</v>
          </cell>
          <cell r="J3418">
            <v>179.55</v>
          </cell>
          <cell r="K3418">
            <v>0</v>
          </cell>
          <cell r="L3418">
            <v>0</v>
          </cell>
        </row>
        <row r="3419">
          <cell r="A3419" t="str">
            <v>05</v>
          </cell>
          <cell r="B3419" t="str">
            <v>17</v>
          </cell>
          <cell r="C3419" t="str">
            <v>05</v>
          </cell>
          <cell r="D3419" t="str">
            <v>4</v>
          </cell>
          <cell r="E3419" t="str">
            <v>0016</v>
          </cell>
          <cell r="F3419" t="str">
            <v>0002</v>
          </cell>
          <cell r="G3419" t="str">
            <v>221010202</v>
          </cell>
          <cell r="H3419" t="str">
            <v>付FVE9993#.9994#发票税款</v>
          </cell>
          <cell r="I3419" t="b">
            <v>1</v>
          </cell>
          <cell r="J3419">
            <v>651</v>
          </cell>
          <cell r="K3419">
            <v>0</v>
          </cell>
          <cell r="L3419">
            <v>0</v>
          </cell>
        </row>
        <row r="3420">
          <cell r="A3420" t="str">
            <v>06</v>
          </cell>
          <cell r="B3420" t="str">
            <v>15</v>
          </cell>
          <cell r="C3420" t="str">
            <v>06</v>
          </cell>
          <cell r="D3420" t="str">
            <v>4</v>
          </cell>
          <cell r="E3420" t="str">
            <v>0001</v>
          </cell>
          <cell r="F3420" t="str">
            <v>0004</v>
          </cell>
          <cell r="G3420" t="str">
            <v>221010202</v>
          </cell>
          <cell r="H3420" t="str">
            <v>付运费税款</v>
          </cell>
          <cell r="I3420" t="b">
            <v>1</v>
          </cell>
          <cell r="J3420">
            <v>2340.1</v>
          </cell>
          <cell r="K3420">
            <v>0</v>
          </cell>
          <cell r="L3420">
            <v>0</v>
          </cell>
        </row>
        <row r="3421">
          <cell r="A3421" t="str">
            <v>06</v>
          </cell>
          <cell r="B3421" t="str">
            <v>15</v>
          </cell>
          <cell r="C3421" t="str">
            <v>06</v>
          </cell>
          <cell r="D3421" t="str">
            <v>4</v>
          </cell>
          <cell r="E3421" t="str">
            <v>0002</v>
          </cell>
          <cell r="F3421" t="str">
            <v>0004</v>
          </cell>
          <cell r="G3421" t="str">
            <v>221010202</v>
          </cell>
          <cell r="H3421" t="str">
            <v>付运费税款</v>
          </cell>
          <cell r="I3421" t="b">
            <v>1</v>
          </cell>
          <cell r="J3421">
            <v>684.6</v>
          </cell>
          <cell r="K3421">
            <v>0</v>
          </cell>
          <cell r="L3421">
            <v>0</v>
          </cell>
        </row>
        <row r="3422">
          <cell r="A3422" t="str">
            <v>06</v>
          </cell>
          <cell r="B3422" t="str">
            <v>15</v>
          </cell>
          <cell r="C3422" t="str">
            <v>06</v>
          </cell>
          <cell r="D3422" t="str">
            <v>4</v>
          </cell>
          <cell r="E3422" t="str">
            <v>0003</v>
          </cell>
          <cell r="F3422" t="str">
            <v>0003</v>
          </cell>
          <cell r="G3422" t="str">
            <v>221010202</v>
          </cell>
          <cell r="H3422" t="str">
            <v>付运费税款</v>
          </cell>
          <cell r="I3422" t="b">
            <v>1</v>
          </cell>
          <cell r="J3422">
            <v>63</v>
          </cell>
          <cell r="K3422">
            <v>0</v>
          </cell>
          <cell r="L3422">
            <v>0</v>
          </cell>
        </row>
        <row r="3423">
          <cell r="A3423" t="str">
            <v>08</v>
          </cell>
          <cell r="B3423" t="str">
            <v>01</v>
          </cell>
          <cell r="C3423" t="str">
            <v>08</v>
          </cell>
          <cell r="D3423" t="str">
            <v>4</v>
          </cell>
          <cell r="E3423" t="str">
            <v>0002</v>
          </cell>
          <cell r="F3423" t="str">
            <v>0002</v>
          </cell>
          <cell r="G3423" t="str">
            <v>221010202</v>
          </cell>
          <cell r="H3423" t="str">
            <v>付运费税款</v>
          </cell>
          <cell r="I3423" t="b">
            <v>1</v>
          </cell>
          <cell r="J3423">
            <v>447.3</v>
          </cell>
          <cell r="K3423">
            <v>0</v>
          </cell>
          <cell r="L3423">
            <v>0</v>
          </cell>
        </row>
        <row r="3424">
          <cell r="A3424" t="str">
            <v>08</v>
          </cell>
          <cell r="B3424" t="str">
            <v>03</v>
          </cell>
          <cell r="C3424" t="str">
            <v>08</v>
          </cell>
          <cell r="D3424" t="str">
            <v>4</v>
          </cell>
          <cell r="E3424" t="str">
            <v>0004</v>
          </cell>
          <cell r="F3424" t="str">
            <v>0002</v>
          </cell>
          <cell r="G3424" t="str">
            <v>221010202</v>
          </cell>
          <cell r="H3424" t="str">
            <v>付运费税款</v>
          </cell>
          <cell r="I3424" t="b">
            <v>1</v>
          </cell>
          <cell r="J3424">
            <v>614.25</v>
          </cell>
          <cell r="K3424">
            <v>0</v>
          </cell>
          <cell r="L3424">
            <v>0</v>
          </cell>
        </row>
        <row r="3425">
          <cell r="A3425" t="str">
            <v>08</v>
          </cell>
          <cell r="B3425" t="str">
            <v>06</v>
          </cell>
          <cell r="C3425" t="str">
            <v>08</v>
          </cell>
          <cell r="D3425" t="str">
            <v>4</v>
          </cell>
          <cell r="E3425" t="str">
            <v>0013</v>
          </cell>
          <cell r="F3425" t="str">
            <v>0003</v>
          </cell>
          <cell r="G3425" t="str">
            <v>221010202</v>
          </cell>
          <cell r="H3425" t="str">
            <v>付运费税款</v>
          </cell>
          <cell r="I3425" t="b">
            <v>1</v>
          </cell>
          <cell r="J3425">
            <v>420</v>
          </cell>
          <cell r="K3425">
            <v>0</v>
          </cell>
          <cell r="L3425">
            <v>0</v>
          </cell>
        </row>
        <row r="3426">
          <cell r="A3426" t="str">
            <v>08</v>
          </cell>
          <cell r="B3426" t="str">
            <v>15</v>
          </cell>
          <cell r="C3426" t="str">
            <v>08</v>
          </cell>
          <cell r="D3426" t="str">
            <v>4</v>
          </cell>
          <cell r="E3426" t="str">
            <v>0020</v>
          </cell>
          <cell r="F3426" t="str">
            <v>0003</v>
          </cell>
          <cell r="G3426" t="str">
            <v>221010202</v>
          </cell>
          <cell r="H3426" t="str">
            <v>付运费税款</v>
          </cell>
          <cell r="I3426" t="b">
            <v>1</v>
          </cell>
          <cell r="J3426">
            <v>485.1</v>
          </cell>
          <cell r="K3426">
            <v>0</v>
          </cell>
          <cell r="L3426">
            <v>0</v>
          </cell>
        </row>
        <row r="3427">
          <cell r="A3427" t="str">
            <v>09</v>
          </cell>
          <cell r="B3427" t="str">
            <v>01</v>
          </cell>
          <cell r="C3427" t="str">
            <v>09</v>
          </cell>
          <cell r="D3427" t="str">
            <v>4</v>
          </cell>
          <cell r="E3427" t="str">
            <v>0003</v>
          </cell>
          <cell r="F3427" t="str">
            <v>0003</v>
          </cell>
          <cell r="G3427" t="str">
            <v>221010202</v>
          </cell>
          <cell r="H3427" t="str">
            <v>付运费税款</v>
          </cell>
          <cell r="I3427" t="b">
            <v>1</v>
          </cell>
          <cell r="J3427">
            <v>1258.43</v>
          </cell>
          <cell r="K3427">
            <v>0</v>
          </cell>
          <cell r="L3427">
            <v>0</v>
          </cell>
        </row>
        <row r="3428">
          <cell r="A3428" t="str">
            <v>09</v>
          </cell>
          <cell r="B3428" t="str">
            <v>23</v>
          </cell>
          <cell r="C3428" t="str">
            <v>09</v>
          </cell>
          <cell r="D3428" t="str">
            <v>4</v>
          </cell>
          <cell r="E3428" t="str">
            <v>0024</v>
          </cell>
          <cell r="F3428" t="str">
            <v>0004</v>
          </cell>
          <cell r="G3428" t="str">
            <v>221010202</v>
          </cell>
          <cell r="H3428" t="str">
            <v>付运费税款</v>
          </cell>
          <cell r="I3428" t="b">
            <v>1</v>
          </cell>
          <cell r="J3428">
            <v>495.6</v>
          </cell>
          <cell r="K3428">
            <v>0</v>
          </cell>
          <cell r="L3428">
            <v>0</v>
          </cell>
        </row>
        <row r="3429">
          <cell r="A3429" t="str">
            <v>09</v>
          </cell>
          <cell r="B3429" t="str">
            <v>18</v>
          </cell>
          <cell r="C3429" t="str">
            <v>09</v>
          </cell>
          <cell r="D3429" t="str">
            <v>5</v>
          </cell>
          <cell r="E3429" t="str">
            <v>0009</v>
          </cell>
          <cell r="F3429" t="str">
            <v>0003</v>
          </cell>
          <cell r="G3429" t="str">
            <v>221010202</v>
          </cell>
          <cell r="H3429" t="str">
            <v>转购桶运费税金</v>
          </cell>
          <cell r="I3429" t="b">
            <v>1</v>
          </cell>
          <cell r="J3429">
            <v>225.4</v>
          </cell>
          <cell r="K3429">
            <v>0</v>
          </cell>
          <cell r="L3429">
            <v>0</v>
          </cell>
        </row>
        <row r="3430">
          <cell r="A3430" t="str">
            <v>10</v>
          </cell>
          <cell r="B3430" t="str">
            <v>10</v>
          </cell>
          <cell r="C3430" t="str">
            <v>10</v>
          </cell>
          <cell r="D3430" t="str">
            <v>2</v>
          </cell>
          <cell r="E3430" t="str">
            <v>0010</v>
          </cell>
          <cell r="F3430" t="str">
            <v>0002</v>
          </cell>
          <cell r="G3430" t="str">
            <v>221010202</v>
          </cell>
          <cell r="H3430" t="str">
            <v>付增值税款</v>
          </cell>
          <cell r="I3430" t="b">
            <v>1</v>
          </cell>
          <cell r="J3430">
            <v>645.49</v>
          </cell>
          <cell r="K3430">
            <v>0</v>
          </cell>
          <cell r="L3430">
            <v>0</v>
          </cell>
        </row>
        <row r="3431">
          <cell r="A3431" t="str">
            <v>10</v>
          </cell>
          <cell r="B3431" t="str">
            <v>03</v>
          </cell>
          <cell r="C3431" t="str">
            <v>10</v>
          </cell>
          <cell r="D3431" t="str">
            <v>4</v>
          </cell>
          <cell r="E3431" t="str">
            <v>0004</v>
          </cell>
          <cell r="F3431" t="str">
            <v>0002</v>
          </cell>
          <cell r="G3431" t="str">
            <v>221010202</v>
          </cell>
          <cell r="H3431" t="str">
            <v>付材料运费税款</v>
          </cell>
          <cell r="I3431" t="b">
            <v>1</v>
          </cell>
          <cell r="J3431">
            <v>155.22999999999999</v>
          </cell>
          <cell r="K3431">
            <v>0</v>
          </cell>
          <cell r="L3431">
            <v>0</v>
          </cell>
        </row>
        <row r="3432">
          <cell r="A3432" t="str">
            <v>10</v>
          </cell>
          <cell r="B3432" t="str">
            <v>03</v>
          </cell>
          <cell r="C3432" t="str">
            <v>10</v>
          </cell>
          <cell r="D3432" t="str">
            <v>4</v>
          </cell>
          <cell r="E3432" t="str">
            <v>0006</v>
          </cell>
          <cell r="F3432" t="str">
            <v>0002</v>
          </cell>
          <cell r="G3432" t="str">
            <v>221010202</v>
          </cell>
          <cell r="H3432" t="str">
            <v>付材料运费税款</v>
          </cell>
          <cell r="I3432" t="b">
            <v>1</v>
          </cell>
          <cell r="J3432">
            <v>2650.41</v>
          </cell>
          <cell r="K3432">
            <v>0</v>
          </cell>
          <cell r="L3432">
            <v>0</v>
          </cell>
        </row>
        <row r="3433">
          <cell r="A3433" t="str">
            <v>10</v>
          </cell>
          <cell r="B3433" t="str">
            <v>17</v>
          </cell>
          <cell r="C3433" t="str">
            <v>10</v>
          </cell>
          <cell r="D3433" t="str">
            <v>4</v>
          </cell>
          <cell r="E3433" t="str">
            <v>0015</v>
          </cell>
          <cell r="F3433" t="str">
            <v>0009</v>
          </cell>
          <cell r="G3433" t="str">
            <v>221010202</v>
          </cell>
          <cell r="H3433" t="str">
            <v>付运费税款</v>
          </cell>
          <cell r="I3433" t="b">
            <v>1</v>
          </cell>
          <cell r="J3433">
            <v>5229</v>
          </cell>
          <cell r="K3433">
            <v>0</v>
          </cell>
          <cell r="L3433">
            <v>0</v>
          </cell>
        </row>
        <row r="3434">
          <cell r="A3434" t="str">
            <v>10</v>
          </cell>
          <cell r="B3434" t="str">
            <v>21</v>
          </cell>
          <cell r="C3434" t="str">
            <v>10</v>
          </cell>
          <cell r="D3434" t="str">
            <v>4</v>
          </cell>
          <cell r="E3434" t="str">
            <v>0020</v>
          </cell>
          <cell r="F3434" t="str">
            <v>0004</v>
          </cell>
          <cell r="G3434" t="str">
            <v>221010202</v>
          </cell>
          <cell r="H3434" t="str">
            <v>付运费税款</v>
          </cell>
          <cell r="I3434" t="b">
            <v>1</v>
          </cell>
          <cell r="J3434">
            <v>485.1</v>
          </cell>
          <cell r="K3434">
            <v>0</v>
          </cell>
          <cell r="L3434">
            <v>0</v>
          </cell>
        </row>
        <row r="3435">
          <cell r="A3435" t="str">
            <v>10</v>
          </cell>
          <cell r="B3435" t="str">
            <v>21</v>
          </cell>
          <cell r="C3435" t="str">
            <v>10</v>
          </cell>
          <cell r="D3435" t="str">
            <v>4</v>
          </cell>
          <cell r="E3435" t="str">
            <v>0021</v>
          </cell>
          <cell r="F3435" t="str">
            <v>0004</v>
          </cell>
          <cell r="G3435" t="str">
            <v>221010202</v>
          </cell>
          <cell r="H3435" t="str">
            <v>付运费税款</v>
          </cell>
          <cell r="I3435" t="b">
            <v>1</v>
          </cell>
          <cell r="J3435">
            <v>655.20000000000005</v>
          </cell>
          <cell r="K3435">
            <v>0</v>
          </cell>
          <cell r="L3435">
            <v>0</v>
          </cell>
        </row>
        <row r="3436">
          <cell r="A3436" t="str">
            <v>10</v>
          </cell>
          <cell r="B3436" t="str">
            <v>22</v>
          </cell>
          <cell r="C3436" t="str">
            <v>10</v>
          </cell>
          <cell r="D3436" t="str">
            <v>4</v>
          </cell>
          <cell r="E3436" t="str">
            <v>0023</v>
          </cell>
          <cell r="F3436" t="str">
            <v>0003</v>
          </cell>
          <cell r="G3436" t="str">
            <v>221010202</v>
          </cell>
          <cell r="H3436" t="str">
            <v>付陆运费税款</v>
          </cell>
          <cell r="I3436" t="b">
            <v>1</v>
          </cell>
          <cell r="J3436">
            <v>1376.9</v>
          </cell>
          <cell r="K3436">
            <v>0</v>
          </cell>
          <cell r="L3436">
            <v>0</v>
          </cell>
        </row>
        <row r="3437">
          <cell r="A3437" t="str">
            <v>10</v>
          </cell>
          <cell r="B3437" t="str">
            <v>22</v>
          </cell>
          <cell r="C3437" t="str">
            <v>10</v>
          </cell>
          <cell r="D3437" t="str">
            <v>4</v>
          </cell>
          <cell r="E3437" t="str">
            <v>0026</v>
          </cell>
          <cell r="F3437" t="str">
            <v>0004</v>
          </cell>
          <cell r="G3437" t="str">
            <v>221010202</v>
          </cell>
          <cell r="H3437" t="str">
            <v>付运费税款</v>
          </cell>
          <cell r="I3437" t="b">
            <v>1</v>
          </cell>
          <cell r="J3437">
            <v>492.45</v>
          </cell>
          <cell r="K3437">
            <v>0</v>
          </cell>
          <cell r="L3437">
            <v>0</v>
          </cell>
        </row>
        <row r="3438">
          <cell r="A3438" t="str">
            <v>11</v>
          </cell>
          <cell r="B3438" t="str">
            <v>05</v>
          </cell>
          <cell r="C3438" t="str">
            <v>11</v>
          </cell>
          <cell r="D3438" t="str">
            <v>2</v>
          </cell>
          <cell r="E3438" t="str">
            <v>0006</v>
          </cell>
          <cell r="F3438" t="str">
            <v>0002</v>
          </cell>
          <cell r="G3438" t="str">
            <v>221010202</v>
          </cell>
          <cell r="H3438" t="str">
            <v>付运费税款</v>
          </cell>
          <cell r="I3438" t="b">
            <v>1</v>
          </cell>
          <cell r="J3438">
            <v>453.22</v>
          </cell>
          <cell r="K3438">
            <v>0</v>
          </cell>
          <cell r="L3438">
            <v>0</v>
          </cell>
        </row>
        <row r="3439">
          <cell r="A3439" t="str">
            <v>11</v>
          </cell>
          <cell r="B3439" t="str">
            <v>05</v>
          </cell>
          <cell r="C3439" t="str">
            <v>11</v>
          </cell>
          <cell r="D3439" t="str">
            <v>2</v>
          </cell>
          <cell r="E3439" t="str">
            <v>0007</v>
          </cell>
          <cell r="F3439" t="str">
            <v>0002</v>
          </cell>
          <cell r="G3439" t="str">
            <v>221010202</v>
          </cell>
          <cell r="H3439" t="str">
            <v>付运费税款</v>
          </cell>
          <cell r="I3439" t="b">
            <v>1</v>
          </cell>
          <cell r="J3439">
            <v>336</v>
          </cell>
          <cell r="K3439">
            <v>0</v>
          </cell>
          <cell r="L3439">
            <v>0</v>
          </cell>
        </row>
        <row r="3440">
          <cell r="A3440" t="str">
            <v>11</v>
          </cell>
          <cell r="B3440" t="str">
            <v>07</v>
          </cell>
          <cell r="C3440" t="str">
            <v>11</v>
          </cell>
          <cell r="D3440" t="str">
            <v>2</v>
          </cell>
          <cell r="E3440" t="str">
            <v>0008</v>
          </cell>
          <cell r="F3440" t="str">
            <v>0002</v>
          </cell>
          <cell r="G3440" t="str">
            <v>221010202</v>
          </cell>
          <cell r="H3440" t="str">
            <v>付运费税款</v>
          </cell>
          <cell r="I3440" t="b">
            <v>1</v>
          </cell>
          <cell r="J3440">
            <v>323.45999999999998</v>
          </cell>
          <cell r="K3440">
            <v>0</v>
          </cell>
          <cell r="L3440">
            <v>0</v>
          </cell>
        </row>
        <row r="3441">
          <cell r="A3441" t="str">
            <v>11</v>
          </cell>
          <cell r="B3441" t="str">
            <v>18</v>
          </cell>
          <cell r="C3441" t="str">
            <v>11</v>
          </cell>
          <cell r="D3441" t="str">
            <v>2</v>
          </cell>
          <cell r="E3441" t="str">
            <v>0021</v>
          </cell>
          <cell r="F3441" t="str">
            <v>0003</v>
          </cell>
          <cell r="G3441" t="str">
            <v>221010202</v>
          </cell>
          <cell r="H3441" t="str">
            <v>付运费税款</v>
          </cell>
          <cell r="I3441" t="b">
            <v>1</v>
          </cell>
          <cell r="J3441">
            <v>252.7</v>
          </cell>
          <cell r="K3441">
            <v>0</v>
          </cell>
          <cell r="L3441">
            <v>0</v>
          </cell>
        </row>
        <row r="3442">
          <cell r="A3442" t="str">
            <v>11</v>
          </cell>
          <cell r="B3442" t="str">
            <v>10</v>
          </cell>
          <cell r="C3442" t="str">
            <v>11</v>
          </cell>
          <cell r="D3442" t="str">
            <v>4</v>
          </cell>
          <cell r="E3442" t="str">
            <v>0010</v>
          </cell>
          <cell r="F3442" t="str">
            <v>0002</v>
          </cell>
          <cell r="G3442" t="str">
            <v>221010202</v>
          </cell>
          <cell r="H3442" t="str">
            <v>付运费税款</v>
          </cell>
          <cell r="I3442" t="b">
            <v>1</v>
          </cell>
          <cell r="J3442">
            <v>2827.29</v>
          </cell>
          <cell r="K3442">
            <v>0</v>
          </cell>
          <cell r="L3442">
            <v>0</v>
          </cell>
        </row>
        <row r="3443">
          <cell r="A3443" t="str">
            <v>11</v>
          </cell>
          <cell r="B3443" t="str">
            <v>13</v>
          </cell>
          <cell r="C3443" t="str">
            <v>11</v>
          </cell>
          <cell r="D3443" t="str">
            <v>4</v>
          </cell>
          <cell r="E3443" t="str">
            <v>0011</v>
          </cell>
          <cell r="F3443" t="str">
            <v>0005</v>
          </cell>
          <cell r="G3443" t="str">
            <v>221010202</v>
          </cell>
          <cell r="H3443" t="str">
            <v>付运费税款</v>
          </cell>
          <cell r="I3443" t="b">
            <v>1</v>
          </cell>
          <cell r="J3443">
            <v>1953</v>
          </cell>
          <cell r="K3443">
            <v>0</v>
          </cell>
          <cell r="L3443">
            <v>0</v>
          </cell>
        </row>
        <row r="3444">
          <cell r="A3444" t="str">
            <v>11</v>
          </cell>
          <cell r="B3444" t="str">
            <v>13</v>
          </cell>
          <cell r="C3444" t="str">
            <v>11</v>
          </cell>
          <cell r="D3444" t="str">
            <v>4</v>
          </cell>
          <cell r="E3444" t="str">
            <v>0013</v>
          </cell>
          <cell r="F3444" t="str">
            <v>0004</v>
          </cell>
          <cell r="G3444" t="str">
            <v>221010202</v>
          </cell>
          <cell r="H3444" t="str">
            <v>付运费税款</v>
          </cell>
          <cell r="I3444" t="b">
            <v>1</v>
          </cell>
          <cell r="J3444">
            <v>484.75</v>
          </cell>
          <cell r="K3444">
            <v>0</v>
          </cell>
          <cell r="L3444">
            <v>0</v>
          </cell>
        </row>
        <row r="3445">
          <cell r="A3445" t="str">
            <v>11</v>
          </cell>
          <cell r="B3445" t="str">
            <v>23</v>
          </cell>
          <cell r="C3445" t="str">
            <v>11</v>
          </cell>
          <cell r="D3445" t="str">
            <v>4</v>
          </cell>
          <cell r="E3445" t="str">
            <v>0035</v>
          </cell>
          <cell r="F3445" t="str">
            <v>0004</v>
          </cell>
          <cell r="G3445" t="str">
            <v>221010202</v>
          </cell>
          <cell r="H3445" t="str">
            <v>付运费税款</v>
          </cell>
          <cell r="I3445" t="b">
            <v>1</v>
          </cell>
          <cell r="J3445">
            <v>748.02</v>
          </cell>
          <cell r="K3445">
            <v>0</v>
          </cell>
          <cell r="L3445">
            <v>0</v>
          </cell>
        </row>
        <row r="3446">
          <cell r="A3446" t="str">
            <v>11</v>
          </cell>
          <cell r="B3446" t="str">
            <v>23</v>
          </cell>
          <cell r="C3446" t="str">
            <v>11</v>
          </cell>
          <cell r="D3446" t="str">
            <v>4</v>
          </cell>
          <cell r="E3446" t="str">
            <v>0036</v>
          </cell>
          <cell r="F3446" t="str">
            <v>0004</v>
          </cell>
          <cell r="G3446" t="str">
            <v>221010202</v>
          </cell>
          <cell r="H3446" t="str">
            <v>付运费税款</v>
          </cell>
          <cell r="I3446" t="b">
            <v>1</v>
          </cell>
          <cell r="J3446">
            <v>210</v>
          </cell>
          <cell r="K3446">
            <v>0</v>
          </cell>
          <cell r="L3446">
            <v>0</v>
          </cell>
        </row>
        <row r="3447">
          <cell r="A3447" t="str">
            <v>11</v>
          </cell>
          <cell r="B3447" t="str">
            <v>16</v>
          </cell>
          <cell r="C3447" t="str">
            <v>11</v>
          </cell>
          <cell r="D3447" t="str">
            <v>5</v>
          </cell>
          <cell r="E3447" t="str">
            <v>0011</v>
          </cell>
          <cell r="F3447" t="str">
            <v>0003</v>
          </cell>
          <cell r="G3447" t="str">
            <v>221010202</v>
          </cell>
          <cell r="H3447" t="str">
            <v>转购钢板654.34吨运费税金</v>
          </cell>
          <cell r="I3447" t="b">
            <v>1</v>
          </cell>
          <cell r="J3447">
            <v>3105.66</v>
          </cell>
          <cell r="K3447">
            <v>0</v>
          </cell>
          <cell r="L3447">
            <v>0</v>
          </cell>
        </row>
        <row r="3448">
          <cell r="A3448" t="str">
            <v>12</v>
          </cell>
          <cell r="B3448" t="str">
            <v>10</v>
          </cell>
          <cell r="C3448" t="str">
            <v>12</v>
          </cell>
          <cell r="D3448" t="str">
            <v>4</v>
          </cell>
          <cell r="E3448" t="str">
            <v>0016</v>
          </cell>
          <cell r="F3448" t="str">
            <v>0003</v>
          </cell>
          <cell r="G3448" t="str">
            <v>221010202</v>
          </cell>
          <cell r="H3448" t="str">
            <v>付运费税款</v>
          </cell>
          <cell r="I3448" t="b">
            <v>1</v>
          </cell>
          <cell r="J3448">
            <v>504</v>
          </cell>
          <cell r="K3448">
            <v>0</v>
          </cell>
          <cell r="L3448">
            <v>0</v>
          </cell>
        </row>
        <row r="3449">
          <cell r="A3449" t="str">
            <v>12</v>
          </cell>
          <cell r="B3449" t="str">
            <v>10</v>
          </cell>
          <cell r="C3449" t="str">
            <v>12</v>
          </cell>
          <cell r="D3449" t="str">
            <v>4</v>
          </cell>
          <cell r="E3449" t="str">
            <v>0019</v>
          </cell>
          <cell r="F3449" t="str">
            <v>0004</v>
          </cell>
          <cell r="G3449" t="str">
            <v>221010202</v>
          </cell>
          <cell r="H3449" t="str">
            <v>付运费税款</v>
          </cell>
          <cell r="I3449" t="b">
            <v>1</v>
          </cell>
          <cell r="J3449">
            <v>74.27</v>
          </cell>
          <cell r="K3449">
            <v>0</v>
          </cell>
          <cell r="L3449">
            <v>0</v>
          </cell>
        </row>
        <row r="3450">
          <cell r="A3450" t="str">
            <v>12</v>
          </cell>
          <cell r="B3450" t="str">
            <v>19</v>
          </cell>
          <cell r="C3450" t="str">
            <v>12</v>
          </cell>
          <cell r="D3450" t="str">
            <v>4</v>
          </cell>
          <cell r="E3450" t="str">
            <v>0028</v>
          </cell>
          <cell r="F3450" t="str">
            <v>0002</v>
          </cell>
          <cell r="G3450" t="str">
            <v>221010202</v>
          </cell>
          <cell r="H3450" t="str">
            <v>付运费税款</v>
          </cell>
          <cell r="I3450" t="b">
            <v>1</v>
          </cell>
          <cell r="J3450">
            <v>168</v>
          </cell>
          <cell r="K3450">
            <v>0</v>
          </cell>
          <cell r="L3450">
            <v>0</v>
          </cell>
        </row>
        <row r="3451">
          <cell r="A3451" t="str">
            <v>12</v>
          </cell>
          <cell r="B3451" t="str">
            <v>19</v>
          </cell>
          <cell r="C3451" t="str">
            <v>12</v>
          </cell>
          <cell r="D3451" t="str">
            <v>4</v>
          </cell>
          <cell r="E3451" t="str">
            <v>0029</v>
          </cell>
          <cell r="F3451" t="str">
            <v>0002</v>
          </cell>
          <cell r="G3451" t="str">
            <v>221010202</v>
          </cell>
          <cell r="H3451" t="str">
            <v>付运费税款</v>
          </cell>
          <cell r="I3451" t="b">
            <v>1</v>
          </cell>
          <cell r="J3451">
            <v>155.22999999999999</v>
          </cell>
          <cell r="K3451">
            <v>0</v>
          </cell>
          <cell r="L3451">
            <v>0</v>
          </cell>
        </row>
        <row r="3452">
          <cell r="A3452" t="str">
            <v>12</v>
          </cell>
          <cell r="B3452" t="str">
            <v>20</v>
          </cell>
          <cell r="C3452" t="str">
            <v>12</v>
          </cell>
          <cell r="D3452" t="str">
            <v>4</v>
          </cell>
          <cell r="E3452" t="str">
            <v>0040</v>
          </cell>
          <cell r="F3452" t="str">
            <v>0003</v>
          </cell>
          <cell r="G3452" t="str">
            <v>221010202</v>
          </cell>
          <cell r="H3452" t="str">
            <v>付运费税款</v>
          </cell>
          <cell r="I3452" t="b">
            <v>1</v>
          </cell>
          <cell r="J3452">
            <v>186.9</v>
          </cell>
          <cell r="K3452">
            <v>0</v>
          </cell>
          <cell r="L3452">
            <v>0</v>
          </cell>
        </row>
        <row r="3453">
          <cell r="A3453" t="str">
            <v>12</v>
          </cell>
          <cell r="B3453" t="str">
            <v>20</v>
          </cell>
          <cell r="C3453" t="str">
            <v>12</v>
          </cell>
          <cell r="D3453" t="str">
            <v>5</v>
          </cell>
          <cell r="E3453" t="str">
            <v>0015</v>
          </cell>
          <cell r="F3453" t="str">
            <v>0002</v>
          </cell>
          <cell r="G3453" t="str">
            <v>221010202</v>
          </cell>
          <cell r="H3453" t="str">
            <v>转运费税款</v>
          </cell>
          <cell r="I3453" t="b">
            <v>1</v>
          </cell>
          <cell r="J3453">
            <v>252</v>
          </cell>
          <cell r="K3453">
            <v>0</v>
          </cell>
          <cell r="L3453">
            <v>0</v>
          </cell>
        </row>
        <row r="3454">
          <cell r="A3454" t="str">
            <v>12</v>
          </cell>
          <cell r="B3454" t="str">
            <v>22</v>
          </cell>
          <cell r="C3454" t="str">
            <v>12</v>
          </cell>
          <cell r="D3454" t="str">
            <v>5</v>
          </cell>
          <cell r="E3454" t="str">
            <v>0020</v>
          </cell>
          <cell r="F3454" t="str">
            <v>0002</v>
          </cell>
          <cell r="G3454" t="str">
            <v>221010202</v>
          </cell>
          <cell r="H3454" t="str">
            <v>转报销果汁运费税金</v>
          </cell>
          <cell r="I3454" t="b">
            <v>1</v>
          </cell>
          <cell r="J3454">
            <v>10.5</v>
          </cell>
          <cell r="K3454">
            <v>0</v>
          </cell>
          <cell r="L3454">
            <v>0</v>
          </cell>
        </row>
        <row r="3455">
          <cell r="A3455" t="str">
            <v>12</v>
          </cell>
          <cell r="B3455" t="str">
            <v>25</v>
          </cell>
          <cell r="C3455" t="str">
            <v>12</v>
          </cell>
          <cell r="D3455" t="str">
            <v>5</v>
          </cell>
          <cell r="E3455" t="str">
            <v>0026</v>
          </cell>
          <cell r="F3455" t="str">
            <v>0004</v>
          </cell>
          <cell r="G3455" t="str">
            <v>221010202</v>
          </cell>
          <cell r="H3455" t="str">
            <v>转调整11月5-11#建设基金税金</v>
          </cell>
          <cell r="I3455" t="b">
            <v>1</v>
          </cell>
          <cell r="J3455">
            <v>2692.89</v>
          </cell>
          <cell r="K3455">
            <v>0</v>
          </cell>
          <cell r="L3455">
            <v>0</v>
          </cell>
        </row>
        <row r="3456">
          <cell r="A3456" t="str">
            <v>06</v>
          </cell>
          <cell r="B3456" t="str">
            <v>16</v>
          </cell>
          <cell r="C3456" t="str">
            <v>06</v>
          </cell>
          <cell r="D3456" t="str">
            <v>5</v>
          </cell>
          <cell r="E3456" t="str">
            <v>0001</v>
          </cell>
          <cell r="F3456" t="str">
            <v>0002</v>
          </cell>
          <cell r="G3456" t="str">
            <v>221010203</v>
          </cell>
          <cell r="H3456" t="str">
            <v>转订出99年海运费进项税额</v>
          </cell>
          <cell r="I3456" t="b">
            <v>0</v>
          </cell>
          <cell r="J3456">
            <v>409188.26</v>
          </cell>
          <cell r="K3456">
            <v>0</v>
          </cell>
          <cell r="L3456">
            <v>0</v>
          </cell>
        </row>
        <row r="3457">
          <cell r="A3457" t="str">
            <v>06</v>
          </cell>
          <cell r="B3457" t="str">
            <v>16</v>
          </cell>
          <cell r="C3457" t="str">
            <v>06</v>
          </cell>
          <cell r="D3457" t="str">
            <v>5</v>
          </cell>
          <cell r="E3457" t="str">
            <v>0001</v>
          </cell>
          <cell r="F3457" t="str">
            <v>0003</v>
          </cell>
          <cell r="G3457" t="str">
            <v>221010203</v>
          </cell>
          <cell r="H3457" t="str">
            <v>转订出00年1-3月海运费进项税额</v>
          </cell>
          <cell r="I3457" t="b">
            <v>0</v>
          </cell>
          <cell r="J3457">
            <v>157846.82</v>
          </cell>
          <cell r="K3457">
            <v>0</v>
          </cell>
          <cell r="L3457">
            <v>0</v>
          </cell>
        </row>
        <row r="3458">
          <cell r="A3458" t="str">
            <v>06</v>
          </cell>
          <cell r="B3458" t="str">
            <v>16</v>
          </cell>
          <cell r="C3458" t="str">
            <v>06</v>
          </cell>
          <cell r="D3458" t="str">
            <v>5</v>
          </cell>
          <cell r="E3458" t="str">
            <v>0001</v>
          </cell>
          <cell r="F3458" t="str">
            <v>0005</v>
          </cell>
          <cell r="G3458" t="str">
            <v>221010203</v>
          </cell>
          <cell r="H3458" t="str">
            <v>转订出00年1-5月CFS费进项税额</v>
          </cell>
          <cell r="I3458" t="b">
            <v>0</v>
          </cell>
          <cell r="J3458">
            <v>1696.1</v>
          </cell>
          <cell r="K3458">
            <v>0</v>
          </cell>
          <cell r="L3458">
            <v>0</v>
          </cell>
        </row>
        <row r="3459">
          <cell r="A3459" t="str">
            <v>02</v>
          </cell>
          <cell r="B3459" t="str">
            <v>28</v>
          </cell>
          <cell r="C3459" t="str">
            <v>02</v>
          </cell>
          <cell r="D3459" t="str">
            <v>5</v>
          </cell>
          <cell r="E3459" t="str">
            <v>0033</v>
          </cell>
          <cell r="F3459" t="str">
            <v>0002</v>
          </cell>
          <cell r="G3459" t="str">
            <v>221010402</v>
          </cell>
          <cell r="H3459" t="str">
            <v>按出口收入4%计提不予免抵税金</v>
          </cell>
          <cell r="I3459" t="b">
            <v>0</v>
          </cell>
          <cell r="J3459">
            <v>629690.63</v>
          </cell>
          <cell r="K3459">
            <v>0</v>
          </cell>
          <cell r="L3459">
            <v>0</v>
          </cell>
        </row>
        <row r="3460">
          <cell r="A3460" t="str">
            <v>03</v>
          </cell>
          <cell r="B3460" t="str">
            <v>28</v>
          </cell>
          <cell r="C3460" t="str">
            <v>03</v>
          </cell>
          <cell r="D3460" t="str">
            <v>5</v>
          </cell>
          <cell r="E3460" t="str">
            <v>0016</v>
          </cell>
          <cell r="F3460" t="str">
            <v>0002</v>
          </cell>
          <cell r="G3460" t="str">
            <v>221010402</v>
          </cell>
          <cell r="H3460" t="str">
            <v>转按销售收入4%计提不予免抵税款</v>
          </cell>
          <cell r="I3460" t="b">
            <v>0</v>
          </cell>
          <cell r="J3460">
            <v>205217.5</v>
          </cell>
          <cell r="K3460">
            <v>0</v>
          </cell>
          <cell r="L3460">
            <v>0</v>
          </cell>
        </row>
        <row r="3461">
          <cell r="A3461" t="str">
            <v>03</v>
          </cell>
          <cell r="B3461" t="str">
            <v>30</v>
          </cell>
          <cell r="C3461" t="str">
            <v>03</v>
          </cell>
          <cell r="D3461" t="str">
            <v>5</v>
          </cell>
          <cell r="E3461" t="str">
            <v>0027</v>
          </cell>
          <cell r="F3461" t="str">
            <v>0002</v>
          </cell>
          <cell r="G3461" t="str">
            <v>221010402</v>
          </cell>
          <cell r="H3461" t="str">
            <v>转本月进料加工虚拟进项税款</v>
          </cell>
          <cell r="I3461" t="b">
            <v>0</v>
          </cell>
          <cell r="J3461">
            <v>-28654.87</v>
          </cell>
          <cell r="K3461">
            <v>0</v>
          </cell>
          <cell r="L3461">
            <v>0</v>
          </cell>
        </row>
        <row r="3462">
          <cell r="A3462" t="str">
            <v>04</v>
          </cell>
          <cell r="B3462" t="str">
            <v>26</v>
          </cell>
          <cell r="C3462" t="str">
            <v>04</v>
          </cell>
          <cell r="D3462" t="str">
            <v>5</v>
          </cell>
          <cell r="E3462" t="str">
            <v>0025</v>
          </cell>
          <cell r="F3462" t="str">
            <v>0002</v>
          </cell>
          <cell r="G3462" t="str">
            <v>221010402</v>
          </cell>
          <cell r="H3462" t="str">
            <v>转按销售收入4%计提不予免抵税款</v>
          </cell>
          <cell r="I3462" t="b">
            <v>0</v>
          </cell>
          <cell r="J3462">
            <v>229887.43</v>
          </cell>
          <cell r="K3462">
            <v>0</v>
          </cell>
          <cell r="L3462">
            <v>0</v>
          </cell>
        </row>
        <row r="3463">
          <cell r="A3463" t="str">
            <v>05</v>
          </cell>
          <cell r="B3463" t="str">
            <v>26</v>
          </cell>
          <cell r="C3463" t="str">
            <v>05</v>
          </cell>
          <cell r="D3463" t="str">
            <v>5</v>
          </cell>
          <cell r="E3463" t="str">
            <v>0027</v>
          </cell>
          <cell r="F3463" t="str">
            <v>0002</v>
          </cell>
          <cell r="G3463" t="str">
            <v>221010402</v>
          </cell>
          <cell r="H3463" t="str">
            <v>转订2月5-29FVE67#不予免抵税金</v>
          </cell>
          <cell r="I3463" t="b">
            <v>0</v>
          </cell>
          <cell r="J3463">
            <v>-758.1</v>
          </cell>
          <cell r="K3463">
            <v>0</v>
          </cell>
          <cell r="L3463">
            <v>0</v>
          </cell>
        </row>
        <row r="3464">
          <cell r="A3464" t="str">
            <v>05</v>
          </cell>
          <cell r="B3464" t="str">
            <v>27</v>
          </cell>
          <cell r="C3464" t="str">
            <v>05</v>
          </cell>
          <cell r="D3464" t="str">
            <v>5</v>
          </cell>
          <cell r="E3464" t="str">
            <v>0028</v>
          </cell>
          <cell r="F3464" t="str">
            <v>0002</v>
          </cell>
          <cell r="G3464" t="str">
            <v>221010402</v>
          </cell>
          <cell r="H3464" t="str">
            <v>转按4%计提本月不予免抵税金</v>
          </cell>
          <cell r="I3464" t="b">
            <v>0</v>
          </cell>
          <cell r="J3464">
            <v>304190.36</v>
          </cell>
          <cell r="K3464">
            <v>0</v>
          </cell>
          <cell r="L3464">
            <v>0</v>
          </cell>
        </row>
        <row r="3465">
          <cell r="A3465" t="str">
            <v>06</v>
          </cell>
          <cell r="B3465" t="str">
            <v>23</v>
          </cell>
          <cell r="C3465" t="str">
            <v>06</v>
          </cell>
          <cell r="D3465" t="str">
            <v>5</v>
          </cell>
          <cell r="E3465" t="str">
            <v>0019</v>
          </cell>
          <cell r="F3465" t="str">
            <v>0002</v>
          </cell>
          <cell r="G3465" t="str">
            <v>221010402</v>
          </cell>
          <cell r="H3465" t="str">
            <v>转按4%计提本月不予免抵税金</v>
          </cell>
          <cell r="I3465" t="b">
            <v>0</v>
          </cell>
          <cell r="J3465">
            <v>102136.68</v>
          </cell>
          <cell r="K3465">
            <v>0</v>
          </cell>
          <cell r="L3465">
            <v>0</v>
          </cell>
        </row>
        <row r="3466">
          <cell r="A3466" t="str">
            <v>07</v>
          </cell>
          <cell r="B3466" t="str">
            <v>27</v>
          </cell>
          <cell r="C3466" t="str">
            <v>07</v>
          </cell>
          <cell r="D3466" t="str">
            <v>5</v>
          </cell>
          <cell r="E3466" t="str">
            <v>0031</v>
          </cell>
          <cell r="F3466" t="str">
            <v>0002</v>
          </cell>
          <cell r="G3466" t="str">
            <v>221010402</v>
          </cell>
          <cell r="H3466" t="str">
            <v>转按4%计提本月不予免抵税金</v>
          </cell>
          <cell r="I3466" t="b">
            <v>0</v>
          </cell>
          <cell r="J3466">
            <v>65758.5</v>
          </cell>
          <cell r="K3466">
            <v>0</v>
          </cell>
          <cell r="L3466">
            <v>0</v>
          </cell>
        </row>
        <row r="3467">
          <cell r="A3467" t="str">
            <v>08</v>
          </cell>
          <cell r="B3467" t="str">
            <v>28</v>
          </cell>
          <cell r="C3467" t="str">
            <v>08</v>
          </cell>
          <cell r="D3467" t="str">
            <v>5</v>
          </cell>
          <cell r="E3467" t="str">
            <v>0027</v>
          </cell>
          <cell r="F3467" t="str">
            <v>0002</v>
          </cell>
          <cell r="G3467" t="str">
            <v>221010402</v>
          </cell>
          <cell r="H3467" t="str">
            <v>转按4%计提本月不予免抵税金</v>
          </cell>
          <cell r="I3467" t="b">
            <v>0</v>
          </cell>
          <cell r="J3467">
            <v>291123.43</v>
          </cell>
          <cell r="K3467">
            <v>0</v>
          </cell>
          <cell r="L3467">
            <v>0</v>
          </cell>
        </row>
        <row r="3468">
          <cell r="A3468" t="str">
            <v>09</v>
          </cell>
          <cell r="B3468" t="str">
            <v>30</v>
          </cell>
          <cell r="C3468" t="str">
            <v>09</v>
          </cell>
          <cell r="D3468" t="str">
            <v>5</v>
          </cell>
          <cell r="E3468" t="str">
            <v>0033</v>
          </cell>
          <cell r="F3468" t="str">
            <v>0002</v>
          </cell>
          <cell r="G3468" t="str">
            <v>221010402</v>
          </cell>
          <cell r="H3468" t="str">
            <v>转按4%计提本月不予免抵税金</v>
          </cell>
          <cell r="I3468" t="b">
            <v>0</v>
          </cell>
          <cell r="J3468">
            <v>188951.67</v>
          </cell>
          <cell r="K3468">
            <v>0</v>
          </cell>
          <cell r="L3468">
            <v>0</v>
          </cell>
        </row>
        <row r="3469">
          <cell r="A3469" t="str">
            <v>10</v>
          </cell>
          <cell r="B3469" t="str">
            <v>28</v>
          </cell>
          <cell r="C3469" t="str">
            <v>10</v>
          </cell>
          <cell r="D3469" t="str">
            <v>5</v>
          </cell>
          <cell r="E3469" t="str">
            <v>0027</v>
          </cell>
          <cell r="F3469" t="str">
            <v>0002</v>
          </cell>
          <cell r="G3469" t="str">
            <v>221010402</v>
          </cell>
          <cell r="H3469" t="str">
            <v>转按4%计提本月不予免抵税金</v>
          </cell>
          <cell r="I3469" t="b">
            <v>0</v>
          </cell>
          <cell r="J3469">
            <v>128271.42</v>
          </cell>
          <cell r="K3469">
            <v>0</v>
          </cell>
          <cell r="L3469">
            <v>0</v>
          </cell>
        </row>
        <row r="3470">
          <cell r="A3470" t="str">
            <v>11</v>
          </cell>
          <cell r="B3470" t="str">
            <v>30</v>
          </cell>
          <cell r="C3470" t="str">
            <v>11</v>
          </cell>
          <cell r="D3470" t="str">
            <v>5</v>
          </cell>
          <cell r="E3470" t="str">
            <v>0030</v>
          </cell>
          <cell r="F3470" t="str">
            <v>0002</v>
          </cell>
          <cell r="G3470" t="str">
            <v>221010402</v>
          </cell>
          <cell r="H3470" t="str">
            <v>转按4%计提本月不予免抵税金</v>
          </cell>
          <cell r="I3470" t="b">
            <v>0</v>
          </cell>
          <cell r="J3470">
            <v>17329.98</v>
          </cell>
          <cell r="K3470">
            <v>0</v>
          </cell>
          <cell r="L3470">
            <v>0</v>
          </cell>
        </row>
        <row r="3471">
          <cell r="A3471" t="str">
            <v>12</v>
          </cell>
          <cell r="B3471" t="str">
            <v>28</v>
          </cell>
          <cell r="C3471" t="str">
            <v>12</v>
          </cell>
          <cell r="D3471" t="str">
            <v>5</v>
          </cell>
          <cell r="E3471" t="str">
            <v>0075</v>
          </cell>
          <cell r="F3471" t="str">
            <v>0002</v>
          </cell>
          <cell r="G3471" t="str">
            <v>221010402</v>
          </cell>
          <cell r="H3471" t="str">
            <v>转按4%计提本月不予免抵税金</v>
          </cell>
          <cell r="I3471" t="b">
            <v>0</v>
          </cell>
          <cell r="J3471">
            <v>501908.34</v>
          </cell>
          <cell r="K3471">
            <v>0</v>
          </cell>
          <cell r="L3471">
            <v>0</v>
          </cell>
        </row>
        <row r="3472">
          <cell r="A3472" t="str">
            <v>06</v>
          </cell>
          <cell r="B3472" t="str">
            <v>20</v>
          </cell>
          <cell r="C3472" t="str">
            <v>06</v>
          </cell>
          <cell r="D3472" t="str">
            <v>3</v>
          </cell>
          <cell r="E3472" t="str">
            <v>0002</v>
          </cell>
          <cell r="F3472" t="str">
            <v>0004</v>
          </cell>
          <cell r="G3472" t="str">
            <v>221010403</v>
          </cell>
          <cell r="H3472" t="str">
            <v>收出口退税款</v>
          </cell>
          <cell r="I3472" t="b">
            <v>0</v>
          </cell>
          <cell r="J3472">
            <v>1529891.68</v>
          </cell>
          <cell r="K3472">
            <v>0</v>
          </cell>
          <cell r="L3472">
            <v>0</v>
          </cell>
        </row>
        <row r="3473">
          <cell r="A3473" t="str">
            <v>07</v>
          </cell>
          <cell r="B3473" t="str">
            <v>05</v>
          </cell>
          <cell r="C3473" t="str">
            <v>07</v>
          </cell>
          <cell r="D3473" t="str">
            <v>3</v>
          </cell>
          <cell r="E3473" t="str">
            <v>0002</v>
          </cell>
          <cell r="F3473" t="str">
            <v>0006</v>
          </cell>
          <cell r="G3473" t="str">
            <v>221010403</v>
          </cell>
          <cell r="H3473" t="str">
            <v>收退税款</v>
          </cell>
          <cell r="I3473" t="b">
            <v>0</v>
          </cell>
          <cell r="J3473">
            <v>1866181.69</v>
          </cell>
          <cell r="K3473">
            <v>0</v>
          </cell>
          <cell r="L3473">
            <v>0</v>
          </cell>
        </row>
        <row r="3474">
          <cell r="A3474" t="str">
            <v>09</v>
          </cell>
          <cell r="B3474" t="str">
            <v>10</v>
          </cell>
          <cell r="C3474" t="str">
            <v>09</v>
          </cell>
          <cell r="D3474" t="str">
            <v>3</v>
          </cell>
          <cell r="E3474" t="str">
            <v>0005</v>
          </cell>
          <cell r="F3474" t="str">
            <v>0002</v>
          </cell>
          <cell r="G3474" t="str">
            <v>221010403</v>
          </cell>
          <cell r="H3474" t="str">
            <v>收出口退税</v>
          </cell>
          <cell r="I3474" t="b">
            <v>0</v>
          </cell>
          <cell r="J3474">
            <v>337911.45</v>
          </cell>
          <cell r="K3474">
            <v>0</v>
          </cell>
          <cell r="L3474">
            <v>0</v>
          </cell>
        </row>
        <row r="3475">
          <cell r="A3475" t="str">
            <v>03</v>
          </cell>
          <cell r="B3475" t="str">
            <v>27</v>
          </cell>
          <cell r="C3475" t="str">
            <v>03</v>
          </cell>
          <cell r="D3475" t="str">
            <v>5</v>
          </cell>
          <cell r="E3475" t="str">
            <v>0001</v>
          </cell>
          <cell r="F3475" t="str">
            <v>0005</v>
          </cell>
          <cell r="G3475" t="str">
            <v>22102</v>
          </cell>
          <cell r="H3475" t="str">
            <v>转订出99年12月5-70#凭证错制</v>
          </cell>
          <cell r="I3475" t="b">
            <v>0</v>
          </cell>
          <cell r="J3475">
            <v>-4904.43</v>
          </cell>
          <cell r="K3475">
            <v>0</v>
          </cell>
          <cell r="L3475">
            <v>0</v>
          </cell>
        </row>
        <row r="3476">
          <cell r="A3476" t="str">
            <v>02</v>
          </cell>
          <cell r="B3476" t="str">
            <v>15</v>
          </cell>
          <cell r="C3476" t="str">
            <v>02</v>
          </cell>
          <cell r="D3476" t="str">
            <v>4</v>
          </cell>
          <cell r="E3476" t="str">
            <v>0017</v>
          </cell>
          <cell r="F3476" t="str">
            <v>0002</v>
          </cell>
          <cell r="G3476" t="str">
            <v>22103</v>
          </cell>
          <cell r="H3476" t="str">
            <v>增值税检查调整</v>
          </cell>
          <cell r="I3476" t="b">
            <v>1</v>
          </cell>
          <cell r="J3476">
            <v>29037.78</v>
          </cell>
          <cell r="K3476">
            <v>0</v>
          </cell>
          <cell r="L3476">
            <v>0</v>
          </cell>
        </row>
        <row r="3477">
          <cell r="A3477" t="str">
            <v>02</v>
          </cell>
          <cell r="B3477" t="str">
            <v>22</v>
          </cell>
          <cell r="C3477" t="str">
            <v>02</v>
          </cell>
          <cell r="D3477" t="str">
            <v>5</v>
          </cell>
          <cell r="E3477" t="str">
            <v>0009</v>
          </cell>
          <cell r="F3477" t="str">
            <v>0002</v>
          </cell>
          <cell r="G3477" t="str">
            <v>22103</v>
          </cell>
          <cell r="H3477" t="str">
            <v>转税务检查增值税调正</v>
          </cell>
          <cell r="I3477" t="b">
            <v>0</v>
          </cell>
          <cell r="J3477">
            <v>29037.78</v>
          </cell>
          <cell r="K3477">
            <v>0</v>
          </cell>
          <cell r="L3477">
            <v>0</v>
          </cell>
        </row>
        <row r="3478">
          <cell r="A3478" t="str">
            <v>03</v>
          </cell>
          <cell r="B3478" t="str">
            <v>27</v>
          </cell>
          <cell r="C3478" t="str">
            <v>03</v>
          </cell>
          <cell r="D3478" t="str">
            <v>5</v>
          </cell>
          <cell r="E3478" t="str">
            <v>0001</v>
          </cell>
          <cell r="F3478" t="str">
            <v>0006</v>
          </cell>
          <cell r="G3478" t="str">
            <v>22103</v>
          </cell>
          <cell r="H3478" t="str">
            <v>转订正99年12月5-70#凭证错制</v>
          </cell>
          <cell r="I3478" t="b">
            <v>0</v>
          </cell>
          <cell r="J3478">
            <v>4904.43</v>
          </cell>
          <cell r="K3478">
            <v>0</v>
          </cell>
          <cell r="L3478">
            <v>0</v>
          </cell>
        </row>
        <row r="3479">
          <cell r="A3479" t="str">
            <v>07</v>
          </cell>
          <cell r="B3479" t="str">
            <v>21</v>
          </cell>
          <cell r="C3479" t="str">
            <v>07</v>
          </cell>
          <cell r="D3479" t="str">
            <v>2</v>
          </cell>
          <cell r="E3479" t="str">
            <v>0022</v>
          </cell>
          <cell r="F3479" t="str">
            <v>0001</v>
          </cell>
          <cell r="G3479" t="str">
            <v>22103</v>
          </cell>
          <cell r="H3479" t="str">
            <v>增值税检查调整</v>
          </cell>
          <cell r="I3479" t="b">
            <v>1</v>
          </cell>
          <cell r="J3479">
            <v>1085.8499999999999</v>
          </cell>
          <cell r="K3479">
            <v>0</v>
          </cell>
          <cell r="L3479">
            <v>0</v>
          </cell>
        </row>
        <row r="3480">
          <cell r="A3480" t="str">
            <v>07</v>
          </cell>
          <cell r="B3480" t="str">
            <v>26</v>
          </cell>
          <cell r="C3480" t="str">
            <v>07</v>
          </cell>
          <cell r="D3480" t="str">
            <v>5</v>
          </cell>
          <cell r="E3480" t="str">
            <v>0023</v>
          </cell>
          <cell r="F3480" t="str">
            <v>0002</v>
          </cell>
          <cell r="G3480" t="str">
            <v>22103</v>
          </cell>
          <cell r="H3480" t="str">
            <v>转增值税检查调整</v>
          </cell>
          <cell r="I3480" t="b">
            <v>0</v>
          </cell>
          <cell r="J3480">
            <v>1085.8499999999999</v>
          </cell>
          <cell r="K3480">
            <v>0</v>
          </cell>
          <cell r="L3480">
            <v>0</v>
          </cell>
        </row>
        <row r="3481">
          <cell r="A3481" t="str">
            <v>03</v>
          </cell>
          <cell r="B3481" t="str">
            <v>30</v>
          </cell>
          <cell r="C3481" t="str">
            <v>03</v>
          </cell>
          <cell r="D3481" t="str">
            <v>5</v>
          </cell>
          <cell r="E3481" t="str">
            <v>0028</v>
          </cell>
          <cell r="F3481" t="str">
            <v>0002</v>
          </cell>
          <cell r="G3481" t="str">
            <v>22104</v>
          </cell>
          <cell r="H3481" t="str">
            <v>转1-3月份营业税应提城建税</v>
          </cell>
          <cell r="I3481" t="b">
            <v>0</v>
          </cell>
          <cell r="J3481">
            <v>14</v>
          </cell>
          <cell r="K3481">
            <v>0</v>
          </cell>
          <cell r="L3481">
            <v>0</v>
          </cell>
        </row>
        <row r="3482">
          <cell r="A3482" t="str">
            <v>04</v>
          </cell>
          <cell r="B3482" t="str">
            <v>20</v>
          </cell>
          <cell r="C3482" t="str">
            <v>04</v>
          </cell>
          <cell r="D3482" t="str">
            <v>4</v>
          </cell>
          <cell r="E3482" t="str">
            <v>0026</v>
          </cell>
          <cell r="F3482" t="str">
            <v>0005</v>
          </cell>
          <cell r="G3482" t="str">
            <v>22104</v>
          </cell>
          <cell r="H3482" t="str">
            <v>交税</v>
          </cell>
          <cell r="I3482" t="b">
            <v>1</v>
          </cell>
          <cell r="J3482">
            <v>14</v>
          </cell>
          <cell r="K3482">
            <v>0</v>
          </cell>
          <cell r="L3482">
            <v>0</v>
          </cell>
        </row>
        <row r="3483">
          <cell r="A3483" t="str">
            <v>04</v>
          </cell>
          <cell r="B3483" t="str">
            <v>25</v>
          </cell>
          <cell r="C3483" t="str">
            <v>04</v>
          </cell>
          <cell r="D3483" t="str">
            <v>5</v>
          </cell>
          <cell r="E3483" t="str">
            <v>0022</v>
          </cell>
          <cell r="F3483" t="str">
            <v>0006</v>
          </cell>
          <cell r="G3483" t="str">
            <v>22104</v>
          </cell>
          <cell r="H3483" t="str">
            <v>转补提99年应交城建税</v>
          </cell>
          <cell r="I3483" t="b">
            <v>0</v>
          </cell>
          <cell r="J3483">
            <v>22.38</v>
          </cell>
          <cell r="K3483">
            <v>0</v>
          </cell>
          <cell r="L3483">
            <v>0</v>
          </cell>
        </row>
        <row r="3484">
          <cell r="A3484" t="str">
            <v>05</v>
          </cell>
          <cell r="B3484" t="str">
            <v>12</v>
          </cell>
          <cell r="C3484" t="str">
            <v>05</v>
          </cell>
          <cell r="D3484" t="str">
            <v>4</v>
          </cell>
          <cell r="E3484" t="str">
            <v>0008</v>
          </cell>
          <cell r="F3484" t="str">
            <v>0004</v>
          </cell>
          <cell r="G3484" t="str">
            <v>22104</v>
          </cell>
          <cell r="H3484" t="str">
            <v>付城建税</v>
          </cell>
          <cell r="I3484" t="b">
            <v>1</v>
          </cell>
          <cell r="J3484">
            <v>22.38</v>
          </cell>
          <cell r="K3484">
            <v>0</v>
          </cell>
          <cell r="L3484">
            <v>0</v>
          </cell>
        </row>
        <row r="3485">
          <cell r="A3485" t="str">
            <v>12</v>
          </cell>
          <cell r="B3485" t="str">
            <v>28</v>
          </cell>
          <cell r="C3485" t="str">
            <v>12</v>
          </cell>
          <cell r="D3485" t="str">
            <v>5</v>
          </cell>
          <cell r="E3485" t="str">
            <v>0074</v>
          </cell>
          <cell r="F3485" t="str">
            <v>0003</v>
          </cell>
          <cell r="G3485" t="str">
            <v>22104</v>
          </cell>
          <cell r="H3485" t="str">
            <v>转计提营业税应交城建税</v>
          </cell>
          <cell r="I3485" t="b">
            <v>0</v>
          </cell>
          <cell r="J3485">
            <v>22.4</v>
          </cell>
          <cell r="K3485">
            <v>0</v>
          </cell>
          <cell r="L3485">
            <v>0</v>
          </cell>
        </row>
        <row r="3486">
          <cell r="A3486" t="str">
            <v>03</v>
          </cell>
          <cell r="B3486" t="str">
            <v>30</v>
          </cell>
          <cell r="C3486" t="str">
            <v>03</v>
          </cell>
          <cell r="D3486" t="str">
            <v>5</v>
          </cell>
          <cell r="E3486" t="str">
            <v>0026</v>
          </cell>
          <cell r="F3486" t="str">
            <v>0003</v>
          </cell>
          <cell r="G3486" t="str">
            <v>22105</v>
          </cell>
          <cell r="H3486" t="str">
            <v>转计提1季度应提土地使用税</v>
          </cell>
          <cell r="I3486" t="b">
            <v>0</v>
          </cell>
          <cell r="J3486">
            <v>20080.73</v>
          </cell>
          <cell r="K3486">
            <v>0</v>
          </cell>
          <cell r="L3486">
            <v>0</v>
          </cell>
        </row>
        <row r="3487">
          <cell r="A3487" t="str">
            <v>04</v>
          </cell>
          <cell r="B3487" t="str">
            <v>20</v>
          </cell>
          <cell r="C3487" t="str">
            <v>04</v>
          </cell>
          <cell r="D3487" t="str">
            <v>4</v>
          </cell>
          <cell r="E3487" t="str">
            <v>0026</v>
          </cell>
          <cell r="F3487" t="str">
            <v>0003</v>
          </cell>
          <cell r="G3487" t="str">
            <v>22105</v>
          </cell>
          <cell r="H3487" t="str">
            <v>交税</v>
          </cell>
          <cell r="I3487" t="b">
            <v>1</v>
          </cell>
          <cell r="J3487">
            <v>19797.47</v>
          </cell>
          <cell r="K3487">
            <v>0</v>
          </cell>
          <cell r="L3487">
            <v>0</v>
          </cell>
        </row>
        <row r="3488">
          <cell r="A3488" t="str">
            <v>04</v>
          </cell>
          <cell r="B3488" t="str">
            <v>25</v>
          </cell>
          <cell r="C3488" t="str">
            <v>04</v>
          </cell>
          <cell r="D3488" t="str">
            <v>5</v>
          </cell>
          <cell r="E3488" t="str">
            <v>0022</v>
          </cell>
          <cell r="F3488" t="str">
            <v>0008</v>
          </cell>
          <cell r="G3488" t="str">
            <v>22105</v>
          </cell>
          <cell r="H3488" t="str">
            <v>转补提99年应交土地使用税</v>
          </cell>
          <cell r="I3488" t="b">
            <v>0</v>
          </cell>
          <cell r="J3488">
            <v>12737.41</v>
          </cell>
          <cell r="K3488">
            <v>0</v>
          </cell>
          <cell r="L3488">
            <v>0</v>
          </cell>
        </row>
        <row r="3489">
          <cell r="A3489" t="str">
            <v>05</v>
          </cell>
          <cell r="B3489" t="str">
            <v>12</v>
          </cell>
          <cell r="C3489" t="str">
            <v>05</v>
          </cell>
          <cell r="D3489" t="str">
            <v>4</v>
          </cell>
          <cell r="E3489" t="str">
            <v>0008</v>
          </cell>
          <cell r="F3489" t="str">
            <v>0006</v>
          </cell>
          <cell r="G3489" t="str">
            <v>22105</v>
          </cell>
          <cell r="H3489" t="str">
            <v>付土地使用税</v>
          </cell>
          <cell r="I3489" t="b">
            <v>1</v>
          </cell>
          <cell r="J3489">
            <v>12737.41</v>
          </cell>
          <cell r="K3489">
            <v>0</v>
          </cell>
          <cell r="L3489">
            <v>0</v>
          </cell>
        </row>
        <row r="3490">
          <cell r="A3490" t="str">
            <v>06</v>
          </cell>
          <cell r="B3490" t="str">
            <v>25</v>
          </cell>
          <cell r="C3490" t="str">
            <v>06</v>
          </cell>
          <cell r="D3490" t="str">
            <v>5</v>
          </cell>
          <cell r="E3490" t="str">
            <v>0022</v>
          </cell>
          <cell r="F3490" t="str">
            <v>0003</v>
          </cell>
          <cell r="G3490" t="str">
            <v>22105</v>
          </cell>
          <cell r="H3490" t="str">
            <v>转计提2季度应提土地使用税</v>
          </cell>
          <cell r="I3490" t="b">
            <v>0</v>
          </cell>
          <cell r="J3490">
            <v>20080.73</v>
          </cell>
          <cell r="K3490">
            <v>0</v>
          </cell>
          <cell r="L3490">
            <v>0</v>
          </cell>
        </row>
        <row r="3491">
          <cell r="A3491" t="str">
            <v>07</v>
          </cell>
          <cell r="B3491" t="str">
            <v>15</v>
          </cell>
          <cell r="C3491" t="str">
            <v>07</v>
          </cell>
          <cell r="D3491" t="str">
            <v>4</v>
          </cell>
          <cell r="E3491" t="str">
            <v>0014</v>
          </cell>
          <cell r="F3491" t="str">
            <v>0002</v>
          </cell>
          <cell r="G3491" t="str">
            <v>22105</v>
          </cell>
          <cell r="H3491" t="str">
            <v>付税款</v>
          </cell>
          <cell r="I3491" t="b">
            <v>1</v>
          </cell>
          <cell r="J3491">
            <v>20080.73</v>
          </cell>
          <cell r="K3491">
            <v>0</v>
          </cell>
          <cell r="L3491">
            <v>0</v>
          </cell>
        </row>
        <row r="3492">
          <cell r="A3492" t="str">
            <v>09</v>
          </cell>
          <cell r="B3492" t="str">
            <v>25</v>
          </cell>
          <cell r="C3492" t="str">
            <v>09</v>
          </cell>
          <cell r="D3492" t="str">
            <v>5</v>
          </cell>
          <cell r="E3492" t="str">
            <v>0018</v>
          </cell>
          <cell r="F3492" t="str">
            <v>0003</v>
          </cell>
          <cell r="G3492" t="str">
            <v>22105</v>
          </cell>
          <cell r="H3492" t="str">
            <v>转计提2季度应提土地使用税</v>
          </cell>
          <cell r="I3492" t="b">
            <v>0</v>
          </cell>
          <cell r="J3492">
            <v>20080.73</v>
          </cell>
          <cell r="K3492">
            <v>0</v>
          </cell>
          <cell r="L3492">
            <v>0</v>
          </cell>
        </row>
        <row r="3493">
          <cell r="A3493" t="str">
            <v>10</v>
          </cell>
          <cell r="B3493" t="str">
            <v>05</v>
          </cell>
          <cell r="C3493" t="str">
            <v>10</v>
          </cell>
          <cell r="D3493" t="str">
            <v>4</v>
          </cell>
          <cell r="E3493" t="str">
            <v>0009</v>
          </cell>
          <cell r="F3493" t="str">
            <v>0003</v>
          </cell>
          <cell r="G3493" t="str">
            <v>22105</v>
          </cell>
          <cell r="H3493" t="str">
            <v>付税款</v>
          </cell>
          <cell r="I3493" t="b">
            <v>1</v>
          </cell>
          <cell r="J3493">
            <v>20080.73</v>
          </cell>
          <cell r="K3493">
            <v>0</v>
          </cell>
          <cell r="L3493">
            <v>0</v>
          </cell>
        </row>
        <row r="3494">
          <cell r="A3494" t="str">
            <v>12</v>
          </cell>
          <cell r="B3494" t="str">
            <v>22</v>
          </cell>
          <cell r="C3494" t="str">
            <v>12</v>
          </cell>
          <cell r="D3494" t="str">
            <v>5</v>
          </cell>
          <cell r="E3494" t="str">
            <v>0021</v>
          </cell>
          <cell r="F3494" t="str">
            <v>0003</v>
          </cell>
          <cell r="G3494" t="str">
            <v>22105</v>
          </cell>
          <cell r="H3494" t="str">
            <v>转计提4季度应提土地使用税</v>
          </cell>
          <cell r="I3494" t="b">
            <v>0</v>
          </cell>
          <cell r="J3494">
            <v>20080.73</v>
          </cell>
          <cell r="K3494">
            <v>0</v>
          </cell>
          <cell r="L3494">
            <v>0</v>
          </cell>
        </row>
        <row r="3495">
          <cell r="A3495" t="str">
            <v>02</v>
          </cell>
          <cell r="B3495" t="str">
            <v>03</v>
          </cell>
          <cell r="C3495" t="str">
            <v>02</v>
          </cell>
          <cell r="D3495" t="str">
            <v>4</v>
          </cell>
          <cell r="E3495" t="str">
            <v>0004</v>
          </cell>
          <cell r="F3495" t="str">
            <v>0002</v>
          </cell>
          <cell r="G3495" t="str">
            <v>22106</v>
          </cell>
          <cell r="H3495" t="str">
            <v>付房产税</v>
          </cell>
          <cell r="I3495" t="b">
            <v>1</v>
          </cell>
          <cell r="J3495">
            <v>41212.65</v>
          </cell>
          <cell r="K3495">
            <v>0</v>
          </cell>
          <cell r="L3495">
            <v>0</v>
          </cell>
        </row>
        <row r="3496">
          <cell r="A3496" t="str">
            <v>03</v>
          </cell>
          <cell r="B3496" t="str">
            <v>30</v>
          </cell>
          <cell r="C3496" t="str">
            <v>03</v>
          </cell>
          <cell r="D3496" t="str">
            <v>5</v>
          </cell>
          <cell r="E3496" t="str">
            <v>0026</v>
          </cell>
          <cell r="F3496" t="str">
            <v>0002</v>
          </cell>
          <cell r="G3496" t="str">
            <v>22106</v>
          </cell>
          <cell r="H3496" t="str">
            <v>转计提1季度应提房产税</v>
          </cell>
          <cell r="I3496" t="b">
            <v>0</v>
          </cell>
          <cell r="J3496">
            <v>36237</v>
          </cell>
          <cell r="K3496">
            <v>0</v>
          </cell>
          <cell r="L3496">
            <v>0</v>
          </cell>
        </row>
        <row r="3497">
          <cell r="A3497" t="str">
            <v>04</v>
          </cell>
          <cell r="B3497" t="str">
            <v>20</v>
          </cell>
          <cell r="C3497" t="str">
            <v>04</v>
          </cell>
          <cell r="D3497" t="str">
            <v>4</v>
          </cell>
          <cell r="E3497" t="str">
            <v>0026</v>
          </cell>
          <cell r="F3497" t="str">
            <v>0001</v>
          </cell>
          <cell r="G3497" t="str">
            <v>22106</v>
          </cell>
          <cell r="H3497" t="str">
            <v>交税</v>
          </cell>
          <cell r="I3497" t="b">
            <v>1</v>
          </cell>
          <cell r="J3497">
            <v>36237</v>
          </cell>
          <cell r="K3497">
            <v>0</v>
          </cell>
          <cell r="L3497">
            <v>0</v>
          </cell>
        </row>
        <row r="3498">
          <cell r="A3498" t="str">
            <v>04</v>
          </cell>
          <cell r="B3498" t="str">
            <v>25</v>
          </cell>
          <cell r="C3498" t="str">
            <v>04</v>
          </cell>
          <cell r="D3498" t="str">
            <v>5</v>
          </cell>
          <cell r="E3498" t="str">
            <v>0022</v>
          </cell>
          <cell r="F3498" t="str">
            <v>0002</v>
          </cell>
          <cell r="G3498" t="str">
            <v>22106</v>
          </cell>
          <cell r="H3498" t="str">
            <v>转计提4月份房产税</v>
          </cell>
          <cell r="I3498" t="b">
            <v>0</v>
          </cell>
          <cell r="J3498">
            <v>12079</v>
          </cell>
          <cell r="K3498">
            <v>0</v>
          </cell>
          <cell r="L3498">
            <v>0</v>
          </cell>
        </row>
        <row r="3499">
          <cell r="A3499" t="str">
            <v>05</v>
          </cell>
          <cell r="B3499" t="str">
            <v>29</v>
          </cell>
          <cell r="C3499" t="str">
            <v>05</v>
          </cell>
          <cell r="D3499" t="str">
            <v>5</v>
          </cell>
          <cell r="E3499" t="str">
            <v>0031</v>
          </cell>
          <cell r="F3499" t="str">
            <v>0002</v>
          </cell>
          <cell r="G3499" t="str">
            <v>22106</v>
          </cell>
          <cell r="H3499" t="str">
            <v>转计提4月份房产税</v>
          </cell>
          <cell r="I3499" t="b">
            <v>0</v>
          </cell>
          <cell r="J3499">
            <v>12079</v>
          </cell>
          <cell r="K3499">
            <v>0</v>
          </cell>
          <cell r="L3499">
            <v>0</v>
          </cell>
        </row>
        <row r="3500">
          <cell r="A3500" t="str">
            <v>06</v>
          </cell>
          <cell r="B3500" t="str">
            <v>25</v>
          </cell>
          <cell r="C3500" t="str">
            <v>06</v>
          </cell>
          <cell r="D3500" t="str">
            <v>5</v>
          </cell>
          <cell r="E3500" t="str">
            <v>0022</v>
          </cell>
          <cell r="F3500" t="str">
            <v>0002</v>
          </cell>
          <cell r="G3500" t="str">
            <v>22106</v>
          </cell>
          <cell r="H3500" t="str">
            <v>转计提6月份应提房产税</v>
          </cell>
          <cell r="I3500" t="b">
            <v>0</v>
          </cell>
          <cell r="J3500">
            <v>12079</v>
          </cell>
          <cell r="K3500">
            <v>0</v>
          </cell>
          <cell r="L3500">
            <v>0</v>
          </cell>
        </row>
        <row r="3501">
          <cell r="A3501" t="str">
            <v>07</v>
          </cell>
          <cell r="B3501" t="str">
            <v>15</v>
          </cell>
          <cell r="C3501" t="str">
            <v>07</v>
          </cell>
          <cell r="D3501" t="str">
            <v>4</v>
          </cell>
          <cell r="E3501" t="str">
            <v>0014</v>
          </cell>
          <cell r="F3501" t="str">
            <v>0003</v>
          </cell>
          <cell r="G3501" t="str">
            <v>22106</v>
          </cell>
          <cell r="H3501" t="str">
            <v>付税款</v>
          </cell>
          <cell r="I3501" t="b">
            <v>1</v>
          </cell>
          <cell r="J3501">
            <v>36237</v>
          </cell>
          <cell r="K3501">
            <v>0</v>
          </cell>
          <cell r="L3501">
            <v>0</v>
          </cell>
        </row>
        <row r="3502">
          <cell r="A3502" t="str">
            <v>07</v>
          </cell>
          <cell r="B3502" t="str">
            <v>28</v>
          </cell>
          <cell r="C3502" t="str">
            <v>07</v>
          </cell>
          <cell r="D3502" t="str">
            <v>5</v>
          </cell>
          <cell r="E3502" t="str">
            <v>0039</v>
          </cell>
          <cell r="F3502" t="str">
            <v>0002</v>
          </cell>
          <cell r="G3502" t="str">
            <v>22106</v>
          </cell>
          <cell r="H3502" t="str">
            <v>转计提7月份房产税</v>
          </cell>
          <cell r="I3502" t="b">
            <v>0</v>
          </cell>
          <cell r="J3502">
            <v>12079</v>
          </cell>
          <cell r="K3502">
            <v>0</v>
          </cell>
          <cell r="L3502">
            <v>0</v>
          </cell>
        </row>
        <row r="3503">
          <cell r="A3503" t="str">
            <v>08</v>
          </cell>
          <cell r="B3503" t="str">
            <v>28</v>
          </cell>
          <cell r="C3503" t="str">
            <v>08</v>
          </cell>
          <cell r="D3503" t="str">
            <v>5</v>
          </cell>
          <cell r="E3503" t="str">
            <v>0028</v>
          </cell>
          <cell r="F3503" t="str">
            <v>0002</v>
          </cell>
          <cell r="G3503" t="str">
            <v>22106</v>
          </cell>
          <cell r="H3503" t="str">
            <v>转计提8月份房产税</v>
          </cell>
          <cell r="I3503" t="b">
            <v>0</v>
          </cell>
          <cell r="J3503">
            <v>12079</v>
          </cell>
          <cell r="K3503">
            <v>0</v>
          </cell>
          <cell r="L3503">
            <v>0</v>
          </cell>
        </row>
        <row r="3504">
          <cell r="A3504" t="str">
            <v>09</v>
          </cell>
          <cell r="B3504" t="str">
            <v>25</v>
          </cell>
          <cell r="C3504" t="str">
            <v>09</v>
          </cell>
          <cell r="D3504" t="str">
            <v>5</v>
          </cell>
          <cell r="E3504" t="str">
            <v>0018</v>
          </cell>
          <cell r="F3504" t="str">
            <v>0002</v>
          </cell>
          <cell r="G3504" t="str">
            <v>22106</v>
          </cell>
          <cell r="H3504" t="str">
            <v>转计提6月份应提房产税</v>
          </cell>
          <cell r="I3504" t="b">
            <v>0</v>
          </cell>
          <cell r="J3504">
            <v>12079</v>
          </cell>
          <cell r="K3504">
            <v>0</v>
          </cell>
          <cell r="L3504">
            <v>0</v>
          </cell>
        </row>
        <row r="3505">
          <cell r="A3505" t="str">
            <v>10</v>
          </cell>
          <cell r="B3505" t="str">
            <v>05</v>
          </cell>
          <cell r="C3505" t="str">
            <v>10</v>
          </cell>
          <cell r="D3505" t="str">
            <v>4</v>
          </cell>
          <cell r="E3505" t="str">
            <v>0009</v>
          </cell>
          <cell r="F3505" t="str">
            <v>0002</v>
          </cell>
          <cell r="G3505" t="str">
            <v>22106</v>
          </cell>
          <cell r="H3505" t="str">
            <v>付税款</v>
          </cell>
          <cell r="I3505" t="b">
            <v>1</v>
          </cell>
          <cell r="J3505">
            <v>36237</v>
          </cell>
          <cell r="K3505">
            <v>0</v>
          </cell>
          <cell r="L3505">
            <v>0</v>
          </cell>
        </row>
        <row r="3506">
          <cell r="A3506" t="str">
            <v>10</v>
          </cell>
          <cell r="B3506" t="str">
            <v>24</v>
          </cell>
          <cell r="C3506" t="str">
            <v>10</v>
          </cell>
          <cell r="D3506" t="str">
            <v>5</v>
          </cell>
          <cell r="E3506" t="str">
            <v>0009</v>
          </cell>
          <cell r="F3506" t="str">
            <v>0002</v>
          </cell>
          <cell r="G3506" t="str">
            <v>22106</v>
          </cell>
          <cell r="H3506" t="str">
            <v>转计提10月份应提房产税</v>
          </cell>
          <cell r="I3506" t="b">
            <v>0</v>
          </cell>
          <cell r="J3506">
            <v>12079</v>
          </cell>
          <cell r="K3506">
            <v>0</v>
          </cell>
          <cell r="L3506">
            <v>0</v>
          </cell>
        </row>
        <row r="3507">
          <cell r="A3507" t="str">
            <v>12</v>
          </cell>
          <cell r="B3507" t="str">
            <v>22</v>
          </cell>
          <cell r="C3507" t="str">
            <v>12</v>
          </cell>
          <cell r="D3507" t="str">
            <v>5</v>
          </cell>
          <cell r="E3507" t="str">
            <v>0021</v>
          </cell>
          <cell r="F3507" t="str">
            <v>0002</v>
          </cell>
          <cell r="G3507" t="str">
            <v>22106</v>
          </cell>
          <cell r="H3507" t="str">
            <v>转计提11.12月份应提房产税</v>
          </cell>
          <cell r="I3507" t="b">
            <v>0</v>
          </cell>
          <cell r="J3507">
            <v>24158</v>
          </cell>
          <cell r="K3507">
            <v>0</v>
          </cell>
          <cell r="L3507">
            <v>0</v>
          </cell>
        </row>
        <row r="3508">
          <cell r="A3508" t="str">
            <v>02</v>
          </cell>
          <cell r="B3508" t="str">
            <v>03</v>
          </cell>
          <cell r="C3508" t="str">
            <v>02</v>
          </cell>
          <cell r="D3508" t="str">
            <v>4</v>
          </cell>
          <cell r="E3508" t="str">
            <v>0004</v>
          </cell>
          <cell r="F3508" t="str">
            <v>0001</v>
          </cell>
          <cell r="G3508" t="str">
            <v>22107</v>
          </cell>
          <cell r="H3508" t="str">
            <v>付所得税</v>
          </cell>
          <cell r="I3508" t="b">
            <v>1</v>
          </cell>
          <cell r="J3508">
            <v>1000000</v>
          </cell>
          <cell r="K3508">
            <v>0</v>
          </cell>
          <cell r="L3508">
            <v>0</v>
          </cell>
        </row>
        <row r="3509">
          <cell r="A3509" t="str">
            <v>02</v>
          </cell>
          <cell r="B3509" t="str">
            <v>29</v>
          </cell>
          <cell r="C3509" t="str">
            <v>02</v>
          </cell>
          <cell r="D3509" t="str">
            <v>5</v>
          </cell>
          <cell r="E3509" t="str">
            <v>0059</v>
          </cell>
          <cell r="F3509" t="str">
            <v>0002</v>
          </cell>
          <cell r="G3509" t="str">
            <v>22107</v>
          </cell>
          <cell r="H3509" t="str">
            <v>转计提本月应交所得税</v>
          </cell>
          <cell r="I3509" t="b">
            <v>0</v>
          </cell>
          <cell r="J3509">
            <v>678903.42</v>
          </cell>
          <cell r="K3509">
            <v>0</v>
          </cell>
          <cell r="L3509">
            <v>0</v>
          </cell>
        </row>
        <row r="3510">
          <cell r="A3510" t="str">
            <v>03</v>
          </cell>
          <cell r="B3510" t="str">
            <v>13</v>
          </cell>
          <cell r="C3510" t="str">
            <v>03</v>
          </cell>
          <cell r="D3510" t="str">
            <v>4</v>
          </cell>
          <cell r="E3510" t="str">
            <v>0016</v>
          </cell>
          <cell r="F3510" t="str">
            <v>0003</v>
          </cell>
          <cell r="G3510" t="str">
            <v>22107</v>
          </cell>
          <cell r="H3510" t="str">
            <v>付2月份所得税</v>
          </cell>
          <cell r="I3510" t="b">
            <v>1</v>
          </cell>
          <cell r="J3510">
            <v>458524.65</v>
          </cell>
          <cell r="K3510">
            <v>0</v>
          </cell>
          <cell r="L3510">
            <v>0</v>
          </cell>
        </row>
        <row r="3511">
          <cell r="A3511" t="str">
            <v>03</v>
          </cell>
          <cell r="B3511" t="str">
            <v>30</v>
          </cell>
          <cell r="C3511" t="str">
            <v>03</v>
          </cell>
          <cell r="D3511" t="str">
            <v>5</v>
          </cell>
          <cell r="E3511" t="str">
            <v>0034</v>
          </cell>
          <cell r="F3511" t="str">
            <v>0002</v>
          </cell>
          <cell r="G3511" t="str">
            <v>22107</v>
          </cell>
          <cell r="H3511" t="str">
            <v>转计提本月应交所得税</v>
          </cell>
          <cell r="I3511" t="b">
            <v>0</v>
          </cell>
          <cell r="J3511">
            <v>285225.34000000003</v>
          </cell>
          <cell r="K3511">
            <v>0</v>
          </cell>
          <cell r="L3511">
            <v>0</v>
          </cell>
        </row>
        <row r="3512">
          <cell r="A3512" t="str">
            <v>04</v>
          </cell>
          <cell r="B3512" t="str">
            <v>20</v>
          </cell>
          <cell r="C3512" t="str">
            <v>04</v>
          </cell>
          <cell r="D3512" t="str">
            <v>4</v>
          </cell>
          <cell r="E3512" t="str">
            <v>0026</v>
          </cell>
          <cell r="F3512" t="str">
            <v>0002</v>
          </cell>
          <cell r="G3512" t="str">
            <v>22107</v>
          </cell>
          <cell r="H3512" t="str">
            <v>交税</v>
          </cell>
          <cell r="I3512" t="b">
            <v>1</v>
          </cell>
          <cell r="J3512">
            <v>285225.34000000003</v>
          </cell>
          <cell r="K3512">
            <v>0</v>
          </cell>
          <cell r="L3512">
            <v>0</v>
          </cell>
        </row>
        <row r="3513">
          <cell r="A3513" t="str">
            <v>04</v>
          </cell>
          <cell r="B3513" t="str">
            <v>25</v>
          </cell>
          <cell r="C3513" t="str">
            <v>04</v>
          </cell>
          <cell r="D3513" t="str">
            <v>5</v>
          </cell>
          <cell r="E3513" t="str">
            <v>0022</v>
          </cell>
          <cell r="F3513" t="str">
            <v>0010</v>
          </cell>
          <cell r="G3513" t="str">
            <v>22107</v>
          </cell>
          <cell r="H3513" t="str">
            <v>转补提99年应交所得税</v>
          </cell>
          <cell r="I3513" t="b">
            <v>0</v>
          </cell>
          <cell r="J3513">
            <v>5484.34</v>
          </cell>
          <cell r="K3513">
            <v>0</v>
          </cell>
          <cell r="L3513">
            <v>0</v>
          </cell>
        </row>
        <row r="3514">
          <cell r="A3514" t="str">
            <v>04</v>
          </cell>
          <cell r="B3514" t="str">
            <v>29</v>
          </cell>
          <cell r="C3514" t="str">
            <v>04</v>
          </cell>
          <cell r="D3514" t="str">
            <v>5</v>
          </cell>
          <cell r="E3514" t="str">
            <v>0040</v>
          </cell>
          <cell r="F3514" t="str">
            <v>0002</v>
          </cell>
          <cell r="G3514" t="str">
            <v>22107</v>
          </cell>
          <cell r="H3514" t="str">
            <v>转计提本月应交所得税</v>
          </cell>
          <cell r="I3514" t="b">
            <v>0</v>
          </cell>
          <cell r="J3514">
            <v>481881.37</v>
          </cell>
          <cell r="K3514">
            <v>0</v>
          </cell>
          <cell r="L3514">
            <v>0</v>
          </cell>
        </row>
        <row r="3515">
          <cell r="A3515" t="str">
            <v>05</v>
          </cell>
          <cell r="B3515" t="str">
            <v>12</v>
          </cell>
          <cell r="C3515" t="str">
            <v>05</v>
          </cell>
          <cell r="D3515" t="str">
            <v>4</v>
          </cell>
          <cell r="E3515" t="str">
            <v>0008</v>
          </cell>
          <cell r="F3515" t="str">
            <v>0002</v>
          </cell>
          <cell r="G3515" t="str">
            <v>22107</v>
          </cell>
          <cell r="H3515" t="str">
            <v>付所得税</v>
          </cell>
          <cell r="I3515" t="b">
            <v>1</v>
          </cell>
          <cell r="J3515">
            <v>487365.71</v>
          </cell>
          <cell r="K3515">
            <v>0</v>
          </cell>
          <cell r="L3515">
            <v>0</v>
          </cell>
        </row>
        <row r="3516">
          <cell r="A3516" t="str">
            <v>05</v>
          </cell>
          <cell r="B3516" t="str">
            <v>31</v>
          </cell>
          <cell r="C3516" t="str">
            <v>05</v>
          </cell>
          <cell r="D3516" t="str">
            <v>5</v>
          </cell>
          <cell r="E3516" t="str">
            <v>0041</v>
          </cell>
          <cell r="F3516" t="str">
            <v>0002</v>
          </cell>
          <cell r="G3516" t="str">
            <v>22107</v>
          </cell>
          <cell r="H3516" t="str">
            <v>转计提本月应交所得税</v>
          </cell>
          <cell r="I3516" t="b">
            <v>0</v>
          </cell>
          <cell r="J3516">
            <v>834507.41</v>
          </cell>
          <cell r="K3516">
            <v>0</v>
          </cell>
          <cell r="L3516">
            <v>0</v>
          </cell>
        </row>
        <row r="3517">
          <cell r="A3517" t="str">
            <v>06</v>
          </cell>
          <cell r="B3517" t="str">
            <v>16</v>
          </cell>
          <cell r="C3517" t="str">
            <v>06</v>
          </cell>
          <cell r="D3517" t="str">
            <v>4</v>
          </cell>
          <cell r="E3517" t="str">
            <v>0005</v>
          </cell>
          <cell r="F3517" t="str">
            <v>0001</v>
          </cell>
          <cell r="G3517" t="str">
            <v>22107</v>
          </cell>
          <cell r="H3517" t="str">
            <v>付税款</v>
          </cell>
          <cell r="I3517" t="b">
            <v>1</v>
          </cell>
          <cell r="J3517">
            <v>834507.41</v>
          </cell>
          <cell r="K3517">
            <v>0</v>
          </cell>
          <cell r="L3517">
            <v>0</v>
          </cell>
        </row>
        <row r="3518">
          <cell r="A3518" t="str">
            <v>06</v>
          </cell>
          <cell r="B3518" t="str">
            <v>25</v>
          </cell>
          <cell r="C3518" t="str">
            <v>06</v>
          </cell>
          <cell r="D3518" t="str">
            <v>5</v>
          </cell>
          <cell r="E3518" t="str">
            <v>0030</v>
          </cell>
          <cell r="F3518" t="str">
            <v>0002</v>
          </cell>
          <cell r="G3518" t="str">
            <v>22107</v>
          </cell>
          <cell r="H3518" t="str">
            <v>转计提本月应交所得税</v>
          </cell>
          <cell r="I3518" t="b">
            <v>0</v>
          </cell>
          <cell r="J3518">
            <v>92076.68</v>
          </cell>
          <cell r="K3518">
            <v>0</v>
          </cell>
          <cell r="L3518">
            <v>0</v>
          </cell>
        </row>
        <row r="3519">
          <cell r="A3519" t="str">
            <v>07</v>
          </cell>
          <cell r="B3519" t="str">
            <v>15</v>
          </cell>
          <cell r="C3519" t="str">
            <v>07</v>
          </cell>
          <cell r="D3519" t="str">
            <v>4</v>
          </cell>
          <cell r="E3519" t="str">
            <v>0014</v>
          </cell>
          <cell r="F3519" t="str">
            <v>0001</v>
          </cell>
          <cell r="G3519" t="str">
            <v>22107</v>
          </cell>
          <cell r="H3519" t="str">
            <v>付税款</v>
          </cell>
          <cell r="I3519" t="b">
            <v>1</v>
          </cell>
          <cell r="J3519">
            <v>92076.68</v>
          </cell>
          <cell r="K3519">
            <v>0</v>
          </cell>
          <cell r="L3519">
            <v>0</v>
          </cell>
        </row>
        <row r="3520">
          <cell r="A3520" t="str">
            <v>07</v>
          </cell>
          <cell r="B3520" t="str">
            <v>29</v>
          </cell>
          <cell r="C3520" t="str">
            <v>07</v>
          </cell>
          <cell r="D3520" t="str">
            <v>5</v>
          </cell>
          <cell r="E3520" t="str">
            <v>0045</v>
          </cell>
          <cell r="F3520" t="str">
            <v>0002</v>
          </cell>
          <cell r="G3520" t="str">
            <v>22107</v>
          </cell>
          <cell r="H3520" t="str">
            <v>转计提本月应交所得税</v>
          </cell>
          <cell r="I3520" t="b">
            <v>0</v>
          </cell>
          <cell r="J3520">
            <v>201237.74</v>
          </cell>
          <cell r="K3520">
            <v>0</v>
          </cell>
          <cell r="L3520">
            <v>0</v>
          </cell>
        </row>
        <row r="3521">
          <cell r="A3521" t="str">
            <v>08</v>
          </cell>
          <cell r="B3521" t="str">
            <v>10</v>
          </cell>
          <cell r="C3521" t="str">
            <v>08</v>
          </cell>
          <cell r="D3521" t="str">
            <v>4</v>
          </cell>
          <cell r="E3521" t="str">
            <v>0017</v>
          </cell>
          <cell r="F3521" t="str">
            <v>0001</v>
          </cell>
          <cell r="G3521" t="str">
            <v>22107</v>
          </cell>
          <cell r="H3521" t="str">
            <v>付税款</v>
          </cell>
          <cell r="I3521" t="b">
            <v>1</v>
          </cell>
          <cell r="J3521">
            <v>201237.74</v>
          </cell>
          <cell r="K3521">
            <v>0</v>
          </cell>
          <cell r="L3521">
            <v>0</v>
          </cell>
        </row>
        <row r="3522">
          <cell r="A3522" t="str">
            <v>08</v>
          </cell>
          <cell r="B3522" t="str">
            <v>31</v>
          </cell>
          <cell r="C3522" t="str">
            <v>08</v>
          </cell>
          <cell r="D3522" t="str">
            <v>5</v>
          </cell>
          <cell r="E3522" t="str">
            <v>0037</v>
          </cell>
          <cell r="F3522" t="str">
            <v>0002</v>
          </cell>
          <cell r="G3522" t="str">
            <v>22107</v>
          </cell>
          <cell r="H3522" t="str">
            <v>转计提本月应交所得税</v>
          </cell>
          <cell r="I3522" t="b">
            <v>0</v>
          </cell>
          <cell r="J3522">
            <v>896403.09</v>
          </cell>
          <cell r="K3522">
            <v>0</v>
          </cell>
          <cell r="L3522">
            <v>0</v>
          </cell>
        </row>
        <row r="3523">
          <cell r="A3523" t="str">
            <v>09</v>
          </cell>
          <cell r="B3523" t="str">
            <v>30</v>
          </cell>
          <cell r="C3523" t="str">
            <v>09</v>
          </cell>
          <cell r="D3523" t="str">
            <v>5</v>
          </cell>
          <cell r="E3523" t="str">
            <v>0041</v>
          </cell>
          <cell r="F3523" t="str">
            <v>0002</v>
          </cell>
          <cell r="G3523" t="str">
            <v>22107</v>
          </cell>
          <cell r="H3523" t="str">
            <v>转计提本月应交所得税</v>
          </cell>
          <cell r="I3523" t="b">
            <v>0</v>
          </cell>
          <cell r="J3523">
            <v>663645.82999999996</v>
          </cell>
          <cell r="K3523">
            <v>0</v>
          </cell>
          <cell r="L3523">
            <v>0</v>
          </cell>
        </row>
        <row r="3524">
          <cell r="A3524" t="str">
            <v>10</v>
          </cell>
          <cell r="B3524" t="str">
            <v>05</v>
          </cell>
          <cell r="C3524" t="str">
            <v>10</v>
          </cell>
          <cell r="D3524" t="str">
            <v>4</v>
          </cell>
          <cell r="E3524" t="str">
            <v>0009</v>
          </cell>
          <cell r="F3524" t="str">
            <v>0001</v>
          </cell>
          <cell r="G3524" t="str">
            <v>22107</v>
          </cell>
          <cell r="H3524" t="str">
            <v>付税款</v>
          </cell>
          <cell r="I3524" t="b">
            <v>1</v>
          </cell>
          <cell r="J3524">
            <v>1560048.92</v>
          </cell>
          <cell r="K3524">
            <v>0</v>
          </cell>
          <cell r="L3524">
            <v>0</v>
          </cell>
        </row>
        <row r="3525">
          <cell r="A3525" t="str">
            <v>10</v>
          </cell>
          <cell r="B3525" t="str">
            <v>30</v>
          </cell>
          <cell r="C3525" t="str">
            <v>10</v>
          </cell>
          <cell r="D3525" t="str">
            <v>5</v>
          </cell>
          <cell r="E3525" t="str">
            <v>0035</v>
          </cell>
          <cell r="F3525" t="str">
            <v>0002</v>
          </cell>
          <cell r="G3525" t="str">
            <v>22107</v>
          </cell>
          <cell r="H3525" t="str">
            <v>转计提本月应交所得税</v>
          </cell>
          <cell r="I3525" t="b">
            <v>0</v>
          </cell>
          <cell r="J3525">
            <v>367542.89</v>
          </cell>
          <cell r="K3525">
            <v>0</v>
          </cell>
          <cell r="L3525">
            <v>0</v>
          </cell>
        </row>
        <row r="3526">
          <cell r="A3526" t="str">
            <v>11</v>
          </cell>
          <cell r="B3526" t="str">
            <v>13</v>
          </cell>
          <cell r="C3526" t="str">
            <v>11</v>
          </cell>
          <cell r="D3526" t="str">
            <v>4</v>
          </cell>
          <cell r="E3526" t="str">
            <v>0012</v>
          </cell>
          <cell r="F3526" t="str">
            <v>0001</v>
          </cell>
          <cell r="G3526" t="str">
            <v>22107</v>
          </cell>
          <cell r="H3526" t="str">
            <v>付税款</v>
          </cell>
          <cell r="I3526" t="b">
            <v>1</v>
          </cell>
          <cell r="J3526">
            <v>367542.89</v>
          </cell>
          <cell r="K3526">
            <v>0</v>
          </cell>
          <cell r="L3526">
            <v>0</v>
          </cell>
        </row>
        <row r="3527">
          <cell r="A3527" t="str">
            <v>11</v>
          </cell>
          <cell r="B3527" t="str">
            <v>30</v>
          </cell>
          <cell r="C3527" t="str">
            <v>11</v>
          </cell>
          <cell r="D3527" t="str">
            <v>5</v>
          </cell>
          <cell r="E3527" t="str">
            <v>0041</v>
          </cell>
          <cell r="F3527" t="str">
            <v>0002</v>
          </cell>
          <cell r="G3527" t="str">
            <v>22107</v>
          </cell>
          <cell r="H3527" t="str">
            <v>转计提本月应交所得税</v>
          </cell>
          <cell r="I3527" t="b">
            <v>0</v>
          </cell>
          <cell r="J3527">
            <v>206688.12</v>
          </cell>
          <cell r="K3527">
            <v>0</v>
          </cell>
          <cell r="L3527">
            <v>0</v>
          </cell>
        </row>
        <row r="3528">
          <cell r="A3528" t="str">
            <v>12</v>
          </cell>
          <cell r="B3528" t="str">
            <v>10</v>
          </cell>
          <cell r="C3528" t="str">
            <v>12</v>
          </cell>
          <cell r="D3528" t="str">
            <v>4</v>
          </cell>
          <cell r="E3528" t="str">
            <v>0017</v>
          </cell>
          <cell r="F3528" t="str">
            <v>0001</v>
          </cell>
          <cell r="G3528" t="str">
            <v>22107</v>
          </cell>
          <cell r="H3528" t="str">
            <v>付税款</v>
          </cell>
          <cell r="I3528" t="b">
            <v>1</v>
          </cell>
          <cell r="J3528">
            <v>300000</v>
          </cell>
          <cell r="K3528">
            <v>0</v>
          </cell>
          <cell r="L3528">
            <v>0</v>
          </cell>
        </row>
        <row r="3529">
          <cell r="A3529" t="str">
            <v>12</v>
          </cell>
          <cell r="B3529" t="str">
            <v>31</v>
          </cell>
          <cell r="C3529" t="str">
            <v>12</v>
          </cell>
          <cell r="D3529" t="str">
            <v>5</v>
          </cell>
          <cell r="E3529" t="str">
            <v>0111</v>
          </cell>
          <cell r="F3529" t="str">
            <v>0002</v>
          </cell>
          <cell r="G3529" t="str">
            <v>22107</v>
          </cell>
          <cell r="H3529" t="str">
            <v>转计提本月应计所得税</v>
          </cell>
          <cell r="I3529" t="b">
            <v>0</v>
          </cell>
          <cell r="J3529">
            <v>2266921.08</v>
          </cell>
          <cell r="K3529">
            <v>0</v>
          </cell>
          <cell r="L3529">
            <v>0</v>
          </cell>
        </row>
        <row r="3530">
          <cell r="A3530" t="str">
            <v>02</v>
          </cell>
          <cell r="B3530" t="str">
            <v>21</v>
          </cell>
          <cell r="C3530" t="str">
            <v>02</v>
          </cell>
          <cell r="D3530" t="str">
            <v>2</v>
          </cell>
          <cell r="E3530" t="str">
            <v>0045</v>
          </cell>
          <cell r="F3530" t="str">
            <v>0001</v>
          </cell>
          <cell r="G3530" t="str">
            <v>22108</v>
          </cell>
          <cell r="H3530" t="str">
            <v>交印花税</v>
          </cell>
          <cell r="I3530" t="b">
            <v>1</v>
          </cell>
          <cell r="J3530">
            <v>1000</v>
          </cell>
          <cell r="K3530">
            <v>0</v>
          </cell>
          <cell r="L3530">
            <v>0</v>
          </cell>
        </row>
        <row r="3531">
          <cell r="A3531" t="str">
            <v>02</v>
          </cell>
          <cell r="B3531" t="str">
            <v>03</v>
          </cell>
          <cell r="C3531" t="str">
            <v>02</v>
          </cell>
          <cell r="D3531" t="str">
            <v>4</v>
          </cell>
          <cell r="E3531" t="str">
            <v>0004</v>
          </cell>
          <cell r="F3531" t="str">
            <v>0003</v>
          </cell>
          <cell r="G3531" t="str">
            <v>22108</v>
          </cell>
          <cell r="H3531" t="str">
            <v>付印花税</v>
          </cell>
          <cell r="I3531" t="b">
            <v>1</v>
          </cell>
          <cell r="J3531">
            <v>7353.1</v>
          </cell>
          <cell r="K3531">
            <v>0</v>
          </cell>
          <cell r="L3531">
            <v>0</v>
          </cell>
        </row>
        <row r="3532">
          <cell r="A3532" t="str">
            <v>04</v>
          </cell>
          <cell r="B3532" t="str">
            <v>25</v>
          </cell>
          <cell r="C3532" t="str">
            <v>04</v>
          </cell>
          <cell r="D3532" t="str">
            <v>5</v>
          </cell>
          <cell r="E3532" t="str">
            <v>0022</v>
          </cell>
          <cell r="F3532" t="str">
            <v>0012</v>
          </cell>
          <cell r="G3532" t="str">
            <v>22108</v>
          </cell>
          <cell r="H3532" t="str">
            <v>转补提99年应交印花税</v>
          </cell>
          <cell r="I3532" t="b">
            <v>0</v>
          </cell>
          <cell r="J3532">
            <v>4753.6099999999997</v>
          </cell>
          <cell r="K3532">
            <v>0</v>
          </cell>
          <cell r="L3532">
            <v>0</v>
          </cell>
        </row>
        <row r="3533">
          <cell r="A3533" t="str">
            <v>05</v>
          </cell>
          <cell r="B3533" t="str">
            <v>08</v>
          </cell>
          <cell r="C3533" t="str">
            <v>05</v>
          </cell>
          <cell r="D3533" t="str">
            <v>2</v>
          </cell>
          <cell r="E3533" t="str">
            <v>0002</v>
          </cell>
          <cell r="F3533" t="str">
            <v>0002</v>
          </cell>
          <cell r="G3533" t="str">
            <v>22108</v>
          </cell>
          <cell r="H3533" t="str">
            <v>付印花税</v>
          </cell>
          <cell r="I3533" t="b">
            <v>1</v>
          </cell>
          <cell r="J3533">
            <v>100</v>
          </cell>
          <cell r="K3533">
            <v>0</v>
          </cell>
          <cell r="L3533">
            <v>0</v>
          </cell>
        </row>
        <row r="3534">
          <cell r="A3534" t="str">
            <v>05</v>
          </cell>
          <cell r="B3534" t="str">
            <v>12</v>
          </cell>
          <cell r="C3534" t="str">
            <v>05</v>
          </cell>
          <cell r="D3534" t="str">
            <v>4</v>
          </cell>
          <cell r="E3534" t="str">
            <v>0008</v>
          </cell>
          <cell r="F3534" t="str">
            <v>0001</v>
          </cell>
          <cell r="G3534" t="str">
            <v>22108</v>
          </cell>
          <cell r="H3534" t="str">
            <v>付印花税</v>
          </cell>
          <cell r="I3534" t="b">
            <v>1</v>
          </cell>
          <cell r="J3534">
            <v>4653.6099999999997</v>
          </cell>
          <cell r="K3534">
            <v>0</v>
          </cell>
          <cell r="L3534">
            <v>0</v>
          </cell>
        </row>
        <row r="3535">
          <cell r="A3535" t="str">
            <v>12</v>
          </cell>
          <cell r="B3535" t="str">
            <v>30</v>
          </cell>
          <cell r="C3535" t="str">
            <v>12</v>
          </cell>
          <cell r="D3535" t="str">
            <v>5</v>
          </cell>
          <cell r="E3535" t="str">
            <v>0087</v>
          </cell>
          <cell r="F3535" t="str">
            <v>0002</v>
          </cell>
          <cell r="G3535" t="str">
            <v>22108</v>
          </cell>
          <cell r="H3535" t="str">
            <v>转计提1-12月份印花税</v>
          </cell>
          <cell r="I3535" t="b">
            <v>0</v>
          </cell>
          <cell r="J3535">
            <v>22287.52</v>
          </cell>
          <cell r="K3535">
            <v>0</v>
          </cell>
          <cell r="L3535">
            <v>0</v>
          </cell>
        </row>
        <row r="3536">
          <cell r="A3536" t="str">
            <v>04</v>
          </cell>
          <cell r="B3536" t="str">
            <v>25</v>
          </cell>
          <cell r="C3536" t="str">
            <v>04</v>
          </cell>
          <cell r="D3536" t="str">
            <v>5</v>
          </cell>
          <cell r="E3536" t="str">
            <v>0022</v>
          </cell>
          <cell r="F3536" t="str">
            <v>0014</v>
          </cell>
          <cell r="G3536" t="str">
            <v>22112</v>
          </cell>
          <cell r="H3536" t="str">
            <v>转补提99年应交个人所得税</v>
          </cell>
          <cell r="I3536" t="b">
            <v>0</v>
          </cell>
          <cell r="J3536">
            <v>40015.480000000003</v>
          </cell>
          <cell r="K3536">
            <v>0</v>
          </cell>
          <cell r="L3536">
            <v>0</v>
          </cell>
        </row>
        <row r="3537">
          <cell r="A3537" t="str">
            <v>05</v>
          </cell>
          <cell r="B3537" t="str">
            <v>12</v>
          </cell>
          <cell r="C3537" t="str">
            <v>05</v>
          </cell>
          <cell r="D3537" t="str">
            <v>4</v>
          </cell>
          <cell r="E3537" t="str">
            <v>0008</v>
          </cell>
          <cell r="F3537" t="str">
            <v>0003</v>
          </cell>
          <cell r="G3537" t="str">
            <v>22112</v>
          </cell>
          <cell r="H3537" t="str">
            <v>付个人所得税</v>
          </cell>
          <cell r="I3537" t="b">
            <v>1</v>
          </cell>
          <cell r="J3537">
            <v>40015.480000000003</v>
          </cell>
          <cell r="K3537">
            <v>0</v>
          </cell>
          <cell r="L3537">
            <v>0</v>
          </cell>
        </row>
        <row r="3538">
          <cell r="A3538" t="str">
            <v>02</v>
          </cell>
          <cell r="B3538" t="str">
            <v>05</v>
          </cell>
          <cell r="C3538" t="str">
            <v>02</v>
          </cell>
          <cell r="D3538" t="str">
            <v>1</v>
          </cell>
          <cell r="E3538" t="str">
            <v>0004</v>
          </cell>
          <cell r="F3538" t="str">
            <v>0003</v>
          </cell>
          <cell r="G3538" t="str">
            <v>22114</v>
          </cell>
          <cell r="H3538" t="str">
            <v>收税款</v>
          </cell>
          <cell r="I3538" t="b">
            <v>0</v>
          </cell>
          <cell r="J3538">
            <v>80</v>
          </cell>
          <cell r="K3538">
            <v>0</v>
          </cell>
          <cell r="L3538">
            <v>0</v>
          </cell>
        </row>
        <row r="3539">
          <cell r="A3539" t="str">
            <v>02</v>
          </cell>
          <cell r="B3539" t="str">
            <v>16</v>
          </cell>
          <cell r="C3539" t="str">
            <v>02</v>
          </cell>
          <cell r="D3539" t="str">
            <v>1</v>
          </cell>
          <cell r="E3539" t="str">
            <v>0009</v>
          </cell>
          <cell r="F3539" t="str">
            <v>0003</v>
          </cell>
          <cell r="G3539" t="str">
            <v>22114</v>
          </cell>
          <cell r="H3539" t="str">
            <v>收月租费税款</v>
          </cell>
          <cell r="I3539" t="b">
            <v>0</v>
          </cell>
          <cell r="J3539">
            <v>40</v>
          </cell>
          <cell r="K3539">
            <v>0</v>
          </cell>
          <cell r="L3539">
            <v>0</v>
          </cell>
        </row>
        <row r="3540">
          <cell r="A3540" t="str">
            <v>02</v>
          </cell>
          <cell r="B3540" t="str">
            <v>03</v>
          </cell>
          <cell r="C3540" t="str">
            <v>02</v>
          </cell>
          <cell r="D3540" t="str">
            <v>4</v>
          </cell>
          <cell r="E3540" t="str">
            <v>0004</v>
          </cell>
          <cell r="F3540" t="str">
            <v>0004</v>
          </cell>
          <cell r="G3540" t="str">
            <v>22114</v>
          </cell>
          <cell r="H3540" t="str">
            <v>付营业税</v>
          </cell>
          <cell r="I3540" t="b">
            <v>1</v>
          </cell>
          <cell r="J3540">
            <v>320</v>
          </cell>
          <cell r="K3540">
            <v>0</v>
          </cell>
          <cell r="L3540">
            <v>0</v>
          </cell>
        </row>
        <row r="3541">
          <cell r="A3541" t="str">
            <v>03</v>
          </cell>
          <cell r="B3541" t="str">
            <v>21</v>
          </cell>
          <cell r="C3541" t="str">
            <v>03</v>
          </cell>
          <cell r="D3541" t="str">
            <v>1</v>
          </cell>
          <cell r="E3541" t="str">
            <v>0003</v>
          </cell>
          <cell r="F3541" t="str">
            <v>0004</v>
          </cell>
          <cell r="G3541" t="str">
            <v>22114</v>
          </cell>
          <cell r="H3541" t="str">
            <v>收理发室1-2月份房租营业税款</v>
          </cell>
          <cell r="I3541" t="b">
            <v>0</v>
          </cell>
          <cell r="J3541">
            <v>80</v>
          </cell>
          <cell r="K3541">
            <v>0</v>
          </cell>
          <cell r="L3541">
            <v>0</v>
          </cell>
        </row>
        <row r="3542">
          <cell r="A3542" t="str">
            <v>04</v>
          </cell>
          <cell r="B3542" t="str">
            <v>20</v>
          </cell>
          <cell r="C3542" t="str">
            <v>04</v>
          </cell>
          <cell r="D3542" t="str">
            <v>4</v>
          </cell>
          <cell r="E3542" t="str">
            <v>0026</v>
          </cell>
          <cell r="F3542" t="str">
            <v>0004</v>
          </cell>
          <cell r="G3542" t="str">
            <v>22114</v>
          </cell>
          <cell r="H3542" t="str">
            <v>交税</v>
          </cell>
          <cell r="I3542" t="b">
            <v>1</v>
          </cell>
          <cell r="J3542">
            <v>200</v>
          </cell>
          <cell r="K3542">
            <v>0</v>
          </cell>
          <cell r="L3542">
            <v>0</v>
          </cell>
        </row>
        <row r="3543">
          <cell r="A3543" t="str">
            <v>05</v>
          </cell>
          <cell r="B3543" t="str">
            <v>19</v>
          </cell>
          <cell r="C3543" t="str">
            <v>05</v>
          </cell>
          <cell r="D3543" t="str">
            <v>1</v>
          </cell>
          <cell r="E3543" t="str">
            <v>0002</v>
          </cell>
          <cell r="F3543" t="str">
            <v>0004</v>
          </cell>
          <cell r="G3543" t="str">
            <v>22114</v>
          </cell>
          <cell r="H3543" t="str">
            <v>收税金</v>
          </cell>
          <cell r="I3543" t="b">
            <v>0</v>
          </cell>
          <cell r="J3543">
            <v>40</v>
          </cell>
          <cell r="K3543">
            <v>0</v>
          </cell>
          <cell r="L3543">
            <v>0</v>
          </cell>
        </row>
        <row r="3544">
          <cell r="A3544" t="str">
            <v>06</v>
          </cell>
          <cell r="B3544" t="str">
            <v>01</v>
          </cell>
          <cell r="C3544" t="str">
            <v>06</v>
          </cell>
          <cell r="D3544" t="str">
            <v>1</v>
          </cell>
          <cell r="E3544" t="str">
            <v>0001</v>
          </cell>
          <cell r="F3544" t="str">
            <v>0003</v>
          </cell>
          <cell r="G3544" t="str">
            <v>22114</v>
          </cell>
          <cell r="H3544" t="str">
            <v>收理发室月租费税款</v>
          </cell>
          <cell r="I3544" t="b">
            <v>0</v>
          </cell>
          <cell r="J3544">
            <v>40</v>
          </cell>
          <cell r="K3544">
            <v>0</v>
          </cell>
          <cell r="L3544">
            <v>0</v>
          </cell>
        </row>
        <row r="3545">
          <cell r="A3545" t="str">
            <v>09</v>
          </cell>
          <cell r="B3545" t="str">
            <v>03</v>
          </cell>
          <cell r="C3545" t="str">
            <v>09</v>
          </cell>
          <cell r="D3545" t="str">
            <v>1</v>
          </cell>
          <cell r="E3545" t="str">
            <v>0002</v>
          </cell>
          <cell r="F3545" t="str">
            <v>0003</v>
          </cell>
          <cell r="G3545" t="str">
            <v>22114</v>
          </cell>
          <cell r="H3545" t="str">
            <v>收营业税</v>
          </cell>
          <cell r="I3545" t="b">
            <v>0</v>
          </cell>
          <cell r="J3545">
            <v>80</v>
          </cell>
          <cell r="K3545">
            <v>0</v>
          </cell>
          <cell r="L3545">
            <v>0</v>
          </cell>
        </row>
        <row r="3546">
          <cell r="A3546" t="str">
            <v>10</v>
          </cell>
          <cell r="B3546" t="str">
            <v>04</v>
          </cell>
          <cell r="C3546" t="str">
            <v>10</v>
          </cell>
          <cell r="D3546" t="str">
            <v>1</v>
          </cell>
          <cell r="E3546" t="str">
            <v>0002</v>
          </cell>
          <cell r="F3546" t="str">
            <v>0003</v>
          </cell>
          <cell r="G3546" t="str">
            <v>22114</v>
          </cell>
          <cell r="H3546" t="str">
            <v>收税款</v>
          </cell>
          <cell r="I3546" t="b">
            <v>0</v>
          </cell>
          <cell r="J3546">
            <v>80</v>
          </cell>
          <cell r="K3546">
            <v>0</v>
          </cell>
          <cell r="L3546">
            <v>0</v>
          </cell>
        </row>
        <row r="3547">
          <cell r="A3547" t="str">
            <v>12</v>
          </cell>
          <cell r="B3547" t="str">
            <v>20</v>
          </cell>
          <cell r="C3547" t="str">
            <v>12</v>
          </cell>
          <cell r="D3547" t="str">
            <v>1</v>
          </cell>
          <cell r="E3547" t="str">
            <v>0005</v>
          </cell>
          <cell r="F3547" t="str">
            <v>0003</v>
          </cell>
          <cell r="G3547" t="str">
            <v>22114</v>
          </cell>
          <cell r="H3547" t="str">
            <v>收理发室月租费税款</v>
          </cell>
          <cell r="I3547" t="b">
            <v>0</v>
          </cell>
          <cell r="J3547">
            <v>80</v>
          </cell>
          <cell r="K3547">
            <v>0</v>
          </cell>
          <cell r="L3547">
            <v>0</v>
          </cell>
        </row>
        <row r="3548">
          <cell r="A3548" t="str">
            <v>05</v>
          </cell>
          <cell r="B3548" t="str">
            <v>12</v>
          </cell>
          <cell r="C3548" t="str">
            <v>05</v>
          </cell>
          <cell r="D3548" t="str">
            <v>4</v>
          </cell>
          <cell r="E3548" t="str">
            <v>0007</v>
          </cell>
          <cell r="F3548" t="str">
            <v>0002</v>
          </cell>
          <cell r="G3548" t="str">
            <v>22301</v>
          </cell>
          <cell r="H3548" t="str">
            <v>付99年度利润</v>
          </cell>
          <cell r="I3548" t="b">
            <v>1</v>
          </cell>
          <cell r="J3548">
            <v>4705034.0599999996</v>
          </cell>
          <cell r="K3548">
            <v>0</v>
          </cell>
          <cell r="L3548">
            <v>0</v>
          </cell>
        </row>
        <row r="3549">
          <cell r="A3549" t="str">
            <v>07</v>
          </cell>
          <cell r="B3549" t="str">
            <v>24</v>
          </cell>
          <cell r="C3549" t="str">
            <v>07</v>
          </cell>
          <cell r="D3549" t="str">
            <v>5</v>
          </cell>
          <cell r="E3549" t="str">
            <v>0007</v>
          </cell>
          <cell r="F3549" t="str">
            <v>0004</v>
          </cell>
          <cell r="G3549" t="str">
            <v>22301</v>
          </cell>
          <cell r="H3549" t="str">
            <v>转99年度应付国投公司利润</v>
          </cell>
          <cell r="I3549" t="b">
            <v>0</v>
          </cell>
          <cell r="J3549">
            <v>9705034.0600000005</v>
          </cell>
          <cell r="K3549">
            <v>0</v>
          </cell>
          <cell r="L3549">
            <v>0</v>
          </cell>
        </row>
        <row r="3550">
          <cell r="A3550" t="str">
            <v>07</v>
          </cell>
          <cell r="B3550" t="str">
            <v>24</v>
          </cell>
          <cell r="C3550" t="str">
            <v>07</v>
          </cell>
          <cell r="D3550" t="str">
            <v>5</v>
          </cell>
          <cell r="E3550" t="str">
            <v>0007</v>
          </cell>
          <cell r="F3550" t="str">
            <v>0005</v>
          </cell>
          <cell r="G3550" t="str">
            <v>22301</v>
          </cell>
          <cell r="H3550" t="str">
            <v>转收国投公司借款</v>
          </cell>
          <cell r="I3550" t="b">
            <v>1</v>
          </cell>
          <cell r="J3550">
            <v>5000000</v>
          </cell>
          <cell r="K3550">
            <v>0</v>
          </cell>
          <cell r="L3550">
            <v>0</v>
          </cell>
        </row>
        <row r="3551">
          <cell r="A3551" t="str">
            <v>04</v>
          </cell>
          <cell r="B3551" t="str">
            <v>20</v>
          </cell>
          <cell r="C3551" t="str">
            <v>04</v>
          </cell>
          <cell r="D3551" t="str">
            <v>5</v>
          </cell>
          <cell r="E3551" t="str">
            <v>0007</v>
          </cell>
          <cell r="F3551" t="str">
            <v>0001</v>
          </cell>
          <cell r="G3551" t="str">
            <v>22303</v>
          </cell>
          <cell r="H3551" t="str">
            <v>转户</v>
          </cell>
          <cell r="I3551" t="b">
            <v>1</v>
          </cell>
          <cell r="J3551">
            <v>891671.65</v>
          </cell>
          <cell r="K3551">
            <v>0</v>
          </cell>
          <cell r="L3551">
            <v>0</v>
          </cell>
        </row>
        <row r="3552">
          <cell r="A3552" t="str">
            <v>07</v>
          </cell>
          <cell r="B3552" t="str">
            <v>24</v>
          </cell>
          <cell r="C3552" t="str">
            <v>07</v>
          </cell>
          <cell r="D3552" t="str">
            <v>5</v>
          </cell>
          <cell r="E3552" t="str">
            <v>0007</v>
          </cell>
          <cell r="F3552" t="str">
            <v>0002</v>
          </cell>
          <cell r="G3552" t="str">
            <v>22303</v>
          </cell>
          <cell r="H3552" t="str">
            <v>转99年度应付果汁饮料利润</v>
          </cell>
          <cell r="I3552" t="b">
            <v>0</v>
          </cell>
          <cell r="J3552">
            <v>1616099.15</v>
          </cell>
          <cell r="K3552">
            <v>0</v>
          </cell>
          <cell r="L3552">
            <v>0</v>
          </cell>
        </row>
        <row r="3553">
          <cell r="A3553" t="str">
            <v>08</v>
          </cell>
          <cell r="B3553" t="str">
            <v>27</v>
          </cell>
          <cell r="C3553" t="str">
            <v>08</v>
          </cell>
          <cell r="D3553" t="str">
            <v>5</v>
          </cell>
          <cell r="E3553" t="str">
            <v>0021</v>
          </cell>
          <cell r="F3553" t="str">
            <v>0001</v>
          </cell>
          <cell r="G3553" t="str">
            <v>22303</v>
          </cell>
          <cell r="H3553" t="str">
            <v>转99年度应付利润</v>
          </cell>
          <cell r="I3553" t="b">
            <v>1</v>
          </cell>
          <cell r="J3553">
            <v>1616099.15</v>
          </cell>
          <cell r="K3553">
            <v>0</v>
          </cell>
          <cell r="L3553">
            <v>0</v>
          </cell>
        </row>
        <row r="3554">
          <cell r="A3554" t="str">
            <v>04</v>
          </cell>
          <cell r="B3554" t="str">
            <v>20</v>
          </cell>
          <cell r="C3554" t="str">
            <v>04</v>
          </cell>
          <cell r="D3554" t="str">
            <v>5</v>
          </cell>
          <cell r="E3554" t="str">
            <v>0007</v>
          </cell>
          <cell r="F3554" t="str">
            <v>0003</v>
          </cell>
          <cell r="G3554" t="str">
            <v>22304</v>
          </cell>
          <cell r="H3554" t="str">
            <v>转户</v>
          </cell>
          <cell r="I3554" t="b">
            <v>1</v>
          </cell>
          <cell r="J3554">
            <v>11005.92</v>
          </cell>
          <cell r="K3554">
            <v>0</v>
          </cell>
          <cell r="L3554">
            <v>0</v>
          </cell>
        </row>
        <row r="3555">
          <cell r="A3555" t="str">
            <v>05</v>
          </cell>
          <cell r="B3555" t="str">
            <v>12</v>
          </cell>
          <cell r="C3555" t="str">
            <v>05</v>
          </cell>
          <cell r="D3555" t="str">
            <v>4</v>
          </cell>
          <cell r="E3555" t="str">
            <v>0007</v>
          </cell>
          <cell r="F3555" t="str">
            <v>0001</v>
          </cell>
          <cell r="G3555" t="str">
            <v>22304</v>
          </cell>
          <cell r="H3555" t="str">
            <v>付99年度利润</v>
          </cell>
          <cell r="I3555" t="b">
            <v>1</v>
          </cell>
          <cell r="J3555">
            <v>2186717</v>
          </cell>
          <cell r="K3555">
            <v>0</v>
          </cell>
          <cell r="L3555">
            <v>0</v>
          </cell>
        </row>
        <row r="3556">
          <cell r="A3556" t="str">
            <v>07</v>
          </cell>
          <cell r="B3556" t="str">
            <v>15</v>
          </cell>
          <cell r="C3556" t="str">
            <v>07</v>
          </cell>
          <cell r="D3556" t="str">
            <v>4</v>
          </cell>
          <cell r="E3556" t="str">
            <v>0011</v>
          </cell>
          <cell r="F3556" t="str">
            <v>0004</v>
          </cell>
          <cell r="G3556" t="str">
            <v>22304</v>
          </cell>
          <cell r="H3556" t="str">
            <v>付利润款</v>
          </cell>
          <cell r="I3556" t="b">
            <v>1</v>
          </cell>
          <cell r="J3556">
            <v>557416.54</v>
          </cell>
          <cell r="K3556">
            <v>0</v>
          </cell>
          <cell r="L3556">
            <v>0</v>
          </cell>
        </row>
        <row r="3557">
          <cell r="A3557" t="str">
            <v>07</v>
          </cell>
          <cell r="B3557" t="str">
            <v>24</v>
          </cell>
          <cell r="C3557" t="str">
            <v>07</v>
          </cell>
          <cell r="D3557" t="str">
            <v>5</v>
          </cell>
          <cell r="E3557" t="str">
            <v>0007</v>
          </cell>
          <cell r="F3557" t="str">
            <v>0003</v>
          </cell>
          <cell r="G3557" t="str">
            <v>22304</v>
          </cell>
          <cell r="H3557" t="str">
            <v>转99年度应付职工持股会利润</v>
          </cell>
          <cell r="I3557" t="b">
            <v>0</v>
          </cell>
          <cell r="J3557">
            <v>2744133.54</v>
          </cell>
          <cell r="K3557">
            <v>0</v>
          </cell>
          <cell r="L3557">
            <v>0</v>
          </cell>
        </row>
        <row r="3558">
          <cell r="A3558" t="str">
            <v>03</v>
          </cell>
          <cell r="B3558" t="str">
            <v>30</v>
          </cell>
          <cell r="C3558" t="str">
            <v>03</v>
          </cell>
          <cell r="D3558" t="str">
            <v>5</v>
          </cell>
          <cell r="E3558" t="str">
            <v>0028</v>
          </cell>
          <cell r="F3558" t="str">
            <v>0003</v>
          </cell>
          <cell r="G3558" t="str">
            <v>22901</v>
          </cell>
          <cell r="H3558" t="str">
            <v>转1-3月份营业税应提城建税</v>
          </cell>
          <cell r="I3558" t="b">
            <v>0</v>
          </cell>
          <cell r="J3558">
            <v>6</v>
          </cell>
          <cell r="K3558">
            <v>0</v>
          </cell>
          <cell r="L3558">
            <v>0</v>
          </cell>
        </row>
        <row r="3559">
          <cell r="A3559" t="str">
            <v>04</v>
          </cell>
          <cell r="B3559" t="str">
            <v>20</v>
          </cell>
          <cell r="C3559" t="str">
            <v>04</v>
          </cell>
          <cell r="D3559" t="str">
            <v>4</v>
          </cell>
          <cell r="E3559" t="str">
            <v>0026</v>
          </cell>
          <cell r="F3559" t="str">
            <v>0006</v>
          </cell>
          <cell r="G3559" t="str">
            <v>22901</v>
          </cell>
          <cell r="H3559" t="str">
            <v>交税</v>
          </cell>
          <cell r="I3559" t="b">
            <v>1</v>
          </cell>
          <cell r="J3559">
            <v>6</v>
          </cell>
          <cell r="K3559">
            <v>0</v>
          </cell>
          <cell r="L3559">
            <v>0</v>
          </cell>
        </row>
        <row r="3560">
          <cell r="A3560" t="str">
            <v>04</v>
          </cell>
          <cell r="B3560" t="str">
            <v>25</v>
          </cell>
          <cell r="C3560" t="str">
            <v>04</v>
          </cell>
          <cell r="D3560" t="str">
            <v>5</v>
          </cell>
          <cell r="E3560" t="str">
            <v>0022</v>
          </cell>
          <cell r="F3560" t="str">
            <v>0004</v>
          </cell>
          <cell r="G3560" t="str">
            <v>22901</v>
          </cell>
          <cell r="H3560" t="str">
            <v>转补提99年应交教育费附加</v>
          </cell>
          <cell r="I3560" t="b">
            <v>0</v>
          </cell>
          <cell r="J3560">
            <v>9.59</v>
          </cell>
          <cell r="K3560">
            <v>0</v>
          </cell>
          <cell r="L3560">
            <v>0</v>
          </cell>
        </row>
        <row r="3561">
          <cell r="A3561" t="str">
            <v>05</v>
          </cell>
          <cell r="B3561" t="str">
            <v>12</v>
          </cell>
          <cell r="C3561" t="str">
            <v>05</v>
          </cell>
          <cell r="D3561" t="str">
            <v>4</v>
          </cell>
          <cell r="E3561" t="str">
            <v>0008</v>
          </cell>
          <cell r="F3561" t="str">
            <v>0005</v>
          </cell>
          <cell r="G3561" t="str">
            <v>22901</v>
          </cell>
          <cell r="H3561" t="str">
            <v>付教育费附加</v>
          </cell>
          <cell r="I3561" t="b">
            <v>1</v>
          </cell>
          <cell r="J3561">
            <v>9.59</v>
          </cell>
          <cell r="K3561">
            <v>0</v>
          </cell>
          <cell r="L3561">
            <v>0</v>
          </cell>
        </row>
        <row r="3562">
          <cell r="A3562" t="str">
            <v>12</v>
          </cell>
          <cell r="B3562" t="str">
            <v>28</v>
          </cell>
          <cell r="C3562" t="str">
            <v>12</v>
          </cell>
          <cell r="D3562" t="str">
            <v>5</v>
          </cell>
          <cell r="E3562" t="str">
            <v>0074</v>
          </cell>
          <cell r="F3562" t="str">
            <v>0004</v>
          </cell>
          <cell r="G3562" t="str">
            <v>22901</v>
          </cell>
          <cell r="H3562" t="str">
            <v>转计提营业税应交教育费附加</v>
          </cell>
          <cell r="I3562" t="b">
            <v>0</v>
          </cell>
          <cell r="J3562">
            <v>9.6</v>
          </cell>
          <cell r="K3562">
            <v>0</v>
          </cell>
          <cell r="L3562">
            <v>0</v>
          </cell>
        </row>
        <row r="3563">
          <cell r="A3563" t="str">
            <v>07</v>
          </cell>
          <cell r="B3563" t="str">
            <v>03</v>
          </cell>
          <cell r="C3563" t="str">
            <v>07</v>
          </cell>
          <cell r="D3563" t="str">
            <v>2</v>
          </cell>
          <cell r="E3563" t="str">
            <v>0001</v>
          </cell>
          <cell r="F3563" t="str">
            <v>0003</v>
          </cell>
          <cell r="G3563" t="str">
            <v>23101</v>
          </cell>
          <cell r="H3563" t="str">
            <v>付职工风险金.内部存款利息</v>
          </cell>
          <cell r="I3563" t="b">
            <v>1</v>
          </cell>
          <cell r="J3563">
            <v>18097.900000000001</v>
          </cell>
          <cell r="K3563">
            <v>0</v>
          </cell>
          <cell r="L3563">
            <v>0</v>
          </cell>
        </row>
        <row r="3564">
          <cell r="A3564" t="str">
            <v>07</v>
          </cell>
          <cell r="B3564" t="str">
            <v>17</v>
          </cell>
          <cell r="C3564" t="str">
            <v>07</v>
          </cell>
          <cell r="D3564" t="str">
            <v>2</v>
          </cell>
          <cell r="E3564" t="str">
            <v>0013</v>
          </cell>
          <cell r="F3564" t="str">
            <v>0001</v>
          </cell>
          <cell r="G3564" t="str">
            <v>23101</v>
          </cell>
          <cell r="H3564" t="str">
            <v>付风险金.住房集资利息</v>
          </cell>
          <cell r="I3564" t="b">
            <v>1</v>
          </cell>
          <cell r="J3564">
            <v>31059.3</v>
          </cell>
          <cell r="K3564">
            <v>0</v>
          </cell>
          <cell r="L3564">
            <v>0</v>
          </cell>
        </row>
        <row r="3565">
          <cell r="A3565" t="str">
            <v>09</v>
          </cell>
          <cell r="B3565" t="str">
            <v>08</v>
          </cell>
          <cell r="C3565" t="str">
            <v>09</v>
          </cell>
          <cell r="D3565" t="str">
            <v>2</v>
          </cell>
          <cell r="E3565" t="str">
            <v>0005</v>
          </cell>
          <cell r="F3565" t="str">
            <v>0002</v>
          </cell>
          <cell r="G3565" t="str">
            <v>23101</v>
          </cell>
          <cell r="H3565" t="str">
            <v>付职工内部存款利息</v>
          </cell>
          <cell r="I3565" t="b">
            <v>1</v>
          </cell>
          <cell r="J3565">
            <v>37692.300000000003</v>
          </cell>
          <cell r="K3565">
            <v>0</v>
          </cell>
          <cell r="L3565">
            <v>0</v>
          </cell>
        </row>
        <row r="3566">
          <cell r="A3566" t="str">
            <v>10</v>
          </cell>
          <cell r="B3566" t="str">
            <v>15</v>
          </cell>
          <cell r="C3566" t="str">
            <v>10</v>
          </cell>
          <cell r="D3566" t="str">
            <v>2</v>
          </cell>
          <cell r="E3566" t="str">
            <v>0014</v>
          </cell>
          <cell r="F3566" t="str">
            <v>0004</v>
          </cell>
          <cell r="G3566" t="str">
            <v>23101</v>
          </cell>
          <cell r="H3566" t="str">
            <v>付职工内部存款利息</v>
          </cell>
          <cell r="I3566" t="b">
            <v>1</v>
          </cell>
          <cell r="J3566">
            <v>72.3</v>
          </cell>
          <cell r="K3566">
            <v>0</v>
          </cell>
          <cell r="L3566">
            <v>0</v>
          </cell>
        </row>
        <row r="3567">
          <cell r="A3567" t="str">
            <v>12</v>
          </cell>
          <cell r="B3567" t="str">
            <v>31</v>
          </cell>
          <cell r="C3567" t="str">
            <v>12</v>
          </cell>
          <cell r="D3567" t="str">
            <v>5</v>
          </cell>
          <cell r="E3567" t="str">
            <v>0098</v>
          </cell>
          <cell r="F3567" t="str">
            <v>0003</v>
          </cell>
          <cell r="G3567" t="str">
            <v>23101</v>
          </cell>
          <cell r="H3567" t="str">
            <v>转出多提职工集资利息</v>
          </cell>
          <cell r="I3567" t="b">
            <v>1</v>
          </cell>
          <cell r="J3567">
            <v>190375.1</v>
          </cell>
          <cell r="K3567">
            <v>0</v>
          </cell>
          <cell r="L3567">
            <v>0</v>
          </cell>
        </row>
        <row r="3568">
          <cell r="A3568" t="str">
            <v>02</v>
          </cell>
          <cell r="B3568" t="str">
            <v>29</v>
          </cell>
          <cell r="C3568" t="str">
            <v>02</v>
          </cell>
          <cell r="D3568" t="str">
            <v>5</v>
          </cell>
          <cell r="E3568" t="str">
            <v>0050</v>
          </cell>
          <cell r="F3568" t="str">
            <v>0002</v>
          </cell>
          <cell r="G3568" t="str">
            <v>23102</v>
          </cell>
          <cell r="H3568" t="str">
            <v>转预提果汁加工费</v>
          </cell>
          <cell r="I3568" t="b">
            <v>0</v>
          </cell>
          <cell r="J3568">
            <v>1369502.4</v>
          </cell>
          <cell r="K3568">
            <v>0</v>
          </cell>
          <cell r="L3568">
            <v>0</v>
          </cell>
        </row>
        <row r="3569">
          <cell r="A3569" t="str">
            <v>09</v>
          </cell>
          <cell r="B3569" t="str">
            <v>28</v>
          </cell>
          <cell r="C3569" t="str">
            <v>09</v>
          </cell>
          <cell r="D3569" t="str">
            <v>5</v>
          </cell>
          <cell r="E3569" t="str">
            <v>0029</v>
          </cell>
          <cell r="F3569" t="str">
            <v>0006</v>
          </cell>
          <cell r="G3569" t="str">
            <v>23103</v>
          </cell>
          <cell r="H3569" t="str">
            <v>转预提桶及无菌袋各1218个</v>
          </cell>
          <cell r="I3569" t="b">
            <v>0</v>
          </cell>
          <cell r="J3569">
            <v>188790</v>
          </cell>
          <cell r="K3569">
            <v>0</v>
          </cell>
          <cell r="L3569">
            <v>0</v>
          </cell>
        </row>
        <row r="3570">
          <cell r="A3570" t="str">
            <v>10</v>
          </cell>
          <cell r="B3570" t="str">
            <v>24</v>
          </cell>
          <cell r="C3570" t="str">
            <v>10</v>
          </cell>
          <cell r="D3570" t="str">
            <v>5</v>
          </cell>
          <cell r="E3570" t="str">
            <v>0008</v>
          </cell>
          <cell r="F3570" t="str">
            <v>0004</v>
          </cell>
          <cell r="G3570" t="str">
            <v>23103</v>
          </cell>
          <cell r="H3570" t="str">
            <v>转上月预提桶及无菌袋1218</v>
          </cell>
          <cell r="I3570" t="b">
            <v>1</v>
          </cell>
          <cell r="J3570">
            <v>188790</v>
          </cell>
          <cell r="K3570">
            <v>0</v>
          </cell>
          <cell r="L3570">
            <v>0</v>
          </cell>
        </row>
        <row r="3571">
          <cell r="A3571" t="str">
            <v>02</v>
          </cell>
          <cell r="B3571" t="str">
            <v>10</v>
          </cell>
          <cell r="C3571" t="str">
            <v>02</v>
          </cell>
          <cell r="D3571" t="str">
            <v>4</v>
          </cell>
          <cell r="E3571" t="str">
            <v>0011</v>
          </cell>
          <cell r="F3571" t="str">
            <v>0002</v>
          </cell>
          <cell r="G3571" t="str">
            <v>23110</v>
          </cell>
          <cell r="H3571" t="str">
            <v>还借款利息</v>
          </cell>
          <cell r="I3571" t="b">
            <v>1</v>
          </cell>
          <cell r="J3571">
            <v>439918.7</v>
          </cell>
          <cell r="K3571">
            <v>0</v>
          </cell>
          <cell r="L3571">
            <v>0</v>
          </cell>
        </row>
        <row r="3572">
          <cell r="A3572" t="str">
            <v>02</v>
          </cell>
          <cell r="B3572" t="str">
            <v>29</v>
          </cell>
          <cell r="C3572" t="str">
            <v>02</v>
          </cell>
          <cell r="D3572" t="str">
            <v>5</v>
          </cell>
          <cell r="E3572" t="str">
            <v>0055</v>
          </cell>
          <cell r="F3572" t="str">
            <v>0002</v>
          </cell>
          <cell r="G3572" t="str">
            <v>23110</v>
          </cell>
          <cell r="H3572" t="str">
            <v>转预提1.2月份借款利息</v>
          </cell>
          <cell r="I3572" t="b">
            <v>0</v>
          </cell>
          <cell r="J3572">
            <v>485954</v>
          </cell>
          <cell r="K3572">
            <v>0</v>
          </cell>
          <cell r="L3572">
            <v>0</v>
          </cell>
        </row>
        <row r="3573">
          <cell r="A3573" t="str">
            <v>03</v>
          </cell>
          <cell r="B3573" t="str">
            <v>18</v>
          </cell>
          <cell r="C3573" t="str">
            <v>03</v>
          </cell>
          <cell r="D3573" t="str">
            <v>4</v>
          </cell>
          <cell r="E3573" t="str">
            <v>0027</v>
          </cell>
          <cell r="F3573" t="str">
            <v>0001</v>
          </cell>
          <cell r="G3573" t="str">
            <v>23110</v>
          </cell>
          <cell r="H3573" t="str">
            <v>付贷款利息</v>
          </cell>
          <cell r="I3573" t="b">
            <v>1</v>
          </cell>
          <cell r="J3573">
            <v>648143.02</v>
          </cell>
          <cell r="K3573">
            <v>0</v>
          </cell>
          <cell r="L3573">
            <v>0</v>
          </cell>
        </row>
        <row r="3574">
          <cell r="A3574" t="str">
            <v>03</v>
          </cell>
          <cell r="B3574" t="str">
            <v>27</v>
          </cell>
          <cell r="C3574" t="str">
            <v>03</v>
          </cell>
          <cell r="D3574" t="str">
            <v>5</v>
          </cell>
          <cell r="E3574" t="str">
            <v>0002</v>
          </cell>
          <cell r="F3574" t="str">
            <v>0001</v>
          </cell>
          <cell r="G3574" t="str">
            <v>23110</v>
          </cell>
          <cell r="H3574" t="str">
            <v>转省计委100万99年四季度利息</v>
          </cell>
          <cell r="I3574" t="b">
            <v>1</v>
          </cell>
          <cell r="J3574">
            <v>56484.9</v>
          </cell>
          <cell r="K3574">
            <v>0</v>
          </cell>
          <cell r="L3574">
            <v>0</v>
          </cell>
        </row>
        <row r="3575">
          <cell r="A3575" t="str">
            <v>04</v>
          </cell>
          <cell r="B3575" t="str">
            <v>19</v>
          </cell>
          <cell r="C3575" t="str">
            <v>04</v>
          </cell>
          <cell r="D3575" t="str">
            <v>4</v>
          </cell>
          <cell r="E3575" t="str">
            <v>0021</v>
          </cell>
          <cell r="F3575" t="str">
            <v>0001</v>
          </cell>
          <cell r="G3575" t="str">
            <v>23110</v>
          </cell>
          <cell r="H3575" t="str">
            <v>付国投利息</v>
          </cell>
          <cell r="I3575" t="b">
            <v>1</v>
          </cell>
          <cell r="J3575">
            <v>1225000</v>
          </cell>
          <cell r="K3575">
            <v>0</v>
          </cell>
          <cell r="L3575">
            <v>0</v>
          </cell>
        </row>
        <row r="3576">
          <cell r="A3576" t="str">
            <v>04</v>
          </cell>
          <cell r="B3576" t="str">
            <v>20</v>
          </cell>
          <cell r="C3576" t="str">
            <v>04</v>
          </cell>
          <cell r="D3576" t="str">
            <v>5</v>
          </cell>
          <cell r="E3576" t="str">
            <v>0008</v>
          </cell>
          <cell r="F3576" t="str">
            <v>0001</v>
          </cell>
          <cell r="G3576" t="str">
            <v>23110</v>
          </cell>
          <cell r="H3576" t="str">
            <v>转第一季度利息</v>
          </cell>
          <cell r="I3576" t="b">
            <v>1</v>
          </cell>
          <cell r="J3576">
            <v>55910.080000000002</v>
          </cell>
          <cell r="K3576">
            <v>0</v>
          </cell>
          <cell r="L3576">
            <v>0</v>
          </cell>
        </row>
        <row r="3577">
          <cell r="A3577" t="str">
            <v>05</v>
          </cell>
          <cell r="B3577" t="str">
            <v>23</v>
          </cell>
          <cell r="C3577" t="str">
            <v>05</v>
          </cell>
          <cell r="D3577" t="str">
            <v>4</v>
          </cell>
          <cell r="E3577" t="str">
            <v>0022</v>
          </cell>
          <cell r="F3577" t="str">
            <v>0002</v>
          </cell>
          <cell r="G3577" t="str">
            <v>23110</v>
          </cell>
          <cell r="H3577" t="str">
            <v>还借款利息</v>
          </cell>
          <cell r="I3577" t="b">
            <v>1</v>
          </cell>
          <cell r="J3577">
            <v>218240</v>
          </cell>
          <cell r="K3577">
            <v>0</v>
          </cell>
          <cell r="L3577">
            <v>0</v>
          </cell>
        </row>
        <row r="3578">
          <cell r="A3578" t="str">
            <v>06</v>
          </cell>
          <cell r="B3578" t="str">
            <v>16</v>
          </cell>
          <cell r="C3578" t="str">
            <v>06</v>
          </cell>
          <cell r="D3578" t="str">
            <v>5</v>
          </cell>
          <cell r="E3578" t="str">
            <v>0001</v>
          </cell>
          <cell r="F3578" t="str">
            <v>0001</v>
          </cell>
          <cell r="G3578" t="str">
            <v>23110</v>
          </cell>
          <cell r="H3578" t="str">
            <v>转订出99-00年3月海运费进项税额</v>
          </cell>
          <cell r="I3578" t="b">
            <v>1</v>
          </cell>
          <cell r="J3578">
            <v>567035.07999999996</v>
          </cell>
          <cell r="K3578">
            <v>0</v>
          </cell>
          <cell r="L3578">
            <v>0</v>
          </cell>
        </row>
        <row r="3579">
          <cell r="A3579" t="str">
            <v>06</v>
          </cell>
          <cell r="B3579" t="str">
            <v>16</v>
          </cell>
          <cell r="C3579" t="str">
            <v>06</v>
          </cell>
          <cell r="D3579" t="str">
            <v>5</v>
          </cell>
          <cell r="E3579" t="str">
            <v>0001</v>
          </cell>
          <cell r="F3579" t="str">
            <v>0004</v>
          </cell>
          <cell r="G3579" t="str">
            <v>23110</v>
          </cell>
          <cell r="H3579" t="str">
            <v>转订出00年1-5月CFS费进项税额</v>
          </cell>
          <cell r="I3579" t="b">
            <v>1</v>
          </cell>
          <cell r="J3579">
            <v>1696.1</v>
          </cell>
          <cell r="K3579">
            <v>0</v>
          </cell>
          <cell r="L3579">
            <v>0</v>
          </cell>
        </row>
        <row r="3580">
          <cell r="A3580" t="str">
            <v>07</v>
          </cell>
          <cell r="B3580" t="str">
            <v>01</v>
          </cell>
          <cell r="C3580" t="str">
            <v>07</v>
          </cell>
          <cell r="D3580" t="str">
            <v>4</v>
          </cell>
          <cell r="E3580" t="str">
            <v>0002</v>
          </cell>
          <cell r="F3580" t="str">
            <v>0004</v>
          </cell>
          <cell r="G3580" t="str">
            <v>23110</v>
          </cell>
          <cell r="H3580" t="str">
            <v>付中行第二季度贷款利息</v>
          </cell>
          <cell r="I3580" t="b">
            <v>1</v>
          </cell>
          <cell r="J3580">
            <v>246383.97</v>
          </cell>
          <cell r="K3580">
            <v>0</v>
          </cell>
          <cell r="L3580">
            <v>0</v>
          </cell>
        </row>
        <row r="3581">
          <cell r="A3581" t="str">
            <v>09</v>
          </cell>
          <cell r="B3581" t="str">
            <v>06</v>
          </cell>
          <cell r="C3581" t="str">
            <v>09</v>
          </cell>
          <cell r="D3581" t="str">
            <v>4</v>
          </cell>
          <cell r="E3581" t="str">
            <v>0007</v>
          </cell>
          <cell r="F3581" t="str">
            <v>0002</v>
          </cell>
          <cell r="G3581" t="str">
            <v>23110</v>
          </cell>
          <cell r="H3581" t="str">
            <v>付借款利息</v>
          </cell>
          <cell r="I3581" t="b">
            <v>1</v>
          </cell>
          <cell r="J3581">
            <v>179706.67</v>
          </cell>
          <cell r="K3581">
            <v>0</v>
          </cell>
          <cell r="L3581">
            <v>0</v>
          </cell>
        </row>
        <row r="3582">
          <cell r="A3582" t="str">
            <v>10</v>
          </cell>
          <cell r="B3582" t="str">
            <v>01</v>
          </cell>
          <cell r="C3582" t="str">
            <v>10</v>
          </cell>
          <cell r="D3582" t="str">
            <v>4</v>
          </cell>
          <cell r="E3582" t="str">
            <v>0002</v>
          </cell>
          <cell r="F3582" t="str">
            <v>0004</v>
          </cell>
          <cell r="G3582" t="str">
            <v>23110</v>
          </cell>
          <cell r="H3582" t="str">
            <v>付中行第三季度利息</v>
          </cell>
          <cell r="I3582" t="b">
            <v>1</v>
          </cell>
          <cell r="J3582">
            <v>227218.53</v>
          </cell>
          <cell r="K3582">
            <v>0</v>
          </cell>
          <cell r="L3582">
            <v>0</v>
          </cell>
        </row>
        <row r="3583">
          <cell r="A3583" t="str">
            <v>11</v>
          </cell>
          <cell r="B3583" t="str">
            <v>29</v>
          </cell>
          <cell r="C3583" t="str">
            <v>11</v>
          </cell>
          <cell r="D3583" t="str">
            <v>5</v>
          </cell>
          <cell r="E3583" t="str">
            <v>0028</v>
          </cell>
          <cell r="F3583" t="str">
            <v>0001</v>
          </cell>
          <cell r="G3583" t="str">
            <v>23110</v>
          </cell>
          <cell r="H3583" t="str">
            <v>转省计委100万第三季度利息</v>
          </cell>
          <cell r="I3583" t="b">
            <v>1</v>
          </cell>
          <cell r="J3583">
            <v>40729.050000000003</v>
          </cell>
          <cell r="K3583">
            <v>0</v>
          </cell>
          <cell r="L3583">
            <v>0</v>
          </cell>
        </row>
        <row r="3584">
          <cell r="A3584" t="str">
            <v>12</v>
          </cell>
          <cell r="B3584" t="str">
            <v>07</v>
          </cell>
          <cell r="C3584" t="str">
            <v>12</v>
          </cell>
          <cell r="D3584" t="str">
            <v>4</v>
          </cell>
          <cell r="E3584" t="str">
            <v>0007</v>
          </cell>
          <cell r="F3584" t="str">
            <v>0001</v>
          </cell>
          <cell r="G3584" t="str">
            <v>23110</v>
          </cell>
          <cell r="H3584" t="str">
            <v>付中国信达信托投资公司利息</v>
          </cell>
          <cell r="I3584" t="b">
            <v>1</v>
          </cell>
          <cell r="J3584">
            <v>179706.67</v>
          </cell>
          <cell r="K3584">
            <v>0</v>
          </cell>
          <cell r="L3584">
            <v>0</v>
          </cell>
        </row>
        <row r="3585">
          <cell r="A3585" t="str">
            <v>12</v>
          </cell>
          <cell r="B3585" t="str">
            <v>22</v>
          </cell>
          <cell r="C3585" t="str">
            <v>12</v>
          </cell>
          <cell r="D3585" t="str">
            <v>4</v>
          </cell>
          <cell r="E3585" t="str">
            <v>0049</v>
          </cell>
          <cell r="F3585" t="str">
            <v>0001</v>
          </cell>
          <cell r="G3585" t="str">
            <v>23110</v>
          </cell>
          <cell r="H3585" t="str">
            <v>付中行借款利息</v>
          </cell>
          <cell r="I3585" t="b">
            <v>1</v>
          </cell>
          <cell r="J3585">
            <v>1046329.27</v>
          </cell>
          <cell r="K3585">
            <v>0</v>
          </cell>
          <cell r="L3585">
            <v>0</v>
          </cell>
        </row>
        <row r="3586">
          <cell r="A3586" t="str">
            <v>12</v>
          </cell>
          <cell r="B3586" t="str">
            <v>26</v>
          </cell>
          <cell r="C3586" t="str">
            <v>12</v>
          </cell>
          <cell r="D3586" t="str">
            <v>5</v>
          </cell>
          <cell r="E3586" t="str">
            <v>0034</v>
          </cell>
          <cell r="F3586" t="str">
            <v>0001</v>
          </cell>
          <cell r="G3586" t="str">
            <v>23110</v>
          </cell>
          <cell r="H3586" t="str">
            <v>转省计委100万第四季度利息</v>
          </cell>
          <cell r="I3586" t="b">
            <v>1</v>
          </cell>
          <cell r="J3586">
            <v>41064.68</v>
          </cell>
          <cell r="K3586">
            <v>0</v>
          </cell>
          <cell r="L3586">
            <v>0</v>
          </cell>
        </row>
        <row r="3587">
          <cell r="A3587" t="str">
            <v>12</v>
          </cell>
          <cell r="B3587" t="str">
            <v>31</v>
          </cell>
          <cell r="C3587" t="str">
            <v>12</v>
          </cell>
          <cell r="D3587" t="str">
            <v>5</v>
          </cell>
          <cell r="E3587" t="str">
            <v>0098</v>
          </cell>
          <cell r="F3587" t="str">
            <v>0001</v>
          </cell>
          <cell r="G3587" t="str">
            <v>23110</v>
          </cell>
          <cell r="H3587" t="str">
            <v>转出多提贷款利息</v>
          </cell>
          <cell r="I3587" t="b">
            <v>1</v>
          </cell>
          <cell r="J3587">
            <v>1053617.6100000001</v>
          </cell>
          <cell r="K3587">
            <v>0</v>
          </cell>
          <cell r="L3587">
            <v>0</v>
          </cell>
        </row>
        <row r="3588">
          <cell r="A3588" t="str">
            <v>02</v>
          </cell>
          <cell r="B3588" t="str">
            <v>26</v>
          </cell>
          <cell r="C3588" t="str">
            <v>02</v>
          </cell>
          <cell r="D3588" t="str">
            <v>5</v>
          </cell>
          <cell r="E3588" t="str">
            <v>0022</v>
          </cell>
          <cell r="F3588" t="str">
            <v>0001</v>
          </cell>
          <cell r="G3588" t="str">
            <v>23111</v>
          </cell>
          <cell r="H3588" t="str">
            <v>转购五莲分公司苹果汁1383.003吨</v>
          </cell>
          <cell r="I3588" t="b">
            <v>1</v>
          </cell>
          <cell r="J3588">
            <v>5319242.5199999996</v>
          </cell>
          <cell r="K3588">
            <v>0</v>
          </cell>
          <cell r="L3588">
            <v>0</v>
          </cell>
        </row>
        <row r="3589">
          <cell r="A3589" t="str">
            <v>02</v>
          </cell>
          <cell r="B3589" t="str">
            <v>26</v>
          </cell>
          <cell r="C3589" t="str">
            <v>02</v>
          </cell>
          <cell r="D3589" t="str">
            <v>5</v>
          </cell>
          <cell r="E3589" t="str">
            <v>0023</v>
          </cell>
          <cell r="F3589" t="str">
            <v>0001</v>
          </cell>
          <cell r="G3589" t="str">
            <v>23111</v>
          </cell>
          <cell r="H3589" t="str">
            <v>转购卢龙分公司苹果汁998.409吨</v>
          </cell>
          <cell r="I3589" t="b">
            <v>1</v>
          </cell>
          <cell r="J3589">
            <v>3840034.77</v>
          </cell>
          <cell r="K3589">
            <v>0</v>
          </cell>
          <cell r="L3589">
            <v>0</v>
          </cell>
        </row>
        <row r="3590">
          <cell r="A3590" t="str">
            <v>02</v>
          </cell>
          <cell r="B3590" t="str">
            <v>29</v>
          </cell>
          <cell r="C3590" t="str">
            <v>02</v>
          </cell>
          <cell r="D3590" t="str">
            <v>5</v>
          </cell>
          <cell r="E3590" t="str">
            <v>0048</v>
          </cell>
          <cell r="F3590" t="str">
            <v>0002</v>
          </cell>
          <cell r="G3590" t="str">
            <v>23111</v>
          </cell>
          <cell r="H3590" t="str">
            <v>转预提外购果汁1322.617吨果汁</v>
          </cell>
          <cell r="I3590" t="b">
            <v>0</v>
          </cell>
          <cell r="J3590">
            <v>5740344.2300000004</v>
          </cell>
          <cell r="K3590">
            <v>0</v>
          </cell>
          <cell r="L3590">
            <v>0</v>
          </cell>
        </row>
        <row r="3591">
          <cell r="A3591" t="str">
            <v>04</v>
          </cell>
          <cell r="B3591" t="str">
            <v>20</v>
          </cell>
          <cell r="C3591" t="str">
            <v>04</v>
          </cell>
          <cell r="D3591" t="str">
            <v>5</v>
          </cell>
          <cell r="E3591" t="str">
            <v>0003</v>
          </cell>
          <cell r="F3591" t="str">
            <v>0001</v>
          </cell>
          <cell r="G3591" t="str">
            <v>23111</v>
          </cell>
          <cell r="H3591" t="str">
            <v>转购五莲果汁111.094吨</v>
          </cell>
          <cell r="I3591" t="b">
            <v>1</v>
          </cell>
          <cell r="J3591">
            <v>427284.63</v>
          </cell>
          <cell r="K3591">
            <v>0</v>
          </cell>
          <cell r="L3591">
            <v>0</v>
          </cell>
        </row>
        <row r="3592">
          <cell r="A3592" t="str">
            <v>04</v>
          </cell>
          <cell r="B3592" t="str">
            <v>26</v>
          </cell>
          <cell r="C3592" t="str">
            <v>04</v>
          </cell>
          <cell r="D3592" t="str">
            <v>5</v>
          </cell>
          <cell r="E3592" t="str">
            <v>0030</v>
          </cell>
          <cell r="F3592" t="str">
            <v>0002</v>
          </cell>
          <cell r="G3592" t="str">
            <v>23111</v>
          </cell>
          <cell r="H3592" t="str">
            <v>预提外购平原.秦皇岛果汁84.33吨</v>
          </cell>
          <cell r="I3592" t="b">
            <v>0</v>
          </cell>
          <cell r="J3592">
            <v>324346.15000000002</v>
          </cell>
          <cell r="K3592">
            <v>0</v>
          </cell>
          <cell r="L3592">
            <v>0</v>
          </cell>
        </row>
        <row r="3593">
          <cell r="A3593" t="str">
            <v>05</v>
          </cell>
          <cell r="B3593" t="str">
            <v>26</v>
          </cell>
          <cell r="C3593" t="str">
            <v>05</v>
          </cell>
          <cell r="D3593" t="str">
            <v>5</v>
          </cell>
          <cell r="E3593" t="str">
            <v>0017</v>
          </cell>
          <cell r="F3593" t="str">
            <v>0005</v>
          </cell>
          <cell r="G3593" t="str">
            <v>23111</v>
          </cell>
          <cell r="H3593" t="str">
            <v>转尚进果汁0.75吨差价</v>
          </cell>
          <cell r="I3593" t="b">
            <v>0</v>
          </cell>
          <cell r="J3593">
            <v>3375</v>
          </cell>
          <cell r="K3593">
            <v>0</v>
          </cell>
          <cell r="L3593">
            <v>0</v>
          </cell>
        </row>
        <row r="3594">
          <cell r="A3594" t="str">
            <v>07</v>
          </cell>
          <cell r="B3594" t="str">
            <v>27</v>
          </cell>
          <cell r="C3594" t="str">
            <v>07</v>
          </cell>
          <cell r="D3594" t="str">
            <v>5</v>
          </cell>
          <cell r="E3594" t="str">
            <v>0026</v>
          </cell>
          <cell r="F3594" t="str">
            <v>0001</v>
          </cell>
          <cell r="G3594" t="str">
            <v>23111</v>
          </cell>
          <cell r="H3594" t="str">
            <v>转出尧盛果汁98.284吨</v>
          </cell>
          <cell r="I3594" t="b">
            <v>1</v>
          </cell>
          <cell r="J3594">
            <v>378015.39</v>
          </cell>
          <cell r="K3594">
            <v>0</v>
          </cell>
          <cell r="L3594">
            <v>0</v>
          </cell>
        </row>
        <row r="3595">
          <cell r="A3595" t="str">
            <v>07</v>
          </cell>
          <cell r="B3595" t="str">
            <v>27</v>
          </cell>
          <cell r="C3595" t="str">
            <v>07</v>
          </cell>
          <cell r="D3595" t="str">
            <v>5</v>
          </cell>
          <cell r="E3595" t="str">
            <v>0027</v>
          </cell>
          <cell r="F3595" t="str">
            <v>0001</v>
          </cell>
          <cell r="G3595" t="str">
            <v>23111</v>
          </cell>
          <cell r="H3595" t="str">
            <v>转购尚进果汁374.387吨</v>
          </cell>
          <cell r="I3595" t="b">
            <v>1</v>
          </cell>
          <cell r="J3595">
            <v>1441243.55</v>
          </cell>
          <cell r="K3595">
            <v>0</v>
          </cell>
          <cell r="L3595">
            <v>0</v>
          </cell>
        </row>
        <row r="3596">
          <cell r="A3596" t="str">
            <v>08</v>
          </cell>
          <cell r="B3596" t="str">
            <v>24</v>
          </cell>
          <cell r="C3596" t="str">
            <v>08</v>
          </cell>
          <cell r="D3596" t="str">
            <v>5</v>
          </cell>
          <cell r="E3596" t="str">
            <v>0008</v>
          </cell>
          <cell r="F3596" t="str">
            <v>0001</v>
          </cell>
          <cell r="G3596" t="str">
            <v>23111</v>
          </cell>
          <cell r="H3596" t="str">
            <v>转购尚进果汁1000吨</v>
          </cell>
          <cell r="I3596" t="b">
            <v>1</v>
          </cell>
          <cell r="J3596">
            <v>4500000</v>
          </cell>
          <cell r="K3596">
            <v>0</v>
          </cell>
          <cell r="L3596">
            <v>0</v>
          </cell>
        </row>
        <row r="3597">
          <cell r="A3597" t="str">
            <v>02</v>
          </cell>
          <cell r="B3597" t="str">
            <v>22</v>
          </cell>
          <cell r="C3597" t="str">
            <v>02</v>
          </cell>
          <cell r="D3597" t="str">
            <v>4</v>
          </cell>
          <cell r="E3597" t="str">
            <v>0033</v>
          </cell>
          <cell r="F3597" t="str">
            <v>0001</v>
          </cell>
          <cell r="G3597" t="str">
            <v>23114</v>
          </cell>
          <cell r="H3597" t="str">
            <v>付电费</v>
          </cell>
          <cell r="I3597" t="b">
            <v>1</v>
          </cell>
          <cell r="J3597">
            <v>127602.54</v>
          </cell>
          <cell r="K3597">
            <v>0</v>
          </cell>
          <cell r="L3597">
            <v>0</v>
          </cell>
        </row>
        <row r="3598">
          <cell r="A3598" t="str">
            <v>02</v>
          </cell>
          <cell r="B3598" t="str">
            <v>26</v>
          </cell>
          <cell r="C3598" t="str">
            <v>02</v>
          </cell>
          <cell r="D3598" t="str">
            <v>5</v>
          </cell>
          <cell r="E3598" t="str">
            <v>0020</v>
          </cell>
          <cell r="F3598" t="str">
            <v>0005</v>
          </cell>
          <cell r="G3598" t="str">
            <v>23114</v>
          </cell>
          <cell r="H3598" t="str">
            <v>转制桶厂1-2月耗电款</v>
          </cell>
          <cell r="I3598" t="b">
            <v>0</v>
          </cell>
          <cell r="J3598">
            <v>43833.599999999999</v>
          </cell>
          <cell r="K3598">
            <v>0</v>
          </cell>
          <cell r="L3598">
            <v>0</v>
          </cell>
        </row>
        <row r="3599">
          <cell r="A3599" t="str">
            <v>02</v>
          </cell>
          <cell r="B3599" t="str">
            <v>26</v>
          </cell>
          <cell r="C3599" t="str">
            <v>02</v>
          </cell>
          <cell r="D3599" t="str">
            <v>5</v>
          </cell>
          <cell r="E3599" t="str">
            <v>0020</v>
          </cell>
          <cell r="F3599" t="str">
            <v>0010</v>
          </cell>
          <cell r="G3599" t="str">
            <v>23114</v>
          </cell>
          <cell r="H3599" t="str">
            <v>转冷藏.研究所.管理部门耗电款</v>
          </cell>
          <cell r="I3599" t="b">
            <v>0</v>
          </cell>
          <cell r="J3599">
            <v>101893.2</v>
          </cell>
          <cell r="K3599">
            <v>0</v>
          </cell>
          <cell r="L3599">
            <v>0</v>
          </cell>
        </row>
        <row r="3600">
          <cell r="A3600" t="str">
            <v>03</v>
          </cell>
          <cell r="B3600" t="str">
            <v>16</v>
          </cell>
          <cell r="C3600" t="str">
            <v>03</v>
          </cell>
          <cell r="D3600" t="str">
            <v>4</v>
          </cell>
          <cell r="E3600" t="str">
            <v>0021</v>
          </cell>
          <cell r="F3600" t="str">
            <v>0001</v>
          </cell>
          <cell r="G3600" t="str">
            <v>23114</v>
          </cell>
          <cell r="H3600" t="str">
            <v>付电费</v>
          </cell>
          <cell r="I3600" t="b">
            <v>1</v>
          </cell>
          <cell r="J3600">
            <v>27367.759999999998</v>
          </cell>
          <cell r="K3600">
            <v>0</v>
          </cell>
          <cell r="L3600">
            <v>0</v>
          </cell>
        </row>
        <row r="3601">
          <cell r="A3601" t="str">
            <v>03</v>
          </cell>
          <cell r="B3601" t="str">
            <v>18</v>
          </cell>
          <cell r="C3601" t="str">
            <v>03</v>
          </cell>
          <cell r="D3601" t="str">
            <v>4</v>
          </cell>
          <cell r="E3601" t="str">
            <v>0027</v>
          </cell>
          <cell r="F3601" t="str">
            <v>0002</v>
          </cell>
          <cell r="G3601" t="str">
            <v>23114</v>
          </cell>
          <cell r="H3601" t="str">
            <v>付电费</v>
          </cell>
          <cell r="I3601" t="b">
            <v>1</v>
          </cell>
          <cell r="J3601">
            <v>24137.52</v>
          </cell>
          <cell r="K3601">
            <v>0</v>
          </cell>
          <cell r="L3601">
            <v>0</v>
          </cell>
        </row>
        <row r="3602">
          <cell r="A3602" t="str">
            <v>04</v>
          </cell>
          <cell r="B3602" t="str">
            <v>20</v>
          </cell>
          <cell r="C3602" t="str">
            <v>04</v>
          </cell>
          <cell r="D3602" t="str">
            <v>5</v>
          </cell>
          <cell r="E3602" t="str">
            <v>0011</v>
          </cell>
          <cell r="F3602" t="str">
            <v>0008</v>
          </cell>
          <cell r="G3602" t="str">
            <v>23114</v>
          </cell>
          <cell r="H3602" t="str">
            <v>转冷藏.研究所.管理部门耗电款</v>
          </cell>
          <cell r="I3602" t="b">
            <v>0</v>
          </cell>
          <cell r="J3602">
            <v>94767</v>
          </cell>
          <cell r="K3602">
            <v>0</v>
          </cell>
          <cell r="L3602">
            <v>0</v>
          </cell>
        </row>
        <row r="3603">
          <cell r="A3603" t="str">
            <v>05</v>
          </cell>
          <cell r="B3603" t="str">
            <v>16</v>
          </cell>
          <cell r="C3603" t="str">
            <v>05</v>
          </cell>
          <cell r="D3603" t="str">
            <v>4</v>
          </cell>
          <cell r="E3603" t="str">
            <v>0012</v>
          </cell>
          <cell r="F3603" t="str">
            <v>0002</v>
          </cell>
          <cell r="G3603" t="str">
            <v>23114</v>
          </cell>
          <cell r="H3603" t="str">
            <v>付电费</v>
          </cell>
          <cell r="I3603" t="b">
            <v>1</v>
          </cell>
          <cell r="J3603">
            <v>34879.82</v>
          </cell>
          <cell r="K3603">
            <v>0</v>
          </cell>
          <cell r="L3603">
            <v>0</v>
          </cell>
        </row>
        <row r="3604">
          <cell r="A3604" t="str">
            <v>05</v>
          </cell>
          <cell r="B3604" t="str">
            <v>18</v>
          </cell>
          <cell r="C3604" t="str">
            <v>05</v>
          </cell>
          <cell r="D3604" t="str">
            <v>4</v>
          </cell>
          <cell r="E3604" t="str">
            <v>0017</v>
          </cell>
          <cell r="F3604" t="str">
            <v>0001</v>
          </cell>
          <cell r="G3604" t="str">
            <v>23114</v>
          </cell>
          <cell r="H3604" t="str">
            <v>付电费</v>
          </cell>
          <cell r="I3604" t="b">
            <v>1</v>
          </cell>
          <cell r="J3604">
            <v>31493.96</v>
          </cell>
          <cell r="K3604">
            <v>0</v>
          </cell>
          <cell r="L3604">
            <v>0</v>
          </cell>
        </row>
        <row r="3605">
          <cell r="A3605" t="str">
            <v>05</v>
          </cell>
          <cell r="B3605" t="str">
            <v>25</v>
          </cell>
          <cell r="C3605" t="str">
            <v>05</v>
          </cell>
          <cell r="D3605" t="str">
            <v>5</v>
          </cell>
          <cell r="E3605" t="str">
            <v>0003</v>
          </cell>
          <cell r="F3605" t="str">
            <v>0005</v>
          </cell>
          <cell r="G3605" t="str">
            <v>23114</v>
          </cell>
          <cell r="H3605" t="str">
            <v>转制桶厂4-5月耗电款</v>
          </cell>
          <cell r="I3605" t="b">
            <v>0</v>
          </cell>
          <cell r="J3605">
            <v>5076</v>
          </cell>
          <cell r="K3605">
            <v>0</v>
          </cell>
          <cell r="L3605">
            <v>0</v>
          </cell>
        </row>
        <row r="3606">
          <cell r="A3606" t="str">
            <v>05</v>
          </cell>
          <cell r="B3606" t="str">
            <v>25</v>
          </cell>
          <cell r="C3606" t="str">
            <v>05</v>
          </cell>
          <cell r="D3606" t="str">
            <v>5</v>
          </cell>
          <cell r="E3606" t="str">
            <v>0003</v>
          </cell>
          <cell r="F3606" t="str">
            <v>0010</v>
          </cell>
          <cell r="G3606" t="str">
            <v>23114</v>
          </cell>
          <cell r="H3606" t="str">
            <v>转冷藏.研究所.管理部门耗电款</v>
          </cell>
          <cell r="I3606" t="b">
            <v>0</v>
          </cell>
          <cell r="J3606">
            <v>24535.8</v>
          </cell>
          <cell r="K3606">
            <v>0</v>
          </cell>
          <cell r="L3606">
            <v>0</v>
          </cell>
        </row>
        <row r="3607">
          <cell r="A3607" t="str">
            <v>07</v>
          </cell>
          <cell r="B3607" t="str">
            <v>15</v>
          </cell>
          <cell r="C3607" t="str">
            <v>07</v>
          </cell>
          <cell r="D3607" t="str">
            <v>4</v>
          </cell>
          <cell r="E3607" t="str">
            <v>0012</v>
          </cell>
          <cell r="F3607" t="str">
            <v>0002</v>
          </cell>
          <cell r="G3607" t="str">
            <v>23114</v>
          </cell>
          <cell r="H3607" t="str">
            <v>付电费</v>
          </cell>
          <cell r="I3607" t="b">
            <v>1</v>
          </cell>
          <cell r="J3607">
            <v>37833.21</v>
          </cell>
          <cell r="K3607">
            <v>0</v>
          </cell>
          <cell r="L3607">
            <v>0</v>
          </cell>
        </row>
        <row r="3608">
          <cell r="A3608" t="str">
            <v>08</v>
          </cell>
          <cell r="B3608" t="str">
            <v>20</v>
          </cell>
          <cell r="C3608" t="str">
            <v>08</v>
          </cell>
          <cell r="D3608" t="str">
            <v>4</v>
          </cell>
          <cell r="E3608" t="str">
            <v>0026</v>
          </cell>
          <cell r="F3608" t="str">
            <v>0001</v>
          </cell>
          <cell r="G3608" t="str">
            <v>23114</v>
          </cell>
          <cell r="H3608" t="str">
            <v>付水电费</v>
          </cell>
          <cell r="I3608" t="b">
            <v>1</v>
          </cell>
          <cell r="J3608">
            <v>55589.52</v>
          </cell>
          <cell r="K3608">
            <v>0</v>
          </cell>
          <cell r="L3608">
            <v>0</v>
          </cell>
        </row>
        <row r="3609">
          <cell r="A3609" t="str">
            <v>08</v>
          </cell>
          <cell r="B3609" t="str">
            <v>27</v>
          </cell>
          <cell r="C3609" t="str">
            <v>08</v>
          </cell>
          <cell r="D3609" t="str">
            <v>5</v>
          </cell>
          <cell r="E3609" t="str">
            <v>0024</v>
          </cell>
          <cell r="F3609" t="str">
            <v>0002</v>
          </cell>
          <cell r="G3609" t="str">
            <v>23114</v>
          </cell>
          <cell r="H3609" t="str">
            <v>转预提本月管理部门耗水电款</v>
          </cell>
          <cell r="I3609" t="b">
            <v>0</v>
          </cell>
          <cell r="J3609">
            <v>14805.9</v>
          </cell>
          <cell r="K3609">
            <v>0</v>
          </cell>
          <cell r="L3609">
            <v>0</v>
          </cell>
        </row>
        <row r="3610">
          <cell r="A3610" t="str">
            <v>09</v>
          </cell>
          <cell r="B3610" t="str">
            <v>14</v>
          </cell>
          <cell r="C3610" t="str">
            <v>09</v>
          </cell>
          <cell r="D3610" t="str">
            <v>4</v>
          </cell>
          <cell r="E3610" t="str">
            <v>0017</v>
          </cell>
          <cell r="F3610" t="str">
            <v>0001</v>
          </cell>
          <cell r="G3610" t="str">
            <v>23114</v>
          </cell>
          <cell r="H3610" t="str">
            <v>付水电费</v>
          </cell>
          <cell r="I3610" t="b">
            <v>1</v>
          </cell>
          <cell r="J3610">
            <v>57150.23</v>
          </cell>
          <cell r="K3610">
            <v>0</v>
          </cell>
          <cell r="L3610">
            <v>0</v>
          </cell>
        </row>
        <row r="3611">
          <cell r="A3611" t="str">
            <v>09</v>
          </cell>
          <cell r="B3611" t="str">
            <v>28</v>
          </cell>
          <cell r="C3611" t="str">
            <v>09</v>
          </cell>
          <cell r="D3611" t="str">
            <v>5</v>
          </cell>
          <cell r="E3611" t="str">
            <v>0022</v>
          </cell>
          <cell r="F3611" t="str">
            <v>0002</v>
          </cell>
          <cell r="G3611" t="str">
            <v>23114</v>
          </cell>
          <cell r="H3611" t="str">
            <v>转本月管理部门耗水电款</v>
          </cell>
          <cell r="I3611" t="b">
            <v>0</v>
          </cell>
          <cell r="J3611">
            <v>18195.46</v>
          </cell>
          <cell r="K3611">
            <v>0</v>
          </cell>
          <cell r="L3611">
            <v>0</v>
          </cell>
        </row>
        <row r="3612">
          <cell r="A3612" t="str">
            <v>10</v>
          </cell>
          <cell r="B3612" t="str">
            <v>22</v>
          </cell>
          <cell r="C3612" t="str">
            <v>10</v>
          </cell>
          <cell r="D3612" t="str">
            <v>4</v>
          </cell>
          <cell r="E3612" t="str">
            <v>0027</v>
          </cell>
          <cell r="F3612" t="str">
            <v>0001</v>
          </cell>
          <cell r="G3612" t="str">
            <v>23114</v>
          </cell>
          <cell r="H3612" t="str">
            <v>付水费</v>
          </cell>
          <cell r="I3612" t="b">
            <v>1</v>
          </cell>
          <cell r="J3612">
            <v>24101.45</v>
          </cell>
          <cell r="K3612">
            <v>0</v>
          </cell>
          <cell r="L3612">
            <v>0</v>
          </cell>
        </row>
        <row r="3613">
          <cell r="A3613" t="str">
            <v>10</v>
          </cell>
          <cell r="B3613" t="str">
            <v>26</v>
          </cell>
          <cell r="C3613" t="str">
            <v>10</v>
          </cell>
          <cell r="D3613" t="str">
            <v>5</v>
          </cell>
          <cell r="E3613" t="str">
            <v>0020</v>
          </cell>
          <cell r="F3613" t="str">
            <v>0002</v>
          </cell>
          <cell r="G3613" t="str">
            <v>23114</v>
          </cell>
          <cell r="H3613" t="str">
            <v>转本月管理部门耗水电款</v>
          </cell>
          <cell r="I3613" t="b">
            <v>0</v>
          </cell>
          <cell r="J3613">
            <v>15218.49</v>
          </cell>
          <cell r="K3613">
            <v>0</v>
          </cell>
          <cell r="L3613">
            <v>0</v>
          </cell>
        </row>
        <row r="3614">
          <cell r="A3614" t="str">
            <v>11</v>
          </cell>
          <cell r="B3614" t="str">
            <v>14</v>
          </cell>
          <cell r="C3614" t="str">
            <v>11</v>
          </cell>
          <cell r="D3614" t="str">
            <v>4</v>
          </cell>
          <cell r="E3614" t="str">
            <v>0016</v>
          </cell>
          <cell r="F3614" t="str">
            <v>0001</v>
          </cell>
          <cell r="G3614" t="str">
            <v>23114</v>
          </cell>
          <cell r="H3614" t="str">
            <v>付水费</v>
          </cell>
          <cell r="I3614" t="b">
            <v>1</v>
          </cell>
          <cell r="J3614">
            <v>137079.63</v>
          </cell>
          <cell r="K3614">
            <v>0</v>
          </cell>
          <cell r="L3614">
            <v>0</v>
          </cell>
        </row>
        <row r="3615">
          <cell r="A3615" t="str">
            <v>11</v>
          </cell>
          <cell r="B3615" t="str">
            <v>23</v>
          </cell>
          <cell r="C3615" t="str">
            <v>11</v>
          </cell>
          <cell r="D3615" t="str">
            <v>4</v>
          </cell>
          <cell r="E3615" t="str">
            <v>0037</v>
          </cell>
          <cell r="F3615" t="str">
            <v>0001</v>
          </cell>
          <cell r="G3615" t="str">
            <v>23114</v>
          </cell>
          <cell r="H3615" t="str">
            <v>付电费</v>
          </cell>
          <cell r="I3615" t="b">
            <v>1</v>
          </cell>
          <cell r="J3615">
            <v>157205.79999999999</v>
          </cell>
          <cell r="K3615">
            <v>0</v>
          </cell>
          <cell r="L3615">
            <v>0</v>
          </cell>
        </row>
        <row r="3616">
          <cell r="A3616" t="str">
            <v>11</v>
          </cell>
          <cell r="B3616" t="str">
            <v>29</v>
          </cell>
          <cell r="C3616" t="str">
            <v>11</v>
          </cell>
          <cell r="D3616" t="str">
            <v>5</v>
          </cell>
          <cell r="E3616" t="str">
            <v>0023</v>
          </cell>
          <cell r="F3616" t="str">
            <v>0002</v>
          </cell>
          <cell r="G3616" t="str">
            <v>23114</v>
          </cell>
          <cell r="H3616" t="str">
            <v>转本月管理部门耗水电款</v>
          </cell>
          <cell r="I3616" t="b">
            <v>0</v>
          </cell>
          <cell r="J3616">
            <v>18583.38</v>
          </cell>
          <cell r="K3616">
            <v>0</v>
          </cell>
          <cell r="L3616">
            <v>0</v>
          </cell>
        </row>
        <row r="3617">
          <cell r="A3617" t="str">
            <v>11</v>
          </cell>
          <cell r="B3617" t="str">
            <v>29</v>
          </cell>
          <cell r="C3617" t="str">
            <v>11</v>
          </cell>
          <cell r="D3617" t="str">
            <v>5</v>
          </cell>
          <cell r="E3617" t="str">
            <v>0023</v>
          </cell>
          <cell r="F3617" t="str">
            <v>0004</v>
          </cell>
          <cell r="G3617" t="str">
            <v>23114</v>
          </cell>
          <cell r="H3617" t="str">
            <v>转6-11月机房耗水电款</v>
          </cell>
          <cell r="I3617" t="b">
            <v>0</v>
          </cell>
          <cell r="J3617">
            <v>126963.02</v>
          </cell>
          <cell r="K3617">
            <v>0</v>
          </cell>
          <cell r="L3617">
            <v>0</v>
          </cell>
        </row>
        <row r="3618">
          <cell r="A3618" t="str">
            <v>12</v>
          </cell>
          <cell r="B3618" t="str">
            <v>20</v>
          </cell>
          <cell r="C3618" t="str">
            <v>12</v>
          </cell>
          <cell r="D3618" t="str">
            <v>4</v>
          </cell>
          <cell r="E3618" t="str">
            <v>0037</v>
          </cell>
          <cell r="F3618" t="str">
            <v>0002</v>
          </cell>
          <cell r="G3618" t="str">
            <v>23114</v>
          </cell>
          <cell r="H3618" t="str">
            <v>付电.水费</v>
          </cell>
          <cell r="I3618" t="b">
            <v>1</v>
          </cell>
          <cell r="J3618">
            <v>642667.52000000002</v>
          </cell>
          <cell r="K3618">
            <v>0</v>
          </cell>
          <cell r="L3618">
            <v>0</v>
          </cell>
        </row>
        <row r="3619">
          <cell r="A3619" t="str">
            <v>12</v>
          </cell>
          <cell r="B3619" t="str">
            <v>23</v>
          </cell>
          <cell r="C3619" t="str">
            <v>12</v>
          </cell>
          <cell r="D3619" t="str">
            <v>4</v>
          </cell>
          <cell r="E3619" t="str">
            <v>0053</v>
          </cell>
          <cell r="F3619" t="str">
            <v>0002</v>
          </cell>
          <cell r="G3619" t="str">
            <v>23114</v>
          </cell>
          <cell r="H3619" t="str">
            <v>付水费</v>
          </cell>
          <cell r="I3619" t="b">
            <v>1</v>
          </cell>
          <cell r="J3619">
            <v>101828.32</v>
          </cell>
          <cell r="K3619">
            <v>0</v>
          </cell>
          <cell r="L3619">
            <v>0</v>
          </cell>
        </row>
        <row r="3620">
          <cell r="A3620" t="str">
            <v>12</v>
          </cell>
          <cell r="B3620" t="str">
            <v>23</v>
          </cell>
          <cell r="C3620" t="str">
            <v>12</v>
          </cell>
          <cell r="D3620" t="str">
            <v>4</v>
          </cell>
          <cell r="E3620" t="str">
            <v>0053</v>
          </cell>
          <cell r="F3620" t="str">
            <v>0003</v>
          </cell>
          <cell r="G3620" t="str">
            <v>23114</v>
          </cell>
          <cell r="H3620" t="str">
            <v>付电费</v>
          </cell>
          <cell r="I3620" t="b">
            <v>1</v>
          </cell>
          <cell r="J3620">
            <v>454670.86</v>
          </cell>
          <cell r="K3620">
            <v>0</v>
          </cell>
          <cell r="L3620">
            <v>0</v>
          </cell>
        </row>
        <row r="3621">
          <cell r="A3621" t="str">
            <v>12</v>
          </cell>
          <cell r="B3621" t="str">
            <v>08</v>
          </cell>
          <cell r="C3621" t="str">
            <v>12</v>
          </cell>
          <cell r="D3621" t="str">
            <v>5</v>
          </cell>
          <cell r="E3621" t="str">
            <v>0003</v>
          </cell>
          <cell r="F3621" t="str">
            <v>0002</v>
          </cell>
          <cell r="G3621" t="str">
            <v>23114</v>
          </cell>
          <cell r="H3621" t="str">
            <v>调户</v>
          </cell>
          <cell r="I3621" t="b">
            <v>1</v>
          </cell>
          <cell r="J3621">
            <v>-34997.550000000003</v>
          </cell>
          <cell r="K3621">
            <v>0</v>
          </cell>
          <cell r="L3621">
            <v>0</v>
          </cell>
        </row>
        <row r="3622">
          <cell r="A3622" t="str">
            <v>12</v>
          </cell>
          <cell r="B3622" t="str">
            <v>26</v>
          </cell>
          <cell r="C3622" t="str">
            <v>12</v>
          </cell>
          <cell r="D3622" t="str">
            <v>5</v>
          </cell>
          <cell r="E3622" t="str">
            <v>0031</v>
          </cell>
          <cell r="F3622" t="str">
            <v>0002</v>
          </cell>
          <cell r="G3622" t="str">
            <v>23114</v>
          </cell>
          <cell r="H3622" t="str">
            <v>转本月管理部门耗水电款</v>
          </cell>
          <cell r="I3622" t="b">
            <v>0</v>
          </cell>
          <cell r="J3622">
            <v>22335.27</v>
          </cell>
          <cell r="K3622">
            <v>0</v>
          </cell>
          <cell r="L3622">
            <v>0</v>
          </cell>
        </row>
        <row r="3623">
          <cell r="A3623" t="str">
            <v>12</v>
          </cell>
          <cell r="B3623" t="str">
            <v>26</v>
          </cell>
          <cell r="C3623" t="str">
            <v>12</v>
          </cell>
          <cell r="D3623" t="str">
            <v>5</v>
          </cell>
          <cell r="E3623" t="str">
            <v>0031</v>
          </cell>
          <cell r="F3623" t="str">
            <v>0004</v>
          </cell>
          <cell r="G3623" t="str">
            <v>23114</v>
          </cell>
          <cell r="H3623" t="str">
            <v>转12月机房耗水电款</v>
          </cell>
          <cell r="I3623" t="b">
            <v>0</v>
          </cell>
          <cell r="J3623">
            <v>19879.52</v>
          </cell>
          <cell r="K3623">
            <v>0</v>
          </cell>
          <cell r="L3623">
            <v>0</v>
          </cell>
        </row>
        <row r="3624">
          <cell r="A3624" t="str">
            <v>12</v>
          </cell>
          <cell r="B3624" t="str">
            <v>29</v>
          </cell>
          <cell r="C3624" t="str">
            <v>12</v>
          </cell>
          <cell r="D3624" t="str">
            <v>5</v>
          </cell>
          <cell r="E3624" t="str">
            <v>0084</v>
          </cell>
          <cell r="F3624" t="str">
            <v>0005</v>
          </cell>
          <cell r="G3624" t="str">
            <v>23114</v>
          </cell>
          <cell r="H3624" t="str">
            <v>结转本月水电汽成本</v>
          </cell>
          <cell r="I3624" t="b">
            <v>0</v>
          </cell>
          <cell r="J3624">
            <v>1387898.33</v>
          </cell>
          <cell r="K3624">
            <v>0</v>
          </cell>
          <cell r="L3624">
            <v>0</v>
          </cell>
        </row>
        <row r="3625">
          <cell r="A3625" t="str">
            <v>12</v>
          </cell>
          <cell r="B3625" t="str">
            <v>31</v>
          </cell>
          <cell r="C3625" t="str">
            <v>12</v>
          </cell>
          <cell r="D3625" t="str">
            <v>5</v>
          </cell>
          <cell r="E3625" t="str">
            <v>0108</v>
          </cell>
          <cell r="F3625" t="str">
            <v>0001</v>
          </cell>
          <cell r="G3625" t="str">
            <v>24113</v>
          </cell>
          <cell r="H3625" t="str">
            <v>转户</v>
          </cell>
          <cell r="I3625" t="b">
            <v>1</v>
          </cell>
          <cell r="J3625">
            <v>1000000</v>
          </cell>
          <cell r="K3625">
            <v>0</v>
          </cell>
          <cell r="L3625">
            <v>0</v>
          </cell>
        </row>
        <row r="3626">
          <cell r="A3626" t="str">
            <v>09</v>
          </cell>
          <cell r="B3626" t="str">
            <v>18</v>
          </cell>
          <cell r="C3626" t="str">
            <v>09</v>
          </cell>
          <cell r="D3626" t="str">
            <v>5</v>
          </cell>
          <cell r="E3626" t="str">
            <v>0003</v>
          </cell>
          <cell r="F3626" t="str">
            <v>0001</v>
          </cell>
          <cell r="G3626" t="str">
            <v>251</v>
          </cell>
          <cell r="H3626" t="str">
            <v>转调正98年12月5-19#凭证错制</v>
          </cell>
          <cell r="I3626" t="b">
            <v>1</v>
          </cell>
          <cell r="J3626">
            <v>136099.97</v>
          </cell>
          <cell r="K3626">
            <v>0</v>
          </cell>
          <cell r="L3626">
            <v>0</v>
          </cell>
        </row>
        <row r="3627">
          <cell r="A3627" t="str">
            <v>09</v>
          </cell>
          <cell r="B3627" t="str">
            <v>18</v>
          </cell>
          <cell r="C3627" t="str">
            <v>09</v>
          </cell>
          <cell r="D3627" t="str">
            <v>5</v>
          </cell>
          <cell r="E3627" t="str">
            <v>0003</v>
          </cell>
          <cell r="F3627" t="str">
            <v>0009</v>
          </cell>
          <cell r="G3627" t="str">
            <v>251</v>
          </cell>
          <cell r="H3627" t="str">
            <v>转调正1997.7月3-17#凭证错制</v>
          </cell>
          <cell r="I3627" t="b">
            <v>1</v>
          </cell>
          <cell r="J3627">
            <v>9118.9</v>
          </cell>
          <cell r="K3627">
            <v>0</v>
          </cell>
          <cell r="L3627">
            <v>0</v>
          </cell>
        </row>
        <row r="3628">
          <cell r="A3628" t="str">
            <v>09</v>
          </cell>
          <cell r="B3628" t="str">
            <v>18</v>
          </cell>
          <cell r="C3628" t="str">
            <v>09</v>
          </cell>
          <cell r="D3628" t="str">
            <v>5</v>
          </cell>
          <cell r="E3628" t="str">
            <v>0003</v>
          </cell>
          <cell r="F3628" t="str">
            <v>0011</v>
          </cell>
          <cell r="G3628" t="str">
            <v>251</v>
          </cell>
          <cell r="H3628" t="str">
            <v>转调正1997.7月3-17#凭证错制</v>
          </cell>
          <cell r="I3628" t="b">
            <v>0</v>
          </cell>
          <cell r="J3628">
            <v>7390</v>
          </cell>
          <cell r="K3628">
            <v>0</v>
          </cell>
          <cell r="L3628">
            <v>0</v>
          </cell>
        </row>
        <row r="3629">
          <cell r="A3629" t="str">
            <v>09</v>
          </cell>
          <cell r="B3629" t="str">
            <v>18</v>
          </cell>
          <cell r="C3629" t="str">
            <v>09</v>
          </cell>
          <cell r="D3629" t="str">
            <v>5</v>
          </cell>
          <cell r="E3629" t="str">
            <v>0004</v>
          </cell>
          <cell r="F3629" t="str">
            <v>0002</v>
          </cell>
          <cell r="G3629" t="str">
            <v>251</v>
          </cell>
          <cell r="H3629" t="str">
            <v>转杨华玲售房改价房款</v>
          </cell>
          <cell r="I3629" t="b">
            <v>0</v>
          </cell>
          <cell r="J3629">
            <v>3216</v>
          </cell>
          <cell r="K3629">
            <v>0</v>
          </cell>
          <cell r="L3629">
            <v>0</v>
          </cell>
        </row>
        <row r="3630">
          <cell r="A3630" t="str">
            <v>12</v>
          </cell>
          <cell r="B3630" t="str">
            <v>23</v>
          </cell>
          <cell r="C3630" t="str">
            <v>12</v>
          </cell>
          <cell r="D3630" t="str">
            <v>5</v>
          </cell>
          <cell r="E3630" t="str">
            <v>0024</v>
          </cell>
          <cell r="F3630" t="str">
            <v>0002</v>
          </cell>
          <cell r="G3630" t="str">
            <v>251</v>
          </cell>
          <cell r="H3630" t="str">
            <v>收于文芳房款</v>
          </cell>
          <cell r="I3630" t="b">
            <v>0</v>
          </cell>
          <cell r="J3630">
            <v>3952</v>
          </cell>
          <cell r="K3630">
            <v>0</v>
          </cell>
          <cell r="L3630">
            <v>0</v>
          </cell>
        </row>
        <row r="3631">
          <cell r="A3631" t="str">
            <v>12</v>
          </cell>
          <cell r="B3631" t="str">
            <v>28</v>
          </cell>
          <cell r="C3631" t="str">
            <v>12</v>
          </cell>
          <cell r="D3631" t="str">
            <v>5</v>
          </cell>
          <cell r="E3631" t="str">
            <v>0044</v>
          </cell>
          <cell r="F3631" t="str">
            <v>0004</v>
          </cell>
          <cell r="G3631" t="str">
            <v>251</v>
          </cell>
          <cell r="H3631" t="str">
            <v>转各公司住房补贴款</v>
          </cell>
          <cell r="I3631" t="b">
            <v>0</v>
          </cell>
          <cell r="J3631">
            <v>1411254.32</v>
          </cell>
          <cell r="K3631">
            <v>0</v>
          </cell>
          <cell r="L3631">
            <v>0</v>
          </cell>
        </row>
        <row r="3632">
          <cell r="A3632" t="str">
            <v>12</v>
          </cell>
          <cell r="B3632" t="str">
            <v>28</v>
          </cell>
          <cell r="C3632" t="str">
            <v>12</v>
          </cell>
          <cell r="D3632" t="str">
            <v>5</v>
          </cell>
          <cell r="E3632" t="str">
            <v>0045</v>
          </cell>
          <cell r="F3632" t="str">
            <v>0001</v>
          </cell>
          <cell r="G3632" t="str">
            <v>251</v>
          </cell>
          <cell r="H3632" t="str">
            <v>转银丰代垫购城东房款</v>
          </cell>
          <cell r="I3632" t="b">
            <v>1</v>
          </cell>
          <cell r="J3632">
            <v>80000</v>
          </cell>
          <cell r="K3632">
            <v>0</v>
          </cell>
          <cell r="L3632">
            <v>0</v>
          </cell>
        </row>
        <row r="3633">
          <cell r="A3633" t="str">
            <v>12</v>
          </cell>
          <cell r="B3633" t="str">
            <v>28</v>
          </cell>
          <cell r="C3633" t="str">
            <v>12</v>
          </cell>
          <cell r="D3633" t="str">
            <v>5</v>
          </cell>
          <cell r="E3633" t="str">
            <v>0073</v>
          </cell>
          <cell r="F3633" t="str">
            <v>0002</v>
          </cell>
          <cell r="G3633" t="str">
            <v>251</v>
          </cell>
          <cell r="H3633" t="str">
            <v>转调整住房周转金</v>
          </cell>
          <cell r="I3633" t="b">
            <v>0</v>
          </cell>
          <cell r="J3633">
            <v>4463194.43</v>
          </cell>
          <cell r="K3633">
            <v>0</v>
          </cell>
          <cell r="L3633">
            <v>0</v>
          </cell>
        </row>
        <row r="3634">
          <cell r="A3634" t="str">
            <v>12</v>
          </cell>
          <cell r="B3634" t="str">
            <v>08</v>
          </cell>
          <cell r="C3634" t="str">
            <v>12</v>
          </cell>
          <cell r="D3634" t="str">
            <v>5</v>
          </cell>
          <cell r="E3634" t="str">
            <v>0004</v>
          </cell>
          <cell r="F3634" t="str">
            <v>0001</v>
          </cell>
          <cell r="G3634" t="str">
            <v>30101</v>
          </cell>
          <cell r="H3634" t="str">
            <v>转收职工股款</v>
          </cell>
          <cell r="I3634" t="b">
            <v>0</v>
          </cell>
          <cell r="J3634">
            <v>14650000</v>
          </cell>
          <cell r="K3634">
            <v>0</v>
          </cell>
          <cell r="L3634">
            <v>0</v>
          </cell>
        </row>
        <row r="3635">
          <cell r="A3635" t="str">
            <v>12</v>
          </cell>
          <cell r="B3635" t="str">
            <v>08</v>
          </cell>
          <cell r="C3635" t="str">
            <v>12</v>
          </cell>
          <cell r="D3635" t="str">
            <v>5</v>
          </cell>
          <cell r="E3635" t="str">
            <v>0004</v>
          </cell>
          <cell r="F3635" t="str">
            <v>0002</v>
          </cell>
          <cell r="G3635" t="str">
            <v>30103</v>
          </cell>
          <cell r="H3635" t="str">
            <v>转收职工股款</v>
          </cell>
          <cell r="I3635" t="b">
            <v>1</v>
          </cell>
          <cell r="J3635">
            <v>14650000</v>
          </cell>
          <cell r="K3635">
            <v>0</v>
          </cell>
          <cell r="L3635">
            <v>0</v>
          </cell>
        </row>
        <row r="3636">
          <cell r="A3636" t="str">
            <v>06</v>
          </cell>
          <cell r="B3636" t="str">
            <v>26</v>
          </cell>
          <cell r="C3636" t="str">
            <v>06</v>
          </cell>
          <cell r="D3636" t="str">
            <v>5</v>
          </cell>
          <cell r="E3636" t="str">
            <v>0033</v>
          </cell>
          <cell r="F3636" t="str">
            <v>0003</v>
          </cell>
          <cell r="G3636" t="str">
            <v>31103</v>
          </cell>
          <cell r="H3636" t="str">
            <v>转资产评估增值</v>
          </cell>
          <cell r="I3636" t="b">
            <v>0</v>
          </cell>
          <cell r="J3636">
            <v>4278480.62</v>
          </cell>
          <cell r="K3636">
            <v>0</v>
          </cell>
          <cell r="L3636">
            <v>0</v>
          </cell>
        </row>
        <row r="3637">
          <cell r="A3637" t="str">
            <v>06</v>
          </cell>
          <cell r="B3637" t="str">
            <v>26</v>
          </cell>
          <cell r="C3637" t="str">
            <v>06</v>
          </cell>
          <cell r="D3637" t="str">
            <v>5</v>
          </cell>
          <cell r="E3637" t="str">
            <v>0034</v>
          </cell>
          <cell r="F3637" t="str">
            <v>0002</v>
          </cell>
          <cell r="G3637" t="str">
            <v>31103</v>
          </cell>
          <cell r="H3637" t="str">
            <v>转订正99年9.5-44#凭证</v>
          </cell>
          <cell r="I3637" t="b">
            <v>0</v>
          </cell>
          <cell r="J3637">
            <v>795048.86</v>
          </cell>
          <cell r="K3637">
            <v>0</v>
          </cell>
          <cell r="L3637">
            <v>0</v>
          </cell>
        </row>
        <row r="3638">
          <cell r="A3638" t="str">
            <v>07</v>
          </cell>
          <cell r="B3638" t="str">
            <v>24</v>
          </cell>
          <cell r="C3638" t="str">
            <v>07</v>
          </cell>
          <cell r="D3638" t="str">
            <v>5</v>
          </cell>
          <cell r="E3638" t="str">
            <v>0008</v>
          </cell>
          <cell r="F3638" t="str">
            <v>0001</v>
          </cell>
          <cell r="G3638" t="str">
            <v>31303</v>
          </cell>
          <cell r="H3638" t="str">
            <v>转按10%计提盈余公积金</v>
          </cell>
          <cell r="I3638" t="b">
            <v>0</v>
          </cell>
          <cell r="J3638">
            <v>1654737.27</v>
          </cell>
          <cell r="K3638">
            <v>0</v>
          </cell>
          <cell r="L3638">
            <v>0</v>
          </cell>
        </row>
        <row r="3639">
          <cell r="A3639" t="str">
            <v>07</v>
          </cell>
          <cell r="B3639" t="str">
            <v>24</v>
          </cell>
          <cell r="C3639" t="str">
            <v>07</v>
          </cell>
          <cell r="D3639" t="str">
            <v>5</v>
          </cell>
          <cell r="E3639" t="str">
            <v>0008</v>
          </cell>
          <cell r="F3639" t="str">
            <v>0003</v>
          </cell>
          <cell r="G3639" t="str">
            <v>31304</v>
          </cell>
          <cell r="H3639" t="str">
            <v>转按5%计提公益金</v>
          </cell>
          <cell r="I3639" t="b">
            <v>0</v>
          </cell>
          <cell r="J3639">
            <v>827368.63</v>
          </cell>
          <cell r="K3639">
            <v>0</v>
          </cell>
          <cell r="L3639">
            <v>0</v>
          </cell>
        </row>
        <row r="3640">
          <cell r="A3640" t="str">
            <v>12</v>
          </cell>
          <cell r="B3640" t="str">
            <v>28</v>
          </cell>
          <cell r="C3640" t="str">
            <v>12</v>
          </cell>
          <cell r="D3640" t="str">
            <v>5</v>
          </cell>
          <cell r="E3640" t="str">
            <v>0073</v>
          </cell>
          <cell r="F3640" t="str">
            <v>0001</v>
          </cell>
          <cell r="G3640" t="str">
            <v>31304</v>
          </cell>
          <cell r="H3640" t="str">
            <v>转调整住房周转金</v>
          </cell>
          <cell r="I3640" t="b">
            <v>1</v>
          </cell>
          <cell r="J3640">
            <v>4463194.43</v>
          </cell>
          <cell r="K3640">
            <v>0</v>
          </cell>
          <cell r="L3640">
            <v>0</v>
          </cell>
        </row>
        <row r="3641">
          <cell r="A3641" t="str">
            <v>02</v>
          </cell>
          <cell r="B3641" t="str">
            <v>29</v>
          </cell>
          <cell r="C3641" t="str">
            <v>02</v>
          </cell>
          <cell r="D3641" t="str">
            <v>5</v>
          </cell>
          <cell r="E3641" t="str">
            <v>0045</v>
          </cell>
          <cell r="F3641" t="str">
            <v>0002</v>
          </cell>
          <cell r="G3641" t="str">
            <v>321</v>
          </cell>
          <cell r="H3641" t="str">
            <v>结转本月业务收入</v>
          </cell>
          <cell r="I3641" t="b">
            <v>0</v>
          </cell>
          <cell r="J3641">
            <v>785888.79</v>
          </cell>
          <cell r="K3641">
            <v>0</v>
          </cell>
          <cell r="L3641">
            <v>0</v>
          </cell>
        </row>
        <row r="3642">
          <cell r="A3642" t="str">
            <v>02</v>
          </cell>
          <cell r="B3642" t="str">
            <v>29</v>
          </cell>
          <cell r="C3642" t="str">
            <v>02</v>
          </cell>
          <cell r="D3642" t="str">
            <v>5</v>
          </cell>
          <cell r="E3642" t="str">
            <v>0045</v>
          </cell>
          <cell r="F3642" t="str">
            <v>0005</v>
          </cell>
          <cell r="G3642" t="str">
            <v>321</v>
          </cell>
          <cell r="H3642" t="str">
            <v>结转本月业务支出</v>
          </cell>
          <cell r="I3642" t="b">
            <v>1</v>
          </cell>
          <cell r="J3642">
            <v>781758.45</v>
          </cell>
          <cell r="K3642">
            <v>0</v>
          </cell>
          <cell r="L3642">
            <v>0</v>
          </cell>
        </row>
        <row r="3643">
          <cell r="A3643" t="str">
            <v>02</v>
          </cell>
          <cell r="B3643" t="str">
            <v>29</v>
          </cell>
          <cell r="C3643" t="str">
            <v>02</v>
          </cell>
          <cell r="D3643" t="str">
            <v>5</v>
          </cell>
          <cell r="E3643" t="str">
            <v>0053</v>
          </cell>
          <cell r="F3643" t="str">
            <v>0004</v>
          </cell>
          <cell r="G3643" t="str">
            <v>321</v>
          </cell>
          <cell r="H3643" t="str">
            <v>结转本月产品收入</v>
          </cell>
          <cell r="I3643" t="b">
            <v>0</v>
          </cell>
          <cell r="J3643">
            <v>16003242.18</v>
          </cell>
          <cell r="K3643">
            <v>0</v>
          </cell>
          <cell r="L3643">
            <v>0</v>
          </cell>
        </row>
        <row r="3644">
          <cell r="A3644" t="str">
            <v>02</v>
          </cell>
          <cell r="B3644" t="str">
            <v>29</v>
          </cell>
          <cell r="C3644" t="str">
            <v>02</v>
          </cell>
          <cell r="D3644" t="str">
            <v>5</v>
          </cell>
          <cell r="E3644" t="str">
            <v>0054</v>
          </cell>
          <cell r="F3644" t="str">
            <v>0001</v>
          </cell>
          <cell r="G3644" t="str">
            <v>321</v>
          </cell>
          <cell r="H3644" t="str">
            <v>结转本月产品销售成本</v>
          </cell>
          <cell r="I3644" t="b">
            <v>1</v>
          </cell>
          <cell r="J3644">
            <v>12683066.380000001</v>
          </cell>
          <cell r="K3644">
            <v>0</v>
          </cell>
          <cell r="L3644">
            <v>0</v>
          </cell>
        </row>
        <row r="3645">
          <cell r="A3645" t="str">
            <v>02</v>
          </cell>
          <cell r="B3645" t="str">
            <v>29</v>
          </cell>
          <cell r="C3645" t="str">
            <v>02</v>
          </cell>
          <cell r="D3645" t="str">
            <v>5</v>
          </cell>
          <cell r="E3645" t="str">
            <v>0056</v>
          </cell>
          <cell r="F3645" t="str">
            <v>0001</v>
          </cell>
          <cell r="G3645" t="str">
            <v>321</v>
          </cell>
          <cell r="H3645" t="str">
            <v>结转本月财务费用</v>
          </cell>
          <cell r="I3645" t="b">
            <v>1</v>
          </cell>
          <cell r="J3645">
            <v>714826.25</v>
          </cell>
          <cell r="K3645">
            <v>0</v>
          </cell>
          <cell r="L3645">
            <v>0</v>
          </cell>
        </row>
        <row r="3646">
          <cell r="A3646" t="str">
            <v>02</v>
          </cell>
          <cell r="B3646" t="str">
            <v>29</v>
          </cell>
          <cell r="C3646" t="str">
            <v>02</v>
          </cell>
          <cell r="D3646" t="str">
            <v>5</v>
          </cell>
          <cell r="E3646" t="str">
            <v>0057</v>
          </cell>
          <cell r="F3646" t="str">
            <v>0001</v>
          </cell>
          <cell r="G3646" t="str">
            <v>321</v>
          </cell>
          <cell r="H3646" t="str">
            <v>结转本月销售费用</v>
          </cell>
          <cell r="I3646" t="b">
            <v>1</v>
          </cell>
          <cell r="J3646">
            <v>503050</v>
          </cell>
          <cell r="K3646">
            <v>0</v>
          </cell>
          <cell r="L3646">
            <v>0</v>
          </cell>
        </row>
        <row r="3647">
          <cell r="A3647" t="str">
            <v>02</v>
          </cell>
          <cell r="B3647" t="str">
            <v>29</v>
          </cell>
          <cell r="C3647" t="str">
            <v>02</v>
          </cell>
          <cell r="D3647" t="str">
            <v>5</v>
          </cell>
          <cell r="E3647" t="str">
            <v>0058</v>
          </cell>
          <cell r="F3647" t="str">
            <v>0001</v>
          </cell>
          <cell r="G3647" t="str">
            <v>321</v>
          </cell>
          <cell r="H3647" t="str">
            <v>结转本月管理费用</v>
          </cell>
          <cell r="I3647" t="b">
            <v>1</v>
          </cell>
          <cell r="J3647">
            <v>49146.79</v>
          </cell>
          <cell r="K3647">
            <v>0</v>
          </cell>
          <cell r="L3647">
            <v>0</v>
          </cell>
        </row>
        <row r="3648">
          <cell r="A3648" t="str">
            <v>02</v>
          </cell>
          <cell r="B3648" t="str">
            <v>29</v>
          </cell>
          <cell r="C3648" t="str">
            <v>02</v>
          </cell>
          <cell r="D3648" t="str">
            <v>5</v>
          </cell>
          <cell r="E3648" t="str">
            <v>0059</v>
          </cell>
          <cell r="F3648" t="str">
            <v>0003</v>
          </cell>
          <cell r="G3648" t="str">
            <v>321</v>
          </cell>
          <cell r="H3648" t="str">
            <v>结转本月应交所得税</v>
          </cell>
          <cell r="I3648" t="b">
            <v>1</v>
          </cell>
          <cell r="J3648">
            <v>678903.42</v>
          </cell>
          <cell r="K3648">
            <v>0</v>
          </cell>
          <cell r="L3648">
            <v>0</v>
          </cell>
        </row>
        <row r="3649">
          <cell r="A3649" t="str">
            <v>03</v>
          </cell>
          <cell r="B3649" t="str">
            <v>28</v>
          </cell>
          <cell r="C3649" t="str">
            <v>03</v>
          </cell>
          <cell r="D3649" t="str">
            <v>5</v>
          </cell>
          <cell r="E3649" t="str">
            <v>0018</v>
          </cell>
          <cell r="F3649" t="str">
            <v>0002</v>
          </cell>
          <cell r="G3649" t="str">
            <v>321</v>
          </cell>
          <cell r="H3649" t="str">
            <v>结转本月业务收入</v>
          </cell>
          <cell r="I3649" t="b">
            <v>0</v>
          </cell>
          <cell r="J3649">
            <v>100058.46</v>
          </cell>
          <cell r="K3649">
            <v>0</v>
          </cell>
          <cell r="L3649">
            <v>0</v>
          </cell>
        </row>
        <row r="3650">
          <cell r="A3650" t="str">
            <v>03</v>
          </cell>
          <cell r="B3650" t="str">
            <v>28</v>
          </cell>
          <cell r="C3650" t="str">
            <v>03</v>
          </cell>
          <cell r="D3650" t="str">
            <v>5</v>
          </cell>
          <cell r="E3650" t="str">
            <v>0018</v>
          </cell>
          <cell r="F3650" t="str">
            <v>0005</v>
          </cell>
          <cell r="G3650" t="str">
            <v>321</v>
          </cell>
          <cell r="H3650" t="str">
            <v>结转本月业务支出</v>
          </cell>
          <cell r="I3650" t="b">
            <v>1</v>
          </cell>
          <cell r="J3650">
            <v>162</v>
          </cell>
          <cell r="K3650">
            <v>0</v>
          </cell>
          <cell r="L3650">
            <v>0</v>
          </cell>
        </row>
        <row r="3651">
          <cell r="A3651" t="str">
            <v>03</v>
          </cell>
          <cell r="B3651" t="str">
            <v>28</v>
          </cell>
          <cell r="C3651" t="str">
            <v>03</v>
          </cell>
          <cell r="D3651" t="str">
            <v>5</v>
          </cell>
          <cell r="E3651" t="str">
            <v>0023</v>
          </cell>
          <cell r="F3651" t="str">
            <v>0001</v>
          </cell>
          <cell r="G3651" t="str">
            <v>321</v>
          </cell>
          <cell r="H3651" t="str">
            <v>结转本月产品销售成本</v>
          </cell>
          <cell r="I3651" t="b">
            <v>1</v>
          </cell>
          <cell r="J3651">
            <v>3901523.21</v>
          </cell>
          <cell r="K3651">
            <v>0</v>
          </cell>
          <cell r="L3651">
            <v>0</v>
          </cell>
        </row>
        <row r="3652">
          <cell r="A3652" t="str">
            <v>03</v>
          </cell>
          <cell r="B3652" t="str">
            <v>30</v>
          </cell>
          <cell r="C3652" t="str">
            <v>03</v>
          </cell>
          <cell r="D3652" t="str">
            <v>5</v>
          </cell>
          <cell r="E3652" t="str">
            <v>0029</v>
          </cell>
          <cell r="F3652" t="str">
            <v>0004</v>
          </cell>
          <cell r="G3652" t="str">
            <v>321</v>
          </cell>
          <cell r="H3652" t="str">
            <v>结转本月产品收入</v>
          </cell>
          <cell r="I3652" t="b">
            <v>0</v>
          </cell>
          <cell r="J3652">
            <v>5172069.9800000004</v>
          </cell>
          <cell r="K3652">
            <v>0</v>
          </cell>
          <cell r="L3652">
            <v>0</v>
          </cell>
        </row>
        <row r="3653">
          <cell r="A3653" t="str">
            <v>03</v>
          </cell>
          <cell r="B3653" t="str">
            <v>30</v>
          </cell>
          <cell r="C3653" t="str">
            <v>03</v>
          </cell>
          <cell r="D3653" t="str">
            <v>5</v>
          </cell>
          <cell r="E3653" t="str">
            <v>0030</v>
          </cell>
          <cell r="F3653" t="str">
            <v>0001</v>
          </cell>
          <cell r="G3653" t="str">
            <v>321</v>
          </cell>
          <cell r="H3653" t="str">
            <v>结转本月财务费用</v>
          </cell>
          <cell r="I3653" t="b">
            <v>1</v>
          </cell>
          <cell r="J3653">
            <v>202704.34</v>
          </cell>
          <cell r="K3653">
            <v>0</v>
          </cell>
          <cell r="L3653">
            <v>0</v>
          </cell>
        </row>
        <row r="3654">
          <cell r="A3654" t="str">
            <v>03</v>
          </cell>
          <cell r="B3654" t="str">
            <v>30</v>
          </cell>
          <cell r="C3654" t="str">
            <v>03</v>
          </cell>
          <cell r="D3654" t="str">
            <v>5</v>
          </cell>
          <cell r="E3654" t="str">
            <v>0031</v>
          </cell>
          <cell r="F3654" t="str">
            <v>0001</v>
          </cell>
          <cell r="G3654" t="str">
            <v>321</v>
          </cell>
          <cell r="H3654" t="str">
            <v>结转本月销售费用</v>
          </cell>
          <cell r="I3654" t="b">
            <v>1</v>
          </cell>
          <cell r="J3654">
            <v>247081.96</v>
          </cell>
          <cell r="K3654">
            <v>0</v>
          </cell>
          <cell r="L3654">
            <v>0</v>
          </cell>
        </row>
        <row r="3655">
          <cell r="A3655" t="str">
            <v>03</v>
          </cell>
          <cell r="B3655" t="str">
            <v>30</v>
          </cell>
          <cell r="C3655" t="str">
            <v>03</v>
          </cell>
          <cell r="D3655" t="str">
            <v>5</v>
          </cell>
          <cell r="E3655" t="str">
            <v>0032</v>
          </cell>
          <cell r="F3655" t="str">
            <v>0001</v>
          </cell>
          <cell r="G3655" t="str">
            <v>321</v>
          </cell>
          <cell r="H3655" t="str">
            <v>结转本月管理费用</v>
          </cell>
          <cell r="I3655" t="b">
            <v>1</v>
          </cell>
          <cell r="J3655">
            <v>56317.73</v>
          </cell>
          <cell r="K3655">
            <v>0</v>
          </cell>
          <cell r="L3655">
            <v>0</v>
          </cell>
        </row>
        <row r="3656">
          <cell r="A3656" t="str">
            <v>03</v>
          </cell>
          <cell r="B3656" t="str">
            <v>30</v>
          </cell>
          <cell r="C3656" t="str">
            <v>03</v>
          </cell>
          <cell r="D3656" t="str">
            <v>5</v>
          </cell>
          <cell r="E3656" t="str">
            <v>0033</v>
          </cell>
          <cell r="F3656" t="str">
            <v>0001</v>
          </cell>
          <cell r="G3656" t="str">
            <v>321</v>
          </cell>
          <cell r="H3656" t="str">
            <v>结转本月产品销售税金及附加</v>
          </cell>
          <cell r="I3656" t="b">
            <v>1</v>
          </cell>
          <cell r="J3656">
            <v>20</v>
          </cell>
          <cell r="K3656">
            <v>0</v>
          </cell>
          <cell r="L3656">
            <v>0</v>
          </cell>
        </row>
        <row r="3657">
          <cell r="A3657" t="str">
            <v>03</v>
          </cell>
          <cell r="B3657" t="str">
            <v>30</v>
          </cell>
          <cell r="C3657" t="str">
            <v>03</v>
          </cell>
          <cell r="D3657" t="str">
            <v>5</v>
          </cell>
          <cell r="E3657" t="str">
            <v>0034</v>
          </cell>
          <cell r="F3657" t="str">
            <v>0003</v>
          </cell>
          <cell r="G3657" t="str">
            <v>321</v>
          </cell>
          <cell r="H3657" t="str">
            <v>结转本月应交所得税</v>
          </cell>
          <cell r="I3657" t="b">
            <v>1</v>
          </cell>
          <cell r="J3657">
            <v>285225.34000000003</v>
          </cell>
          <cell r="K3657">
            <v>0</v>
          </cell>
          <cell r="L3657">
            <v>0</v>
          </cell>
        </row>
        <row r="3658">
          <cell r="A3658" t="str">
            <v>04</v>
          </cell>
          <cell r="B3658" t="str">
            <v>25</v>
          </cell>
          <cell r="C3658" t="str">
            <v>04</v>
          </cell>
          <cell r="D3658" t="str">
            <v>5</v>
          </cell>
          <cell r="E3658" t="str">
            <v>0023</v>
          </cell>
          <cell r="F3658" t="str">
            <v>0002</v>
          </cell>
          <cell r="G3658" t="str">
            <v>321</v>
          </cell>
          <cell r="H3658" t="str">
            <v>结转本月业务收入</v>
          </cell>
          <cell r="I3658" t="b">
            <v>0</v>
          </cell>
          <cell r="J3658">
            <v>1110989.3899999999</v>
          </cell>
          <cell r="K3658">
            <v>0</v>
          </cell>
          <cell r="L3658">
            <v>0</v>
          </cell>
        </row>
        <row r="3659">
          <cell r="A3659" t="str">
            <v>04</v>
          </cell>
          <cell r="B3659" t="str">
            <v>25</v>
          </cell>
          <cell r="C3659" t="str">
            <v>04</v>
          </cell>
          <cell r="D3659" t="str">
            <v>5</v>
          </cell>
          <cell r="E3659" t="str">
            <v>0023</v>
          </cell>
          <cell r="F3659" t="str">
            <v>0005</v>
          </cell>
          <cell r="G3659" t="str">
            <v>321</v>
          </cell>
          <cell r="H3659" t="str">
            <v>结转本月业务支出</v>
          </cell>
          <cell r="I3659" t="b">
            <v>1</v>
          </cell>
          <cell r="J3659">
            <v>1030152.15</v>
          </cell>
          <cell r="K3659">
            <v>0</v>
          </cell>
          <cell r="L3659">
            <v>0</v>
          </cell>
        </row>
        <row r="3660">
          <cell r="A3660" t="str">
            <v>04</v>
          </cell>
          <cell r="B3660" t="str">
            <v>28</v>
          </cell>
          <cell r="C3660" t="str">
            <v>04</v>
          </cell>
          <cell r="D3660" t="str">
            <v>5</v>
          </cell>
          <cell r="E3660" t="str">
            <v>0034</v>
          </cell>
          <cell r="F3660" t="str">
            <v>0001</v>
          </cell>
          <cell r="G3660" t="str">
            <v>321</v>
          </cell>
          <cell r="H3660" t="str">
            <v>结转本月产品销售成本</v>
          </cell>
          <cell r="I3660" t="b">
            <v>1</v>
          </cell>
          <cell r="J3660">
            <v>3496859.88</v>
          </cell>
          <cell r="K3660">
            <v>0</v>
          </cell>
          <cell r="L3660">
            <v>0</v>
          </cell>
        </row>
        <row r="3661">
          <cell r="A3661" t="str">
            <v>04</v>
          </cell>
          <cell r="B3661" t="str">
            <v>29</v>
          </cell>
          <cell r="C3661" t="str">
            <v>04</v>
          </cell>
          <cell r="D3661" t="str">
            <v>5</v>
          </cell>
          <cell r="E3661" t="str">
            <v>0035</v>
          </cell>
          <cell r="F3661" t="str">
            <v>0004</v>
          </cell>
          <cell r="G3661" t="str">
            <v>321</v>
          </cell>
          <cell r="H3661" t="str">
            <v>结转本月产品收入</v>
          </cell>
          <cell r="I3661" t="b">
            <v>0</v>
          </cell>
          <cell r="J3661">
            <v>5748326.75</v>
          </cell>
          <cell r="K3661">
            <v>0</v>
          </cell>
          <cell r="L3661">
            <v>0</v>
          </cell>
        </row>
        <row r="3662">
          <cell r="A3662" t="str">
            <v>04</v>
          </cell>
          <cell r="B3662" t="str">
            <v>29</v>
          </cell>
          <cell r="C3662" t="str">
            <v>04</v>
          </cell>
          <cell r="D3662" t="str">
            <v>5</v>
          </cell>
          <cell r="E3662" t="str">
            <v>0036</v>
          </cell>
          <cell r="F3662" t="str">
            <v>0001</v>
          </cell>
          <cell r="G3662" t="str">
            <v>321</v>
          </cell>
          <cell r="H3662" t="str">
            <v>结转本月财务费用</v>
          </cell>
          <cell r="I3662" t="b">
            <v>1</v>
          </cell>
          <cell r="J3662">
            <v>148082.26999999999</v>
          </cell>
          <cell r="K3662">
            <v>0</v>
          </cell>
          <cell r="L3662">
            <v>0</v>
          </cell>
        </row>
        <row r="3663">
          <cell r="A3663" t="str">
            <v>04</v>
          </cell>
          <cell r="B3663" t="str">
            <v>29</v>
          </cell>
          <cell r="C3663" t="str">
            <v>04</v>
          </cell>
          <cell r="D3663" t="str">
            <v>5</v>
          </cell>
          <cell r="E3663" t="str">
            <v>0037</v>
          </cell>
          <cell r="F3663" t="str">
            <v>0001</v>
          </cell>
          <cell r="G3663" t="str">
            <v>321</v>
          </cell>
          <cell r="H3663" t="str">
            <v>结转本月销售费用</v>
          </cell>
          <cell r="I3663" t="b">
            <v>1</v>
          </cell>
          <cell r="J3663">
            <v>694373.28</v>
          </cell>
          <cell r="K3663">
            <v>0</v>
          </cell>
          <cell r="L3663">
            <v>0</v>
          </cell>
        </row>
        <row r="3664">
          <cell r="A3664" t="str">
            <v>04</v>
          </cell>
          <cell r="B3664" t="str">
            <v>29</v>
          </cell>
          <cell r="C3664" t="str">
            <v>04</v>
          </cell>
          <cell r="D3664" t="str">
            <v>5</v>
          </cell>
          <cell r="E3664" t="str">
            <v>0038</v>
          </cell>
          <cell r="F3664" t="str">
            <v>0001</v>
          </cell>
          <cell r="G3664" t="str">
            <v>321</v>
          </cell>
          <cell r="H3664" t="str">
            <v>结转本月管理费用</v>
          </cell>
          <cell r="I3664" t="b">
            <v>1</v>
          </cell>
          <cell r="J3664">
            <v>29570.02</v>
          </cell>
          <cell r="K3664">
            <v>0</v>
          </cell>
          <cell r="L3664">
            <v>0</v>
          </cell>
        </row>
        <row r="3665">
          <cell r="A3665" t="str">
            <v>04</v>
          </cell>
          <cell r="B3665" t="str">
            <v>29</v>
          </cell>
          <cell r="C3665" t="str">
            <v>04</v>
          </cell>
          <cell r="D3665" t="str">
            <v>5</v>
          </cell>
          <cell r="E3665" t="str">
            <v>0039</v>
          </cell>
          <cell r="F3665" t="str">
            <v>0001</v>
          </cell>
          <cell r="G3665" t="str">
            <v>321</v>
          </cell>
          <cell r="H3665" t="str">
            <v>结转本月产品销售税金及附加</v>
          </cell>
          <cell r="I3665" t="b">
            <v>1</v>
          </cell>
          <cell r="J3665">
            <v>31.97</v>
          </cell>
          <cell r="K3665">
            <v>0</v>
          </cell>
          <cell r="L3665">
            <v>0</v>
          </cell>
        </row>
        <row r="3666">
          <cell r="A3666" t="str">
            <v>04</v>
          </cell>
          <cell r="B3666" t="str">
            <v>29</v>
          </cell>
          <cell r="C3666" t="str">
            <v>04</v>
          </cell>
          <cell r="D3666" t="str">
            <v>5</v>
          </cell>
          <cell r="E3666" t="str">
            <v>0040</v>
          </cell>
          <cell r="F3666" t="str">
            <v>0003</v>
          </cell>
          <cell r="G3666" t="str">
            <v>321</v>
          </cell>
          <cell r="H3666" t="str">
            <v>结转本月应交所得税</v>
          </cell>
          <cell r="I3666" t="b">
            <v>1</v>
          </cell>
          <cell r="J3666">
            <v>481881.37</v>
          </cell>
          <cell r="K3666">
            <v>0</v>
          </cell>
          <cell r="L3666">
            <v>0</v>
          </cell>
        </row>
        <row r="3667">
          <cell r="A3667" t="str">
            <v>05</v>
          </cell>
          <cell r="B3667" t="str">
            <v>29</v>
          </cell>
          <cell r="C3667" t="str">
            <v>05</v>
          </cell>
          <cell r="D3667" t="str">
            <v>5</v>
          </cell>
          <cell r="E3667" t="str">
            <v>0033</v>
          </cell>
          <cell r="F3667" t="str">
            <v>0002</v>
          </cell>
          <cell r="G3667" t="str">
            <v>321</v>
          </cell>
          <cell r="H3667" t="str">
            <v>结转本月业务收入</v>
          </cell>
          <cell r="I3667" t="b">
            <v>0</v>
          </cell>
          <cell r="J3667">
            <v>119429.65</v>
          </cell>
          <cell r="K3667">
            <v>0</v>
          </cell>
          <cell r="L3667">
            <v>0</v>
          </cell>
        </row>
        <row r="3668">
          <cell r="A3668" t="str">
            <v>05</v>
          </cell>
          <cell r="B3668" t="str">
            <v>29</v>
          </cell>
          <cell r="C3668" t="str">
            <v>05</v>
          </cell>
          <cell r="D3668" t="str">
            <v>5</v>
          </cell>
          <cell r="E3668" t="str">
            <v>0033</v>
          </cell>
          <cell r="F3668" t="str">
            <v>0005</v>
          </cell>
          <cell r="G3668" t="str">
            <v>321</v>
          </cell>
          <cell r="H3668" t="str">
            <v>结转本月业务支出</v>
          </cell>
          <cell r="I3668" t="b">
            <v>1</v>
          </cell>
          <cell r="J3668">
            <v>100860.42</v>
          </cell>
          <cell r="K3668">
            <v>0</v>
          </cell>
          <cell r="L3668">
            <v>0</v>
          </cell>
        </row>
        <row r="3669">
          <cell r="A3669" t="str">
            <v>05</v>
          </cell>
          <cell r="B3669" t="str">
            <v>29</v>
          </cell>
          <cell r="C3669" t="str">
            <v>05</v>
          </cell>
          <cell r="D3669" t="str">
            <v>5</v>
          </cell>
          <cell r="E3669" t="str">
            <v>0035</v>
          </cell>
          <cell r="F3669" t="str">
            <v>0001</v>
          </cell>
          <cell r="G3669" t="str">
            <v>321</v>
          </cell>
          <cell r="H3669" t="str">
            <v>结转本月产品销售成本</v>
          </cell>
          <cell r="I3669" t="b">
            <v>1</v>
          </cell>
          <cell r="J3669">
            <v>5159060.92</v>
          </cell>
          <cell r="K3669">
            <v>0</v>
          </cell>
          <cell r="L3669">
            <v>0</v>
          </cell>
        </row>
        <row r="3670">
          <cell r="A3670" t="str">
            <v>05</v>
          </cell>
          <cell r="B3670" t="str">
            <v>31</v>
          </cell>
          <cell r="C3670" t="str">
            <v>05</v>
          </cell>
          <cell r="D3670" t="str">
            <v>5</v>
          </cell>
          <cell r="E3670" t="str">
            <v>0036</v>
          </cell>
          <cell r="F3670" t="str">
            <v>0002</v>
          </cell>
          <cell r="G3670" t="str">
            <v>321</v>
          </cell>
          <cell r="H3670" t="str">
            <v>结转本月产品收入</v>
          </cell>
          <cell r="I3670" t="b">
            <v>0</v>
          </cell>
          <cell r="J3670">
            <v>7585806.5700000003</v>
          </cell>
          <cell r="K3670">
            <v>0</v>
          </cell>
          <cell r="L3670">
            <v>0</v>
          </cell>
        </row>
        <row r="3671">
          <cell r="A3671" t="str">
            <v>05</v>
          </cell>
          <cell r="B3671" t="str">
            <v>31</v>
          </cell>
          <cell r="C3671" t="str">
            <v>05</v>
          </cell>
          <cell r="D3671" t="str">
            <v>5</v>
          </cell>
          <cell r="E3671" t="str">
            <v>0037</v>
          </cell>
          <cell r="F3671" t="str">
            <v>0001</v>
          </cell>
          <cell r="G3671" t="str">
            <v>321</v>
          </cell>
          <cell r="H3671" t="str">
            <v>结转本月财务费用</v>
          </cell>
          <cell r="I3671" t="b">
            <v>1</v>
          </cell>
          <cell r="J3671">
            <v>70730.039999999994</v>
          </cell>
          <cell r="K3671">
            <v>0</v>
          </cell>
          <cell r="L3671">
            <v>0</v>
          </cell>
        </row>
        <row r="3672">
          <cell r="A3672" t="str">
            <v>05</v>
          </cell>
          <cell r="B3672" t="str">
            <v>31</v>
          </cell>
          <cell r="C3672" t="str">
            <v>05</v>
          </cell>
          <cell r="D3672" t="str">
            <v>5</v>
          </cell>
          <cell r="E3672" t="str">
            <v>0038</v>
          </cell>
          <cell r="F3672" t="str">
            <v>0001</v>
          </cell>
          <cell r="G3672" t="str">
            <v>321</v>
          </cell>
          <cell r="H3672" t="str">
            <v>结转本月销售费用</v>
          </cell>
          <cell r="I3672" t="b">
            <v>1</v>
          </cell>
          <cell r="J3672">
            <v>-166204.48000000001</v>
          </cell>
          <cell r="K3672">
            <v>0</v>
          </cell>
          <cell r="L3672">
            <v>0</v>
          </cell>
        </row>
        <row r="3673">
          <cell r="A3673" t="str">
            <v>05</v>
          </cell>
          <cell r="B3673" t="str">
            <v>31</v>
          </cell>
          <cell r="C3673" t="str">
            <v>05</v>
          </cell>
          <cell r="D3673" t="str">
            <v>5</v>
          </cell>
          <cell r="E3673" t="str">
            <v>0039</v>
          </cell>
          <cell r="F3673" t="str">
            <v>0001</v>
          </cell>
          <cell r="G3673" t="str">
            <v>321</v>
          </cell>
          <cell r="H3673" t="str">
            <v>结转本月管理费用</v>
          </cell>
          <cell r="I3673" t="b">
            <v>1</v>
          </cell>
          <cell r="J3673">
            <v>12079</v>
          </cell>
          <cell r="K3673">
            <v>0</v>
          </cell>
          <cell r="L3673">
            <v>0</v>
          </cell>
        </row>
        <row r="3674">
          <cell r="A3674" t="str">
            <v>05</v>
          </cell>
          <cell r="B3674" t="str">
            <v>31</v>
          </cell>
          <cell r="C3674" t="str">
            <v>05</v>
          </cell>
          <cell r="D3674" t="str">
            <v>5</v>
          </cell>
          <cell r="E3674" t="str">
            <v>0040</v>
          </cell>
          <cell r="F3674" t="str">
            <v>0002</v>
          </cell>
          <cell r="G3674" t="str">
            <v>321</v>
          </cell>
          <cell r="H3674" t="str">
            <v>结转营业外收入</v>
          </cell>
          <cell r="I3674" t="b">
            <v>0</v>
          </cell>
          <cell r="J3674">
            <v>100</v>
          </cell>
          <cell r="K3674">
            <v>0</v>
          </cell>
          <cell r="L3674">
            <v>0</v>
          </cell>
        </row>
        <row r="3675">
          <cell r="A3675" t="str">
            <v>05</v>
          </cell>
          <cell r="B3675" t="str">
            <v>31</v>
          </cell>
          <cell r="C3675" t="str">
            <v>05</v>
          </cell>
          <cell r="D3675" t="str">
            <v>5</v>
          </cell>
          <cell r="E3675" t="str">
            <v>0041</v>
          </cell>
          <cell r="F3675" t="str">
            <v>0003</v>
          </cell>
          <cell r="G3675" t="str">
            <v>321</v>
          </cell>
          <cell r="H3675" t="str">
            <v>结转本月应交所得税</v>
          </cell>
          <cell r="I3675" t="b">
            <v>1</v>
          </cell>
          <cell r="J3675">
            <v>834507.41</v>
          </cell>
          <cell r="K3675">
            <v>0</v>
          </cell>
          <cell r="L3675">
            <v>0</v>
          </cell>
        </row>
        <row r="3676">
          <cell r="A3676" t="str">
            <v>06</v>
          </cell>
          <cell r="B3676" t="str">
            <v>16</v>
          </cell>
          <cell r="C3676" t="str">
            <v>06</v>
          </cell>
          <cell r="D3676" t="str">
            <v>5</v>
          </cell>
          <cell r="E3676" t="str">
            <v>0006</v>
          </cell>
          <cell r="F3676" t="str">
            <v>0002</v>
          </cell>
          <cell r="G3676" t="str">
            <v>321</v>
          </cell>
          <cell r="H3676" t="str">
            <v>结转本月业务收入</v>
          </cell>
          <cell r="I3676" t="b">
            <v>0</v>
          </cell>
          <cell r="J3676">
            <v>19221.54</v>
          </cell>
          <cell r="K3676">
            <v>0</v>
          </cell>
          <cell r="L3676">
            <v>0</v>
          </cell>
        </row>
        <row r="3677">
          <cell r="A3677" t="str">
            <v>06</v>
          </cell>
          <cell r="B3677" t="str">
            <v>25</v>
          </cell>
          <cell r="C3677" t="str">
            <v>06</v>
          </cell>
          <cell r="D3677" t="str">
            <v>5</v>
          </cell>
          <cell r="E3677" t="str">
            <v>0024</v>
          </cell>
          <cell r="F3677" t="str">
            <v>0002</v>
          </cell>
          <cell r="G3677" t="str">
            <v>321</v>
          </cell>
          <cell r="H3677" t="str">
            <v>结转本月产品收入</v>
          </cell>
          <cell r="I3677" t="b">
            <v>0</v>
          </cell>
          <cell r="J3677">
            <v>2553416.98</v>
          </cell>
          <cell r="K3677">
            <v>0</v>
          </cell>
          <cell r="L3677">
            <v>0</v>
          </cell>
        </row>
        <row r="3678">
          <cell r="A3678" t="str">
            <v>06</v>
          </cell>
          <cell r="B3678" t="str">
            <v>25</v>
          </cell>
          <cell r="C3678" t="str">
            <v>06</v>
          </cell>
          <cell r="D3678" t="str">
            <v>5</v>
          </cell>
          <cell r="E3678" t="str">
            <v>0025</v>
          </cell>
          <cell r="F3678" t="str">
            <v>0001</v>
          </cell>
          <cell r="G3678" t="str">
            <v>321</v>
          </cell>
          <cell r="H3678" t="str">
            <v>结转本月产品销售成本</v>
          </cell>
          <cell r="I3678" t="b">
            <v>1</v>
          </cell>
          <cell r="J3678">
            <v>1640803.43</v>
          </cell>
          <cell r="K3678">
            <v>0</v>
          </cell>
          <cell r="L3678">
            <v>0</v>
          </cell>
        </row>
        <row r="3679">
          <cell r="A3679" t="str">
            <v>06</v>
          </cell>
          <cell r="B3679" t="str">
            <v>25</v>
          </cell>
          <cell r="C3679" t="str">
            <v>06</v>
          </cell>
          <cell r="D3679" t="str">
            <v>5</v>
          </cell>
          <cell r="E3679" t="str">
            <v>0026</v>
          </cell>
          <cell r="F3679" t="str">
            <v>0001</v>
          </cell>
          <cell r="G3679" t="str">
            <v>321</v>
          </cell>
          <cell r="H3679" t="str">
            <v>结转本月财务费用</v>
          </cell>
          <cell r="I3679" t="b">
            <v>1</v>
          </cell>
          <cell r="J3679">
            <v>6846.57</v>
          </cell>
          <cell r="K3679">
            <v>0</v>
          </cell>
          <cell r="L3679">
            <v>0</v>
          </cell>
        </row>
        <row r="3680">
          <cell r="A3680" t="str">
            <v>06</v>
          </cell>
          <cell r="B3680" t="str">
            <v>25</v>
          </cell>
          <cell r="C3680" t="str">
            <v>06</v>
          </cell>
          <cell r="D3680" t="str">
            <v>5</v>
          </cell>
          <cell r="E3680" t="str">
            <v>0027</v>
          </cell>
          <cell r="F3680" t="str">
            <v>0001</v>
          </cell>
          <cell r="G3680" t="str">
            <v>321</v>
          </cell>
          <cell r="H3680" t="str">
            <v>结转本月销售费用</v>
          </cell>
          <cell r="I3680" t="b">
            <v>1</v>
          </cell>
          <cell r="J3680">
            <v>613958.55000000005</v>
          </cell>
          <cell r="K3680">
            <v>0</v>
          </cell>
          <cell r="L3680">
            <v>0</v>
          </cell>
        </row>
        <row r="3681">
          <cell r="A3681" t="str">
            <v>06</v>
          </cell>
          <cell r="B3681" t="str">
            <v>25</v>
          </cell>
          <cell r="C3681" t="str">
            <v>06</v>
          </cell>
          <cell r="D3681" t="str">
            <v>5</v>
          </cell>
          <cell r="E3681" t="str">
            <v>0028</v>
          </cell>
          <cell r="F3681" t="str">
            <v>0001</v>
          </cell>
          <cell r="G3681" t="str">
            <v>321</v>
          </cell>
          <cell r="H3681" t="str">
            <v>结转本月管理费用</v>
          </cell>
          <cell r="I3681" t="b">
            <v>1</v>
          </cell>
          <cell r="J3681">
            <v>32159.73</v>
          </cell>
          <cell r="K3681">
            <v>0</v>
          </cell>
          <cell r="L3681">
            <v>0</v>
          </cell>
        </row>
        <row r="3682">
          <cell r="A3682" t="str">
            <v>06</v>
          </cell>
          <cell r="B3682" t="str">
            <v>25</v>
          </cell>
          <cell r="C3682" t="str">
            <v>06</v>
          </cell>
          <cell r="D3682" t="str">
            <v>5</v>
          </cell>
          <cell r="E3682" t="str">
            <v>0029</v>
          </cell>
          <cell r="F3682" t="str">
            <v>0002</v>
          </cell>
          <cell r="G3682" t="str">
            <v>321</v>
          </cell>
          <cell r="H3682" t="str">
            <v>结转本月营业务收入</v>
          </cell>
          <cell r="I3682" t="b">
            <v>0</v>
          </cell>
          <cell r="J3682">
            <v>150</v>
          </cell>
          <cell r="K3682">
            <v>0</v>
          </cell>
          <cell r="L3682">
            <v>0</v>
          </cell>
        </row>
        <row r="3683">
          <cell r="A3683" t="str">
            <v>06</v>
          </cell>
          <cell r="B3683" t="str">
            <v>25</v>
          </cell>
          <cell r="C3683" t="str">
            <v>06</v>
          </cell>
          <cell r="D3683" t="str">
            <v>5</v>
          </cell>
          <cell r="E3683" t="str">
            <v>0030</v>
          </cell>
          <cell r="F3683" t="str">
            <v>0003</v>
          </cell>
          <cell r="G3683" t="str">
            <v>321</v>
          </cell>
          <cell r="H3683" t="str">
            <v>结转本月应交所得税</v>
          </cell>
          <cell r="I3683" t="b">
            <v>1</v>
          </cell>
          <cell r="J3683">
            <v>92076.68</v>
          </cell>
          <cell r="K3683">
            <v>0</v>
          </cell>
          <cell r="L3683">
            <v>0</v>
          </cell>
        </row>
        <row r="3684">
          <cell r="A3684" t="str">
            <v>07</v>
          </cell>
          <cell r="B3684" t="str">
            <v>24</v>
          </cell>
          <cell r="C3684" t="str">
            <v>07</v>
          </cell>
          <cell r="D3684" t="str">
            <v>5</v>
          </cell>
          <cell r="E3684" t="str">
            <v>0005</v>
          </cell>
          <cell r="F3684" t="str">
            <v>0006</v>
          </cell>
          <cell r="G3684" t="str">
            <v>321</v>
          </cell>
          <cell r="H3684" t="str">
            <v>结转99年度投资收益</v>
          </cell>
          <cell r="I3684" t="b">
            <v>0</v>
          </cell>
          <cell r="J3684">
            <v>9357429.7799999993</v>
          </cell>
          <cell r="K3684">
            <v>0</v>
          </cell>
          <cell r="L3684">
            <v>0</v>
          </cell>
        </row>
        <row r="3685">
          <cell r="A3685" t="str">
            <v>07</v>
          </cell>
          <cell r="B3685" t="str">
            <v>24</v>
          </cell>
          <cell r="C3685" t="str">
            <v>07</v>
          </cell>
          <cell r="D3685" t="str">
            <v>5</v>
          </cell>
          <cell r="E3685" t="str">
            <v>0005</v>
          </cell>
          <cell r="F3685" t="str">
            <v>0007</v>
          </cell>
          <cell r="G3685" t="str">
            <v>321</v>
          </cell>
          <cell r="H3685" t="str">
            <v>99年度投资收益转入利润分配</v>
          </cell>
          <cell r="I3685" t="b">
            <v>1</v>
          </cell>
          <cell r="J3685">
            <v>9357429.7799999993</v>
          </cell>
          <cell r="K3685">
            <v>0</v>
          </cell>
          <cell r="L3685">
            <v>0</v>
          </cell>
        </row>
        <row r="3686">
          <cell r="A3686" t="str">
            <v>07</v>
          </cell>
          <cell r="B3686" t="str">
            <v>28</v>
          </cell>
          <cell r="C3686" t="str">
            <v>07</v>
          </cell>
          <cell r="D3686" t="str">
            <v>5</v>
          </cell>
          <cell r="E3686" t="str">
            <v>0036</v>
          </cell>
          <cell r="F3686" t="str">
            <v>0004</v>
          </cell>
          <cell r="G3686" t="str">
            <v>321</v>
          </cell>
          <cell r="H3686" t="str">
            <v>结转本月产品收入</v>
          </cell>
          <cell r="I3686" t="b">
            <v>0</v>
          </cell>
          <cell r="J3686">
            <v>1702856.44</v>
          </cell>
          <cell r="K3686">
            <v>0</v>
          </cell>
          <cell r="L3686">
            <v>0</v>
          </cell>
        </row>
        <row r="3687">
          <cell r="A3687" t="str">
            <v>07</v>
          </cell>
          <cell r="B3687" t="str">
            <v>28</v>
          </cell>
          <cell r="C3687" t="str">
            <v>07</v>
          </cell>
          <cell r="D3687" t="str">
            <v>5</v>
          </cell>
          <cell r="E3687" t="str">
            <v>0037</v>
          </cell>
          <cell r="F3687" t="str">
            <v>0002</v>
          </cell>
          <cell r="G3687" t="str">
            <v>321</v>
          </cell>
          <cell r="H3687" t="str">
            <v>结转营业外支出</v>
          </cell>
          <cell r="I3687" t="b">
            <v>1</v>
          </cell>
          <cell r="J3687">
            <v>516.11</v>
          </cell>
          <cell r="K3687">
            <v>0</v>
          </cell>
          <cell r="L3687">
            <v>0</v>
          </cell>
        </row>
        <row r="3688">
          <cell r="A3688" t="str">
            <v>07</v>
          </cell>
          <cell r="B3688" t="str">
            <v>28</v>
          </cell>
          <cell r="C3688" t="str">
            <v>07</v>
          </cell>
          <cell r="D3688" t="str">
            <v>5</v>
          </cell>
          <cell r="E3688" t="str">
            <v>0038</v>
          </cell>
          <cell r="F3688" t="str">
            <v>0002</v>
          </cell>
          <cell r="G3688" t="str">
            <v>321</v>
          </cell>
          <cell r="H3688" t="str">
            <v>结转本月业务收入</v>
          </cell>
          <cell r="I3688" t="b">
            <v>0</v>
          </cell>
          <cell r="J3688">
            <v>327987.7</v>
          </cell>
          <cell r="K3688">
            <v>0</v>
          </cell>
          <cell r="L3688">
            <v>0</v>
          </cell>
        </row>
        <row r="3689">
          <cell r="A3689" t="str">
            <v>07</v>
          </cell>
          <cell r="B3689" t="str">
            <v>28</v>
          </cell>
          <cell r="C3689" t="str">
            <v>07</v>
          </cell>
          <cell r="D3689" t="str">
            <v>5</v>
          </cell>
          <cell r="E3689" t="str">
            <v>0038</v>
          </cell>
          <cell r="F3689" t="str">
            <v>0005</v>
          </cell>
          <cell r="G3689" t="str">
            <v>321</v>
          </cell>
          <cell r="H3689" t="str">
            <v>结转本月业务支出</v>
          </cell>
          <cell r="I3689" t="b">
            <v>1</v>
          </cell>
          <cell r="J3689">
            <v>252053.04</v>
          </cell>
          <cell r="K3689">
            <v>0</v>
          </cell>
          <cell r="L3689">
            <v>0</v>
          </cell>
        </row>
        <row r="3690">
          <cell r="A3690" t="str">
            <v>07</v>
          </cell>
          <cell r="B3690" t="str">
            <v>28</v>
          </cell>
          <cell r="C3690" t="str">
            <v>07</v>
          </cell>
          <cell r="D3690" t="str">
            <v>5</v>
          </cell>
          <cell r="E3690" t="str">
            <v>0041</v>
          </cell>
          <cell r="F3690" t="str">
            <v>0001</v>
          </cell>
          <cell r="G3690" t="str">
            <v>321</v>
          </cell>
          <cell r="H3690" t="str">
            <v>结转本月产品销售成本</v>
          </cell>
          <cell r="I3690" t="b">
            <v>1</v>
          </cell>
          <cell r="J3690">
            <v>1116725.44</v>
          </cell>
          <cell r="K3690">
            <v>0</v>
          </cell>
          <cell r="L3690">
            <v>0</v>
          </cell>
        </row>
        <row r="3691">
          <cell r="A3691" t="str">
            <v>07</v>
          </cell>
          <cell r="B3691" t="str">
            <v>29</v>
          </cell>
          <cell r="C3691" t="str">
            <v>07</v>
          </cell>
          <cell r="D3691" t="str">
            <v>5</v>
          </cell>
          <cell r="E3691" t="str">
            <v>0042</v>
          </cell>
          <cell r="F3691" t="str">
            <v>0001</v>
          </cell>
          <cell r="G3691" t="str">
            <v>321</v>
          </cell>
          <cell r="H3691" t="str">
            <v>结转本月财务费用</v>
          </cell>
          <cell r="I3691" t="b">
            <v>1</v>
          </cell>
          <cell r="J3691">
            <v>130409.95</v>
          </cell>
          <cell r="K3691">
            <v>0</v>
          </cell>
          <cell r="L3691">
            <v>0</v>
          </cell>
        </row>
        <row r="3692">
          <cell r="A3692" t="str">
            <v>07</v>
          </cell>
          <cell r="B3692" t="str">
            <v>29</v>
          </cell>
          <cell r="C3692" t="str">
            <v>07</v>
          </cell>
          <cell r="D3692" t="str">
            <v>5</v>
          </cell>
          <cell r="E3692" t="str">
            <v>0043</v>
          </cell>
          <cell r="F3692" t="str">
            <v>0001</v>
          </cell>
          <cell r="G3692" t="str">
            <v>321</v>
          </cell>
          <cell r="H3692" t="str">
            <v>结转本月销售费用</v>
          </cell>
          <cell r="I3692" t="b">
            <v>1</v>
          </cell>
          <cell r="J3692">
            <v>-90750.720000000001</v>
          </cell>
          <cell r="K3692">
            <v>0</v>
          </cell>
          <cell r="L3692">
            <v>0</v>
          </cell>
        </row>
        <row r="3693">
          <cell r="A3693" t="str">
            <v>07</v>
          </cell>
          <cell r="B3693" t="str">
            <v>29</v>
          </cell>
          <cell r="C3693" t="str">
            <v>07</v>
          </cell>
          <cell r="D3693" t="str">
            <v>5</v>
          </cell>
          <cell r="E3693" t="str">
            <v>0044</v>
          </cell>
          <cell r="F3693" t="str">
            <v>0001</v>
          </cell>
          <cell r="G3693" t="str">
            <v>321</v>
          </cell>
          <cell r="H3693" t="str">
            <v>结转本月管理费用</v>
          </cell>
          <cell r="I3693" t="b">
            <v>1</v>
          </cell>
          <cell r="J3693">
            <v>12079</v>
          </cell>
          <cell r="K3693">
            <v>0</v>
          </cell>
          <cell r="L3693">
            <v>0</v>
          </cell>
        </row>
        <row r="3694">
          <cell r="A3694" t="str">
            <v>07</v>
          </cell>
          <cell r="B3694" t="str">
            <v>29</v>
          </cell>
          <cell r="C3694" t="str">
            <v>07</v>
          </cell>
          <cell r="D3694" t="str">
            <v>5</v>
          </cell>
          <cell r="E3694" t="str">
            <v>0045</v>
          </cell>
          <cell r="F3694" t="str">
            <v>0003</v>
          </cell>
          <cell r="G3694" t="str">
            <v>321</v>
          </cell>
          <cell r="H3694" t="str">
            <v>结转本月应交所得税</v>
          </cell>
          <cell r="I3694" t="b">
            <v>1</v>
          </cell>
          <cell r="J3694">
            <v>201237.74</v>
          </cell>
          <cell r="K3694">
            <v>0</v>
          </cell>
          <cell r="L3694">
            <v>0</v>
          </cell>
        </row>
        <row r="3695">
          <cell r="A3695" t="str">
            <v>08</v>
          </cell>
          <cell r="B3695" t="str">
            <v>28</v>
          </cell>
          <cell r="C3695" t="str">
            <v>08</v>
          </cell>
          <cell r="D3695" t="str">
            <v>5</v>
          </cell>
          <cell r="E3695" t="str">
            <v>0030</v>
          </cell>
          <cell r="F3695" t="str">
            <v>0002</v>
          </cell>
          <cell r="G3695" t="str">
            <v>321</v>
          </cell>
          <cell r="H3695" t="str">
            <v>结转本月业务收入</v>
          </cell>
          <cell r="I3695" t="b">
            <v>0</v>
          </cell>
          <cell r="J3695">
            <v>1036803.59</v>
          </cell>
          <cell r="K3695">
            <v>0</v>
          </cell>
          <cell r="L3695">
            <v>0</v>
          </cell>
        </row>
        <row r="3696">
          <cell r="A3696" t="str">
            <v>08</v>
          </cell>
          <cell r="B3696" t="str">
            <v>28</v>
          </cell>
          <cell r="C3696" t="str">
            <v>08</v>
          </cell>
          <cell r="D3696" t="str">
            <v>5</v>
          </cell>
          <cell r="E3696" t="str">
            <v>0030</v>
          </cell>
          <cell r="F3696" t="str">
            <v>0005</v>
          </cell>
          <cell r="G3696" t="str">
            <v>321</v>
          </cell>
          <cell r="H3696" t="str">
            <v>结转本月业务支出</v>
          </cell>
          <cell r="I3696" t="b">
            <v>1</v>
          </cell>
          <cell r="J3696">
            <v>856606.9</v>
          </cell>
          <cell r="K3696">
            <v>0</v>
          </cell>
          <cell r="L3696">
            <v>0</v>
          </cell>
        </row>
        <row r="3697">
          <cell r="A3697" t="str">
            <v>08</v>
          </cell>
          <cell r="B3697" t="str">
            <v>31</v>
          </cell>
          <cell r="C3697" t="str">
            <v>08</v>
          </cell>
          <cell r="D3697" t="str">
            <v>5</v>
          </cell>
          <cell r="E3697" t="str">
            <v>0032</v>
          </cell>
          <cell r="F3697" t="str">
            <v>0004</v>
          </cell>
          <cell r="G3697" t="str">
            <v>321</v>
          </cell>
          <cell r="H3697" t="str">
            <v>结转本月产品收入</v>
          </cell>
          <cell r="I3697" t="b">
            <v>0</v>
          </cell>
          <cell r="J3697">
            <v>7284568.7300000004</v>
          </cell>
          <cell r="K3697">
            <v>0</v>
          </cell>
          <cell r="L3697">
            <v>0</v>
          </cell>
        </row>
        <row r="3698">
          <cell r="A3698" t="str">
            <v>08</v>
          </cell>
          <cell r="B3698" t="str">
            <v>31</v>
          </cell>
          <cell r="C3698" t="str">
            <v>08</v>
          </cell>
          <cell r="D3698" t="str">
            <v>5</v>
          </cell>
          <cell r="E3698" t="str">
            <v>0033</v>
          </cell>
          <cell r="F3698" t="str">
            <v>0001</v>
          </cell>
          <cell r="G3698" t="str">
            <v>321</v>
          </cell>
          <cell r="H3698" t="str">
            <v>转本月财务费用</v>
          </cell>
          <cell r="I3698" t="b">
            <v>1</v>
          </cell>
          <cell r="J3698">
            <v>66428.929999999993</v>
          </cell>
          <cell r="K3698">
            <v>0</v>
          </cell>
          <cell r="L3698">
            <v>0</v>
          </cell>
        </row>
        <row r="3699">
          <cell r="A3699" t="str">
            <v>08</v>
          </cell>
          <cell r="B3699" t="str">
            <v>31</v>
          </cell>
          <cell r="C3699" t="str">
            <v>08</v>
          </cell>
          <cell r="D3699" t="str">
            <v>5</v>
          </cell>
          <cell r="E3699" t="str">
            <v>0034</v>
          </cell>
          <cell r="F3699" t="str">
            <v>0001</v>
          </cell>
          <cell r="G3699" t="str">
            <v>321</v>
          </cell>
          <cell r="H3699" t="str">
            <v>转本月销售费用</v>
          </cell>
          <cell r="I3699" t="b">
            <v>1</v>
          </cell>
          <cell r="J3699">
            <v>131220.63</v>
          </cell>
          <cell r="K3699">
            <v>0</v>
          </cell>
          <cell r="L3699">
            <v>0</v>
          </cell>
        </row>
        <row r="3700">
          <cell r="A3700" t="str">
            <v>08</v>
          </cell>
          <cell r="B3700" t="str">
            <v>31</v>
          </cell>
          <cell r="C3700" t="str">
            <v>08</v>
          </cell>
          <cell r="D3700" t="str">
            <v>5</v>
          </cell>
          <cell r="E3700" t="str">
            <v>0035</v>
          </cell>
          <cell r="F3700" t="str">
            <v>0001</v>
          </cell>
          <cell r="G3700" t="str">
            <v>321</v>
          </cell>
          <cell r="H3700" t="str">
            <v>转本月管理费用</v>
          </cell>
          <cell r="I3700" t="b">
            <v>1</v>
          </cell>
          <cell r="J3700">
            <v>109272.58</v>
          </cell>
          <cell r="K3700">
            <v>0</v>
          </cell>
          <cell r="L3700">
            <v>0</v>
          </cell>
        </row>
        <row r="3701">
          <cell r="A3701" t="str">
            <v>08</v>
          </cell>
          <cell r="B3701" t="str">
            <v>31</v>
          </cell>
          <cell r="C3701" t="str">
            <v>08</v>
          </cell>
          <cell r="D3701" t="str">
            <v>5</v>
          </cell>
          <cell r="E3701" t="str">
            <v>0036</v>
          </cell>
          <cell r="F3701" t="str">
            <v>0001</v>
          </cell>
          <cell r="G3701" t="str">
            <v>321</v>
          </cell>
          <cell r="H3701" t="str">
            <v>结转本月销售成本</v>
          </cell>
          <cell r="I3701" t="b">
            <v>1</v>
          </cell>
          <cell r="J3701">
            <v>4441470.2699999996</v>
          </cell>
          <cell r="K3701">
            <v>0</v>
          </cell>
          <cell r="L3701">
            <v>0</v>
          </cell>
        </row>
        <row r="3702">
          <cell r="A3702" t="str">
            <v>08</v>
          </cell>
          <cell r="B3702" t="str">
            <v>31</v>
          </cell>
          <cell r="C3702" t="str">
            <v>08</v>
          </cell>
          <cell r="D3702" t="str">
            <v>5</v>
          </cell>
          <cell r="E3702" t="str">
            <v>0037</v>
          </cell>
          <cell r="F3702" t="str">
            <v>0003</v>
          </cell>
          <cell r="G3702" t="str">
            <v>321</v>
          </cell>
          <cell r="H3702" t="str">
            <v>结转本月应交所得税</v>
          </cell>
          <cell r="I3702" t="b">
            <v>1</v>
          </cell>
          <cell r="J3702">
            <v>896403.09</v>
          </cell>
          <cell r="K3702">
            <v>0</v>
          </cell>
          <cell r="L3702">
            <v>0</v>
          </cell>
        </row>
        <row r="3703">
          <cell r="A3703" t="str">
            <v>09</v>
          </cell>
          <cell r="B3703" t="str">
            <v>28</v>
          </cell>
          <cell r="C3703" t="str">
            <v>09</v>
          </cell>
          <cell r="D3703" t="str">
            <v>5</v>
          </cell>
          <cell r="E3703" t="str">
            <v>0025</v>
          </cell>
          <cell r="F3703" t="str">
            <v>0002</v>
          </cell>
          <cell r="G3703" t="str">
            <v>321</v>
          </cell>
          <cell r="H3703" t="str">
            <v>结转本月业务收入</v>
          </cell>
          <cell r="I3703" t="b">
            <v>0</v>
          </cell>
          <cell r="J3703">
            <v>1989540.28</v>
          </cell>
          <cell r="K3703">
            <v>0</v>
          </cell>
          <cell r="L3703">
            <v>0</v>
          </cell>
        </row>
        <row r="3704">
          <cell r="A3704" t="str">
            <v>09</v>
          </cell>
          <cell r="B3704" t="str">
            <v>28</v>
          </cell>
          <cell r="C3704" t="str">
            <v>09</v>
          </cell>
          <cell r="D3704" t="str">
            <v>5</v>
          </cell>
          <cell r="E3704" t="str">
            <v>0025</v>
          </cell>
          <cell r="F3704" t="str">
            <v>0005</v>
          </cell>
          <cell r="G3704" t="str">
            <v>321</v>
          </cell>
          <cell r="H3704" t="str">
            <v>结转本月业务支出</v>
          </cell>
          <cell r="I3704" t="b">
            <v>1</v>
          </cell>
          <cell r="J3704">
            <v>1981097.2</v>
          </cell>
          <cell r="K3704">
            <v>0</v>
          </cell>
          <cell r="L3704">
            <v>0</v>
          </cell>
        </row>
        <row r="3705">
          <cell r="A3705" t="str">
            <v>09</v>
          </cell>
          <cell r="B3705" t="str">
            <v>30</v>
          </cell>
          <cell r="C3705" t="str">
            <v>09</v>
          </cell>
          <cell r="D3705" t="str">
            <v>5</v>
          </cell>
          <cell r="E3705" t="str">
            <v>0036</v>
          </cell>
          <cell r="F3705" t="str">
            <v>0001</v>
          </cell>
          <cell r="G3705" t="str">
            <v>321</v>
          </cell>
          <cell r="H3705" t="str">
            <v>结转本月销售成本</v>
          </cell>
          <cell r="I3705" t="b">
            <v>1</v>
          </cell>
          <cell r="J3705">
            <v>2834757.2</v>
          </cell>
          <cell r="K3705">
            <v>0</v>
          </cell>
          <cell r="L3705">
            <v>0</v>
          </cell>
        </row>
        <row r="3706">
          <cell r="A3706" t="str">
            <v>09</v>
          </cell>
          <cell r="B3706" t="str">
            <v>30</v>
          </cell>
          <cell r="C3706" t="str">
            <v>09</v>
          </cell>
          <cell r="D3706" t="str">
            <v>5</v>
          </cell>
          <cell r="E3706" t="str">
            <v>0037</v>
          </cell>
          <cell r="F3706" t="str">
            <v>0004</v>
          </cell>
          <cell r="G3706" t="str">
            <v>321</v>
          </cell>
          <cell r="H3706" t="str">
            <v>结转本月产品收入</v>
          </cell>
          <cell r="I3706" t="b">
            <v>0</v>
          </cell>
          <cell r="J3706">
            <v>4729682.22</v>
          </cell>
          <cell r="K3706">
            <v>0</v>
          </cell>
          <cell r="L3706">
            <v>0</v>
          </cell>
        </row>
        <row r="3707">
          <cell r="A3707" t="str">
            <v>09</v>
          </cell>
          <cell r="B3707" t="str">
            <v>30</v>
          </cell>
          <cell r="C3707" t="str">
            <v>09</v>
          </cell>
          <cell r="D3707" t="str">
            <v>5</v>
          </cell>
          <cell r="E3707" t="str">
            <v>0038</v>
          </cell>
          <cell r="F3707" t="str">
            <v>0001</v>
          </cell>
          <cell r="G3707" t="str">
            <v>321</v>
          </cell>
          <cell r="H3707" t="str">
            <v>结转本月财务费用</v>
          </cell>
          <cell r="I3707" t="b">
            <v>1</v>
          </cell>
          <cell r="J3707">
            <v>127978.64</v>
          </cell>
          <cell r="K3707">
            <v>0</v>
          </cell>
          <cell r="L3707">
            <v>0</v>
          </cell>
        </row>
        <row r="3708">
          <cell r="A3708" t="str">
            <v>09</v>
          </cell>
          <cell r="B3708" t="str">
            <v>30</v>
          </cell>
          <cell r="C3708" t="str">
            <v>09</v>
          </cell>
          <cell r="D3708" t="str">
            <v>5</v>
          </cell>
          <cell r="E3708" t="str">
            <v>0039</v>
          </cell>
          <cell r="F3708" t="str">
            <v>0001</v>
          </cell>
          <cell r="G3708" t="str">
            <v>321</v>
          </cell>
          <cell r="H3708" t="str">
            <v>结转本月销售费用</v>
          </cell>
          <cell r="I3708" t="b">
            <v>1</v>
          </cell>
          <cell r="J3708">
            <v>-502894.23</v>
          </cell>
          <cell r="K3708">
            <v>0</v>
          </cell>
          <cell r="L3708">
            <v>0</v>
          </cell>
        </row>
        <row r="3709">
          <cell r="A3709" t="str">
            <v>09</v>
          </cell>
          <cell r="B3709" t="str">
            <v>30</v>
          </cell>
          <cell r="C3709" t="str">
            <v>09</v>
          </cell>
          <cell r="D3709" t="str">
            <v>5</v>
          </cell>
          <cell r="E3709" t="str">
            <v>0040</v>
          </cell>
          <cell r="F3709" t="str">
            <v>0001</v>
          </cell>
          <cell r="G3709" t="str">
            <v>321</v>
          </cell>
          <cell r="H3709" t="str">
            <v>结转本月管理费用</v>
          </cell>
          <cell r="I3709" t="b">
            <v>1</v>
          </cell>
          <cell r="J3709">
            <v>267235.71999999997</v>
          </cell>
          <cell r="K3709">
            <v>0</v>
          </cell>
          <cell r="L3709">
            <v>0</v>
          </cell>
        </row>
        <row r="3710">
          <cell r="A3710" t="str">
            <v>09</v>
          </cell>
          <cell r="B3710" t="str">
            <v>30</v>
          </cell>
          <cell r="C3710" t="str">
            <v>09</v>
          </cell>
          <cell r="D3710" t="str">
            <v>5</v>
          </cell>
          <cell r="E3710" t="str">
            <v>0041</v>
          </cell>
          <cell r="F3710" t="str">
            <v>0003</v>
          </cell>
          <cell r="G3710" t="str">
            <v>321</v>
          </cell>
          <cell r="H3710" t="str">
            <v>结转本月应交所得税</v>
          </cell>
          <cell r="I3710" t="b">
            <v>1</v>
          </cell>
          <cell r="J3710">
            <v>663645.82999999996</v>
          </cell>
          <cell r="K3710">
            <v>0</v>
          </cell>
          <cell r="L3710">
            <v>0</v>
          </cell>
        </row>
        <row r="3711">
          <cell r="A3711" t="str">
            <v>10</v>
          </cell>
          <cell r="B3711" t="str">
            <v>28</v>
          </cell>
          <cell r="C3711" t="str">
            <v>10</v>
          </cell>
          <cell r="D3711" t="str">
            <v>5</v>
          </cell>
          <cell r="E3711" t="str">
            <v>0026</v>
          </cell>
          <cell r="F3711" t="str">
            <v>0002</v>
          </cell>
          <cell r="G3711" t="str">
            <v>321</v>
          </cell>
          <cell r="H3711" t="str">
            <v>结转本月业务收入</v>
          </cell>
          <cell r="I3711" t="b">
            <v>0</v>
          </cell>
          <cell r="J3711">
            <v>1270527.81</v>
          </cell>
          <cell r="K3711">
            <v>0</v>
          </cell>
          <cell r="L3711">
            <v>0</v>
          </cell>
        </row>
        <row r="3712">
          <cell r="A3712" t="str">
            <v>10</v>
          </cell>
          <cell r="B3712" t="str">
            <v>28</v>
          </cell>
          <cell r="C3712" t="str">
            <v>10</v>
          </cell>
          <cell r="D3712" t="str">
            <v>5</v>
          </cell>
          <cell r="E3712" t="str">
            <v>0026</v>
          </cell>
          <cell r="F3712" t="str">
            <v>0005</v>
          </cell>
          <cell r="G3712" t="str">
            <v>321</v>
          </cell>
          <cell r="H3712" t="str">
            <v>结转本月业务支出</v>
          </cell>
          <cell r="I3712" t="b">
            <v>1</v>
          </cell>
          <cell r="J3712">
            <v>1182620.1499999999</v>
          </cell>
          <cell r="K3712">
            <v>0</v>
          </cell>
          <cell r="L3712">
            <v>0</v>
          </cell>
        </row>
        <row r="3713">
          <cell r="A3713" t="str">
            <v>10</v>
          </cell>
          <cell r="B3713" t="str">
            <v>28</v>
          </cell>
          <cell r="C3713" t="str">
            <v>10</v>
          </cell>
          <cell r="D3713" t="str">
            <v>5</v>
          </cell>
          <cell r="E3713" t="str">
            <v>0030</v>
          </cell>
          <cell r="F3713" t="str">
            <v>0001</v>
          </cell>
          <cell r="G3713" t="str">
            <v>321</v>
          </cell>
          <cell r="H3713" t="str">
            <v>结转本月销售成本</v>
          </cell>
          <cell r="I3713" t="b">
            <v>1</v>
          </cell>
          <cell r="J3713">
            <v>2018082.18</v>
          </cell>
          <cell r="K3713">
            <v>0</v>
          </cell>
          <cell r="L3713">
            <v>0</v>
          </cell>
        </row>
        <row r="3714">
          <cell r="A3714" t="str">
            <v>10</v>
          </cell>
          <cell r="B3714" t="str">
            <v>30</v>
          </cell>
          <cell r="C3714" t="str">
            <v>10</v>
          </cell>
          <cell r="D3714" t="str">
            <v>5</v>
          </cell>
          <cell r="E3714" t="str">
            <v>0031</v>
          </cell>
          <cell r="F3714" t="str">
            <v>0004</v>
          </cell>
          <cell r="G3714" t="str">
            <v>321</v>
          </cell>
          <cell r="H3714" t="str">
            <v>结转本月产品收入</v>
          </cell>
          <cell r="I3714" t="b">
            <v>0</v>
          </cell>
          <cell r="J3714">
            <v>3235323.94</v>
          </cell>
          <cell r="K3714">
            <v>0</v>
          </cell>
          <cell r="L3714">
            <v>0</v>
          </cell>
        </row>
        <row r="3715">
          <cell r="A3715" t="str">
            <v>10</v>
          </cell>
          <cell r="B3715" t="str">
            <v>30</v>
          </cell>
          <cell r="C3715" t="str">
            <v>10</v>
          </cell>
          <cell r="D3715" t="str">
            <v>5</v>
          </cell>
          <cell r="E3715" t="str">
            <v>0032</v>
          </cell>
          <cell r="F3715" t="str">
            <v>0001</v>
          </cell>
          <cell r="G3715" t="str">
            <v>321</v>
          </cell>
          <cell r="H3715" t="str">
            <v>结转本月财务费用</v>
          </cell>
          <cell r="I3715" t="b">
            <v>1</v>
          </cell>
          <cell r="J3715">
            <v>60092.41</v>
          </cell>
          <cell r="K3715">
            <v>0</v>
          </cell>
          <cell r="L3715">
            <v>0</v>
          </cell>
        </row>
        <row r="3716">
          <cell r="A3716" t="str">
            <v>10</v>
          </cell>
          <cell r="B3716" t="str">
            <v>30</v>
          </cell>
          <cell r="C3716" t="str">
            <v>10</v>
          </cell>
          <cell r="D3716" t="str">
            <v>5</v>
          </cell>
          <cell r="E3716" t="str">
            <v>0033</v>
          </cell>
          <cell r="F3716" t="str">
            <v>0001</v>
          </cell>
          <cell r="G3716" t="str">
            <v>321</v>
          </cell>
          <cell r="H3716" t="str">
            <v>结转本月销售费用</v>
          </cell>
          <cell r="I3716" t="b">
            <v>1</v>
          </cell>
          <cell r="J3716">
            <v>-249112.24</v>
          </cell>
          <cell r="K3716">
            <v>0</v>
          </cell>
          <cell r="L3716">
            <v>0</v>
          </cell>
        </row>
        <row r="3717">
          <cell r="A3717" t="str">
            <v>10</v>
          </cell>
          <cell r="B3717" t="str">
            <v>30</v>
          </cell>
          <cell r="C3717" t="str">
            <v>10</v>
          </cell>
          <cell r="D3717" t="str">
            <v>5</v>
          </cell>
          <cell r="E3717" t="str">
            <v>0034</v>
          </cell>
          <cell r="F3717" t="str">
            <v>0001</v>
          </cell>
          <cell r="G3717" t="str">
            <v>321</v>
          </cell>
          <cell r="H3717" t="str">
            <v>结转本月管理费用</v>
          </cell>
          <cell r="I3717" t="b">
            <v>1</v>
          </cell>
          <cell r="J3717">
            <v>380402.91</v>
          </cell>
          <cell r="K3717">
            <v>0</v>
          </cell>
          <cell r="L3717">
            <v>0</v>
          </cell>
        </row>
        <row r="3718">
          <cell r="A3718" t="str">
            <v>10</v>
          </cell>
          <cell r="B3718" t="str">
            <v>30</v>
          </cell>
          <cell r="C3718" t="str">
            <v>10</v>
          </cell>
          <cell r="D3718" t="str">
            <v>5</v>
          </cell>
          <cell r="E3718" t="str">
            <v>0035</v>
          </cell>
          <cell r="F3718" t="str">
            <v>0003</v>
          </cell>
          <cell r="G3718" t="str">
            <v>321</v>
          </cell>
          <cell r="H3718" t="str">
            <v>结转本月应交所得税</v>
          </cell>
          <cell r="I3718" t="b">
            <v>1</v>
          </cell>
          <cell r="J3718">
            <v>367542.89</v>
          </cell>
          <cell r="K3718">
            <v>0</v>
          </cell>
          <cell r="L3718">
            <v>0</v>
          </cell>
        </row>
        <row r="3719">
          <cell r="A3719" t="str">
            <v>11</v>
          </cell>
          <cell r="B3719" t="str">
            <v>30</v>
          </cell>
          <cell r="C3719" t="str">
            <v>11</v>
          </cell>
          <cell r="D3719" t="str">
            <v>5</v>
          </cell>
          <cell r="E3719" t="str">
            <v>0033</v>
          </cell>
          <cell r="F3719" t="str">
            <v>0002</v>
          </cell>
          <cell r="G3719" t="str">
            <v>321</v>
          </cell>
          <cell r="H3719" t="str">
            <v>结转本月业务收入</v>
          </cell>
          <cell r="I3719" t="b">
            <v>0</v>
          </cell>
          <cell r="J3719">
            <v>1390001.34</v>
          </cell>
          <cell r="K3719">
            <v>0</v>
          </cell>
          <cell r="L3719">
            <v>0</v>
          </cell>
        </row>
        <row r="3720">
          <cell r="A3720" t="str">
            <v>11</v>
          </cell>
          <cell r="B3720" t="str">
            <v>30</v>
          </cell>
          <cell r="C3720" t="str">
            <v>11</v>
          </cell>
          <cell r="D3720" t="str">
            <v>5</v>
          </cell>
          <cell r="E3720" t="str">
            <v>0033</v>
          </cell>
          <cell r="F3720" t="str">
            <v>0005</v>
          </cell>
          <cell r="G3720" t="str">
            <v>321</v>
          </cell>
          <cell r="H3720" t="str">
            <v>结转本月业务支出</v>
          </cell>
          <cell r="I3720" t="b">
            <v>1</v>
          </cell>
          <cell r="J3720">
            <v>1388433.52</v>
          </cell>
          <cell r="K3720">
            <v>0</v>
          </cell>
          <cell r="L3720">
            <v>0</v>
          </cell>
        </row>
        <row r="3721">
          <cell r="A3721" t="str">
            <v>11</v>
          </cell>
          <cell r="B3721" t="str">
            <v>30</v>
          </cell>
          <cell r="C3721" t="str">
            <v>11</v>
          </cell>
          <cell r="D3721" t="str">
            <v>5</v>
          </cell>
          <cell r="E3721" t="str">
            <v>0034</v>
          </cell>
          <cell r="F3721" t="str">
            <v>0003</v>
          </cell>
          <cell r="G3721" t="str">
            <v>321</v>
          </cell>
          <cell r="H3721" t="str">
            <v>结转本月产品收入</v>
          </cell>
          <cell r="I3721" t="b">
            <v>0</v>
          </cell>
          <cell r="J3721">
            <v>693873.41</v>
          </cell>
          <cell r="K3721">
            <v>0</v>
          </cell>
          <cell r="L3721">
            <v>0</v>
          </cell>
        </row>
        <row r="3722">
          <cell r="A3722" t="str">
            <v>11</v>
          </cell>
          <cell r="B3722" t="str">
            <v>30</v>
          </cell>
          <cell r="C3722" t="str">
            <v>11</v>
          </cell>
          <cell r="D3722" t="str">
            <v>5</v>
          </cell>
          <cell r="E3722" t="str">
            <v>0035</v>
          </cell>
          <cell r="F3722" t="str">
            <v>0001</v>
          </cell>
          <cell r="G3722" t="str">
            <v>321</v>
          </cell>
          <cell r="H3722" t="str">
            <v>结转本月产品销售成本</v>
          </cell>
          <cell r="I3722" t="b">
            <v>1</v>
          </cell>
          <cell r="J3722">
            <v>403216.55</v>
          </cell>
          <cell r="K3722">
            <v>0</v>
          </cell>
          <cell r="L3722">
            <v>0</v>
          </cell>
        </row>
        <row r="3723">
          <cell r="A3723" t="str">
            <v>11</v>
          </cell>
          <cell r="B3723" t="str">
            <v>30</v>
          </cell>
          <cell r="C3723" t="str">
            <v>11</v>
          </cell>
          <cell r="D3723" t="str">
            <v>5</v>
          </cell>
          <cell r="E3723" t="str">
            <v>0036</v>
          </cell>
          <cell r="F3723" t="str">
            <v>0001</v>
          </cell>
          <cell r="G3723" t="str">
            <v>321</v>
          </cell>
          <cell r="H3723" t="str">
            <v>结转本月销售费用</v>
          </cell>
          <cell r="I3723" t="b">
            <v>1</v>
          </cell>
          <cell r="J3723">
            <v>218269.21</v>
          </cell>
          <cell r="K3723">
            <v>0</v>
          </cell>
          <cell r="L3723">
            <v>0</v>
          </cell>
        </row>
        <row r="3724">
          <cell r="A3724" t="str">
            <v>11</v>
          </cell>
          <cell r="B3724" t="str">
            <v>30</v>
          </cell>
          <cell r="C3724" t="str">
            <v>11</v>
          </cell>
          <cell r="D3724" t="str">
            <v>5</v>
          </cell>
          <cell r="E3724" t="str">
            <v>0037</v>
          </cell>
          <cell r="F3724" t="str">
            <v>0001</v>
          </cell>
          <cell r="G3724" t="str">
            <v>321</v>
          </cell>
          <cell r="H3724" t="str">
            <v>结转本月管理费用</v>
          </cell>
          <cell r="I3724" t="b">
            <v>1</v>
          </cell>
          <cell r="J3724">
            <v>484925.23</v>
          </cell>
          <cell r="K3724">
            <v>0</v>
          </cell>
          <cell r="L3724">
            <v>0</v>
          </cell>
        </row>
        <row r="3725">
          <cell r="A3725" t="str">
            <v>11</v>
          </cell>
          <cell r="B3725" t="str">
            <v>30</v>
          </cell>
          <cell r="C3725" t="str">
            <v>11</v>
          </cell>
          <cell r="D3725" t="str">
            <v>5</v>
          </cell>
          <cell r="E3725" t="str">
            <v>0038</v>
          </cell>
          <cell r="F3725" t="str">
            <v>0002</v>
          </cell>
          <cell r="G3725" t="str">
            <v>321</v>
          </cell>
          <cell r="H3725" t="str">
            <v>结转营业外收入</v>
          </cell>
          <cell r="I3725" t="b">
            <v>0</v>
          </cell>
          <cell r="J3725">
            <v>-90</v>
          </cell>
          <cell r="K3725">
            <v>0</v>
          </cell>
          <cell r="L3725">
            <v>0</v>
          </cell>
        </row>
        <row r="3726">
          <cell r="A3726" t="str">
            <v>11</v>
          </cell>
          <cell r="B3726" t="str">
            <v>30</v>
          </cell>
          <cell r="C3726" t="str">
            <v>11</v>
          </cell>
          <cell r="D3726" t="str">
            <v>5</v>
          </cell>
          <cell r="E3726" t="str">
            <v>0039</v>
          </cell>
          <cell r="F3726" t="str">
            <v>0002</v>
          </cell>
          <cell r="G3726" t="str">
            <v>321</v>
          </cell>
          <cell r="H3726" t="str">
            <v>结转营业外支出</v>
          </cell>
          <cell r="I3726" t="b">
            <v>1</v>
          </cell>
          <cell r="J3726">
            <v>30000</v>
          </cell>
          <cell r="K3726">
            <v>0</v>
          </cell>
          <cell r="L3726">
            <v>0</v>
          </cell>
        </row>
        <row r="3727">
          <cell r="A3727" t="str">
            <v>11</v>
          </cell>
          <cell r="B3727" t="str">
            <v>30</v>
          </cell>
          <cell r="C3727" t="str">
            <v>11</v>
          </cell>
          <cell r="D3727" t="str">
            <v>5</v>
          </cell>
          <cell r="E3727" t="str">
            <v>0040</v>
          </cell>
          <cell r="F3727" t="str">
            <v>0001</v>
          </cell>
          <cell r="G3727" t="str">
            <v>321</v>
          </cell>
          <cell r="H3727" t="str">
            <v>结转本月财务费用</v>
          </cell>
          <cell r="I3727" t="b">
            <v>1</v>
          </cell>
          <cell r="J3727">
            <v>-1067387.3899999999</v>
          </cell>
          <cell r="K3727">
            <v>0</v>
          </cell>
          <cell r="L3727">
            <v>0</v>
          </cell>
        </row>
        <row r="3728">
          <cell r="A3728" t="str">
            <v>11</v>
          </cell>
          <cell r="B3728" t="str">
            <v>30</v>
          </cell>
          <cell r="C3728" t="str">
            <v>11</v>
          </cell>
          <cell r="D3728" t="str">
            <v>5</v>
          </cell>
          <cell r="E3728" t="str">
            <v>0041</v>
          </cell>
          <cell r="F3728" t="str">
            <v>0003</v>
          </cell>
          <cell r="G3728" t="str">
            <v>321</v>
          </cell>
          <cell r="H3728" t="str">
            <v>结转本月应交所得税</v>
          </cell>
          <cell r="I3728" t="b">
            <v>1</v>
          </cell>
          <cell r="J3728">
            <v>206688.12</v>
          </cell>
          <cell r="K3728">
            <v>0</v>
          </cell>
          <cell r="L3728">
            <v>0</v>
          </cell>
        </row>
        <row r="3729">
          <cell r="A3729" t="str">
            <v>12</v>
          </cell>
          <cell r="B3729" t="str">
            <v>29</v>
          </cell>
          <cell r="C3729" t="str">
            <v>12</v>
          </cell>
          <cell r="D3729" t="str">
            <v>5</v>
          </cell>
          <cell r="E3729" t="str">
            <v>0084</v>
          </cell>
          <cell r="F3729" t="str">
            <v>0002</v>
          </cell>
          <cell r="G3729" t="str">
            <v>321</v>
          </cell>
          <cell r="H3729" t="str">
            <v>结转本月业务收入</v>
          </cell>
          <cell r="I3729" t="b">
            <v>0</v>
          </cell>
          <cell r="J3729">
            <v>3184972.28</v>
          </cell>
          <cell r="K3729">
            <v>0</v>
          </cell>
          <cell r="L3729">
            <v>0</v>
          </cell>
        </row>
        <row r="3730">
          <cell r="A3730" t="str">
            <v>12</v>
          </cell>
          <cell r="B3730" t="str">
            <v>29</v>
          </cell>
          <cell r="C3730" t="str">
            <v>12</v>
          </cell>
          <cell r="D3730" t="str">
            <v>5</v>
          </cell>
          <cell r="E3730" t="str">
            <v>0084</v>
          </cell>
          <cell r="F3730" t="str">
            <v>0006</v>
          </cell>
          <cell r="G3730" t="str">
            <v>321</v>
          </cell>
          <cell r="H3730" t="str">
            <v>结转本月业务支出成本</v>
          </cell>
          <cell r="I3730" t="b">
            <v>1</v>
          </cell>
          <cell r="J3730">
            <v>2182116.89</v>
          </cell>
          <cell r="K3730">
            <v>0</v>
          </cell>
          <cell r="L3730">
            <v>0</v>
          </cell>
        </row>
        <row r="3731">
          <cell r="A3731" t="str">
            <v>12</v>
          </cell>
          <cell r="B3731" t="str">
            <v>31</v>
          </cell>
          <cell r="C3731" t="str">
            <v>12</v>
          </cell>
          <cell r="D3731" t="str">
            <v>5</v>
          </cell>
          <cell r="E3731" t="str">
            <v>0100</v>
          </cell>
          <cell r="F3731" t="str">
            <v>0004</v>
          </cell>
          <cell r="G3731" t="str">
            <v>321</v>
          </cell>
          <cell r="H3731" t="str">
            <v>结转本月产品收入</v>
          </cell>
          <cell r="I3731" t="b">
            <v>0</v>
          </cell>
          <cell r="J3731">
            <v>12561148.699999999</v>
          </cell>
          <cell r="K3731">
            <v>0</v>
          </cell>
          <cell r="L3731">
            <v>0</v>
          </cell>
        </row>
        <row r="3732">
          <cell r="A3732" t="str">
            <v>12</v>
          </cell>
          <cell r="B3732" t="str">
            <v>31</v>
          </cell>
          <cell r="C3732" t="str">
            <v>12</v>
          </cell>
          <cell r="D3732" t="str">
            <v>5</v>
          </cell>
          <cell r="E3732" t="str">
            <v>0101</v>
          </cell>
          <cell r="F3732" t="str">
            <v>0001</v>
          </cell>
          <cell r="G3732" t="str">
            <v>321</v>
          </cell>
          <cell r="H3732" t="str">
            <v>结转本月财务费用</v>
          </cell>
          <cell r="I3732" t="b">
            <v>1</v>
          </cell>
          <cell r="J3732">
            <v>-2383895.2799999998</v>
          </cell>
          <cell r="K3732">
            <v>0</v>
          </cell>
          <cell r="L3732">
            <v>0</v>
          </cell>
        </row>
        <row r="3733">
          <cell r="A3733" t="str">
            <v>12</v>
          </cell>
          <cell r="B3733" t="str">
            <v>31</v>
          </cell>
          <cell r="C3733" t="str">
            <v>12</v>
          </cell>
          <cell r="D3733" t="str">
            <v>5</v>
          </cell>
          <cell r="E3733" t="str">
            <v>0102</v>
          </cell>
          <cell r="F3733" t="str">
            <v>0001</v>
          </cell>
          <cell r="G3733" t="str">
            <v>321</v>
          </cell>
          <cell r="H3733" t="str">
            <v>结转本月销售费用</v>
          </cell>
          <cell r="I3733" t="b">
            <v>1</v>
          </cell>
          <cell r="J3733">
            <v>-169964.24</v>
          </cell>
          <cell r="K3733">
            <v>0</v>
          </cell>
          <cell r="L3733">
            <v>0</v>
          </cell>
        </row>
        <row r="3734">
          <cell r="A3734" t="str">
            <v>12</v>
          </cell>
          <cell r="B3734" t="str">
            <v>31</v>
          </cell>
          <cell r="C3734" t="str">
            <v>12</v>
          </cell>
          <cell r="D3734" t="str">
            <v>5</v>
          </cell>
          <cell r="E3734" t="str">
            <v>0103</v>
          </cell>
          <cell r="F3734" t="str">
            <v>0001</v>
          </cell>
          <cell r="G3734" t="str">
            <v>321</v>
          </cell>
          <cell r="H3734" t="str">
            <v>结转本月管理费用</v>
          </cell>
          <cell r="I3734" t="b">
            <v>1</v>
          </cell>
          <cell r="J3734">
            <v>1713380.75</v>
          </cell>
          <cell r="K3734">
            <v>0</v>
          </cell>
          <cell r="L3734">
            <v>0</v>
          </cell>
        </row>
        <row r="3735">
          <cell r="A3735" t="str">
            <v>12</v>
          </cell>
          <cell r="B3735" t="str">
            <v>31</v>
          </cell>
          <cell r="C3735" t="str">
            <v>12</v>
          </cell>
          <cell r="D3735" t="str">
            <v>5</v>
          </cell>
          <cell r="E3735" t="str">
            <v>0104</v>
          </cell>
          <cell r="F3735" t="str">
            <v>0002</v>
          </cell>
          <cell r="G3735" t="str">
            <v>321</v>
          </cell>
          <cell r="H3735" t="str">
            <v>结转营业外收入</v>
          </cell>
          <cell r="I3735" t="b">
            <v>0</v>
          </cell>
          <cell r="J3735">
            <v>174567.87</v>
          </cell>
          <cell r="K3735">
            <v>0</v>
          </cell>
          <cell r="L3735">
            <v>0</v>
          </cell>
        </row>
        <row r="3736">
          <cell r="A3736" t="str">
            <v>12</v>
          </cell>
          <cell r="B3736" t="str">
            <v>31</v>
          </cell>
          <cell r="C3736" t="str">
            <v>12</v>
          </cell>
          <cell r="D3736" t="str">
            <v>5</v>
          </cell>
          <cell r="E3736" t="str">
            <v>0105</v>
          </cell>
          <cell r="F3736" t="str">
            <v>0002</v>
          </cell>
          <cell r="G3736" t="str">
            <v>321</v>
          </cell>
          <cell r="H3736" t="str">
            <v>结转营业外支出</v>
          </cell>
          <cell r="I3736" t="b">
            <v>1</v>
          </cell>
          <cell r="J3736">
            <v>2219.41</v>
          </cell>
          <cell r="K3736">
            <v>0</v>
          </cell>
          <cell r="L3736">
            <v>0</v>
          </cell>
        </row>
        <row r="3737">
          <cell r="A3737" t="str">
            <v>12</v>
          </cell>
          <cell r="B3737" t="str">
            <v>31</v>
          </cell>
          <cell r="C3737" t="str">
            <v>12</v>
          </cell>
          <cell r="D3737" t="str">
            <v>5</v>
          </cell>
          <cell r="E3737" t="str">
            <v>0106</v>
          </cell>
          <cell r="F3737" t="str">
            <v>0001</v>
          </cell>
          <cell r="G3737" t="str">
            <v>321</v>
          </cell>
          <cell r="H3737" t="str">
            <v>结转本年产品销售成本</v>
          </cell>
          <cell r="I3737" t="b">
            <v>1</v>
          </cell>
          <cell r="J3737">
            <v>7425174.7999999998</v>
          </cell>
          <cell r="K3737">
            <v>0</v>
          </cell>
          <cell r="L3737">
            <v>0</v>
          </cell>
        </row>
        <row r="3738">
          <cell r="A3738" t="str">
            <v>12</v>
          </cell>
          <cell r="B3738" t="str">
            <v>31</v>
          </cell>
          <cell r="C3738" t="str">
            <v>12</v>
          </cell>
          <cell r="D3738" t="str">
            <v>5</v>
          </cell>
          <cell r="E3738" t="str">
            <v>0107</v>
          </cell>
          <cell r="F3738" t="str">
            <v>0002</v>
          </cell>
          <cell r="G3738" t="str">
            <v>321</v>
          </cell>
          <cell r="H3738" t="str">
            <v>结转本年产品销售税金及附加</v>
          </cell>
          <cell r="I3738" t="b">
            <v>1</v>
          </cell>
          <cell r="J3738">
            <v>32</v>
          </cell>
          <cell r="K3738">
            <v>0</v>
          </cell>
          <cell r="L3738">
            <v>0</v>
          </cell>
        </row>
        <row r="3739">
          <cell r="A3739" t="str">
            <v>12</v>
          </cell>
          <cell r="B3739" t="str">
            <v>31</v>
          </cell>
          <cell r="C3739" t="str">
            <v>12</v>
          </cell>
          <cell r="D3739" t="str">
            <v>5</v>
          </cell>
          <cell r="E3739" t="str">
            <v>0110</v>
          </cell>
          <cell r="F3739" t="str">
            <v>0002</v>
          </cell>
          <cell r="G3739" t="str">
            <v>321</v>
          </cell>
          <cell r="H3739" t="str">
            <v>结转本年各分公司经营收益</v>
          </cell>
          <cell r="I3739" t="b">
            <v>0</v>
          </cell>
          <cell r="J3739">
            <v>473558.38</v>
          </cell>
          <cell r="K3739">
            <v>0</v>
          </cell>
          <cell r="L3739">
            <v>0</v>
          </cell>
        </row>
        <row r="3740">
          <cell r="A3740" t="str">
            <v>12</v>
          </cell>
          <cell r="B3740" t="str">
            <v>31</v>
          </cell>
          <cell r="C3740" t="str">
            <v>12</v>
          </cell>
          <cell r="D3740" t="str">
            <v>5</v>
          </cell>
          <cell r="E3740" t="str">
            <v>0111</v>
          </cell>
          <cell r="F3740" t="str">
            <v>0003</v>
          </cell>
          <cell r="G3740" t="str">
            <v>321</v>
          </cell>
          <cell r="H3740" t="str">
            <v>转计提本月应计所得税</v>
          </cell>
          <cell r="I3740" t="b">
            <v>1</v>
          </cell>
          <cell r="J3740">
            <v>2266921.08</v>
          </cell>
          <cell r="K3740">
            <v>0</v>
          </cell>
          <cell r="L3740">
            <v>0</v>
          </cell>
        </row>
        <row r="3741">
          <cell r="A3741" t="str">
            <v>12</v>
          </cell>
          <cell r="B3741" t="str">
            <v>31</v>
          </cell>
          <cell r="C3741" t="str">
            <v>12</v>
          </cell>
          <cell r="D3741" t="str">
            <v>5</v>
          </cell>
          <cell r="E3741" t="str">
            <v>0112</v>
          </cell>
          <cell r="F3741" t="str">
            <v>0001</v>
          </cell>
          <cell r="G3741" t="str">
            <v>321</v>
          </cell>
          <cell r="H3741" t="str">
            <v>结转本年利润</v>
          </cell>
          <cell r="I3741" t="b">
            <v>1</v>
          </cell>
          <cell r="J3741">
            <v>14917155.630000001</v>
          </cell>
          <cell r="K3741">
            <v>0</v>
          </cell>
          <cell r="L3741">
            <v>0</v>
          </cell>
        </row>
        <row r="3742">
          <cell r="A3742" t="str">
            <v>07</v>
          </cell>
          <cell r="B3742" t="str">
            <v>24</v>
          </cell>
          <cell r="C3742" t="str">
            <v>07</v>
          </cell>
          <cell r="D3742" t="str">
            <v>5</v>
          </cell>
          <cell r="E3742" t="str">
            <v>0006</v>
          </cell>
          <cell r="F3742" t="str">
            <v>0003</v>
          </cell>
          <cell r="G3742" t="str">
            <v>32203</v>
          </cell>
          <cell r="H3742" t="str">
            <v>转出按5%提取公益金</v>
          </cell>
          <cell r="I3742" t="b">
            <v>0</v>
          </cell>
          <cell r="J3742">
            <v>827368.63</v>
          </cell>
          <cell r="K3742">
            <v>0</v>
          </cell>
          <cell r="L3742">
            <v>0</v>
          </cell>
        </row>
        <row r="3743">
          <cell r="A3743" t="str">
            <v>07</v>
          </cell>
          <cell r="B3743" t="str">
            <v>24</v>
          </cell>
          <cell r="C3743" t="str">
            <v>07</v>
          </cell>
          <cell r="D3743" t="str">
            <v>5</v>
          </cell>
          <cell r="E3743" t="str">
            <v>0006</v>
          </cell>
          <cell r="F3743" t="str">
            <v>0002</v>
          </cell>
          <cell r="G3743" t="str">
            <v>32204</v>
          </cell>
          <cell r="H3743" t="str">
            <v>转出按10%提取盈余公积金</v>
          </cell>
          <cell r="I3743" t="b">
            <v>0</v>
          </cell>
          <cell r="J3743">
            <v>1654737.27</v>
          </cell>
          <cell r="K3743">
            <v>0</v>
          </cell>
          <cell r="L3743">
            <v>0</v>
          </cell>
        </row>
        <row r="3744">
          <cell r="A3744" t="str">
            <v>07</v>
          </cell>
          <cell r="B3744" t="str">
            <v>24</v>
          </cell>
          <cell r="C3744" t="str">
            <v>07</v>
          </cell>
          <cell r="D3744" t="str">
            <v>5</v>
          </cell>
          <cell r="E3744" t="str">
            <v>0008</v>
          </cell>
          <cell r="F3744" t="str">
            <v>0002</v>
          </cell>
          <cell r="G3744" t="str">
            <v>32204</v>
          </cell>
          <cell r="H3744" t="str">
            <v>转按10%计提盈余公积金</v>
          </cell>
          <cell r="I3744" t="b">
            <v>1</v>
          </cell>
          <cell r="J3744">
            <v>1654737.27</v>
          </cell>
          <cell r="K3744">
            <v>0</v>
          </cell>
          <cell r="L3744">
            <v>0</v>
          </cell>
        </row>
        <row r="3745">
          <cell r="A3745" t="str">
            <v>07</v>
          </cell>
          <cell r="B3745" t="str">
            <v>24</v>
          </cell>
          <cell r="C3745" t="str">
            <v>07</v>
          </cell>
          <cell r="D3745" t="str">
            <v>5</v>
          </cell>
          <cell r="E3745" t="str">
            <v>0008</v>
          </cell>
          <cell r="F3745" t="str">
            <v>0004</v>
          </cell>
          <cell r="G3745" t="str">
            <v>32204</v>
          </cell>
          <cell r="H3745" t="str">
            <v>转按5%计提公益金</v>
          </cell>
          <cell r="I3745" t="b">
            <v>1</v>
          </cell>
          <cell r="J3745">
            <v>827368.63</v>
          </cell>
          <cell r="K3745">
            <v>0</v>
          </cell>
          <cell r="L3745">
            <v>0</v>
          </cell>
        </row>
        <row r="3746">
          <cell r="A3746" t="str">
            <v>07</v>
          </cell>
          <cell r="B3746" t="str">
            <v>24</v>
          </cell>
          <cell r="C3746" t="str">
            <v>07</v>
          </cell>
          <cell r="D3746" t="str">
            <v>5</v>
          </cell>
          <cell r="E3746" t="str">
            <v>0006</v>
          </cell>
          <cell r="F3746" t="str">
            <v>0004</v>
          </cell>
          <cell r="G3746" t="str">
            <v>32205</v>
          </cell>
          <cell r="H3746" t="str">
            <v>转出应付利润</v>
          </cell>
          <cell r="I3746" t="b">
            <v>0</v>
          </cell>
          <cell r="J3746">
            <v>14065266.75</v>
          </cell>
          <cell r="K3746">
            <v>0</v>
          </cell>
          <cell r="L3746">
            <v>0</v>
          </cell>
        </row>
        <row r="3747">
          <cell r="A3747" t="str">
            <v>07</v>
          </cell>
          <cell r="B3747" t="str">
            <v>24</v>
          </cell>
          <cell r="C3747" t="str">
            <v>07</v>
          </cell>
          <cell r="D3747" t="str">
            <v>5</v>
          </cell>
          <cell r="E3747" t="str">
            <v>0007</v>
          </cell>
          <cell r="F3747" t="str">
            <v>0001</v>
          </cell>
          <cell r="G3747" t="str">
            <v>32205</v>
          </cell>
          <cell r="H3747" t="str">
            <v>转99年度应付利润</v>
          </cell>
          <cell r="I3747" t="b">
            <v>1</v>
          </cell>
          <cell r="J3747">
            <v>14065266.75</v>
          </cell>
          <cell r="K3747">
            <v>0</v>
          </cell>
          <cell r="L3747">
            <v>0</v>
          </cell>
        </row>
        <row r="3748">
          <cell r="A3748" t="str">
            <v>02</v>
          </cell>
          <cell r="B3748" t="str">
            <v>22</v>
          </cell>
          <cell r="C3748" t="str">
            <v>02</v>
          </cell>
          <cell r="D3748" t="str">
            <v>5</v>
          </cell>
          <cell r="E3748" t="str">
            <v>0009</v>
          </cell>
          <cell r="F3748" t="str">
            <v>0001</v>
          </cell>
          <cell r="G3748" t="str">
            <v>32207</v>
          </cell>
          <cell r="H3748" t="str">
            <v>转税务检查增值税调正</v>
          </cell>
          <cell r="I3748" t="b">
            <v>1</v>
          </cell>
          <cell r="J3748">
            <v>29037.78</v>
          </cell>
          <cell r="K3748">
            <v>0</v>
          </cell>
          <cell r="L3748">
            <v>0</v>
          </cell>
        </row>
        <row r="3749">
          <cell r="A3749" t="str">
            <v>04</v>
          </cell>
          <cell r="B3749" t="str">
            <v>25</v>
          </cell>
          <cell r="C3749" t="str">
            <v>04</v>
          </cell>
          <cell r="D3749" t="str">
            <v>5</v>
          </cell>
          <cell r="E3749" t="str">
            <v>0022</v>
          </cell>
          <cell r="F3749" t="str">
            <v>0009</v>
          </cell>
          <cell r="G3749" t="str">
            <v>32207</v>
          </cell>
          <cell r="H3749" t="str">
            <v>转补提99年应交所得税</v>
          </cell>
          <cell r="I3749" t="b">
            <v>1</v>
          </cell>
          <cell r="J3749">
            <v>5484.34</v>
          </cell>
          <cell r="K3749">
            <v>0</v>
          </cell>
          <cell r="L3749">
            <v>0</v>
          </cell>
        </row>
        <row r="3750">
          <cell r="A3750" t="str">
            <v>07</v>
          </cell>
          <cell r="B3750" t="str">
            <v>24</v>
          </cell>
          <cell r="C3750" t="str">
            <v>07</v>
          </cell>
          <cell r="D3750" t="str">
            <v>5</v>
          </cell>
          <cell r="E3750" t="str">
            <v>0005</v>
          </cell>
          <cell r="F3750" t="str">
            <v>0008</v>
          </cell>
          <cell r="G3750" t="str">
            <v>32207</v>
          </cell>
          <cell r="H3750" t="str">
            <v>99年度投资收益转入利润分配</v>
          </cell>
          <cell r="I3750" t="b">
            <v>0</v>
          </cell>
          <cell r="J3750">
            <v>9357429.7799999993</v>
          </cell>
          <cell r="K3750">
            <v>0</v>
          </cell>
          <cell r="L3750">
            <v>0</v>
          </cell>
        </row>
        <row r="3751">
          <cell r="A3751" t="str">
            <v>07</v>
          </cell>
          <cell r="B3751" t="str">
            <v>24</v>
          </cell>
          <cell r="C3751" t="str">
            <v>07</v>
          </cell>
          <cell r="D3751" t="str">
            <v>5</v>
          </cell>
          <cell r="E3751" t="str">
            <v>0006</v>
          </cell>
          <cell r="F3751" t="str">
            <v>0001</v>
          </cell>
          <cell r="G3751" t="str">
            <v>32207</v>
          </cell>
          <cell r="H3751" t="str">
            <v>转出未分配利润</v>
          </cell>
          <cell r="I3751" t="b">
            <v>1</v>
          </cell>
          <cell r="J3751">
            <v>16547372.65</v>
          </cell>
          <cell r="K3751">
            <v>0</v>
          </cell>
          <cell r="L3751">
            <v>0</v>
          </cell>
        </row>
        <row r="3752">
          <cell r="A3752" t="str">
            <v>07</v>
          </cell>
          <cell r="B3752" t="str">
            <v>26</v>
          </cell>
          <cell r="C3752" t="str">
            <v>07</v>
          </cell>
          <cell r="D3752" t="str">
            <v>5</v>
          </cell>
          <cell r="E3752" t="str">
            <v>0023</v>
          </cell>
          <cell r="F3752" t="str">
            <v>0001</v>
          </cell>
          <cell r="G3752" t="str">
            <v>32207</v>
          </cell>
          <cell r="H3752" t="str">
            <v>转增值税检查调整</v>
          </cell>
          <cell r="I3752" t="b">
            <v>1</v>
          </cell>
          <cell r="J3752">
            <v>1085.8499999999999</v>
          </cell>
          <cell r="K3752">
            <v>0</v>
          </cell>
          <cell r="L3752">
            <v>0</v>
          </cell>
        </row>
        <row r="3753">
          <cell r="A3753" t="str">
            <v>12</v>
          </cell>
          <cell r="B3753" t="str">
            <v>31</v>
          </cell>
          <cell r="C3753" t="str">
            <v>12</v>
          </cell>
          <cell r="D3753" t="str">
            <v>5</v>
          </cell>
          <cell r="E3753" t="str">
            <v>0112</v>
          </cell>
          <cell r="F3753" t="str">
            <v>0002</v>
          </cell>
          <cell r="G3753" t="str">
            <v>32207</v>
          </cell>
          <cell r="H3753" t="str">
            <v>结转本年利润</v>
          </cell>
          <cell r="I3753" t="b">
            <v>0</v>
          </cell>
          <cell r="J3753">
            <v>14917155.630000001</v>
          </cell>
          <cell r="K3753">
            <v>0</v>
          </cell>
          <cell r="L3753">
            <v>0</v>
          </cell>
        </row>
        <row r="3754">
          <cell r="A3754" t="str">
            <v>02</v>
          </cell>
          <cell r="B3754" t="str">
            <v>26</v>
          </cell>
          <cell r="C3754" t="str">
            <v>02</v>
          </cell>
          <cell r="D3754" t="str">
            <v>5</v>
          </cell>
          <cell r="E3754" t="str">
            <v>0019</v>
          </cell>
          <cell r="F3754" t="str">
            <v>0001</v>
          </cell>
          <cell r="G3754" t="str">
            <v>4010101</v>
          </cell>
          <cell r="H3754" t="str">
            <v>转1-2月份中鲁公司重加工耗材料</v>
          </cell>
          <cell r="I3754" t="b">
            <v>1</v>
          </cell>
          <cell r="J3754">
            <v>165882</v>
          </cell>
          <cell r="K3754">
            <v>0</v>
          </cell>
          <cell r="L3754">
            <v>0</v>
          </cell>
        </row>
        <row r="3755">
          <cell r="A3755" t="str">
            <v>02</v>
          </cell>
          <cell r="B3755" t="str">
            <v>29</v>
          </cell>
          <cell r="C3755" t="str">
            <v>02</v>
          </cell>
          <cell r="D3755" t="str">
            <v>5</v>
          </cell>
          <cell r="E3755" t="str">
            <v>0046</v>
          </cell>
          <cell r="F3755" t="str">
            <v>0002</v>
          </cell>
          <cell r="G3755" t="str">
            <v>4010101</v>
          </cell>
          <cell r="H3755" t="str">
            <v>转订99.12.5-22#平原耗桶2050个</v>
          </cell>
          <cell r="I3755" t="b">
            <v>1</v>
          </cell>
          <cell r="J3755">
            <v>-262400</v>
          </cell>
          <cell r="K3755">
            <v>0</v>
          </cell>
          <cell r="L3755">
            <v>0</v>
          </cell>
        </row>
        <row r="3756">
          <cell r="A3756" t="str">
            <v>02</v>
          </cell>
          <cell r="B3756" t="str">
            <v>29</v>
          </cell>
          <cell r="C3756" t="str">
            <v>02</v>
          </cell>
          <cell r="D3756" t="str">
            <v>5</v>
          </cell>
          <cell r="E3756" t="str">
            <v>0049</v>
          </cell>
          <cell r="F3756" t="str">
            <v>0001</v>
          </cell>
          <cell r="G3756" t="str">
            <v>4010101</v>
          </cell>
          <cell r="H3756" t="str">
            <v>转出库2322.617吨果汁重加工</v>
          </cell>
          <cell r="I3756" t="b">
            <v>1</v>
          </cell>
          <cell r="J3756">
            <v>10240344.23</v>
          </cell>
          <cell r="K3756">
            <v>0</v>
          </cell>
          <cell r="L3756">
            <v>0</v>
          </cell>
        </row>
        <row r="3757">
          <cell r="A3757" t="str">
            <v>02</v>
          </cell>
          <cell r="B3757" t="str">
            <v>29</v>
          </cell>
          <cell r="C3757" t="str">
            <v>02</v>
          </cell>
          <cell r="D3757" t="str">
            <v>5</v>
          </cell>
          <cell r="E3757" t="str">
            <v>0051</v>
          </cell>
          <cell r="F3757" t="str">
            <v>0002</v>
          </cell>
          <cell r="G3757" t="str">
            <v>4010101</v>
          </cell>
          <cell r="H3757" t="str">
            <v>转本月入库2322.617吨重加工果汁</v>
          </cell>
          <cell r="I3757" t="b">
            <v>0</v>
          </cell>
          <cell r="J3757">
            <v>10144466.23</v>
          </cell>
          <cell r="K3757">
            <v>0</v>
          </cell>
          <cell r="L3757">
            <v>0</v>
          </cell>
        </row>
        <row r="3758">
          <cell r="A3758" t="str">
            <v>04</v>
          </cell>
          <cell r="B3758" t="str">
            <v>20</v>
          </cell>
          <cell r="C3758" t="str">
            <v>04</v>
          </cell>
          <cell r="D3758" t="str">
            <v>5</v>
          </cell>
          <cell r="E3758" t="str">
            <v>0010</v>
          </cell>
          <cell r="F3758" t="str">
            <v>0001</v>
          </cell>
          <cell r="G3758" t="str">
            <v>4010101</v>
          </cell>
          <cell r="H3758" t="str">
            <v>转中鲁公司重加工耗材料款</v>
          </cell>
          <cell r="I3758" t="b">
            <v>1</v>
          </cell>
          <cell r="J3758">
            <v>50874</v>
          </cell>
          <cell r="K3758">
            <v>0</v>
          </cell>
          <cell r="L3758">
            <v>0</v>
          </cell>
        </row>
        <row r="3759">
          <cell r="A3759" t="str">
            <v>04</v>
          </cell>
          <cell r="B3759" t="str">
            <v>28</v>
          </cell>
          <cell r="C3759" t="str">
            <v>04</v>
          </cell>
          <cell r="D3759" t="str">
            <v>5</v>
          </cell>
          <cell r="E3759" t="str">
            <v>0031</v>
          </cell>
          <cell r="F3759" t="str">
            <v>0001</v>
          </cell>
          <cell r="G3759" t="str">
            <v>4010101</v>
          </cell>
          <cell r="H3759" t="str">
            <v>转重加工外购果汁2139.13吨</v>
          </cell>
          <cell r="I3759" t="b">
            <v>1</v>
          </cell>
          <cell r="J3759">
            <v>9606034.6500000004</v>
          </cell>
          <cell r="K3759">
            <v>0</v>
          </cell>
          <cell r="L3759">
            <v>0</v>
          </cell>
        </row>
        <row r="3760">
          <cell r="A3760" t="str">
            <v>04</v>
          </cell>
          <cell r="B3760" t="str">
            <v>28</v>
          </cell>
          <cell r="C3760" t="str">
            <v>04</v>
          </cell>
          <cell r="D3760" t="str">
            <v>5</v>
          </cell>
          <cell r="E3760" t="str">
            <v>0032</v>
          </cell>
          <cell r="F3760" t="str">
            <v>0002</v>
          </cell>
          <cell r="G3760" t="str">
            <v>4010101</v>
          </cell>
          <cell r="H3760" t="str">
            <v>转本月入库2139.13吨重加工果汁</v>
          </cell>
          <cell r="I3760" t="b">
            <v>0</v>
          </cell>
          <cell r="J3760">
            <v>9656908.6500000004</v>
          </cell>
          <cell r="K3760">
            <v>0</v>
          </cell>
          <cell r="L3760">
            <v>0</v>
          </cell>
        </row>
        <row r="3761">
          <cell r="A3761" t="str">
            <v>08</v>
          </cell>
          <cell r="B3761" t="str">
            <v>27</v>
          </cell>
          <cell r="C3761" t="str">
            <v>08</v>
          </cell>
          <cell r="D3761" t="str">
            <v>5</v>
          </cell>
          <cell r="E3761" t="str">
            <v>0017</v>
          </cell>
          <cell r="F3761" t="str">
            <v>0001</v>
          </cell>
          <cell r="G3761" t="str">
            <v>4010101</v>
          </cell>
          <cell r="H3761" t="str">
            <v>转本月重加工果汁耗材料</v>
          </cell>
          <cell r="I3761" t="b">
            <v>1</v>
          </cell>
          <cell r="J3761">
            <v>540960</v>
          </cell>
          <cell r="K3761">
            <v>0</v>
          </cell>
          <cell r="L3761">
            <v>0</v>
          </cell>
        </row>
        <row r="3762">
          <cell r="A3762" t="str">
            <v>08</v>
          </cell>
          <cell r="B3762" t="str">
            <v>27</v>
          </cell>
          <cell r="C3762" t="str">
            <v>08</v>
          </cell>
          <cell r="D3762" t="str">
            <v>5</v>
          </cell>
          <cell r="E3762" t="str">
            <v>0019</v>
          </cell>
          <cell r="F3762" t="str">
            <v>0001</v>
          </cell>
          <cell r="G3762" t="str">
            <v>4010101</v>
          </cell>
          <cell r="H3762" t="str">
            <v>转出库外购果汁重加工</v>
          </cell>
          <cell r="I3762" t="b">
            <v>1</v>
          </cell>
          <cell r="J3762">
            <v>2048911.53</v>
          </cell>
          <cell r="K3762">
            <v>0</v>
          </cell>
          <cell r="L3762">
            <v>0</v>
          </cell>
        </row>
        <row r="3763">
          <cell r="A3763" t="str">
            <v>08</v>
          </cell>
          <cell r="B3763" t="str">
            <v>27</v>
          </cell>
          <cell r="C3763" t="str">
            <v>08</v>
          </cell>
          <cell r="D3763" t="str">
            <v>5</v>
          </cell>
          <cell r="E3763" t="str">
            <v>0020</v>
          </cell>
          <cell r="F3763" t="str">
            <v>0001</v>
          </cell>
          <cell r="G3763" t="str">
            <v>4010101</v>
          </cell>
          <cell r="H3763" t="str">
            <v>转本月入库532.717吨果汁成本</v>
          </cell>
          <cell r="I3763" t="b">
            <v>0</v>
          </cell>
          <cell r="J3763">
            <v>2316217.5299999998</v>
          </cell>
          <cell r="K3763">
            <v>0</v>
          </cell>
          <cell r="L3763">
            <v>0</v>
          </cell>
        </row>
        <row r="3764">
          <cell r="A3764" t="str">
            <v>09</v>
          </cell>
          <cell r="B3764" t="str">
            <v>25</v>
          </cell>
          <cell r="C3764" t="str">
            <v>09</v>
          </cell>
          <cell r="D3764" t="str">
            <v>5</v>
          </cell>
          <cell r="E3764" t="str">
            <v>0016</v>
          </cell>
          <cell r="F3764" t="str">
            <v>0001</v>
          </cell>
          <cell r="G3764" t="str">
            <v>4010101</v>
          </cell>
          <cell r="H3764" t="str">
            <v>转本月重加工耗材料</v>
          </cell>
          <cell r="I3764" t="b">
            <v>1</v>
          </cell>
          <cell r="J3764">
            <v>351856</v>
          </cell>
          <cell r="K3764">
            <v>0</v>
          </cell>
          <cell r="L3764">
            <v>0</v>
          </cell>
        </row>
        <row r="3765">
          <cell r="A3765" t="str">
            <v>09</v>
          </cell>
          <cell r="B3765" t="str">
            <v>28</v>
          </cell>
          <cell r="C3765" t="str">
            <v>09</v>
          </cell>
          <cell r="D3765" t="str">
            <v>5</v>
          </cell>
          <cell r="E3765" t="str">
            <v>0030</v>
          </cell>
          <cell r="F3765" t="str">
            <v>0001</v>
          </cell>
          <cell r="G3765" t="str">
            <v>4010101</v>
          </cell>
          <cell r="H3765" t="str">
            <v>转出库外购苹果汁1552.488重加工</v>
          </cell>
          <cell r="I3765" t="b">
            <v>1</v>
          </cell>
          <cell r="J3765">
            <v>5646887.3200000003</v>
          </cell>
          <cell r="K3765">
            <v>0</v>
          </cell>
          <cell r="L3765">
            <v>0</v>
          </cell>
        </row>
        <row r="3766">
          <cell r="A3766" t="str">
            <v>09</v>
          </cell>
          <cell r="B3766" t="str">
            <v>28</v>
          </cell>
          <cell r="C3766" t="str">
            <v>09</v>
          </cell>
          <cell r="D3766" t="str">
            <v>5</v>
          </cell>
          <cell r="E3766" t="str">
            <v>0030</v>
          </cell>
          <cell r="F3766" t="str">
            <v>0002</v>
          </cell>
          <cell r="G3766" t="str">
            <v>4010101</v>
          </cell>
          <cell r="H3766" t="str">
            <v>转出库外购梨汁58.289吨重加工</v>
          </cell>
          <cell r="I3766" t="b">
            <v>1</v>
          </cell>
          <cell r="J3766">
            <v>274008.12</v>
          </cell>
          <cell r="K3766">
            <v>0</v>
          </cell>
          <cell r="L3766">
            <v>0</v>
          </cell>
        </row>
        <row r="3767">
          <cell r="A3767" t="str">
            <v>09</v>
          </cell>
          <cell r="B3767" t="str">
            <v>28</v>
          </cell>
          <cell r="C3767" t="str">
            <v>09</v>
          </cell>
          <cell r="D3767" t="str">
            <v>5</v>
          </cell>
          <cell r="E3767" t="str">
            <v>0030</v>
          </cell>
          <cell r="F3767" t="str">
            <v>0004</v>
          </cell>
          <cell r="G3767" t="str">
            <v>4010101</v>
          </cell>
          <cell r="H3767" t="str">
            <v>转外购果汁重加工耗桶及无菌袋</v>
          </cell>
          <cell r="I3767" t="b">
            <v>1</v>
          </cell>
          <cell r="J3767">
            <v>188790</v>
          </cell>
          <cell r="K3767">
            <v>0</v>
          </cell>
          <cell r="L3767">
            <v>0</v>
          </cell>
        </row>
        <row r="3768">
          <cell r="A3768" t="str">
            <v>09</v>
          </cell>
          <cell r="B3768" t="str">
            <v>29</v>
          </cell>
          <cell r="C3768" t="str">
            <v>09</v>
          </cell>
          <cell r="D3768" t="str">
            <v>5</v>
          </cell>
          <cell r="E3768" t="str">
            <v>0031</v>
          </cell>
          <cell r="F3768" t="str">
            <v>0001</v>
          </cell>
          <cell r="G3768" t="str">
            <v>4010101</v>
          </cell>
          <cell r="H3768" t="str">
            <v>转出库芮城果汁352吨重加工</v>
          </cell>
          <cell r="I3768" t="b">
            <v>1</v>
          </cell>
          <cell r="J3768">
            <v>1668141.59</v>
          </cell>
          <cell r="K3768">
            <v>0</v>
          </cell>
          <cell r="L3768">
            <v>0</v>
          </cell>
        </row>
        <row r="3769">
          <cell r="A3769" t="str">
            <v>09</v>
          </cell>
          <cell r="B3769" t="str">
            <v>30</v>
          </cell>
          <cell r="C3769" t="str">
            <v>09</v>
          </cell>
          <cell r="D3769" t="str">
            <v>5</v>
          </cell>
          <cell r="E3769" t="str">
            <v>0032</v>
          </cell>
          <cell r="F3769" t="str">
            <v>0004</v>
          </cell>
          <cell r="G3769" t="str">
            <v>4010101</v>
          </cell>
          <cell r="H3769" t="str">
            <v>转本月入库梨汁58.289吨</v>
          </cell>
          <cell r="I3769" t="b">
            <v>0</v>
          </cell>
          <cell r="J3769">
            <v>301725.12</v>
          </cell>
          <cell r="K3769">
            <v>0</v>
          </cell>
          <cell r="L3769">
            <v>0</v>
          </cell>
        </row>
        <row r="3770">
          <cell r="A3770" t="str">
            <v>09</v>
          </cell>
          <cell r="B3770" t="str">
            <v>30</v>
          </cell>
          <cell r="C3770" t="str">
            <v>09</v>
          </cell>
          <cell r="D3770" t="str">
            <v>5</v>
          </cell>
          <cell r="E3770" t="str">
            <v>0032</v>
          </cell>
          <cell r="F3770" t="str">
            <v>0005</v>
          </cell>
          <cell r="G3770" t="str">
            <v>4010101</v>
          </cell>
          <cell r="H3770" t="str">
            <v>转本月入库芮城果汁重加工352吨</v>
          </cell>
          <cell r="I3770" t="b">
            <v>0</v>
          </cell>
          <cell r="J3770">
            <v>1668141.59</v>
          </cell>
          <cell r="K3770">
            <v>0</v>
          </cell>
          <cell r="L3770">
            <v>0</v>
          </cell>
        </row>
        <row r="3771">
          <cell r="A3771" t="str">
            <v>09</v>
          </cell>
          <cell r="B3771" t="str">
            <v>30</v>
          </cell>
          <cell r="C3771" t="str">
            <v>09</v>
          </cell>
          <cell r="D3771" t="str">
            <v>5</v>
          </cell>
          <cell r="E3771" t="str">
            <v>0032</v>
          </cell>
          <cell r="F3771" t="str">
            <v>0006</v>
          </cell>
          <cell r="G3771" t="str">
            <v>4010101</v>
          </cell>
          <cell r="H3771" t="str">
            <v>本月入库外购重加工果汁1552.488</v>
          </cell>
          <cell r="I3771" t="b">
            <v>0</v>
          </cell>
          <cell r="J3771">
            <v>6433470.3200000003</v>
          </cell>
          <cell r="K3771">
            <v>0</v>
          </cell>
          <cell r="L3771">
            <v>0</v>
          </cell>
        </row>
        <row r="3772">
          <cell r="A3772" t="str">
            <v>10</v>
          </cell>
          <cell r="B3772" t="str">
            <v>24</v>
          </cell>
          <cell r="C3772" t="str">
            <v>10</v>
          </cell>
          <cell r="D3772" t="str">
            <v>5</v>
          </cell>
          <cell r="E3772" t="str">
            <v>0008</v>
          </cell>
          <cell r="F3772" t="str">
            <v>0002</v>
          </cell>
          <cell r="G3772" t="str">
            <v>4010101</v>
          </cell>
          <cell r="H3772" t="str">
            <v>转本月重加工果汁耗材料</v>
          </cell>
          <cell r="I3772" t="b">
            <v>1</v>
          </cell>
          <cell r="J3772">
            <v>1295915</v>
          </cell>
          <cell r="K3772">
            <v>0</v>
          </cell>
          <cell r="L3772">
            <v>0</v>
          </cell>
        </row>
        <row r="3773">
          <cell r="A3773" t="str">
            <v>10</v>
          </cell>
          <cell r="B3773" t="str">
            <v>24</v>
          </cell>
          <cell r="C3773" t="str">
            <v>10</v>
          </cell>
          <cell r="D3773" t="str">
            <v>5</v>
          </cell>
          <cell r="E3773" t="str">
            <v>0011</v>
          </cell>
          <cell r="F3773" t="str">
            <v>0004</v>
          </cell>
          <cell r="G3773" t="str">
            <v>4010101</v>
          </cell>
          <cell r="H3773" t="str">
            <v>转调正铁桶差额</v>
          </cell>
          <cell r="I3773" t="b">
            <v>1</v>
          </cell>
          <cell r="J3773">
            <v>-40040</v>
          </cell>
          <cell r="K3773">
            <v>0</v>
          </cell>
          <cell r="L3773">
            <v>0</v>
          </cell>
        </row>
        <row r="3774">
          <cell r="A3774" t="str">
            <v>10</v>
          </cell>
          <cell r="B3774" t="str">
            <v>28</v>
          </cell>
          <cell r="C3774" t="str">
            <v>10</v>
          </cell>
          <cell r="D3774" t="str">
            <v>5</v>
          </cell>
          <cell r="E3774" t="str">
            <v>0022</v>
          </cell>
          <cell r="F3774" t="str">
            <v>0001</v>
          </cell>
          <cell r="G3774" t="str">
            <v>4010101</v>
          </cell>
          <cell r="H3774" t="str">
            <v>转本月出库1963.5吨果汁重加工</v>
          </cell>
          <cell r="I3774" t="b">
            <v>1</v>
          </cell>
          <cell r="J3774">
            <v>6751735.2400000002</v>
          </cell>
          <cell r="K3774">
            <v>0</v>
          </cell>
          <cell r="L3774">
            <v>0</v>
          </cell>
        </row>
        <row r="3775">
          <cell r="A3775" t="str">
            <v>10</v>
          </cell>
          <cell r="B3775" t="str">
            <v>28</v>
          </cell>
          <cell r="C3775" t="str">
            <v>10</v>
          </cell>
          <cell r="D3775" t="str">
            <v>5</v>
          </cell>
          <cell r="E3775" t="str">
            <v>0023</v>
          </cell>
          <cell r="F3775" t="str">
            <v>0002</v>
          </cell>
          <cell r="G3775" t="str">
            <v>4010101</v>
          </cell>
          <cell r="H3775" t="str">
            <v>转本月入库重加工果汁1963.5吨</v>
          </cell>
          <cell r="I3775" t="b">
            <v>0</v>
          </cell>
          <cell r="J3775">
            <v>7648785.2400000002</v>
          </cell>
          <cell r="K3775">
            <v>0</v>
          </cell>
          <cell r="L3775">
            <v>0</v>
          </cell>
        </row>
        <row r="3776">
          <cell r="A3776" t="str">
            <v>11</v>
          </cell>
          <cell r="B3776" t="str">
            <v>26</v>
          </cell>
          <cell r="C3776" t="str">
            <v>11</v>
          </cell>
          <cell r="D3776" t="str">
            <v>5</v>
          </cell>
          <cell r="E3776" t="str">
            <v>0021</v>
          </cell>
          <cell r="F3776" t="str">
            <v>0001</v>
          </cell>
          <cell r="G3776" t="str">
            <v>4010101</v>
          </cell>
          <cell r="H3776" t="str">
            <v>转本月重加工果汁耗材料</v>
          </cell>
          <cell r="I3776" t="b">
            <v>1</v>
          </cell>
          <cell r="J3776">
            <v>972385</v>
          </cell>
          <cell r="K3776">
            <v>0</v>
          </cell>
          <cell r="L3776">
            <v>0</v>
          </cell>
        </row>
        <row r="3777">
          <cell r="A3777" t="str">
            <v>11</v>
          </cell>
          <cell r="B3777" t="str">
            <v>29</v>
          </cell>
          <cell r="C3777" t="str">
            <v>11</v>
          </cell>
          <cell r="D3777" t="str">
            <v>5</v>
          </cell>
          <cell r="E3777" t="str">
            <v>0027</v>
          </cell>
          <cell r="F3777" t="str">
            <v>0001</v>
          </cell>
          <cell r="G3777" t="str">
            <v>4010101</v>
          </cell>
          <cell r="H3777" t="str">
            <v>转本月出库2242.192吨苹果汁加工</v>
          </cell>
          <cell r="I3777" t="b">
            <v>1</v>
          </cell>
          <cell r="J3777">
            <v>7588418.9800000004</v>
          </cell>
          <cell r="K3777">
            <v>0</v>
          </cell>
          <cell r="L3777">
            <v>0</v>
          </cell>
        </row>
        <row r="3778">
          <cell r="A3778" t="str">
            <v>11</v>
          </cell>
          <cell r="B3778" t="str">
            <v>29</v>
          </cell>
          <cell r="C3778" t="str">
            <v>11</v>
          </cell>
          <cell r="D3778" t="str">
            <v>5</v>
          </cell>
          <cell r="E3778" t="str">
            <v>0027</v>
          </cell>
          <cell r="F3778" t="str">
            <v>0003</v>
          </cell>
          <cell r="G3778" t="str">
            <v>4010101</v>
          </cell>
          <cell r="H3778" t="str">
            <v>转本月出库308吨梨汁重加工</v>
          </cell>
          <cell r="I3778" t="b">
            <v>1</v>
          </cell>
          <cell r="J3778">
            <v>1000341.88</v>
          </cell>
          <cell r="K3778">
            <v>0</v>
          </cell>
          <cell r="L3778">
            <v>0</v>
          </cell>
        </row>
        <row r="3779">
          <cell r="A3779" t="str">
            <v>11</v>
          </cell>
          <cell r="B3779" t="str">
            <v>30</v>
          </cell>
          <cell r="C3779" t="str">
            <v>11</v>
          </cell>
          <cell r="D3779" t="str">
            <v>5</v>
          </cell>
          <cell r="E3779" t="str">
            <v>0031</v>
          </cell>
          <cell r="F3779" t="str">
            <v>0003</v>
          </cell>
          <cell r="G3779" t="str">
            <v>4010101</v>
          </cell>
          <cell r="H3779" t="str">
            <v>转入库重加工苹果汁2242.192成本</v>
          </cell>
          <cell r="I3779" t="b">
            <v>0</v>
          </cell>
          <cell r="J3779">
            <v>8771788.9800000004</v>
          </cell>
          <cell r="K3779">
            <v>0</v>
          </cell>
          <cell r="L3779">
            <v>0</v>
          </cell>
        </row>
        <row r="3780">
          <cell r="A3780" t="str">
            <v>11</v>
          </cell>
          <cell r="B3780" t="str">
            <v>30</v>
          </cell>
          <cell r="C3780" t="str">
            <v>11</v>
          </cell>
          <cell r="D3780" t="str">
            <v>5</v>
          </cell>
          <cell r="E3780" t="str">
            <v>0031</v>
          </cell>
          <cell r="F3780" t="str">
            <v>0004</v>
          </cell>
          <cell r="G3780" t="str">
            <v>4010101</v>
          </cell>
          <cell r="H3780" t="str">
            <v>转本月入库重加工梨汁308吨</v>
          </cell>
          <cell r="I3780" t="b">
            <v>0</v>
          </cell>
          <cell r="J3780">
            <v>1148181.8799999999</v>
          </cell>
          <cell r="K3780">
            <v>0</v>
          </cell>
          <cell r="L3780">
            <v>0</v>
          </cell>
        </row>
        <row r="3781">
          <cell r="A3781" t="str">
            <v>12</v>
          </cell>
          <cell r="B3781" t="str">
            <v>27</v>
          </cell>
          <cell r="C3781" t="str">
            <v>12</v>
          </cell>
          <cell r="D3781" t="str">
            <v>5</v>
          </cell>
          <cell r="E3781" t="str">
            <v>0039</v>
          </cell>
          <cell r="F3781" t="str">
            <v>0002</v>
          </cell>
          <cell r="G3781" t="str">
            <v>4010101</v>
          </cell>
          <cell r="H3781" t="str">
            <v>转本月重加工耗材料</v>
          </cell>
          <cell r="I3781" t="b">
            <v>1</v>
          </cell>
          <cell r="J3781">
            <v>1040331</v>
          </cell>
          <cell r="K3781">
            <v>0</v>
          </cell>
          <cell r="L3781">
            <v>0</v>
          </cell>
        </row>
        <row r="3782">
          <cell r="A3782" t="str">
            <v>12</v>
          </cell>
          <cell r="B3782" t="str">
            <v>29</v>
          </cell>
          <cell r="C3782" t="str">
            <v>12</v>
          </cell>
          <cell r="D3782" t="str">
            <v>5</v>
          </cell>
          <cell r="E3782" t="str">
            <v>0080</v>
          </cell>
          <cell r="F3782" t="str">
            <v>0001</v>
          </cell>
          <cell r="G3782" t="str">
            <v>4010101</v>
          </cell>
          <cell r="H3782" t="str">
            <v>转本月出库1844.413吨苹果汁加工</v>
          </cell>
          <cell r="I3782" t="b">
            <v>1</v>
          </cell>
          <cell r="J3782">
            <v>5493163.5300000003</v>
          </cell>
          <cell r="K3782">
            <v>0</v>
          </cell>
          <cell r="L3782">
            <v>0</v>
          </cell>
        </row>
        <row r="3783">
          <cell r="A3783" t="str">
            <v>12</v>
          </cell>
          <cell r="B3783" t="str">
            <v>29</v>
          </cell>
          <cell r="C3783" t="str">
            <v>12</v>
          </cell>
          <cell r="D3783" t="str">
            <v>5</v>
          </cell>
          <cell r="E3783" t="str">
            <v>0080</v>
          </cell>
          <cell r="F3783" t="str">
            <v>0003</v>
          </cell>
          <cell r="G3783" t="str">
            <v>4010101</v>
          </cell>
          <cell r="H3783" t="str">
            <v>转本月出库68.965吨梨汁重加工</v>
          </cell>
          <cell r="I3783" t="b">
            <v>1</v>
          </cell>
          <cell r="J3783">
            <v>127331.21</v>
          </cell>
          <cell r="K3783">
            <v>0</v>
          </cell>
          <cell r="L3783">
            <v>0</v>
          </cell>
        </row>
        <row r="3784">
          <cell r="A3784" t="str">
            <v>12</v>
          </cell>
          <cell r="B3784" t="str">
            <v>29</v>
          </cell>
          <cell r="C3784" t="str">
            <v>12</v>
          </cell>
          <cell r="D3784" t="str">
            <v>5</v>
          </cell>
          <cell r="E3784" t="str">
            <v>0082</v>
          </cell>
          <cell r="F3784" t="str">
            <v>0001</v>
          </cell>
          <cell r="G3784" t="str">
            <v>4010101</v>
          </cell>
          <cell r="H3784" t="str">
            <v>结转材料成本节支差价</v>
          </cell>
          <cell r="I3784" t="b">
            <v>1</v>
          </cell>
          <cell r="J3784">
            <v>-867287.71</v>
          </cell>
          <cell r="K3784">
            <v>0</v>
          </cell>
          <cell r="L3784">
            <v>0</v>
          </cell>
        </row>
        <row r="3785">
          <cell r="A3785" t="str">
            <v>12</v>
          </cell>
          <cell r="B3785" t="str">
            <v>29</v>
          </cell>
          <cell r="C3785" t="str">
            <v>12</v>
          </cell>
          <cell r="D3785" t="str">
            <v>5</v>
          </cell>
          <cell r="E3785" t="str">
            <v>0083</v>
          </cell>
          <cell r="F3785" t="str">
            <v>0003</v>
          </cell>
          <cell r="G3785" t="str">
            <v>4010101</v>
          </cell>
          <cell r="H3785" t="str">
            <v>转本月入库重加工苹果汁成本</v>
          </cell>
          <cell r="I3785" t="b">
            <v>0</v>
          </cell>
          <cell r="J3785">
            <v>5633325.8200000003</v>
          </cell>
          <cell r="K3785">
            <v>0</v>
          </cell>
          <cell r="L3785">
            <v>0</v>
          </cell>
        </row>
        <row r="3786">
          <cell r="A3786" t="str">
            <v>12</v>
          </cell>
          <cell r="B3786" t="str">
            <v>29</v>
          </cell>
          <cell r="C3786" t="str">
            <v>12</v>
          </cell>
          <cell r="D3786" t="str">
            <v>5</v>
          </cell>
          <cell r="E3786" t="str">
            <v>0083</v>
          </cell>
          <cell r="F3786" t="str">
            <v>0004</v>
          </cell>
          <cell r="G3786" t="str">
            <v>4010101</v>
          </cell>
          <cell r="H3786" t="str">
            <v>转本月入库重加工梨汁成本</v>
          </cell>
          <cell r="I3786" t="b">
            <v>0</v>
          </cell>
          <cell r="J3786">
            <v>160212.21</v>
          </cell>
          <cell r="K3786">
            <v>0</v>
          </cell>
          <cell r="L3786">
            <v>0</v>
          </cell>
        </row>
        <row r="3787">
          <cell r="A3787" t="str">
            <v>02</v>
          </cell>
          <cell r="B3787" t="str">
            <v>28</v>
          </cell>
          <cell r="C3787" t="str">
            <v>02</v>
          </cell>
          <cell r="D3787" t="str">
            <v>5</v>
          </cell>
          <cell r="E3787" t="str">
            <v>0041</v>
          </cell>
          <cell r="F3787" t="str">
            <v>0001</v>
          </cell>
          <cell r="G3787" t="str">
            <v>4010103</v>
          </cell>
          <cell r="H3787" t="str">
            <v>转本月中鲁公司制造费用</v>
          </cell>
          <cell r="I3787" t="b">
            <v>1</v>
          </cell>
          <cell r="J3787">
            <v>89797.36</v>
          </cell>
          <cell r="K3787">
            <v>0</v>
          </cell>
          <cell r="L3787">
            <v>0</v>
          </cell>
        </row>
        <row r="3788">
          <cell r="A3788" t="str">
            <v>02</v>
          </cell>
          <cell r="B3788" t="str">
            <v>29</v>
          </cell>
          <cell r="C3788" t="str">
            <v>02</v>
          </cell>
          <cell r="D3788" t="str">
            <v>5</v>
          </cell>
          <cell r="E3788" t="str">
            <v>0050</v>
          </cell>
          <cell r="F3788" t="str">
            <v>0001</v>
          </cell>
          <cell r="G3788" t="str">
            <v>4010103</v>
          </cell>
          <cell r="H3788" t="str">
            <v>转预提果汁加工费</v>
          </cell>
          <cell r="I3788" t="b">
            <v>1</v>
          </cell>
          <cell r="J3788">
            <v>1369502.4</v>
          </cell>
          <cell r="K3788">
            <v>0</v>
          </cell>
          <cell r="L3788">
            <v>0</v>
          </cell>
        </row>
        <row r="3789">
          <cell r="A3789" t="str">
            <v>02</v>
          </cell>
          <cell r="B3789" t="str">
            <v>29</v>
          </cell>
          <cell r="C3789" t="str">
            <v>02</v>
          </cell>
          <cell r="D3789" t="str">
            <v>5</v>
          </cell>
          <cell r="E3789" t="str">
            <v>0051</v>
          </cell>
          <cell r="F3789" t="str">
            <v>0003</v>
          </cell>
          <cell r="G3789" t="str">
            <v>4010103</v>
          </cell>
          <cell r="H3789" t="str">
            <v>转本月入库2322.617吨重加工果汁</v>
          </cell>
          <cell r="I3789" t="b">
            <v>0</v>
          </cell>
          <cell r="J3789">
            <v>1459299.76</v>
          </cell>
          <cell r="K3789">
            <v>0</v>
          </cell>
          <cell r="L3789">
            <v>0</v>
          </cell>
        </row>
        <row r="3790">
          <cell r="A3790" t="str">
            <v>02</v>
          </cell>
          <cell r="B3790" t="str">
            <v>20</v>
          </cell>
          <cell r="C3790" t="str">
            <v>02</v>
          </cell>
          <cell r="D3790" t="str">
            <v>5</v>
          </cell>
          <cell r="E3790" t="str">
            <v>0001</v>
          </cell>
          <cell r="F3790" t="str">
            <v>0002</v>
          </cell>
          <cell r="G3790" t="str">
            <v>40501</v>
          </cell>
          <cell r="H3790" t="str">
            <v>转99年12月份其它部门工人工资</v>
          </cell>
          <cell r="I3790" t="b">
            <v>1</v>
          </cell>
          <cell r="J3790">
            <v>190262.13</v>
          </cell>
          <cell r="K3790">
            <v>0</v>
          </cell>
          <cell r="L3790">
            <v>0</v>
          </cell>
        </row>
        <row r="3791">
          <cell r="A3791" t="str">
            <v>02</v>
          </cell>
          <cell r="B3791" t="str">
            <v>20</v>
          </cell>
          <cell r="C3791" t="str">
            <v>02</v>
          </cell>
          <cell r="D3791" t="str">
            <v>5</v>
          </cell>
          <cell r="E3791" t="str">
            <v>0003</v>
          </cell>
          <cell r="F3791" t="str">
            <v>0002</v>
          </cell>
          <cell r="G3791" t="str">
            <v>40501</v>
          </cell>
          <cell r="H3791" t="str">
            <v>转1月份其它部门工人工资</v>
          </cell>
          <cell r="I3791" t="b">
            <v>1</v>
          </cell>
          <cell r="J3791">
            <v>179710.87</v>
          </cell>
          <cell r="K3791">
            <v>0</v>
          </cell>
          <cell r="L3791">
            <v>0</v>
          </cell>
        </row>
        <row r="3792">
          <cell r="A3792" t="str">
            <v>02</v>
          </cell>
          <cell r="B3792" t="str">
            <v>28</v>
          </cell>
          <cell r="C3792" t="str">
            <v>02</v>
          </cell>
          <cell r="D3792" t="str">
            <v>5</v>
          </cell>
          <cell r="E3792" t="str">
            <v>0041</v>
          </cell>
          <cell r="F3792" t="str">
            <v>0006</v>
          </cell>
          <cell r="G3792" t="str">
            <v>40501</v>
          </cell>
          <cell r="H3792" t="str">
            <v>转本月共同制造费用</v>
          </cell>
          <cell r="I3792" t="b">
            <v>1</v>
          </cell>
          <cell r="J3792">
            <v>-369973</v>
          </cell>
          <cell r="K3792">
            <v>0</v>
          </cell>
          <cell r="L3792">
            <v>0</v>
          </cell>
        </row>
        <row r="3793">
          <cell r="A3793" t="str">
            <v>02</v>
          </cell>
          <cell r="B3793" t="str">
            <v>29</v>
          </cell>
          <cell r="C3793" t="str">
            <v>02</v>
          </cell>
          <cell r="D3793" t="str">
            <v>5</v>
          </cell>
          <cell r="E3793" t="str">
            <v>0042</v>
          </cell>
          <cell r="F3793" t="str">
            <v>0001</v>
          </cell>
          <cell r="G3793" t="str">
            <v>40501</v>
          </cell>
          <cell r="H3793" t="str">
            <v>结转本月制造费用</v>
          </cell>
          <cell r="I3793" t="b">
            <v>0</v>
          </cell>
          <cell r="J3793">
            <v>369973</v>
          </cell>
          <cell r="K3793">
            <v>0</v>
          </cell>
          <cell r="L3793">
            <v>0</v>
          </cell>
        </row>
        <row r="3794">
          <cell r="A3794" t="str">
            <v>02</v>
          </cell>
          <cell r="B3794" t="str">
            <v>29</v>
          </cell>
          <cell r="C3794" t="str">
            <v>02</v>
          </cell>
          <cell r="D3794" t="str">
            <v>5</v>
          </cell>
          <cell r="E3794" t="str">
            <v>0042</v>
          </cell>
          <cell r="F3794" t="str">
            <v>0050</v>
          </cell>
          <cell r="G3794" t="str">
            <v>40501</v>
          </cell>
          <cell r="H3794" t="str">
            <v>结转本月制造费用</v>
          </cell>
          <cell r="I3794" t="b">
            <v>1</v>
          </cell>
          <cell r="J3794">
            <v>369973</v>
          </cell>
          <cell r="K3794">
            <v>0</v>
          </cell>
          <cell r="L3794">
            <v>0</v>
          </cell>
        </row>
        <row r="3795">
          <cell r="A3795" t="str">
            <v>03</v>
          </cell>
          <cell r="B3795" t="str">
            <v>27</v>
          </cell>
          <cell r="C3795" t="str">
            <v>03</v>
          </cell>
          <cell r="D3795" t="str">
            <v>5</v>
          </cell>
          <cell r="E3795" t="str">
            <v>0013</v>
          </cell>
          <cell r="F3795" t="str">
            <v>0002</v>
          </cell>
          <cell r="G3795" t="str">
            <v>40501</v>
          </cell>
          <cell r="H3795" t="str">
            <v>转本月其它部门工人工资</v>
          </cell>
          <cell r="I3795" t="b">
            <v>1</v>
          </cell>
          <cell r="J3795">
            <v>186038.77</v>
          </cell>
          <cell r="K3795">
            <v>0</v>
          </cell>
          <cell r="L3795">
            <v>0</v>
          </cell>
        </row>
        <row r="3796">
          <cell r="A3796" t="str">
            <v>03</v>
          </cell>
          <cell r="B3796" t="str">
            <v>30</v>
          </cell>
          <cell r="C3796" t="str">
            <v>03</v>
          </cell>
          <cell r="D3796" t="str">
            <v>5</v>
          </cell>
          <cell r="E3796" t="str">
            <v>0024</v>
          </cell>
          <cell r="F3796" t="str">
            <v>0005</v>
          </cell>
          <cell r="G3796" t="str">
            <v>40501</v>
          </cell>
          <cell r="H3796" t="str">
            <v>转本月共同制造费用</v>
          </cell>
          <cell r="I3796" t="b">
            <v>1</v>
          </cell>
          <cell r="J3796">
            <v>-186038.77</v>
          </cell>
          <cell r="K3796">
            <v>0</v>
          </cell>
          <cell r="L3796">
            <v>0</v>
          </cell>
        </row>
        <row r="3797">
          <cell r="A3797" t="str">
            <v>03</v>
          </cell>
          <cell r="B3797" t="str">
            <v>30</v>
          </cell>
          <cell r="C3797" t="str">
            <v>03</v>
          </cell>
          <cell r="D3797" t="str">
            <v>5</v>
          </cell>
          <cell r="E3797" t="str">
            <v>0025</v>
          </cell>
          <cell r="F3797" t="str">
            <v>0001</v>
          </cell>
          <cell r="G3797" t="str">
            <v>40501</v>
          </cell>
          <cell r="H3797" t="str">
            <v>结转本月制造费用</v>
          </cell>
          <cell r="I3797" t="b">
            <v>0</v>
          </cell>
          <cell r="J3797">
            <v>186038.77</v>
          </cell>
          <cell r="K3797">
            <v>0</v>
          </cell>
          <cell r="L3797">
            <v>0</v>
          </cell>
        </row>
        <row r="3798">
          <cell r="A3798" t="str">
            <v>03</v>
          </cell>
          <cell r="B3798" t="str">
            <v>30</v>
          </cell>
          <cell r="C3798" t="str">
            <v>03</v>
          </cell>
          <cell r="D3798" t="str">
            <v>5</v>
          </cell>
          <cell r="E3798" t="str">
            <v>0025</v>
          </cell>
          <cell r="F3798" t="str">
            <v>0033</v>
          </cell>
          <cell r="G3798" t="str">
            <v>40501</v>
          </cell>
          <cell r="H3798" t="str">
            <v>结转本月制造费用</v>
          </cell>
          <cell r="I3798" t="b">
            <v>1</v>
          </cell>
          <cell r="J3798">
            <v>186038.77</v>
          </cell>
          <cell r="K3798">
            <v>0</v>
          </cell>
          <cell r="L3798">
            <v>0</v>
          </cell>
        </row>
        <row r="3799">
          <cell r="A3799" t="str">
            <v>04</v>
          </cell>
          <cell r="B3799" t="str">
            <v>24</v>
          </cell>
          <cell r="C3799" t="str">
            <v>04</v>
          </cell>
          <cell r="D3799" t="str">
            <v>5</v>
          </cell>
          <cell r="E3799" t="str">
            <v>0014</v>
          </cell>
          <cell r="F3799" t="str">
            <v>0002</v>
          </cell>
          <cell r="G3799" t="str">
            <v>40501</v>
          </cell>
          <cell r="H3799" t="str">
            <v>转本月其它部门工人工资</v>
          </cell>
          <cell r="I3799" t="b">
            <v>1</v>
          </cell>
          <cell r="J3799">
            <v>199035.58</v>
          </cell>
          <cell r="K3799">
            <v>0</v>
          </cell>
          <cell r="L3799">
            <v>0</v>
          </cell>
        </row>
        <row r="3800">
          <cell r="A3800" t="str">
            <v>04</v>
          </cell>
          <cell r="B3800" t="str">
            <v>25</v>
          </cell>
          <cell r="C3800" t="str">
            <v>04</v>
          </cell>
          <cell r="D3800" t="str">
            <v>5</v>
          </cell>
          <cell r="E3800" t="str">
            <v>0020</v>
          </cell>
          <cell r="F3800" t="str">
            <v>0005</v>
          </cell>
          <cell r="G3800" t="str">
            <v>40501</v>
          </cell>
          <cell r="H3800" t="str">
            <v>转本月共同制造费用</v>
          </cell>
          <cell r="I3800" t="b">
            <v>1</v>
          </cell>
          <cell r="J3800">
            <v>-199035.58</v>
          </cell>
          <cell r="K3800">
            <v>0</v>
          </cell>
          <cell r="L3800">
            <v>0</v>
          </cell>
        </row>
        <row r="3801">
          <cell r="A3801" t="str">
            <v>04</v>
          </cell>
          <cell r="B3801" t="str">
            <v>25</v>
          </cell>
          <cell r="C3801" t="str">
            <v>04</v>
          </cell>
          <cell r="D3801" t="str">
            <v>5</v>
          </cell>
          <cell r="E3801" t="str">
            <v>0021</v>
          </cell>
          <cell r="F3801" t="str">
            <v>0001</v>
          </cell>
          <cell r="G3801" t="str">
            <v>40501</v>
          </cell>
          <cell r="H3801" t="str">
            <v>结转本月制造费用</v>
          </cell>
          <cell r="I3801" t="b">
            <v>0</v>
          </cell>
          <cell r="J3801">
            <v>199035.58</v>
          </cell>
          <cell r="K3801">
            <v>0</v>
          </cell>
          <cell r="L3801">
            <v>0</v>
          </cell>
        </row>
        <row r="3802">
          <cell r="A3802" t="str">
            <v>04</v>
          </cell>
          <cell r="B3802" t="str">
            <v>25</v>
          </cell>
          <cell r="C3802" t="str">
            <v>04</v>
          </cell>
          <cell r="D3802" t="str">
            <v>5</v>
          </cell>
          <cell r="E3802" t="str">
            <v>0021</v>
          </cell>
          <cell r="F3802" t="str">
            <v>0034</v>
          </cell>
          <cell r="G3802" t="str">
            <v>40501</v>
          </cell>
          <cell r="H3802" t="str">
            <v>结转本月制造费用</v>
          </cell>
          <cell r="I3802" t="b">
            <v>1</v>
          </cell>
          <cell r="J3802">
            <v>199035.58</v>
          </cell>
          <cell r="K3802">
            <v>0</v>
          </cell>
          <cell r="L3802">
            <v>0</v>
          </cell>
        </row>
        <row r="3803">
          <cell r="A3803" t="str">
            <v>05</v>
          </cell>
          <cell r="B3803" t="str">
            <v>02</v>
          </cell>
          <cell r="C3803" t="str">
            <v>05</v>
          </cell>
          <cell r="D3803" t="str">
            <v>5</v>
          </cell>
          <cell r="E3803" t="str">
            <v>0001</v>
          </cell>
          <cell r="F3803" t="str">
            <v>0002</v>
          </cell>
          <cell r="G3803" t="str">
            <v>40501</v>
          </cell>
          <cell r="H3803" t="str">
            <v>转本月其它部门工人工资</v>
          </cell>
          <cell r="I3803" t="b">
            <v>1</v>
          </cell>
          <cell r="J3803">
            <v>163157.26999999999</v>
          </cell>
          <cell r="K3803">
            <v>0</v>
          </cell>
          <cell r="L3803">
            <v>0</v>
          </cell>
        </row>
        <row r="3804">
          <cell r="A3804" t="str">
            <v>05</v>
          </cell>
          <cell r="B3804" t="str">
            <v>27</v>
          </cell>
          <cell r="C3804" t="str">
            <v>05</v>
          </cell>
          <cell r="D3804" t="str">
            <v>5</v>
          </cell>
          <cell r="E3804" t="str">
            <v>0029</v>
          </cell>
          <cell r="F3804" t="str">
            <v>0005</v>
          </cell>
          <cell r="G3804" t="str">
            <v>40501</v>
          </cell>
          <cell r="H3804" t="str">
            <v>转本月共同制造费用</v>
          </cell>
          <cell r="I3804" t="b">
            <v>1</v>
          </cell>
          <cell r="J3804">
            <v>-163157.26999999999</v>
          </cell>
          <cell r="K3804">
            <v>0</v>
          </cell>
          <cell r="L3804">
            <v>0</v>
          </cell>
        </row>
        <row r="3805">
          <cell r="A3805" t="str">
            <v>05</v>
          </cell>
          <cell r="B3805" t="str">
            <v>29</v>
          </cell>
          <cell r="C3805" t="str">
            <v>05</v>
          </cell>
          <cell r="D3805" t="str">
            <v>5</v>
          </cell>
          <cell r="E3805" t="str">
            <v>0030</v>
          </cell>
          <cell r="F3805" t="str">
            <v>0001</v>
          </cell>
          <cell r="G3805" t="str">
            <v>40501</v>
          </cell>
          <cell r="H3805" t="str">
            <v>结转本月制造费用</v>
          </cell>
          <cell r="I3805" t="b">
            <v>0</v>
          </cell>
          <cell r="J3805">
            <v>163157.26999999999</v>
          </cell>
          <cell r="K3805">
            <v>0</v>
          </cell>
          <cell r="L3805">
            <v>0</v>
          </cell>
        </row>
        <row r="3806">
          <cell r="A3806" t="str">
            <v>05</v>
          </cell>
          <cell r="B3806" t="str">
            <v>29</v>
          </cell>
          <cell r="C3806" t="str">
            <v>05</v>
          </cell>
          <cell r="D3806" t="str">
            <v>5</v>
          </cell>
          <cell r="E3806" t="str">
            <v>0030</v>
          </cell>
          <cell r="F3806" t="str">
            <v>0046</v>
          </cell>
          <cell r="G3806" t="str">
            <v>40501</v>
          </cell>
          <cell r="H3806" t="str">
            <v>结转本月制造费用</v>
          </cell>
          <cell r="I3806" t="b">
            <v>1</v>
          </cell>
          <cell r="J3806">
            <v>163157.26999999999</v>
          </cell>
          <cell r="K3806">
            <v>0</v>
          </cell>
          <cell r="L3806">
            <v>0</v>
          </cell>
        </row>
        <row r="3807">
          <cell r="A3807" t="str">
            <v>06</v>
          </cell>
          <cell r="B3807" t="str">
            <v>20</v>
          </cell>
          <cell r="C3807" t="str">
            <v>06</v>
          </cell>
          <cell r="D3807" t="str">
            <v>5</v>
          </cell>
          <cell r="E3807" t="str">
            <v>0007</v>
          </cell>
          <cell r="F3807" t="str">
            <v>0002</v>
          </cell>
          <cell r="G3807" t="str">
            <v>40501</v>
          </cell>
          <cell r="H3807" t="str">
            <v>转本月其它部门工人工资</v>
          </cell>
          <cell r="I3807" t="b">
            <v>1</v>
          </cell>
          <cell r="J3807">
            <v>244991.97</v>
          </cell>
          <cell r="K3807">
            <v>0</v>
          </cell>
          <cell r="L3807">
            <v>0</v>
          </cell>
        </row>
        <row r="3808">
          <cell r="A3808" t="str">
            <v>06</v>
          </cell>
          <cell r="B3808" t="str">
            <v>23</v>
          </cell>
          <cell r="C3808" t="str">
            <v>06</v>
          </cell>
          <cell r="D3808" t="str">
            <v>5</v>
          </cell>
          <cell r="E3808" t="str">
            <v>0020</v>
          </cell>
          <cell r="F3808" t="str">
            <v>0005</v>
          </cell>
          <cell r="G3808" t="str">
            <v>40501</v>
          </cell>
          <cell r="H3808" t="str">
            <v>转本月共同制造费用</v>
          </cell>
          <cell r="I3808" t="b">
            <v>1</v>
          </cell>
          <cell r="J3808">
            <v>-244991.97</v>
          </cell>
          <cell r="K3808">
            <v>0</v>
          </cell>
          <cell r="L3808">
            <v>0</v>
          </cell>
        </row>
        <row r="3809">
          <cell r="A3809" t="str">
            <v>06</v>
          </cell>
          <cell r="B3809" t="str">
            <v>25</v>
          </cell>
          <cell r="C3809" t="str">
            <v>06</v>
          </cell>
          <cell r="D3809" t="str">
            <v>5</v>
          </cell>
          <cell r="E3809" t="str">
            <v>0021</v>
          </cell>
          <cell r="F3809" t="str">
            <v>0001</v>
          </cell>
          <cell r="G3809" t="str">
            <v>40501</v>
          </cell>
          <cell r="H3809" t="str">
            <v>结转本月制造费用</v>
          </cell>
          <cell r="I3809" t="b">
            <v>0</v>
          </cell>
          <cell r="J3809">
            <v>244991.97</v>
          </cell>
          <cell r="K3809">
            <v>0</v>
          </cell>
          <cell r="L3809">
            <v>0</v>
          </cell>
        </row>
        <row r="3810">
          <cell r="A3810" t="str">
            <v>06</v>
          </cell>
          <cell r="B3810" t="str">
            <v>25</v>
          </cell>
          <cell r="C3810" t="str">
            <v>06</v>
          </cell>
          <cell r="D3810" t="str">
            <v>5</v>
          </cell>
          <cell r="E3810" t="str">
            <v>0021</v>
          </cell>
          <cell r="F3810" t="str">
            <v>0028</v>
          </cell>
          <cell r="G3810" t="str">
            <v>40501</v>
          </cell>
          <cell r="H3810" t="str">
            <v>结转本月制造费用</v>
          </cell>
          <cell r="I3810" t="b">
            <v>1</v>
          </cell>
          <cell r="J3810">
            <v>244991.97</v>
          </cell>
          <cell r="K3810">
            <v>0</v>
          </cell>
          <cell r="L3810">
            <v>0</v>
          </cell>
        </row>
        <row r="3811">
          <cell r="A3811" t="str">
            <v>07</v>
          </cell>
          <cell r="B3811" t="str">
            <v>12</v>
          </cell>
          <cell r="C3811" t="str">
            <v>07</v>
          </cell>
          <cell r="D3811" t="str">
            <v>5</v>
          </cell>
          <cell r="E3811" t="str">
            <v>0001</v>
          </cell>
          <cell r="F3811" t="str">
            <v>0002</v>
          </cell>
          <cell r="G3811" t="str">
            <v>40501</v>
          </cell>
          <cell r="H3811" t="str">
            <v>转本月其它部门工人工资</v>
          </cell>
          <cell r="I3811" t="b">
            <v>1</v>
          </cell>
          <cell r="J3811">
            <v>74451.97</v>
          </cell>
          <cell r="K3811">
            <v>0</v>
          </cell>
          <cell r="L3811">
            <v>0</v>
          </cell>
        </row>
        <row r="3812">
          <cell r="A3812" t="str">
            <v>07</v>
          </cell>
          <cell r="B3812" t="str">
            <v>27</v>
          </cell>
          <cell r="C3812" t="str">
            <v>07</v>
          </cell>
          <cell r="D3812" t="str">
            <v>5</v>
          </cell>
          <cell r="E3812" t="str">
            <v>0034</v>
          </cell>
          <cell r="F3812" t="str">
            <v>0005</v>
          </cell>
          <cell r="G3812" t="str">
            <v>40501</v>
          </cell>
          <cell r="H3812" t="str">
            <v>转本月共同制造费用</v>
          </cell>
          <cell r="I3812" t="b">
            <v>1</v>
          </cell>
          <cell r="J3812">
            <v>-74451.97</v>
          </cell>
          <cell r="K3812">
            <v>0</v>
          </cell>
          <cell r="L3812">
            <v>0</v>
          </cell>
        </row>
        <row r="3813">
          <cell r="A3813" t="str">
            <v>07</v>
          </cell>
          <cell r="B3813" t="str">
            <v>28</v>
          </cell>
          <cell r="C3813" t="str">
            <v>07</v>
          </cell>
          <cell r="D3813" t="str">
            <v>5</v>
          </cell>
          <cell r="E3813" t="str">
            <v>0035</v>
          </cell>
          <cell r="F3813" t="str">
            <v>0001</v>
          </cell>
          <cell r="G3813" t="str">
            <v>40501</v>
          </cell>
          <cell r="H3813" t="str">
            <v>结转本月制造费用</v>
          </cell>
          <cell r="I3813" t="b">
            <v>0</v>
          </cell>
          <cell r="J3813">
            <v>74451.97</v>
          </cell>
          <cell r="K3813">
            <v>0</v>
          </cell>
          <cell r="L3813">
            <v>0</v>
          </cell>
        </row>
        <row r="3814">
          <cell r="A3814" t="str">
            <v>07</v>
          </cell>
          <cell r="B3814" t="str">
            <v>28</v>
          </cell>
          <cell r="C3814" t="str">
            <v>07</v>
          </cell>
          <cell r="D3814" t="str">
            <v>5</v>
          </cell>
          <cell r="E3814" t="str">
            <v>0035</v>
          </cell>
          <cell r="F3814" t="str">
            <v>0031</v>
          </cell>
          <cell r="G3814" t="str">
            <v>40501</v>
          </cell>
          <cell r="H3814" t="str">
            <v>结转本月制造费用</v>
          </cell>
          <cell r="I3814" t="b">
            <v>1</v>
          </cell>
          <cell r="J3814">
            <v>74451.97</v>
          </cell>
          <cell r="K3814">
            <v>0</v>
          </cell>
          <cell r="L3814">
            <v>0</v>
          </cell>
        </row>
        <row r="3815">
          <cell r="A3815" t="str">
            <v>02</v>
          </cell>
          <cell r="B3815" t="str">
            <v>20</v>
          </cell>
          <cell r="C3815" t="str">
            <v>02</v>
          </cell>
          <cell r="D3815" t="str">
            <v>5</v>
          </cell>
          <cell r="E3815" t="str">
            <v>0002</v>
          </cell>
          <cell r="F3815" t="str">
            <v>0002</v>
          </cell>
          <cell r="G3815" t="str">
            <v>40502</v>
          </cell>
          <cell r="H3815" t="str">
            <v>计提99年12月份其它部门福利费</v>
          </cell>
          <cell r="I3815" t="b">
            <v>1</v>
          </cell>
          <cell r="J3815">
            <v>26636.7</v>
          </cell>
          <cell r="K3815">
            <v>0</v>
          </cell>
          <cell r="L3815">
            <v>0</v>
          </cell>
        </row>
        <row r="3816">
          <cell r="A3816" t="str">
            <v>02</v>
          </cell>
          <cell r="B3816" t="str">
            <v>20</v>
          </cell>
          <cell r="C3816" t="str">
            <v>02</v>
          </cell>
          <cell r="D3816" t="str">
            <v>5</v>
          </cell>
          <cell r="E3816" t="str">
            <v>0004</v>
          </cell>
          <cell r="F3816" t="str">
            <v>0002</v>
          </cell>
          <cell r="G3816" t="str">
            <v>40502</v>
          </cell>
          <cell r="H3816" t="str">
            <v>计提1月份其它部门职工福利费</v>
          </cell>
          <cell r="I3816" t="b">
            <v>1</v>
          </cell>
          <cell r="J3816">
            <v>25159.52</v>
          </cell>
          <cell r="K3816">
            <v>0</v>
          </cell>
          <cell r="L3816">
            <v>0</v>
          </cell>
        </row>
        <row r="3817">
          <cell r="A3817" t="str">
            <v>02</v>
          </cell>
          <cell r="B3817" t="str">
            <v>28</v>
          </cell>
          <cell r="C3817" t="str">
            <v>02</v>
          </cell>
          <cell r="D3817" t="str">
            <v>5</v>
          </cell>
          <cell r="E3817" t="str">
            <v>0041</v>
          </cell>
          <cell r="F3817" t="str">
            <v>0007</v>
          </cell>
          <cell r="G3817" t="str">
            <v>40502</v>
          </cell>
          <cell r="H3817" t="str">
            <v>转本月共同制造费用</v>
          </cell>
          <cell r="I3817" t="b">
            <v>1</v>
          </cell>
          <cell r="J3817">
            <v>-51796.22</v>
          </cell>
          <cell r="K3817">
            <v>0</v>
          </cell>
          <cell r="L3817">
            <v>0</v>
          </cell>
        </row>
        <row r="3818">
          <cell r="A3818" t="str">
            <v>02</v>
          </cell>
          <cell r="B3818" t="str">
            <v>29</v>
          </cell>
          <cell r="C3818" t="str">
            <v>02</v>
          </cell>
          <cell r="D3818" t="str">
            <v>5</v>
          </cell>
          <cell r="E3818" t="str">
            <v>0042</v>
          </cell>
          <cell r="F3818" t="str">
            <v>0002</v>
          </cell>
          <cell r="G3818" t="str">
            <v>40502</v>
          </cell>
          <cell r="H3818" t="str">
            <v>结转本月制造费用</v>
          </cell>
          <cell r="I3818" t="b">
            <v>0</v>
          </cell>
          <cell r="J3818">
            <v>51796.22</v>
          </cell>
          <cell r="K3818">
            <v>0</v>
          </cell>
          <cell r="L3818">
            <v>0</v>
          </cell>
        </row>
        <row r="3819">
          <cell r="A3819" t="str">
            <v>02</v>
          </cell>
          <cell r="B3819" t="str">
            <v>29</v>
          </cell>
          <cell r="C3819" t="str">
            <v>02</v>
          </cell>
          <cell r="D3819" t="str">
            <v>5</v>
          </cell>
          <cell r="E3819" t="str">
            <v>0042</v>
          </cell>
          <cell r="F3819" t="str">
            <v>0051</v>
          </cell>
          <cell r="G3819" t="str">
            <v>40502</v>
          </cell>
          <cell r="H3819" t="str">
            <v>结转本月制造费用</v>
          </cell>
          <cell r="I3819" t="b">
            <v>1</v>
          </cell>
          <cell r="J3819">
            <v>51796.22</v>
          </cell>
          <cell r="K3819">
            <v>0</v>
          </cell>
          <cell r="L3819">
            <v>0</v>
          </cell>
        </row>
        <row r="3820">
          <cell r="A3820" t="str">
            <v>03</v>
          </cell>
          <cell r="B3820" t="str">
            <v>27</v>
          </cell>
          <cell r="C3820" t="str">
            <v>03</v>
          </cell>
          <cell r="D3820" t="str">
            <v>5</v>
          </cell>
          <cell r="E3820" t="str">
            <v>0014</v>
          </cell>
          <cell r="F3820" t="str">
            <v>0002</v>
          </cell>
          <cell r="G3820" t="str">
            <v>40502</v>
          </cell>
          <cell r="H3820" t="str">
            <v>计提本月其它部门福利费</v>
          </cell>
          <cell r="I3820" t="b">
            <v>1</v>
          </cell>
          <cell r="J3820">
            <v>26045.43</v>
          </cell>
          <cell r="K3820">
            <v>0</v>
          </cell>
          <cell r="L3820">
            <v>0</v>
          </cell>
        </row>
        <row r="3821">
          <cell r="A3821" t="str">
            <v>03</v>
          </cell>
          <cell r="B3821" t="str">
            <v>30</v>
          </cell>
          <cell r="C3821" t="str">
            <v>03</v>
          </cell>
          <cell r="D3821" t="str">
            <v>5</v>
          </cell>
          <cell r="E3821" t="str">
            <v>0024</v>
          </cell>
          <cell r="F3821" t="str">
            <v>0006</v>
          </cell>
          <cell r="G3821" t="str">
            <v>40502</v>
          </cell>
          <cell r="H3821" t="str">
            <v>转本月共同制造费用</v>
          </cell>
          <cell r="I3821" t="b">
            <v>1</v>
          </cell>
          <cell r="J3821">
            <v>-26045.43</v>
          </cell>
          <cell r="K3821">
            <v>0</v>
          </cell>
          <cell r="L3821">
            <v>0</v>
          </cell>
        </row>
        <row r="3822">
          <cell r="A3822" t="str">
            <v>03</v>
          </cell>
          <cell r="B3822" t="str">
            <v>30</v>
          </cell>
          <cell r="C3822" t="str">
            <v>03</v>
          </cell>
          <cell r="D3822" t="str">
            <v>5</v>
          </cell>
          <cell r="E3822" t="str">
            <v>0025</v>
          </cell>
          <cell r="F3822" t="str">
            <v>0002</v>
          </cell>
          <cell r="G3822" t="str">
            <v>40502</v>
          </cell>
          <cell r="H3822" t="str">
            <v>结转本月制造费用</v>
          </cell>
          <cell r="I3822" t="b">
            <v>0</v>
          </cell>
          <cell r="J3822">
            <v>26045.43</v>
          </cell>
          <cell r="K3822">
            <v>0</v>
          </cell>
          <cell r="L3822">
            <v>0</v>
          </cell>
        </row>
        <row r="3823">
          <cell r="A3823" t="str">
            <v>03</v>
          </cell>
          <cell r="B3823" t="str">
            <v>30</v>
          </cell>
          <cell r="C3823" t="str">
            <v>03</v>
          </cell>
          <cell r="D3823" t="str">
            <v>5</v>
          </cell>
          <cell r="E3823" t="str">
            <v>0025</v>
          </cell>
          <cell r="F3823" t="str">
            <v>0034</v>
          </cell>
          <cell r="G3823" t="str">
            <v>40502</v>
          </cell>
          <cell r="H3823" t="str">
            <v>结转本月制造费用</v>
          </cell>
          <cell r="I3823" t="b">
            <v>1</v>
          </cell>
          <cell r="J3823">
            <v>26045.43</v>
          </cell>
          <cell r="K3823">
            <v>0</v>
          </cell>
          <cell r="L3823">
            <v>0</v>
          </cell>
        </row>
        <row r="3824">
          <cell r="A3824" t="str">
            <v>04</v>
          </cell>
          <cell r="B3824" t="str">
            <v>24</v>
          </cell>
          <cell r="C3824" t="str">
            <v>04</v>
          </cell>
          <cell r="D3824" t="str">
            <v>5</v>
          </cell>
          <cell r="E3824" t="str">
            <v>0015</v>
          </cell>
          <cell r="F3824" t="str">
            <v>0002</v>
          </cell>
          <cell r="G3824" t="str">
            <v>40502</v>
          </cell>
          <cell r="H3824" t="str">
            <v>计提本月其它部门职工福利费</v>
          </cell>
          <cell r="I3824" t="b">
            <v>1</v>
          </cell>
          <cell r="J3824">
            <v>27864.99</v>
          </cell>
          <cell r="K3824">
            <v>0</v>
          </cell>
          <cell r="L3824">
            <v>0</v>
          </cell>
        </row>
        <row r="3825">
          <cell r="A3825" t="str">
            <v>04</v>
          </cell>
          <cell r="B3825" t="str">
            <v>25</v>
          </cell>
          <cell r="C3825" t="str">
            <v>04</v>
          </cell>
          <cell r="D3825" t="str">
            <v>5</v>
          </cell>
          <cell r="E3825" t="str">
            <v>0020</v>
          </cell>
          <cell r="F3825" t="str">
            <v>0006</v>
          </cell>
          <cell r="G3825" t="str">
            <v>40502</v>
          </cell>
          <cell r="H3825" t="str">
            <v>转本月共同制造费用</v>
          </cell>
          <cell r="I3825" t="b">
            <v>1</v>
          </cell>
          <cell r="J3825">
            <v>-27864.99</v>
          </cell>
          <cell r="K3825">
            <v>0</v>
          </cell>
          <cell r="L3825">
            <v>0</v>
          </cell>
        </row>
        <row r="3826">
          <cell r="A3826" t="str">
            <v>04</v>
          </cell>
          <cell r="B3826" t="str">
            <v>25</v>
          </cell>
          <cell r="C3826" t="str">
            <v>04</v>
          </cell>
          <cell r="D3826" t="str">
            <v>5</v>
          </cell>
          <cell r="E3826" t="str">
            <v>0021</v>
          </cell>
          <cell r="F3826" t="str">
            <v>0002</v>
          </cell>
          <cell r="G3826" t="str">
            <v>40502</v>
          </cell>
          <cell r="H3826" t="str">
            <v>结转本月制造费用</v>
          </cell>
          <cell r="I3826" t="b">
            <v>0</v>
          </cell>
          <cell r="J3826">
            <v>27864.99</v>
          </cell>
          <cell r="K3826">
            <v>0</v>
          </cell>
          <cell r="L3826">
            <v>0</v>
          </cell>
        </row>
        <row r="3827">
          <cell r="A3827" t="str">
            <v>04</v>
          </cell>
          <cell r="B3827" t="str">
            <v>25</v>
          </cell>
          <cell r="C3827" t="str">
            <v>04</v>
          </cell>
          <cell r="D3827" t="str">
            <v>5</v>
          </cell>
          <cell r="E3827" t="str">
            <v>0021</v>
          </cell>
          <cell r="F3827" t="str">
            <v>0035</v>
          </cell>
          <cell r="G3827" t="str">
            <v>40502</v>
          </cell>
          <cell r="H3827" t="str">
            <v>结转本月制造费用</v>
          </cell>
          <cell r="I3827" t="b">
            <v>1</v>
          </cell>
          <cell r="J3827">
            <v>27864.99</v>
          </cell>
          <cell r="K3827">
            <v>0</v>
          </cell>
          <cell r="L3827">
            <v>0</v>
          </cell>
        </row>
        <row r="3828">
          <cell r="A3828" t="str">
            <v>05</v>
          </cell>
          <cell r="B3828" t="str">
            <v>25</v>
          </cell>
          <cell r="C3828" t="str">
            <v>05</v>
          </cell>
          <cell r="D3828" t="str">
            <v>5</v>
          </cell>
          <cell r="E3828" t="str">
            <v>0002</v>
          </cell>
          <cell r="F3828" t="str">
            <v>0002</v>
          </cell>
          <cell r="G3828" t="str">
            <v>40502</v>
          </cell>
          <cell r="H3828" t="str">
            <v>计提本月其它部门职工福利费</v>
          </cell>
          <cell r="I3828" t="b">
            <v>1</v>
          </cell>
          <cell r="J3828">
            <v>22842.02</v>
          </cell>
          <cell r="K3828">
            <v>0</v>
          </cell>
          <cell r="L3828">
            <v>0</v>
          </cell>
        </row>
        <row r="3829">
          <cell r="A3829" t="str">
            <v>05</v>
          </cell>
          <cell r="B3829" t="str">
            <v>27</v>
          </cell>
          <cell r="C3829" t="str">
            <v>05</v>
          </cell>
          <cell r="D3829" t="str">
            <v>5</v>
          </cell>
          <cell r="E3829" t="str">
            <v>0029</v>
          </cell>
          <cell r="F3829" t="str">
            <v>0006</v>
          </cell>
          <cell r="G3829" t="str">
            <v>40502</v>
          </cell>
          <cell r="H3829" t="str">
            <v>转本月共同制造费用</v>
          </cell>
          <cell r="I3829" t="b">
            <v>1</v>
          </cell>
          <cell r="J3829">
            <v>-22842.02</v>
          </cell>
          <cell r="K3829">
            <v>0</v>
          </cell>
          <cell r="L3829">
            <v>0</v>
          </cell>
        </row>
        <row r="3830">
          <cell r="A3830" t="str">
            <v>05</v>
          </cell>
          <cell r="B3830" t="str">
            <v>29</v>
          </cell>
          <cell r="C3830" t="str">
            <v>05</v>
          </cell>
          <cell r="D3830" t="str">
            <v>5</v>
          </cell>
          <cell r="E3830" t="str">
            <v>0030</v>
          </cell>
          <cell r="F3830" t="str">
            <v>0002</v>
          </cell>
          <cell r="G3830" t="str">
            <v>40502</v>
          </cell>
          <cell r="H3830" t="str">
            <v>结转本月制造费用</v>
          </cell>
          <cell r="I3830" t="b">
            <v>0</v>
          </cell>
          <cell r="J3830">
            <v>22842.02</v>
          </cell>
          <cell r="K3830">
            <v>0</v>
          </cell>
          <cell r="L3830">
            <v>0</v>
          </cell>
        </row>
        <row r="3831">
          <cell r="A3831" t="str">
            <v>05</v>
          </cell>
          <cell r="B3831" t="str">
            <v>29</v>
          </cell>
          <cell r="C3831" t="str">
            <v>05</v>
          </cell>
          <cell r="D3831" t="str">
            <v>5</v>
          </cell>
          <cell r="E3831" t="str">
            <v>0030</v>
          </cell>
          <cell r="F3831" t="str">
            <v>0047</v>
          </cell>
          <cell r="G3831" t="str">
            <v>40502</v>
          </cell>
          <cell r="H3831" t="str">
            <v>结转本月制造费用</v>
          </cell>
          <cell r="I3831" t="b">
            <v>1</v>
          </cell>
          <cell r="J3831">
            <v>22842.02</v>
          </cell>
          <cell r="K3831">
            <v>0</v>
          </cell>
          <cell r="L3831">
            <v>0</v>
          </cell>
        </row>
        <row r="3832">
          <cell r="A3832" t="str">
            <v>06</v>
          </cell>
          <cell r="B3832" t="str">
            <v>20</v>
          </cell>
          <cell r="C3832" t="str">
            <v>06</v>
          </cell>
          <cell r="D3832" t="str">
            <v>5</v>
          </cell>
          <cell r="E3832" t="str">
            <v>0008</v>
          </cell>
          <cell r="F3832" t="str">
            <v>0002</v>
          </cell>
          <cell r="G3832" t="str">
            <v>40502</v>
          </cell>
          <cell r="H3832" t="str">
            <v>计提本月其它部门职工福利费</v>
          </cell>
          <cell r="I3832" t="b">
            <v>1</v>
          </cell>
          <cell r="J3832">
            <v>34298.870000000003</v>
          </cell>
          <cell r="K3832">
            <v>0</v>
          </cell>
          <cell r="L3832">
            <v>0</v>
          </cell>
        </row>
        <row r="3833">
          <cell r="A3833" t="str">
            <v>06</v>
          </cell>
          <cell r="B3833" t="str">
            <v>23</v>
          </cell>
          <cell r="C3833" t="str">
            <v>06</v>
          </cell>
          <cell r="D3833" t="str">
            <v>5</v>
          </cell>
          <cell r="E3833" t="str">
            <v>0020</v>
          </cell>
          <cell r="F3833" t="str">
            <v>0006</v>
          </cell>
          <cell r="G3833" t="str">
            <v>40502</v>
          </cell>
          <cell r="H3833" t="str">
            <v>转本月共同制造费用</v>
          </cell>
          <cell r="I3833" t="b">
            <v>1</v>
          </cell>
          <cell r="J3833">
            <v>-34298.870000000003</v>
          </cell>
          <cell r="K3833">
            <v>0</v>
          </cell>
          <cell r="L3833">
            <v>0</v>
          </cell>
        </row>
        <row r="3834">
          <cell r="A3834" t="str">
            <v>06</v>
          </cell>
          <cell r="B3834" t="str">
            <v>25</v>
          </cell>
          <cell r="C3834" t="str">
            <v>06</v>
          </cell>
          <cell r="D3834" t="str">
            <v>5</v>
          </cell>
          <cell r="E3834" t="str">
            <v>0021</v>
          </cell>
          <cell r="F3834" t="str">
            <v>0002</v>
          </cell>
          <cell r="G3834" t="str">
            <v>40502</v>
          </cell>
          <cell r="H3834" t="str">
            <v>结转本月制造费用</v>
          </cell>
          <cell r="I3834" t="b">
            <v>0</v>
          </cell>
          <cell r="J3834">
            <v>34298.870000000003</v>
          </cell>
          <cell r="K3834">
            <v>0</v>
          </cell>
          <cell r="L3834">
            <v>0</v>
          </cell>
        </row>
        <row r="3835">
          <cell r="A3835" t="str">
            <v>06</v>
          </cell>
          <cell r="B3835" t="str">
            <v>25</v>
          </cell>
          <cell r="C3835" t="str">
            <v>06</v>
          </cell>
          <cell r="D3835" t="str">
            <v>5</v>
          </cell>
          <cell r="E3835" t="str">
            <v>0021</v>
          </cell>
          <cell r="F3835" t="str">
            <v>0029</v>
          </cell>
          <cell r="G3835" t="str">
            <v>40502</v>
          </cell>
          <cell r="H3835" t="str">
            <v>结转本月制造费用</v>
          </cell>
          <cell r="I3835" t="b">
            <v>1</v>
          </cell>
          <cell r="J3835">
            <v>34298.870000000003</v>
          </cell>
          <cell r="K3835">
            <v>0</v>
          </cell>
          <cell r="L3835">
            <v>0</v>
          </cell>
        </row>
        <row r="3836">
          <cell r="A3836" t="str">
            <v>07</v>
          </cell>
          <cell r="B3836" t="str">
            <v>12</v>
          </cell>
          <cell r="C3836" t="str">
            <v>07</v>
          </cell>
          <cell r="D3836" t="str">
            <v>5</v>
          </cell>
          <cell r="E3836" t="str">
            <v>0002</v>
          </cell>
          <cell r="F3836" t="str">
            <v>0002</v>
          </cell>
          <cell r="G3836" t="str">
            <v>40502</v>
          </cell>
          <cell r="H3836" t="str">
            <v>计提其它部门职工福利费</v>
          </cell>
          <cell r="I3836" t="b">
            <v>1</v>
          </cell>
          <cell r="J3836">
            <v>30391.1</v>
          </cell>
          <cell r="K3836">
            <v>0</v>
          </cell>
          <cell r="L3836">
            <v>0</v>
          </cell>
        </row>
        <row r="3837">
          <cell r="A3837" t="str">
            <v>07</v>
          </cell>
          <cell r="B3837" t="str">
            <v>27</v>
          </cell>
          <cell r="C3837" t="str">
            <v>07</v>
          </cell>
          <cell r="D3837" t="str">
            <v>5</v>
          </cell>
          <cell r="E3837" t="str">
            <v>0034</v>
          </cell>
          <cell r="F3837" t="str">
            <v>0006</v>
          </cell>
          <cell r="G3837" t="str">
            <v>40502</v>
          </cell>
          <cell r="H3837" t="str">
            <v>转本月共同制造费用</v>
          </cell>
          <cell r="I3837" t="b">
            <v>1</v>
          </cell>
          <cell r="J3837">
            <v>-30391.1</v>
          </cell>
          <cell r="K3837">
            <v>0</v>
          </cell>
          <cell r="L3837">
            <v>0</v>
          </cell>
        </row>
        <row r="3838">
          <cell r="A3838" t="str">
            <v>07</v>
          </cell>
          <cell r="B3838" t="str">
            <v>28</v>
          </cell>
          <cell r="C3838" t="str">
            <v>07</v>
          </cell>
          <cell r="D3838" t="str">
            <v>5</v>
          </cell>
          <cell r="E3838" t="str">
            <v>0035</v>
          </cell>
          <cell r="F3838" t="str">
            <v>0002</v>
          </cell>
          <cell r="G3838" t="str">
            <v>40502</v>
          </cell>
          <cell r="H3838" t="str">
            <v>结转本月制造费用</v>
          </cell>
          <cell r="I3838" t="b">
            <v>0</v>
          </cell>
          <cell r="J3838">
            <v>30391.1</v>
          </cell>
          <cell r="K3838">
            <v>0</v>
          </cell>
          <cell r="L3838">
            <v>0</v>
          </cell>
        </row>
        <row r="3839">
          <cell r="A3839" t="str">
            <v>07</v>
          </cell>
          <cell r="B3839" t="str">
            <v>28</v>
          </cell>
          <cell r="C3839" t="str">
            <v>07</v>
          </cell>
          <cell r="D3839" t="str">
            <v>5</v>
          </cell>
          <cell r="E3839" t="str">
            <v>0035</v>
          </cell>
          <cell r="F3839" t="str">
            <v>0032</v>
          </cell>
          <cell r="G3839" t="str">
            <v>40502</v>
          </cell>
          <cell r="H3839" t="str">
            <v>结转本月制造费用</v>
          </cell>
          <cell r="I3839" t="b">
            <v>1</v>
          </cell>
          <cell r="J3839">
            <v>30391.1</v>
          </cell>
          <cell r="K3839">
            <v>0</v>
          </cell>
          <cell r="L3839">
            <v>0</v>
          </cell>
        </row>
        <row r="3840">
          <cell r="A3840" t="str">
            <v>02</v>
          </cell>
          <cell r="B3840" t="str">
            <v>26</v>
          </cell>
          <cell r="C3840" t="str">
            <v>02</v>
          </cell>
          <cell r="D3840" t="str">
            <v>5</v>
          </cell>
          <cell r="E3840" t="str">
            <v>0021</v>
          </cell>
          <cell r="F3840" t="str">
            <v>0002</v>
          </cell>
          <cell r="G3840" t="str">
            <v>40503</v>
          </cell>
          <cell r="H3840" t="str">
            <v>转计提本月折旧费</v>
          </cell>
          <cell r="I3840" t="b">
            <v>1</v>
          </cell>
          <cell r="J3840">
            <v>4985.2700000000004</v>
          </cell>
          <cell r="K3840">
            <v>0</v>
          </cell>
          <cell r="L3840">
            <v>0</v>
          </cell>
        </row>
        <row r="3841">
          <cell r="A3841" t="str">
            <v>02</v>
          </cell>
          <cell r="B3841" t="str">
            <v>26</v>
          </cell>
          <cell r="C3841" t="str">
            <v>02</v>
          </cell>
          <cell r="D3841" t="str">
            <v>5</v>
          </cell>
          <cell r="E3841" t="str">
            <v>0021</v>
          </cell>
          <cell r="F3841" t="str">
            <v>0003</v>
          </cell>
          <cell r="G3841" t="str">
            <v>40503</v>
          </cell>
          <cell r="H3841" t="str">
            <v>转计提本月折旧费</v>
          </cell>
          <cell r="I3841" t="b">
            <v>1</v>
          </cell>
          <cell r="J3841">
            <v>5966.95</v>
          </cell>
          <cell r="K3841">
            <v>0</v>
          </cell>
          <cell r="L3841">
            <v>0</v>
          </cell>
        </row>
        <row r="3842">
          <cell r="A3842" t="str">
            <v>02</v>
          </cell>
          <cell r="B3842" t="str">
            <v>26</v>
          </cell>
          <cell r="C3842" t="str">
            <v>02</v>
          </cell>
          <cell r="D3842" t="str">
            <v>5</v>
          </cell>
          <cell r="E3842" t="str">
            <v>0021</v>
          </cell>
          <cell r="F3842" t="str">
            <v>0004</v>
          </cell>
          <cell r="G3842" t="str">
            <v>40503</v>
          </cell>
          <cell r="H3842" t="str">
            <v>转计提本月折旧费</v>
          </cell>
          <cell r="I3842" t="b">
            <v>1</v>
          </cell>
          <cell r="J3842">
            <v>4026.76</v>
          </cell>
          <cell r="K3842">
            <v>0</v>
          </cell>
          <cell r="L3842">
            <v>0</v>
          </cell>
        </row>
        <row r="3843">
          <cell r="A3843" t="str">
            <v>02</v>
          </cell>
          <cell r="B3843" t="str">
            <v>26</v>
          </cell>
          <cell r="C3843" t="str">
            <v>02</v>
          </cell>
          <cell r="D3843" t="str">
            <v>5</v>
          </cell>
          <cell r="E3843" t="str">
            <v>0021</v>
          </cell>
          <cell r="F3843" t="str">
            <v>0005</v>
          </cell>
          <cell r="G3843" t="str">
            <v>40503</v>
          </cell>
          <cell r="H3843" t="str">
            <v>转计提本月折旧费</v>
          </cell>
          <cell r="I3843" t="b">
            <v>1</v>
          </cell>
          <cell r="J3843">
            <v>11233.93</v>
          </cell>
          <cell r="K3843">
            <v>0</v>
          </cell>
          <cell r="L3843">
            <v>0</v>
          </cell>
        </row>
        <row r="3844">
          <cell r="A3844" t="str">
            <v>02</v>
          </cell>
          <cell r="B3844" t="str">
            <v>26</v>
          </cell>
          <cell r="C3844" t="str">
            <v>02</v>
          </cell>
          <cell r="D3844" t="str">
            <v>5</v>
          </cell>
          <cell r="E3844" t="str">
            <v>0021</v>
          </cell>
          <cell r="F3844" t="str">
            <v>0006</v>
          </cell>
          <cell r="G3844" t="str">
            <v>40503</v>
          </cell>
          <cell r="H3844" t="str">
            <v>转计提本月折旧费</v>
          </cell>
          <cell r="I3844" t="b">
            <v>1</v>
          </cell>
          <cell r="J3844">
            <v>88.43</v>
          </cell>
          <cell r="K3844">
            <v>0</v>
          </cell>
          <cell r="L3844">
            <v>0</v>
          </cell>
        </row>
        <row r="3845">
          <cell r="A3845" t="str">
            <v>02</v>
          </cell>
          <cell r="B3845" t="str">
            <v>28</v>
          </cell>
          <cell r="C3845" t="str">
            <v>02</v>
          </cell>
          <cell r="D3845" t="str">
            <v>5</v>
          </cell>
          <cell r="E3845" t="str">
            <v>0041</v>
          </cell>
          <cell r="F3845" t="str">
            <v>0008</v>
          </cell>
          <cell r="G3845" t="str">
            <v>40503</v>
          </cell>
          <cell r="H3845" t="str">
            <v>转本月共同制造费用</v>
          </cell>
          <cell r="I3845" t="b">
            <v>1</v>
          </cell>
          <cell r="J3845">
            <v>-26301.34</v>
          </cell>
          <cell r="K3845">
            <v>0</v>
          </cell>
          <cell r="L3845">
            <v>0</v>
          </cell>
        </row>
        <row r="3846">
          <cell r="A3846" t="str">
            <v>02</v>
          </cell>
          <cell r="B3846" t="str">
            <v>29</v>
          </cell>
          <cell r="C3846" t="str">
            <v>02</v>
          </cell>
          <cell r="D3846" t="str">
            <v>5</v>
          </cell>
          <cell r="E3846" t="str">
            <v>0042</v>
          </cell>
          <cell r="F3846" t="str">
            <v>0003</v>
          </cell>
          <cell r="G3846" t="str">
            <v>40503</v>
          </cell>
          <cell r="H3846" t="str">
            <v>结转本月制造费用</v>
          </cell>
          <cell r="I3846" t="b">
            <v>0</v>
          </cell>
          <cell r="J3846">
            <v>5966.95</v>
          </cell>
          <cell r="K3846">
            <v>0</v>
          </cell>
          <cell r="L3846">
            <v>0</v>
          </cell>
        </row>
        <row r="3847">
          <cell r="A3847" t="str">
            <v>02</v>
          </cell>
          <cell r="B3847" t="str">
            <v>29</v>
          </cell>
          <cell r="C3847" t="str">
            <v>02</v>
          </cell>
          <cell r="D3847" t="str">
            <v>5</v>
          </cell>
          <cell r="E3847" t="str">
            <v>0042</v>
          </cell>
          <cell r="F3847" t="str">
            <v>0004</v>
          </cell>
          <cell r="G3847" t="str">
            <v>40503</v>
          </cell>
          <cell r="H3847" t="str">
            <v>结转本月制造费用</v>
          </cell>
          <cell r="I3847" t="b">
            <v>0</v>
          </cell>
          <cell r="J3847">
            <v>11233.93</v>
          </cell>
          <cell r="K3847">
            <v>0</v>
          </cell>
          <cell r="L3847">
            <v>0</v>
          </cell>
        </row>
        <row r="3848">
          <cell r="A3848" t="str">
            <v>02</v>
          </cell>
          <cell r="B3848" t="str">
            <v>29</v>
          </cell>
          <cell r="C3848" t="str">
            <v>02</v>
          </cell>
          <cell r="D3848" t="str">
            <v>5</v>
          </cell>
          <cell r="E3848" t="str">
            <v>0042</v>
          </cell>
          <cell r="F3848" t="str">
            <v>0005</v>
          </cell>
          <cell r="G3848" t="str">
            <v>40503</v>
          </cell>
          <cell r="H3848" t="str">
            <v>结转本月制造费用</v>
          </cell>
          <cell r="I3848" t="b">
            <v>0</v>
          </cell>
          <cell r="J3848">
            <v>4985.2700000000004</v>
          </cell>
          <cell r="K3848">
            <v>0</v>
          </cell>
          <cell r="L3848">
            <v>0</v>
          </cell>
        </row>
        <row r="3849">
          <cell r="A3849" t="str">
            <v>02</v>
          </cell>
          <cell r="B3849" t="str">
            <v>29</v>
          </cell>
          <cell r="C3849" t="str">
            <v>02</v>
          </cell>
          <cell r="D3849" t="str">
            <v>5</v>
          </cell>
          <cell r="E3849" t="str">
            <v>0042</v>
          </cell>
          <cell r="F3849" t="str">
            <v>0006</v>
          </cell>
          <cell r="G3849" t="str">
            <v>40503</v>
          </cell>
          <cell r="H3849" t="str">
            <v>结转本月制造费用</v>
          </cell>
          <cell r="I3849" t="b">
            <v>0</v>
          </cell>
          <cell r="J3849">
            <v>4026.76</v>
          </cell>
          <cell r="K3849">
            <v>0</v>
          </cell>
          <cell r="L3849">
            <v>0</v>
          </cell>
        </row>
        <row r="3850">
          <cell r="A3850" t="str">
            <v>02</v>
          </cell>
          <cell r="B3850" t="str">
            <v>29</v>
          </cell>
          <cell r="C3850" t="str">
            <v>02</v>
          </cell>
          <cell r="D3850" t="str">
            <v>5</v>
          </cell>
          <cell r="E3850" t="str">
            <v>0042</v>
          </cell>
          <cell r="F3850" t="str">
            <v>0007</v>
          </cell>
          <cell r="G3850" t="str">
            <v>40503</v>
          </cell>
          <cell r="H3850" t="str">
            <v>结转本月制造费用</v>
          </cell>
          <cell r="I3850" t="b">
            <v>0</v>
          </cell>
          <cell r="J3850">
            <v>88.43</v>
          </cell>
          <cell r="K3850">
            <v>0</v>
          </cell>
          <cell r="L3850">
            <v>0</v>
          </cell>
        </row>
        <row r="3851">
          <cell r="A3851" t="str">
            <v>02</v>
          </cell>
          <cell r="B3851" t="str">
            <v>29</v>
          </cell>
          <cell r="C3851" t="str">
            <v>02</v>
          </cell>
          <cell r="D3851" t="str">
            <v>5</v>
          </cell>
          <cell r="E3851" t="str">
            <v>0042</v>
          </cell>
          <cell r="F3851" t="str">
            <v>0054</v>
          </cell>
          <cell r="G3851" t="str">
            <v>40503</v>
          </cell>
          <cell r="H3851" t="str">
            <v>结转本月制造费用</v>
          </cell>
          <cell r="I3851" t="b">
            <v>1</v>
          </cell>
          <cell r="J3851">
            <v>26301.34</v>
          </cell>
          <cell r="K3851">
            <v>0</v>
          </cell>
          <cell r="L3851">
            <v>0</v>
          </cell>
        </row>
        <row r="3852">
          <cell r="A3852" t="str">
            <v>03</v>
          </cell>
          <cell r="B3852" t="str">
            <v>27</v>
          </cell>
          <cell r="C3852" t="str">
            <v>03</v>
          </cell>
          <cell r="D3852" t="str">
            <v>5</v>
          </cell>
          <cell r="E3852" t="str">
            <v>0004</v>
          </cell>
          <cell r="F3852" t="str">
            <v>0002</v>
          </cell>
          <cell r="G3852" t="str">
            <v>40503</v>
          </cell>
          <cell r="H3852" t="str">
            <v>转计提1.3月折旧费</v>
          </cell>
          <cell r="I3852" t="b">
            <v>1</v>
          </cell>
          <cell r="J3852">
            <v>9970.5400000000009</v>
          </cell>
          <cell r="K3852">
            <v>0</v>
          </cell>
          <cell r="L3852">
            <v>0</v>
          </cell>
        </row>
        <row r="3853">
          <cell r="A3853" t="str">
            <v>03</v>
          </cell>
          <cell r="B3853" t="str">
            <v>27</v>
          </cell>
          <cell r="C3853" t="str">
            <v>03</v>
          </cell>
          <cell r="D3853" t="str">
            <v>5</v>
          </cell>
          <cell r="E3853" t="str">
            <v>0004</v>
          </cell>
          <cell r="F3853" t="str">
            <v>0003</v>
          </cell>
          <cell r="G3853" t="str">
            <v>40503</v>
          </cell>
          <cell r="H3853" t="str">
            <v>转计提1.3月折旧费</v>
          </cell>
          <cell r="I3853" t="b">
            <v>1</v>
          </cell>
          <cell r="J3853">
            <v>11933.9</v>
          </cell>
          <cell r="K3853">
            <v>0</v>
          </cell>
          <cell r="L3853">
            <v>0</v>
          </cell>
        </row>
        <row r="3854">
          <cell r="A3854" t="str">
            <v>03</v>
          </cell>
          <cell r="B3854" t="str">
            <v>27</v>
          </cell>
          <cell r="C3854" t="str">
            <v>03</v>
          </cell>
          <cell r="D3854" t="str">
            <v>5</v>
          </cell>
          <cell r="E3854" t="str">
            <v>0004</v>
          </cell>
          <cell r="F3854" t="str">
            <v>0004</v>
          </cell>
          <cell r="G3854" t="str">
            <v>40503</v>
          </cell>
          <cell r="H3854" t="str">
            <v>转计提1.3月折旧费</v>
          </cell>
          <cell r="I3854" t="b">
            <v>1</v>
          </cell>
          <cell r="J3854">
            <v>8053.52</v>
          </cell>
          <cell r="K3854">
            <v>0</v>
          </cell>
          <cell r="L3854">
            <v>0</v>
          </cell>
        </row>
        <row r="3855">
          <cell r="A3855" t="str">
            <v>03</v>
          </cell>
          <cell r="B3855" t="str">
            <v>27</v>
          </cell>
          <cell r="C3855" t="str">
            <v>03</v>
          </cell>
          <cell r="D3855" t="str">
            <v>5</v>
          </cell>
          <cell r="E3855" t="str">
            <v>0004</v>
          </cell>
          <cell r="F3855" t="str">
            <v>0005</v>
          </cell>
          <cell r="G3855" t="str">
            <v>40503</v>
          </cell>
          <cell r="H3855" t="str">
            <v>转计提1.3月折旧费</v>
          </cell>
          <cell r="I3855" t="b">
            <v>1</v>
          </cell>
          <cell r="J3855">
            <v>22467.86</v>
          </cell>
          <cell r="K3855">
            <v>0</v>
          </cell>
          <cell r="L3855">
            <v>0</v>
          </cell>
        </row>
        <row r="3856">
          <cell r="A3856" t="str">
            <v>03</v>
          </cell>
          <cell r="B3856" t="str">
            <v>27</v>
          </cell>
          <cell r="C3856" t="str">
            <v>03</v>
          </cell>
          <cell r="D3856" t="str">
            <v>5</v>
          </cell>
          <cell r="E3856" t="str">
            <v>0004</v>
          </cell>
          <cell r="F3856" t="str">
            <v>0006</v>
          </cell>
          <cell r="G3856" t="str">
            <v>40503</v>
          </cell>
          <cell r="H3856" t="str">
            <v>转计提1.3月折旧费</v>
          </cell>
          <cell r="I3856" t="b">
            <v>1</v>
          </cell>
          <cell r="J3856">
            <v>176.86</v>
          </cell>
          <cell r="K3856">
            <v>0</v>
          </cell>
          <cell r="L3856">
            <v>0</v>
          </cell>
        </row>
        <row r="3857">
          <cell r="A3857" t="str">
            <v>03</v>
          </cell>
          <cell r="B3857" t="str">
            <v>30</v>
          </cell>
          <cell r="C3857" t="str">
            <v>03</v>
          </cell>
          <cell r="D3857" t="str">
            <v>5</v>
          </cell>
          <cell r="E3857" t="str">
            <v>0024</v>
          </cell>
          <cell r="F3857" t="str">
            <v>0007</v>
          </cell>
          <cell r="G3857" t="str">
            <v>40503</v>
          </cell>
          <cell r="H3857" t="str">
            <v>转本月共同制造费用</v>
          </cell>
          <cell r="I3857" t="b">
            <v>1</v>
          </cell>
          <cell r="J3857">
            <v>-52602.68</v>
          </cell>
          <cell r="K3857">
            <v>0</v>
          </cell>
          <cell r="L3857">
            <v>0</v>
          </cell>
        </row>
        <row r="3858">
          <cell r="A3858" t="str">
            <v>03</v>
          </cell>
          <cell r="B3858" t="str">
            <v>30</v>
          </cell>
          <cell r="C3858" t="str">
            <v>03</v>
          </cell>
          <cell r="D3858" t="str">
            <v>5</v>
          </cell>
          <cell r="E3858" t="str">
            <v>0025</v>
          </cell>
          <cell r="F3858" t="str">
            <v>0003</v>
          </cell>
          <cell r="G3858" t="str">
            <v>40503</v>
          </cell>
          <cell r="H3858" t="str">
            <v>结转本月制造费用</v>
          </cell>
          <cell r="I3858" t="b">
            <v>0</v>
          </cell>
          <cell r="J3858">
            <v>11933.9</v>
          </cell>
          <cell r="K3858">
            <v>0</v>
          </cell>
          <cell r="L3858">
            <v>0</v>
          </cell>
        </row>
        <row r="3859">
          <cell r="A3859" t="str">
            <v>03</v>
          </cell>
          <cell r="B3859" t="str">
            <v>30</v>
          </cell>
          <cell r="C3859" t="str">
            <v>03</v>
          </cell>
          <cell r="D3859" t="str">
            <v>5</v>
          </cell>
          <cell r="E3859" t="str">
            <v>0025</v>
          </cell>
          <cell r="F3859" t="str">
            <v>0004</v>
          </cell>
          <cell r="G3859" t="str">
            <v>40503</v>
          </cell>
          <cell r="H3859" t="str">
            <v>结转本月制造费用</v>
          </cell>
          <cell r="I3859" t="b">
            <v>0</v>
          </cell>
          <cell r="J3859">
            <v>22467.86</v>
          </cell>
          <cell r="K3859">
            <v>0</v>
          </cell>
          <cell r="L3859">
            <v>0</v>
          </cell>
        </row>
        <row r="3860">
          <cell r="A3860" t="str">
            <v>03</v>
          </cell>
          <cell r="B3860" t="str">
            <v>30</v>
          </cell>
          <cell r="C3860" t="str">
            <v>03</v>
          </cell>
          <cell r="D3860" t="str">
            <v>5</v>
          </cell>
          <cell r="E3860" t="str">
            <v>0025</v>
          </cell>
          <cell r="F3860" t="str">
            <v>0005</v>
          </cell>
          <cell r="G3860" t="str">
            <v>40503</v>
          </cell>
          <cell r="H3860" t="str">
            <v>结转本月制造费用</v>
          </cell>
          <cell r="I3860" t="b">
            <v>0</v>
          </cell>
          <cell r="J3860">
            <v>9970.5400000000009</v>
          </cell>
          <cell r="K3860">
            <v>0</v>
          </cell>
          <cell r="L3860">
            <v>0</v>
          </cell>
        </row>
        <row r="3861">
          <cell r="A3861" t="str">
            <v>03</v>
          </cell>
          <cell r="B3861" t="str">
            <v>30</v>
          </cell>
          <cell r="C3861" t="str">
            <v>03</v>
          </cell>
          <cell r="D3861" t="str">
            <v>5</v>
          </cell>
          <cell r="E3861" t="str">
            <v>0025</v>
          </cell>
          <cell r="F3861" t="str">
            <v>0006</v>
          </cell>
          <cell r="G3861" t="str">
            <v>40503</v>
          </cell>
          <cell r="H3861" t="str">
            <v>结转本月制造费用</v>
          </cell>
          <cell r="I3861" t="b">
            <v>0</v>
          </cell>
          <cell r="J3861">
            <v>8053.52</v>
          </cell>
          <cell r="K3861">
            <v>0</v>
          </cell>
          <cell r="L3861">
            <v>0</v>
          </cell>
        </row>
        <row r="3862">
          <cell r="A3862" t="str">
            <v>03</v>
          </cell>
          <cell r="B3862" t="str">
            <v>30</v>
          </cell>
          <cell r="C3862" t="str">
            <v>03</v>
          </cell>
          <cell r="D3862" t="str">
            <v>5</v>
          </cell>
          <cell r="E3862" t="str">
            <v>0025</v>
          </cell>
          <cell r="F3862" t="str">
            <v>0007</v>
          </cell>
          <cell r="G3862" t="str">
            <v>40503</v>
          </cell>
          <cell r="H3862" t="str">
            <v>结转本月制造费用</v>
          </cell>
          <cell r="I3862" t="b">
            <v>0</v>
          </cell>
          <cell r="J3862">
            <v>176.86</v>
          </cell>
          <cell r="K3862">
            <v>0</v>
          </cell>
          <cell r="L3862">
            <v>0</v>
          </cell>
        </row>
        <row r="3863">
          <cell r="A3863" t="str">
            <v>03</v>
          </cell>
          <cell r="B3863" t="str">
            <v>30</v>
          </cell>
          <cell r="C3863" t="str">
            <v>03</v>
          </cell>
          <cell r="D3863" t="str">
            <v>5</v>
          </cell>
          <cell r="E3863" t="str">
            <v>0025</v>
          </cell>
          <cell r="F3863" t="str">
            <v>0036</v>
          </cell>
          <cell r="G3863" t="str">
            <v>40503</v>
          </cell>
          <cell r="H3863" t="str">
            <v>结转本月制造费用</v>
          </cell>
          <cell r="I3863" t="b">
            <v>1</v>
          </cell>
          <cell r="J3863">
            <v>52602.68</v>
          </cell>
          <cell r="K3863">
            <v>0</v>
          </cell>
          <cell r="L3863">
            <v>0</v>
          </cell>
        </row>
        <row r="3864">
          <cell r="A3864" t="str">
            <v>04</v>
          </cell>
          <cell r="B3864" t="str">
            <v>20</v>
          </cell>
          <cell r="C3864" t="str">
            <v>04</v>
          </cell>
          <cell r="D3864" t="str">
            <v>5</v>
          </cell>
          <cell r="E3864" t="str">
            <v>0001</v>
          </cell>
          <cell r="F3864" t="str">
            <v>0002</v>
          </cell>
          <cell r="G3864" t="str">
            <v>40503</v>
          </cell>
          <cell r="H3864" t="str">
            <v>转计提4月折旧费</v>
          </cell>
          <cell r="I3864" t="b">
            <v>1</v>
          </cell>
          <cell r="J3864">
            <v>4985.2700000000004</v>
          </cell>
          <cell r="K3864">
            <v>0</v>
          </cell>
          <cell r="L3864">
            <v>0</v>
          </cell>
        </row>
        <row r="3865">
          <cell r="A3865" t="str">
            <v>04</v>
          </cell>
          <cell r="B3865" t="str">
            <v>20</v>
          </cell>
          <cell r="C3865" t="str">
            <v>04</v>
          </cell>
          <cell r="D3865" t="str">
            <v>5</v>
          </cell>
          <cell r="E3865" t="str">
            <v>0001</v>
          </cell>
          <cell r="F3865" t="str">
            <v>0003</v>
          </cell>
          <cell r="G3865" t="str">
            <v>40503</v>
          </cell>
          <cell r="H3865" t="str">
            <v>转计提4月折旧费</v>
          </cell>
          <cell r="I3865" t="b">
            <v>1</v>
          </cell>
          <cell r="J3865">
            <v>5966.95</v>
          </cell>
          <cell r="K3865">
            <v>0</v>
          </cell>
          <cell r="L3865">
            <v>0</v>
          </cell>
        </row>
        <row r="3866">
          <cell r="A3866" t="str">
            <v>04</v>
          </cell>
          <cell r="B3866" t="str">
            <v>20</v>
          </cell>
          <cell r="C3866" t="str">
            <v>04</v>
          </cell>
          <cell r="D3866" t="str">
            <v>5</v>
          </cell>
          <cell r="E3866" t="str">
            <v>0001</v>
          </cell>
          <cell r="F3866" t="str">
            <v>0004</v>
          </cell>
          <cell r="G3866" t="str">
            <v>40503</v>
          </cell>
          <cell r="H3866" t="str">
            <v>转计提4月折旧费</v>
          </cell>
          <cell r="I3866" t="b">
            <v>1</v>
          </cell>
          <cell r="J3866">
            <v>4026.76</v>
          </cell>
          <cell r="K3866">
            <v>0</v>
          </cell>
          <cell r="L3866">
            <v>0</v>
          </cell>
        </row>
        <row r="3867">
          <cell r="A3867" t="str">
            <v>04</v>
          </cell>
          <cell r="B3867" t="str">
            <v>20</v>
          </cell>
          <cell r="C3867" t="str">
            <v>04</v>
          </cell>
          <cell r="D3867" t="str">
            <v>5</v>
          </cell>
          <cell r="E3867" t="str">
            <v>0001</v>
          </cell>
          <cell r="F3867" t="str">
            <v>0005</v>
          </cell>
          <cell r="G3867" t="str">
            <v>40503</v>
          </cell>
          <cell r="H3867" t="str">
            <v>转计提4月折旧费</v>
          </cell>
          <cell r="I3867" t="b">
            <v>1</v>
          </cell>
          <cell r="J3867">
            <v>11233.93</v>
          </cell>
          <cell r="K3867">
            <v>0</v>
          </cell>
          <cell r="L3867">
            <v>0</v>
          </cell>
        </row>
        <row r="3868">
          <cell r="A3868" t="str">
            <v>04</v>
          </cell>
          <cell r="B3868" t="str">
            <v>20</v>
          </cell>
          <cell r="C3868" t="str">
            <v>04</v>
          </cell>
          <cell r="D3868" t="str">
            <v>5</v>
          </cell>
          <cell r="E3868" t="str">
            <v>0001</v>
          </cell>
          <cell r="F3868" t="str">
            <v>0006</v>
          </cell>
          <cell r="G3868" t="str">
            <v>40503</v>
          </cell>
          <cell r="H3868" t="str">
            <v>转计提4月折旧费</v>
          </cell>
          <cell r="I3868" t="b">
            <v>1</v>
          </cell>
          <cell r="J3868">
            <v>88.43</v>
          </cell>
          <cell r="K3868">
            <v>0</v>
          </cell>
          <cell r="L3868">
            <v>0</v>
          </cell>
        </row>
        <row r="3869">
          <cell r="A3869" t="str">
            <v>04</v>
          </cell>
          <cell r="B3869" t="str">
            <v>25</v>
          </cell>
          <cell r="C3869" t="str">
            <v>04</v>
          </cell>
          <cell r="D3869" t="str">
            <v>5</v>
          </cell>
          <cell r="E3869" t="str">
            <v>0020</v>
          </cell>
          <cell r="F3869" t="str">
            <v>0007</v>
          </cell>
          <cell r="G3869" t="str">
            <v>40503</v>
          </cell>
          <cell r="H3869" t="str">
            <v>转本月共同制造费用</v>
          </cell>
          <cell r="I3869" t="b">
            <v>1</v>
          </cell>
          <cell r="J3869">
            <v>-26301.34</v>
          </cell>
          <cell r="K3869">
            <v>0</v>
          </cell>
          <cell r="L3869">
            <v>0</v>
          </cell>
        </row>
        <row r="3870">
          <cell r="A3870" t="str">
            <v>04</v>
          </cell>
          <cell r="B3870" t="str">
            <v>25</v>
          </cell>
          <cell r="C3870" t="str">
            <v>04</v>
          </cell>
          <cell r="D3870" t="str">
            <v>5</v>
          </cell>
          <cell r="E3870" t="str">
            <v>0021</v>
          </cell>
          <cell r="F3870" t="str">
            <v>0003</v>
          </cell>
          <cell r="G3870" t="str">
            <v>40503</v>
          </cell>
          <cell r="H3870" t="str">
            <v>结转本月制造费用</v>
          </cell>
          <cell r="I3870" t="b">
            <v>0</v>
          </cell>
          <cell r="J3870">
            <v>5966.95</v>
          </cell>
          <cell r="K3870">
            <v>0</v>
          </cell>
          <cell r="L3870">
            <v>0</v>
          </cell>
        </row>
        <row r="3871">
          <cell r="A3871" t="str">
            <v>04</v>
          </cell>
          <cell r="B3871" t="str">
            <v>25</v>
          </cell>
          <cell r="C3871" t="str">
            <v>04</v>
          </cell>
          <cell r="D3871" t="str">
            <v>5</v>
          </cell>
          <cell r="E3871" t="str">
            <v>0021</v>
          </cell>
          <cell r="F3871" t="str">
            <v>0004</v>
          </cell>
          <cell r="G3871" t="str">
            <v>40503</v>
          </cell>
          <cell r="H3871" t="str">
            <v>结转本月制造费用</v>
          </cell>
          <cell r="I3871" t="b">
            <v>0</v>
          </cell>
          <cell r="J3871">
            <v>11233.93</v>
          </cell>
          <cell r="K3871">
            <v>0</v>
          </cell>
          <cell r="L3871">
            <v>0</v>
          </cell>
        </row>
        <row r="3872">
          <cell r="A3872" t="str">
            <v>04</v>
          </cell>
          <cell r="B3872" t="str">
            <v>25</v>
          </cell>
          <cell r="C3872" t="str">
            <v>04</v>
          </cell>
          <cell r="D3872" t="str">
            <v>5</v>
          </cell>
          <cell r="E3872" t="str">
            <v>0021</v>
          </cell>
          <cell r="F3872" t="str">
            <v>0005</v>
          </cell>
          <cell r="G3872" t="str">
            <v>40503</v>
          </cell>
          <cell r="H3872" t="str">
            <v>结转本月制造费用</v>
          </cell>
          <cell r="I3872" t="b">
            <v>0</v>
          </cell>
          <cell r="J3872">
            <v>4985.2700000000004</v>
          </cell>
          <cell r="K3872">
            <v>0</v>
          </cell>
          <cell r="L3872">
            <v>0</v>
          </cell>
        </row>
        <row r="3873">
          <cell r="A3873" t="str">
            <v>04</v>
          </cell>
          <cell r="B3873" t="str">
            <v>25</v>
          </cell>
          <cell r="C3873" t="str">
            <v>04</v>
          </cell>
          <cell r="D3873" t="str">
            <v>5</v>
          </cell>
          <cell r="E3873" t="str">
            <v>0021</v>
          </cell>
          <cell r="F3873" t="str">
            <v>0006</v>
          </cell>
          <cell r="G3873" t="str">
            <v>40503</v>
          </cell>
          <cell r="H3873" t="str">
            <v>结转本月制造费用</v>
          </cell>
          <cell r="I3873" t="b">
            <v>0</v>
          </cell>
          <cell r="J3873">
            <v>4026.76</v>
          </cell>
          <cell r="K3873">
            <v>0</v>
          </cell>
          <cell r="L3873">
            <v>0</v>
          </cell>
        </row>
        <row r="3874">
          <cell r="A3874" t="str">
            <v>04</v>
          </cell>
          <cell r="B3874" t="str">
            <v>25</v>
          </cell>
          <cell r="C3874" t="str">
            <v>04</v>
          </cell>
          <cell r="D3874" t="str">
            <v>5</v>
          </cell>
          <cell r="E3874" t="str">
            <v>0021</v>
          </cell>
          <cell r="F3874" t="str">
            <v>0007</v>
          </cell>
          <cell r="G3874" t="str">
            <v>40503</v>
          </cell>
          <cell r="H3874" t="str">
            <v>结转本月制造费用</v>
          </cell>
          <cell r="I3874" t="b">
            <v>0</v>
          </cell>
          <cell r="J3874">
            <v>88.43</v>
          </cell>
          <cell r="K3874">
            <v>0</v>
          </cell>
          <cell r="L3874">
            <v>0</v>
          </cell>
        </row>
        <row r="3875">
          <cell r="A3875" t="str">
            <v>04</v>
          </cell>
          <cell r="B3875" t="str">
            <v>25</v>
          </cell>
          <cell r="C3875" t="str">
            <v>04</v>
          </cell>
          <cell r="D3875" t="str">
            <v>5</v>
          </cell>
          <cell r="E3875" t="str">
            <v>0021</v>
          </cell>
          <cell r="F3875" t="str">
            <v>0038</v>
          </cell>
          <cell r="G3875" t="str">
            <v>40503</v>
          </cell>
          <cell r="H3875" t="str">
            <v>结转本月制造费用</v>
          </cell>
          <cell r="I3875" t="b">
            <v>1</v>
          </cell>
          <cell r="J3875">
            <v>26301.34</v>
          </cell>
          <cell r="K3875">
            <v>0</v>
          </cell>
          <cell r="L3875">
            <v>0</v>
          </cell>
        </row>
        <row r="3876">
          <cell r="A3876" t="str">
            <v>05</v>
          </cell>
          <cell r="B3876" t="str">
            <v>25</v>
          </cell>
          <cell r="C3876" t="str">
            <v>05</v>
          </cell>
          <cell r="D3876" t="str">
            <v>5</v>
          </cell>
          <cell r="E3876" t="str">
            <v>0011</v>
          </cell>
          <cell r="F3876" t="str">
            <v>0002</v>
          </cell>
          <cell r="G3876" t="str">
            <v>40503</v>
          </cell>
          <cell r="H3876" t="str">
            <v>转计提本月折旧费</v>
          </cell>
          <cell r="I3876" t="b">
            <v>1</v>
          </cell>
          <cell r="J3876">
            <v>4985.2700000000004</v>
          </cell>
          <cell r="K3876">
            <v>0</v>
          </cell>
          <cell r="L3876">
            <v>0</v>
          </cell>
        </row>
        <row r="3877">
          <cell r="A3877" t="str">
            <v>05</v>
          </cell>
          <cell r="B3877" t="str">
            <v>25</v>
          </cell>
          <cell r="C3877" t="str">
            <v>05</v>
          </cell>
          <cell r="D3877" t="str">
            <v>5</v>
          </cell>
          <cell r="E3877" t="str">
            <v>0011</v>
          </cell>
          <cell r="F3877" t="str">
            <v>0003</v>
          </cell>
          <cell r="G3877" t="str">
            <v>40503</v>
          </cell>
          <cell r="H3877" t="str">
            <v>转计提本月折旧费</v>
          </cell>
          <cell r="I3877" t="b">
            <v>1</v>
          </cell>
          <cell r="J3877">
            <v>5966.95</v>
          </cell>
          <cell r="K3877">
            <v>0</v>
          </cell>
          <cell r="L3877">
            <v>0</v>
          </cell>
        </row>
        <row r="3878">
          <cell r="A3878" t="str">
            <v>05</v>
          </cell>
          <cell r="B3878" t="str">
            <v>25</v>
          </cell>
          <cell r="C3878" t="str">
            <v>05</v>
          </cell>
          <cell r="D3878" t="str">
            <v>5</v>
          </cell>
          <cell r="E3878" t="str">
            <v>0011</v>
          </cell>
          <cell r="F3878" t="str">
            <v>0004</v>
          </cell>
          <cell r="G3878" t="str">
            <v>40503</v>
          </cell>
          <cell r="H3878" t="str">
            <v>转计提本月折旧费</v>
          </cell>
          <cell r="I3878" t="b">
            <v>1</v>
          </cell>
          <cell r="J3878">
            <v>4026.76</v>
          </cell>
          <cell r="K3878">
            <v>0</v>
          </cell>
          <cell r="L3878">
            <v>0</v>
          </cell>
        </row>
        <row r="3879">
          <cell r="A3879" t="str">
            <v>05</v>
          </cell>
          <cell r="B3879" t="str">
            <v>25</v>
          </cell>
          <cell r="C3879" t="str">
            <v>05</v>
          </cell>
          <cell r="D3879" t="str">
            <v>5</v>
          </cell>
          <cell r="E3879" t="str">
            <v>0011</v>
          </cell>
          <cell r="F3879" t="str">
            <v>0005</v>
          </cell>
          <cell r="G3879" t="str">
            <v>40503</v>
          </cell>
          <cell r="H3879" t="str">
            <v>转计提本月折旧费</v>
          </cell>
          <cell r="I3879" t="b">
            <v>1</v>
          </cell>
          <cell r="J3879">
            <v>11233.93</v>
          </cell>
          <cell r="K3879">
            <v>0</v>
          </cell>
          <cell r="L3879">
            <v>0</v>
          </cell>
        </row>
        <row r="3880">
          <cell r="A3880" t="str">
            <v>05</v>
          </cell>
          <cell r="B3880" t="str">
            <v>25</v>
          </cell>
          <cell r="C3880" t="str">
            <v>05</v>
          </cell>
          <cell r="D3880" t="str">
            <v>5</v>
          </cell>
          <cell r="E3880" t="str">
            <v>0011</v>
          </cell>
          <cell r="F3880" t="str">
            <v>0006</v>
          </cell>
          <cell r="G3880" t="str">
            <v>40503</v>
          </cell>
          <cell r="H3880" t="str">
            <v>转计提本月折旧费</v>
          </cell>
          <cell r="I3880" t="b">
            <v>1</v>
          </cell>
          <cell r="J3880">
            <v>88.43</v>
          </cell>
          <cell r="K3880">
            <v>0</v>
          </cell>
          <cell r="L3880">
            <v>0</v>
          </cell>
        </row>
        <row r="3881">
          <cell r="A3881" t="str">
            <v>05</v>
          </cell>
          <cell r="B3881" t="str">
            <v>27</v>
          </cell>
          <cell r="C3881" t="str">
            <v>05</v>
          </cell>
          <cell r="D3881" t="str">
            <v>5</v>
          </cell>
          <cell r="E3881" t="str">
            <v>0029</v>
          </cell>
          <cell r="F3881" t="str">
            <v>0007</v>
          </cell>
          <cell r="G3881" t="str">
            <v>40503</v>
          </cell>
          <cell r="H3881" t="str">
            <v>转本月共同制造费用</v>
          </cell>
          <cell r="I3881" t="b">
            <v>1</v>
          </cell>
          <cell r="J3881">
            <v>-26301.34</v>
          </cell>
          <cell r="K3881">
            <v>0</v>
          </cell>
          <cell r="L3881">
            <v>0</v>
          </cell>
        </row>
        <row r="3882">
          <cell r="A3882" t="str">
            <v>05</v>
          </cell>
          <cell r="B3882" t="str">
            <v>29</v>
          </cell>
          <cell r="C3882" t="str">
            <v>05</v>
          </cell>
          <cell r="D3882" t="str">
            <v>5</v>
          </cell>
          <cell r="E3882" t="str">
            <v>0030</v>
          </cell>
          <cell r="F3882" t="str">
            <v>0003</v>
          </cell>
          <cell r="G3882" t="str">
            <v>40503</v>
          </cell>
          <cell r="H3882" t="str">
            <v>结转本月制造费用</v>
          </cell>
          <cell r="I3882" t="b">
            <v>0</v>
          </cell>
          <cell r="J3882">
            <v>5966.95</v>
          </cell>
          <cell r="K3882">
            <v>0</v>
          </cell>
          <cell r="L3882">
            <v>0</v>
          </cell>
        </row>
        <row r="3883">
          <cell r="A3883" t="str">
            <v>05</v>
          </cell>
          <cell r="B3883" t="str">
            <v>29</v>
          </cell>
          <cell r="C3883" t="str">
            <v>05</v>
          </cell>
          <cell r="D3883" t="str">
            <v>5</v>
          </cell>
          <cell r="E3883" t="str">
            <v>0030</v>
          </cell>
          <cell r="F3883" t="str">
            <v>0004</v>
          </cell>
          <cell r="G3883" t="str">
            <v>40503</v>
          </cell>
          <cell r="H3883" t="str">
            <v>结转本月制造费用</v>
          </cell>
          <cell r="I3883" t="b">
            <v>0</v>
          </cell>
          <cell r="J3883">
            <v>11233.93</v>
          </cell>
          <cell r="K3883">
            <v>0</v>
          </cell>
          <cell r="L3883">
            <v>0</v>
          </cell>
        </row>
        <row r="3884">
          <cell r="A3884" t="str">
            <v>05</v>
          </cell>
          <cell r="B3884" t="str">
            <v>29</v>
          </cell>
          <cell r="C3884" t="str">
            <v>05</v>
          </cell>
          <cell r="D3884" t="str">
            <v>5</v>
          </cell>
          <cell r="E3884" t="str">
            <v>0030</v>
          </cell>
          <cell r="F3884" t="str">
            <v>0005</v>
          </cell>
          <cell r="G3884" t="str">
            <v>40503</v>
          </cell>
          <cell r="H3884" t="str">
            <v>结转本月制造费用</v>
          </cell>
          <cell r="I3884" t="b">
            <v>0</v>
          </cell>
          <cell r="J3884">
            <v>4985.2700000000004</v>
          </cell>
          <cell r="K3884">
            <v>0</v>
          </cell>
          <cell r="L3884">
            <v>0</v>
          </cell>
        </row>
        <row r="3885">
          <cell r="A3885" t="str">
            <v>05</v>
          </cell>
          <cell r="B3885" t="str">
            <v>29</v>
          </cell>
          <cell r="C3885" t="str">
            <v>05</v>
          </cell>
          <cell r="D3885" t="str">
            <v>5</v>
          </cell>
          <cell r="E3885" t="str">
            <v>0030</v>
          </cell>
          <cell r="F3885" t="str">
            <v>0006</v>
          </cell>
          <cell r="G3885" t="str">
            <v>40503</v>
          </cell>
          <cell r="H3885" t="str">
            <v>结转本月制造费用</v>
          </cell>
          <cell r="I3885" t="b">
            <v>0</v>
          </cell>
          <cell r="J3885">
            <v>4026.76</v>
          </cell>
          <cell r="K3885">
            <v>0</v>
          </cell>
          <cell r="L3885">
            <v>0</v>
          </cell>
        </row>
        <row r="3886">
          <cell r="A3886" t="str">
            <v>05</v>
          </cell>
          <cell r="B3886" t="str">
            <v>29</v>
          </cell>
          <cell r="C3886" t="str">
            <v>05</v>
          </cell>
          <cell r="D3886" t="str">
            <v>5</v>
          </cell>
          <cell r="E3886" t="str">
            <v>0030</v>
          </cell>
          <cell r="F3886" t="str">
            <v>0007</v>
          </cell>
          <cell r="G3886" t="str">
            <v>40503</v>
          </cell>
          <cell r="H3886" t="str">
            <v>结转本月制造费用</v>
          </cell>
          <cell r="I3886" t="b">
            <v>0</v>
          </cell>
          <cell r="J3886">
            <v>88.43</v>
          </cell>
          <cell r="K3886">
            <v>0</v>
          </cell>
          <cell r="L3886">
            <v>0</v>
          </cell>
        </row>
        <row r="3887">
          <cell r="A3887" t="str">
            <v>05</v>
          </cell>
          <cell r="B3887" t="str">
            <v>29</v>
          </cell>
          <cell r="C3887" t="str">
            <v>05</v>
          </cell>
          <cell r="D3887" t="str">
            <v>5</v>
          </cell>
          <cell r="E3887" t="str">
            <v>0030</v>
          </cell>
          <cell r="F3887" t="str">
            <v>0049</v>
          </cell>
          <cell r="G3887" t="str">
            <v>40503</v>
          </cell>
          <cell r="H3887" t="str">
            <v>结转本月制造费用</v>
          </cell>
          <cell r="I3887" t="b">
            <v>1</v>
          </cell>
          <cell r="J3887">
            <v>26301.34</v>
          </cell>
          <cell r="K3887">
            <v>0</v>
          </cell>
          <cell r="L3887">
            <v>0</v>
          </cell>
        </row>
        <row r="3888">
          <cell r="A3888" t="str">
            <v>06</v>
          </cell>
          <cell r="B3888" t="str">
            <v>16</v>
          </cell>
          <cell r="C3888" t="str">
            <v>06</v>
          </cell>
          <cell r="D3888" t="str">
            <v>5</v>
          </cell>
          <cell r="E3888" t="str">
            <v>0005</v>
          </cell>
          <cell r="F3888" t="str">
            <v>0002</v>
          </cell>
          <cell r="G3888" t="str">
            <v>40503</v>
          </cell>
          <cell r="H3888" t="str">
            <v>转计提本月折旧费</v>
          </cell>
          <cell r="I3888" t="b">
            <v>1</v>
          </cell>
          <cell r="J3888">
            <v>4985.2700000000004</v>
          </cell>
          <cell r="K3888">
            <v>0</v>
          </cell>
          <cell r="L3888">
            <v>0</v>
          </cell>
        </row>
        <row r="3889">
          <cell r="A3889" t="str">
            <v>06</v>
          </cell>
          <cell r="B3889" t="str">
            <v>16</v>
          </cell>
          <cell r="C3889" t="str">
            <v>06</v>
          </cell>
          <cell r="D3889" t="str">
            <v>5</v>
          </cell>
          <cell r="E3889" t="str">
            <v>0005</v>
          </cell>
          <cell r="F3889" t="str">
            <v>0003</v>
          </cell>
          <cell r="G3889" t="str">
            <v>40503</v>
          </cell>
          <cell r="H3889" t="str">
            <v>转计提本月折旧费</v>
          </cell>
          <cell r="I3889" t="b">
            <v>1</v>
          </cell>
          <cell r="J3889">
            <v>5966.95</v>
          </cell>
          <cell r="K3889">
            <v>0</v>
          </cell>
          <cell r="L3889">
            <v>0</v>
          </cell>
        </row>
        <row r="3890">
          <cell r="A3890" t="str">
            <v>06</v>
          </cell>
          <cell r="B3890" t="str">
            <v>16</v>
          </cell>
          <cell r="C3890" t="str">
            <v>06</v>
          </cell>
          <cell r="D3890" t="str">
            <v>5</v>
          </cell>
          <cell r="E3890" t="str">
            <v>0005</v>
          </cell>
          <cell r="F3890" t="str">
            <v>0004</v>
          </cell>
          <cell r="G3890" t="str">
            <v>40503</v>
          </cell>
          <cell r="H3890" t="str">
            <v>转计提本月折旧费</v>
          </cell>
          <cell r="I3890" t="b">
            <v>1</v>
          </cell>
          <cell r="J3890">
            <v>4026.76</v>
          </cell>
          <cell r="K3890">
            <v>0</v>
          </cell>
          <cell r="L3890">
            <v>0</v>
          </cell>
        </row>
        <row r="3891">
          <cell r="A3891" t="str">
            <v>06</v>
          </cell>
          <cell r="B3891" t="str">
            <v>16</v>
          </cell>
          <cell r="C3891" t="str">
            <v>06</v>
          </cell>
          <cell r="D3891" t="str">
            <v>5</v>
          </cell>
          <cell r="E3891" t="str">
            <v>0005</v>
          </cell>
          <cell r="F3891" t="str">
            <v>0005</v>
          </cell>
          <cell r="G3891" t="str">
            <v>40503</v>
          </cell>
          <cell r="H3891" t="str">
            <v>转计提本月折旧费</v>
          </cell>
          <cell r="I3891" t="b">
            <v>1</v>
          </cell>
          <cell r="J3891">
            <v>11233.93</v>
          </cell>
          <cell r="K3891">
            <v>0</v>
          </cell>
          <cell r="L3891">
            <v>0</v>
          </cell>
        </row>
        <row r="3892">
          <cell r="A3892" t="str">
            <v>06</v>
          </cell>
          <cell r="B3892" t="str">
            <v>16</v>
          </cell>
          <cell r="C3892" t="str">
            <v>06</v>
          </cell>
          <cell r="D3892" t="str">
            <v>5</v>
          </cell>
          <cell r="E3892" t="str">
            <v>0005</v>
          </cell>
          <cell r="F3892" t="str">
            <v>0006</v>
          </cell>
          <cell r="G3892" t="str">
            <v>40503</v>
          </cell>
          <cell r="H3892" t="str">
            <v>转计提本月折旧费</v>
          </cell>
          <cell r="I3892" t="b">
            <v>1</v>
          </cell>
          <cell r="J3892">
            <v>88.43</v>
          </cell>
          <cell r="K3892">
            <v>0</v>
          </cell>
          <cell r="L3892">
            <v>0</v>
          </cell>
        </row>
        <row r="3893">
          <cell r="A3893" t="str">
            <v>06</v>
          </cell>
          <cell r="B3893" t="str">
            <v>23</v>
          </cell>
          <cell r="C3893" t="str">
            <v>06</v>
          </cell>
          <cell r="D3893" t="str">
            <v>5</v>
          </cell>
          <cell r="E3893" t="str">
            <v>0020</v>
          </cell>
          <cell r="F3893" t="str">
            <v>0007</v>
          </cell>
          <cell r="G3893" t="str">
            <v>40503</v>
          </cell>
          <cell r="H3893" t="str">
            <v>转本月共同制造费用</v>
          </cell>
          <cell r="I3893" t="b">
            <v>1</v>
          </cell>
          <cell r="J3893">
            <v>-26301.34</v>
          </cell>
          <cell r="K3893">
            <v>0</v>
          </cell>
          <cell r="L3893">
            <v>0</v>
          </cell>
        </row>
        <row r="3894">
          <cell r="A3894" t="str">
            <v>06</v>
          </cell>
          <cell r="B3894" t="str">
            <v>25</v>
          </cell>
          <cell r="C3894" t="str">
            <v>06</v>
          </cell>
          <cell r="D3894" t="str">
            <v>5</v>
          </cell>
          <cell r="E3894" t="str">
            <v>0021</v>
          </cell>
          <cell r="F3894" t="str">
            <v>0003</v>
          </cell>
          <cell r="G3894" t="str">
            <v>40503</v>
          </cell>
          <cell r="H3894" t="str">
            <v>结转本月制造费用</v>
          </cell>
          <cell r="I3894" t="b">
            <v>0</v>
          </cell>
          <cell r="J3894">
            <v>5966.95</v>
          </cell>
          <cell r="K3894">
            <v>0</v>
          </cell>
          <cell r="L3894">
            <v>0</v>
          </cell>
        </row>
        <row r="3895">
          <cell r="A3895" t="str">
            <v>06</v>
          </cell>
          <cell r="B3895" t="str">
            <v>25</v>
          </cell>
          <cell r="C3895" t="str">
            <v>06</v>
          </cell>
          <cell r="D3895" t="str">
            <v>5</v>
          </cell>
          <cell r="E3895" t="str">
            <v>0021</v>
          </cell>
          <cell r="F3895" t="str">
            <v>0004</v>
          </cell>
          <cell r="G3895" t="str">
            <v>40503</v>
          </cell>
          <cell r="H3895" t="str">
            <v>结转本月制造费用</v>
          </cell>
          <cell r="I3895" t="b">
            <v>0</v>
          </cell>
          <cell r="J3895">
            <v>11233.93</v>
          </cell>
          <cell r="K3895">
            <v>0</v>
          </cell>
          <cell r="L3895">
            <v>0</v>
          </cell>
        </row>
        <row r="3896">
          <cell r="A3896" t="str">
            <v>06</v>
          </cell>
          <cell r="B3896" t="str">
            <v>25</v>
          </cell>
          <cell r="C3896" t="str">
            <v>06</v>
          </cell>
          <cell r="D3896" t="str">
            <v>5</v>
          </cell>
          <cell r="E3896" t="str">
            <v>0021</v>
          </cell>
          <cell r="F3896" t="str">
            <v>0005</v>
          </cell>
          <cell r="G3896" t="str">
            <v>40503</v>
          </cell>
          <cell r="H3896" t="str">
            <v>结转本月制造费用</v>
          </cell>
          <cell r="I3896" t="b">
            <v>0</v>
          </cell>
          <cell r="J3896">
            <v>4985.2700000000004</v>
          </cell>
          <cell r="K3896">
            <v>0</v>
          </cell>
          <cell r="L3896">
            <v>0</v>
          </cell>
        </row>
        <row r="3897">
          <cell r="A3897" t="str">
            <v>06</v>
          </cell>
          <cell r="B3897" t="str">
            <v>25</v>
          </cell>
          <cell r="C3897" t="str">
            <v>06</v>
          </cell>
          <cell r="D3897" t="str">
            <v>5</v>
          </cell>
          <cell r="E3897" t="str">
            <v>0021</v>
          </cell>
          <cell r="F3897" t="str">
            <v>0006</v>
          </cell>
          <cell r="G3897" t="str">
            <v>40503</v>
          </cell>
          <cell r="H3897" t="str">
            <v>结转本月制造费用</v>
          </cell>
          <cell r="I3897" t="b">
            <v>0</v>
          </cell>
          <cell r="J3897">
            <v>4026.76</v>
          </cell>
          <cell r="K3897">
            <v>0</v>
          </cell>
          <cell r="L3897">
            <v>0</v>
          </cell>
        </row>
        <row r="3898">
          <cell r="A3898" t="str">
            <v>06</v>
          </cell>
          <cell r="B3898" t="str">
            <v>25</v>
          </cell>
          <cell r="C3898" t="str">
            <v>06</v>
          </cell>
          <cell r="D3898" t="str">
            <v>5</v>
          </cell>
          <cell r="E3898" t="str">
            <v>0021</v>
          </cell>
          <cell r="F3898" t="str">
            <v>0007</v>
          </cell>
          <cell r="G3898" t="str">
            <v>40503</v>
          </cell>
          <cell r="H3898" t="str">
            <v>结转本月制造费用</v>
          </cell>
          <cell r="I3898" t="b">
            <v>0</v>
          </cell>
          <cell r="J3898">
            <v>88.43</v>
          </cell>
          <cell r="K3898">
            <v>0</v>
          </cell>
          <cell r="L3898">
            <v>0</v>
          </cell>
        </row>
        <row r="3899">
          <cell r="A3899" t="str">
            <v>06</v>
          </cell>
          <cell r="B3899" t="str">
            <v>25</v>
          </cell>
          <cell r="C3899" t="str">
            <v>06</v>
          </cell>
          <cell r="D3899" t="str">
            <v>5</v>
          </cell>
          <cell r="E3899" t="str">
            <v>0021</v>
          </cell>
          <cell r="F3899" t="str">
            <v>0031</v>
          </cell>
          <cell r="G3899" t="str">
            <v>40503</v>
          </cell>
          <cell r="H3899" t="str">
            <v>结转本月制造费用</v>
          </cell>
          <cell r="I3899" t="b">
            <v>1</v>
          </cell>
          <cell r="J3899">
            <v>26301.34</v>
          </cell>
          <cell r="K3899">
            <v>0</v>
          </cell>
          <cell r="L3899">
            <v>0</v>
          </cell>
        </row>
        <row r="3900">
          <cell r="A3900" t="str">
            <v>07</v>
          </cell>
          <cell r="B3900" t="str">
            <v>24</v>
          </cell>
          <cell r="C3900" t="str">
            <v>07</v>
          </cell>
          <cell r="D3900" t="str">
            <v>5</v>
          </cell>
          <cell r="E3900" t="str">
            <v>0009</v>
          </cell>
          <cell r="F3900" t="str">
            <v>0002</v>
          </cell>
          <cell r="G3900" t="str">
            <v>40503</v>
          </cell>
          <cell r="H3900" t="str">
            <v>转计提本月折旧费</v>
          </cell>
          <cell r="I3900" t="b">
            <v>1</v>
          </cell>
          <cell r="J3900">
            <v>4985.2700000000004</v>
          </cell>
          <cell r="K3900">
            <v>0</v>
          </cell>
          <cell r="L3900">
            <v>0</v>
          </cell>
        </row>
        <row r="3901">
          <cell r="A3901" t="str">
            <v>07</v>
          </cell>
          <cell r="B3901" t="str">
            <v>24</v>
          </cell>
          <cell r="C3901" t="str">
            <v>07</v>
          </cell>
          <cell r="D3901" t="str">
            <v>5</v>
          </cell>
          <cell r="E3901" t="str">
            <v>0009</v>
          </cell>
          <cell r="F3901" t="str">
            <v>0003</v>
          </cell>
          <cell r="G3901" t="str">
            <v>40503</v>
          </cell>
          <cell r="H3901" t="str">
            <v>转计提本月折旧费</v>
          </cell>
          <cell r="I3901" t="b">
            <v>1</v>
          </cell>
          <cell r="J3901">
            <v>5966.95</v>
          </cell>
          <cell r="K3901">
            <v>0</v>
          </cell>
          <cell r="L3901">
            <v>0</v>
          </cell>
        </row>
        <row r="3902">
          <cell r="A3902" t="str">
            <v>07</v>
          </cell>
          <cell r="B3902" t="str">
            <v>24</v>
          </cell>
          <cell r="C3902" t="str">
            <v>07</v>
          </cell>
          <cell r="D3902" t="str">
            <v>5</v>
          </cell>
          <cell r="E3902" t="str">
            <v>0009</v>
          </cell>
          <cell r="F3902" t="str">
            <v>0004</v>
          </cell>
          <cell r="G3902" t="str">
            <v>40503</v>
          </cell>
          <cell r="H3902" t="str">
            <v>转计提本月折旧费</v>
          </cell>
          <cell r="I3902" t="b">
            <v>1</v>
          </cell>
          <cell r="J3902">
            <v>4026.76</v>
          </cell>
          <cell r="K3902">
            <v>0</v>
          </cell>
          <cell r="L3902">
            <v>0</v>
          </cell>
        </row>
        <row r="3903">
          <cell r="A3903" t="str">
            <v>07</v>
          </cell>
          <cell r="B3903" t="str">
            <v>24</v>
          </cell>
          <cell r="C3903" t="str">
            <v>07</v>
          </cell>
          <cell r="D3903" t="str">
            <v>5</v>
          </cell>
          <cell r="E3903" t="str">
            <v>0009</v>
          </cell>
          <cell r="F3903" t="str">
            <v>0005</v>
          </cell>
          <cell r="G3903" t="str">
            <v>40503</v>
          </cell>
          <cell r="H3903" t="str">
            <v>转计提本月折旧费</v>
          </cell>
          <cell r="I3903" t="b">
            <v>1</v>
          </cell>
          <cell r="J3903">
            <v>11233.93</v>
          </cell>
          <cell r="K3903">
            <v>0</v>
          </cell>
          <cell r="L3903">
            <v>0</v>
          </cell>
        </row>
        <row r="3904">
          <cell r="A3904" t="str">
            <v>07</v>
          </cell>
          <cell r="B3904" t="str">
            <v>24</v>
          </cell>
          <cell r="C3904" t="str">
            <v>07</v>
          </cell>
          <cell r="D3904" t="str">
            <v>5</v>
          </cell>
          <cell r="E3904" t="str">
            <v>0009</v>
          </cell>
          <cell r="F3904" t="str">
            <v>0006</v>
          </cell>
          <cell r="G3904" t="str">
            <v>40503</v>
          </cell>
          <cell r="H3904" t="str">
            <v>转计提本月折旧费</v>
          </cell>
          <cell r="I3904" t="b">
            <v>1</v>
          </cell>
          <cell r="J3904">
            <v>88.43</v>
          </cell>
          <cell r="K3904">
            <v>0</v>
          </cell>
          <cell r="L3904">
            <v>0</v>
          </cell>
        </row>
        <row r="3905">
          <cell r="A3905" t="str">
            <v>07</v>
          </cell>
          <cell r="B3905" t="str">
            <v>27</v>
          </cell>
          <cell r="C3905" t="str">
            <v>07</v>
          </cell>
          <cell r="D3905" t="str">
            <v>5</v>
          </cell>
          <cell r="E3905" t="str">
            <v>0034</v>
          </cell>
          <cell r="F3905" t="str">
            <v>0007</v>
          </cell>
          <cell r="G3905" t="str">
            <v>40503</v>
          </cell>
          <cell r="H3905" t="str">
            <v>转本月共同制造费用</v>
          </cell>
          <cell r="I3905" t="b">
            <v>1</v>
          </cell>
          <cell r="J3905">
            <v>-26301.34</v>
          </cell>
          <cell r="K3905">
            <v>0</v>
          </cell>
          <cell r="L3905">
            <v>0</v>
          </cell>
        </row>
        <row r="3906">
          <cell r="A3906" t="str">
            <v>07</v>
          </cell>
          <cell r="B3906" t="str">
            <v>28</v>
          </cell>
          <cell r="C3906" t="str">
            <v>07</v>
          </cell>
          <cell r="D3906" t="str">
            <v>5</v>
          </cell>
          <cell r="E3906" t="str">
            <v>0035</v>
          </cell>
          <cell r="F3906" t="str">
            <v>0003</v>
          </cell>
          <cell r="G3906" t="str">
            <v>40503</v>
          </cell>
          <cell r="H3906" t="str">
            <v>结转本月制造费用</v>
          </cell>
          <cell r="I3906" t="b">
            <v>0</v>
          </cell>
          <cell r="J3906">
            <v>5966.95</v>
          </cell>
          <cell r="K3906">
            <v>0</v>
          </cell>
          <cell r="L3906">
            <v>0</v>
          </cell>
        </row>
        <row r="3907">
          <cell r="A3907" t="str">
            <v>07</v>
          </cell>
          <cell r="B3907" t="str">
            <v>28</v>
          </cell>
          <cell r="C3907" t="str">
            <v>07</v>
          </cell>
          <cell r="D3907" t="str">
            <v>5</v>
          </cell>
          <cell r="E3907" t="str">
            <v>0035</v>
          </cell>
          <cell r="F3907" t="str">
            <v>0004</v>
          </cell>
          <cell r="G3907" t="str">
            <v>40503</v>
          </cell>
          <cell r="H3907" t="str">
            <v>结转本月制造费用</v>
          </cell>
          <cell r="I3907" t="b">
            <v>0</v>
          </cell>
          <cell r="J3907">
            <v>11233.93</v>
          </cell>
          <cell r="K3907">
            <v>0</v>
          </cell>
          <cell r="L3907">
            <v>0</v>
          </cell>
        </row>
        <row r="3908">
          <cell r="A3908" t="str">
            <v>07</v>
          </cell>
          <cell r="B3908" t="str">
            <v>28</v>
          </cell>
          <cell r="C3908" t="str">
            <v>07</v>
          </cell>
          <cell r="D3908" t="str">
            <v>5</v>
          </cell>
          <cell r="E3908" t="str">
            <v>0035</v>
          </cell>
          <cell r="F3908" t="str">
            <v>0005</v>
          </cell>
          <cell r="G3908" t="str">
            <v>40503</v>
          </cell>
          <cell r="H3908" t="str">
            <v>结转本月制造费用</v>
          </cell>
          <cell r="I3908" t="b">
            <v>0</v>
          </cell>
          <cell r="J3908">
            <v>4985.2700000000004</v>
          </cell>
          <cell r="K3908">
            <v>0</v>
          </cell>
          <cell r="L3908">
            <v>0</v>
          </cell>
        </row>
        <row r="3909">
          <cell r="A3909" t="str">
            <v>07</v>
          </cell>
          <cell r="B3909" t="str">
            <v>28</v>
          </cell>
          <cell r="C3909" t="str">
            <v>07</v>
          </cell>
          <cell r="D3909" t="str">
            <v>5</v>
          </cell>
          <cell r="E3909" t="str">
            <v>0035</v>
          </cell>
          <cell r="F3909" t="str">
            <v>0006</v>
          </cell>
          <cell r="G3909" t="str">
            <v>40503</v>
          </cell>
          <cell r="H3909" t="str">
            <v>结转本月制造费用</v>
          </cell>
          <cell r="I3909" t="b">
            <v>0</v>
          </cell>
          <cell r="J3909">
            <v>4026.76</v>
          </cell>
          <cell r="K3909">
            <v>0</v>
          </cell>
          <cell r="L3909">
            <v>0</v>
          </cell>
        </row>
        <row r="3910">
          <cell r="A3910" t="str">
            <v>07</v>
          </cell>
          <cell r="B3910" t="str">
            <v>28</v>
          </cell>
          <cell r="C3910" t="str">
            <v>07</v>
          </cell>
          <cell r="D3910" t="str">
            <v>5</v>
          </cell>
          <cell r="E3910" t="str">
            <v>0035</v>
          </cell>
          <cell r="F3910" t="str">
            <v>0007</v>
          </cell>
          <cell r="G3910" t="str">
            <v>40503</v>
          </cell>
          <cell r="H3910" t="str">
            <v>结转本月制造费用</v>
          </cell>
          <cell r="I3910" t="b">
            <v>0</v>
          </cell>
          <cell r="J3910">
            <v>88.43</v>
          </cell>
          <cell r="K3910">
            <v>0</v>
          </cell>
          <cell r="L3910">
            <v>0</v>
          </cell>
        </row>
        <row r="3911">
          <cell r="A3911" t="str">
            <v>07</v>
          </cell>
          <cell r="B3911" t="str">
            <v>28</v>
          </cell>
          <cell r="C3911" t="str">
            <v>07</v>
          </cell>
          <cell r="D3911" t="str">
            <v>5</v>
          </cell>
          <cell r="E3911" t="str">
            <v>0035</v>
          </cell>
          <cell r="F3911" t="str">
            <v>0034</v>
          </cell>
          <cell r="G3911" t="str">
            <v>40503</v>
          </cell>
          <cell r="H3911" t="str">
            <v>结转本月制造费用</v>
          </cell>
          <cell r="I3911" t="b">
            <v>1</v>
          </cell>
          <cell r="J3911">
            <v>26301.34</v>
          </cell>
          <cell r="K3911">
            <v>0</v>
          </cell>
          <cell r="L3911">
            <v>0</v>
          </cell>
        </row>
        <row r="3912">
          <cell r="A3912" t="str">
            <v>02</v>
          </cell>
          <cell r="B3912" t="str">
            <v>23</v>
          </cell>
          <cell r="C3912" t="str">
            <v>02</v>
          </cell>
          <cell r="D3912" t="str">
            <v>5</v>
          </cell>
          <cell r="E3912" t="str">
            <v>0013</v>
          </cell>
          <cell r="F3912" t="str">
            <v>0001</v>
          </cell>
          <cell r="G3912" t="str">
            <v>40504</v>
          </cell>
          <cell r="H3912" t="str">
            <v>转报销修理费及配件款</v>
          </cell>
          <cell r="I3912" t="b">
            <v>1</v>
          </cell>
          <cell r="J3912">
            <v>1760.12</v>
          </cell>
          <cell r="K3912">
            <v>0</v>
          </cell>
          <cell r="L3912">
            <v>0</v>
          </cell>
        </row>
        <row r="3913">
          <cell r="A3913" t="str">
            <v>02</v>
          </cell>
          <cell r="B3913" t="str">
            <v>28</v>
          </cell>
          <cell r="C3913" t="str">
            <v>02</v>
          </cell>
          <cell r="D3913" t="str">
            <v>5</v>
          </cell>
          <cell r="E3913" t="str">
            <v>0041</v>
          </cell>
          <cell r="F3913" t="str">
            <v>0009</v>
          </cell>
          <cell r="G3913" t="str">
            <v>40504</v>
          </cell>
          <cell r="H3913" t="str">
            <v>转本月共同制造费用</v>
          </cell>
          <cell r="I3913" t="b">
            <v>1</v>
          </cell>
          <cell r="J3913">
            <v>-1760.12</v>
          </cell>
          <cell r="K3913">
            <v>0</v>
          </cell>
          <cell r="L3913">
            <v>0</v>
          </cell>
        </row>
        <row r="3914">
          <cell r="A3914" t="str">
            <v>02</v>
          </cell>
          <cell r="B3914" t="str">
            <v>29</v>
          </cell>
          <cell r="C3914" t="str">
            <v>02</v>
          </cell>
          <cell r="D3914" t="str">
            <v>5</v>
          </cell>
          <cell r="E3914" t="str">
            <v>0042</v>
          </cell>
          <cell r="F3914" t="str">
            <v>0008</v>
          </cell>
          <cell r="G3914" t="str">
            <v>40504</v>
          </cell>
          <cell r="H3914" t="str">
            <v>结转本月制造费用</v>
          </cell>
          <cell r="I3914" t="b">
            <v>0</v>
          </cell>
          <cell r="J3914">
            <v>1760.12</v>
          </cell>
          <cell r="K3914">
            <v>0</v>
          </cell>
          <cell r="L3914">
            <v>0</v>
          </cell>
        </row>
        <row r="3915">
          <cell r="A3915" t="str">
            <v>02</v>
          </cell>
          <cell r="B3915" t="str">
            <v>29</v>
          </cell>
          <cell r="C3915" t="str">
            <v>02</v>
          </cell>
          <cell r="D3915" t="str">
            <v>5</v>
          </cell>
          <cell r="E3915" t="str">
            <v>0042</v>
          </cell>
          <cell r="F3915" t="str">
            <v>0055</v>
          </cell>
          <cell r="G3915" t="str">
            <v>40504</v>
          </cell>
          <cell r="H3915" t="str">
            <v>结转本月制造费用</v>
          </cell>
          <cell r="I3915" t="b">
            <v>1</v>
          </cell>
          <cell r="J3915">
            <v>1760.12</v>
          </cell>
          <cell r="K3915">
            <v>0</v>
          </cell>
          <cell r="L3915">
            <v>0</v>
          </cell>
        </row>
        <row r="3916">
          <cell r="A3916" t="str">
            <v>05</v>
          </cell>
          <cell r="B3916" t="str">
            <v>15</v>
          </cell>
          <cell r="C3916" t="str">
            <v>05</v>
          </cell>
          <cell r="D3916" t="str">
            <v>4</v>
          </cell>
          <cell r="E3916" t="str">
            <v>0010</v>
          </cell>
          <cell r="F3916" t="str">
            <v>0001</v>
          </cell>
          <cell r="G3916" t="str">
            <v>40504</v>
          </cell>
          <cell r="H3916" t="str">
            <v>付修车费</v>
          </cell>
          <cell r="I3916" t="b">
            <v>1</v>
          </cell>
          <cell r="J3916">
            <v>3615</v>
          </cell>
          <cell r="K3916">
            <v>0</v>
          </cell>
          <cell r="L3916">
            <v>0</v>
          </cell>
        </row>
        <row r="3917">
          <cell r="A3917" t="str">
            <v>05</v>
          </cell>
          <cell r="B3917" t="str">
            <v>27</v>
          </cell>
          <cell r="C3917" t="str">
            <v>05</v>
          </cell>
          <cell r="D3917" t="str">
            <v>5</v>
          </cell>
          <cell r="E3917" t="str">
            <v>0029</v>
          </cell>
          <cell r="F3917" t="str">
            <v>0016</v>
          </cell>
          <cell r="G3917" t="str">
            <v>40504</v>
          </cell>
          <cell r="H3917" t="str">
            <v>转本月共同制造费用</v>
          </cell>
          <cell r="I3917" t="b">
            <v>1</v>
          </cell>
          <cell r="J3917">
            <v>-3615</v>
          </cell>
          <cell r="K3917">
            <v>0</v>
          </cell>
          <cell r="L3917">
            <v>0</v>
          </cell>
        </row>
        <row r="3918">
          <cell r="A3918" t="str">
            <v>05</v>
          </cell>
          <cell r="B3918" t="str">
            <v>29</v>
          </cell>
          <cell r="C3918" t="str">
            <v>05</v>
          </cell>
          <cell r="D3918" t="str">
            <v>5</v>
          </cell>
          <cell r="E3918" t="str">
            <v>0030</v>
          </cell>
          <cell r="F3918" t="str">
            <v>0008</v>
          </cell>
          <cell r="G3918" t="str">
            <v>40504</v>
          </cell>
          <cell r="H3918" t="str">
            <v>结转本月制造费用</v>
          </cell>
          <cell r="I3918" t="b">
            <v>0</v>
          </cell>
          <cell r="J3918">
            <v>3615</v>
          </cell>
          <cell r="K3918">
            <v>0</v>
          </cell>
          <cell r="L3918">
            <v>0</v>
          </cell>
        </row>
        <row r="3919">
          <cell r="A3919" t="str">
            <v>05</v>
          </cell>
          <cell r="B3919" t="str">
            <v>29</v>
          </cell>
          <cell r="C3919" t="str">
            <v>05</v>
          </cell>
          <cell r="D3919" t="str">
            <v>5</v>
          </cell>
          <cell r="E3919" t="str">
            <v>0030</v>
          </cell>
          <cell r="F3919" t="str">
            <v>0050</v>
          </cell>
          <cell r="G3919" t="str">
            <v>40504</v>
          </cell>
          <cell r="H3919" t="str">
            <v>结转本月制造费用</v>
          </cell>
          <cell r="I3919" t="b">
            <v>1</v>
          </cell>
          <cell r="J3919">
            <v>3615</v>
          </cell>
          <cell r="K3919">
            <v>0</v>
          </cell>
          <cell r="L3919">
            <v>0</v>
          </cell>
        </row>
        <row r="3920">
          <cell r="A3920" t="str">
            <v>02</v>
          </cell>
          <cell r="B3920" t="str">
            <v>08</v>
          </cell>
          <cell r="C3920" t="str">
            <v>02</v>
          </cell>
          <cell r="D3920" t="str">
            <v>2</v>
          </cell>
          <cell r="E3920" t="str">
            <v>0021</v>
          </cell>
          <cell r="F3920" t="str">
            <v>0001</v>
          </cell>
          <cell r="G3920" t="str">
            <v>40505</v>
          </cell>
          <cell r="H3920" t="str">
            <v>付笔款</v>
          </cell>
          <cell r="I3920" t="b">
            <v>1</v>
          </cell>
          <cell r="J3920">
            <v>38</v>
          </cell>
          <cell r="K3920">
            <v>0</v>
          </cell>
          <cell r="L3920">
            <v>0</v>
          </cell>
        </row>
        <row r="3921">
          <cell r="A3921" t="str">
            <v>02</v>
          </cell>
          <cell r="B3921" t="str">
            <v>13</v>
          </cell>
          <cell r="C3921" t="str">
            <v>02</v>
          </cell>
          <cell r="D3921" t="str">
            <v>2</v>
          </cell>
          <cell r="E3921" t="str">
            <v>0026</v>
          </cell>
          <cell r="F3921" t="str">
            <v>0003</v>
          </cell>
          <cell r="G3921" t="str">
            <v>40505</v>
          </cell>
          <cell r="H3921" t="str">
            <v>付电话费</v>
          </cell>
          <cell r="I3921" t="b">
            <v>1</v>
          </cell>
          <cell r="J3921">
            <v>458.9</v>
          </cell>
          <cell r="K3921">
            <v>0</v>
          </cell>
          <cell r="L3921">
            <v>0</v>
          </cell>
        </row>
        <row r="3922">
          <cell r="A3922" t="str">
            <v>02</v>
          </cell>
          <cell r="B3922" t="str">
            <v>20</v>
          </cell>
          <cell r="C3922" t="str">
            <v>02</v>
          </cell>
          <cell r="D3922" t="str">
            <v>2</v>
          </cell>
          <cell r="E3922" t="str">
            <v>0037</v>
          </cell>
          <cell r="F3922" t="str">
            <v>0003</v>
          </cell>
          <cell r="G3922" t="str">
            <v>40505</v>
          </cell>
          <cell r="H3922" t="str">
            <v>付电话费</v>
          </cell>
          <cell r="I3922" t="b">
            <v>1</v>
          </cell>
          <cell r="J3922">
            <v>168.1</v>
          </cell>
          <cell r="K3922">
            <v>0</v>
          </cell>
          <cell r="L3922">
            <v>0</v>
          </cell>
        </row>
        <row r="3923">
          <cell r="A3923" t="str">
            <v>02</v>
          </cell>
          <cell r="B3923" t="str">
            <v>28</v>
          </cell>
          <cell r="C3923" t="str">
            <v>02</v>
          </cell>
          <cell r="D3923" t="str">
            <v>5</v>
          </cell>
          <cell r="E3923" t="str">
            <v>0041</v>
          </cell>
          <cell r="F3923" t="str">
            <v>0010</v>
          </cell>
          <cell r="G3923" t="str">
            <v>40505</v>
          </cell>
          <cell r="H3923" t="str">
            <v>转本月共同制造费用</v>
          </cell>
          <cell r="I3923" t="b">
            <v>1</v>
          </cell>
          <cell r="J3923">
            <v>-665</v>
          </cell>
          <cell r="K3923">
            <v>0</v>
          </cell>
          <cell r="L3923">
            <v>0</v>
          </cell>
        </row>
        <row r="3924">
          <cell r="A3924" t="str">
            <v>02</v>
          </cell>
          <cell r="B3924" t="str">
            <v>29</v>
          </cell>
          <cell r="C3924" t="str">
            <v>02</v>
          </cell>
          <cell r="D3924" t="str">
            <v>5</v>
          </cell>
          <cell r="E3924" t="str">
            <v>0042</v>
          </cell>
          <cell r="F3924" t="str">
            <v>0009</v>
          </cell>
          <cell r="G3924" t="str">
            <v>40505</v>
          </cell>
          <cell r="H3924" t="str">
            <v>结转本月制造费用</v>
          </cell>
          <cell r="I3924" t="b">
            <v>0</v>
          </cell>
          <cell r="J3924">
            <v>168.1</v>
          </cell>
          <cell r="K3924">
            <v>0</v>
          </cell>
          <cell r="L3924">
            <v>0</v>
          </cell>
        </row>
        <row r="3925">
          <cell r="A3925" t="str">
            <v>02</v>
          </cell>
          <cell r="B3925" t="str">
            <v>29</v>
          </cell>
          <cell r="C3925" t="str">
            <v>02</v>
          </cell>
          <cell r="D3925" t="str">
            <v>5</v>
          </cell>
          <cell r="E3925" t="str">
            <v>0042</v>
          </cell>
          <cell r="F3925" t="str">
            <v>0010</v>
          </cell>
          <cell r="G3925" t="str">
            <v>40505</v>
          </cell>
          <cell r="H3925" t="str">
            <v>结转本月制造费用</v>
          </cell>
          <cell r="I3925" t="b">
            <v>0</v>
          </cell>
          <cell r="J3925">
            <v>458.9</v>
          </cell>
          <cell r="K3925">
            <v>0</v>
          </cell>
          <cell r="L3925">
            <v>0</v>
          </cell>
        </row>
        <row r="3926">
          <cell r="A3926" t="str">
            <v>02</v>
          </cell>
          <cell r="B3926" t="str">
            <v>29</v>
          </cell>
          <cell r="C3926" t="str">
            <v>02</v>
          </cell>
          <cell r="D3926" t="str">
            <v>5</v>
          </cell>
          <cell r="E3926" t="str">
            <v>0042</v>
          </cell>
          <cell r="F3926" t="str">
            <v>0011</v>
          </cell>
          <cell r="G3926" t="str">
            <v>40505</v>
          </cell>
          <cell r="H3926" t="str">
            <v>结转本月制造费用</v>
          </cell>
          <cell r="I3926" t="b">
            <v>0</v>
          </cell>
          <cell r="J3926">
            <v>38</v>
          </cell>
          <cell r="K3926">
            <v>0</v>
          </cell>
          <cell r="L3926">
            <v>0</v>
          </cell>
        </row>
        <row r="3927">
          <cell r="A3927" t="str">
            <v>02</v>
          </cell>
          <cell r="B3927" t="str">
            <v>29</v>
          </cell>
          <cell r="C3927" t="str">
            <v>02</v>
          </cell>
          <cell r="D3927" t="str">
            <v>5</v>
          </cell>
          <cell r="E3927" t="str">
            <v>0042</v>
          </cell>
          <cell r="F3927" t="str">
            <v>0053</v>
          </cell>
          <cell r="G3927" t="str">
            <v>40505</v>
          </cell>
          <cell r="H3927" t="str">
            <v>结转本月制造费用</v>
          </cell>
          <cell r="I3927" t="b">
            <v>1</v>
          </cell>
          <cell r="J3927">
            <v>665</v>
          </cell>
          <cell r="K3927">
            <v>0</v>
          </cell>
          <cell r="L3927">
            <v>0</v>
          </cell>
        </row>
        <row r="3928">
          <cell r="A3928" t="str">
            <v>04</v>
          </cell>
          <cell r="B3928" t="str">
            <v>15</v>
          </cell>
          <cell r="C3928" t="str">
            <v>04</v>
          </cell>
          <cell r="D3928" t="str">
            <v>2</v>
          </cell>
          <cell r="E3928" t="str">
            <v>0006</v>
          </cell>
          <cell r="F3928" t="str">
            <v>0002</v>
          </cell>
          <cell r="G3928" t="str">
            <v>40505</v>
          </cell>
          <cell r="H3928" t="str">
            <v>付电话费</v>
          </cell>
          <cell r="I3928" t="b">
            <v>1</v>
          </cell>
          <cell r="J3928">
            <v>755.8</v>
          </cell>
          <cell r="K3928">
            <v>0</v>
          </cell>
          <cell r="L3928">
            <v>0</v>
          </cell>
        </row>
        <row r="3929">
          <cell r="A3929" t="str">
            <v>04</v>
          </cell>
          <cell r="B3929" t="str">
            <v>25</v>
          </cell>
          <cell r="C3929" t="str">
            <v>04</v>
          </cell>
          <cell r="D3929" t="str">
            <v>5</v>
          </cell>
          <cell r="E3929" t="str">
            <v>0020</v>
          </cell>
          <cell r="F3929" t="str">
            <v>0016</v>
          </cell>
          <cell r="G3929" t="str">
            <v>40505</v>
          </cell>
          <cell r="H3929" t="str">
            <v>转本月共同制造费用</v>
          </cell>
          <cell r="I3929" t="b">
            <v>1</v>
          </cell>
          <cell r="J3929">
            <v>-755.8</v>
          </cell>
          <cell r="K3929">
            <v>0</v>
          </cell>
          <cell r="L3929">
            <v>0</v>
          </cell>
        </row>
        <row r="3930">
          <cell r="A3930" t="str">
            <v>04</v>
          </cell>
          <cell r="B3930" t="str">
            <v>25</v>
          </cell>
          <cell r="C3930" t="str">
            <v>04</v>
          </cell>
          <cell r="D3930" t="str">
            <v>5</v>
          </cell>
          <cell r="E3930" t="str">
            <v>0021</v>
          </cell>
          <cell r="F3930" t="str">
            <v>0008</v>
          </cell>
          <cell r="G3930" t="str">
            <v>40505</v>
          </cell>
          <cell r="H3930" t="str">
            <v>结转本月制造费用</v>
          </cell>
          <cell r="I3930" t="b">
            <v>0</v>
          </cell>
          <cell r="J3930">
            <v>755.8</v>
          </cell>
          <cell r="K3930">
            <v>0</v>
          </cell>
          <cell r="L3930">
            <v>0</v>
          </cell>
        </row>
        <row r="3931">
          <cell r="A3931" t="str">
            <v>04</v>
          </cell>
          <cell r="B3931" t="str">
            <v>25</v>
          </cell>
          <cell r="C3931" t="str">
            <v>04</v>
          </cell>
          <cell r="D3931" t="str">
            <v>5</v>
          </cell>
          <cell r="E3931" t="str">
            <v>0021</v>
          </cell>
          <cell r="F3931" t="str">
            <v>0037</v>
          </cell>
          <cell r="G3931" t="str">
            <v>40505</v>
          </cell>
          <cell r="H3931" t="str">
            <v>结转本月制造费用</v>
          </cell>
          <cell r="I3931" t="b">
            <v>1</v>
          </cell>
          <cell r="J3931">
            <v>755.8</v>
          </cell>
          <cell r="K3931">
            <v>0</v>
          </cell>
          <cell r="L3931">
            <v>0</v>
          </cell>
        </row>
        <row r="3932">
          <cell r="A3932" t="str">
            <v>02</v>
          </cell>
          <cell r="B3932" t="str">
            <v>22</v>
          </cell>
          <cell r="C3932" t="str">
            <v>02</v>
          </cell>
          <cell r="D3932" t="str">
            <v>4</v>
          </cell>
          <cell r="E3932" t="str">
            <v>0033</v>
          </cell>
          <cell r="F3932" t="str">
            <v>0002</v>
          </cell>
          <cell r="G3932" t="str">
            <v>40506</v>
          </cell>
          <cell r="H3932" t="str">
            <v>付水费</v>
          </cell>
          <cell r="I3932" t="b">
            <v>1</v>
          </cell>
          <cell r="J3932">
            <v>50855.85</v>
          </cell>
          <cell r="K3932">
            <v>0</v>
          </cell>
          <cell r="L3932">
            <v>0</v>
          </cell>
        </row>
        <row r="3933">
          <cell r="A3933" t="str">
            <v>02</v>
          </cell>
          <cell r="B3933" t="str">
            <v>26</v>
          </cell>
          <cell r="C3933" t="str">
            <v>02</v>
          </cell>
          <cell r="D3933" t="str">
            <v>5</v>
          </cell>
          <cell r="E3933" t="str">
            <v>0020</v>
          </cell>
          <cell r="F3933" t="str">
            <v>0004</v>
          </cell>
          <cell r="G3933" t="str">
            <v>40506</v>
          </cell>
          <cell r="H3933" t="str">
            <v>转各厂1-2月耗水款</v>
          </cell>
          <cell r="I3933" t="b">
            <v>1</v>
          </cell>
          <cell r="J3933">
            <v>-121194.92</v>
          </cell>
          <cell r="K3933">
            <v>0</v>
          </cell>
          <cell r="L3933">
            <v>0</v>
          </cell>
        </row>
        <row r="3934">
          <cell r="A3934" t="str">
            <v>02</v>
          </cell>
          <cell r="B3934" t="str">
            <v>26</v>
          </cell>
          <cell r="C3934" t="str">
            <v>02</v>
          </cell>
          <cell r="D3934" t="str">
            <v>5</v>
          </cell>
          <cell r="E3934" t="str">
            <v>0020</v>
          </cell>
          <cell r="F3934" t="str">
            <v>0007</v>
          </cell>
          <cell r="G3934" t="str">
            <v>40506</v>
          </cell>
          <cell r="H3934" t="str">
            <v>转冷藏车间耗水电款</v>
          </cell>
          <cell r="I3934" t="b">
            <v>1</v>
          </cell>
          <cell r="J3934">
            <v>76738.2</v>
          </cell>
          <cell r="K3934">
            <v>0</v>
          </cell>
          <cell r="L3934">
            <v>0</v>
          </cell>
        </row>
        <row r="3935">
          <cell r="A3935" t="str">
            <v>02</v>
          </cell>
          <cell r="B3935" t="str">
            <v>26</v>
          </cell>
          <cell r="C3935" t="str">
            <v>02</v>
          </cell>
          <cell r="D3935" t="str">
            <v>5</v>
          </cell>
          <cell r="E3935" t="str">
            <v>0020</v>
          </cell>
          <cell r="F3935" t="str">
            <v>0008</v>
          </cell>
          <cell r="G3935" t="str">
            <v>40506</v>
          </cell>
          <cell r="H3935" t="str">
            <v>转研究所耗电款</v>
          </cell>
          <cell r="I3935" t="b">
            <v>1</v>
          </cell>
          <cell r="J3935">
            <v>15067.2</v>
          </cell>
          <cell r="K3935">
            <v>0</v>
          </cell>
          <cell r="L3935">
            <v>0</v>
          </cell>
        </row>
        <row r="3936">
          <cell r="A3936" t="str">
            <v>02</v>
          </cell>
          <cell r="B3936" t="str">
            <v>26</v>
          </cell>
          <cell r="C3936" t="str">
            <v>02</v>
          </cell>
          <cell r="D3936" t="str">
            <v>5</v>
          </cell>
          <cell r="E3936" t="str">
            <v>0020</v>
          </cell>
          <cell r="F3936" t="str">
            <v>0011</v>
          </cell>
          <cell r="G3936" t="str">
            <v>40506</v>
          </cell>
          <cell r="H3936" t="str">
            <v>转冷藏耗水款</v>
          </cell>
          <cell r="I3936" t="b">
            <v>1</v>
          </cell>
          <cell r="J3936">
            <v>-1143</v>
          </cell>
          <cell r="K3936">
            <v>0</v>
          </cell>
          <cell r="L3936">
            <v>0</v>
          </cell>
        </row>
        <row r="3937">
          <cell r="A3937" t="str">
            <v>02</v>
          </cell>
          <cell r="B3937" t="str">
            <v>28</v>
          </cell>
          <cell r="C3937" t="str">
            <v>02</v>
          </cell>
          <cell r="D3937" t="str">
            <v>5</v>
          </cell>
          <cell r="E3937" t="str">
            <v>0041</v>
          </cell>
          <cell r="F3937" t="str">
            <v>0011</v>
          </cell>
          <cell r="G3937" t="str">
            <v>40506</v>
          </cell>
          <cell r="H3937" t="str">
            <v>转本月共同制造费用</v>
          </cell>
          <cell r="I3937" t="b">
            <v>1</v>
          </cell>
          <cell r="J3937">
            <v>-20323.330000000002</v>
          </cell>
          <cell r="K3937">
            <v>0</v>
          </cell>
          <cell r="L3937">
            <v>0</v>
          </cell>
        </row>
        <row r="3938">
          <cell r="A3938" t="str">
            <v>02</v>
          </cell>
          <cell r="B3938" t="str">
            <v>29</v>
          </cell>
          <cell r="C3938" t="str">
            <v>02</v>
          </cell>
          <cell r="D3938" t="str">
            <v>5</v>
          </cell>
          <cell r="E3938" t="str">
            <v>0042</v>
          </cell>
          <cell r="F3938" t="str">
            <v>0012</v>
          </cell>
          <cell r="G3938" t="str">
            <v>40506</v>
          </cell>
          <cell r="H3938" t="str">
            <v>结转本月制造费用</v>
          </cell>
          <cell r="I3938" t="b">
            <v>0</v>
          </cell>
          <cell r="J3938">
            <v>-71482.070000000007</v>
          </cell>
          <cell r="K3938">
            <v>0</v>
          </cell>
          <cell r="L3938">
            <v>0</v>
          </cell>
        </row>
        <row r="3939">
          <cell r="A3939" t="str">
            <v>02</v>
          </cell>
          <cell r="B3939" t="str">
            <v>29</v>
          </cell>
          <cell r="C3939" t="str">
            <v>02</v>
          </cell>
          <cell r="D3939" t="str">
            <v>5</v>
          </cell>
          <cell r="E3939" t="str">
            <v>0042</v>
          </cell>
          <cell r="F3939" t="str">
            <v>0013</v>
          </cell>
          <cell r="G3939" t="str">
            <v>40506</v>
          </cell>
          <cell r="H3939" t="str">
            <v>结转本月制造费用</v>
          </cell>
          <cell r="I3939" t="b">
            <v>0</v>
          </cell>
          <cell r="J3939">
            <v>76738.2</v>
          </cell>
          <cell r="K3939">
            <v>0</v>
          </cell>
          <cell r="L3939">
            <v>0</v>
          </cell>
        </row>
        <row r="3940">
          <cell r="A3940" t="str">
            <v>02</v>
          </cell>
          <cell r="B3940" t="str">
            <v>29</v>
          </cell>
          <cell r="C3940" t="str">
            <v>02</v>
          </cell>
          <cell r="D3940" t="str">
            <v>5</v>
          </cell>
          <cell r="E3940" t="str">
            <v>0042</v>
          </cell>
          <cell r="F3940" t="str">
            <v>0014</v>
          </cell>
          <cell r="G3940" t="str">
            <v>40506</v>
          </cell>
          <cell r="H3940" t="str">
            <v>结转本月制造费用</v>
          </cell>
          <cell r="I3940" t="b">
            <v>0</v>
          </cell>
          <cell r="J3940">
            <v>15067.2</v>
          </cell>
          <cell r="K3940">
            <v>0</v>
          </cell>
          <cell r="L3940">
            <v>0</v>
          </cell>
        </row>
        <row r="3941">
          <cell r="A3941" t="str">
            <v>02</v>
          </cell>
          <cell r="B3941" t="str">
            <v>29</v>
          </cell>
          <cell r="C3941" t="str">
            <v>02</v>
          </cell>
          <cell r="D3941" t="str">
            <v>5</v>
          </cell>
          <cell r="E3941" t="str">
            <v>0042</v>
          </cell>
          <cell r="F3941" t="str">
            <v>0062</v>
          </cell>
          <cell r="G3941" t="str">
            <v>40506</v>
          </cell>
          <cell r="H3941" t="str">
            <v>结转本月制造费用</v>
          </cell>
          <cell r="I3941" t="b">
            <v>1</v>
          </cell>
          <cell r="J3941">
            <v>20323.330000000002</v>
          </cell>
          <cell r="K3941">
            <v>0</v>
          </cell>
          <cell r="L3941">
            <v>0</v>
          </cell>
        </row>
        <row r="3942">
          <cell r="A3942" t="str">
            <v>03</v>
          </cell>
          <cell r="B3942" t="str">
            <v>18</v>
          </cell>
          <cell r="C3942" t="str">
            <v>03</v>
          </cell>
          <cell r="D3942" t="str">
            <v>4</v>
          </cell>
          <cell r="E3942" t="str">
            <v>0027</v>
          </cell>
          <cell r="F3942" t="str">
            <v>0003</v>
          </cell>
          <cell r="G3942" t="str">
            <v>40506</v>
          </cell>
          <cell r="H3942" t="str">
            <v>付水费</v>
          </cell>
          <cell r="I3942" t="b">
            <v>1</v>
          </cell>
          <cell r="J3942">
            <v>15203.62</v>
          </cell>
          <cell r="K3942">
            <v>0</v>
          </cell>
          <cell r="L3942">
            <v>0</v>
          </cell>
        </row>
        <row r="3943">
          <cell r="A3943" t="str">
            <v>03</v>
          </cell>
          <cell r="B3943" t="str">
            <v>30</v>
          </cell>
          <cell r="C3943" t="str">
            <v>03</v>
          </cell>
          <cell r="D3943" t="str">
            <v>5</v>
          </cell>
          <cell r="E3943" t="str">
            <v>0024</v>
          </cell>
          <cell r="F3943" t="str">
            <v>0008</v>
          </cell>
          <cell r="G3943" t="str">
            <v>40506</v>
          </cell>
          <cell r="H3943" t="str">
            <v>转本月共同制造费用</v>
          </cell>
          <cell r="I3943" t="b">
            <v>1</v>
          </cell>
          <cell r="J3943">
            <v>-15203.62</v>
          </cell>
          <cell r="K3943">
            <v>0</v>
          </cell>
          <cell r="L3943">
            <v>0</v>
          </cell>
        </row>
        <row r="3944">
          <cell r="A3944" t="str">
            <v>03</v>
          </cell>
          <cell r="B3944" t="str">
            <v>30</v>
          </cell>
          <cell r="C3944" t="str">
            <v>03</v>
          </cell>
          <cell r="D3944" t="str">
            <v>5</v>
          </cell>
          <cell r="E3944" t="str">
            <v>0025</v>
          </cell>
          <cell r="F3944" t="str">
            <v>0008</v>
          </cell>
          <cell r="G3944" t="str">
            <v>40506</v>
          </cell>
          <cell r="H3944" t="str">
            <v>结转本月制造费用</v>
          </cell>
          <cell r="I3944" t="b">
            <v>0</v>
          </cell>
          <cell r="J3944">
            <v>15203.62</v>
          </cell>
          <cell r="K3944">
            <v>0</v>
          </cell>
          <cell r="L3944">
            <v>0</v>
          </cell>
        </row>
        <row r="3945">
          <cell r="A3945" t="str">
            <v>03</v>
          </cell>
          <cell r="B3945" t="str">
            <v>30</v>
          </cell>
          <cell r="C3945" t="str">
            <v>03</v>
          </cell>
          <cell r="D3945" t="str">
            <v>5</v>
          </cell>
          <cell r="E3945" t="str">
            <v>0025</v>
          </cell>
          <cell r="F3945" t="str">
            <v>0041</v>
          </cell>
          <cell r="G3945" t="str">
            <v>40506</v>
          </cell>
          <cell r="H3945" t="str">
            <v>结转本月制造费用</v>
          </cell>
          <cell r="I3945" t="b">
            <v>1</v>
          </cell>
          <cell r="J3945">
            <v>15203.62</v>
          </cell>
          <cell r="K3945">
            <v>0</v>
          </cell>
          <cell r="L3945">
            <v>0</v>
          </cell>
        </row>
        <row r="3946">
          <cell r="A3946" t="str">
            <v>04</v>
          </cell>
          <cell r="B3946" t="str">
            <v>20</v>
          </cell>
          <cell r="C3946" t="str">
            <v>04</v>
          </cell>
          <cell r="D3946" t="str">
            <v>5</v>
          </cell>
          <cell r="E3946" t="str">
            <v>0011</v>
          </cell>
          <cell r="F3946" t="str">
            <v>0003</v>
          </cell>
          <cell r="G3946" t="str">
            <v>40506</v>
          </cell>
          <cell r="H3946" t="str">
            <v>转各厂3耗水款</v>
          </cell>
          <cell r="I3946" t="b">
            <v>1</v>
          </cell>
          <cell r="J3946">
            <v>-115360.15</v>
          </cell>
          <cell r="K3946">
            <v>0</v>
          </cell>
          <cell r="L3946">
            <v>0</v>
          </cell>
        </row>
        <row r="3947">
          <cell r="A3947" t="str">
            <v>04</v>
          </cell>
          <cell r="B3947" t="str">
            <v>20</v>
          </cell>
          <cell r="C3947" t="str">
            <v>04</v>
          </cell>
          <cell r="D3947" t="str">
            <v>5</v>
          </cell>
          <cell r="E3947" t="str">
            <v>0011</v>
          </cell>
          <cell r="F3947" t="str">
            <v>0005</v>
          </cell>
          <cell r="G3947" t="str">
            <v>40506</v>
          </cell>
          <cell r="H3947" t="str">
            <v>转冷藏车间耗水电款</v>
          </cell>
          <cell r="I3947" t="b">
            <v>1</v>
          </cell>
          <cell r="J3947">
            <v>69222.55</v>
          </cell>
          <cell r="K3947">
            <v>0</v>
          </cell>
          <cell r="L3947">
            <v>0</v>
          </cell>
        </row>
        <row r="3948">
          <cell r="A3948" t="str">
            <v>04</v>
          </cell>
          <cell r="B3948" t="str">
            <v>20</v>
          </cell>
          <cell r="C3948" t="str">
            <v>04</v>
          </cell>
          <cell r="D3948" t="str">
            <v>5</v>
          </cell>
          <cell r="E3948" t="str">
            <v>0011</v>
          </cell>
          <cell r="F3948" t="str">
            <v>0006</v>
          </cell>
          <cell r="G3948" t="str">
            <v>40506</v>
          </cell>
          <cell r="H3948" t="str">
            <v>转研究所耗电款</v>
          </cell>
          <cell r="I3948" t="b">
            <v>1</v>
          </cell>
          <cell r="J3948">
            <v>14274.6</v>
          </cell>
          <cell r="K3948">
            <v>0</v>
          </cell>
          <cell r="L3948">
            <v>0</v>
          </cell>
        </row>
        <row r="3949">
          <cell r="A3949" t="str">
            <v>04</v>
          </cell>
          <cell r="B3949" t="str">
            <v>20</v>
          </cell>
          <cell r="C3949" t="str">
            <v>04</v>
          </cell>
          <cell r="D3949" t="str">
            <v>5</v>
          </cell>
          <cell r="E3949" t="str">
            <v>0011</v>
          </cell>
          <cell r="F3949" t="str">
            <v>0009</v>
          </cell>
          <cell r="G3949" t="str">
            <v>40506</v>
          </cell>
          <cell r="H3949" t="str">
            <v>转冷藏耗水款</v>
          </cell>
          <cell r="I3949" t="b">
            <v>1</v>
          </cell>
          <cell r="J3949">
            <v>-946.15</v>
          </cell>
          <cell r="K3949">
            <v>0</v>
          </cell>
          <cell r="L3949">
            <v>0</v>
          </cell>
        </row>
        <row r="3950">
          <cell r="A3950" t="str">
            <v>04</v>
          </cell>
          <cell r="B3950" t="str">
            <v>25</v>
          </cell>
          <cell r="C3950" t="str">
            <v>04</v>
          </cell>
          <cell r="D3950" t="str">
            <v>5</v>
          </cell>
          <cell r="E3950" t="str">
            <v>0020</v>
          </cell>
          <cell r="F3950" t="str">
            <v>0008</v>
          </cell>
          <cell r="G3950" t="str">
            <v>40506</v>
          </cell>
          <cell r="H3950" t="str">
            <v>转本月共同制造费用</v>
          </cell>
          <cell r="I3950" t="b">
            <v>1</v>
          </cell>
          <cell r="J3950">
            <v>32809.15</v>
          </cell>
          <cell r="K3950">
            <v>0</v>
          </cell>
          <cell r="L3950">
            <v>0</v>
          </cell>
        </row>
        <row r="3951">
          <cell r="A3951" t="str">
            <v>04</v>
          </cell>
          <cell r="B3951" t="str">
            <v>25</v>
          </cell>
          <cell r="C3951" t="str">
            <v>04</v>
          </cell>
          <cell r="D3951" t="str">
            <v>5</v>
          </cell>
          <cell r="E3951" t="str">
            <v>0021</v>
          </cell>
          <cell r="F3951" t="str">
            <v>0009</v>
          </cell>
          <cell r="G3951" t="str">
            <v>40506</v>
          </cell>
          <cell r="H3951" t="str">
            <v>结转本月制造费用</v>
          </cell>
          <cell r="I3951" t="b">
            <v>0</v>
          </cell>
          <cell r="J3951">
            <v>-116306.3</v>
          </cell>
          <cell r="K3951">
            <v>0</v>
          </cell>
          <cell r="L3951">
            <v>0</v>
          </cell>
        </row>
        <row r="3952">
          <cell r="A3952" t="str">
            <v>04</v>
          </cell>
          <cell r="B3952" t="str">
            <v>25</v>
          </cell>
          <cell r="C3952" t="str">
            <v>04</v>
          </cell>
          <cell r="D3952" t="str">
            <v>5</v>
          </cell>
          <cell r="E3952" t="str">
            <v>0021</v>
          </cell>
          <cell r="F3952" t="str">
            <v>0010</v>
          </cell>
          <cell r="G3952" t="str">
            <v>40506</v>
          </cell>
          <cell r="H3952" t="str">
            <v>结转本月制造费用</v>
          </cell>
          <cell r="I3952" t="b">
            <v>0</v>
          </cell>
          <cell r="J3952">
            <v>69222.55</v>
          </cell>
          <cell r="K3952">
            <v>0</v>
          </cell>
          <cell r="L3952">
            <v>0</v>
          </cell>
        </row>
        <row r="3953">
          <cell r="A3953" t="str">
            <v>04</v>
          </cell>
          <cell r="B3953" t="str">
            <v>25</v>
          </cell>
          <cell r="C3953" t="str">
            <v>04</v>
          </cell>
          <cell r="D3953" t="str">
            <v>5</v>
          </cell>
          <cell r="E3953" t="str">
            <v>0021</v>
          </cell>
          <cell r="F3953" t="str">
            <v>0011</v>
          </cell>
          <cell r="G3953" t="str">
            <v>40506</v>
          </cell>
          <cell r="H3953" t="str">
            <v>结转本月制造费用</v>
          </cell>
          <cell r="I3953" t="b">
            <v>0</v>
          </cell>
          <cell r="J3953">
            <v>14274.6</v>
          </cell>
          <cell r="K3953">
            <v>0</v>
          </cell>
          <cell r="L3953">
            <v>0</v>
          </cell>
        </row>
        <row r="3954">
          <cell r="A3954" t="str">
            <v>04</v>
          </cell>
          <cell r="B3954" t="str">
            <v>25</v>
          </cell>
          <cell r="C3954" t="str">
            <v>04</v>
          </cell>
          <cell r="D3954" t="str">
            <v>5</v>
          </cell>
          <cell r="E3954" t="str">
            <v>0021</v>
          </cell>
          <cell r="F3954" t="str">
            <v>0045</v>
          </cell>
          <cell r="G3954" t="str">
            <v>40506</v>
          </cell>
          <cell r="H3954" t="str">
            <v>结转本月制造费用</v>
          </cell>
          <cell r="I3954" t="b">
            <v>1</v>
          </cell>
          <cell r="J3954">
            <v>-32809.15</v>
          </cell>
          <cell r="K3954">
            <v>0</v>
          </cell>
          <cell r="L3954">
            <v>0</v>
          </cell>
        </row>
        <row r="3955">
          <cell r="A3955" t="str">
            <v>05</v>
          </cell>
          <cell r="B3955" t="str">
            <v>16</v>
          </cell>
          <cell r="C3955" t="str">
            <v>05</v>
          </cell>
          <cell r="D3955" t="str">
            <v>4</v>
          </cell>
          <cell r="E3955" t="str">
            <v>0012</v>
          </cell>
          <cell r="F3955" t="str">
            <v>0001</v>
          </cell>
          <cell r="G3955" t="str">
            <v>40506</v>
          </cell>
          <cell r="H3955" t="str">
            <v>付水费</v>
          </cell>
          <cell r="I3955" t="b">
            <v>1</v>
          </cell>
          <cell r="J3955">
            <v>9531.6200000000008</v>
          </cell>
          <cell r="K3955">
            <v>0</v>
          </cell>
          <cell r="L3955">
            <v>0</v>
          </cell>
        </row>
        <row r="3956">
          <cell r="A3956" t="str">
            <v>05</v>
          </cell>
          <cell r="B3956" t="str">
            <v>18</v>
          </cell>
          <cell r="C3956" t="str">
            <v>05</v>
          </cell>
          <cell r="D3956" t="str">
            <v>4</v>
          </cell>
          <cell r="E3956" t="str">
            <v>0017</v>
          </cell>
          <cell r="F3956" t="str">
            <v>0002</v>
          </cell>
          <cell r="G3956" t="str">
            <v>40506</v>
          </cell>
          <cell r="H3956" t="str">
            <v>付水费</v>
          </cell>
          <cell r="I3956" t="b">
            <v>1</v>
          </cell>
          <cell r="J3956">
            <v>564.79999999999995</v>
          </cell>
          <cell r="K3956">
            <v>0</v>
          </cell>
          <cell r="L3956">
            <v>0</v>
          </cell>
        </row>
        <row r="3957">
          <cell r="A3957" t="str">
            <v>05</v>
          </cell>
          <cell r="B3957" t="str">
            <v>25</v>
          </cell>
          <cell r="C3957" t="str">
            <v>05</v>
          </cell>
          <cell r="D3957" t="str">
            <v>5</v>
          </cell>
          <cell r="E3957" t="str">
            <v>0003</v>
          </cell>
          <cell r="F3957" t="str">
            <v>0004</v>
          </cell>
          <cell r="G3957" t="str">
            <v>40506</v>
          </cell>
          <cell r="H3957" t="str">
            <v>转各厂4-5月耗水款</v>
          </cell>
          <cell r="I3957" t="b">
            <v>1</v>
          </cell>
          <cell r="J3957">
            <v>-2803.97</v>
          </cell>
          <cell r="K3957">
            <v>0</v>
          </cell>
          <cell r="L3957">
            <v>0</v>
          </cell>
        </row>
        <row r="3958">
          <cell r="A3958" t="str">
            <v>05</v>
          </cell>
          <cell r="B3958" t="str">
            <v>25</v>
          </cell>
          <cell r="C3958" t="str">
            <v>05</v>
          </cell>
          <cell r="D3958" t="str">
            <v>5</v>
          </cell>
          <cell r="E3958" t="str">
            <v>0003</v>
          </cell>
          <cell r="F3958" t="str">
            <v>0007</v>
          </cell>
          <cell r="G3958" t="str">
            <v>40506</v>
          </cell>
          <cell r="H3958" t="str">
            <v>转冷藏车间耗水电款</v>
          </cell>
          <cell r="I3958" t="b">
            <v>1</v>
          </cell>
          <cell r="J3958">
            <v>10015.98</v>
          </cell>
          <cell r="K3958">
            <v>0</v>
          </cell>
          <cell r="L3958">
            <v>0</v>
          </cell>
        </row>
        <row r="3959">
          <cell r="A3959" t="str">
            <v>05</v>
          </cell>
          <cell r="B3959" t="str">
            <v>25</v>
          </cell>
          <cell r="C3959" t="str">
            <v>05</v>
          </cell>
          <cell r="D3959" t="str">
            <v>5</v>
          </cell>
          <cell r="E3959" t="str">
            <v>0003</v>
          </cell>
          <cell r="F3959" t="str">
            <v>0008</v>
          </cell>
          <cell r="G3959" t="str">
            <v>40506</v>
          </cell>
          <cell r="H3959" t="str">
            <v>转研究所耗电款</v>
          </cell>
          <cell r="I3959" t="b">
            <v>1</v>
          </cell>
          <cell r="J3959">
            <v>6894</v>
          </cell>
          <cell r="K3959">
            <v>0</v>
          </cell>
          <cell r="L3959">
            <v>0</v>
          </cell>
        </row>
        <row r="3960">
          <cell r="A3960" t="str">
            <v>05</v>
          </cell>
          <cell r="B3960" t="str">
            <v>25</v>
          </cell>
          <cell r="C3960" t="str">
            <v>05</v>
          </cell>
          <cell r="D3960" t="str">
            <v>5</v>
          </cell>
          <cell r="E3960" t="str">
            <v>0003</v>
          </cell>
          <cell r="F3960" t="str">
            <v>0011</v>
          </cell>
          <cell r="G3960" t="str">
            <v>40506</v>
          </cell>
          <cell r="H3960" t="str">
            <v>转冷藏耗水款</v>
          </cell>
          <cell r="I3960" t="b">
            <v>1</v>
          </cell>
          <cell r="J3960">
            <v>-525.78</v>
          </cell>
          <cell r="K3960">
            <v>0</v>
          </cell>
          <cell r="L3960">
            <v>0</v>
          </cell>
        </row>
        <row r="3961">
          <cell r="A3961" t="str">
            <v>05</v>
          </cell>
          <cell r="B3961" t="str">
            <v>27</v>
          </cell>
          <cell r="C3961" t="str">
            <v>05</v>
          </cell>
          <cell r="D3961" t="str">
            <v>5</v>
          </cell>
          <cell r="E3961" t="str">
            <v>0029</v>
          </cell>
          <cell r="F3961" t="str">
            <v>0008</v>
          </cell>
          <cell r="G3961" t="str">
            <v>40506</v>
          </cell>
          <cell r="H3961" t="str">
            <v>转本月共同制造费用</v>
          </cell>
          <cell r="I3961" t="b">
            <v>1</v>
          </cell>
          <cell r="J3961">
            <v>-23676.65</v>
          </cell>
          <cell r="K3961">
            <v>0</v>
          </cell>
          <cell r="L3961">
            <v>0</v>
          </cell>
        </row>
        <row r="3962">
          <cell r="A3962" t="str">
            <v>05</v>
          </cell>
          <cell r="B3962" t="str">
            <v>29</v>
          </cell>
          <cell r="C3962" t="str">
            <v>05</v>
          </cell>
          <cell r="D3962" t="str">
            <v>5</v>
          </cell>
          <cell r="E3962" t="str">
            <v>0030</v>
          </cell>
          <cell r="F3962" t="str">
            <v>0009</v>
          </cell>
          <cell r="G3962" t="str">
            <v>40506</v>
          </cell>
          <cell r="H3962" t="str">
            <v>结转本月制造费用</v>
          </cell>
          <cell r="I3962" t="b">
            <v>0</v>
          </cell>
          <cell r="J3962">
            <v>6766.67</v>
          </cell>
          <cell r="K3962">
            <v>0</v>
          </cell>
          <cell r="L3962">
            <v>0</v>
          </cell>
        </row>
        <row r="3963">
          <cell r="A3963" t="str">
            <v>05</v>
          </cell>
          <cell r="B3963" t="str">
            <v>29</v>
          </cell>
          <cell r="C3963" t="str">
            <v>05</v>
          </cell>
          <cell r="D3963" t="str">
            <v>5</v>
          </cell>
          <cell r="E3963" t="str">
            <v>0030</v>
          </cell>
          <cell r="F3963" t="str">
            <v>0010</v>
          </cell>
          <cell r="G3963" t="str">
            <v>40506</v>
          </cell>
          <cell r="H3963" t="str">
            <v>结转本月制造费用</v>
          </cell>
          <cell r="I3963" t="b">
            <v>0</v>
          </cell>
          <cell r="J3963">
            <v>10015.98</v>
          </cell>
          <cell r="K3963">
            <v>0</v>
          </cell>
          <cell r="L3963">
            <v>0</v>
          </cell>
        </row>
        <row r="3964">
          <cell r="A3964" t="str">
            <v>05</v>
          </cell>
          <cell r="B3964" t="str">
            <v>29</v>
          </cell>
          <cell r="C3964" t="str">
            <v>05</v>
          </cell>
          <cell r="D3964" t="str">
            <v>5</v>
          </cell>
          <cell r="E3964" t="str">
            <v>0030</v>
          </cell>
          <cell r="F3964" t="str">
            <v>0011</v>
          </cell>
          <cell r="G3964" t="str">
            <v>40506</v>
          </cell>
          <cell r="H3964" t="str">
            <v>结转本月制造费用</v>
          </cell>
          <cell r="I3964" t="b">
            <v>0</v>
          </cell>
          <cell r="J3964">
            <v>6894</v>
          </cell>
          <cell r="K3964">
            <v>0</v>
          </cell>
          <cell r="L3964">
            <v>0</v>
          </cell>
        </row>
        <row r="3965">
          <cell r="A3965" t="str">
            <v>05</v>
          </cell>
          <cell r="B3965" t="str">
            <v>29</v>
          </cell>
          <cell r="C3965" t="str">
            <v>05</v>
          </cell>
          <cell r="D3965" t="str">
            <v>5</v>
          </cell>
          <cell r="E3965" t="str">
            <v>0030</v>
          </cell>
          <cell r="F3965" t="str">
            <v>0057</v>
          </cell>
          <cell r="G3965" t="str">
            <v>40506</v>
          </cell>
          <cell r="H3965" t="str">
            <v>结转本月制造费用</v>
          </cell>
          <cell r="I3965" t="b">
            <v>1</v>
          </cell>
          <cell r="J3965">
            <v>23676.65</v>
          </cell>
          <cell r="K3965">
            <v>0</v>
          </cell>
          <cell r="L3965">
            <v>0</v>
          </cell>
        </row>
        <row r="3966">
          <cell r="A3966" t="str">
            <v>07</v>
          </cell>
          <cell r="B3966" t="str">
            <v>15</v>
          </cell>
          <cell r="C3966" t="str">
            <v>07</v>
          </cell>
          <cell r="D3966" t="str">
            <v>4</v>
          </cell>
          <cell r="E3966" t="str">
            <v>0012</v>
          </cell>
          <cell r="F3966" t="str">
            <v>0001</v>
          </cell>
          <cell r="G3966" t="str">
            <v>40506</v>
          </cell>
          <cell r="H3966" t="str">
            <v>付水费</v>
          </cell>
          <cell r="I3966" t="b">
            <v>1</v>
          </cell>
          <cell r="J3966">
            <v>7444.6</v>
          </cell>
          <cell r="K3966">
            <v>0</v>
          </cell>
          <cell r="L3966">
            <v>0</v>
          </cell>
        </row>
        <row r="3967">
          <cell r="A3967" t="str">
            <v>07</v>
          </cell>
          <cell r="B3967" t="str">
            <v>27</v>
          </cell>
          <cell r="C3967" t="str">
            <v>07</v>
          </cell>
          <cell r="D3967" t="str">
            <v>5</v>
          </cell>
          <cell r="E3967" t="str">
            <v>0034</v>
          </cell>
          <cell r="F3967" t="str">
            <v>0015</v>
          </cell>
          <cell r="G3967" t="str">
            <v>40506</v>
          </cell>
          <cell r="H3967" t="str">
            <v>转本月共同制造费用</v>
          </cell>
          <cell r="I3967" t="b">
            <v>1</v>
          </cell>
          <cell r="J3967">
            <v>-7444.6</v>
          </cell>
          <cell r="K3967">
            <v>0</v>
          </cell>
          <cell r="L3967">
            <v>0</v>
          </cell>
        </row>
        <row r="3968">
          <cell r="A3968" t="str">
            <v>07</v>
          </cell>
          <cell r="B3968" t="str">
            <v>28</v>
          </cell>
          <cell r="C3968" t="str">
            <v>07</v>
          </cell>
          <cell r="D3968" t="str">
            <v>5</v>
          </cell>
          <cell r="E3968" t="str">
            <v>0035</v>
          </cell>
          <cell r="F3968" t="str">
            <v>0008</v>
          </cell>
          <cell r="G3968" t="str">
            <v>40506</v>
          </cell>
          <cell r="H3968" t="str">
            <v>结转本月制造费用</v>
          </cell>
          <cell r="I3968" t="b">
            <v>0</v>
          </cell>
          <cell r="J3968">
            <v>7444.6</v>
          </cell>
          <cell r="K3968">
            <v>0</v>
          </cell>
          <cell r="L3968">
            <v>0</v>
          </cell>
        </row>
        <row r="3969">
          <cell r="A3969" t="str">
            <v>07</v>
          </cell>
          <cell r="B3969" t="str">
            <v>28</v>
          </cell>
          <cell r="C3969" t="str">
            <v>07</v>
          </cell>
          <cell r="D3969" t="str">
            <v>5</v>
          </cell>
          <cell r="E3969" t="str">
            <v>0035</v>
          </cell>
          <cell r="F3969" t="str">
            <v>0041</v>
          </cell>
          <cell r="G3969" t="str">
            <v>40506</v>
          </cell>
          <cell r="H3969" t="str">
            <v>结转本月制造费用</v>
          </cell>
          <cell r="I3969" t="b">
            <v>1</v>
          </cell>
          <cell r="J3969">
            <v>7444.6</v>
          </cell>
          <cell r="K3969">
            <v>0</v>
          </cell>
          <cell r="L3969">
            <v>0</v>
          </cell>
        </row>
        <row r="3970">
          <cell r="A3970" t="str">
            <v>02</v>
          </cell>
          <cell r="B3970" t="str">
            <v>10</v>
          </cell>
          <cell r="C3970" t="str">
            <v>02</v>
          </cell>
          <cell r="D3970" t="str">
            <v>2</v>
          </cell>
          <cell r="E3970" t="str">
            <v>0023</v>
          </cell>
          <cell r="F3970" t="str">
            <v>0003</v>
          </cell>
          <cell r="G3970" t="str">
            <v>40508</v>
          </cell>
          <cell r="H3970" t="str">
            <v>购滤膜等</v>
          </cell>
          <cell r="I3970" t="b">
            <v>1</v>
          </cell>
          <cell r="J3970">
            <v>1360.68</v>
          </cell>
          <cell r="K3970">
            <v>0</v>
          </cell>
          <cell r="L3970">
            <v>0</v>
          </cell>
        </row>
        <row r="3971">
          <cell r="A3971" t="str">
            <v>02</v>
          </cell>
          <cell r="B3971" t="str">
            <v>02</v>
          </cell>
          <cell r="C3971" t="str">
            <v>02</v>
          </cell>
          <cell r="D3971" t="str">
            <v>4</v>
          </cell>
          <cell r="E3971" t="str">
            <v>0003</v>
          </cell>
          <cell r="F3971" t="str">
            <v>0001</v>
          </cell>
          <cell r="G3971" t="str">
            <v>40508</v>
          </cell>
          <cell r="H3971" t="str">
            <v>购制冷配件</v>
          </cell>
          <cell r="I3971" t="b">
            <v>1</v>
          </cell>
          <cell r="J3971">
            <v>7602.1</v>
          </cell>
          <cell r="K3971">
            <v>0</v>
          </cell>
          <cell r="L3971">
            <v>0</v>
          </cell>
        </row>
        <row r="3972">
          <cell r="A3972" t="str">
            <v>02</v>
          </cell>
          <cell r="B3972" t="str">
            <v>08</v>
          </cell>
          <cell r="C3972" t="str">
            <v>02</v>
          </cell>
          <cell r="D3972" t="str">
            <v>4</v>
          </cell>
          <cell r="E3972" t="str">
            <v>0008</v>
          </cell>
          <cell r="F3972" t="str">
            <v>0002</v>
          </cell>
          <cell r="G3972" t="str">
            <v>40508</v>
          </cell>
          <cell r="H3972" t="str">
            <v>购轮胎</v>
          </cell>
          <cell r="I3972" t="b">
            <v>1</v>
          </cell>
          <cell r="J3972">
            <v>1174.3599999999999</v>
          </cell>
          <cell r="K3972">
            <v>0</v>
          </cell>
          <cell r="L3972">
            <v>0</v>
          </cell>
        </row>
        <row r="3973">
          <cell r="A3973" t="str">
            <v>02</v>
          </cell>
          <cell r="B3973" t="str">
            <v>08</v>
          </cell>
          <cell r="C3973" t="str">
            <v>02</v>
          </cell>
          <cell r="D3973" t="str">
            <v>4</v>
          </cell>
          <cell r="E3973" t="str">
            <v>0008</v>
          </cell>
          <cell r="F3973" t="str">
            <v>0003</v>
          </cell>
          <cell r="G3973" t="str">
            <v>40508</v>
          </cell>
          <cell r="H3973" t="str">
            <v>购柴油</v>
          </cell>
          <cell r="I3973" t="b">
            <v>1</v>
          </cell>
          <cell r="J3973">
            <v>4666.67</v>
          </cell>
          <cell r="K3973">
            <v>0</v>
          </cell>
          <cell r="L3973">
            <v>0</v>
          </cell>
        </row>
        <row r="3974">
          <cell r="A3974" t="str">
            <v>02</v>
          </cell>
          <cell r="B3974" t="str">
            <v>26</v>
          </cell>
          <cell r="C3974" t="str">
            <v>02</v>
          </cell>
          <cell r="D3974" t="str">
            <v>5</v>
          </cell>
          <cell r="E3974" t="str">
            <v>0019</v>
          </cell>
          <cell r="F3974" t="str">
            <v>0003</v>
          </cell>
          <cell r="G3974" t="str">
            <v>40508</v>
          </cell>
          <cell r="H3974" t="str">
            <v>转1-2月份耗材料款</v>
          </cell>
          <cell r="I3974" t="b">
            <v>1</v>
          </cell>
          <cell r="J3974">
            <v>2157.1</v>
          </cell>
          <cell r="K3974">
            <v>0</v>
          </cell>
          <cell r="L3974">
            <v>0</v>
          </cell>
        </row>
        <row r="3975">
          <cell r="A3975" t="str">
            <v>02</v>
          </cell>
          <cell r="B3975" t="str">
            <v>26</v>
          </cell>
          <cell r="C3975" t="str">
            <v>02</v>
          </cell>
          <cell r="D3975" t="str">
            <v>5</v>
          </cell>
          <cell r="E3975" t="str">
            <v>0019</v>
          </cell>
          <cell r="F3975" t="str">
            <v>0004</v>
          </cell>
          <cell r="G3975" t="str">
            <v>40508</v>
          </cell>
          <cell r="H3975" t="str">
            <v>转1-2月份耗材料款</v>
          </cell>
          <cell r="I3975" t="b">
            <v>1</v>
          </cell>
          <cell r="J3975">
            <v>123.05</v>
          </cell>
          <cell r="K3975">
            <v>0</v>
          </cell>
          <cell r="L3975">
            <v>0</v>
          </cell>
        </row>
        <row r="3976">
          <cell r="A3976" t="str">
            <v>02</v>
          </cell>
          <cell r="B3976" t="str">
            <v>26</v>
          </cell>
          <cell r="C3976" t="str">
            <v>02</v>
          </cell>
          <cell r="D3976" t="str">
            <v>5</v>
          </cell>
          <cell r="E3976" t="str">
            <v>0019</v>
          </cell>
          <cell r="F3976" t="str">
            <v>0005</v>
          </cell>
          <cell r="G3976" t="str">
            <v>40508</v>
          </cell>
          <cell r="H3976" t="str">
            <v>转1-2月份耗材料款</v>
          </cell>
          <cell r="I3976" t="b">
            <v>1</v>
          </cell>
          <cell r="J3976">
            <v>26141.66</v>
          </cell>
          <cell r="K3976">
            <v>0</v>
          </cell>
          <cell r="L3976">
            <v>0</v>
          </cell>
        </row>
        <row r="3977">
          <cell r="A3977" t="str">
            <v>02</v>
          </cell>
          <cell r="B3977" t="str">
            <v>26</v>
          </cell>
          <cell r="C3977" t="str">
            <v>02</v>
          </cell>
          <cell r="D3977" t="str">
            <v>5</v>
          </cell>
          <cell r="E3977" t="str">
            <v>0019</v>
          </cell>
          <cell r="F3977" t="str">
            <v>0006</v>
          </cell>
          <cell r="G3977" t="str">
            <v>40508</v>
          </cell>
          <cell r="H3977" t="str">
            <v>转1-2月份耗材料款</v>
          </cell>
          <cell r="I3977" t="b">
            <v>1</v>
          </cell>
          <cell r="J3977">
            <v>143.19999999999999</v>
          </cell>
          <cell r="K3977">
            <v>0</v>
          </cell>
          <cell r="L3977">
            <v>0</v>
          </cell>
        </row>
        <row r="3978">
          <cell r="A3978" t="str">
            <v>02</v>
          </cell>
          <cell r="B3978" t="str">
            <v>26</v>
          </cell>
          <cell r="C3978" t="str">
            <v>02</v>
          </cell>
          <cell r="D3978" t="str">
            <v>5</v>
          </cell>
          <cell r="E3978" t="str">
            <v>0019</v>
          </cell>
          <cell r="F3978" t="str">
            <v>0007</v>
          </cell>
          <cell r="G3978" t="str">
            <v>40508</v>
          </cell>
          <cell r="H3978" t="str">
            <v>转1-2月份耗材料款</v>
          </cell>
          <cell r="I3978" t="b">
            <v>1</v>
          </cell>
          <cell r="J3978">
            <v>53.6</v>
          </cell>
          <cell r="K3978">
            <v>0</v>
          </cell>
          <cell r="L3978">
            <v>0</v>
          </cell>
        </row>
        <row r="3979">
          <cell r="A3979" t="str">
            <v>02</v>
          </cell>
          <cell r="B3979" t="str">
            <v>26</v>
          </cell>
          <cell r="C3979" t="str">
            <v>02</v>
          </cell>
          <cell r="D3979" t="str">
            <v>5</v>
          </cell>
          <cell r="E3979" t="str">
            <v>0019</v>
          </cell>
          <cell r="F3979" t="str">
            <v>0008</v>
          </cell>
          <cell r="G3979" t="str">
            <v>40508</v>
          </cell>
          <cell r="H3979" t="str">
            <v>转1-2月份耗材料款</v>
          </cell>
          <cell r="I3979" t="b">
            <v>1</v>
          </cell>
          <cell r="J3979">
            <v>349638.52</v>
          </cell>
          <cell r="K3979">
            <v>0</v>
          </cell>
          <cell r="L3979">
            <v>0</v>
          </cell>
        </row>
        <row r="3980">
          <cell r="A3980" t="str">
            <v>02</v>
          </cell>
          <cell r="B3980" t="str">
            <v>26</v>
          </cell>
          <cell r="C3980" t="str">
            <v>02</v>
          </cell>
          <cell r="D3980" t="str">
            <v>5</v>
          </cell>
          <cell r="E3980" t="str">
            <v>0019</v>
          </cell>
          <cell r="F3980" t="str">
            <v>0009</v>
          </cell>
          <cell r="G3980" t="str">
            <v>40508</v>
          </cell>
          <cell r="H3980" t="str">
            <v>转1-2月份耗材料款</v>
          </cell>
          <cell r="I3980" t="b">
            <v>1</v>
          </cell>
          <cell r="J3980">
            <v>141.30000000000001</v>
          </cell>
          <cell r="K3980">
            <v>0</v>
          </cell>
          <cell r="L3980">
            <v>0</v>
          </cell>
        </row>
        <row r="3981">
          <cell r="A3981" t="str">
            <v>02</v>
          </cell>
          <cell r="B3981" t="str">
            <v>26</v>
          </cell>
          <cell r="C3981" t="str">
            <v>02</v>
          </cell>
          <cell r="D3981" t="str">
            <v>5</v>
          </cell>
          <cell r="E3981" t="str">
            <v>0019</v>
          </cell>
          <cell r="F3981" t="str">
            <v>0010</v>
          </cell>
          <cell r="G3981" t="str">
            <v>40508</v>
          </cell>
          <cell r="H3981" t="str">
            <v>转1-2月份耗材料款</v>
          </cell>
          <cell r="I3981" t="b">
            <v>1</v>
          </cell>
          <cell r="J3981">
            <v>10735.46</v>
          </cell>
          <cell r="K3981">
            <v>0</v>
          </cell>
          <cell r="L3981">
            <v>0</v>
          </cell>
        </row>
        <row r="3982">
          <cell r="A3982" t="str">
            <v>02</v>
          </cell>
          <cell r="B3982" t="str">
            <v>26</v>
          </cell>
          <cell r="C3982" t="str">
            <v>02</v>
          </cell>
          <cell r="D3982" t="str">
            <v>5</v>
          </cell>
          <cell r="E3982" t="str">
            <v>0019</v>
          </cell>
          <cell r="F3982" t="str">
            <v>0011</v>
          </cell>
          <cell r="G3982" t="str">
            <v>40508</v>
          </cell>
          <cell r="H3982" t="str">
            <v>转1-2月份耗材料款</v>
          </cell>
          <cell r="I3982" t="b">
            <v>1</v>
          </cell>
          <cell r="J3982">
            <v>552.79999999999995</v>
          </cell>
          <cell r="K3982">
            <v>0</v>
          </cell>
          <cell r="L3982">
            <v>0</v>
          </cell>
        </row>
        <row r="3983">
          <cell r="A3983" t="str">
            <v>02</v>
          </cell>
          <cell r="B3983" t="str">
            <v>26</v>
          </cell>
          <cell r="C3983" t="str">
            <v>02</v>
          </cell>
          <cell r="D3983" t="str">
            <v>5</v>
          </cell>
          <cell r="E3983" t="str">
            <v>0019</v>
          </cell>
          <cell r="F3983" t="str">
            <v>0012</v>
          </cell>
          <cell r="G3983" t="str">
            <v>40508</v>
          </cell>
          <cell r="H3983" t="str">
            <v>转1-2月份耗材料款</v>
          </cell>
          <cell r="I3983" t="b">
            <v>1</v>
          </cell>
          <cell r="J3983">
            <v>171.01</v>
          </cell>
          <cell r="K3983">
            <v>0</v>
          </cell>
          <cell r="L3983">
            <v>0</v>
          </cell>
        </row>
        <row r="3984">
          <cell r="A3984" t="str">
            <v>02</v>
          </cell>
          <cell r="B3984" t="str">
            <v>26</v>
          </cell>
          <cell r="C3984" t="str">
            <v>02</v>
          </cell>
          <cell r="D3984" t="str">
            <v>5</v>
          </cell>
          <cell r="E3984" t="str">
            <v>0019</v>
          </cell>
          <cell r="F3984" t="str">
            <v>0013</v>
          </cell>
          <cell r="G3984" t="str">
            <v>40508</v>
          </cell>
          <cell r="H3984" t="str">
            <v>转1-2月份耗材料款</v>
          </cell>
          <cell r="I3984" t="b">
            <v>1</v>
          </cell>
          <cell r="J3984">
            <v>1759.75</v>
          </cell>
          <cell r="K3984">
            <v>0</v>
          </cell>
          <cell r="L3984">
            <v>0</v>
          </cell>
        </row>
        <row r="3985">
          <cell r="A3985" t="str">
            <v>02</v>
          </cell>
          <cell r="B3985" t="str">
            <v>26</v>
          </cell>
          <cell r="C3985" t="str">
            <v>02</v>
          </cell>
          <cell r="D3985" t="str">
            <v>5</v>
          </cell>
          <cell r="E3985" t="str">
            <v>0019</v>
          </cell>
          <cell r="F3985" t="str">
            <v>0014</v>
          </cell>
          <cell r="G3985" t="str">
            <v>40508</v>
          </cell>
          <cell r="H3985" t="str">
            <v>转1-2月份耗材料款</v>
          </cell>
          <cell r="I3985" t="b">
            <v>1</v>
          </cell>
          <cell r="J3985">
            <v>761.9</v>
          </cell>
          <cell r="K3985">
            <v>0</v>
          </cell>
          <cell r="L3985">
            <v>0</v>
          </cell>
        </row>
        <row r="3986">
          <cell r="A3986" t="str">
            <v>02</v>
          </cell>
          <cell r="B3986" t="str">
            <v>28</v>
          </cell>
          <cell r="C3986" t="str">
            <v>02</v>
          </cell>
          <cell r="D3986" t="str">
            <v>5</v>
          </cell>
          <cell r="E3986" t="str">
            <v>0041</v>
          </cell>
          <cell r="F3986" t="str">
            <v>0013</v>
          </cell>
          <cell r="G3986" t="str">
            <v>40508</v>
          </cell>
          <cell r="H3986" t="str">
            <v>转本月共同制造费用</v>
          </cell>
          <cell r="I3986" t="b">
            <v>1</v>
          </cell>
          <cell r="J3986">
            <v>-407183.16</v>
          </cell>
          <cell r="K3986">
            <v>0</v>
          </cell>
          <cell r="L3986">
            <v>0</v>
          </cell>
        </row>
        <row r="3987">
          <cell r="A3987" t="str">
            <v>02</v>
          </cell>
          <cell r="B3987" t="str">
            <v>29</v>
          </cell>
          <cell r="C3987" t="str">
            <v>02</v>
          </cell>
          <cell r="D3987" t="str">
            <v>5</v>
          </cell>
          <cell r="E3987" t="str">
            <v>0042</v>
          </cell>
          <cell r="F3987" t="str">
            <v>0015</v>
          </cell>
          <cell r="G3987" t="str">
            <v>40508</v>
          </cell>
          <cell r="H3987" t="str">
            <v>结转本月制造费用</v>
          </cell>
          <cell r="I3987" t="b">
            <v>0</v>
          </cell>
          <cell r="J3987">
            <v>53.6</v>
          </cell>
          <cell r="K3987">
            <v>0</v>
          </cell>
          <cell r="L3987">
            <v>0</v>
          </cell>
        </row>
        <row r="3988">
          <cell r="A3988" t="str">
            <v>02</v>
          </cell>
          <cell r="B3988" t="str">
            <v>29</v>
          </cell>
          <cell r="C3988" t="str">
            <v>02</v>
          </cell>
          <cell r="D3988" t="str">
            <v>5</v>
          </cell>
          <cell r="E3988" t="str">
            <v>0042</v>
          </cell>
          <cell r="F3988" t="str">
            <v>0016</v>
          </cell>
          <cell r="G3988" t="str">
            <v>40508</v>
          </cell>
          <cell r="H3988" t="str">
            <v>结转本月制造费用</v>
          </cell>
          <cell r="I3988" t="b">
            <v>0</v>
          </cell>
          <cell r="J3988">
            <v>10735.46</v>
          </cell>
          <cell r="K3988">
            <v>0</v>
          </cell>
          <cell r="L3988">
            <v>0</v>
          </cell>
        </row>
        <row r="3989">
          <cell r="A3989" t="str">
            <v>02</v>
          </cell>
          <cell r="B3989" t="str">
            <v>29</v>
          </cell>
          <cell r="C3989" t="str">
            <v>02</v>
          </cell>
          <cell r="D3989" t="str">
            <v>5</v>
          </cell>
          <cell r="E3989" t="str">
            <v>0042</v>
          </cell>
          <cell r="F3989" t="str">
            <v>0017</v>
          </cell>
          <cell r="G3989" t="str">
            <v>40508</v>
          </cell>
          <cell r="H3989" t="str">
            <v>结转本月制造费用</v>
          </cell>
          <cell r="I3989" t="b">
            <v>0</v>
          </cell>
          <cell r="J3989">
            <v>143.19999999999999</v>
          </cell>
          <cell r="K3989">
            <v>0</v>
          </cell>
          <cell r="L3989">
            <v>0</v>
          </cell>
        </row>
        <row r="3990">
          <cell r="A3990" t="str">
            <v>02</v>
          </cell>
          <cell r="B3990" t="str">
            <v>29</v>
          </cell>
          <cell r="C3990" t="str">
            <v>02</v>
          </cell>
          <cell r="D3990" t="str">
            <v>5</v>
          </cell>
          <cell r="E3990" t="str">
            <v>0042</v>
          </cell>
          <cell r="F3990" t="str">
            <v>0018</v>
          </cell>
          <cell r="G3990" t="str">
            <v>40508</v>
          </cell>
          <cell r="H3990" t="str">
            <v>结转本月制造费用</v>
          </cell>
          <cell r="I3990" t="b">
            <v>0</v>
          </cell>
          <cell r="J3990">
            <v>141.30000000000001</v>
          </cell>
          <cell r="K3990">
            <v>0</v>
          </cell>
          <cell r="L3990">
            <v>0</v>
          </cell>
        </row>
        <row r="3991">
          <cell r="A3991" t="str">
            <v>02</v>
          </cell>
          <cell r="B3991" t="str">
            <v>29</v>
          </cell>
          <cell r="C3991" t="str">
            <v>02</v>
          </cell>
          <cell r="D3991" t="str">
            <v>5</v>
          </cell>
          <cell r="E3991" t="str">
            <v>0042</v>
          </cell>
          <cell r="F3991" t="str">
            <v>0019</v>
          </cell>
          <cell r="G3991" t="str">
            <v>40508</v>
          </cell>
          <cell r="H3991" t="str">
            <v>结转本月制造费用</v>
          </cell>
          <cell r="I3991" t="b">
            <v>0</v>
          </cell>
          <cell r="J3991">
            <v>8154.9</v>
          </cell>
          <cell r="K3991">
            <v>0</v>
          </cell>
          <cell r="L3991">
            <v>0</v>
          </cell>
        </row>
        <row r="3992">
          <cell r="A3992" t="str">
            <v>02</v>
          </cell>
          <cell r="B3992" t="str">
            <v>29</v>
          </cell>
          <cell r="C3992" t="str">
            <v>02</v>
          </cell>
          <cell r="D3992" t="str">
            <v>5</v>
          </cell>
          <cell r="E3992" t="str">
            <v>0042</v>
          </cell>
          <cell r="F3992" t="str">
            <v>0020</v>
          </cell>
          <cell r="G3992" t="str">
            <v>40508</v>
          </cell>
          <cell r="H3992" t="str">
            <v>结转本月制造费用</v>
          </cell>
          <cell r="I3992" t="b">
            <v>0</v>
          </cell>
          <cell r="J3992">
            <v>123.05</v>
          </cell>
          <cell r="K3992">
            <v>0</v>
          </cell>
          <cell r="L3992">
            <v>0</v>
          </cell>
        </row>
        <row r="3993">
          <cell r="A3993" t="str">
            <v>02</v>
          </cell>
          <cell r="B3993" t="str">
            <v>29</v>
          </cell>
          <cell r="C3993" t="str">
            <v>02</v>
          </cell>
          <cell r="D3993" t="str">
            <v>5</v>
          </cell>
          <cell r="E3993" t="str">
            <v>0042</v>
          </cell>
          <cell r="F3993" t="str">
            <v>0021</v>
          </cell>
          <cell r="G3993" t="str">
            <v>40508</v>
          </cell>
          <cell r="H3993" t="str">
            <v>结转本月制造费用</v>
          </cell>
          <cell r="I3993" t="b">
            <v>0</v>
          </cell>
          <cell r="J3993">
            <v>350812.88</v>
          </cell>
          <cell r="K3993">
            <v>0</v>
          </cell>
          <cell r="L3993">
            <v>0</v>
          </cell>
        </row>
        <row r="3994">
          <cell r="A3994" t="str">
            <v>02</v>
          </cell>
          <cell r="B3994" t="str">
            <v>29</v>
          </cell>
          <cell r="C3994" t="str">
            <v>02</v>
          </cell>
          <cell r="D3994" t="str">
            <v>5</v>
          </cell>
          <cell r="E3994" t="str">
            <v>0042</v>
          </cell>
          <cell r="F3994" t="str">
            <v>0022</v>
          </cell>
          <cell r="G3994" t="str">
            <v>40508</v>
          </cell>
          <cell r="H3994" t="str">
            <v>结转本月制造费用</v>
          </cell>
          <cell r="I3994" t="b">
            <v>0</v>
          </cell>
          <cell r="J3994">
            <v>6426.42</v>
          </cell>
          <cell r="K3994">
            <v>0</v>
          </cell>
          <cell r="L3994">
            <v>0</v>
          </cell>
        </row>
        <row r="3995">
          <cell r="A3995" t="str">
            <v>02</v>
          </cell>
          <cell r="B3995" t="str">
            <v>29</v>
          </cell>
          <cell r="C3995" t="str">
            <v>02</v>
          </cell>
          <cell r="D3995" t="str">
            <v>5</v>
          </cell>
          <cell r="E3995" t="str">
            <v>0042</v>
          </cell>
          <cell r="F3995" t="str">
            <v>0023</v>
          </cell>
          <cell r="G3995" t="str">
            <v>40508</v>
          </cell>
          <cell r="H3995" t="str">
            <v>结转本月制造费用</v>
          </cell>
          <cell r="I3995" t="b">
            <v>0</v>
          </cell>
          <cell r="J3995">
            <v>761.9</v>
          </cell>
          <cell r="K3995">
            <v>0</v>
          </cell>
          <cell r="L3995">
            <v>0</v>
          </cell>
        </row>
        <row r="3996">
          <cell r="A3996" t="str">
            <v>02</v>
          </cell>
          <cell r="B3996" t="str">
            <v>29</v>
          </cell>
          <cell r="C3996" t="str">
            <v>02</v>
          </cell>
          <cell r="D3996" t="str">
            <v>5</v>
          </cell>
          <cell r="E3996" t="str">
            <v>0042</v>
          </cell>
          <cell r="F3996" t="str">
            <v>0024</v>
          </cell>
          <cell r="G3996" t="str">
            <v>40508</v>
          </cell>
          <cell r="H3996" t="str">
            <v>结转本月制造费用</v>
          </cell>
          <cell r="I3996" t="b">
            <v>0</v>
          </cell>
          <cell r="J3996">
            <v>3517.78</v>
          </cell>
          <cell r="K3996">
            <v>0</v>
          </cell>
          <cell r="L3996">
            <v>0</v>
          </cell>
        </row>
        <row r="3997">
          <cell r="A3997" t="str">
            <v>02</v>
          </cell>
          <cell r="B3997" t="str">
            <v>29</v>
          </cell>
          <cell r="C3997" t="str">
            <v>02</v>
          </cell>
          <cell r="D3997" t="str">
            <v>5</v>
          </cell>
          <cell r="E3997" t="str">
            <v>0042</v>
          </cell>
          <cell r="F3997" t="str">
            <v>0025</v>
          </cell>
          <cell r="G3997" t="str">
            <v>40508</v>
          </cell>
          <cell r="H3997" t="str">
            <v>结转本月制造费用</v>
          </cell>
          <cell r="I3997" t="b">
            <v>0</v>
          </cell>
          <cell r="J3997">
            <v>171.01</v>
          </cell>
          <cell r="K3997">
            <v>0</v>
          </cell>
          <cell r="L3997">
            <v>0</v>
          </cell>
        </row>
        <row r="3998">
          <cell r="A3998" t="str">
            <v>02</v>
          </cell>
          <cell r="B3998" t="str">
            <v>29</v>
          </cell>
          <cell r="C3998" t="str">
            <v>02</v>
          </cell>
          <cell r="D3998" t="str">
            <v>5</v>
          </cell>
          <cell r="E3998" t="str">
            <v>0042</v>
          </cell>
          <cell r="F3998" t="str">
            <v>0026</v>
          </cell>
          <cell r="G3998" t="str">
            <v>40508</v>
          </cell>
          <cell r="H3998" t="str">
            <v>结转本月制造费用</v>
          </cell>
          <cell r="I3998" t="b">
            <v>0</v>
          </cell>
          <cell r="J3998">
            <v>26141.66</v>
          </cell>
          <cell r="K3998">
            <v>0</v>
          </cell>
          <cell r="L3998">
            <v>0</v>
          </cell>
        </row>
        <row r="3999">
          <cell r="A3999" t="str">
            <v>02</v>
          </cell>
          <cell r="B3999" t="str">
            <v>29</v>
          </cell>
          <cell r="C3999" t="str">
            <v>02</v>
          </cell>
          <cell r="D3999" t="str">
            <v>5</v>
          </cell>
          <cell r="E3999" t="str">
            <v>0042</v>
          </cell>
          <cell r="F3999" t="str">
            <v>0056</v>
          </cell>
          <cell r="G3999" t="str">
            <v>40508</v>
          </cell>
          <cell r="H3999" t="str">
            <v>结转本月制造费用</v>
          </cell>
          <cell r="I3999" t="b">
            <v>1</v>
          </cell>
          <cell r="J3999">
            <v>407183.16</v>
          </cell>
          <cell r="K3999">
            <v>0</v>
          </cell>
          <cell r="L3999">
            <v>0</v>
          </cell>
        </row>
        <row r="4000">
          <cell r="A4000" t="str">
            <v>04</v>
          </cell>
          <cell r="B4000" t="str">
            <v>20</v>
          </cell>
          <cell r="C4000" t="str">
            <v>04</v>
          </cell>
          <cell r="D4000" t="str">
            <v>5</v>
          </cell>
          <cell r="E4000" t="str">
            <v>0010</v>
          </cell>
          <cell r="F4000" t="str">
            <v>0003</v>
          </cell>
          <cell r="G4000" t="str">
            <v>40508</v>
          </cell>
          <cell r="H4000" t="str">
            <v>转3月份耗材料款</v>
          </cell>
          <cell r="I4000" t="b">
            <v>1</v>
          </cell>
          <cell r="J4000">
            <v>267.98</v>
          </cell>
          <cell r="K4000">
            <v>0</v>
          </cell>
          <cell r="L4000">
            <v>0</v>
          </cell>
        </row>
        <row r="4001">
          <cell r="A4001" t="str">
            <v>04</v>
          </cell>
          <cell r="B4001" t="str">
            <v>20</v>
          </cell>
          <cell r="C4001" t="str">
            <v>04</v>
          </cell>
          <cell r="D4001" t="str">
            <v>5</v>
          </cell>
          <cell r="E4001" t="str">
            <v>0010</v>
          </cell>
          <cell r="F4001" t="str">
            <v>0004</v>
          </cell>
          <cell r="G4001" t="str">
            <v>40508</v>
          </cell>
          <cell r="H4001" t="str">
            <v>转3月份耗材料款</v>
          </cell>
          <cell r="I4001" t="b">
            <v>1</v>
          </cell>
          <cell r="J4001">
            <v>8417.06</v>
          </cell>
          <cell r="K4001">
            <v>0</v>
          </cell>
          <cell r="L4001">
            <v>0</v>
          </cell>
        </row>
        <row r="4002">
          <cell r="A4002" t="str">
            <v>04</v>
          </cell>
          <cell r="B4002" t="str">
            <v>20</v>
          </cell>
          <cell r="C4002" t="str">
            <v>04</v>
          </cell>
          <cell r="D4002" t="str">
            <v>5</v>
          </cell>
          <cell r="E4002" t="str">
            <v>0010</v>
          </cell>
          <cell r="F4002" t="str">
            <v>0005</v>
          </cell>
          <cell r="G4002" t="str">
            <v>40508</v>
          </cell>
          <cell r="H4002" t="str">
            <v>转3月份耗材料款</v>
          </cell>
          <cell r="I4002" t="b">
            <v>1</v>
          </cell>
          <cell r="J4002">
            <v>9185.1299999999992</v>
          </cell>
          <cell r="K4002">
            <v>0</v>
          </cell>
          <cell r="L4002">
            <v>0</v>
          </cell>
        </row>
        <row r="4003">
          <cell r="A4003" t="str">
            <v>04</v>
          </cell>
          <cell r="B4003" t="str">
            <v>20</v>
          </cell>
          <cell r="C4003" t="str">
            <v>04</v>
          </cell>
          <cell r="D4003" t="str">
            <v>5</v>
          </cell>
          <cell r="E4003" t="str">
            <v>0010</v>
          </cell>
          <cell r="F4003" t="str">
            <v>0006</v>
          </cell>
          <cell r="G4003" t="str">
            <v>40508</v>
          </cell>
          <cell r="H4003" t="str">
            <v>转3月份耗材料款</v>
          </cell>
          <cell r="I4003" t="b">
            <v>1</v>
          </cell>
          <cell r="J4003">
            <v>1571.82</v>
          </cell>
          <cell r="K4003">
            <v>0</v>
          </cell>
          <cell r="L4003">
            <v>0</v>
          </cell>
        </row>
        <row r="4004">
          <cell r="A4004" t="str">
            <v>04</v>
          </cell>
          <cell r="B4004" t="str">
            <v>20</v>
          </cell>
          <cell r="C4004" t="str">
            <v>04</v>
          </cell>
          <cell r="D4004" t="str">
            <v>5</v>
          </cell>
          <cell r="E4004" t="str">
            <v>0010</v>
          </cell>
          <cell r="F4004" t="str">
            <v>0007</v>
          </cell>
          <cell r="G4004" t="str">
            <v>40508</v>
          </cell>
          <cell r="H4004" t="str">
            <v>转3月份耗材料款</v>
          </cell>
          <cell r="I4004" t="b">
            <v>1</v>
          </cell>
          <cell r="J4004">
            <v>6162.6</v>
          </cell>
          <cell r="K4004">
            <v>0</v>
          </cell>
          <cell r="L4004">
            <v>0</v>
          </cell>
        </row>
        <row r="4005">
          <cell r="A4005" t="str">
            <v>04</v>
          </cell>
          <cell r="B4005" t="str">
            <v>20</v>
          </cell>
          <cell r="C4005" t="str">
            <v>04</v>
          </cell>
          <cell r="D4005" t="str">
            <v>5</v>
          </cell>
          <cell r="E4005" t="str">
            <v>0010</v>
          </cell>
          <cell r="F4005" t="str">
            <v>0008</v>
          </cell>
          <cell r="G4005" t="str">
            <v>40508</v>
          </cell>
          <cell r="H4005" t="str">
            <v>转3月份耗材料款</v>
          </cell>
          <cell r="I4005" t="b">
            <v>1</v>
          </cell>
          <cell r="J4005">
            <v>18466.740000000002</v>
          </cell>
          <cell r="K4005">
            <v>0</v>
          </cell>
          <cell r="L4005">
            <v>0</v>
          </cell>
        </row>
        <row r="4006">
          <cell r="A4006" t="str">
            <v>04</v>
          </cell>
          <cell r="B4006" t="str">
            <v>20</v>
          </cell>
          <cell r="C4006" t="str">
            <v>04</v>
          </cell>
          <cell r="D4006" t="str">
            <v>5</v>
          </cell>
          <cell r="E4006" t="str">
            <v>0010</v>
          </cell>
          <cell r="F4006" t="str">
            <v>0009</v>
          </cell>
          <cell r="G4006" t="str">
            <v>40508</v>
          </cell>
          <cell r="H4006" t="str">
            <v>转3月份耗材料款</v>
          </cell>
          <cell r="I4006" t="b">
            <v>1</v>
          </cell>
          <cell r="J4006">
            <v>4628.45</v>
          </cell>
          <cell r="K4006">
            <v>0</v>
          </cell>
          <cell r="L4006">
            <v>0</v>
          </cell>
        </row>
        <row r="4007">
          <cell r="A4007" t="str">
            <v>04</v>
          </cell>
          <cell r="B4007" t="str">
            <v>20</v>
          </cell>
          <cell r="C4007" t="str">
            <v>04</v>
          </cell>
          <cell r="D4007" t="str">
            <v>5</v>
          </cell>
          <cell r="E4007" t="str">
            <v>0010</v>
          </cell>
          <cell r="F4007" t="str">
            <v>0010</v>
          </cell>
          <cell r="G4007" t="str">
            <v>40508</v>
          </cell>
          <cell r="H4007" t="str">
            <v>转3月份耗材料款</v>
          </cell>
          <cell r="I4007" t="b">
            <v>1</v>
          </cell>
          <cell r="J4007">
            <v>191.13</v>
          </cell>
          <cell r="K4007">
            <v>0</v>
          </cell>
          <cell r="L4007">
            <v>0</v>
          </cell>
        </row>
        <row r="4008">
          <cell r="A4008" t="str">
            <v>04</v>
          </cell>
          <cell r="B4008" t="str">
            <v>20</v>
          </cell>
          <cell r="C4008" t="str">
            <v>04</v>
          </cell>
          <cell r="D4008" t="str">
            <v>5</v>
          </cell>
          <cell r="E4008" t="str">
            <v>0010</v>
          </cell>
          <cell r="F4008" t="str">
            <v>0011</v>
          </cell>
          <cell r="G4008" t="str">
            <v>40508</v>
          </cell>
          <cell r="H4008" t="str">
            <v>转3月份耗材料款</v>
          </cell>
          <cell r="I4008" t="b">
            <v>1</v>
          </cell>
          <cell r="J4008">
            <v>31.95</v>
          </cell>
          <cell r="K4008">
            <v>0</v>
          </cell>
          <cell r="L4008">
            <v>0</v>
          </cell>
        </row>
        <row r="4009">
          <cell r="A4009" t="str">
            <v>04</v>
          </cell>
          <cell r="B4009" t="str">
            <v>20</v>
          </cell>
          <cell r="C4009" t="str">
            <v>04</v>
          </cell>
          <cell r="D4009" t="str">
            <v>5</v>
          </cell>
          <cell r="E4009" t="str">
            <v>0010</v>
          </cell>
          <cell r="F4009" t="str">
            <v>0012</v>
          </cell>
          <cell r="G4009" t="str">
            <v>40508</v>
          </cell>
          <cell r="H4009" t="str">
            <v>转3月份耗材料款</v>
          </cell>
          <cell r="I4009" t="b">
            <v>1</v>
          </cell>
          <cell r="J4009">
            <v>51.36</v>
          </cell>
          <cell r="K4009">
            <v>0</v>
          </cell>
          <cell r="L4009">
            <v>0</v>
          </cell>
        </row>
        <row r="4010">
          <cell r="A4010" t="str">
            <v>04</v>
          </cell>
          <cell r="B4010" t="str">
            <v>25</v>
          </cell>
          <cell r="C4010" t="str">
            <v>04</v>
          </cell>
          <cell r="D4010" t="str">
            <v>5</v>
          </cell>
          <cell r="E4010" t="str">
            <v>0020</v>
          </cell>
          <cell r="F4010" t="str">
            <v>0015</v>
          </cell>
          <cell r="G4010" t="str">
            <v>40508</v>
          </cell>
          <cell r="H4010" t="str">
            <v>转本月共同制造费用</v>
          </cell>
          <cell r="I4010" t="b">
            <v>1</v>
          </cell>
          <cell r="J4010">
            <v>-48974.22</v>
          </cell>
          <cell r="K4010">
            <v>0</v>
          </cell>
          <cell r="L4010">
            <v>0</v>
          </cell>
        </row>
        <row r="4011">
          <cell r="A4011" t="str">
            <v>04</v>
          </cell>
          <cell r="B4011" t="str">
            <v>25</v>
          </cell>
          <cell r="C4011" t="str">
            <v>04</v>
          </cell>
          <cell r="D4011" t="str">
            <v>5</v>
          </cell>
          <cell r="E4011" t="str">
            <v>0021</v>
          </cell>
          <cell r="F4011" t="str">
            <v>0012</v>
          </cell>
          <cell r="G4011" t="str">
            <v>40508</v>
          </cell>
          <cell r="H4011" t="str">
            <v>结转本月制造费用</v>
          </cell>
          <cell r="I4011" t="b">
            <v>0</v>
          </cell>
          <cell r="J4011">
            <v>51.36</v>
          </cell>
          <cell r="K4011">
            <v>0</v>
          </cell>
          <cell r="L4011">
            <v>0</v>
          </cell>
        </row>
        <row r="4012">
          <cell r="A4012" t="str">
            <v>04</v>
          </cell>
          <cell r="B4012" t="str">
            <v>25</v>
          </cell>
          <cell r="C4012" t="str">
            <v>04</v>
          </cell>
          <cell r="D4012" t="str">
            <v>5</v>
          </cell>
          <cell r="E4012" t="str">
            <v>0021</v>
          </cell>
          <cell r="F4012" t="str">
            <v>0013</v>
          </cell>
          <cell r="G4012" t="str">
            <v>40508</v>
          </cell>
          <cell r="H4012" t="str">
            <v>结转本月制造费用</v>
          </cell>
          <cell r="I4012" t="b">
            <v>0</v>
          </cell>
          <cell r="J4012">
            <v>9185.1299999999992</v>
          </cell>
          <cell r="K4012">
            <v>0</v>
          </cell>
          <cell r="L4012">
            <v>0</v>
          </cell>
        </row>
        <row r="4013">
          <cell r="A4013" t="str">
            <v>04</v>
          </cell>
          <cell r="B4013" t="str">
            <v>25</v>
          </cell>
          <cell r="C4013" t="str">
            <v>04</v>
          </cell>
          <cell r="D4013" t="str">
            <v>5</v>
          </cell>
          <cell r="E4013" t="str">
            <v>0021</v>
          </cell>
          <cell r="F4013" t="str">
            <v>0014</v>
          </cell>
          <cell r="G4013" t="str">
            <v>40508</v>
          </cell>
          <cell r="H4013" t="str">
            <v>结转本月制造费用</v>
          </cell>
          <cell r="I4013" t="b">
            <v>0</v>
          </cell>
          <cell r="J4013">
            <v>31.95</v>
          </cell>
          <cell r="K4013">
            <v>0</v>
          </cell>
          <cell r="L4013">
            <v>0</v>
          </cell>
        </row>
        <row r="4014">
          <cell r="A4014" t="str">
            <v>04</v>
          </cell>
          <cell r="B4014" t="str">
            <v>25</v>
          </cell>
          <cell r="C4014" t="str">
            <v>04</v>
          </cell>
          <cell r="D4014" t="str">
            <v>5</v>
          </cell>
          <cell r="E4014" t="str">
            <v>0021</v>
          </cell>
          <cell r="F4014" t="str">
            <v>0015</v>
          </cell>
          <cell r="G4014" t="str">
            <v>40508</v>
          </cell>
          <cell r="H4014" t="str">
            <v>结转本月制造费用</v>
          </cell>
          <cell r="I4014" t="b">
            <v>0</v>
          </cell>
          <cell r="J4014">
            <v>191.13</v>
          </cell>
          <cell r="K4014">
            <v>0</v>
          </cell>
          <cell r="L4014">
            <v>0</v>
          </cell>
        </row>
        <row r="4015">
          <cell r="A4015" t="str">
            <v>04</v>
          </cell>
          <cell r="B4015" t="str">
            <v>25</v>
          </cell>
          <cell r="C4015" t="str">
            <v>04</v>
          </cell>
          <cell r="D4015" t="str">
            <v>5</v>
          </cell>
          <cell r="E4015" t="str">
            <v>0021</v>
          </cell>
          <cell r="F4015" t="str">
            <v>0016</v>
          </cell>
          <cell r="G4015" t="str">
            <v>40508</v>
          </cell>
          <cell r="H4015" t="str">
            <v>结转本月制造费用</v>
          </cell>
          <cell r="I4015" t="b">
            <v>0</v>
          </cell>
          <cell r="J4015">
            <v>1571.82</v>
          </cell>
          <cell r="K4015">
            <v>0</v>
          </cell>
          <cell r="L4015">
            <v>0</v>
          </cell>
        </row>
        <row r="4016">
          <cell r="A4016" t="str">
            <v>04</v>
          </cell>
          <cell r="B4016" t="str">
            <v>25</v>
          </cell>
          <cell r="C4016" t="str">
            <v>04</v>
          </cell>
          <cell r="D4016" t="str">
            <v>5</v>
          </cell>
          <cell r="E4016" t="str">
            <v>0021</v>
          </cell>
          <cell r="F4016" t="str">
            <v>0017</v>
          </cell>
          <cell r="G4016" t="str">
            <v>40508</v>
          </cell>
          <cell r="H4016" t="str">
            <v>结转本月制造费用</v>
          </cell>
          <cell r="I4016" t="b">
            <v>0</v>
          </cell>
          <cell r="J4016">
            <v>4628.45</v>
          </cell>
          <cell r="K4016">
            <v>0</v>
          </cell>
          <cell r="L4016">
            <v>0</v>
          </cell>
        </row>
        <row r="4017">
          <cell r="A4017" t="str">
            <v>04</v>
          </cell>
          <cell r="B4017" t="str">
            <v>25</v>
          </cell>
          <cell r="C4017" t="str">
            <v>04</v>
          </cell>
          <cell r="D4017" t="str">
            <v>5</v>
          </cell>
          <cell r="E4017" t="str">
            <v>0021</v>
          </cell>
          <cell r="F4017" t="str">
            <v>0018</v>
          </cell>
          <cell r="G4017" t="str">
            <v>40508</v>
          </cell>
          <cell r="H4017" t="str">
            <v>结转本月制造费用</v>
          </cell>
          <cell r="I4017" t="b">
            <v>0</v>
          </cell>
          <cell r="J4017">
            <v>8417.06</v>
          </cell>
          <cell r="K4017">
            <v>0</v>
          </cell>
          <cell r="L4017">
            <v>0</v>
          </cell>
        </row>
        <row r="4018">
          <cell r="A4018" t="str">
            <v>04</v>
          </cell>
          <cell r="B4018" t="str">
            <v>25</v>
          </cell>
          <cell r="C4018" t="str">
            <v>04</v>
          </cell>
          <cell r="D4018" t="str">
            <v>5</v>
          </cell>
          <cell r="E4018" t="str">
            <v>0021</v>
          </cell>
          <cell r="F4018" t="str">
            <v>0019</v>
          </cell>
          <cell r="G4018" t="str">
            <v>40508</v>
          </cell>
          <cell r="H4018" t="str">
            <v>结转本月制造费用</v>
          </cell>
          <cell r="I4018" t="b">
            <v>0</v>
          </cell>
          <cell r="J4018">
            <v>6162.6</v>
          </cell>
          <cell r="K4018">
            <v>0</v>
          </cell>
          <cell r="L4018">
            <v>0</v>
          </cell>
        </row>
        <row r="4019">
          <cell r="A4019" t="str">
            <v>04</v>
          </cell>
          <cell r="B4019" t="str">
            <v>25</v>
          </cell>
          <cell r="C4019" t="str">
            <v>04</v>
          </cell>
          <cell r="D4019" t="str">
            <v>5</v>
          </cell>
          <cell r="E4019" t="str">
            <v>0021</v>
          </cell>
          <cell r="F4019" t="str">
            <v>0020</v>
          </cell>
          <cell r="G4019" t="str">
            <v>40508</v>
          </cell>
          <cell r="H4019" t="str">
            <v>结转本月制造费用</v>
          </cell>
          <cell r="I4019" t="b">
            <v>0</v>
          </cell>
          <cell r="J4019">
            <v>267.98</v>
          </cell>
          <cell r="K4019">
            <v>0</v>
          </cell>
          <cell r="L4019">
            <v>0</v>
          </cell>
        </row>
        <row r="4020">
          <cell r="A4020" t="str">
            <v>04</v>
          </cell>
          <cell r="B4020" t="str">
            <v>25</v>
          </cell>
          <cell r="C4020" t="str">
            <v>04</v>
          </cell>
          <cell r="D4020" t="str">
            <v>5</v>
          </cell>
          <cell r="E4020" t="str">
            <v>0021</v>
          </cell>
          <cell r="F4020" t="str">
            <v>0021</v>
          </cell>
          <cell r="G4020" t="str">
            <v>40508</v>
          </cell>
          <cell r="H4020" t="str">
            <v>结转本月制造费用</v>
          </cell>
          <cell r="I4020" t="b">
            <v>0</v>
          </cell>
          <cell r="J4020">
            <v>18466.740000000002</v>
          </cell>
          <cell r="K4020">
            <v>0</v>
          </cell>
          <cell r="L4020">
            <v>0</v>
          </cell>
        </row>
        <row r="4021">
          <cell r="A4021" t="str">
            <v>04</v>
          </cell>
          <cell r="B4021" t="str">
            <v>25</v>
          </cell>
          <cell r="C4021" t="str">
            <v>04</v>
          </cell>
          <cell r="D4021" t="str">
            <v>5</v>
          </cell>
          <cell r="E4021" t="str">
            <v>0021</v>
          </cell>
          <cell r="F4021" t="str">
            <v>0039</v>
          </cell>
          <cell r="G4021" t="str">
            <v>40508</v>
          </cell>
          <cell r="H4021" t="str">
            <v>结转本月制造费用</v>
          </cell>
          <cell r="I4021" t="b">
            <v>1</v>
          </cell>
          <cell r="J4021">
            <v>48974.22</v>
          </cell>
          <cell r="K4021">
            <v>0</v>
          </cell>
          <cell r="L4021">
            <v>0</v>
          </cell>
        </row>
        <row r="4022">
          <cell r="A4022" t="str">
            <v>05</v>
          </cell>
          <cell r="B4022" t="str">
            <v>12</v>
          </cell>
          <cell r="C4022" t="str">
            <v>05</v>
          </cell>
          <cell r="D4022" t="str">
            <v>2</v>
          </cell>
          <cell r="E4022" t="str">
            <v>0004</v>
          </cell>
          <cell r="F4022" t="str">
            <v>0002</v>
          </cell>
          <cell r="G4022" t="str">
            <v>40508</v>
          </cell>
          <cell r="H4022" t="str">
            <v>购填料</v>
          </cell>
          <cell r="I4022" t="b">
            <v>1</v>
          </cell>
          <cell r="J4022">
            <v>1837.61</v>
          </cell>
          <cell r="K4022">
            <v>0</v>
          </cell>
          <cell r="L4022">
            <v>0</v>
          </cell>
        </row>
        <row r="4023">
          <cell r="A4023" t="str">
            <v>05</v>
          </cell>
          <cell r="B4023" t="str">
            <v>15</v>
          </cell>
          <cell r="C4023" t="str">
            <v>05</v>
          </cell>
          <cell r="D4023" t="str">
            <v>2</v>
          </cell>
          <cell r="E4023" t="str">
            <v>0005</v>
          </cell>
          <cell r="F4023" t="str">
            <v>0004</v>
          </cell>
          <cell r="G4023" t="str">
            <v>40508</v>
          </cell>
          <cell r="H4023" t="str">
            <v>付油款</v>
          </cell>
          <cell r="I4023" t="b">
            <v>1</v>
          </cell>
          <cell r="J4023">
            <v>616.79999999999995</v>
          </cell>
          <cell r="K4023">
            <v>0</v>
          </cell>
          <cell r="L4023">
            <v>0</v>
          </cell>
        </row>
        <row r="4024">
          <cell r="A4024" t="str">
            <v>05</v>
          </cell>
          <cell r="B4024" t="str">
            <v>15</v>
          </cell>
          <cell r="C4024" t="str">
            <v>05</v>
          </cell>
          <cell r="D4024" t="str">
            <v>4</v>
          </cell>
          <cell r="E4024" t="str">
            <v>0010</v>
          </cell>
          <cell r="F4024" t="str">
            <v>0002</v>
          </cell>
          <cell r="G4024" t="str">
            <v>40508</v>
          </cell>
          <cell r="H4024" t="str">
            <v>购油款</v>
          </cell>
          <cell r="I4024" t="b">
            <v>1</v>
          </cell>
          <cell r="J4024">
            <v>996.75</v>
          </cell>
          <cell r="K4024">
            <v>0</v>
          </cell>
          <cell r="L4024">
            <v>0</v>
          </cell>
        </row>
        <row r="4025">
          <cell r="A4025" t="str">
            <v>05</v>
          </cell>
          <cell r="B4025" t="str">
            <v>26</v>
          </cell>
          <cell r="C4025" t="str">
            <v>05</v>
          </cell>
          <cell r="D4025" t="str">
            <v>5</v>
          </cell>
          <cell r="E4025" t="str">
            <v>0015</v>
          </cell>
          <cell r="F4025" t="str">
            <v>0002</v>
          </cell>
          <cell r="G4025" t="str">
            <v>40508</v>
          </cell>
          <cell r="H4025" t="str">
            <v>转5月份耗材料款</v>
          </cell>
          <cell r="I4025" t="b">
            <v>1</v>
          </cell>
          <cell r="J4025">
            <v>317.39999999999998</v>
          </cell>
          <cell r="K4025">
            <v>0</v>
          </cell>
          <cell r="L4025">
            <v>0</v>
          </cell>
        </row>
        <row r="4026">
          <cell r="A4026" t="str">
            <v>05</v>
          </cell>
          <cell r="B4026" t="str">
            <v>26</v>
          </cell>
          <cell r="C4026" t="str">
            <v>05</v>
          </cell>
          <cell r="D4026" t="str">
            <v>5</v>
          </cell>
          <cell r="E4026" t="str">
            <v>0015</v>
          </cell>
          <cell r="F4026" t="str">
            <v>0003</v>
          </cell>
          <cell r="G4026" t="str">
            <v>40508</v>
          </cell>
          <cell r="H4026" t="str">
            <v>转5月份耗材料款</v>
          </cell>
          <cell r="I4026" t="b">
            <v>1</v>
          </cell>
          <cell r="J4026">
            <v>1069.75</v>
          </cell>
          <cell r="K4026">
            <v>0</v>
          </cell>
          <cell r="L4026">
            <v>0</v>
          </cell>
        </row>
        <row r="4027">
          <cell r="A4027" t="str">
            <v>05</v>
          </cell>
          <cell r="B4027" t="str">
            <v>26</v>
          </cell>
          <cell r="C4027" t="str">
            <v>05</v>
          </cell>
          <cell r="D4027" t="str">
            <v>5</v>
          </cell>
          <cell r="E4027" t="str">
            <v>0015</v>
          </cell>
          <cell r="F4027" t="str">
            <v>0004</v>
          </cell>
          <cell r="G4027" t="str">
            <v>40508</v>
          </cell>
          <cell r="H4027" t="str">
            <v>转5月份耗材料款</v>
          </cell>
          <cell r="I4027" t="b">
            <v>1</v>
          </cell>
          <cell r="J4027">
            <v>60084.66</v>
          </cell>
          <cell r="K4027">
            <v>0</v>
          </cell>
          <cell r="L4027">
            <v>0</v>
          </cell>
        </row>
        <row r="4028">
          <cell r="A4028" t="str">
            <v>05</v>
          </cell>
          <cell r="B4028" t="str">
            <v>26</v>
          </cell>
          <cell r="C4028" t="str">
            <v>05</v>
          </cell>
          <cell r="D4028" t="str">
            <v>5</v>
          </cell>
          <cell r="E4028" t="str">
            <v>0015</v>
          </cell>
          <cell r="F4028" t="str">
            <v>0005</v>
          </cell>
          <cell r="G4028" t="str">
            <v>40508</v>
          </cell>
          <cell r="H4028" t="str">
            <v>转5月份耗材料款</v>
          </cell>
          <cell r="I4028" t="b">
            <v>1</v>
          </cell>
          <cell r="J4028">
            <v>12117.45</v>
          </cell>
          <cell r="K4028">
            <v>0</v>
          </cell>
          <cell r="L4028">
            <v>0</v>
          </cell>
        </row>
        <row r="4029">
          <cell r="A4029" t="str">
            <v>05</v>
          </cell>
          <cell r="B4029" t="str">
            <v>26</v>
          </cell>
          <cell r="C4029" t="str">
            <v>05</v>
          </cell>
          <cell r="D4029" t="str">
            <v>5</v>
          </cell>
          <cell r="E4029" t="str">
            <v>0015</v>
          </cell>
          <cell r="F4029" t="str">
            <v>0006</v>
          </cell>
          <cell r="G4029" t="str">
            <v>40508</v>
          </cell>
          <cell r="H4029" t="str">
            <v>转5月份耗材料款</v>
          </cell>
          <cell r="I4029" t="b">
            <v>1</v>
          </cell>
          <cell r="J4029">
            <v>2484.42</v>
          </cell>
          <cell r="K4029">
            <v>0</v>
          </cell>
          <cell r="L4029">
            <v>0</v>
          </cell>
        </row>
        <row r="4030">
          <cell r="A4030" t="str">
            <v>05</v>
          </cell>
          <cell r="B4030" t="str">
            <v>26</v>
          </cell>
          <cell r="C4030" t="str">
            <v>05</v>
          </cell>
          <cell r="D4030" t="str">
            <v>5</v>
          </cell>
          <cell r="E4030" t="str">
            <v>0015</v>
          </cell>
          <cell r="F4030" t="str">
            <v>0007</v>
          </cell>
          <cell r="G4030" t="str">
            <v>40508</v>
          </cell>
          <cell r="H4030" t="str">
            <v>转5月份耗材料款</v>
          </cell>
          <cell r="I4030" t="b">
            <v>1</v>
          </cell>
          <cell r="J4030">
            <v>9430.57</v>
          </cell>
          <cell r="K4030">
            <v>0</v>
          </cell>
          <cell r="L4030">
            <v>0</v>
          </cell>
        </row>
        <row r="4031">
          <cell r="A4031" t="str">
            <v>05</v>
          </cell>
          <cell r="B4031" t="str">
            <v>26</v>
          </cell>
          <cell r="C4031" t="str">
            <v>05</v>
          </cell>
          <cell r="D4031" t="str">
            <v>5</v>
          </cell>
          <cell r="E4031" t="str">
            <v>0015</v>
          </cell>
          <cell r="F4031" t="str">
            <v>0008</v>
          </cell>
          <cell r="G4031" t="str">
            <v>40508</v>
          </cell>
          <cell r="H4031" t="str">
            <v>转5月份耗材料款</v>
          </cell>
          <cell r="I4031" t="b">
            <v>1</v>
          </cell>
          <cell r="J4031">
            <v>3018.46</v>
          </cell>
          <cell r="K4031">
            <v>0</v>
          </cell>
          <cell r="L4031">
            <v>0</v>
          </cell>
        </row>
        <row r="4032">
          <cell r="A4032" t="str">
            <v>05</v>
          </cell>
          <cell r="B4032" t="str">
            <v>26</v>
          </cell>
          <cell r="C4032" t="str">
            <v>05</v>
          </cell>
          <cell r="D4032" t="str">
            <v>5</v>
          </cell>
          <cell r="E4032" t="str">
            <v>0015</v>
          </cell>
          <cell r="F4032" t="str">
            <v>0009</v>
          </cell>
          <cell r="G4032" t="str">
            <v>40508</v>
          </cell>
          <cell r="H4032" t="str">
            <v>转5月份耗材料款</v>
          </cell>
          <cell r="I4032" t="b">
            <v>1</v>
          </cell>
          <cell r="J4032">
            <v>84.58</v>
          </cell>
          <cell r="K4032">
            <v>0</v>
          </cell>
          <cell r="L4032">
            <v>0</v>
          </cell>
        </row>
        <row r="4033">
          <cell r="A4033" t="str">
            <v>05</v>
          </cell>
          <cell r="B4033" t="str">
            <v>26</v>
          </cell>
          <cell r="C4033" t="str">
            <v>05</v>
          </cell>
          <cell r="D4033" t="str">
            <v>5</v>
          </cell>
          <cell r="E4033" t="str">
            <v>0015</v>
          </cell>
          <cell r="F4033" t="str">
            <v>0010</v>
          </cell>
          <cell r="G4033" t="str">
            <v>40508</v>
          </cell>
          <cell r="H4033" t="str">
            <v>转5月份耗材料款</v>
          </cell>
          <cell r="I4033" t="b">
            <v>1</v>
          </cell>
          <cell r="J4033">
            <v>65.97</v>
          </cell>
          <cell r="K4033">
            <v>0</v>
          </cell>
          <cell r="L4033">
            <v>0</v>
          </cell>
        </row>
        <row r="4034">
          <cell r="A4034" t="str">
            <v>05</v>
          </cell>
          <cell r="B4034" t="str">
            <v>26</v>
          </cell>
          <cell r="C4034" t="str">
            <v>05</v>
          </cell>
          <cell r="D4034" t="str">
            <v>5</v>
          </cell>
          <cell r="E4034" t="str">
            <v>0015</v>
          </cell>
          <cell r="F4034" t="str">
            <v>0011</v>
          </cell>
          <cell r="G4034" t="str">
            <v>40508</v>
          </cell>
          <cell r="H4034" t="str">
            <v>转5月份耗材料款</v>
          </cell>
          <cell r="I4034" t="b">
            <v>1</v>
          </cell>
          <cell r="J4034">
            <v>128.71</v>
          </cell>
          <cell r="K4034">
            <v>0</v>
          </cell>
          <cell r="L4034">
            <v>0</v>
          </cell>
        </row>
        <row r="4035">
          <cell r="A4035" t="str">
            <v>05</v>
          </cell>
          <cell r="B4035" t="str">
            <v>26</v>
          </cell>
          <cell r="C4035" t="str">
            <v>05</v>
          </cell>
          <cell r="D4035" t="str">
            <v>5</v>
          </cell>
          <cell r="E4035" t="str">
            <v>0015</v>
          </cell>
          <cell r="F4035" t="str">
            <v>0014</v>
          </cell>
          <cell r="G4035" t="str">
            <v>40508</v>
          </cell>
          <cell r="H4035" t="str">
            <v>转5月份耗材料款</v>
          </cell>
          <cell r="I4035" t="b">
            <v>1</v>
          </cell>
          <cell r="J4035">
            <v>396</v>
          </cell>
          <cell r="K4035">
            <v>0</v>
          </cell>
          <cell r="L4035">
            <v>0</v>
          </cell>
        </row>
        <row r="4036">
          <cell r="A4036" t="str">
            <v>05</v>
          </cell>
          <cell r="B4036" t="str">
            <v>27</v>
          </cell>
          <cell r="C4036" t="str">
            <v>05</v>
          </cell>
          <cell r="D4036" t="str">
            <v>5</v>
          </cell>
          <cell r="E4036" t="str">
            <v>0029</v>
          </cell>
          <cell r="F4036" t="str">
            <v>0015</v>
          </cell>
          <cell r="G4036" t="str">
            <v>40508</v>
          </cell>
          <cell r="H4036" t="str">
            <v>转本月共同制造费用</v>
          </cell>
          <cell r="I4036" t="b">
            <v>1</v>
          </cell>
          <cell r="J4036">
            <v>-92649.13</v>
          </cell>
          <cell r="K4036">
            <v>0</v>
          </cell>
          <cell r="L4036">
            <v>0</v>
          </cell>
        </row>
        <row r="4037">
          <cell r="A4037" t="str">
            <v>05</v>
          </cell>
          <cell r="B4037" t="str">
            <v>29</v>
          </cell>
          <cell r="C4037" t="str">
            <v>05</v>
          </cell>
          <cell r="D4037" t="str">
            <v>5</v>
          </cell>
          <cell r="E4037" t="str">
            <v>0030</v>
          </cell>
          <cell r="F4037" t="str">
            <v>0012</v>
          </cell>
          <cell r="G4037" t="str">
            <v>40508</v>
          </cell>
          <cell r="H4037" t="str">
            <v>结转本月制造费用</v>
          </cell>
          <cell r="I4037" t="b">
            <v>0</v>
          </cell>
          <cell r="J4037">
            <v>128.71</v>
          </cell>
          <cell r="K4037">
            <v>0</v>
          </cell>
          <cell r="L4037">
            <v>0</v>
          </cell>
        </row>
        <row r="4038">
          <cell r="A4038" t="str">
            <v>05</v>
          </cell>
          <cell r="B4038" t="str">
            <v>29</v>
          </cell>
          <cell r="C4038" t="str">
            <v>05</v>
          </cell>
          <cell r="D4038" t="str">
            <v>5</v>
          </cell>
          <cell r="E4038" t="str">
            <v>0030</v>
          </cell>
          <cell r="F4038" t="str">
            <v>0013</v>
          </cell>
          <cell r="G4038" t="str">
            <v>40508</v>
          </cell>
          <cell r="H4038" t="str">
            <v>结转本月制造费用</v>
          </cell>
          <cell r="I4038" t="b">
            <v>0</v>
          </cell>
          <cell r="J4038">
            <v>60084.66</v>
          </cell>
          <cell r="K4038">
            <v>0</v>
          </cell>
          <cell r="L4038">
            <v>0</v>
          </cell>
        </row>
        <row r="4039">
          <cell r="A4039" t="str">
            <v>05</v>
          </cell>
          <cell r="B4039" t="str">
            <v>29</v>
          </cell>
          <cell r="C4039" t="str">
            <v>05</v>
          </cell>
          <cell r="D4039" t="str">
            <v>5</v>
          </cell>
          <cell r="E4039" t="str">
            <v>0030</v>
          </cell>
          <cell r="F4039" t="str">
            <v>0014</v>
          </cell>
          <cell r="G4039" t="str">
            <v>40508</v>
          </cell>
          <cell r="H4039" t="str">
            <v>结转本月制造费用</v>
          </cell>
          <cell r="I4039" t="b">
            <v>0</v>
          </cell>
          <cell r="J4039">
            <v>65.97</v>
          </cell>
          <cell r="K4039">
            <v>0</v>
          </cell>
          <cell r="L4039">
            <v>0</v>
          </cell>
        </row>
        <row r="4040">
          <cell r="A4040" t="str">
            <v>05</v>
          </cell>
          <cell r="B4040" t="str">
            <v>29</v>
          </cell>
          <cell r="C4040" t="str">
            <v>05</v>
          </cell>
          <cell r="D4040" t="str">
            <v>5</v>
          </cell>
          <cell r="E4040" t="str">
            <v>0030</v>
          </cell>
          <cell r="F4040" t="str">
            <v>0015</v>
          </cell>
          <cell r="G4040" t="str">
            <v>40508</v>
          </cell>
          <cell r="H4040" t="str">
            <v>结转本月制造费用</v>
          </cell>
          <cell r="I4040" t="b">
            <v>0</v>
          </cell>
          <cell r="J4040">
            <v>84.58</v>
          </cell>
          <cell r="K4040">
            <v>0</v>
          </cell>
          <cell r="L4040">
            <v>0</v>
          </cell>
        </row>
        <row r="4041">
          <cell r="A4041" t="str">
            <v>05</v>
          </cell>
          <cell r="B4041" t="str">
            <v>29</v>
          </cell>
          <cell r="C4041" t="str">
            <v>05</v>
          </cell>
          <cell r="D4041" t="str">
            <v>5</v>
          </cell>
          <cell r="E4041" t="str">
            <v>0030</v>
          </cell>
          <cell r="F4041" t="str">
            <v>0016</v>
          </cell>
          <cell r="G4041" t="str">
            <v>40508</v>
          </cell>
          <cell r="H4041" t="str">
            <v>结转本月制造费用</v>
          </cell>
          <cell r="I4041" t="b">
            <v>0</v>
          </cell>
          <cell r="J4041">
            <v>12117.45</v>
          </cell>
          <cell r="K4041">
            <v>0</v>
          </cell>
          <cell r="L4041">
            <v>0</v>
          </cell>
        </row>
        <row r="4042">
          <cell r="A4042" t="str">
            <v>05</v>
          </cell>
          <cell r="B4042" t="str">
            <v>29</v>
          </cell>
          <cell r="C4042" t="str">
            <v>05</v>
          </cell>
          <cell r="D4042" t="str">
            <v>5</v>
          </cell>
          <cell r="E4042" t="str">
            <v>0030</v>
          </cell>
          <cell r="F4042" t="str">
            <v>0017</v>
          </cell>
          <cell r="G4042" t="str">
            <v>40508</v>
          </cell>
          <cell r="H4042" t="str">
            <v>结转本月制造费用</v>
          </cell>
          <cell r="I4042" t="b">
            <v>0</v>
          </cell>
          <cell r="J4042">
            <v>396</v>
          </cell>
          <cell r="K4042">
            <v>0</v>
          </cell>
          <cell r="L4042">
            <v>0</v>
          </cell>
        </row>
        <row r="4043">
          <cell r="A4043" t="str">
            <v>05</v>
          </cell>
          <cell r="B4043" t="str">
            <v>29</v>
          </cell>
          <cell r="C4043" t="str">
            <v>05</v>
          </cell>
          <cell r="D4043" t="str">
            <v>5</v>
          </cell>
          <cell r="E4043" t="str">
            <v>0030</v>
          </cell>
          <cell r="F4043" t="str">
            <v>0018</v>
          </cell>
          <cell r="G4043" t="str">
            <v>40508</v>
          </cell>
          <cell r="H4043" t="str">
            <v>结转本月制造费用</v>
          </cell>
          <cell r="I4043" t="b">
            <v>0</v>
          </cell>
          <cell r="J4043">
            <v>3635.26</v>
          </cell>
          <cell r="K4043">
            <v>0</v>
          </cell>
          <cell r="L4043">
            <v>0</v>
          </cell>
        </row>
        <row r="4044">
          <cell r="A4044" t="str">
            <v>05</v>
          </cell>
          <cell r="B4044" t="str">
            <v>29</v>
          </cell>
          <cell r="C4044" t="str">
            <v>05</v>
          </cell>
          <cell r="D4044" t="str">
            <v>5</v>
          </cell>
          <cell r="E4044" t="str">
            <v>0030</v>
          </cell>
          <cell r="F4044" t="str">
            <v>0019</v>
          </cell>
          <cell r="G4044" t="str">
            <v>40508</v>
          </cell>
          <cell r="H4044" t="str">
            <v>结转本月制造费用</v>
          </cell>
          <cell r="I4044" t="b">
            <v>0</v>
          </cell>
          <cell r="J4044">
            <v>2066.5</v>
          </cell>
          <cell r="K4044">
            <v>0</v>
          </cell>
          <cell r="L4044">
            <v>0</v>
          </cell>
        </row>
        <row r="4045">
          <cell r="A4045" t="str">
            <v>05</v>
          </cell>
          <cell r="B4045" t="str">
            <v>29</v>
          </cell>
          <cell r="C4045" t="str">
            <v>05</v>
          </cell>
          <cell r="D4045" t="str">
            <v>5</v>
          </cell>
          <cell r="E4045" t="str">
            <v>0030</v>
          </cell>
          <cell r="F4045" t="str">
            <v>0020</v>
          </cell>
          <cell r="G4045" t="str">
            <v>40508</v>
          </cell>
          <cell r="H4045" t="str">
            <v>结转本月制造费用</v>
          </cell>
          <cell r="I4045" t="b">
            <v>0</v>
          </cell>
          <cell r="J4045">
            <v>4322.03</v>
          </cell>
          <cell r="K4045">
            <v>0</v>
          </cell>
          <cell r="L4045">
            <v>0</v>
          </cell>
        </row>
        <row r="4046">
          <cell r="A4046" t="str">
            <v>05</v>
          </cell>
          <cell r="B4046" t="str">
            <v>29</v>
          </cell>
          <cell r="C4046" t="str">
            <v>05</v>
          </cell>
          <cell r="D4046" t="str">
            <v>5</v>
          </cell>
          <cell r="E4046" t="str">
            <v>0030</v>
          </cell>
          <cell r="F4046" t="str">
            <v>0021</v>
          </cell>
          <cell r="G4046" t="str">
            <v>40508</v>
          </cell>
          <cell r="H4046" t="str">
            <v>结转本月制造费用</v>
          </cell>
          <cell r="I4046" t="b">
            <v>0</v>
          </cell>
          <cell r="J4046">
            <v>317.39999999999998</v>
          </cell>
          <cell r="K4046">
            <v>0</v>
          </cell>
          <cell r="L4046">
            <v>0</v>
          </cell>
        </row>
        <row r="4047">
          <cell r="A4047" t="str">
            <v>05</v>
          </cell>
          <cell r="B4047" t="str">
            <v>29</v>
          </cell>
          <cell r="C4047" t="str">
            <v>05</v>
          </cell>
          <cell r="D4047" t="str">
            <v>5</v>
          </cell>
          <cell r="E4047" t="str">
            <v>0030</v>
          </cell>
          <cell r="F4047" t="str">
            <v>0022</v>
          </cell>
          <cell r="G4047" t="str">
            <v>40508</v>
          </cell>
          <cell r="H4047" t="str">
            <v>结转本月制造费用</v>
          </cell>
          <cell r="I4047" t="b">
            <v>0</v>
          </cell>
          <cell r="J4047">
            <v>9430.57</v>
          </cell>
          <cell r="K4047">
            <v>0</v>
          </cell>
          <cell r="L4047">
            <v>0</v>
          </cell>
        </row>
        <row r="4048">
          <cell r="A4048" t="str">
            <v>05</v>
          </cell>
          <cell r="B4048" t="str">
            <v>29</v>
          </cell>
          <cell r="C4048" t="str">
            <v>05</v>
          </cell>
          <cell r="D4048" t="str">
            <v>5</v>
          </cell>
          <cell r="E4048" t="str">
            <v>0030</v>
          </cell>
          <cell r="F4048" t="str">
            <v>0051</v>
          </cell>
          <cell r="G4048" t="str">
            <v>40508</v>
          </cell>
          <cell r="H4048" t="str">
            <v>结转本月制造费用</v>
          </cell>
          <cell r="I4048" t="b">
            <v>1</v>
          </cell>
          <cell r="J4048">
            <v>92649.13</v>
          </cell>
          <cell r="K4048">
            <v>0</v>
          </cell>
          <cell r="L4048">
            <v>0</v>
          </cell>
        </row>
        <row r="4049">
          <cell r="A4049" t="str">
            <v>06</v>
          </cell>
          <cell r="B4049" t="str">
            <v>05</v>
          </cell>
          <cell r="C4049" t="str">
            <v>06</v>
          </cell>
          <cell r="D4049" t="str">
            <v>2</v>
          </cell>
          <cell r="E4049" t="str">
            <v>0004</v>
          </cell>
          <cell r="F4049" t="str">
            <v>0002</v>
          </cell>
          <cell r="G4049" t="str">
            <v>40508</v>
          </cell>
          <cell r="H4049" t="str">
            <v>购柴油</v>
          </cell>
          <cell r="I4049" t="b">
            <v>1</v>
          </cell>
          <cell r="J4049">
            <v>200</v>
          </cell>
          <cell r="K4049">
            <v>0</v>
          </cell>
          <cell r="L4049">
            <v>0</v>
          </cell>
        </row>
        <row r="4050">
          <cell r="A4050" t="str">
            <v>06</v>
          </cell>
          <cell r="B4050" t="str">
            <v>16</v>
          </cell>
          <cell r="C4050" t="str">
            <v>06</v>
          </cell>
          <cell r="D4050" t="str">
            <v>5</v>
          </cell>
          <cell r="E4050" t="str">
            <v>0003</v>
          </cell>
          <cell r="F4050" t="str">
            <v>0001</v>
          </cell>
          <cell r="G4050" t="str">
            <v>40508</v>
          </cell>
          <cell r="H4050" t="str">
            <v>转购酶试剂</v>
          </cell>
          <cell r="I4050" t="b">
            <v>1</v>
          </cell>
          <cell r="J4050">
            <v>10119.15</v>
          </cell>
          <cell r="K4050">
            <v>0</v>
          </cell>
          <cell r="L4050">
            <v>0</v>
          </cell>
        </row>
        <row r="4051">
          <cell r="A4051" t="str">
            <v>06</v>
          </cell>
          <cell r="B4051" t="str">
            <v>23</v>
          </cell>
          <cell r="C4051" t="str">
            <v>06</v>
          </cell>
          <cell r="D4051" t="str">
            <v>5</v>
          </cell>
          <cell r="E4051" t="str">
            <v>0020</v>
          </cell>
          <cell r="F4051" t="str">
            <v>0014</v>
          </cell>
          <cell r="G4051" t="str">
            <v>40508</v>
          </cell>
          <cell r="H4051" t="str">
            <v>转本月共同制造费用</v>
          </cell>
          <cell r="I4051" t="b">
            <v>1</v>
          </cell>
          <cell r="J4051">
            <v>-10319.15</v>
          </cell>
          <cell r="K4051">
            <v>0</v>
          </cell>
          <cell r="L4051">
            <v>0</v>
          </cell>
        </row>
        <row r="4052">
          <cell r="A4052" t="str">
            <v>06</v>
          </cell>
          <cell r="B4052" t="str">
            <v>25</v>
          </cell>
          <cell r="C4052" t="str">
            <v>06</v>
          </cell>
          <cell r="D4052" t="str">
            <v>5</v>
          </cell>
          <cell r="E4052" t="str">
            <v>0021</v>
          </cell>
          <cell r="F4052" t="str">
            <v>0008</v>
          </cell>
          <cell r="G4052" t="str">
            <v>40508</v>
          </cell>
          <cell r="H4052" t="str">
            <v>结转本月制造费用</v>
          </cell>
          <cell r="I4052" t="b">
            <v>0</v>
          </cell>
          <cell r="J4052">
            <v>200</v>
          </cell>
          <cell r="K4052">
            <v>0</v>
          </cell>
          <cell r="L4052">
            <v>0</v>
          </cell>
        </row>
        <row r="4053">
          <cell r="A4053" t="str">
            <v>06</v>
          </cell>
          <cell r="B4053" t="str">
            <v>25</v>
          </cell>
          <cell r="C4053" t="str">
            <v>06</v>
          </cell>
          <cell r="D4053" t="str">
            <v>5</v>
          </cell>
          <cell r="E4053" t="str">
            <v>0021</v>
          </cell>
          <cell r="F4053" t="str">
            <v>0009</v>
          </cell>
          <cell r="G4053" t="str">
            <v>40508</v>
          </cell>
          <cell r="H4053" t="str">
            <v>结转本月制造费用</v>
          </cell>
          <cell r="I4053" t="b">
            <v>0</v>
          </cell>
          <cell r="J4053">
            <v>10119.15</v>
          </cell>
          <cell r="K4053">
            <v>0</v>
          </cell>
          <cell r="L4053">
            <v>0</v>
          </cell>
        </row>
        <row r="4054">
          <cell r="A4054" t="str">
            <v>06</v>
          </cell>
          <cell r="B4054" t="str">
            <v>25</v>
          </cell>
          <cell r="C4054" t="str">
            <v>06</v>
          </cell>
          <cell r="D4054" t="str">
            <v>5</v>
          </cell>
          <cell r="E4054" t="str">
            <v>0021</v>
          </cell>
          <cell r="F4054" t="str">
            <v>0032</v>
          </cell>
          <cell r="G4054" t="str">
            <v>40508</v>
          </cell>
          <cell r="H4054" t="str">
            <v>结转本月制造费用</v>
          </cell>
          <cell r="I4054" t="b">
            <v>1</v>
          </cell>
          <cell r="J4054">
            <v>10319.15</v>
          </cell>
          <cell r="K4054">
            <v>0</v>
          </cell>
          <cell r="L4054">
            <v>0</v>
          </cell>
        </row>
        <row r="4055">
          <cell r="A4055" t="str">
            <v>07</v>
          </cell>
          <cell r="B4055" t="str">
            <v>20</v>
          </cell>
          <cell r="C4055" t="str">
            <v>07</v>
          </cell>
          <cell r="D4055" t="str">
            <v>2</v>
          </cell>
          <cell r="E4055" t="str">
            <v>0017</v>
          </cell>
          <cell r="F4055" t="str">
            <v>0002</v>
          </cell>
          <cell r="G4055" t="str">
            <v>40508</v>
          </cell>
          <cell r="H4055" t="str">
            <v>购刀杆</v>
          </cell>
          <cell r="I4055" t="b">
            <v>1</v>
          </cell>
          <cell r="J4055">
            <v>289</v>
          </cell>
          <cell r="K4055">
            <v>0</v>
          </cell>
          <cell r="L4055">
            <v>0</v>
          </cell>
        </row>
        <row r="4056">
          <cell r="A4056" t="str">
            <v>07</v>
          </cell>
          <cell r="B4056" t="str">
            <v>25</v>
          </cell>
          <cell r="C4056" t="str">
            <v>07</v>
          </cell>
          <cell r="D4056" t="str">
            <v>5</v>
          </cell>
          <cell r="E4056" t="str">
            <v>0014</v>
          </cell>
          <cell r="F4056" t="str">
            <v>0001</v>
          </cell>
          <cell r="G4056" t="str">
            <v>40508</v>
          </cell>
          <cell r="H4056" t="str">
            <v>转化验室用易耗品</v>
          </cell>
          <cell r="I4056" t="b">
            <v>1</v>
          </cell>
          <cell r="J4056">
            <v>7277.78</v>
          </cell>
          <cell r="K4056">
            <v>0</v>
          </cell>
          <cell r="L4056">
            <v>0</v>
          </cell>
        </row>
        <row r="4057">
          <cell r="A4057" t="str">
            <v>07</v>
          </cell>
          <cell r="B4057" t="str">
            <v>27</v>
          </cell>
          <cell r="C4057" t="str">
            <v>07</v>
          </cell>
          <cell r="D4057" t="str">
            <v>5</v>
          </cell>
          <cell r="E4057" t="str">
            <v>0028</v>
          </cell>
          <cell r="F4057" t="str">
            <v>0002</v>
          </cell>
          <cell r="G4057" t="str">
            <v>40508</v>
          </cell>
          <cell r="H4057" t="str">
            <v>转7月份耗材料款</v>
          </cell>
          <cell r="I4057" t="b">
            <v>1</v>
          </cell>
          <cell r="J4057">
            <v>413.65</v>
          </cell>
          <cell r="K4057">
            <v>0</v>
          </cell>
          <cell r="L4057">
            <v>0</v>
          </cell>
        </row>
        <row r="4058">
          <cell r="A4058" t="str">
            <v>07</v>
          </cell>
          <cell r="B4058" t="str">
            <v>27</v>
          </cell>
          <cell r="C4058" t="str">
            <v>07</v>
          </cell>
          <cell r="D4058" t="str">
            <v>5</v>
          </cell>
          <cell r="E4058" t="str">
            <v>0028</v>
          </cell>
          <cell r="F4058" t="str">
            <v>0003</v>
          </cell>
          <cell r="G4058" t="str">
            <v>40508</v>
          </cell>
          <cell r="H4058" t="str">
            <v>转7月份耗材料款</v>
          </cell>
          <cell r="I4058" t="b">
            <v>1</v>
          </cell>
          <cell r="J4058">
            <v>316.81</v>
          </cell>
          <cell r="K4058">
            <v>0</v>
          </cell>
          <cell r="L4058">
            <v>0</v>
          </cell>
        </row>
        <row r="4059">
          <cell r="A4059" t="str">
            <v>07</v>
          </cell>
          <cell r="B4059" t="str">
            <v>27</v>
          </cell>
          <cell r="C4059" t="str">
            <v>07</v>
          </cell>
          <cell r="D4059" t="str">
            <v>5</v>
          </cell>
          <cell r="E4059" t="str">
            <v>0028</v>
          </cell>
          <cell r="F4059" t="str">
            <v>0004</v>
          </cell>
          <cell r="G4059" t="str">
            <v>40508</v>
          </cell>
          <cell r="H4059" t="str">
            <v>转7月份耗材料款</v>
          </cell>
          <cell r="I4059" t="b">
            <v>1</v>
          </cell>
          <cell r="J4059">
            <v>30561.16</v>
          </cell>
          <cell r="K4059">
            <v>0</v>
          </cell>
          <cell r="L4059">
            <v>0</v>
          </cell>
        </row>
        <row r="4060">
          <cell r="A4060" t="str">
            <v>07</v>
          </cell>
          <cell r="B4060" t="str">
            <v>27</v>
          </cell>
          <cell r="C4060" t="str">
            <v>07</v>
          </cell>
          <cell r="D4060" t="str">
            <v>5</v>
          </cell>
          <cell r="E4060" t="str">
            <v>0028</v>
          </cell>
          <cell r="F4060" t="str">
            <v>0005</v>
          </cell>
          <cell r="G4060" t="str">
            <v>40508</v>
          </cell>
          <cell r="H4060" t="str">
            <v>转7月份耗材料款</v>
          </cell>
          <cell r="I4060" t="b">
            <v>1</v>
          </cell>
          <cell r="J4060">
            <v>454.88</v>
          </cell>
          <cell r="K4060">
            <v>0</v>
          </cell>
          <cell r="L4060">
            <v>0</v>
          </cell>
        </row>
        <row r="4061">
          <cell r="A4061" t="str">
            <v>07</v>
          </cell>
          <cell r="B4061" t="str">
            <v>27</v>
          </cell>
          <cell r="C4061" t="str">
            <v>07</v>
          </cell>
          <cell r="D4061" t="str">
            <v>5</v>
          </cell>
          <cell r="E4061" t="str">
            <v>0028</v>
          </cell>
          <cell r="F4061" t="str">
            <v>0006</v>
          </cell>
          <cell r="G4061" t="str">
            <v>40508</v>
          </cell>
          <cell r="H4061" t="str">
            <v>转7月份耗材料款</v>
          </cell>
          <cell r="I4061" t="b">
            <v>1</v>
          </cell>
          <cell r="J4061">
            <v>1766.95</v>
          </cell>
          <cell r="K4061">
            <v>0</v>
          </cell>
          <cell r="L4061">
            <v>0</v>
          </cell>
        </row>
        <row r="4062">
          <cell r="A4062" t="str">
            <v>07</v>
          </cell>
          <cell r="B4062" t="str">
            <v>27</v>
          </cell>
          <cell r="C4062" t="str">
            <v>07</v>
          </cell>
          <cell r="D4062" t="str">
            <v>5</v>
          </cell>
          <cell r="E4062" t="str">
            <v>0028</v>
          </cell>
          <cell r="F4062" t="str">
            <v>0007</v>
          </cell>
          <cell r="G4062" t="str">
            <v>40508</v>
          </cell>
          <cell r="H4062" t="str">
            <v>转7月份耗材料款</v>
          </cell>
          <cell r="I4062" t="b">
            <v>1</v>
          </cell>
          <cell r="J4062">
            <v>13475.43</v>
          </cell>
          <cell r="K4062">
            <v>0</v>
          </cell>
          <cell r="L4062">
            <v>0</v>
          </cell>
        </row>
        <row r="4063">
          <cell r="A4063" t="str">
            <v>07</v>
          </cell>
          <cell r="B4063" t="str">
            <v>27</v>
          </cell>
          <cell r="C4063" t="str">
            <v>07</v>
          </cell>
          <cell r="D4063" t="str">
            <v>5</v>
          </cell>
          <cell r="E4063" t="str">
            <v>0028</v>
          </cell>
          <cell r="F4063" t="str">
            <v>0008</v>
          </cell>
          <cell r="G4063" t="str">
            <v>40508</v>
          </cell>
          <cell r="H4063" t="str">
            <v>转7月份耗材料款</v>
          </cell>
          <cell r="I4063" t="b">
            <v>1</v>
          </cell>
          <cell r="J4063">
            <v>7110.57</v>
          </cell>
          <cell r="K4063">
            <v>0</v>
          </cell>
          <cell r="L4063">
            <v>0</v>
          </cell>
        </row>
        <row r="4064">
          <cell r="A4064" t="str">
            <v>07</v>
          </cell>
          <cell r="B4064" t="str">
            <v>27</v>
          </cell>
          <cell r="C4064" t="str">
            <v>07</v>
          </cell>
          <cell r="D4064" t="str">
            <v>5</v>
          </cell>
          <cell r="E4064" t="str">
            <v>0028</v>
          </cell>
          <cell r="F4064" t="str">
            <v>0009</v>
          </cell>
          <cell r="G4064" t="str">
            <v>40508</v>
          </cell>
          <cell r="H4064" t="str">
            <v>转7月份耗材料款</v>
          </cell>
          <cell r="I4064" t="b">
            <v>1</v>
          </cell>
          <cell r="J4064">
            <v>122.33</v>
          </cell>
          <cell r="K4064">
            <v>0</v>
          </cell>
          <cell r="L4064">
            <v>0</v>
          </cell>
        </row>
        <row r="4065">
          <cell r="A4065" t="str">
            <v>07</v>
          </cell>
          <cell r="B4065" t="str">
            <v>27</v>
          </cell>
          <cell r="C4065" t="str">
            <v>07</v>
          </cell>
          <cell r="D4065" t="str">
            <v>5</v>
          </cell>
          <cell r="E4065" t="str">
            <v>0028</v>
          </cell>
          <cell r="F4065" t="str">
            <v>0010</v>
          </cell>
          <cell r="G4065" t="str">
            <v>40508</v>
          </cell>
          <cell r="H4065" t="str">
            <v>转7月份耗材料款</v>
          </cell>
          <cell r="I4065" t="b">
            <v>1</v>
          </cell>
          <cell r="J4065">
            <v>95.5</v>
          </cell>
          <cell r="K4065">
            <v>0</v>
          </cell>
          <cell r="L4065">
            <v>0</v>
          </cell>
        </row>
        <row r="4066">
          <cell r="A4066" t="str">
            <v>07</v>
          </cell>
          <cell r="B4066" t="str">
            <v>27</v>
          </cell>
          <cell r="C4066" t="str">
            <v>07</v>
          </cell>
          <cell r="D4066" t="str">
            <v>5</v>
          </cell>
          <cell r="E4066" t="str">
            <v>0028</v>
          </cell>
          <cell r="F4066" t="str">
            <v>0011</v>
          </cell>
          <cell r="G4066" t="str">
            <v>40508</v>
          </cell>
          <cell r="H4066" t="str">
            <v>转7月份耗材料款</v>
          </cell>
          <cell r="I4066" t="b">
            <v>1</v>
          </cell>
          <cell r="J4066">
            <v>955.79</v>
          </cell>
          <cell r="K4066">
            <v>0</v>
          </cell>
          <cell r="L4066">
            <v>0</v>
          </cell>
        </row>
        <row r="4067">
          <cell r="A4067" t="str">
            <v>07</v>
          </cell>
          <cell r="B4067" t="str">
            <v>27</v>
          </cell>
          <cell r="C4067" t="str">
            <v>07</v>
          </cell>
          <cell r="D4067" t="str">
            <v>5</v>
          </cell>
          <cell r="E4067" t="str">
            <v>0034</v>
          </cell>
          <cell r="F4067" t="str">
            <v>0014</v>
          </cell>
          <cell r="G4067" t="str">
            <v>40508</v>
          </cell>
          <cell r="H4067" t="str">
            <v>转本月共同制造费用</v>
          </cell>
          <cell r="I4067" t="b">
            <v>1</v>
          </cell>
          <cell r="J4067">
            <v>-62839.85</v>
          </cell>
          <cell r="K4067">
            <v>0</v>
          </cell>
          <cell r="L4067">
            <v>0</v>
          </cell>
        </row>
        <row r="4068">
          <cell r="A4068" t="str">
            <v>07</v>
          </cell>
          <cell r="B4068" t="str">
            <v>28</v>
          </cell>
          <cell r="C4068" t="str">
            <v>07</v>
          </cell>
          <cell r="D4068" t="str">
            <v>5</v>
          </cell>
          <cell r="E4068" t="str">
            <v>0035</v>
          </cell>
          <cell r="F4068" t="str">
            <v>0009</v>
          </cell>
          <cell r="G4068" t="str">
            <v>40508</v>
          </cell>
          <cell r="H4068" t="str">
            <v>结转本月制造费用</v>
          </cell>
          <cell r="I4068" t="b">
            <v>0</v>
          </cell>
          <cell r="J4068">
            <v>955.79</v>
          </cell>
          <cell r="K4068">
            <v>0</v>
          </cell>
          <cell r="L4068">
            <v>0</v>
          </cell>
        </row>
        <row r="4069">
          <cell r="A4069" t="str">
            <v>07</v>
          </cell>
          <cell r="B4069" t="str">
            <v>28</v>
          </cell>
          <cell r="C4069" t="str">
            <v>07</v>
          </cell>
          <cell r="D4069" t="str">
            <v>5</v>
          </cell>
          <cell r="E4069" t="str">
            <v>0035</v>
          </cell>
          <cell r="F4069" t="str">
            <v>0010</v>
          </cell>
          <cell r="G4069" t="str">
            <v>40508</v>
          </cell>
          <cell r="H4069" t="str">
            <v>结转本月制造费用</v>
          </cell>
          <cell r="I4069" t="b">
            <v>0</v>
          </cell>
          <cell r="J4069">
            <v>30850.16</v>
          </cell>
          <cell r="K4069">
            <v>0</v>
          </cell>
          <cell r="L4069">
            <v>0</v>
          </cell>
        </row>
        <row r="4070">
          <cell r="A4070" t="str">
            <v>07</v>
          </cell>
          <cell r="B4070" t="str">
            <v>28</v>
          </cell>
          <cell r="C4070" t="str">
            <v>07</v>
          </cell>
          <cell r="D4070" t="str">
            <v>5</v>
          </cell>
          <cell r="E4070" t="str">
            <v>0035</v>
          </cell>
          <cell r="F4070" t="str">
            <v>0011</v>
          </cell>
          <cell r="G4070" t="str">
            <v>40508</v>
          </cell>
          <cell r="H4070" t="str">
            <v>结转本月制造费用</v>
          </cell>
          <cell r="I4070" t="b">
            <v>0</v>
          </cell>
          <cell r="J4070">
            <v>95.5</v>
          </cell>
          <cell r="K4070">
            <v>0</v>
          </cell>
          <cell r="L4070">
            <v>0</v>
          </cell>
        </row>
        <row r="4071">
          <cell r="A4071" t="str">
            <v>07</v>
          </cell>
          <cell r="B4071" t="str">
            <v>28</v>
          </cell>
          <cell r="C4071" t="str">
            <v>07</v>
          </cell>
          <cell r="D4071" t="str">
            <v>5</v>
          </cell>
          <cell r="E4071" t="str">
            <v>0035</v>
          </cell>
          <cell r="F4071" t="str">
            <v>0012</v>
          </cell>
          <cell r="G4071" t="str">
            <v>40508</v>
          </cell>
          <cell r="H4071" t="str">
            <v>结转本月制造费用</v>
          </cell>
          <cell r="I4071" t="b">
            <v>0</v>
          </cell>
          <cell r="J4071">
            <v>122.33</v>
          </cell>
          <cell r="K4071">
            <v>0</v>
          </cell>
          <cell r="L4071">
            <v>0</v>
          </cell>
        </row>
        <row r="4072">
          <cell r="A4072" t="str">
            <v>07</v>
          </cell>
          <cell r="B4072" t="str">
            <v>28</v>
          </cell>
          <cell r="C4072" t="str">
            <v>07</v>
          </cell>
          <cell r="D4072" t="str">
            <v>5</v>
          </cell>
          <cell r="E4072" t="str">
            <v>0035</v>
          </cell>
          <cell r="F4072" t="str">
            <v>0013</v>
          </cell>
          <cell r="G4072" t="str">
            <v>40508</v>
          </cell>
          <cell r="H4072" t="str">
            <v>结转本月制造费用</v>
          </cell>
          <cell r="I4072" t="b">
            <v>0</v>
          </cell>
          <cell r="J4072">
            <v>454.88</v>
          </cell>
          <cell r="K4072">
            <v>0</v>
          </cell>
          <cell r="L4072">
            <v>0</v>
          </cell>
        </row>
        <row r="4073">
          <cell r="A4073" t="str">
            <v>07</v>
          </cell>
          <cell r="B4073" t="str">
            <v>28</v>
          </cell>
          <cell r="C4073" t="str">
            <v>07</v>
          </cell>
          <cell r="D4073" t="str">
            <v>5</v>
          </cell>
          <cell r="E4073" t="str">
            <v>0035</v>
          </cell>
          <cell r="F4073" t="str">
            <v>0014</v>
          </cell>
          <cell r="G4073" t="str">
            <v>40508</v>
          </cell>
          <cell r="H4073" t="str">
            <v>结转本月制造费用</v>
          </cell>
          <cell r="I4073" t="b">
            <v>0</v>
          </cell>
          <cell r="J4073">
            <v>413.65</v>
          </cell>
          <cell r="K4073">
            <v>0</v>
          </cell>
          <cell r="L4073">
            <v>0</v>
          </cell>
        </row>
        <row r="4074">
          <cell r="A4074" t="str">
            <v>07</v>
          </cell>
          <cell r="B4074" t="str">
            <v>28</v>
          </cell>
          <cell r="C4074" t="str">
            <v>07</v>
          </cell>
          <cell r="D4074" t="str">
            <v>5</v>
          </cell>
          <cell r="E4074" t="str">
            <v>0035</v>
          </cell>
          <cell r="F4074" t="str">
            <v>0015</v>
          </cell>
          <cell r="G4074" t="str">
            <v>40508</v>
          </cell>
          <cell r="H4074" t="str">
            <v>结转本月制造费用</v>
          </cell>
          <cell r="I4074" t="b">
            <v>0</v>
          </cell>
          <cell r="J4074">
            <v>7110.57</v>
          </cell>
          <cell r="K4074">
            <v>0</v>
          </cell>
          <cell r="L4074">
            <v>0</v>
          </cell>
        </row>
        <row r="4075">
          <cell r="A4075" t="str">
            <v>07</v>
          </cell>
          <cell r="B4075" t="str">
            <v>28</v>
          </cell>
          <cell r="C4075" t="str">
            <v>07</v>
          </cell>
          <cell r="D4075" t="str">
            <v>5</v>
          </cell>
          <cell r="E4075" t="str">
            <v>0035</v>
          </cell>
          <cell r="F4075" t="str">
            <v>0016</v>
          </cell>
          <cell r="G4075" t="str">
            <v>40508</v>
          </cell>
          <cell r="H4075" t="str">
            <v>结转本月制造费用</v>
          </cell>
          <cell r="I4075" t="b">
            <v>0</v>
          </cell>
          <cell r="J4075">
            <v>316.81</v>
          </cell>
          <cell r="K4075">
            <v>0</v>
          </cell>
          <cell r="L4075">
            <v>0</v>
          </cell>
        </row>
        <row r="4076">
          <cell r="A4076" t="str">
            <v>07</v>
          </cell>
          <cell r="B4076" t="str">
            <v>28</v>
          </cell>
          <cell r="C4076" t="str">
            <v>07</v>
          </cell>
          <cell r="D4076" t="str">
            <v>5</v>
          </cell>
          <cell r="E4076" t="str">
            <v>0035</v>
          </cell>
          <cell r="F4076" t="str">
            <v>0017</v>
          </cell>
          <cell r="G4076" t="str">
            <v>40508</v>
          </cell>
          <cell r="H4076" t="str">
            <v>结转本月制造费用</v>
          </cell>
          <cell r="I4076" t="b">
            <v>0</v>
          </cell>
          <cell r="J4076">
            <v>9044.73</v>
          </cell>
          <cell r="K4076">
            <v>0</v>
          </cell>
          <cell r="L4076">
            <v>0</v>
          </cell>
        </row>
        <row r="4077">
          <cell r="A4077" t="str">
            <v>07</v>
          </cell>
          <cell r="B4077" t="str">
            <v>28</v>
          </cell>
          <cell r="C4077" t="str">
            <v>07</v>
          </cell>
          <cell r="D4077" t="str">
            <v>5</v>
          </cell>
          <cell r="E4077" t="str">
            <v>0035</v>
          </cell>
          <cell r="F4077" t="str">
            <v>0018</v>
          </cell>
          <cell r="G4077" t="str">
            <v>40508</v>
          </cell>
          <cell r="H4077" t="str">
            <v>结转本月制造费用</v>
          </cell>
          <cell r="I4077" t="b">
            <v>0</v>
          </cell>
          <cell r="J4077">
            <v>13475.43</v>
          </cell>
          <cell r="K4077">
            <v>0</v>
          </cell>
          <cell r="L4077">
            <v>0</v>
          </cell>
        </row>
        <row r="4078">
          <cell r="A4078" t="str">
            <v>07</v>
          </cell>
          <cell r="B4078" t="str">
            <v>28</v>
          </cell>
          <cell r="C4078" t="str">
            <v>07</v>
          </cell>
          <cell r="D4078" t="str">
            <v>5</v>
          </cell>
          <cell r="E4078" t="str">
            <v>0035</v>
          </cell>
          <cell r="F4078" t="str">
            <v>0035</v>
          </cell>
          <cell r="G4078" t="str">
            <v>40508</v>
          </cell>
          <cell r="H4078" t="str">
            <v>结转本月制造费用</v>
          </cell>
          <cell r="I4078" t="b">
            <v>1</v>
          </cell>
          <cell r="J4078">
            <v>62839.85</v>
          </cell>
          <cell r="K4078">
            <v>0</v>
          </cell>
          <cell r="L4078">
            <v>0</v>
          </cell>
        </row>
        <row r="4079">
          <cell r="A4079" t="str">
            <v>02</v>
          </cell>
          <cell r="B4079" t="str">
            <v>20</v>
          </cell>
          <cell r="C4079" t="str">
            <v>02</v>
          </cell>
          <cell r="D4079" t="str">
            <v>5</v>
          </cell>
          <cell r="E4079" t="str">
            <v>0002</v>
          </cell>
          <cell r="F4079" t="str">
            <v>0005</v>
          </cell>
          <cell r="G4079" t="str">
            <v>40509</v>
          </cell>
          <cell r="H4079" t="str">
            <v>计提99年12月份其它部门工会经费</v>
          </cell>
          <cell r="I4079" t="b">
            <v>1</v>
          </cell>
          <cell r="J4079">
            <v>3805.22</v>
          </cell>
          <cell r="K4079">
            <v>0</v>
          </cell>
          <cell r="L4079">
            <v>0</v>
          </cell>
        </row>
        <row r="4080">
          <cell r="A4080" t="str">
            <v>02</v>
          </cell>
          <cell r="B4080" t="str">
            <v>20</v>
          </cell>
          <cell r="C4080" t="str">
            <v>02</v>
          </cell>
          <cell r="D4080" t="str">
            <v>5</v>
          </cell>
          <cell r="E4080" t="str">
            <v>0004</v>
          </cell>
          <cell r="F4080" t="str">
            <v>0005</v>
          </cell>
          <cell r="G4080" t="str">
            <v>40509</v>
          </cell>
          <cell r="H4080" t="str">
            <v>计提1月份其它部门工会经费</v>
          </cell>
          <cell r="I4080" t="b">
            <v>1</v>
          </cell>
          <cell r="J4080">
            <v>3594.22</v>
          </cell>
          <cell r="K4080">
            <v>0</v>
          </cell>
          <cell r="L4080">
            <v>0</v>
          </cell>
        </row>
        <row r="4081">
          <cell r="A4081" t="str">
            <v>02</v>
          </cell>
          <cell r="B4081" t="str">
            <v>28</v>
          </cell>
          <cell r="C4081" t="str">
            <v>02</v>
          </cell>
          <cell r="D4081" t="str">
            <v>5</v>
          </cell>
          <cell r="E4081" t="str">
            <v>0041</v>
          </cell>
          <cell r="F4081" t="str">
            <v>0014</v>
          </cell>
          <cell r="G4081" t="str">
            <v>40509</v>
          </cell>
          <cell r="H4081" t="str">
            <v>转本月共同制造费用</v>
          </cell>
          <cell r="I4081" t="b">
            <v>1</v>
          </cell>
          <cell r="J4081">
            <v>-7399.44</v>
          </cell>
          <cell r="K4081">
            <v>0</v>
          </cell>
          <cell r="L4081">
            <v>0</v>
          </cell>
        </row>
        <row r="4082">
          <cell r="A4082" t="str">
            <v>02</v>
          </cell>
          <cell r="B4082" t="str">
            <v>29</v>
          </cell>
          <cell r="C4082" t="str">
            <v>02</v>
          </cell>
          <cell r="D4082" t="str">
            <v>5</v>
          </cell>
          <cell r="E4082" t="str">
            <v>0042</v>
          </cell>
          <cell r="F4082" t="str">
            <v>0027</v>
          </cell>
          <cell r="G4082" t="str">
            <v>40509</v>
          </cell>
          <cell r="H4082" t="str">
            <v>结转本月制造费用</v>
          </cell>
          <cell r="I4082" t="b">
            <v>0</v>
          </cell>
          <cell r="J4082">
            <v>7399.44</v>
          </cell>
          <cell r="K4082">
            <v>0</v>
          </cell>
          <cell r="L4082">
            <v>0</v>
          </cell>
        </row>
        <row r="4083">
          <cell r="A4083" t="str">
            <v>02</v>
          </cell>
          <cell r="B4083" t="str">
            <v>29</v>
          </cell>
          <cell r="C4083" t="str">
            <v>02</v>
          </cell>
          <cell r="D4083" t="str">
            <v>5</v>
          </cell>
          <cell r="E4083" t="str">
            <v>0042</v>
          </cell>
          <cell r="F4083" t="str">
            <v>0057</v>
          </cell>
          <cell r="G4083" t="str">
            <v>40509</v>
          </cell>
          <cell r="H4083" t="str">
            <v>结转本月制造费用</v>
          </cell>
          <cell r="I4083" t="b">
            <v>1</v>
          </cell>
          <cell r="J4083">
            <v>7399.44</v>
          </cell>
          <cell r="K4083">
            <v>0</v>
          </cell>
          <cell r="L4083">
            <v>0</v>
          </cell>
        </row>
        <row r="4084">
          <cell r="A4084" t="str">
            <v>03</v>
          </cell>
          <cell r="B4084" t="str">
            <v>27</v>
          </cell>
          <cell r="C4084" t="str">
            <v>03</v>
          </cell>
          <cell r="D4084" t="str">
            <v>5</v>
          </cell>
          <cell r="E4084" t="str">
            <v>0014</v>
          </cell>
          <cell r="F4084" t="str">
            <v>0005</v>
          </cell>
          <cell r="G4084" t="str">
            <v>40509</v>
          </cell>
          <cell r="H4084" t="str">
            <v>计提本月其它部门工会经费</v>
          </cell>
          <cell r="I4084" t="b">
            <v>1</v>
          </cell>
          <cell r="J4084">
            <v>3720.77</v>
          </cell>
          <cell r="K4084">
            <v>0</v>
          </cell>
          <cell r="L4084">
            <v>0</v>
          </cell>
        </row>
        <row r="4085">
          <cell r="A4085" t="str">
            <v>03</v>
          </cell>
          <cell r="B4085" t="str">
            <v>30</v>
          </cell>
          <cell r="C4085" t="str">
            <v>03</v>
          </cell>
          <cell r="D4085" t="str">
            <v>5</v>
          </cell>
          <cell r="E4085" t="str">
            <v>0024</v>
          </cell>
          <cell r="F4085" t="str">
            <v>0010</v>
          </cell>
          <cell r="G4085" t="str">
            <v>40509</v>
          </cell>
          <cell r="H4085" t="str">
            <v>转本月共同制造费用</v>
          </cell>
          <cell r="I4085" t="b">
            <v>1</v>
          </cell>
          <cell r="J4085">
            <v>-3720.77</v>
          </cell>
          <cell r="K4085">
            <v>0</v>
          </cell>
          <cell r="L4085">
            <v>0</v>
          </cell>
        </row>
        <row r="4086">
          <cell r="A4086" t="str">
            <v>03</v>
          </cell>
          <cell r="B4086" t="str">
            <v>30</v>
          </cell>
          <cell r="C4086" t="str">
            <v>03</v>
          </cell>
          <cell r="D4086" t="str">
            <v>5</v>
          </cell>
          <cell r="E4086" t="str">
            <v>0025</v>
          </cell>
          <cell r="F4086" t="str">
            <v>0009</v>
          </cell>
          <cell r="G4086" t="str">
            <v>40509</v>
          </cell>
          <cell r="H4086" t="str">
            <v>结转本月制造费用</v>
          </cell>
          <cell r="I4086" t="b">
            <v>0</v>
          </cell>
          <cell r="J4086">
            <v>3720.77</v>
          </cell>
          <cell r="K4086">
            <v>0</v>
          </cell>
          <cell r="L4086">
            <v>0</v>
          </cell>
        </row>
        <row r="4087">
          <cell r="A4087" t="str">
            <v>03</v>
          </cell>
          <cell r="B4087" t="str">
            <v>30</v>
          </cell>
          <cell r="C4087" t="str">
            <v>03</v>
          </cell>
          <cell r="D4087" t="str">
            <v>5</v>
          </cell>
          <cell r="E4087" t="str">
            <v>0025</v>
          </cell>
          <cell r="F4087" t="str">
            <v>0037</v>
          </cell>
          <cell r="G4087" t="str">
            <v>40509</v>
          </cell>
          <cell r="H4087" t="str">
            <v>结转本月制造费用</v>
          </cell>
          <cell r="I4087" t="b">
            <v>1</v>
          </cell>
          <cell r="J4087">
            <v>3720.77</v>
          </cell>
          <cell r="K4087">
            <v>0</v>
          </cell>
          <cell r="L4087">
            <v>0</v>
          </cell>
        </row>
        <row r="4088">
          <cell r="A4088" t="str">
            <v>04</v>
          </cell>
          <cell r="B4088" t="str">
            <v>24</v>
          </cell>
          <cell r="C4088" t="str">
            <v>04</v>
          </cell>
          <cell r="D4088" t="str">
            <v>5</v>
          </cell>
          <cell r="E4088" t="str">
            <v>0015</v>
          </cell>
          <cell r="F4088" t="str">
            <v>0005</v>
          </cell>
          <cell r="G4088" t="str">
            <v>40509</v>
          </cell>
          <cell r="H4088" t="str">
            <v>计提本月其它部门工会经费</v>
          </cell>
          <cell r="I4088" t="b">
            <v>1</v>
          </cell>
          <cell r="J4088">
            <v>3980.71</v>
          </cell>
          <cell r="K4088">
            <v>0</v>
          </cell>
          <cell r="L4088">
            <v>0</v>
          </cell>
        </row>
        <row r="4089">
          <cell r="A4089" t="str">
            <v>04</v>
          </cell>
          <cell r="B4089" t="str">
            <v>25</v>
          </cell>
          <cell r="C4089" t="str">
            <v>04</v>
          </cell>
          <cell r="D4089" t="str">
            <v>5</v>
          </cell>
          <cell r="E4089" t="str">
            <v>0020</v>
          </cell>
          <cell r="F4089" t="str">
            <v>0010</v>
          </cell>
          <cell r="G4089" t="str">
            <v>40509</v>
          </cell>
          <cell r="H4089" t="str">
            <v>转本月共同制造费用</v>
          </cell>
          <cell r="I4089" t="b">
            <v>1</v>
          </cell>
          <cell r="J4089">
            <v>-3980.71</v>
          </cell>
          <cell r="K4089">
            <v>0</v>
          </cell>
          <cell r="L4089">
            <v>0</v>
          </cell>
        </row>
        <row r="4090">
          <cell r="A4090" t="str">
            <v>04</v>
          </cell>
          <cell r="B4090" t="str">
            <v>25</v>
          </cell>
          <cell r="C4090" t="str">
            <v>04</v>
          </cell>
          <cell r="D4090" t="str">
            <v>5</v>
          </cell>
          <cell r="E4090" t="str">
            <v>0021</v>
          </cell>
          <cell r="F4090" t="str">
            <v>0022</v>
          </cell>
          <cell r="G4090" t="str">
            <v>40509</v>
          </cell>
          <cell r="H4090" t="str">
            <v>结转本月制造费用</v>
          </cell>
          <cell r="I4090" t="b">
            <v>0</v>
          </cell>
          <cell r="J4090">
            <v>3980.71</v>
          </cell>
          <cell r="K4090">
            <v>0</v>
          </cell>
          <cell r="L4090">
            <v>0</v>
          </cell>
        </row>
        <row r="4091">
          <cell r="A4091" t="str">
            <v>04</v>
          </cell>
          <cell r="B4091" t="str">
            <v>25</v>
          </cell>
          <cell r="C4091" t="str">
            <v>04</v>
          </cell>
          <cell r="D4091" t="str">
            <v>5</v>
          </cell>
          <cell r="E4091" t="str">
            <v>0021</v>
          </cell>
          <cell r="F4091" t="str">
            <v>0040</v>
          </cell>
          <cell r="G4091" t="str">
            <v>40509</v>
          </cell>
          <cell r="H4091" t="str">
            <v>结转本月制造费用</v>
          </cell>
          <cell r="I4091" t="b">
            <v>1</v>
          </cell>
          <cell r="J4091">
            <v>3980.71</v>
          </cell>
          <cell r="K4091">
            <v>0</v>
          </cell>
          <cell r="L4091">
            <v>0</v>
          </cell>
        </row>
        <row r="4092">
          <cell r="A4092" t="str">
            <v>05</v>
          </cell>
          <cell r="B4092" t="str">
            <v>25</v>
          </cell>
          <cell r="C4092" t="str">
            <v>05</v>
          </cell>
          <cell r="D4092" t="str">
            <v>5</v>
          </cell>
          <cell r="E4092" t="str">
            <v>0002</v>
          </cell>
          <cell r="F4092" t="str">
            <v>0005</v>
          </cell>
          <cell r="G4092" t="str">
            <v>40509</v>
          </cell>
          <cell r="H4092" t="str">
            <v>计提本月其它部门工会经费</v>
          </cell>
          <cell r="I4092" t="b">
            <v>1</v>
          </cell>
          <cell r="J4092">
            <v>3263.13</v>
          </cell>
          <cell r="K4092">
            <v>0</v>
          </cell>
          <cell r="L4092">
            <v>0</v>
          </cell>
        </row>
        <row r="4093">
          <cell r="A4093" t="str">
            <v>05</v>
          </cell>
          <cell r="B4093" t="str">
            <v>27</v>
          </cell>
          <cell r="C4093" t="str">
            <v>05</v>
          </cell>
          <cell r="D4093" t="str">
            <v>5</v>
          </cell>
          <cell r="E4093" t="str">
            <v>0029</v>
          </cell>
          <cell r="F4093" t="str">
            <v>0010</v>
          </cell>
          <cell r="G4093" t="str">
            <v>40509</v>
          </cell>
          <cell r="H4093" t="str">
            <v>转本月共同制造费用</v>
          </cell>
          <cell r="I4093" t="b">
            <v>1</v>
          </cell>
          <cell r="J4093">
            <v>-3263.13</v>
          </cell>
          <cell r="K4093">
            <v>0</v>
          </cell>
          <cell r="L4093">
            <v>0</v>
          </cell>
        </row>
        <row r="4094">
          <cell r="A4094" t="str">
            <v>05</v>
          </cell>
          <cell r="B4094" t="str">
            <v>29</v>
          </cell>
          <cell r="C4094" t="str">
            <v>05</v>
          </cell>
          <cell r="D4094" t="str">
            <v>5</v>
          </cell>
          <cell r="E4094" t="str">
            <v>0030</v>
          </cell>
          <cell r="F4094" t="str">
            <v>0023</v>
          </cell>
          <cell r="G4094" t="str">
            <v>40509</v>
          </cell>
          <cell r="H4094" t="str">
            <v>结转本月制造费用</v>
          </cell>
          <cell r="I4094" t="b">
            <v>0</v>
          </cell>
          <cell r="J4094">
            <v>3263.13</v>
          </cell>
          <cell r="K4094">
            <v>0</v>
          </cell>
          <cell r="L4094">
            <v>0</v>
          </cell>
        </row>
        <row r="4095">
          <cell r="A4095" t="str">
            <v>05</v>
          </cell>
          <cell r="B4095" t="str">
            <v>29</v>
          </cell>
          <cell r="C4095" t="str">
            <v>05</v>
          </cell>
          <cell r="D4095" t="str">
            <v>5</v>
          </cell>
          <cell r="E4095" t="str">
            <v>0030</v>
          </cell>
          <cell r="F4095" t="str">
            <v>0052</v>
          </cell>
          <cell r="G4095" t="str">
            <v>40509</v>
          </cell>
          <cell r="H4095" t="str">
            <v>结转本月制造费用</v>
          </cell>
          <cell r="I4095" t="b">
            <v>1</v>
          </cell>
          <cell r="J4095">
            <v>3263.13</v>
          </cell>
          <cell r="K4095">
            <v>0</v>
          </cell>
          <cell r="L4095">
            <v>0</v>
          </cell>
        </row>
        <row r="4096">
          <cell r="A4096" t="str">
            <v>06</v>
          </cell>
          <cell r="B4096" t="str">
            <v>20</v>
          </cell>
          <cell r="C4096" t="str">
            <v>06</v>
          </cell>
          <cell r="D4096" t="str">
            <v>5</v>
          </cell>
          <cell r="E4096" t="str">
            <v>0008</v>
          </cell>
          <cell r="F4096" t="str">
            <v>0005</v>
          </cell>
          <cell r="G4096" t="str">
            <v>40509</v>
          </cell>
          <cell r="H4096" t="str">
            <v>计提本月其它部门工会经费</v>
          </cell>
          <cell r="I4096" t="b">
            <v>1</v>
          </cell>
          <cell r="J4096">
            <v>4899.84</v>
          </cell>
          <cell r="K4096">
            <v>0</v>
          </cell>
          <cell r="L4096">
            <v>0</v>
          </cell>
        </row>
        <row r="4097">
          <cell r="A4097" t="str">
            <v>06</v>
          </cell>
          <cell r="B4097" t="str">
            <v>23</v>
          </cell>
          <cell r="C4097" t="str">
            <v>06</v>
          </cell>
          <cell r="D4097" t="str">
            <v>5</v>
          </cell>
          <cell r="E4097" t="str">
            <v>0020</v>
          </cell>
          <cell r="F4097" t="str">
            <v>0009</v>
          </cell>
          <cell r="G4097" t="str">
            <v>40509</v>
          </cell>
          <cell r="H4097" t="str">
            <v>转本月共同制造费用</v>
          </cell>
          <cell r="I4097" t="b">
            <v>1</v>
          </cell>
          <cell r="J4097">
            <v>-4899.84</v>
          </cell>
          <cell r="K4097">
            <v>0</v>
          </cell>
          <cell r="L4097">
            <v>0</v>
          </cell>
        </row>
        <row r="4098">
          <cell r="A4098" t="str">
            <v>06</v>
          </cell>
          <cell r="B4098" t="str">
            <v>25</v>
          </cell>
          <cell r="C4098" t="str">
            <v>06</v>
          </cell>
          <cell r="D4098" t="str">
            <v>5</v>
          </cell>
          <cell r="E4098" t="str">
            <v>0021</v>
          </cell>
          <cell r="F4098" t="str">
            <v>0010</v>
          </cell>
          <cell r="G4098" t="str">
            <v>40509</v>
          </cell>
          <cell r="H4098" t="str">
            <v>结转本月制造费用</v>
          </cell>
          <cell r="I4098" t="b">
            <v>0</v>
          </cell>
          <cell r="J4098">
            <v>4899.84</v>
          </cell>
          <cell r="K4098">
            <v>0</v>
          </cell>
          <cell r="L4098">
            <v>0</v>
          </cell>
        </row>
        <row r="4099">
          <cell r="A4099" t="str">
            <v>06</v>
          </cell>
          <cell r="B4099" t="str">
            <v>25</v>
          </cell>
          <cell r="C4099" t="str">
            <v>06</v>
          </cell>
          <cell r="D4099" t="str">
            <v>5</v>
          </cell>
          <cell r="E4099" t="str">
            <v>0021</v>
          </cell>
          <cell r="F4099" t="str">
            <v>0033</v>
          </cell>
          <cell r="G4099" t="str">
            <v>40509</v>
          </cell>
          <cell r="H4099" t="str">
            <v>结转本月制造费用</v>
          </cell>
          <cell r="I4099" t="b">
            <v>1</v>
          </cell>
          <cell r="J4099">
            <v>4899.84</v>
          </cell>
          <cell r="K4099">
            <v>0</v>
          </cell>
          <cell r="L4099">
            <v>0</v>
          </cell>
        </row>
        <row r="4100">
          <cell r="A4100" t="str">
            <v>07</v>
          </cell>
          <cell r="B4100" t="str">
            <v>12</v>
          </cell>
          <cell r="C4100" t="str">
            <v>07</v>
          </cell>
          <cell r="D4100" t="str">
            <v>5</v>
          </cell>
          <cell r="E4100" t="str">
            <v>0002</v>
          </cell>
          <cell r="F4100" t="str">
            <v>0005</v>
          </cell>
          <cell r="G4100" t="str">
            <v>40509</v>
          </cell>
          <cell r="H4100" t="str">
            <v>计提其它部门工会经费</v>
          </cell>
          <cell r="I4100" t="b">
            <v>1</v>
          </cell>
          <cell r="J4100">
            <v>4341.58</v>
          </cell>
          <cell r="K4100">
            <v>0</v>
          </cell>
          <cell r="L4100">
            <v>0</v>
          </cell>
        </row>
        <row r="4101">
          <cell r="A4101" t="str">
            <v>07</v>
          </cell>
          <cell r="B4101" t="str">
            <v>27</v>
          </cell>
          <cell r="C4101" t="str">
            <v>07</v>
          </cell>
          <cell r="D4101" t="str">
            <v>5</v>
          </cell>
          <cell r="E4101" t="str">
            <v>0034</v>
          </cell>
          <cell r="F4101" t="str">
            <v>0009</v>
          </cell>
          <cell r="G4101" t="str">
            <v>40509</v>
          </cell>
          <cell r="H4101" t="str">
            <v>转本月共同制造费用</v>
          </cell>
          <cell r="I4101" t="b">
            <v>1</v>
          </cell>
          <cell r="J4101">
            <v>-4341.58</v>
          </cell>
          <cell r="K4101">
            <v>0</v>
          </cell>
          <cell r="L4101">
            <v>0</v>
          </cell>
        </row>
        <row r="4102">
          <cell r="A4102" t="str">
            <v>07</v>
          </cell>
          <cell r="B4102" t="str">
            <v>28</v>
          </cell>
          <cell r="C4102" t="str">
            <v>07</v>
          </cell>
          <cell r="D4102" t="str">
            <v>5</v>
          </cell>
          <cell r="E4102" t="str">
            <v>0035</v>
          </cell>
          <cell r="F4102" t="str">
            <v>0019</v>
          </cell>
          <cell r="G4102" t="str">
            <v>40509</v>
          </cell>
          <cell r="H4102" t="str">
            <v>结转本月制造费用</v>
          </cell>
          <cell r="I4102" t="b">
            <v>0</v>
          </cell>
          <cell r="J4102">
            <v>4341.58</v>
          </cell>
          <cell r="K4102">
            <v>0</v>
          </cell>
          <cell r="L4102">
            <v>0</v>
          </cell>
        </row>
        <row r="4103">
          <cell r="A4103" t="str">
            <v>07</v>
          </cell>
          <cell r="B4103" t="str">
            <v>28</v>
          </cell>
          <cell r="C4103" t="str">
            <v>07</v>
          </cell>
          <cell r="D4103" t="str">
            <v>5</v>
          </cell>
          <cell r="E4103" t="str">
            <v>0035</v>
          </cell>
          <cell r="F4103" t="str">
            <v>0036</v>
          </cell>
          <cell r="G4103" t="str">
            <v>40509</v>
          </cell>
          <cell r="H4103" t="str">
            <v>结转本月制造费用</v>
          </cell>
          <cell r="I4103" t="b">
            <v>1</v>
          </cell>
          <cell r="J4103">
            <v>4341.58</v>
          </cell>
          <cell r="K4103">
            <v>0</v>
          </cell>
          <cell r="L4103">
            <v>0</v>
          </cell>
        </row>
        <row r="4104">
          <cell r="A4104" t="str">
            <v>02</v>
          </cell>
          <cell r="B4104" t="str">
            <v>20</v>
          </cell>
          <cell r="C4104" t="str">
            <v>02</v>
          </cell>
          <cell r="D4104" t="str">
            <v>5</v>
          </cell>
          <cell r="E4104" t="str">
            <v>0002</v>
          </cell>
          <cell r="F4104" t="str">
            <v>0008</v>
          </cell>
          <cell r="G4104" t="str">
            <v>40510</v>
          </cell>
          <cell r="H4104" t="str">
            <v>计提99年12月份其它部门职教费</v>
          </cell>
          <cell r="I4104" t="b">
            <v>1</v>
          </cell>
          <cell r="J4104">
            <v>2853.94</v>
          </cell>
          <cell r="K4104">
            <v>0</v>
          </cell>
          <cell r="L4104">
            <v>0</v>
          </cell>
        </row>
        <row r="4105">
          <cell r="A4105" t="str">
            <v>02</v>
          </cell>
          <cell r="B4105" t="str">
            <v>20</v>
          </cell>
          <cell r="C4105" t="str">
            <v>02</v>
          </cell>
          <cell r="D4105" t="str">
            <v>5</v>
          </cell>
          <cell r="E4105" t="str">
            <v>0004</v>
          </cell>
          <cell r="F4105" t="str">
            <v>0008</v>
          </cell>
          <cell r="G4105" t="str">
            <v>40510</v>
          </cell>
          <cell r="H4105" t="str">
            <v>计提1月份其它部门职教费</v>
          </cell>
          <cell r="I4105" t="b">
            <v>1</v>
          </cell>
          <cell r="J4105">
            <v>2695.7</v>
          </cell>
          <cell r="K4105">
            <v>0</v>
          </cell>
          <cell r="L4105">
            <v>0</v>
          </cell>
        </row>
        <row r="4106">
          <cell r="A4106" t="str">
            <v>02</v>
          </cell>
          <cell r="B4106" t="str">
            <v>28</v>
          </cell>
          <cell r="C4106" t="str">
            <v>02</v>
          </cell>
          <cell r="D4106" t="str">
            <v>5</v>
          </cell>
          <cell r="E4106" t="str">
            <v>0041</v>
          </cell>
          <cell r="F4106" t="str">
            <v>0015</v>
          </cell>
          <cell r="G4106" t="str">
            <v>40510</v>
          </cell>
          <cell r="H4106" t="str">
            <v>转本月共同制造费用</v>
          </cell>
          <cell r="I4106" t="b">
            <v>1</v>
          </cell>
          <cell r="J4106">
            <v>-5549.64</v>
          </cell>
          <cell r="K4106">
            <v>0</v>
          </cell>
          <cell r="L4106">
            <v>0</v>
          </cell>
        </row>
        <row r="4107">
          <cell r="A4107" t="str">
            <v>02</v>
          </cell>
          <cell r="B4107" t="str">
            <v>29</v>
          </cell>
          <cell r="C4107" t="str">
            <v>02</v>
          </cell>
          <cell r="D4107" t="str">
            <v>5</v>
          </cell>
          <cell r="E4107" t="str">
            <v>0042</v>
          </cell>
          <cell r="F4107" t="str">
            <v>0028</v>
          </cell>
          <cell r="G4107" t="str">
            <v>40510</v>
          </cell>
          <cell r="H4107" t="str">
            <v>结转本月制造费用</v>
          </cell>
          <cell r="I4107" t="b">
            <v>0</v>
          </cell>
          <cell r="J4107">
            <v>5549.64</v>
          </cell>
          <cell r="K4107">
            <v>0</v>
          </cell>
          <cell r="L4107">
            <v>0</v>
          </cell>
        </row>
        <row r="4108">
          <cell r="A4108" t="str">
            <v>02</v>
          </cell>
          <cell r="B4108" t="str">
            <v>29</v>
          </cell>
          <cell r="C4108" t="str">
            <v>02</v>
          </cell>
          <cell r="D4108" t="str">
            <v>5</v>
          </cell>
          <cell r="E4108" t="str">
            <v>0042</v>
          </cell>
          <cell r="F4108" t="str">
            <v>0058</v>
          </cell>
          <cell r="G4108" t="str">
            <v>40510</v>
          </cell>
          <cell r="H4108" t="str">
            <v>结转本月制造费用</v>
          </cell>
          <cell r="I4108" t="b">
            <v>1</v>
          </cell>
          <cell r="J4108">
            <v>5549.64</v>
          </cell>
          <cell r="K4108">
            <v>0</v>
          </cell>
          <cell r="L4108">
            <v>0</v>
          </cell>
        </row>
        <row r="4109">
          <cell r="A4109" t="str">
            <v>03</v>
          </cell>
          <cell r="B4109" t="str">
            <v>27</v>
          </cell>
          <cell r="C4109" t="str">
            <v>03</v>
          </cell>
          <cell r="D4109" t="str">
            <v>5</v>
          </cell>
          <cell r="E4109" t="str">
            <v>0014</v>
          </cell>
          <cell r="F4109" t="str">
            <v>0008</v>
          </cell>
          <cell r="G4109" t="str">
            <v>40510</v>
          </cell>
          <cell r="H4109" t="str">
            <v>计提本月其它部门职教费</v>
          </cell>
          <cell r="I4109" t="b">
            <v>1</v>
          </cell>
          <cell r="J4109">
            <v>2790.59</v>
          </cell>
          <cell r="K4109">
            <v>0</v>
          </cell>
          <cell r="L4109">
            <v>0</v>
          </cell>
        </row>
        <row r="4110">
          <cell r="A4110" t="str">
            <v>03</v>
          </cell>
          <cell r="B4110" t="str">
            <v>30</v>
          </cell>
          <cell r="C4110" t="str">
            <v>03</v>
          </cell>
          <cell r="D4110" t="str">
            <v>5</v>
          </cell>
          <cell r="E4110" t="str">
            <v>0024</v>
          </cell>
          <cell r="F4110" t="str">
            <v>0011</v>
          </cell>
          <cell r="G4110" t="str">
            <v>40510</v>
          </cell>
          <cell r="H4110" t="str">
            <v>转本月共同制造费用</v>
          </cell>
          <cell r="I4110" t="b">
            <v>1</v>
          </cell>
          <cell r="J4110">
            <v>-2790.59</v>
          </cell>
          <cell r="K4110">
            <v>0</v>
          </cell>
          <cell r="L4110">
            <v>0</v>
          </cell>
        </row>
        <row r="4111">
          <cell r="A4111" t="str">
            <v>03</v>
          </cell>
          <cell r="B4111" t="str">
            <v>30</v>
          </cell>
          <cell r="C4111" t="str">
            <v>03</v>
          </cell>
          <cell r="D4111" t="str">
            <v>5</v>
          </cell>
          <cell r="E4111" t="str">
            <v>0025</v>
          </cell>
          <cell r="F4111" t="str">
            <v>0010</v>
          </cell>
          <cell r="G4111" t="str">
            <v>40510</v>
          </cell>
          <cell r="H4111" t="str">
            <v>结转本月制造费用</v>
          </cell>
          <cell r="I4111" t="b">
            <v>0</v>
          </cell>
          <cell r="J4111">
            <v>2790.59</v>
          </cell>
          <cell r="K4111">
            <v>0</v>
          </cell>
          <cell r="L4111">
            <v>0</v>
          </cell>
        </row>
        <row r="4112">
          <cell r="A4112" t="str">
            <v>03</v>
          </cell>
          <cell r="B4112" t="str">
            <v>30</v>
          </cell>
          <cell r="C4112" t="str">
            <v>03</v>
          </cell>
          <cell r="D4112" t="str">
            <v>5</v>
          </cell>
          <cell r="E4112" t="str">
            <v>0025</v>
          </cell>
          <cell r="F4112" t="str">
            <v>0038</v>
          </cell>
          <cell r="G4112" t="str">
            <v>40510</v>
          </cell>
          <cell r="H4112" t="str">
            <v>结转本月制造费用</v>
          </cell>
          <cell r="I4112" t="b">
            <v>1</v>
          </cell>
          <cell r="J4112">
            <v>2790.59</v>
          </cell>
          <cell r="K4112">
            <v>0</v>
          </cell>
          <cell r="L4112">
            <v>0</v>
          </cell>
        </row>
        <row r="4113">
          <cell r="A4113" t="str">
            <v>04</v>
          </cell>
          <cell r="B4113" t="str">
            <v>24</v>
          </cell>
          <cell r="C4113" t="str">
            <v>04</v>
          </cell>
          <cell r="D4113" t="str">
            <v>5</v>
          </cell>
          <cell r="E4113" t="str">
            <v>0015</v>
          </cell>
          <cell r="F4113" t="str">
            <v>0008</v>
          </cell>
          <cell r="G4113" t="str">
            <v>40510</v>
          </cell>
          <cell r="H4113" t="str">
            <v>计提本月其它部门职教费</v>
          </cell>
          <cell r="I4113" t="b">
            <v>1</v>
          </cell>
          <cell r="J4113">
            <v>2985.55</v>
          </cell>
          <cell r="K4113">
            <v>0</v>
          </cell>
          <cell r="L4113">
            <v>0</v>
          </cell>
        </row>
        <row r="4114">
          <cell r="A4114" t="str">
            <v>04</v>
          </cell>
          <cell r="B4114" t="str">
            <v>25</v>
          </cell>
          <cell r="C4114" t="str">
            <v>04</v>
          </cell>
          <cell r="D4114" t="str">
            <v>5</v>
          </cell>
          <cell r="E4114" t="str">
            <v>0020</v>
          </cell>
          <cell r="F4114" t="str">
            <v>0011</v>
          </cell>
          <cell r="G4114" t="str">
            <v>40510</v>
          </cell>
          <cell r="H4114" t="str">
            <v>转本月共同制造费用</v>
          </cell>
          <cell r="I4114" t="b">
            <v>1</v>
          </cell>
          <cell r="J4114">
            <v>-2985.55</v>
          </cell>
          <cell r="K4114">
            <v>0</v>
          </cell>
          <cell r="L4114">
            <v>0</v>
          </cell>
        </row>
        <row r="4115">
          <cell r="A4115" t="str">
            <v>04</v>
          </cell>
          <cell r="B4115" t="str">
            <v>25</v>
          </cell>
          <cell r="C4115" t="str">
            <v>04</v>
          </cell>
          <cell r="D4115" t="str">
            <v>5</v>
          </cell>
          <cell r="E4115" t="str">
            <v>0021</v>
          </cell>
          <cell r="F4115" t="str">
            <v>0023</v>
          </cell>
          <cell r="G4115" t="str">
            <v>40510</v>
          </cell>
          <cell r="H4115" t="str">
            <v>结转本月制造费用</v>
          </cell>
          <cell r="I4115" t="b">
            <v>0</v>
          </cell>
          <cell r="J4115">
            <v>2985.55</v>
          </cell>
          <cell r="K4115">
            <v>0</v>
          </cell>
          <cell r="L4115">
            <v>0</v>
          </cell>
        </row>
        <row r="4116">
          <cell r="A4116" t="str">
            <v>04</v>
          </cell>
          <cell r="B4116" t="str">
            <v>25</v>
          </cell>
          <cell r="C4116" t="str">
            <v>04</v>
          </cell>
          <cell r="D4116" t="str">
            <v>5</v>
          </cell>
          <cell r="E4116" t="str">
            <v>0021</v>
          </cell>
          <cell r="F4116" t="str">
            <v>0041</v>
          </cell>
          <cell r="G4116" t="str">
            <v>40510</v>
          </cell>
          <cell r="H4116" t="str">
            <v>结转本月制造费用</v>
          </cell>
          <cell r="I4116" t="b">
            <v>1</v>
          </cell>
          <cell r="J4116">
            <v>2985.55</v>
          </cell>
          <cell r="K4116">
            <v>0</v>
          </cell>
          <cell r="L4116">
            <v>0</v>
          </cell>
        </row>
        <row r="4117">
          <cell r="A4117" t="str">
            <v>05</v>
          </cell>
          <cell r="B4117" t="str">
            <v>25</v>
          </cell>
          <cell r="C4117" t="str">
            <v>05</v>
          </cell>
          <cell r="D4117" t="str">
            <v>5</v>
          </cell>
          <cell r="E4117" t="str">
            <v>0002</v>
          </cell>
          <cell r="F4117" t="str">
            <v>0008</v>
          </cell>
          <cell r="G4117" t="str">
            <v>40510</v>
          </cell>
          <cell r="H4117" t="str">
            <v>计提本月其它部门职教费</v>
          </cell>
          <cell r="I4117" t="b">
            <v>1</v>
          </cell>
          <cell r="J4117">
            <v>2447.37</v>
          </cell>
          <cell r="K4117">
            <v>0</v>
          </cell>
          <cell r="L4117">
            <v>0</v>
          </cell>
        </row>
        <row r="4118">
          <cell r="A4118" t="str">
            <v>05</v>
          </cell>
          <cell r="B4118" t="str">
            <v>27</v>
          </cell>
          <cell r="C4118" t="str">
            <v>05</v>
          </cell>
          <cell r="D4118" t="str">
            <v>5</v>
          </cell>
          <cell r="E4118" t="str">
            <v>0029</v>
          </cell>
          <cell r="F4118" t="str">
            <v>0011</v>
          </cell>
          <cell r="G4118" t="str">
            <v>40510</v>
          </cell>
          <cell r="H4118" t="str">
            <v>转本月共同制造费用</v>
          </cell>
          <cell r="I4118" t="b">
            <v>1</v>
          </cell>
          <cell r="J4118">
            <v>-2447.37</v>
          </cell>
          <cell r="K4118">
            <v>0</v>
          </cell>
          <cell r="L4118">
            <v>0</v>
          </cell>
        </row>
        <row r="4119">
          <cell r="A4119" t="str">
            <v>05</v>
          </cell>
          <cell r="B4119" t="str">
            <v>29</v>
          </cell>
          <cell r="C4119" t="str">
            <v>05</v>
          </cell>
          <cell r="D4119" t="str">
            <v>5</v>
          </cell>
          <cell r="E4119" t="str">
            <v>0030</v>
          </cell>
          <cell r="F4119" t="str">
            <v>0024</v>
          </cell>
          <cell r="G4119" t="str">
            <v>40510</v>
          </cell>
          <cell r="H4119" t="str">
            <v>结转本月制造费用</v>
          </cell>
          <cell r="I4119" t="b">
            <v>0</v>
          </cell>
          <cell r="J4119">
            <v>2447.37</v>
          </cell>
          <cell r="K4119">
            <v>0</v>
          </cell>
          <cell r="L4119">
            <v>0</v>
          </cell>
        </row>
        <row r="4120">
          <cell r="A4120" t="str">
            <v>05</v>
          </cell>
          <cell r="B4120" t="str">
            <v>29</v>
          </cell>
          <cell r="C4120" t="str">
            <v>05</v>
          </cell>
          <cell r="D4120" t="str">
            <v>5</v>
          </cell>
          <cell r="E4120" t="str">
            <v>0030</v>
          </cell>
          <cell r="F4120" t="str">
            <v>0053</v>
          </cell>
          <cell r="G4120" t="str">
            <v>40510</v>
          </cell>
          <cell r="H4120" t="str">
            <v>结转本月制造费用</v>
          </cell>
          <cell r="I4120" t="b">
            <v>1</v>
          </cell>
          <cell r="J4120">
            <v>2447.37</v>
          </cell>
          <cell r="K4120">
            <v>0</v>
          </cell>
          <cell r="L4120">
            <v>0</v>
          </cell>
        </row>
        <row r="4121">
          <cell r="A4121" t="str">
            <v>06</v>
          </cell>
          <cell r="B4121" t="str">
            <v>20</v>
          </cell>
          <cell r="C4121" t="str">
            <v>06</v>
          </cell>
          <cell r="D4121" t="str">
            <v>5</v>
          </cell>
          <cell r="E4121" t="str">
            <v>0008</v>
          </cell>
          <cell r="F4121" t="str">
            <v>0008</v>
          </cell>
          <cell r="G4121" t="str">
            <v>40510</v>
          </cell>
          <cell r="H4121" t="str">
            <v>计提本月其它部门职教费</v>
          </cell>
          <cell r="I4121" t="b">
            <v>1</v>
          </cell>
          <cell r="J4121">
            <v>3674.89</v>
          </cell>
          <cell r="K4121">
            <v>0</v>
          </cell>
          <cell r="L4121">
            <v>0</v>
          </cell>
        </row>
        <row r="4122">
          <cell r="A4122" t="str">
            <v>06</v>
          </cell>
          <cell r="B4122" t="str">
            <v>23</v>
          </cell>
          <cell r="C4122" t="str">
            <v>06</v>
          </cell>
          <cell r="D4122" t="str">
            <v>5</v>
          </cell>
          <cell r="E4122" t="str">
            <v>0020</v>
          </cell>
          <cell r="F4122" t="str">
            <v>0010</v>
          </cell>
          <cell r="G4122" t="str">
            <v>40510</v>
          </cell>
          <cell r="H4122" t="str">
            <v>转本月共同制造费用</v>
          </cell>
          <cell r="I4122" t="b">
            <v>1</v>
          </cell>
          <cell r="J4122">
            <v>-3674.89</v>
          </cell>
          <cell r="K4122">
            <v>0</v>
          </cell>
          <cell r="L4122">
            <v>0</v>
          </cell>
        </row>
        <row r="4123">
          <cell r="A4123" t="str">
            <v>06</v>
          </cell>
          <cell r="B4123" t="str">
            <v>25</v>
          </cell>
          <cell r="C4123" t="str">
            <v>06</v>
          </cell>
          <cell r="D4123" t="str">
            <v>5</v>
          </cell>
          <cell r="E4123" t="str">
            <v>0021</v>
          </cell>
          <cell r="F4123" t="str">
            <v>0011</v>
          </cell>
          <cell r="G4123" t="str">
            <v>40510</v>
          </cell>
          <cell r="H4123" t="str">
            <v>结转本月制造费用</v>
          </cell>
          <cell r="I4123" t="b">
            <v>0</v>
          </cell>
          <cell r="J4123">
            <v>3674.89</v>
          </cell>
          <cell r="K4123">
            <v>0</v>
          </cell>
          <cell r="L4123">
            <v>0</v>
          </cell>
        </row>
        <row r="4124">
          <cell r="A4124" t="str">
            <v>06</v>
          </cell>
          <cell r="B4124" t="str">
            <v>25</v>
          </cell>
          <cell r="C4124" t="str">
            <v>06</v>
          </cell>
          <cell r="D4124" t="str">
            <v>5</v>
          </cell>
          <cell r="E4124" t="str">
            <v>0021</v>
          </cell>
          <cell r="F4124" t="str">
            <v>0034</v>
          </cell>
          <cell r="G4124" t="str">
            <v>40510</v>
          </cell>
          <cell r="H4124" t="str">
            <v>结转本月制造费用</v>
          </cell>
          <cell r="I4124" t="b">
            <v>1</v>
          </cell>
          <cell r="J4124">
            <v>3674.89</v>
          </cell>
          <cell r="K4124">
            <v>0</v>
          </cell>
          <cell r="L4124">
            <v>0</v>
          </cell>
        </row>
        <row r="4125">
          <cell r="A4125" t="str">
            <v>07</v>
          </cell>
          <cell r="B4125" t="str">
            <v>12</v>
          </cell>
          <cell r="C4125" t="str">
            <v>07</v>
          </cell>
          <cell r="D4125" t="str">
            <v>5</v>
          </cell>
          <cell r="E4125" t="str">
            <v>0002</v>
          </cell>
          <cell r="F4125" t="str">
            <v>0008</v>
          </cell>
          <cell r="G4125" t="str">
            <v>40510</v>
          </cell>
          <cell r="H4125" t="str">
            <v>计提其它部门职教费</v>
          </cell>
          <cell r="I4125" t="b">
            <v>1</v>
          </cell>
          <cell r="J4125">
            <v>3256.19</v>
          </cell>
          <cell r="K4125">
            <v>0</v>
          </cell>
          <cell r="L4125">
            <v>0</v>
          </cell>
        </row>
        <row r="4126">
          <cell r="A4126" t="str">
            <v>07</v>
          </cell>
          <cell r="B4126" t="str">
            <v>27</v>
          </cell>
          <cell r="C4126" t="str">
            <v>07</v>
          </cell>
          <cell r="D4126" t="str">
            <v>5</v>
          </cell>
          <cell r="E4126" t="str">
            <v>0034</v>
          </cell>
          <cell r="F4126" t="str">
            <v>0010</v>
          </cell>
          <cell r="G4126" t="str">
            <v>40510</v>
          </cell>
          <cell r="H4126" t="str">
            <v>转本月共同制造费用</v>
          </cell>
          <cell r="I4126" t="b">
            <v>1</v>
          </cell>
          <cell r="J4126">
            <v>-3256.19</v>
          </cell>
          <cell r="K4126">
            <v>0</v>
          </cell>
          <cell r="L4126">
            <v>0</v>
          </cell>
        </row>
        <row r="4127">
          <cell r="A4127" t="str">
            <v>07</v>
          </cell>
          <cell r="B4127" t="str">
            <v>28</v>
          </cell>
          <cell r="C4127" t="str">
            <v>07</v>
          </cell>
          <cell r="D4127" t="str">
            <v>5</v>
          </cell>
          <cell r="E4127" t="str">
            <v>0035</v>
          </cell>
          <cell r="F4127" t="str">
            <v>0020</v>
          </cell>
          <cell r="G4127" t="str">
            <v>40510</v>
          </cell>
          <cell r="H4127" t="str">
            <v>结转本月制造费用</v>
          </cell>
          <cell r="I4127" t="b">
            <v>0</v>
          </cell>
          <cell r="J4127">
            <v>3256.19</v>
          </cell>
          <cell r="K4127">
            <v>0</v>
          </cell>
          <cell r="L4127">
            <v>0</v>
          </cell>
        </row>
        <row r="4128">
          <cell r="A4128" t="str">
            <v>07</v>
          </cell>
          <cell r="B4128" t="str">
            <v>28</v>
          </cell>
          <cell r="C4128" t="str">
            <v>07</v>
          </cell>
          <cell r="D4128" t="str">
            <v>5</v>
          </cell>
          <cell r="E4128" t="str">
            <v>0035</v>
          </cell>
          <cell r="F4128" t="str">
            <v>0037</v>
          </cell>
          <cell r="G4128" t="str">
            <v>40510</v>
          </cell>
          <cell r="H4128" t="str">
            <v>结转本月制造费用</v>
          </cell>
          <cell r="I4128" t="b">
            <v>1</v>
          </cell>
          <cell r="J4128">
            <v>3256.19</v>
          </cell>
          <cell r="K4128">
            <v>0</v>
          </cell>
          <cell r="L4128">
            <v>0</v>
          </cell>
        </row>
        <row r="4129">
          <cell r="A4129" t="str">
            <v>02</v>
          </cell>
          <cell r="B4129" t="str">
            <v>10</v>
          </cell>
          <cell r="C4129" t="str">
            <v>02</v>
          </cell>
          <cell r="D4129" t="str">
            <v>2</v>
          </cell>
          <cell r="E4129" t="str">
            <v>0023</v>
          </cell>
          <cell r="F4129" t="str">
            <v>0001</v>
          </cell>
          <cell r="G4129" t="str">
            <v>40511</v>
          </cell>
          <cell r="H4129" t="str">
            <v>付修车费</v>
          </cell>
          <cell r="I4129" t="b">
            <v>1</v>
          </cell>
          <cell r="J4129">
            <v>4790</v>
          </cell>
          <cell r="K4129">
            <v>0</v>
          </cell>
          <cell r="L4129">
            <v>0</v>
          </cell>
        </row>
        <row r="4130">
          <cell r="A4130" t="str">
            <v>02</v>
          </cell>
          <cell r="B4130" t="str">
            <v>20</v>
          </cell>
          <cell r="C4130" t="str">
            <v>02</v>
          </cell>
          <cell r="D4130" t="str">
            <v>2</v>
          </cell>
          <cell r="E4130" t="str">
            <v>0035</v>
          </cell>
          <cell r="F4130" t="str">
            <v>0003</v>
          </cell>
          <cell r="G4130" t="str">
            <v>40511</v>
          </cell>
          <cell r="H4130" t="str">
            <v>付修车费</v>
          </cell>
          <cell r="I4130" t="b">
            <v>1</v>
          </cell>
          <cell r="J4130">
            <v>566</v>
          </cell>
          <cell r="K4130">
            <v>0</v>
          </cell>
          <cell r="L4130">
            <v>0</v>
          </cell>
        </row>
        <row r="4131">
          <cell r="A4131" t="str">
            <v>02</v>
          </cell>
          <cell r="B4131" t="str">
            <v>28</v>
          </cell>
          <cell r="C4131" t="str">
            <v>02</v>
          </cell>
          <cell r="D4131" t="str">
            <v>5</v>
          </cell>
          <cell r="E4131" t="str">
            <v>0041</v>
          </cell>
          <cell r="F4131" t="str">
            <v>0017</v>
          </cell>
          <cell r="G4131" t="str">
            <v>40511</v>
          </cell>
          <cell r="H4131" t="str">
            <v>转本月共同制造费用</v>
          </cell>
          <cell r="I4131" t="b">
            <v>1</v>
          </cell>
          <cell r="J4131">
            <v>-5356</v>
          </cell>
          <cell r="K4131">
            <v>0</v>
          </cell>
          <cell r="L4131">
            <v>0</v>
          </cell>
        </row>
        <row r="4132">
          <cell r="A4132" t="str">
            <v>02</v>
          </cell>
          <cell r="B4132" t="str">
            <v>29</v>
          </cell>
          <cell r="C4132" t="str">
            <v>02</v>
          </cell>
          <cell r="D4132" t="str">
            <v>5</v>
          </cell>
          <cell r="E4132" t="str">
            <v>0042</v>
          </cell>
          <cell r="F4132" t="str">
            <v>0029</v>
          </cell>
          <cell r="G4132" t="str">
            <v>40511</v>
          </cell>
          <cell r="H4132" t="str">
            <v>结转本月制造费用</v>
          </cell>
          <cell r="I4132" t="b">
            <v>0</v>
          </cell>
          <cell r="J4132">
            <v>5356</v>
          </cell>
          <cell r="K4132">
            <v>0</v>
          </cell>
          <cell r="L4132">
            <v>0</v>
          </cell>
        </row>
        <row r="4133">
          <cell r="A4133" t="str">
            <v>02</v>
          </cell>
          <cell r="B4133" t="str">
            <v>29</v>
          </cell>
          <cell r="C4133" t="str">
            <v>02</v>
          </cell>
          <cell r="D4133" t="str">
            <v>5</v>
          </cell>
          <cell r="E4133" t="str">
            <v>0042</v>
          </cell>
          <cell r="F4133" t="str">
            <v>0061</v>
          </cell>
          <cell r="G4133" t="str">
            <v>40511</v>
          </cell>
          <cell r="H4133" t="str">
            <v>结转本月制造费用</v>
          </cell>
          <cell r="I4133" t="b">
            <v>1</v>
          </cell>
          <cell r="J4133">
            <v>5356</v>
          </cell>
          <cell r="K4133">
            <v>0</v>
          </cell>
          <cell r="L4133">
            <v>0</v>
          </cell>
        </row>
        <row r="4134">
          <cell r="A4134" t="str">
            <v>04</v>
          </cell>
          <cell r="B4134" t="str">
            <v>01</v>
          </cell>
          <cell r="C4134" t="str">
            <v>04</v>
          </cell>
          <cell r="D4134" t="str">
            <v>2</v>
          </cell>
          <cell r="E4134" t="str">
            <v>0001</v>
          </cell>
          <cell r="F4134" t="str">
            <v>0004</v>
          </cell>
          <cell r="G4134" t="str">
            <v>40511</v>
          </cell>
          <cell r="H4134" t="str">
            <v>付修车费</v>
          </cell>
          <cell r="I4134" t="b">
            <v>1</v>
          </cell>
          <cell r="J4134">
            <v>370</v>
          </cell>
          <cell r="K4134">
            <v>0</v>
          </cell>
          <cell r="L4134">
            <v>0</v>
          </cell>
        </row>
        <row r="4135">
          <cell r="A4135" t="str">
            <v>04</v>
          </cell>
          <cell r="B4135" t="str">
            <v>25</v>
          </cell>
          <cell r="C4135" t="str">
            <v>04</v>
          </cell>
          <cell r="D4135" t="str">
            <v>5</v>
          </cell>
          <cell r="E4135" t="str">
            <v>0020</v>
          </cell>
          <cell r="F4135" t="str">
            <v>0014</v>
          </cell>
          <cell r="G4135" t="str">
            <v>40511</v>
          </cell>
          <cell r="H4135" t="str">
            <v>转本月共同制造费用</v>
          </cell>
          <cell r="I4135" t="b">
            <v>1</v>
          </cell>
          <cell r="J4135">
            <v>-370</v>
          </cell>
          <cell r="K4135">
            <v>0</v>
          </cell>
          <cell r="L4135">
            <v>0</v>
          </cell>
        </row>
        <row r="4136">
          <cell r="A4136" t="str">
            <v>04</v>
          </cell>
          <cell r="B4136" t="str">
            <v>25</v>
          </cell>
          <cell r="C4136" t="str">
            <v>04</v>
          </cell>
          <cell r="D4136" t="str">
            <v>5</v>
          </cell>
          <cell r="E4136" t="str">
            <v>0021</v>
          </cell>
          <cell r="F4136" t="str">
            <v>0024</v>
          </cell>
          <cell r="G4136" t="str">
            <v>40511</v>
          </cell>
          <cell r="H4136" t="str">
            <v>结转本月制造费用</v>
          </cell>
          <cell r="I4136" t="b">
            <v>0</v>
          </cell>
          <cell r="J4136">
            <v>370</v>
          </cell>
          <cell r="K4136">
            <v>0</v>
          </cell>
          <cell r="L4136">
            <v>0</v>
          </cell>
        </row>
        <row r="4137">
          <cell r="A4137" t="str">
            <v>04</v>
          </cell>
          <cell r="B4137" t="str">
            <v>25</v>
          </cell>
          <cell r="C4137" t="str">
            <v>04</v>
          </cell>
          <cell r="D4137" t="str">
            <v>5</v>
          </cell>
          <cell r="E4137" t="str">
            <v>0021</v>
          </cell>
          <cell r="F4137" t="str">
            <v>0044</v>
          </cell>
          <cell r="G4137" t="str">
            <v>40511</v>
          </cell>
          <cell r="H4137" t="str">
            <v>结转本月制造费用</v>
          </cell>
          <cell r="I4137" t="b">
            <v>1</v>
          </cell>
          <cell r="J4137">
            <v>370</v>
          </cell>
          <cell r="K4137">
            <v>0</v>
          </cell>
          <cell r="L4137">
            <v>0</v>
          </cell>
        </row>
        <row r="4138">
          <cell r="A4138" t="str">
            <v>05</v>
          </cell>
          <cell r="B4138" t="str">
            <v>15</v>
          </cell>
          <cell r="C4138" t="str">
            <v>05</v>
          </cell>
          <cell r="D4138" t="str">
            <v>2</v>
          </cell>
          <cell r="E4138" t="str">
            <v>0005</v>
          </cell>
          <cell r="F4138" t="str">
            <v>0005</v>
          </cell>
          <cell r="G4138" t="str">
            <v>40511</v>
          </cell>
          <cell r="H4138" t="str">
            <v>付修车费</v>
          </cell>
          <cell r="I4138" t="b">
            <v>1</v>
          </cell>
          <cell r="J4138">
            <v>290</v>
          </cell>
          <cell r="K4138">
            <v>0</v>
          </cell>
          <cell r="L4138">
            <v>0</v>
          </cell>
        </row>
        <row r="4139">
          <cell r="A4139" t="str">
            <v>05</v>
          </cell>
          <cell r="B4139" t="str">
            <v>27</v>
          </cell>
          <cell r="C4139" t="str">
            <v>05</v>
          </cell>
          <cell r="D4139" t="str">
            <v>5</v>
          </cell>
          <cell r="E4139" t="str">
            <v>0029</v>
          </cell>
          <cell r="F4139" t="str">
            <v>0014</v>
          </cell>
          <cell r="G4139" t="str">
            <v>40511</v>
          </cell>
          <cell r="H4139" t="str">
            <v>转本月共同制造费用</v>
          </cell>
          <cell r="I4139" t="b">
            <v>1</v>
          </cell>
          <cell r="J4139">
            <v>-290</v>
          </cell>
          <cell r="K4139">
            <v>0</v>
          </cell>
          <cell r="L4139">
            <v>0</v>
          </cell>
        </row>
        <row r="4140">
          <cell r="A4140" t="str">
            <v>05</v>
          </cell>
          <cell r="B4140" t="str">
            <v>29</v>
          </cell>
          <cell r="C4140" t="str">
            <v>05</v>
          </cell>
          <cell r="D4140" t="str">
            <v>5</v>
          </cell>
          <cell r="E4140" t="str">
            <v>0030</v>
          </cell>
          <cell r="F4140" t="str">
            <v>0025</v>
          </cell>
          <cell r="G4140" t="str">
            <v>40511</v>
          </cell>
          <cell r="H4140" t="str">
            <v>结转本月制造费用</v>
          </cell>
          <cell r="I4140" t="b">
            <v>0</v>
          </cell>
          <cell r="J4140">
            <v>290</v>
          </cell>
          <cell r="K4140">
            <v>0</v>
          </cell>
          <cell r="L4140">
            <v>0</v>
          </cell>
        </row>
        <row r="4141">
          <cell r="A4141" t="str">
            <v>05</v>
          </cell>
          <cell r="B4141" t="str">
            <v>29</v>
          </cell>
          <cell r="C4141" t="str">
            <v>05</v>
          </cell>
          <cell r="D4141" t="str">
            <v>5</v>
          </cell>
          <cell r="E4141" t="str">
            <v>0030</v>
          </cell>
          <cell r="F4141" t="str">
            <v>0056</v>
          </cell>
          <cell r="G4141" t="str">
            <v>40511</v>
          </cell>
          <cell r="H4141" t="str">
            <v>结转本月制造费用</v>
          </cell>
          <cell r="I4141" t="b">
            <v>1</v>
          </cell>
          <cell r="J4141">
            <v>290</v>
          </cell>
          <cell r="K4141">
            <v>0</v>
          </cell>
          <cell r="L4141">
            <v>0</v>
          </cell>
        </row>
        <row r="4142">
          <cell r="A4142" t="str">
            <v>06</v>
          </cell>
          <cell r="B4142" t="str">
            <v>05</v>
          </cell>
          <cell r="C4142" t="str">
            <v>06</v>
          </cell>
          <cell r="D4142" t="str">
            <v>2</v>
          </cell>
          <cell r="E4142" t="str">
            <v>0004</v>
          </cell>
          <cell r="F4142" t="str">
            <v>0003</v>
          </cell>
          <cell r="G4142" t="str">
            <v>40511</v>
          </cell>
          <cell r="H4142" t="str">
            <v>付修车费</v>
          </cell>
          <cell r="I4142" t="b">
            <v>1</v>
          </cell>
          <cell r="J4142">
            <v>1186.33</v>
          </cell>
          <cell r="K4142">
            <v>0</v>
          </cell>
          <cell r="L4142">
            <v>0</v>
          </cell>
        </row>
        <row r="4143">
          <cell r="A4143" t="str">
            <v>06</v>
          </cell>
          <cell r="B4143" t="str">
            <v>23</v>
          </cell>
          <cell r="C4143" t="str">
            <v>06</v>
          </cell>
          <cell r="D4143" t="str">
            <v>5</v>
          </cell>
          <cell r="E4143" t="str">
            <v>0020</v>
          </cell>
          <cell r="F4143" t="str">
            <v>0013</v>
          </cell>
          <cell r="G4143" t="str">
            <v>40511</v>
          </cell>
          <cell r="H4143" t="str">
            <v>转本月共同制造费用</v>
          </cell>
          <cell r="I4143" t="b">
            <v>1</v>
          </cell>
          <cell r="J4143">
            <v>-1186.33</v>
          </cell>
          <cell r="K4143">
            <v>0</v>
          </cell>
          <cell r="L4143">
            <v>0</v>
          </cell>
        </row>
        <row r="4144">
          <cell r="A4144" t="str">
            <v>06</v>
          </cell>
          <cell r="B4144" t="str">
            <v>25</v>
          </cell>
          <cell r="C4144" t="str">
            <v>06</v>
          </cell>
          <cell r="D4144" t="str">
            <v>5</v>
          </cell>
          <cell r="E4144" t="str">
            <v>0021</v>
          </cell>
          <cell r="F4144" t="str">
            <v>0012</v>
          </cell>
          <cell r="G4144" t="str">
            <v>40511</v>
          </cell>
          <cell r="H4144" t="str">
            <v>结转本月制造费用</v>
          </cell>
          <cell r="I4144" t="b">
            <v>0</v>
          </cell>
          <cell r="J4144">
            <v>1186.33</v>
          </cell>
          <cell r="K4144">
            <v>0</v>
          </cell>
          <cell r="L4144">
            <v>0</v>
          </cell>
        </row>
        <row r="4145">
          <cell r="A4145" t="str">
            <v>06</v>
          </cell>
          <cell r="B4145" t="str">
            <v>25</v>
          </cell>
          <cell r="C4145" t="str">
            <v>06</v>
          </cell>
          <cell r="D4145" t="str">
            <v>5</v>
          </cell>
          <cell r="E4145" t="str">
            <v>0021</v>
          </cell>
          <cell r="F4145" t="str">
            <v>0037</v>
          </cell>
          <cell r="G4145" t="str">
            <v>40511</v>
          </cell>
          <cell r="H4145" t="str">
            <v>结转本月制造费用</v>
          </cell>
          <cell r="I4145" t="b">
            <v>1</v>
          </cell>
          <cell r="J4145">
            <v>1186.33</v>
          </cell>
          <cell r="K4145">
            <v>0</v>
          </cell>
          <cell r="L4145">
            <v>0</v>
          </cell>
        </row>
        <row r="4146">
          <cell r="A4146" t="str">
            <v>07</v>
          </cell>
          <cell r="B4146" t="str">
            <v>08</v>
          </cell>
          <cell r="C4146" t="str">
            <v>07</v>
          </cell>
          <cell r="D4146" t="str">
            <v>2</v>
          </cell>
          <cell r="E4146" t="str">
            <v>0004</v>
          </cell>
          <cell r="F4146" t="str">
            <v>0001</v>
          </cell>
          <cell r="G4146" t="str">
            <v>40511</v>
          </cell>
          <cell r="H4146" t="str">
            <v>付修车费</v>
          </cell>
          <cell r="I4146" t="b">
            <v>1</v>
          </cell>
          <cell r="J4146">
            <v>735</v>
          </cell>
          <cell r="K4146">
            <v>0</v>
          </cell>
          <cell r="L4146">
            <v>0</v>
          </cell>
        </row>
        <row r="4147">
          <cell r="A4147" t="str">
            <v>07</v>
          </cell>
          <cell r="B4147" t="str">
            <v>27</v>
          </cell>
          <cell r="C4147" t="str">
            <v>07</v>
          </cell>
          <cell r="D4147" t="str">
            <v>5</v>
          </cell>
          <cell r="E4147" t="str">
            <v>0034</v>
          </cell>
          <cell r="F4147" t="str">
            <v>0013</v>
          </cell>
          <cell r="G4147" t="str">
            <v>40511</v>
          </cell>
          <cell r="H4147" t="str">
            <v>转本月共同制造费用</v>
          </cell>
          <cell r="I4147" t="b">
            <v>1</v>
          </cell>
          <cell r="J4147">
            <v>-735</v>
          </cell>
          <cell r="K4147">
            <v>0</v>
          </cell>
          <cell r="L4147">
            <v>0</v>
          </cell>
        </row>
        <row r="4148">
          <cell r="A4148" t="str">
            <v>07</v>
          </cell>
          <cell r="B4148" t="str">
            <v>28</v>
          </cell>
          <cell r="C4148" t="str">
            <v>07</v>
          </cell>
          <cell r="D4148" t="str">
            <v>5</v>
          </cell>
          <cell r="E4148" t="str">
            <v>0035</v>
          </cell>
          <cell r="F4148" t="str">
            <v>0021</v>
          </cell>
          <cell r="G4148" t="str">
            <v>40511</v>
          </cell>
          <cell r="H4148" t="str">
            <v>结转本月制造费用</v>
          </cell>
          <cell r="I4148" t="b">
            <v>0</v>
          </cell>
          <cell r="J4148">
            <v>735</v>
          </cell>
          <cell r="K4148">
            <v>0</v>
          </cell>
          <cell r="L4148">
            <v>0</v>
          </cell>
        </row>
        <row r="4149">
          <cell r="A4149" t="str">
            <v>07</v>
          </cell>
          <cell r="B4149" t="str">
            <v>28</v>
          </cell>
          <cell r="C4149" t="str">
            <v>07</v>
          </cell>
          <cell r="D4149" t="str">
            <v>5</v>
          </cell>
          <cell r="E4149" t="str">
            <v>0035</v>
          </cell>
          <cell r="F4149" t="str">
            <v>0040</v>
          </cell>
          <cell r="G4149" t="str">
            <v>40511</v>
          </cell>
          <cell r="H4149" t="str">
            <v>结转本月制造费用</v>
          </cell>
          <cell r="I4149" t="b">
            <v>1</v>
          </cell>
          <cell r="J4149">
            <v>735</v>
          </cell>
          <cell r="K4149">
            <v>0</v>
          </cell>
          <cell r="L4149">
            <v>0</v>
          </cell>
        </row>
        <row r="4150">
          <cell r="A4150" t="str">
            <v>02</v>
          </cell>
          <cell r="B4150" t="str">
            <v>03</v>
          </cell>
          <cell r="C4150" t="str">
            <v>02</v>
          </cell>
          <cell r="D4150" t="str">
            <v>2</v>
          </cell>
          <cell r="E4150" t="str">
            <v>0009</v>
          </cell>
          <cell r="F4150" t="str">
            <v>0003</v>
          </cell>
          <cell r="G4150" t="str">
            <v>40512</v>
          </cell>
          <cell r="H4150" t="str">
            <v>付差旅费</v>
          </cell>
          <cell r="I4150" t="b">
            <v>1</v>
          </cell>
          <cell r="J4150">
            <v>217</v>
          </cell>
          <cell r="K4150">
            <v>0</v>
          </cell>
          <cell r="L4150">
            <v>0</v>
          </cell>
        </row>
        <row r="4151">
          <cell r="A4151" t="str">
            <v>02</v>
          </cell>
          <cell r="B4151" t="str">
            <v>05</v>
          </cell>
          <cell r="C4151" t="str">
            <v>02</v>
          </cell>
          <cell r="D4151" t="str">
            <v>2</v>
          </cell>
          <cell r="E4151" t="str">
            <v>0010</v>
          </cell>
          <cell r="F4151" t="str">
            <v>0002</v>
          </cell>
          <cell r="G4151" t="str">
            <v>40512</v>
          </cell>
          <cell r="H4151" t="str">
            <v>付差旅费</v>
          </cell>
          <cell r="I4151" t="b">
            <v>1</v>
          </cell>
          <cell r="J4151">
            <v>840</v>
          </cell>
          <cell r="K4151">
            <v>0</v>
          </cell>
          <cell r="L4151">
            <v>0</v>
          </cell>
        </row>
        <row r="4152">
          <cell r="A4152" t="str">
            <v>02</v>
          </cell>
          <cell r="B4152" t="str">
            <v>08</v>
          </cell>
          <cell r="C4152" t="str">
            <v>02</v>
          </cell>
          <cell r="D4152" t="str">
            <v>2</v>
          </cell>
          <cell r="E4152" t="str">
            <v>0021</v>
          </cell>
          <cell r="F4152" t="str">
            <v>0002</v>
          </cell>
          <cell r="G4152" t="str">
            <v>40512</v>
          </cell>
          <cell r="H4152" t="str">
            <v>付差旅费</v>
          </cell>
          <cell r="I4152" t="b">
            <v>1</v>
          </cell>
          <cell r="J4152">
            <v>2938.4</v>
          </cell>
          <cell r="K4152">
            <v>0</v>
          </cell>
          <cell r="L4152">
            <v>0</v>
          </cell>
        </row>
        <row r="4153">
          <cell r="A4153" t="str">
            <v>02</v>
          </cell>
          <cell r="B4153" t="str">
            <v>08</v>
          </cell>
          <cell r="C4153" t="str">
            <v>02</v>
          </cell>
          <cell r="D4153" t="str">
            <v>2</v>
          </cell>
          <cell r="E4153" t="str">
            <v>0022</v>
          </cell>
          <cell r="F4153" t="str">
            <v>0002</v>
          </cell>
          <cell r="G4153" t="str">
            <v>40512</v>
          </cell>
          <cell r="H4153" t="str">
            <v>付差旅费</v>
          </cell>
          <cell r="I4153" t="b">
            <v>1</v>
          </cell>
          <cell r="J4153">
            <v>7401.8</v>
          </cell>
          <cell r="K4153">
            <v>0</v>
          </cell>
          <cell r="L4153">
            <v>0</v>
          </cell>
        </row>
        <row r="4154">
          <cell r="A4154" t="str">
            <v>02</v>
          </cell>
          <cell r="B4154" t="str">
            <v>10</v>
          </cell>
          <cell r="C4154" t="str">
            <v>02</v>
          </cell>
          <cell r="D4154" t="str">
            <v>2</v>
          </cell>
          <cell r="E4154" t="str">
            <v>0023</v>
          </cell>
          <cell r="F4154" t="str">
            <v>0002</v>
          </cell>
          <cell r="G4154" t="str">
            <v>40512</v>
          </cell>
          <cell r="H4154" t="str">
            <v>付差旅费</v>
          </cell>
          <cell r="I4154" t="b">
            <v>1</v>
          </cell>
          <cell r="J4154">
            <v>117.5</v>
          </cell>
          <cell r="K4154">
            <v>0</v>
          </cell>
          <cell r="L4154">
            <v>0</v>
          </cell>
        </row>
        <row r="4155">
          <cell r="A4155" t="str">
            <v>02</v>
          </cell>
          <cell r="B4155" t="str">
            <v>12</v>
          </cell>
          <cell r="C4155" t="str">
            <v>02</v>
          </cell>
          <cell r="D4155" t="str">
            <v>2</v>
          </cell>
          <cell r="E4155" t="str">
            <v>0025</v>
          </cell>
          <cell r="F4155" t="str">
            <v>0001</v>
          </cell>
          <cell r="G4155" t="str">
            <v>40512</v>
          </cell>
          <cell r="H4155" t="str">
            <v>报销差旅费</v>
          </cell>
          <cell r="I4155" t="b">
            <v>1</v>
          </cell>
          <cell r="J4155">
            <v>4616.2</v>
          </cell>
          <cell r="K4155">
            <v>0</v>
          </cell>
          <cell r="L4155">
            <v>0</v>
          </cell>
        </row>
        <row r="4156">
          <cell r="A4156" t="str">
            <v>02</v>
          </cell>
          <cell r="B4156" t="str">
            <v>13</v>
          </cell>
          <cell r="C4156" t="str">
            <v>02</v>
          </cell>
          <cell r="D4156" t="str">
            <v>2</v>
          </cell>
          <cell r="E4156" t="str">
            <v>0026</v>
          </cell>
          <cell r="F4156" t="str">
            <v>0002</v>
          </cell>
          <cell r="G4156" t="str">
            <v>40512</v>
          </cell>
          <cell r="H4156" t="str">
            <v>付差旅费</v>
          </cell>
          <cell r="I4156" t="b">
            <v>1</v>
          </cell>
          <cell r="J4156">
            <v>158</v>
          </cell>
          <cell r="K4156">
            <v>0</v>
          </cell>
          <cell r="L4156">
            <v>0</v>
          </cell>
        </row>
        <row r="4157">
          <cell r="A4157" t="str">
            <v>02</v>
          </cell>
          <cell r="B4157" t="str">
            <v>13</v>
          </cell>
          <cell r="C4157" t="str">
            <v>02</v>
          </cell>
          <cell r="D4157" t="str">
            <v>2</v>
          </cell>
          <cell r="E4157" t="str">
            <v>0027</v>
          </cell>
          <cell r="F4157" t="str">
            <v>0002</v>
          </cell>
          <cell r="G4157" t="str">
            <v>40512</v>
          </cell>
          <cell r="H4157" t="str">
            <v>付差旅费</v>
          </cell>
          <cell r="I4157" t="b">
            <v>1</v>
          </cell>
          <cell r="J4157">
            <v>521</v>
          </cell>
          <cell r="K4157">
            <v>0</v>
          </cell>
          <cell r="L4157">
            <v>0</v>
          </cell>
        </row>
        <row r="4158">
          <cell r="A4158" t="str">
            <v>02</v>
          </cell>
          <cell r="B4158" t="str">
            <v>13</v>
          </cell>
          <cell r="C4158" t="str">
            <v>02</v>
          </cell>
          <cell r="D4158" t="str">
            <v>2</v>
          </cell>
          <cell r="E4158" t="str">
            <v>0027</v>
          </cell>
          <cell r="F4158" t="str">
            <v>0003</v>
          </cell>
          <cell r="G4158" t="str">
            <v>40512</v>
          </cell>
          <cell r="H4158" t="str">
            <v>付差旅费</v>
          </cell>
          <cell r="I4158" t="b">
            <v>1</v>
          </cell>
          <cell r="J4158">
            <v>6100</v>
          </cell>
          <cell r="K4158">
            <v>0</v>
          </cell>
          <cell r="L4158">
            <v>0</v>
          </cell>
        </row>
        <row r="4159">
          <cell r="A4159" t="str">
            <v>02</v>
          </cell>
          <cell r="B4159" t="str">
            <v>20</v>
          </cell>
          <cell r="C4159" t="str">
            <v>02</v>
          </cell>
          <cell r="D4159" t="str">
            <v>2</v>
          </cell>
          <cell r="E4159" t="str">
            <v>0035</v>
          </cell>
          <cell r="F4159" t="str">
            <v>0004</v>
          </cell>
          <cell r="G4159" t="str">
            <v>40512</v>
          </cell>
          <cell r="H4159" t="str">
            <v>付差旅费</v>
          </cell>
          <cell r="I4159" t="b">
            <v>1</v>
          </cell>
          <cell r="J4159">
            <v>70</v>
          </cell>
          <cell r="K4159">
            <v>0</v>
          </cell>
          <cell r="L4159">
            <v>0</v>
          </cell>
        </row>
        <row r="4160">
          <cell r="A4160" t="str">
            <v>02</v>
          </cell>
          <cell r="B4160" t="str">
            <v>20</v>
          </cell>
          <cell r="C4160" t="str">
            <v>02</v>
          </cell>
          <cell r="D4160" t="str">
            <v>2</v>
          </cell>
          <cell r="E4160" t="str">
            <v>0036</v>
          </cell>
          <cell r="F4160" t="str">
            <v>0002</v>
          </cell>
          <cell r="G4160" t="str">
            <v>40512</v>
          </cell>
          <cell r="H4160" t="str">
            <v>付差旅费</v>
          </cell>
          <cell r="I4160" t="b">
            <v>1</v>
          </cell>
          <cell r="J4160">
            <v>50</v>
          </cell>
          <cell r="K4160">
            <v>0</v>
          </cell>
          <cell r="L4160">
            <v>0</v>
          </cell>
        </row>
        <row r="4161">
          <cell r="A4161" t="str">
            <v>02</v>
          </cell>
          <cell r="B4161" t="str">
            <v>23</v>
          </cell>
          <cell r="C4161" t="str">
            <v>02</v>
          </cell>
          <cell r="D4161" t="str">
            <v>5</v>
          </cell>
          <cell r="E4161" t="str">
            <v>0013</v>
          </cell>
          <cell r="F4161" t="str">
            <v>0003</v>
          </cell>
          <cell r="G4161" t="str">
            <v>40512</v>
          </cell>
          <cell r="H4161" t="str">
            <v>转报销差旅费</v>
          </cell>
          <cell r="I4161" t="b">
            <v>1</v>
          </cell>
          <cell r="J4161">
            <v>128</v>
          </cell>
          <cell r="K4161">
            <v>0</v>
          </cell>
          <cell r="L4161">
            <v>0</v>
          </cell>
        </row>
        <row r="4162">
          <cell r="A4162" t="str">
            <v>02</v>
          </cell>
          <cell r="B4162" t="str">
            <v>23</v>
          </cell>
          <cell r="C4162" t="str">
            <v>02</v>
          </cell>
          <cell r="D4162" t="str">
            <v>5</v>
          </cell>
          <cell r="E4162" t="str">
            <v>0014</v>
          </cell>
          <cell r="F4162" t="str">
            <v>0001</v>
          </cell>
          <cell r="G4162" t="str">
            <v>40512</v>
          </cell>
          <cell r="H4162" t="str">
            <v>转报销差旅费</v>
          </cell>
          <cell r="I4162" t="b">
            <v>1</v>
          </cell>
          <cell r="J4162">
            <v>747</v>
          </cell>
          <cell r="K4162">
            <v>0</v>
          </cell>
          <cell r="L4162">
            <v>0</v>
          </cell>
        </row>
        <row r="4163">
          <cell r="A4163" t="str">
            <v>02</v>
          </cell>
          <cell r="B4163" t="str">
            <v>23</v>
          </cell>
          <cell r="C4163" t="str">
            <v>02</v>
          </cell>
          <cell r="D4163" t="str">
            <v>5</v>
          </cell>
          <cell r="E4163" t="str">
            <v>0015</v>
          </cell>
          <cell r="F4163" t="str">
            <v>0002</v>
          </cell>
          <cell r="G4163" t="str">
            <v>40512</v>
          </cell>
          <cell r="H4163" t="str">
            <v>转报销差旅费</v>
          </cell>
          <cell r="I4163" t="b">
            <v>1</v>
          </cell>
          <cell r="J4163">
            <v>252</v>
          </cell>
          <cell r="K4163">
            <v>0</v>
          </cell>
          <cell r="L4163">
            <v>0</v>
          </cell>
        </row>
        <row r="4164">
          <cell r="A4164" t="str">
            <v>02</v>
          </cell>
          <cell r="B4164" t="str">
            <v>23</v>
          </cell>
          <cell r="C4164" t="str">
            <v>02</v>
          </cell>
          <cell r="D4164" t="str">
            <v>5</v>
          </cell>
          <cell r="E4164" t="str">
            <v>0016</v>
          </cell>
          <cell r="F4164" t="str">
            <v>0001</v>
          </cell>
          <cell r="G4164" t="str">
            <v>40512</v>
          </cell>
          <cell r="H4164" t="str">
            <v>转报销差旅费</v>
          </cell>
          <cell r="I4164" t="b">
            <v>1</v>
          </cell>
          <cell r="J4164">
            <v>2671</v>
          </cell>
          <cell r="K4164">
            <v>0</v>
          </cell>
          <cell r="L4164">
            <v>0</v>
          </cell>
        </row>
        <row r="4165">
          <cell r="A4165" t="str">
            <v>02</v>
          </cell>
          <cell r="B4165" t="str">
            <v>28</v>
          </cell>
          <cell r="C4165" t="str">
            <v>02</v>
          </cell>
          <cell r="D4165" t="str">
            <v>5</v>
          </cell>
          <cell r="E4165" t="str">
            <v>0041</v>
          </cell>
          <cell r="F4165" t="str">
            <v>0012</v>
          </cell>
          <cell r="G4165" t="str">
            <v>40512</v>
          </cell>
          <cell r="H4165" t="str">
            <v>转本月共同制造费用</v>
          </cell>
          <cell r="I4165" t="b">
            <v>1</v>
          </cell>
          <cell r="J4165">
            <v>-26827.9</v>
          </cell>
          <cell r="K4165">
            <v>0</v>
          </cell>
          <cell r="L4165">
            <v>0</v>
          </cell>
        </row>
        <row r="4166">
          <cell r="A4166" t="str">
            <v>02</v>
          </cell>
          <cell r="B4166" t="str">
            <v>29</v>
          </cell>
          <cell r="C4166" t="str">
            <v>02</v>
          </cell>
          <cell r="D4166" t="str">
            <v>5</v>
          </cell>
          <cell r="E4166" t="str">
            <v>0042</v>
          </cell>
          <cell r="F4166" t="str">
            <v>0030</v>
          </cell>
          <cell r="G4166" t="str">
            <v>40512</v>
          </cell>
          <cell r="H4166" t="str">
            <v>结转本月制造费用</v>
          </cell>
          <cell r="I4166" t="b">
            <v>0</v>
          </cell>
          <cell r="J4166">
            <v>13501.8</v>
          </cell>
          <cell r="K4166">
            <v>0</v>
          </cell>
          <cell r="L4166">
            <v>0</v>
          </cell>
        </row>
        <row r="4167">
          <cell r="A4167" t="str">
            <v>02</v>
          </cell>
          <cell r="B4167" t="str">
            <v>29</v>
          </cell>
          <cell r="C4167" t="str">
            <v>02</v>
          </cell>
          <cell r="D4167" t="str">
            <v>5</v>
          </cell>
          <cell r="E4167" t="str">
            <v>0042</v>
          </cell>
          <cell r="F4167" t="str">
            <v>0031</v>
          </cell>
          <cell r="G4167" t="str">
            <v>40512</v>
          </cell>
          <cell r="H4167" t="str">
            <v>结转本月制造费用</v>
          </cell>
          <cell r="I4167" t="b">
            <v>0</v>
          </cell>
          <cell r="J4167">
            <v>4616.2</v>
          </cell>
          <cell r="K4167">
            <v>0</v>
          </cell>
          <cell r="L4167">
            <v>0</v>
          </cell>
        </row>
        <row r="4168">
          <cell r="A4168" t="str">
            <v>02</v>
          </cell>
          <cell r="B4168" t="str">
            <v>29</v>
          </cell>
          <cell r="C4168" t="str">
            <v>02</v>
          </cell>
          <cell r="D4168" t="str">
            <v>5</v>
          </cell>
          <cell r="E4168" t="str">
            <v>0042</v>
          </cell>
          <cell r="F4168" t="str">
            <v>0032</v>
          </cell>
          <cell r="G4168" t="str">
            <v>40512</v>
          </cell>
          <cell r="H4168" t="str">
            <v>结转本月制造费用</v>
          </cell>
          <cell r="I4168" t="b">
            <v>0</v>
          </cell>
          <cell r="J4168">
            <v>1048</v>
          </cell>
          <cell r="K4168">
            <v>0</v>
          </cell>
          <cell r="L4168">
            <v>0</v>
          </cell>
        </row>
        <row r="4169">
          <cell r="A4169" t="str">
            <v>02</v>
          </cell>
          <cell r="B4169" t="str">
            <v>29</v>
          </cell>
          <cell r="C4169" t="str">
            <v>02</v>
          </cell>
          <cell r="D4169" t="str">
            <v>5</v>
          </cell>
          <cell r="E4169" t="str">
            <v>0042</v>
          </cell>
          <cell r="F4169" t="str">
            <v>0033</v>
          </cell>
          <cell r="G4169" t="str">
            <v>40512</v>
          </cell>
          <cell r="H4169" t="str">
            <v>结转本月制造费用</v>
          </cell>
          <cell r="I4169" t="b">
            <v>0</v>
          </cell>
          <cell r="J4169">
            <v>747</v>
          </cell>
          <cell r="K4169">
            <v>0</v>
          </cell>
          <cell r="L4169">
            <v>0</v>
          </cell>
        </row>
        <row r="4170">
          <cell r="A4170" t="str">
            <v>02</v>
          </cell>
          <cell r="B4170" t="str">
            <v>29</v>
          </cell>
          <cell r="C4170" t="str">
            <v>02</v>
          </cell>
          <cell r="D4170" t="str">
            <v>5</v>
          </cell>
          <cell r="E4170" t="str">
            <v>0042</v>
          </cell>
          <cell r="F4170" t="str">
            <v>0034</v>
          </cell>
          <cell r="G4170" t="str">
            <v>40512</v>
          </cell>
          <cell r="H4170" t="str">
            <v>结转本月制造费用</v>
          </cell>
          <cell r="I4170" t="b">
            <v>0</v>
          </cell>
          <cell r="J4170">
            <v>469</v>
          </cell>
          <cell r="K4170">
            <v>0</v>
          </cell>
          <cell r="L4170">
            <v>0</v>
          </cell>
        </row>
        <row r="4171">
          <cell r="A4171" t="str">
            <v>02</v>
          </cell>
          <cell r="B4171" t="str">
            <v>29</v>
          </cell>
          <cell r="C4171" t="str">
            <v>02</v>
          </cell>
          <cell r="D4171" t="str">
            <v>5</v>
          </cell>
          <cell r="E4171" t="str">
            <v>0042</v>
          </cell>
          <cell r="F4171" t="str">
            <v>0035</v>
          </cell>
          <cell r="G4171" t="str">
            <v>40512</v>
          </cell>
          <cell r="H4171" t="str">
            <v>结转本月制造费用</v>
          </cell>
          <cell r="I4171" t="b">
            <v>0</v>
          </cell>
          <cell r="J4171">
            <v>2986.5</v>
          </cell>
          <cell r="K4171">
            <v>0</v>
          </cell>
          <cell r="L4171">
            <v>0</v>
          </cell>
        </row>
        <row r="4172">
          <cell r="A4172" t="str">
            <v>02</v>
          </cell>
          <cell r="B4172" t="str">
            <v>29</v>
          </cell>
          <cell r="C4172" t="str">
            <v>02</v>
          </cell>
          <cell r="D4172" t="str">
            <v>5</v>
          </cell>
          <cell r="E4172" t="str">
            <v>0042</v>
          </cell>
          <cell r="F4172" t="str">
            <v>0036</v>
          </cell>
          <cell r="G4172" t="str">
            <v>40512</v>
          </cell>
          <cell r="H4172" t="str">
            <v>结转本月制造费用</v>
          </cell>
          <cell r="I4172" t="b">
            <v>0</v>
          </cell>
          <cell r="J4172">
            <v>3459.4</v>
          </cell>
          <cell r="K4172">
            <v>0</v>
          </cell>
          <cell r="L4172">
            <v>0</v>
          </cell>
        </row>
        <row r="4173">
          <cell r="A4173" t="str">
            <v>02</v>
          </cell>
          <cell r="B4173" t="str">
            <v>29</v>
          </cell>
          <cell r="C4173" t="str">
            <v>02</v>
          </cell>
          <cell r="D4173" t="str">
            <v>5</v>
          </cell>
          <cell r="E4173" t="str">
            <v>0042</v>
          </cell>
          <cell r="F4173" t="str">
            <v>0052</v>
          </cell>
          <cell r="G4173" t="str">
            <v>40512</v>
          </cell>
          <cell r="H4173" t="str">
            <v>结转本月制造费用</v>
          </cell>
          <cell r="I4173" t="b">
            <v>1</v>
          </cell>
          <cell r="J4173">
            <v>26827.9</v>
          </cell>
          <cell r="K4173">
            <v>0</v>
          </cell>
          <cell r="L4173">
            <v>0</v>
          </cell>
        </row>
        <row r="4174">
          <cell r="A4174" t="str">
            <v>03</v>
          </cell>
          <cell r="B4174" t="str">
            <v>02</v>
          </cell>
          <cell r="C4174" t="str">
            <v>03</v>
          </cell>
          <cell r="D4174" t="str">
            <v>2</v>
          </cell>
          <cell r="E4174" t="str">
            <v>0002</v>
          </cell>
          <cell r="F4174" t="str">
            <v>0002</v>
          </cell>
          <cell r="G4174" t="str">
            <v>40512</v>
          </cell>
          <cell r="H4174" t="str">
            <v>付差旅费</v>
          </cell>
          <cell r="I4174" t="b">
            <v>1</v>
          </cell>
          <cell r="J4174">
            <v>880</v>
          </cell>
          <cell r="K4174">
            <v>0</v>
          </cell>
          <cell r="L4174">
            <v>0</v>
          </cell>
        </row>
        <row r="4175">
          <cell r="A4175" t="str">
            <v>03</v>
          </cell>
          <cell r="B4175" t="str">
            <v>02</v>
          </cell>
          <cell r="C4175" t="str">
            <v>03</v>
          </cell>
          <cell r="D4175" t="str">
            <v>2</v>
          </cell>
          <cell r="E4175" t="str">
            <v>0002</v>
          </cell>
          <cell r="F4175" t="str">
            <v>0003</v>
          </cell>
          <cell r="G4175" t="str">
            <v>40512</v>
          </cell>
          <cell r="H4175" t="str">
            <v>付差旅费</v>
          </cell>
          <cell r="I4175" t="b">
            <v>1</v>
          </cell>
          <cell r="J4175">
            <v>224.1</v>
          </cell>
          <cell r="K4175">
            <v>0</v>
          </cell>
          <cell r="L4175">
            <v>0</v>
          </cell>
        </row>
        <row r="4176">
          <cell r="A4176" t="str">
            <v>03</v>
          </cell>
          <cell r="B4176" t="str">
            <v>02</v>
          </cell>
          <cell r="C4176" t="str">
            <v>03</v>
          </cell>
          <cell r="D4176" t="str">
            <v>2</v>
          </cell>
          <cell r="E4176" t="str">
            <v>0002</v>
          </cell>
          <cell r="F4176" t="str">
            <v>0004</v>
          </cell>
          <cell r="G4176" t="str">
            <v>40512</v>
          </cell>
          <cell r="H4176" t="str">
            <v>付差旅费</v>
          </cell>
          <cell r="I4176" t="b">
            <v>1</v>
          </cell>
          <cell r="J4176">
            <v>67.2</v>
          </cell>
          <cell r="K4176">
            <v>0</v>
          </cell>
          <cell r="L4176">
            <v>0</v>
          </cell>
        </row>
        <row r="4177">
          <cell r="A4177" t="str">
            <v>03</v>
          </cell>
          <cell r="B4177" t="str">
            <v>05</v>
          </cell>
          <cell r="C4177" t="str">
            <v>03</v>
          </cell>
          <cell r="D4177" t="str">
            <v>2</v>
          </cell>
          <cell r="E4177" t="str">
            <v>0005</v>
          </cell>
          <cell r="F4177" t="str">
            <v>0001</v>
          </cell>
          <cell r="G4177" t="str">
            <v>40512</v>
          </cell>
          <cell r="H4177" t="str">
            <v>付一部差旅费</v>
          </cell>
          <cell r="I4177" t="b">
            <v>1</v>
          </cell>
          <cell r="J4177">
            <v>4082.5</v>
          </cell>
          <cell r="K4177">
            <v>0</v>
          </cell>
          <cell r="L4177">
            <v>0</v>
          </cell>
        </row>
        <row r="4178">
          <cell r="A4178" t="str">
            <v>03</v>
          </cell>
          <cell r="B4178" t="str">
            <v>10</v>
          </cell>
          <cell r="C4178" t="str">
            <v>03</v>
          </cell>
          <cell r="D4178" t="str">
            <v>2</v>
          </cell>
          <cell r="E4178" t="str">
            <v>0008</v>
          </cell>
          <cell r="F4178" t="str">
            <v>0003</v>
          </cell>
          <cell r="G4178" t="str">
            <v>40512</v>
          </cell>
          <cell r="H4178" t="str">
            <v>付差旅费</v>
          </cell>
          <cell r="I4178" t="b">
            <v>1</v>
          </cell>
          <cell r="J4178">
            <v>58</v>
          </cell>
          <cell r="K4178">
            <v>0</v>
          </cell>
          <cell r="L4178">
            <v>0</v>
          </cell>
        </row>
        <row r="4179">
          <cell r="A4179" t="str">
            <v>03</v>
          </cell>
          <cell r="B4179" t="str">
            <v>10</v>
          </cell>
          <cell r="C4179" t="str">
            <v>03</v>
          </cell>
          <cell r="D4179" t="str">
            <v>2</v>
          </cell>
          <cell r="E4179" t="str">
            <v>0009</v>
          </cell>
          <cell r="F4179" t="str">
            <v>0002</v>
          </cell>
          <cell r="G4179" t="str">
            <v>40512</v>
          </cell>
          <cell r="H4179" t="str">
            <v>付差旅费</v>
          </cell>
          <cell r="I4179" t="b">
            <v>1</v>
          </cell>
          <cell r="J4179">
            <v>745.8</v>
          </cell>
          <cell r="K4179">
            <v>0</v>
          </cell>
          <cell r="L4179">
            <v>0</v>
          </cell>
        </row>
        <row r="4180">
          <cell r="A4180" t="str">
            <v>03</v>
          </cell>
          <cell r="B4180" t="str">
            <v>20</v>
          </cell>
          <cell r="C4180" t="str">
            <v>03</v>
          </cell>
          <cell r="D4180" t="str">
            <v>2</v>
          </cell>
          <cell r="E4180" t="str">
            <v>0018</v>
          </cell>
          <cell r="F4180" t="str">
            <v>0002</v>
          </cell>
          <cell r="G4180" t="str">
            <v>40512</v>
          </cell>
          <cell r="H4180" t="str">
            <v>付差旅费</v>
          </cell>
          <cell r="I4180" t="b">
            <v>1</v>
          </cell>
          <cell r="J4180">
            <v>180</v>
          </cell>
          <cell r="K4180">
            <v>0</v>
          </cell>
          <cell r="L4180">
            <v>0</v>
          </cell>
        </row>
        <row r="4181">
          <cell r="A4181" t="str">
            <v>03</v>
          </cell>
          <cell r="B4181" t="str">
            <v>30</v>
          </cell>
          <cell r="C4181" t="str">
            <v>03</v>
          </cell>
          <cell r="D4181" t="str">
            <v>5</v>
          </cell>
          <cell r="E4181" t="str">
            <v>0024</v>
          </cell>
          <cell r="F4181" t="str">
            <v>0009</v>
          </cell>
          <cell r="G4181" t="str">
            <v>40512</v>
          </cell>
          <cell r="H4181" t="str">
            <v>转本月共同制造费用</v>
          </cell>
          <cell r="I4181" t="b">
            <v>1</v>
          </cell>
          <cell r="J4181">
            <v>-6237.6</v>
          </cell>
          <cell r="K4181">
            <v>0</v>
          </cell>
          <cell r="L4181">
            <v>0</v>
          </cell>
        </row>
        <row r="4182">
          <cell r="A4182" t="str">
            <v>03</v>
          </cell>
          <cell r="B4182" t="str">
            <v>30</v>
          </cell>
          <cell r="C4182" t="str">
            <v>03</v>
          </cell>
          <cell r="D4182" t="str">
            <v>5</v>
          </cell>
          <cell r="E4182" t="str">
            <v>0025</v>
          </cell>
          <cell r="F4182" t="str">
            <v>0011</v>
          </cell>
          <cell r="G4182" t="str">
            <v>40512</v>
          </cell>
          <cell r="H4182" t="str">
            <v>结转本月制造费用</v>
          </cell>
          <cell r="I4182" t="b">
            <v>0</v>
          </cell>
          <cell r="J4182">
            <v>880</v>
          </cell>
          <cell r="K4182">
            <v>0</v>
          </cell>
          <cell r="L4182">
            <v>0</v>
          </cell>
        </row>
        <row r="4183">
          <cell r="A4183" t="str">
            <v>03</v>
          </cell>
          <cell r="B4183" t="str">
            <v>30</v>
          </cell>
          <cell r="C4183" t="str">
            <v>03</v>
          </cell>
          <cell r="D4183" t="str">
            <v>5</v>
          </cell>
          <cell r="E4183" t="str">
            <v>0025</v>
          </cell>
          <cell r="F4183" t="str">
            <v>0012</v>
          </cell>
          <cell r="G4183" t="str">
            <v>40512</v>
          </cell>
          <cell r="H4183" t="str">
            <v>结转本月制造费用</v>
          </cell>
          <cell r="I4183" t="b">
            <v>0</v>
          </cell>
          <cell r="J4183">
            <v>180</v>
          </cell>
          <cell r="K4183">
            <v>0</v>
          </cell>
          <cell r="L4183">
            <v>0</v>
          </cell>
        </row>
        <row r="4184">
          <cell r="A4184" t="str">
            <v>03</v>
          </cell>
          <cell r="B4184" t="str">
            <v>30</v>
          </cell>
          <cell r="C4184" t="str">
            <v>03</v>
          </cell>
          <cell r="D4184" t="str">
            <v>5</v>
          </cell>
          <cell r="E4184" t="str">
            <v>0025</v>
          </cell>
          <cell r="F4184" t="str">
            <v>0013</v>
          </cell>
          <cell r="G4184" t="str">
            <v>40512</v>
          </cell>
          <cell r="H4184" t="str">
            <v>结转本月制造费用</v>
          </cell>
          <cell r="I4184" t="b">
            <v>0</v>
          </cell>
          <cell r="J4184">
            <v>4828.3</v>
          </cell>
          <cell r="K4184">
            <v>0</v>
          </cell>
          <cell r="L4184">
            <v>0</v>
          </cell>
        </row>
        <row r="4185">
          <cell r="A4185" t="str">
            <v>03</v>
          </cell>
          <cell r="B4185" t="str">
            <v>30</v>
          </cell>
          <cell r="C4185" t="str">
            <v>03</v>
          </cell>
          <cell r="D4185" t="str">
            <v>5</v>
          </cell>
          <cell r="E4185" t="str">
            <v>0025</v>
          </cell>
          <cell r="F4185" t="str">
            <v>0014</v>
          </cell>
          <cell r="G4185" t="str">
            <v>40512</v>
          </cell>
          <cell r="H4185" t="str">
            <v>结转本月制造费用</v>
          </cell>
          <cell r="I4185" t="b">
            <v>0</v>
          </cell>
          <cell r="J4185">
            <v>58</v>
          </cell>
          <cell r="K4185">
            <v>0</v>
          </cell>
          <cell r="L4185">
            <v>0</v>
          </cell>
        </row>
        <row r="4186">
          <cell r="A4186" t="str">
            <v>03</v>
          </cell>
          <cell r="B4186" t="str">
            <v>30</v>
          </cell>
          <cell r="C4186" t="str">
            <v>03</v>
          </cell>
          <cell r="D4186" t="str">
            <v>5</v>
          </cell>
          <cell r="E4186" t="str">
            <v>0025</v>
          </cell>
          <cell r="F4186" t="str">
            <v>0015</v>
          </cell>
          <cell r="G4186" t="str">
            <v>40512</v>
          </cell>
          <cell r="H4186" t="str">
            <v>结转本月制造费用</v>
          </cell>
          <cell r="I4186" t="b">
            <v>0</v>
          </cell>
          <cell r="J4186">
            <v>67.2</v>
          </cell>
          <cell r="K4186">
            <v>0</v>
          </cell>
          <cell r="L4186">
            <v>0</v>
          </cell>
        </row>
        <row r="4187">
          <cell r="A4187" t="str">
            <v>03</v>
          </cell>
          <cell r="B4187" t="str">
            <v>30</v>
          </cell>
          <cell r="C4187" t="str">
            <v>03</v>
          </cell>
          <cell r="D4187" t="str">
            <v>5</v>
          </cell>
          <cell r="E4187" t="str">
            <v>0025</v>
          </cell>
          <cell r="F4187" t="str">
            <v>0016</v>
          </cell>
          <cell r="G4187" t="str">
            <v>40512</v>
          </cell>
          <cell r="H4187" t="str">
            <v>结转本月制造费用</v>
          </cell>
          <cell r="I4187" t="b">
            <v>0</v>
          </cell>
          <cell r="J4187">
            <v>224.1</v>
          </cell>
          <cell r="K4187">
            <v>0</v>
          </cell>
          <cell r="L4187">
            <v>0</v>
          </cell>
        </row>
        <row r="4188">
          <cell r="A4188" t="str">
            <v>03</v>
          </cell>
          <cell r="B4188" t="str">
            <v>30</v>
          </cell>
          <cell r="C4188" t="str">
            <v>03</v>
          </cell>
          <cell r="D4188" t="str">
            <v>5</v>
          </cell>
          <cell r="E4188" t="str">
            <v>0025</v>
          </cell>
          <cell r="F4188" t="str">
            <v>0035</v>
          </cell>
          <cell r="G4188" t="str">
            <v>40512</v>
          </cell>
          <cell r="H4188" t="str">
            <v>结转本月制造费用</v>
          </cell>
          <cell r="I4188" t="b">
            <v>1</v>
          </cell>
          <cell r="J4188">
            <v>6237.6</v>
          </cell>
          <cell r="K4188">
            <v>0</v>
          </cell>
          <cell r="L4188">
            <v>0</v>
          </cell>
        </row>
        <row r="4189">
          <cell r="A4189" t="str">
            <v>04</v>
          </cell>
          <cell r="B4189" t="str">
            <v>10</v>
          </cell>
          <cell r="C4189" t="str">
            <v>04</v>
          </cell>
          <cell r="D4189" t="str">
            <v>2</v>
          </cell>
          <cell r="E4189" t="str">
            <v>0005</v>
          </cell>
          <cell r="F4189" t="str">
            <v>0002</v>
          </cell>
          <cell r="G4189" t="str">
            <v>40512</v>
          </cell>
          <cell r="H4189" t="str">
            <v>付差旅费</v>
          </cell>
          <cell r="I4189" t="b">
            <v>1</v>
          </cell>
          <cell r="J4189">
            <v>74</v>
          </cell>
          <cell r="K4189">
            <v>0</v>
          </cell>
          <cell r="L4189">
            <v>0</v>
          </cell>
        </row>
        <row r="4190">
          <cell r="A4190" t="str">
            <v>04</v>
          </cell>
          <cell r="B4190" t="str">
            <v>10</v>
          </cell>
          <cell r="C4190" t="str">
            <v>04</v>
          </cell>
          <cell r="D4190" t="str">
            <v>2</v>
          </cell>
          <cell r="E4190" t="str">
            <v>0005</v>
          </cell>
          <cell r="F4190" t="str">
            <v>0003</v>
          </cell>
          <cell r="G4190" t="str">
            <v>40512</v>
          </cell>
          <cell r="H4190" t="str">
            <v>付差旅费</v>
          </cell>
          <cell r="I4190" t="b">
            <v>1</v>
          </cell>
          <cell r="J4190">
            <v>1810</v>
          </cell>
          <cell r="K4190">
            <v>0</v>
          </cell>
          <cell r="L4190">
            <v>0</v>
          </cell>
        </row>
        <row r="4191">
          <cell r="A4191" t="str">
            <v>04</v>
          </cell>
          <cell r="B4191" t="str">
            <v>15</v>
          </cell>
          <cell r="C4191" t="str">
            <v>04</v>
          </cell>
          <cell r="D4191" t="str">
            <v>2</v>
          </cell>
          <cell r="E4191" t="str">
            <v>0006</v>
          </cell>
          <cell r="F4191" t="str">
            <v>0001</v>
          </cell>
          <cell r="G4191" t="str">
            <v>40512</v>
          </cell>
          <cell r="H4191" t="str">
            <v>付差旅费</v>
          </cell>
          <cell r="I4191" t="b">
            <v>1</v>
          </cell>
          <cell r="J4191">
            <v>457</v>
          </cell>
          <cell r="K4191">
            <v>0</v>
          </cell>
          <cell r="L4191">
            <v>0</v>
          </cell>
        </row>
        <row r="4192">
          <cell r="A4192" t="str">
            <v>04</v>
          </cell>
          <cell r="B4192" t="str">
            <v>20</v>
          </cell>
          <cell r="C4192" t="str">
            <v>04</v>
          </cell>
          <cell r="D4192" t="str">
            <v>5</v>
          </cell>
          <cell r="E4192" t="str">
            <v>0006</v>
          </cell>
          <cell r="F4192" t="str">
            <v>0001</v>
          </cell>
          <cell r="G4192" t="str">
            <v>40512</v>
          </cell>
          <cell r="H4192" t="str">
            <v>转报销差旅费</v>
          </cell>
          <cell r="I4192" t="b">
            <v>1</v>
          </cell>
          <cell r="J4192">
            <v>3183</v>
          </cell>
          <cell r="K4192">
            <v>0</v>
          </cell>
          <cell r="L4192">
            <v>0</v>
          </cell>
        </row>
        <row r="4193">
          <cell r="A4193" t="str">
            <v>04</v>
          </cell>
          <cell r="B4193" t="str">
            <v>24</v>
          </cell>
          <cell r="C4193" t="str">
            <v>04</v>
          </cell>
          <cell r="D4193" t="str">
            <v>5</v>
          </cell>
          <cell r="E4193" t="str">
            <v>0013</v>
          </cell>
          <cell r="F4193" t="str">
            <v>0001</v>
          </cell>
          <cell r="G4193" t="str">
            <v>40512</v>
          </cell>
          <cell r="H4193" t="str">
            <v>转报销差旅费</v>
          </cell>
          <cell r="I4193" t="b">
            <v>1</v>
          </cell>
          <cell r="J4193">
            <v>6711</v>
          </cell>
          <cell r="K4193">
            <v>0</v>
          </cell>
          <cell r="L4193">
            <v>0</v>
          </cell>
        </row>
        <row r="4194">
          <cell r="A4194" t="str">
            <v>04</v>
          </cell>
          <cell r="B4194" t="str">
            <v>24</v>
          </cell>
          <cell r="C4194" t="str">
            <v>04</v>
          </cell>
          <cell r="D4194" t="str">
            <v>5</v>
          </cell>
          <cell r="E4194" t="str">
            <v>0017</v>
          </cell>
          <cell r="F4194" t="str">
            <v>0001</v>
          </cell>
          <cell r="G4194" t="str">
            <v>40512</v>
          </cell>
          <cell r="H4194" t="str">
            <v>转报销差旅费</v>
          </cell>
          <cell r="I4194" t="b">
            <v>1</v>
          </cell>
          <cell r="J4194">
            <v>7963</v>
          </cell>
          <cell r="K4194">
            <v>0</v>
          </cell>
          <cell r="L4194">
            <v>0</v>
          </cell>
        </row>
        <row r="4195">
          <cell r="A4195" t="str">
            <v>04</v>
          </cell>
          <cell r="B4195" t="str">
            <v>25</v>
          </cell>
          <cell r="C4195" t="str">
            <v>04</v>
          </cell>
          <cell r="D4195" t="str">
            <v>5</v>
          </cell>
          <cell r="E4195" t="str">
            <v>0020</v>
          </cell>
          <cell r="F4195" t="str">
            <v>0009</v>
          </cell>
          <cell r="G4195" t="str">
            <v>40512</v>
          </cell>
          <cell r="H4195" t="str">
            <v>转本月共同制造费用</v>
          </cell>
          <cell r="I4195" t="b">
            <v>1</v>
          </cell>
          <cell r="J4195">
            <v>-20198</v>
          </cell>
          <cell r="K4195">
            <v>0</v>
          </cell>
          <cell r="L4195">
            <v>0</v>
          </cell>
        </row>
        <row r="4196">
          <cell r="A4196" t="str">
            <v>04</v>
          </cell>
          <cell r="B4196" t="str">
            <v>25</v>
          </cell>
          <cell r="C4196" t="str">
            <v>04</v>
          </cell>
          <cell r="D4196" t="str">
            <v>5</v>
          </cell>
          <cell r="E4196" t="str">
            <v>0021</v>
          </cell>
          <cell r="F4196" t="str">
            <v>0025</v>
          </cell>
          <cell r="G4196" t="str">
            <v>40512</v>
          </cell>
          <cell r="H4196" t="str">
            <v>结转本月制造费用</v>
          </cell>
          <cell r="I4196" t="b">
            <v>0</v>
          </cell>
          <cell r="J4196">
            <v>15131</v>
          </cell>
          <cell r="K4196">
            <v>0</v>
          </cell>
          <cell r="L4196">
            <v>0</v>
          </cell>
        </row>
        <row r="4197">
          <cell r="A4197" t="str">
            <v>04</v>
          </cell>
          <cell r="B4197" t="str">
            <v>25</v>
          </cell>
          <cell r="C4197" t="str">
            <v>04</v>
          </cell>
          <cell r="D4197" t="str">
            <v>5</v>
          </cell>
          <cell r="E4197" t="str">
            <v>0021</v>
          </cell>
          <cell r="F4197" t="str">
            <v>0026</v>
          </cell>
          <cell r="G4197" t="str">
            <v>40512</v>
          </cell>
          <cell r="H4197" t="str">
            <v>结转本月制造费用</v>
          </cell>
          <cell r="I4197" t="b">
            <v>0</v>
          </cell>
          <cell r="J4197">
            <v>1810</v>
          </cell>
          <cell r="K4197">
            <v>0</v>
          </cell>
          <cell r="L4197">
            <v>0</v>
          </cell>
        </row>
        <row r="4198">
          <cell r="A4198" t="str">
            <v>04</v>
          </cell>
          <cell r="B4198" t="str">
            <v>25</v>
          </cell>
          <cell r="C4198" t="str">
            <v>04</v>
          </cell>
          <cell r="D4198" t="str">
            <v>5</v>
          </cell>
          <cell r="E4198" t="str">
            <v>0021</v>
          </cell>
          <cell r="F4198" t="str">
            <v>0027</v>
          </cell>
          <cell r="G4198" t="str">
            <v>40512</v>
          </cell>
          <cell r="H4198" t="str">
            <v>结转本月制造费用</v>
          </cell>
          <cell r="I4198" t="b">
            <v>0</v>
          </cell>
          <cell r="J4198">
            <v>74</v>
          </cell>
          <cell r="K4198">
            <v>0</v>
          </cell>
          <cell r="L4198">
            <v>0</v>
          </cell>
        </row>
        <row r="4199">
          <cell r="A4199" t="str">
            <v>04</v>
          </cell>
          <cell r="B4199" t="str">
            <v>25</v>
          </cell>
          <cell r="C4199" t="str">
            <v>04</v>
          </cell>
          <cell r="D4199" t="str">
            <v>5</v>
          </cell>
          <cell r="E4199" t="str">
            <v>0021</v>
          </cell>
          <cell r="F4199" t="str">
            <v>0028</v>
          </cell>
          <cell r="G4199" t="str">
            <v>40512</v>
          </cell>
          <cell r="H4199" t="str">
            <v>结转本月制造费用</v>
          </cell>
          <cell r="I4199" t="b">
            <v>0</v>
          </cell>
          <cell r="J4199">
            <v>3183</v>
          </cell>
          <cell r="K4199">
            <v>0</v>
          </cell>
          <cell r="L4199">
            <v>0</v>
          </cell>
        </row>
        <row r="4200">
          <cell r="A4200" t="str">
            <v>04</v>
          </cell>
          <cell r="B4200" t="str">
            <v>25</v>
          </cell>
          <cell r="C4200" t="str">
            <v>04</v>
          </cell>
          <cell r="D4200" t="str">
            <v>5</v>
          </cell>
          <cell r="E4200" t="str">
            <v>0021</v>
          </cell>
          <cell r="F4200" t="str">
            <v>0036</v>
          </cell>
          <cell r="G4200" t="str">
            <v>40512</v>
          </cell>
          <cell r="H4200" t="str">
            <v>结转本月制造费用</v>
          </cell>
          <cell r="I4200" t="b">
            <v>1</v>
          </cell>
          <cell r="J4200">
            <v>20198</v>
          </cell>
          <cell r="K4200">
            <v>0</v>
          </cell>
          <cell r="L4200">
            <v>0</v>
          </cell>
        </row>
        <row r="4201">
          <cell r="A4201" t="str">
            <v>05</v>
          </cell>
          <cell r="B4201" t="str">
            <v>15</v>
          </cell>
          <cell r="C4201" t="str">
            <v>05</v>
          </cell>
          <cell r="D4201" t="str">
            <v>2</v>
          </cell>
          <cell r="E4201" t="str">
            <v>0005</v>
          </cell>
          <cell r="F4201" t="str">
            <v>0003</v>
          </cell>
          <cell r="G4201" t="str">
            <v>40512</v>
          </cell>
          <cell r="H4201" t="str">
            <v>付差旅费</v>
          </cell>
          <cell r="I4201" t="b">
            <v>1</v>
          </cell>
          <cell r="J4201">
            <v>435</v>
          </cell>
          <cell r="K4201">
            <v>0</v>
          </cell>
          <cell r="L4201">
            <v>0</v>
          </cell>
        </row>
        <row r="4202">
          <cell r="A4202" t="str">
            <v>05</v>
          </cell>
          <cell r="B4202" t="str">
            <v>15</v>
          </cell>
          <cell r="C4202" t="str">
            <v>05</v>
          </cell>
          <cell r="D4202" t="str">
            <v>2</v>
          </cell>
          <cell r="E4202" t="str">
            <v>0006</v>
          </cell>
          <cell r="F4202" t="str">
            <v>0002</v>
          </cell>
          <cell r="G4202" t="str">
            <v>40512</v>
          </cell>
          <cell r="H4202" t="str">
            <v>付差旅费</v>
          </cell>
          <cell r="I4202" t="b">
            <v>1</v>
          </cell>
          <cell r="J4202">
            <v>2101.1</v>
          </cell>
          <cell r="K4202">
            <v>0</v>
          </cell>
          <cell r="L4202">
            <v>0</v>
          </cell>
        </row>
        <row r="4203">
          <cell r="A4203" t="str">
            <v>05</v>
          </cell>
          <cell r="B4203" t="str">
            <v>18</v>
          </cell>
          <cell r="C4203" t="str">
            <v>05</v>
          </cell>
          <cell r="D4203" t="str">
            <v>2</v>
          </cell>
          <cell r="E4203" t="str">
            <v>0008</v>
          </cell>
          <cell r="F4203" t="str">
            <v>0002</v>
          </cell>
          <cell r="G4203" t="str">
            <v>40512</v>
          </cell>
          <cell r="H4203" t="str">
            <v>付差旅费</v>
          </cell>
          <cell r="I4203" t="b">
            <v>1</v>
          </cell>
          <cell r="J4203">
            <v>2519</v>
          </cell>
          <cell r="K4203">
            <v>0</v>
          </cell>
          <cell r="L4203">
            <v>0</v>
          </cell>
        </row>
        <row r="4204">
          <cell r="A4204" t="str">
            <v>05</v>
          </cell>
          <cell r="B4204" t="str">
            <v>18</v>
          </cell>
          <cell r="C4204" t="str">
            <v>05</v>
          </cell>
          <cell r="D4204" t="str">
            <v>2</v>
          </cell>
          <cell r="E4204" t="str">
            <v>0009</v>
          </cell>
          <cell r="F4204" t="str">
            <v>0001</v>
          </cell>
          <cell r="G4204" t="str">
            <v>40512</v>
          </cell>
          <cell r="H4204" t="str">
            <v>付差旅费</v>
          </cell>
          <cell r="I4204" t="b">
            <v>1</v>
          </cell>
          <cell r="J4204">
            <v>5284.7</v>
          </cell>
          <cell r="K4204">
            <v>0</v>
          </cell>
          <cell r="L4204">
            <v>0</v>
          </cell>
        </row>
        <row r="4205">
          <cell r="A4205" t="str">
            <v>05</v>
          </cell>
          <cell r="B4205" t="str">
            <v>18</v>
          </cell>
          <cell r="C4205" t="str">
            <v>05</v>
          </cell>
          <cell r="D4205" t="str">
            <v>2</v>
          </cell>
          <cell r="E4205" t="str">
            <v>0010</v>
          </cell>
          <cell r="F4205" t="str">
            <v>0003</v>
          </cell>
          <cell r="G4205" t="str">
            <v>40512</v>
          </cell>
          <cell r="H4205" t="str">
            <v>付差旅费</v>
          </cell>
          <cell r="I4205" t="b">
            <v>1</v>
          </cell>
          <cell r="J4205">
            <v>360</v>
          </cell>
          <cell r="K4205">
            <v>0</v>
          </cell>
          <cell r="L4205">
            <v>0</v>
          </cell>
        </row>
        <row r="4206">
          <cell r="A4206" t="str">
            <v>05</v>
          </cell>
          <cell r="B4206" t="str">
            <v>20</v>
          </cell>
          <cell r="C4206" t="str">
            <v>05</v>
          </cell>
          <cell r="D4206" t="str">
            <v>2</v>
          </cell>
          <cell r="E4206" t="str">
            <v>0014</v>
          </cell>
          <cell r="F4206" t="str">
            <v>0003</v>
          </cell>
          <cell r="G4206" t="str">
            <v>40512</v>
          </cell>
          <cell r="H4206" t="str">
            <v>付差旅费</v>
          </cell>
          <cell r="I4206" t="b">
            <v>1</v>
          </cell>
          <cell r="J4206">
            <v>37</v>
          </cell>
          <cell r="K4206">
            <v>0</v>
          </cell>
          <cell r="L4206">
            <v>0</v>
          </cell>
        </row>
        <row r="4207">
          <cell r="A4207" t="str">
            <v>05</v>
          </cell>
          <cell r="B4207" t="str">
            <v>20</v>
          </cell>
          <cell r="C4207" t="str">
            <v>05</v>
          </cell>
          <cell r="D4207" t="str">
            <v>2</v>
          </cell>
          <cell r="E4207" t="str">
            <v>0014</v>
          </cell>
          <cell r="F4207" t="str">
            <v>0004</v>
          </cell>
          <cell r="G4207" t="str">
            <v>40512</v>
          </cell>
          <cell r="H4207" t="str">
            <v>付差旅费</v>
          </cell>
          <cell r="I4207" t="b">
            <v>1</v>
          </cell>
          <cell r="J4207">
            <v>850</v>
          </cell>
          <cell r="K4207">
            <v>0</v>
          </cell>
          <cell r="L4207">
            <v>0</v>
          </cell>
        </row>
        <row r="4208">
          <cell r="A4208" t="str">
            <v>05</v>
          </cell>
          <cell r="B4208" t="str">
            <v>25</v>
          </cell>
          <cell r="C4208" t="str">
            <v>05</v>
          </cell>
          <cell r="D4208" t="str">
            <v>5</v>
          </cell>
          <cell r="E4208" t="str">
            <v>0007</v>
          </cell>
          <cell r="F4208" t="str">
            <v>0001</v>
          </cell>
          <cell r="G4208" t="str">
            <v>40512</v>
          </cell>
          <cell r="H4208" t="str">
            <v>转报销差旅费</v>
          </cell>
          <cell r="I4208" t="b">
            <v>1</v>
          </cell>
          <cell r="J4208">
            <v>5443</v>
          </cell>
          <cell r="K4208">
            <v>0</v>
          </cell>
          <cell r="L4208">
            <v>0</v>
          </cell>
        </row>
        <row r="4209">
          <cell r="A4209" t="str">
            <v>05</v>
          </cell>
          <cell r="B4209" t="str">
            <v>25</v>
          </cell>
          <cell r="C4209" t="str">
            <v>05</v>
          </cell>
          <cell r="D4209" t="str">
            <v>5</v>
          </cell>
          <cell r="E4209" t="str">
            <v>0008</v>
          </cell>
          <cell r="F4209" t="str">
            <v>0002</v>
          </cell>
          <cell r="G4209" t="str">
            <v>40512</v>
          </cell>
          <cell r="H4209" t="str">
            <v>转报销差旅费</v>
          </cell>
          <cell r="I4209" t="b">
            <v>1</v>
          </cell>
          <cell r="J4209">
            <v>388</v>
          </cell>
          <cell r="K4209">
            <v>0</v>
          </cell>
          <cell r="L4209">
            <v>0</v>
          </cell>
        </row>
        <row r="4210">
          <cell r="A4210" t="str">
            <v>05</v>
          </cell>
          <cell r="B4210" t="str">
            <v>27</v>
          </cell>
          <cell r="C4210" t="str">
            <v>05</v>
          </cell>
          <cell r="D4210" t="str">
            <v>5</v>
          </cell>
          <cell r="E4210" t="str">
            <v>0029</v>
          </cell>
          <cell r="F4210" t="str">
            <v>0009</v>
          </cell>
          <cell r="G4210" t="str">
            <v>40512</v>
          </cell>
          <cell r="H4210" t="str">
            <v>转本月共同制造费用</v>
          </cell>
          <cell r="I4210" t="b">
            <v>1</v>
          </cell>
          <cell r="J4210">
            <v>-17417.8</v>
          </cell>
          <cell r="K4210">
            <v>0</v>
          </cell>
          <cell r="L4210">
            <v>0</v>
          </cell>
        </row>
        <row r="4211">
          <cell r="A4211" t="str">
            <v>05</v>
          </cell>
          <cell r="B4211" t="str">
            <v>29</v>
          </cell>
          <cell r="C4211" t="str">
            <v>05</v>
          </cell>
          <cell r="D4211" t="str">
            <v>5</v>
          </cell>
          <cell r="E4211" t="str">
            <v>0030</v>
          </cell>
          <cell r="F4211" t="str">
            <v>0026</v>
          </cell>
          <cell r="G4211" t="str">
            <v>40512</v>
          </cell>
          <cell r="H4211" t="str">
            <v>结转本月制造费用</v>
          </cell>
          <cell r="I4211" t="b">
            <v>0</v>
          </cell>
          <cell r="J4211">
            <v>6293</v>
          </cell>
          <cell r="K4211">
            <v>0</v>
          </cell>
          <cell r="L4211">
            <v>0</v>
          </cell>
        </row>
        <row r="4212">
          <cell r="A4212" t="str">
            <v>05</v>
          </cell>
          <cell r="B4212" t="str">
            <v>29</v>
          </cell>
          <cell r="C4212" t="str">
            <v>05</v>
          </cell>
          <cell r="D4212" t="str">
            <v>5</v>
          </cell>
          <cell r="E4212" t="str">
            <v>0030</v>
          </cell>
          <cell r="F4212" t="str">
            <v>0027</v>
          </cell>
          <cell r="G4212" t="str">
            <v>40512</v>
          </cell>
          <cell r="H4212" t="str">
            <v>结转本月制造费用</v>
          </cell>
          <cell r="I4212" t="b">
            <v>0</v>
          </cell>
          <cell r="J4212">
            <v>7385.8</v>
          </cell>
          <cell r="K4212">
            <v>0</v>
          </cell>
          <cell r="L4212">
            <v>0</v>
          </cell>
        </row>
        <row r="4213">
          <cell r="A4213" t="str">
            <v>05</v>
          </cell>
          <cell r="B4213" t="str">
            <v>29</v>
          </cell>
          <cell r="C4213" t="str">
            <v>05</v>
          </cell>
          <cell r="D4213" t="str">
            <v>5</v>
          </cell>
          <cell r="E4213" t="str">
            <v>0030</v>
          </cell>
          <cell r="F4213" t="str">
            <v>0028</v>
          </cell>
          <cell r="G4213" t="str">
            <v>40512</v>
          </cell>
          <cell r="H4213" t="str">
            <v>结转本月制造费用</v>
          </cell>
          <cell r="I4213" t="b">
            <v>0</v>
          </cell>
          <cell r="J4213">
            <v>748</v>
          </cell>
          <cell r="K4213">
            <v>0</v>
          </cell>
          <cell r="L4213">
            <v>0</v>
          </cell>
        </row>
        <row r="4214">
          <cell r="A4214" t="str">
            <v>05</v>
          </cell>
          <cell r="B4214" t="str">
            <v>29</v>
          </cell>
          <cell r="C4214" t="str">
            <v>05</v>
          </cell>
          <cell r="D4214" t="str">
            <v>5</v>
          </cell>
          <cell r="E4214" t="str">
            <v>0030</v>
          </cell>
          <cell r="F4214" t="str">
            <v>0029</v>
          </cell>
          <cell r="G4214" t="str">
            <v>40512</v>
          </cell>
          <cell r="H4214" t="str">
            <v>结转本月制造费用</v>
          </cell>
          <cell r="I4214" t="b">
            <v>0</v>
          </cell>
          <cell r="J4214">
            <v>2519</v>
          </cell>
          <cell r="K4214">
            <v>0</v>
          </cell>
          <cell r="L4214">
            <v>0</v>
          </cell>
        </row>
        <row r="4215">
          <cell r="A4215" t="str">
            <v>05</v>
          </cell>
          <cell r="B4215" t="str">
            <v>29</v>
          </cell>
          <cell r="C4215" t="str">
            <v>05</v>
          </cell>
          <cell r="D4215" t="str">
            <v>5</v>
          </cell>
          <cell r="E4215" t="str">
            <v>0030</v>
          </cell>
          <cell r="F4215" t="str">
            <v>0030</v>
          </cell>
          <cell r="G4215" t="str">
            <v>40512</v>
          </cell>
          <cell r="H4215" t="str">
            <v>结转本月制造费用</v>
          </cell>
          <cell r="I4215" t="b">
            <v>0</v>
          </cell>
          <cell r="J4215">
            <v>435</v>
          </cell>
          <cell r="K4215">
            <v>0</v>
          </cell>
          <cell r="L4215">
            <v>0</v>
          </cell>
        </row>
        <row r="4216">
          <cell r="A4216" t="str">
            <v>05</v>
          </cell>
          <cell r="B4216" t="str">
            <v>29</v>
          </cell>
          <cell r="C4216" t="str">
            <v>05</v>
          </cell>
          <cell r="D4216" t="str">
            <v>5</v>
          </cell>
          <cell r="E4216" t="str">
            <v>0030</v>
          </cell>
          <cell r="F4216" t="str">
            <v>0031</v>
          </cell>
          <cell r="G4216" t="str">
            <v>40512</v>
          </cell>
          <cell r="H4216" t="str">
            <v>结转本月制造费用</v>
          </cell>
          <cell r="I4216" t="b">
            <v>0</v>
          </cell>
          <cell r="J4216">
            <v>37</v>
          </cell>
          <cell r="K4216">
            <v>0</v>
          </cell>
          <cell r="L4216">
            <v>0</v>
          </cell>
        </row>
        <row r="4217">
          <cell r="A4217" t="str">
            <v>05</v>
          </cell>
          <cell r="B4217" t="str">
            <v>29</v>
          </cell>
          <cell r="C4217" t="str">
            <v>05</v>
          </cell>
          <cell r="D4217" t="str">
            <v>5</v>
          </cell>
          <cell r="E4217" t="str">
            <v>0030</v>
          </cell>
          <cell r="F4217" t="str">
            <v>0048</v>
          </cell>
          <cell r="G4217" t="str">
            <v>40512</v>
          </cell>
          <cell r="H4217" t="str">
            <v>结转本月制造费用</v>
          </cell>
          <cell r="I4217" t="b">
            <v>1</v>
          </cell>
          <cell r="J4217">
            <v>17417.8</v>
          </cell>
          <cell r="K4217">
            <v>0</v>
          </cell>
          <cell r="L4217">
            <v>0</v>
          </cell>
        </row>
        <row r="4218">
          <cell r="A4218" t="str">
            <v>06</v>
          </cell>
          <cell r="B4218" t="str">
            <v>08</v>
          </cell>
          <cell r="C4218" t="str">
            <v>06</v>
          </cell>
          <cell r="D4218" t="str">
            <v>2</v>
          </cell>
          <cell r="E4218" t="str">
            <v>0006</v>
          </cell>
          <cell r="F4218" t="str">
            <v>0002</v>
          </cell>
          <cell r="G4218" t="str">
            <v>40512</v>
          </cell>
          <cell r="H4218" t="str">
            <v>付差旅费</v>
          </cell>
          <cell r="I4218" t="b">
            <v>1</v>
          </cell>
          <cell r="J4218">
            <v>3346</v>
          </cell>
          <cell r="K4218">
            <v>0</v>
          </cell>
          <cell r="L4218">
            <v>0</v>
          </cell>
        </row>
        <row r="4219">
          <cell r="A4219" t="str">
            <v>06</v>
          </cell>
          <cell r="B4219" t="str">
            <v>08</v>
          </cell>
          <cell r="C4219" t="str">
            <v>06</v>
          </cell>
          <cell r="D4219" t="str">
            <v>2</v>
          </cell>
          <cell r="E4219" t="str">
            <v>0008</v>
          </cell>
          <cell r="F4219" t="str">
            <v>0001</v>
          </cell>
          <cell r="G4219" t="str">
            <v>40512</v>
          </cell>
          <cell r="H4219" t="str">
            <v>付差旅费</v>
          </cell>
          <cell r="I4219" t="b">
            <v>1</v>
          </cell>
          <cell r="J4219">
            <v>152.5</v>
          </cell>
          <cell r="K4219">
            <v>0</v>
          </cell>
          <cell r="L4219">
            <v>0</v>
          </cell>
        </row>
        <row r="4220">
          <cell r="A4220" t="str">
            <v>06</v>
          </cell>
          <cell r="B4220" t="str">
            <v>08</v>
          </cell>
          <cell r="C4220" t="str">
            <v>06</v>
          </cell>
          <cell r="D4220" t="str">
            <v>2</v>
          </cell>
          <cell r="E4220" t="str">
            <v>0008</v>
          </cell>
          <cell r="F4220" t="str">
            <v>0002</v>
          </cell>
          <cell r="G4220" t="str">
            <v>40512</v>
          </cell>
          <cell r="H4220" t="str">
            <v>付差旅费</v>
          </cell>
          <cell r="I4220" t="b">
            <v>1</v>
          </cell>
          <cell r="J4220">
            <v>1014</v>
          </cell>
          <cell r="K4220">
            <v>0</v>
          </cell>
          <cell r="L4220">
            <v>0</v>
          </cell>
        </row>
        <row r="4221">
          <cell r="A4221" t="str">
            <v>06</v>
          </cell>
          <cell r="B4221" t="str">
            <v>12</v>
          </cell>
          <cell r="C4221" t="str">
            <v>06</v>
          </cell>
          <cell r="D4221" t="str">
            <v>2</v>
          </cell>
          <cell r="E4221" t="str">
            <v>0010</v>
          </cell>
          <cell r="F4221" t="str">
            <v>0001</v>
          </cell>
          <cell r="G4221" t="str">
            <v>40512</v>
          </cell>
          <cell r="H4221" t="str">
            <v>付差旅费</v>
          </cell>
          <cell r="I4221" t="b">
            <v>1</v>
          </cell>
          <cell r="J4221">
            <v>4392</v>
          </cell>
          <cell r="K4221">
            <v>0</v>
          </cell>
          <cell r="L4221">
            <v>0</v>
          </cell>
        </row>
        <row r="4222">
          <cell r="A4222" t="str">
            <v>06</v>
          </cell>
          <cell r="B4222" t="str">
            <v>14</v>
          </cell>
          <cell r="C4222" t="str">
            <v>06</v>
          </cell>
          <cell r="D4222" t="str">
            <v>2</v>
          </cell>
          <cell r="E4222" t="str">
            <v>0012</v>
          </cell>
          <cell r="F4222" t="str">
            <v>0003</v>
          </cell>
          <cell r="G4222" t="str">
            <v>40512</v>
          </cell>
          <cell r="H4222" t="str">
            <v>付差旅费</v>
          </cell>
          <cell r="I4222" t="b">
            <v>1</v>
          </cell>
          <cell r="J4222">
            <v>483.8</v>
          </cell>
          <cell r="K4222">
            <v>0</v>
          </cell>
          <cell r="L4222">
            <v>0</v>
          </cell>
        </row>
        <row r="4223">
          <cell r="A4223" t="str">
            <v>06</v>
          </cell>
          <cell r="B4223" t="str">
            <v>23</v>
          </cell>
          <cell r="C4223" t="str">
            <v>06</v>
          </cell>
          <cell r="D4223" t="str">
            <v>5</v>
          </cell>
          <cell r="E4223" t="str">
            <v>0020</v>
          </cell>
          <cell r="F4223" t="str">
            <v>0008</v>
          </cell>
          <cell r="G4223" t="str">
            <v>40512</v>
          </cell>
          <cell r="H4223" t="str">
            <v>转本月共同制造费用</v>
          </cell>
          <cell r="I4223" t="b">
            <v>1</v>
          </cell>
          <cell r="J4223">
            <v>-9388.2999999999993</v>
          </cell>
          <cell r="K4223">
            <v>0</v>
          </cell>
          <cell r="L4223">
            <v>0</v>
          </cell>
        </row>
        <row r="4224">
          <cell r="A4224" t="str">
            <v>06</v>
          </cell>
          <cell r="B4224" t="str">
            <v>25</v>
          </cell>
          <cell r="C4224" t="str">
            <v>06</v>
          </cell>
          <cell r="D4224" t="str">
            <v>5</v>
          </cell>
          <cell r="E4224" t="str">
            <v>0021</v>
          </cell>
          <cell r="F4224" t="str">
            <v>0013</v>
          </cell>
          <cell r="G4224" t="str">
            <v>40512</v>
          </cell>
          <cell r="H4224" t="str">
            <v>结转本月制造费用</v>
          </cell>
          <cell r="I4224" t="b">
            <v>0</v>
          </cell>
          <cell r="J4224">
            <v>4875.8</v>
          </cell>
          <cell r="K4224">
            <v>0</v>
          </cell>
          <cell r="L4224">
            <v>0</v>
          </cell>
        </row>
        <row r="4225">
          <cell r="A4225" t="str">
            <v>06</v>
          </cell>
          <cell r="B4225" t="str">
            <v>25</v>
          </cell>
          <cell r="C4225" t="str">
            <v>06</v>
          </cell>
          <cell r="D4225" t="str">
            <v>5</v>
          </cell>
          <cell r="E4225" t="str">
            <v>0021</v>
          </cell>
          <cell r="F4225" t="str">
            <v>0014</v>
          </cell>
          <cell r="G4225" t="str">
            <v>40512</v>
          </cell>
          <cell r="H4225" t="str">
            <v>结转本月制造费用</v>
          </cell>
          <cell r="I4225" t="b">
            <v>0</v>
          </cell>
          <cell r="J4225">
            <v>3346</v>
          </cell>
          <cell r="K4225">
            <v>0</v>
          </cell>
          <cell r="L4225">
            <v>0</v>
          </cell>
        </row>
        <row r="4226">
          <cell r="A4226" t="str">
            <v>06</v>
          </cell>
          <cell r="B4226" t="str">
            <v>25</v>
          </cell>
          <cell r="C4226" t="str">
            <v>06</v>
          </cell>
          <cell r="D4226" t="str">
            <v>5</v>
          </cell>
          <cell r="E4226" t="str">
            <v>0021</v>
          </cell>
          <cell r="F4226" t="str">
            <v>0015</v>
          </cell>
          <cell r="G4226" t="str">
            <v>40512</v>
          </cell>
          <cell r="H4226" t="str">
            <v>结转本月制造费用</v>
          </cell>
          <cell r="I4226" t="b">
            <v>0</v>
          </cell>
          <cell r="J4226">
            <v>1014</v>
          </cell>
          <cell r="K4226">
            <v>0</v>
          </cell>
          <cell r="L4226">
            <v>0</v>
          </cell>
        </row>
        <row r="4227">
          <cell r="A4227" t="str">
            <v>06</v>
          </cell>
          <cell r="B4227" t="str">
            <v>25</v>
          </cell>
          <cell r="C4227" t="str">
            <v>06</v>
          </cell>
          <cell r="D4227" t="str">
            <v>5</v>
          </cell>
          <cell r="E4227" t="str">
            <v>0021</v>
          </cell>
          <cell r="F4227" t="str">
            <v>0016</v>
          </cell>
          <cell r="G4227" t="str">
            <v>40512</v>
          </cell>
          <cell r="H4227" t="str">
            <v>结转本月制造费用</v>
          </cell>
          <cell r="I4227" t="b">
            <v>0</v>
          </cell>
          <cell r="J4227">
            <v>152.5</v>
          </cell>
          <cell r="K4227">
            <v>0</v>
          </cell>
          <cell r="L4227">
            <v>0</v>
          </cell>
        </row>
        <row r="4228">
          <cell r="A4228" t="str">
            <v>06</v>
          </cell>
          <cell r="B4228" t="str">
            <v>25</v>
          </cell>
          <cell r="C4228" t="str">
            <v>06</v>
          </cell>
          <cell r="D4228" t="str">
            <v>5</v>
          </cell>
          <cell r="E4228" t="str">
            <v>0021</v>
          </cell>
          <cell r="F4228" t="str">
            <v>0030</v>
          </cell>
          <cell r="G4228" t="str">
            <v>40512</v>
          </cell>
          <cell r="H4228" t="str">
            <v>结转本月制造费用</v>
          </cell>
          <cell r="I4228" t="b">
            <v>1</v>
          </cell>
          <cell r="J4228">
            <v>9388.2999999999993</v>
          </cell>
          <cell r="K4228">
            <v>0</v>
          </cell>
          <cell r="L4228">
            <v>0</v>
          </cell>
        </row>
        <row r="4229">
          <cell r="A4229" t="str">
            <v>07</v>
          </cell>
          <cell r="B4229" t="str">
            <v>08</v>
          </cell>
          <cell r="C4229" t="str">
            <v>07</v>
          </cell>
          <cell r="D4229" t="str">
            <v>2</v>
          </cell>
          <cell r="E4229" t="str">
            <v>0004</v>
          </cell>
          <cell r="F4229" t="str">
            <v>0002</v>
          </cell>
          <cell r="G4229" t="str">
            <v>40512</v>
          </cell>
          <cell r="H4229" t="str">
            <v>付差旅费</v>
          </cell>
          <cell r="I4229" t="b">
            <v>1</v>
          </cell>
          <cell r="J4229">
            <v>2141</v>
          </cell>
          <cell r="K4229">
            <v>0</v>
          </cell>
          <cell r="L4229">
            <v>0</v>
          </cell>
        </row>
        <row r="4230">
          <cell r="A4230" t="str">
            <v>07</v>
          </cell>
          <cell r="B4230" t="str">
            <v>08</v>
          </cell>
          <cell r="C4230" t="str">
            <v>07</v>
          </cell>
          <cell r="D4230" t="str">
            <v>2</v>
          </cell>
          <cell r="E4230" t="str">
            <v>0004</v>
          </cell>
          <cell r="F4230" t="str">
            <v>0003</v>
          </cell>
          <cell r="G4230" t="str">
            <v>40512</v>
          </cell>
          <cell r="H4230" t="str">
            <v>付差旅费</v>
          </cell>
          <cell r="I4230" t="b">
            <v>1</v>
          </cell>
          <cell r="J4230">
            <v>60.5</v>
          </cell>
          <cell r="K4230">
            <v>0</v>
          </cell>
          <cell r="L4230">
            <v>0</v>
          </cell>
        </row>
        <row r="4231">
          <cell r="A4231" t="str">
            <v>07</v>
          </cell>
          <cell r="B4231" t="str">
            <v>24</v>
          </cell>
          <cell r="C4231" t="str">
            <v>07</v>
          </cell>
          <cell r="D4231" t="str">
            <v>5</v>
          </cell>
          <cell r="E4231" t="str">
            <v>0012</v>
          </cell>
          <cell r="F4231" t="str">
            <v>0003</v>
          </cell>
          <cell r="G4231" t="str">
            <v>40512</v>
          </cell>
          <cell r="H4231" t="str">
            <v>转报销差旅费</v>
          </cell>
          <cell r="I4231" t="b">
            <v>1</v>
          </cell>
          <cell r="J4231">
            <v>7160</v>
          </cell>
          <cell r="K4231">
            <v>0</v>
          </cell>
          <cell r="L4231">
            <v>0</v>
          </cell>
        </row>
        <row r="4232">
          <cell r="A4232" t="str">
            <v>07</v>
          </cell>
          <cell r="B4232" t="str">
            <v>24</v>
          </cell>
          <cell r="C4232" t="str">
            <v>07</v>
          </cell>
          <cell r="D4232" t="str">
            <v>5</v>
          </cell>
          <cell r="E4232" t="str">
            <v>0013</v>
          </cell>
          <cell r="F4232" t="str">
            <v>0001</v>
          </cell>
          <cell r="G4232" t="str">
            <v>40512</v>
          </cell>
          <cell r="H4232" t="str">
            <v>转报销差旅费</v>
          </cell>
          <cell r="I4232" t="b">
            <v>1</v>
          </cell>
          <cell r="J4232">
            <v>5807.6</v>
          </cell>
          <cell r="K4232">
            <v>0</v>
          </cell>
          <cell r="L4232">
            <v>0</v>
          </cell>
        </row>
        <row r="4233">
          <cell r="A4233" t="str">
            <v>07</v>
          </cell>
          <cell r="B4233" t="str">
            <v>25</v>
          </cell>
          <cell r="C4233" t="str">
            <v>07</v>
          </cell>
          <cell r="D4233" t="str">
            <v>5</v>
          </cell>
          <cell r="E4233" t="str">
            <v>0020</v>
          </cell>
          <cell r="F4233" t="str">
            <v>0001</v>
          </cell>
          <cell r="G4233" t="str">
            <v>40512</v>
          </cell>
          <cell r="H4233" t="str">
            <v>转报销差旅费</v>
          </cell>
          <cell r="I4233" t="b">
            <v>1</v>
          </cell>
          <cell r="J4233">
            <v>1870</v>
          </cell>
          <cell r="K4233">
            <v>0</v>
          </cell>
          <cell r="L4233">
            <v>0</v>
          </cell>
        </row>
        <row r="4234">
          <cell r="A4234" t="str">
            <v>07</v>
          </cell>
          <cell r="B4234" t="str">
            <v>27</v>
          </cell>
          <cell r="C4234" t="str">
            <v>07</v>
          </cell>
          <cell r="D4234" t="str">
            <v>5</v>
          </cell>
          <cell r="E4234" t="str">
            <v>0034</v>
          </cell>
          <cell r="F4234" t="str">
            <v>0008</v>
          </cell>
          <cell r="G4234" t="str">
            <v>40512</v>
          </cell>
          <cell r="H4234" t="str">
            <v>转本月共同制造费用</v>
          </cell>
          <cell r="I4234" t="b">
            <v>1</v>
          </cell>
          <cell r="J4234">
            <v>-17039.099999999999</v>
          </cell>
          <cell r="K4234">
            <v>0</v>
          </cell>
          <cell r="L4234">
            <v>0</v>
          </cell>
        </row>
        <row r="4235">
          <cell r="A4235" t="str">
            <v>07</v>
          </cell>
          <cell r="B4235" t="str">
            <v>28</v>
          </cell>
          <cell r="C4235" t="str">
            <v>07</v>
          </cell>
          <cell r="D4235" t="str">
            <v>5</v>
          </cell>
          <cell r="E4235" t="str">
            <v>0035</v>
          </cell>
          <cell r="F4235" t="str">
            <v>0022</v>
          </cell>
          <cell r="G4235" t="str">
            <v>40512</v>
          </cell>
          <cell r="H4235" t="str">
            <v>结转本月制造费用</v>
          </cell>
          <cell r="I4235" t="b">
            <v>0</v>
          </cell>
          <cell r="J4235">
            <v>9030</v>
          </cell>
          <cell r="K4235">
            <v>0</v>
          </cell>
          <cell r="L4235">
            <v>0</v>
          </cell>
        </row>
        <row r="4236">
          <cell r="A4236" t="str">
            <v>07</v>
          </cell>
          <cell r="B4236" t="str">
            <v>28</v>
          </cell>
          <cell r="C4236" t="str">
            <v>07</v>
          </cell>
          <cell r="D4236" t="str">
            <v>5</v>
          </cell>
          <cell r="E4236" t="str">
            <v>0035</v>
          </cell>
          <cell r="F4236" t="str">
            <v>0023</v>
          </cell>
          <cell r="G4236" t="str">
            <v>40512</v>
          </cell>
          <cell r="H4236" t="str">
            <v>结转本月制造费用</v>
          </cell>
          <cell r="I4236" t="b">
            <v>0</v>
          </cell>
          <cell r="J4236">
            <v>2141</v>
          </cell>
          <cell r="K4236">
            <v>0</v>
          </cell>
          <cell r="L4236">
            <v>0</v>
          </cell>
        </row>
        <row r="4237">
          <cell r="A4237" t="str">
            <v>07</v>
          </cell>
          <cell r="B4237" t="str">
            <v>28</v>
          </cell>
          <cell r="C4237" t="str">
            <v>07</v>
          </cell>
          <cell r="D4237" t="str">
            <v>5</v>
          </cell>
          <cell r="E4237" t="str">
            <v>0035</v>
          </cell>
          <cell r="F4237" t="str">
            <v>0024</v>
          </cell>
          <cell r="G4237" t="str">
            <v>40512</v>
          </cell>
          <cell r="H4237" t="str">
            <v>结转本月制造费用</v>
          </cell>
          <cell r="I4237" t="b">
            <v>0</v>
          </cell>
          <cell r="J4237">
            <v>5868.1</v>
          </cell>
          <cell r="K4237">
            <v>0</v>
          </cell>
          <cell r="L4237">
            <v>0</v>
          </cell>
        </row>
        <row r="4238">
          <cell r="A4238" t="str">
            <v>07</v>
          </cell>
          <cell r="B4238" t="str">
            <v>28</v>
          </cell>
          <cell r="C4238" t="str">
            <v>07</v>
          </cell>
          <cell r="D4238" t="str">
            <v>5</v>
          </cell>
          <cell r="E4238" t="str">
            <v>0035</v>
          </cell>
          <cell r="F4238" t="str">
            <v>0033</v>
          </cell>
          <cell r="G4238" t="str">
            <v>40512</v>
          </cell>
          <cell r="H4238" t="str">
            <v>结转本月制造费用</v>
          </cell>
          <cell r="I4238" t="b">
            <v>1</v>
          </cell>
          <cell r="J4238">
            <v>17039.099999999999</v>
          </cell>
          <cell r="K4238">
            <v>0</v>
          </cell>
          <cell r="L4238">
            <v>0</v>
          </cell>
        </row>
        <row r="4239">
          <cell r="A4239" t="str">
            <v>02</v>
          </cell>
          <cell r="B4239" t="str">
            <v>03</v>
          </cell>
          <cell r="C4239" t="str">
            <v>02</v>
          </cell>
          <cell r="D4239" t="str">
            <v>2</v>
          </cell>
          <cell r="E4239" t="str">
            <v>0009</v>
          </cell>
          <cell r="F4239" t="str">
            <v>0001</v>
          </cell>
          <cell r="G4239" t="str">
            <v>40513</v>
          </cell>
          <cell r="H4239" t="str">
            <v>付业务招待费</v>
          </cell>
          <cell r="I4239" t="b">
            <v>1</v>
          </cell>
          <cell r="J4239">
            <v>530</v>
          </cell>
          <cell r="K4239">
            <v>0</v>
          </cell>
          <cell r="L4239">
            <v>0</v>
          </cell>
        </row>
        <row r="4240">
          <cell r="A4240" t="str">
            <v>02</v>
          </cell>
          <cell r="B4240" t="str">
            <v>05</v>
          </cell>
          <cell r="C4240" t="str">
            <v>02</v>
          </cell>
          <cell r="D4240" t="str">
            <v>2</v>
          </cell>
          <cell r="E4240" t="str">
            <v>0010</v>
          </cell>
          <cell r="F4240" t="str">
            <v>0003</v>
          </cell>
          <cell r="G4240" t="str">
            <v>40513</v>
          </cell>
          <cell r="H4240" t="str">
            <v>付招待费</v>
          </cell>
          <cell r="I4240" t="b">
            <v>1</v>
          </cell>
          <cell r="J4240">
            <v>3504</v>
          </cell>
          <cell r="K4240">
            <v>0</v>
          </cell>
          <cell r="L4240">
            <v>0</v>
          </cell>
        </row>
        <row r="4241">
          <cell r="A4241" t="str">
            <v>02</v>
          </cell>
          <cell r="B4241" t="str">
            <v>08</v>
          </cell>
          <cell r="C4241" t="str">
            <v>02</v>
          </cell>
          <cell r="D4241" t="str">
            <v>2</v>
          </cell>
          <cell r="E4241" t="str">
            <v>0018</v>
          </cell>
          <cell r="F4241" t="str">
            <v>0001</v>
          </cell>
          <cell r="G4241" t="str">
            <v>40513</v>
          </cell>
          <cell r="H4241" t="str">
            <v>付招待费</v>
          </cell>
          <cell r="I4241" t="b">
            <v>1</v>
          </cell>
          <cell r="J4241">
            <v>5660</v>
          </cell>
          <cell r="K4241">
            <v>0</v>
          </cell>
          <cell r="L4241">
            <v>0</v>
          </cell>
        </row>
        <row r="4242">
          <cell r="A4242" t="str">
            <v>02</v>
          </cell>
          <cell r="B4242" t="str">
            <v>08</v>
          </cell>
          <cell r="C4242" t="str">
            <v>02</v>
          </cell>
          <cell r="D4242" t="str">
            <v>2</v>
          </cell>
          <cell r="E4242" t="str">
            <v>0022</v>
          </cell>
          <cell r="F4242" t="str">
            <v>0001</v>
          </cell>
          <cell r="G4242" t="str">
            <v>40513</v>
          </cell>
          <cell r="H4242" t="str">
            <v>付招待费</v>
          </cell>
          <cell r="I4242" t="b">
            <v>1</v>
          </cell>
          <cell r="J4242">
            <v>172</v>
          </cell>
          <cell r="K4242">
            <v>0</v>
          </cell>
          <cell r="L4242">
            <v>0</v>
          </cell>
        </row>
        <row r="4243">
          <cell r="A4243" t="str">
            <v>02</v>
          </cell>
          <cell r="B4243" t="str">
            <v>13</v>
          </cell>
          <cell r="C4243" t="str">
            <v>02</v>
          </cell>
          <cell r="D4243" t="str">
            <v>2</v>
          </cell>
          <cell r="E4243" t="str">
            <v>0026</v>
          </cell>
          <cell r="F4243" t="str">
            <v>0001</v>
          </cell>
          <cell r="G4243" t="str">
            <v>40513</v>
          </cell>
          <cell r="H4243" t="str">
            <v>付招待费</v>
          </cell>
          <cell r="I4243" t="b">
            <v>1</v>
          </cell>
          <cell r="J4243">
            <v>890</v>
          </cell>
          <cell r="K4243">
            <v>0</v>
          </cell>
          <cell r="L4243">
            <v>0</v>
          </cell>
        </row>
        <row r="4244">
          <cell r="A4244" t="str">
            <v>02</v>
          </cell>
          <cell r="B4244" t="str">
            <v>13</v>
          </cell>
          <cell r="C4244" t="str">
            <v>02</v>
          </cell>
          <cell r="D4244" t="str">
            <v>2</v>
          </cell>
          <cell r="E4244" t="str">
            <v>0027</v>
          </cell>
          <cell r="F4244" t="str">
            <v>0001</v>
          </cell>
          <cell r="G4244" t="str">
            <v>40513</v>
          </cell>
          <cell r="H4244" t="str">
            <v>付招待费</v>
          </cell>
          <cell r="I4244" t="b">
            <v>1</v>
          </cell>
          <cell r="J4244">
            <v>420</v>
          </cell>
          <cell r="K4244">
            <v>0</v>
          </cell>
          <cell r="L4244">
            <v>0</v>
          </cell>
        </row>
        <row r="4245">
          <cell r="A4245" t="str">
            <v>02</v>
          </cell>
          <cell r="B4245" t="str">
            <v>20</v>
          </cell>
          <cell r="C4245" t="str">
            <v>02</v>
          </cell>
          <cell r="D4245" t="str">
            <v>2</v>
          </cell>
          <cell r="E4245" t="str">
            <v>0035</v>
          </cell>
          <cell r="F4245" t="str">
            <v>0001</v>
          </cell>
          <cell r="G4245" t="str">
            <v>40513</v>
          </cell>
          <cell r="H4245" t="str">
            <v>付招待费</v>
          </cell>
          <cell r="I4245" t="b">
            <v>1</v>
          </cell>
          <cell r="J4245">
            <v>400</v>
          </cell>
          <cell r="K4245">
            <v>0</v>
          </cell>
          <cell r="L4245">
            <v>0</v>
          </cell>
        </row>
        <row r="4246">
          <cell r="A4246" t="str">
            <v>02</v>
          </cell>
          <cell r="B4246" t="str">
            <v>20</v>
          </cell>
          <cell r="C4246" t="str">
            <v>02</v>
          </cell>
          <cell r="D4246" t="str">
            <v>2</v>
          </cell>
          <cell r="E4246" t="str">
            <v>0036</v>
          </cell>
          <cell r="F4246" t="str">
            <v>0001</v>
          </cell>
          <cell r="G4246" t="str">
            <v>40513</v>
          </cell>
          <cell r="H4246" t="str">
            <v>付招待费</v>
          </cell>
          <cell r="I4246" t="b">
            <v>1</v>
          </cell>
          <cell r="J4246">
            <v>2938.2</v>
          </cell>
          <cell r="K4246">
            <v>0</v>
          </cell>
          <cell r="L4246">
            <v>0</v>
          </cell>
        </row>
        <row r="4247">
          <cell r="A4247" t="str">
            <v>02</v>
          </cell>
          <cell r="B4247" t="str">
            <v>20</v>
          </cell>
          <cell r="C4247" t="str">
            <v>02</v>
          </cell>
          <cell r="D4247" t="str">
            <v>2</v>
          </cell>
          <cell r="E4247" t="str">
            <v>0037</v>
          </cell>
          <cell r="F4247" t="str">
            <v>0002</v>
          </cell>
          <cell r="G4247" t="str">
            <v>40513</v>
          </cell>
          <cell r="H4247" t="str">
            <v>付招待费</v>
          </cell>
          <cell r="I4247" t="b">
            <v>1</v>
          </cell>
          <cell r="J4247">
            <v>2705</v>
          </cell>
          <cell r="K4247">
            <v>0</v>
          </cell>
          <cell r="L4247">
            <v>0</v>
          </cell>
        </row>
        <row r="4248">
          <cell r="A4248" t="str">
            <v>02</v>
          </cell>
          <cell r="B4248" t="str">
            <v>25</v>
          </cell>
          <cell r="C4248" t="str">
            <v>02</v>
          </cell>
          <cell r="D4248" t="str">
            <v>5</v>
          </cell>
          <cell r="E4248" t="str">
            <v>0018</v>
          </cell>
          <cell r="F4248" t="str">
            <v>0001</v>
          </cell>
          <cell r="G4248" t="str">
            <v>40513</v>
          </cell>
          <cell r="H4248" t="str">
            <v>转12月份餐费</v>
          </cell>
          <cell r="I4248" t="b">
            <v>1</v>
          </cell>
          <cell r="J4248">
            <v>168</v>
          </cell>
          <cell r="K4248">
            <v>0</v>
          </cell>
          <cell r="L4248">
            <v>0</v>
          </cell>
        </row>
        <row r="4249">
          <cell r="A4249" t="str">
            <v>02</v>
          </cell>
          <cell r="B4249" t="str">
            <v>25</v>
          </cell>
          <cell r="C4249" t="str">
            <v>02</v>
          </cell>
          <cell r="D4249" t="str">
            <v>5</v>
          </cell>
          <cell r="E4249" t="str">
            <v>0018</v>
          </cell>
          <cell r="F4249" t="str">
            <v>0002</v>
          </cell>
          <cell r="G4249" t="str">
            <v>40513</v>
          </cell>
          <cell r="H4249" t="str">
            <v>转12月份餐费</v>
          </cell>
          <cell r="I4249" t="b">
            <v>1</v>
          </cell>
          <cell r="J4249">
            <v>82.5</v>
          </cell>
          <cell r="K4249">
            <v>0</v>
          </cell>
          <cell r="L4249">
            <v>0</v>
          </cell>
        </row>
        <row r="4250">
          <cell r="A4250" t="str">
            <v>02</v>
          </cell>
          <cell r="B4250" t="str">
            <v>25</v>
          </cell>
          <cell r="C4250" t="str">
            <v>02</v>
          </cell>
          <cell r="D4250" t="str">
            <v>5</v>
          </cell>
          <cell r="E4250" t="str">
            <v>0018</v>
          </cell>
          <cell r="F4250" t="str">
            <v>0003</v>
          </cell>
          <cell r="G4250" t="str">
            <v>40513</v>
          </cell>
          <cell r="H4250" t="str">
            <v>转12月份餐费</v>
          </cell>
          <cell r="I4250" t="b">
            <v>1</v>
          </cell>
          <cell r="J4250">
            <v>506</v>
          </cell>
          <cell r="K4250">
            <v>0</v>
          </cell>
          <cell r="L4250">
            <v>0</v>
          </cell>
        </row>
        <row r="4251">
          <cell r="A4251" t="str">
            <v>02</v>
          </cell>
          <cell r="B4251" t="str">
            <v>25</v>
          </cell>
          <cell r="C4251" t="str">
            <v>02</v>
          </cell>
          <cell r="D4251" t="str">
            <v>5</v>
          </cell>
          <cell r="E4251" t="str">
            <v>0018</v>
          </cell>
          <cell r="F4251" t="str">
            <v>0004</v>
          </cell>
          <cell r="G4251" t="str">
            <v>40513</v>
          </cell>
          <cell r="H4251" t="str">
            <v>转12月份餐费</v>
          </cell>
          <cell r="I4251" t="b">
            <v>1</v>
          </cell>
          <cell r="J4251">
            <v>1759</v>
          </cell>
          <cell r="K4251">
            <v>0</v>
          </cell>
          <cell r="L4251">
            <v>0</v>
          </cell>
        </row>
        <row r="4252">
          <cell r="A4252" t="str">
            <v>02</v>
          </cell>
          <cell r="B4252" t="str">
            <v>25</v>
          </cell>
          <cell r="C4252" t="str">
            <v>02</v>
          </cell>
          <cell r="D4252" t="str">
            <v>5</v>
          </cell>
          <cell r="E4252" t="str">
            <v>0018</v>
          </cell>
          <cell r="F4252" t="str">
            <v>0005</v>
          </cell>
          <cell r="G4252" t="str">
            <v>40513</v>
          </cell>
          <cell r="H4252" t="str">
            <v>转12月份餐费</v>
          </cell>
          <cell r="I4252" t="b">
            <v>1</v>
          </cell>
          <cell r="J4252">
            <v>2785</v>
          </cell>
          <cell r="K4252">
            <v>0</v>
          </cell>
          <cell r="L4252">
            <v>0</v>
          </cell>
        </row>
        <row r="4253">
          <cell r="A4253" t="str">
            <v>02</v>
          </cell>
          <cell r="B4253" t="str">
            <v>25</v>
          </cell>
          <cell r="C4253" t="str">
            <v>02</v>
          </cell>
          <cell r="D4253" t="str">
            <v>5</v>
          </cell>
          <cell r="E4253" t="str">
            <v>0018</v>
          </cell>
          <cell r="F4253" t="str">
            <v>0006</v>
          </cell>
          <cell r="G4253" t="str">
            <v>40513</v>
          </cell>
          <cell r="H4253" t="str">
            <v>转12月份餐费</v>
          </cell>
          <cell r="I4253" t="b">
            <v>1</v>
          </cell>
          <cell r="J4253">
            <v>424</v>
          </cell>
          <cell r="K4253">
            <v>0</v>
          </cell>
          <cell r="L4253">
            <v>0</v>
          </cell>
        </row>
        <row r="4254">
          <cell r="A4254" t="str">
            <v>02</v>
          </cell>
          <cell r="B4254" t="str">
            <v>25</v>
          </cell>
          <cell r="C4254" t="str">
            <v>02</v>
          </cell>
          <cell r="D4254" t="str">
            <v>5</v>
          </cell>
          <cell r="E4254" t="str">
            <v>0018</v>
          </cell>
          <cell r="F4254" t="str">
            <v>0007</v>
          </cell>
          <cell r="G4254" t="str">
            <v>40513</v>
          </cell>
          <cell r="H4254" t="str">
            <v>转12月份餐费</v>
          </cell>
          <cell r="I4254" t="b">
            <v>1</v>
          </cell>
          <cell r="J4254">
            <v>940</v>
          </cell>
          <cell r="K4254">
            <v>0</v>
          </cell>
          <cell r="L4254">
            <v>0</v>
          </cell>
        </row>
        <row r="4255">
          <cell r="A4255" t="str">
            <v>02</v>
          </cell>
          <cell r="B4255" t="str">
            <v>28</v>
          </cell>
          <cell r="C4255" t="str">
            <v>02</v>
          </cell>
          <cell r="D4255" t="str">
            <v>5</v>
          </cell>
          <cell r="E4255" t="str">
            <v>0041</v>
          </cell>
          <cell r="F4255" t="str">
            <v>0016</v>
          </cell>
          <cell r="G4255" t="str">
            <v>40513</v>
          </cell>
          <cell r="H4255" t="str">
            <v>转本月共同制造费用</v>
          </cell>
          <cell r="I4255" t="b">
            <v>1</v>
          </cell>
          <cell r="J4255">
            <v>-23883.7</v>
          </cell>
          <cell r="K4255">
            <v>0</v>
          </cell>
          <cell r="L4255">
            <v>0</v>
          </cell>
        </row>
        <row r="4256">
          <cell r="A4256" t="str">
            <v>02</v>
          </cell>
          <cell r="B4256" t="str">
            <v>29</v>
          </cell>
          <cell r="C4256" t="str">
            <v>02</v>
          </cell>
          <cell r="D4256" t="str">
            <v>5</v>
          </cell>
          <cell r="E4256" t="str">
            <v>0042</v>
          </cell>
          <cell r="F4256" t="str">
            <v>0037</v>
          </cell>
          <cell r="G4256" t="str">
            <v>40513</v>
          </cell>
          <cell r="H4256" t="str">
            <v>结转本月制造费用</v>
          </cell>
          <cell r="I4256" t="b">
            <v>0</v>
          </cell>
          <cell r="J4256">
            <v>596</v>
          </cell>
          <cell r="K4256">
            <v>0</v>
          </cell>
          <cell r="L4256">
            <v>0</v>
          </cell>
        </row>
        <row r="4257">
          <cell r="A4257" t="str">
            <v>02</v>
          </cell>
          <cell r="B4257" t="str">
            <v>29</v>
          </cell>
          <cell r="C4257" t="str">
            <v>02</v>
          </cell>
          <cell r="D4257" t="str">
            <v>5</v>
          </cell>
          <cell r="E4257" t="str">
            <v>0042</v>
          </cell>
          <cell r="F4257" t="str">
            <v>0038</v>
          </cell>
          <cell r="G4257" t="str">
            <v>40513</v>
          </cell>
          <cell r="H4257" t="str">
            <v>结转本月制造费用</v>
          </cell>
          <cell r="I4257" t="b">
            <v>0</v>
          </cell>
          <cell r="J4257">
            <v>420</v>
          </cell>
          <cell r="K4257">
            <v>0</v>
          </cell>
          <cell r="L4257">
            <v>0</v>
          </cell>
        </row>
        <row r="4258">
          <cell r="A4258" t="str">
            <v>02</v>
          </cell>
          <cell r="B4258" t="str">
            <v>29</v>
          </cell>
          <cell r="C4258" t="str">
            <v>02</v>
          </cell>
          <cell r="D4258" t="str">
            <v>5</v>
          </cell>
          <cell r="E4258" t="str">
            <v>0042</v>
          </cell>
          <cell r="F4258" t="str">
            <v>0039</v>
          </cell>
          <cell r="G4258" t="str">
            <v>40513</v>
          </cell>
          <cell r="H4258" t="str">
            <v>结转本月制造费用</v>
          </cell>
          <cell r="I4258" t="b">
            <v>0</v>
          </cell>
          <cell r="J4258">
            <v>3317.5</v>
          </cell>
          <cell r="K4258">
            <v>0</v>
          </cell>
          <cell r="L4258">
            <v>0</v>
          </cell>
        </row>
        <row r="4259">
          <cell r="A4259" t="str">
            <v>02</v>
          </cell>
          <cell r="B4259" t="str">
            <v>29</v>
          </cell>
          <cell r="C4259" t="str">
            <v>02</v>
          </cell>
          <cell r="D4259" t="str">
            <v>5</v>
          </cell>
          <cell r="E4259" t="str">
            <v>0042</v>
          </cell>
          <cell r="F4259" t="str">
            <v>0040</v>
          </cell>
          <cell r="G4259" t="str">
            <v>40513</v>
          </cell>
          <cell r="H4259" t="str">
            <v>结转本月制造费用</v>
          </cell>
          <cell r="I4259" t="b">
            <v>0</v>
          </cell>
          <cell r="J4259">
            <v>10117.200000000001</v>
          </cell>
          <cell r="K4259">
            <v>0</v>
          </cell>
          <cell r="L4259">
            <v>0</v>
          </cell>
        </row>
        <row r="4260">
          <cell r="A4260" t="str">
            <v>02</v>
          </cell>
          <cell r="B4260" t="str">
            <v>29</v>
          </cell>
          <cell r="C4260" t="str">
            <v>02</v>
          </cell>
          <cell r="D4260" t="str">
            <v>5</v>
          </cell>
          <cell r="E4260" t="str">
            <v>0042</v>
          </cell>
          <cell r="F4260" t="str">
            <v>0041</v>
          </cell>
          <cell r="G4260" t="str">
            <v>40513</v>
          </cell>
          <cell r="H4260" t="str">
            <v>结转本月制造费用</v>
          </cell>
          <cell r="I4260" t="b">
            <v>0</v>
          </cell>
          <cell r="J4260">
            <v>1759</v>
          </cell>
          <cell r="K4260">
            <v>0</v>
          </cell>
          <cell r="L4260">
            <v>0</v>
          </cell>
        </row>
        <row r="4261">
          <cell r="A4261" t="str">
            <v>02</v>
          </cell>
          <cell r="B4261" t="str">
            <v>29</v>
          </cell>
          <cell r="C4261" t="str">
            <v>02</v>
          </cell>
          <cell r="D4261" t="str">
            <v>5</v>
          </cell>
          <cell r="E4261" t="str">
            <v>0042</v>
          </cell>
          <cell r="F4261" t="str">
            <v>0042</v>
          </cell>
          <cell r="G4261" t="str">
            <v>40513</v>
          </cell>
          <cell r="H4261" t="str">
            <v>结转本月制造费用</v>
          </cell>
          <cell r="I4261" t="b">
            <v>0</v>
          </cell>
          <cell r="J4261">
            <v>568</v>
          </cell>
          <cell r="K4261">
            <v>0</v>
          </cell>
          <cell r="L4261">
            <v>0</v>
          </cell>
        </row>
        <row r="4262">
          <cell r="A4262" t="str">
            <v>02</v>
          </cell>
          <cell r="B4262" t="str">
            <v>29</v>
          </cell>
          <cell r="C4262" t="str">
            <v>02</v>
          </cell>
          <cell r="D4262" t="str">
            <v>5</v>
          </cell>
          <cell r="E4262" t="str">
            <v>0042</v>
          </cell>
          <cell r="F4262" t="str">
            <v>0043</v>
          </cell>
          <cell r="G4262" t="str">
            <v>40513</v>
          </cell>
          <cell r="H4262" t="str">
            <v>结转本月制造费用</v>
          </cell>
          <cell r="I4262" t="b">
            <v>0</v>
          </cell>
          <cell r="J4262">
            <v>940</v>
          </cell>
          <cell r="K4262">
            <v>0</v>
          </cell>
          <cell r="L4262">
            <v>0</v>
          </cell>
        </row>
        <row r="4263">
          <cell r="A4263" t="str">
            <v>02</v>
          </cell>
          <cell r="B4263" t="str">
            <v>29</v>
          </cell>
          <cell r="C4263" t="str">
            <v>02</v>
          </cell>
          <cell r="D4263" t="str">
            <v>5</v>
          </cell>
          <cell r="E4263" t="str">
            <v>0042</v>
          </cell>
          <cell r="F4263" t="str">
            <v>0044</v>
          </cell>
          <cell r="G4263" t="str">
            <v>40513</v>
          </cell>
          <cell r="H4263" t="str">
            <v>结转本月制造费用</v>
          </cell>
          <cell r="I4263" t="b">
            <v>0</v>
          </cell>
          <cell r="J4263">
            <v>6166</v>
          </cell>
          <cell r="K4263">
            <v>0</v>
          </cell>
          <cell r="L4263">
            <v>0</v>
          </cell>
        </row>
        <row r="4264">
          <cell r="A4264" t="str">
            <v>02</v>
          </cell>
          <cell r="B4264" t="str">
            <v>29</v>
          </cell>
          <cell r="C4264" t="str">
            <v>02</v>
          </cell>
          <cell r="D4264" t="str">
            <v>5</v>
          </cell>
          <cell r="E4264" t="str">
            <v>0042</v>
          </cell>
          <cell r="F4264" t="str">
            <v>0059</v>
          </cell>
          <cell r="G4264" t="str">
            <v>40513</v>
          </cell>
          <cell r="H4264" t="str">
            <v>结转本月制造费用</v>
          </cell>
          <cell r="I4264" t="b">
            <v>1</v>
          </cell>
          <cell r="J4264">
            <v>23883.7</v>
          </cell>
          <cell r="K4264">
            <v>0</v>
          </cell>
          <cell r="L4264">
            <v>0</v>
          </cell>
        </row>
        <row r="4265">
          <cell r="A4265" t="str">
            <v>03</v>
          </cell>
          <cell r="B4265" t="str">
            <v>02</v>
          </cell>
          <cell r="C4265" t="str">
            <v>03</v>
          </cell>
          <cell r="D4265" t="str">
            <v>2</v>
          </cell>
          <cell r="E4265" t="str">
            <v>0002</v>
          </cell>
          <cell r="F4265" t="str">
            <v>0001</v>
          </cell>
          <cell r="G4265" t="str">
            <v>40513</v>
          </cell>
          <cell r="H4265" t="str">
            <v>付招待费</v>
          </cell>
          <cell r="I4265" t="b">
            <v>1</v>
          </cell>
          <cell r="J4265">
            <v>2095</v>
          </cell>
          <cell r="K4265">
            <v>0</v>
          </cell>
          <cell r="L4265">
            <v>0</v>
          </cell>
        </row>
        <row r="4266">
          <cell r="A4266" t="str">
            <v>03</v>
          </cell>
          <cell r="B4266" t="str">
            <v>10</v>
          </cell>
          <cell r="C4266" t="str">
            <v>03</v>
          </cell>
          <cell r="D4266" t="str">
            <v>2</v>
          </cell>
          <cell r="E4266" t="str">
            <v>0006</v>
          </cell>
          <cell r="F4266" t="str">
            <v>0001</v>
          </cell>
          <cell r="G4266" t="str">
            <v>40513</v>
          </cell>
          <cell r="H4266" t="str">
            <v>付招待费</v>
          </cell>
          <cell r="I4266" t="b">
            <v>1</v>
          </cell>
          <cell r="J4266">
            <v>718.5</v>
          </cell>
          <cell r="K4266">
            <v>0</v>
          </cell>
          <cell r="L4266">
            <v>0</v>
          </cell>
        </row>
        <row r="4267">
          <cell r="A4267" t="str">
            <v>03</v>
          </cell>
          <cell r="B4267" t="str">
            <v>10</v>
          </cell>
          <cell r="C4267" t="str">
            <v>03</v>
          </cell>
          <cell r="D4267" t="str">
            <v>2</v>
          </cell>
          <cell r="E4267" t="str">
            <v>0008</v>
          </cell>
          <cell r="F4267" t="str">
            <v>0001</v>
          </cell>
          <cell r="G4267" t="str">
            <v>40513</v>
          </cell>
          <cell r="H4267" t="str">
            <v>付招待费</v>
          </cell>
          <cell r="I4267" t="b">
            <v>1</v>
          </cell>
          <cell r="J4267">
            <v>150</v>
          </cell>
          <cell r="K4267">
            <v>0</v>
          </cell>
          <cell r="L4267">
            <v>0</v>
          </cell>
        </row>
        <row r="4268">
          <cell r="A4268" t="str">
            <v>03</v>
          </cell>
          <cell r="B4268" t="str">
            <v>10</v>
          </cell>
          <cell r="C4268" t="str">
            <v>03</v>
          </cell>
          <cell r="D4268" t="str">
            <v>2</v>
          </cell>
          <cell r="E4268" t="str">
            <v>0009</v>
          </cell>
          <cell r="F4268" t="str">
            <v>0003</v>
          </cell>
          <cell r="G4268" t="str">
            <v>40513</v>
          </cell>
          <cell r="H4268" t="str">
            <v>付招待费</v>
          </cell>
          <cell r="I4268" t="b">
            <v>1</v>
          </cell>
          <cell r="J4268">
            <v>1173</v>
          </cell>
          <cell r="K4268">
            <v>0</v>
          </cell>
          <cell r="L4268">
            <v>0</v>
          </cell>
        </row>
        <row r="4269">
          <cell r="A4269" t="str">
            <v>03</v>
          </cell>
          <cell r="B4269" t="str">
            <v>20</v>
          </cell>
          <cell r="C4269" t="str">
            <v>03</v>
          </cell>
          <cell r="D4269" t="str">
            <v>2</v>
          </cell>
          <cell r="E4269" t="str">
            <v>0018</v>
          </cell>
          <cell r="F4269" t="str">
            <v>0001</v>
          </cell>
          <cell r="G4269" t="str">
            <v>40513</v>
          </cell>
          <cell r="H4269" t="str">
            <v>付招待费</v>
          </cell>
          <cell r="I4269" t="b">
            <v>1</v>
          </cell>
          <cell r="J4269">
            <v>2142</v>
          </cell>
          <cell r="K4269">
            <v>0</v>
          </cell>
          <cell r="L4269">
            <v>0</v>
          </cell>
        </row>
        <row r="4270">
          <cell r="A4270" t="str">
            <v>03</v>
          </cell>
          <cell r="B4270" t="str">
            <v>20</v>
          </cell>
          <cell r="C4270" t="str">
            <v>03</v>
          </cell>
          <cell r="D4270" t="str">
            <v>2</v>
          </cell>
          <cell r="E4270" t="str">
            <v>0018</v>
          </cell>
          <cell r="F4270" t="str">
            <v>0004</v>
          </cell>
          <cell r="G4270" t="str">
            <v>40513</v>
          </cell>
          <cell r="H4270" t="str">
            <v>付一部招待费</v>
          </cell>
          <cell r="I4270" t="b">
            <v>1</v>
          </cell>
          <cell r="J4270">
            <v>323</v>
          </cell>
          <cell r="K4270">
            <v>0</v>
          </cell>
          <cell r="L4270">
            <v>0</v>
          </cell>
        </row>
        <row r="4271">
          <cell r="A4271" t="str">
            <v>03</v>
          </cell>
          <cell r="B4271" t="str">
            <v>27</v>
          </cell>
          <cell r="C4271" t="str">
            <v>03</v>
          </cell>
          <cell r="D4271" t="str">
            <v>5</v>
          </cell>
          <cell r="E4271" t="str">
            <v>0005</v>
          </cell>
          <cell r="F4271" t="str">
            <v>0002</v>
          </cell>
          <cell r="G4271" t="str">
            <v>40513</v>
          </cell>
          <cell r="H4271" t="str">
            <v>转1-2月份餐费</v>
          </cell>
          <cell r="I4271" t="b">
            <v>1</v>
          </cell>
          <cell r="J4271">
            <v>1526.2</v>
          </cell>
          <cell r="K4271">
            <v>0</v>
          </cell>
          <cell r="L4271">
            <v>0</v>
          </cell>
        </row>
        <row r="4272">
          <cell r="A4272" t="str">
            <v>03</v>
          </cell>
          <cell r="B4272" t="str">
            <v>27</v>
          </cell>
          <cell r="C4272" t="str">
            <v>03</v>
          </cell>
          <cell r="D4272" t="str">
            <v>5</v>
          </cell>
          <cell r="E4272" t="str">
            <v>0005</v>
          </cell>
          <cell r="F4272" t="str">
            <v>0003</v>
          </cell>
          <cell r="G4272" t="str">
            <v>40513</v>
          </cell>
          <cell r="H4272" t="str">
            <v>转1-2月份餐费</v>
          </cell>
          <cell r="I4272" t="b">
            <v>1</v>
          </cell>
          <cell r="J4272">
            <v>327.2</v>
          </cell>
          <cell r="K4272">
            <v>0</v>
          </cell>
          <cell r="L4272">
            <v>0</v>
          </cell>
        </row>
        <row r="4273">
          <cell r="A4273" t="str">
            <v>03</v>
          </cell>
          <cell r="B4273" t="str">
            <v>27</v>
          </cell>
          <cell r="C4273" t="str">
            <v>03</v>
          </cell>
          <cell r="D4273" t="str">
            <v>5</v>
          </cell>
          <cell r="E4273" t="str">
            <v>0005</v>
          </cell>
          <cell r="F4273" t="str">
            <v>0004</v>
          </cell>
          <cell r="G4273" t="str">
            <v>40513</v>
          </cell>
          <cell r="H4273" t="str">
            <v>转1-2月份餐费</v>
          </cell>
          <cell r="I4273" t="b">
            <v>1</v>
          </cell>
          <cell r="J4273">
            <v>689.7</v>
          </cell>
          <cell r="K4273">
            <v>0</v>
          </cell>
          <cell r="L4273">
            <v>0</v>
          </cell>
        </row>
        <row r="4274">
          <cell r="A4274" t="str">
            <v>03</v>
          </cell>
          <cell r="B4274" t="str">
            <v>27</v>
          </cell>
          <cell r="C4274" t="str">
            <v>03</v>
          </cell>
          <cell r="D4274" t="str">
            <v>5</v>
          </cell>
          <cell r="E4274" t="str">
            <v>0005</v>
          </cell>
          <cell r="F4274" t="str">
            <v>0005</v>
          </cell>
          <cell r="G4274" t="str">
            <v>40513</v>
          </cell>
          <cell r="H4274" t="str">
            <v>转1-2月份餐费</v>
          </cell>
          <cell r="I4274" t="b">
            <v>1</v>
          </cell>
          <cell r="J4274">
            <v>1019.6</v>
          </cell>
          <cell r="K4274">
            <v>0</v>
          </cell>
          <cell r="L4274">
            <v>0</v>
          </cell>
        </row>
        <row r="4275">
          <cell r="A4275" t="str">
            <v>03</v>
          </cell>
          <cell r="B4275" t="str">
            <v>27</v>
          </cell>
          <cell r="C4275" t="str">
            <v>03</v>
          </cell>
          <cell r="D4275" t="str">
            <v>5</v>
          </cell>
          <cell r="E4275" t="str">
            <v>0005</v>
          </cell>
          <cell r="F4275" t="str">
            <v>0006</v>
          </cell>
          <cell r="G4275" t="str">
            <v>40513</v>
          </cell>
          <cell r="H4275" t="str">
            <v>转1-2月份餐费</v>
          </cell>
          <cell r="I4275" t="b">
            <v>1</v>
          </cell>
          <cell r="J4275">
            <v>512.1</v>
          </cell>
          <cell r="K4275">
            <v>0</v>
          </cell>
          <cell r="L4275">
            <v>0</v>
          </cell>
        </row>
        <row r="4276">
          <cell r="A4276" t="str">
            <v>03</v>
          </cell>
          <cell r="B4276" t="str">
            <v>27</v>
          </cell>
          <cell r="C4276" t="str">
            <v>03</v>
          </cell>
          <cell r="D4276" t="str">
            <v>5</v>
          </cell>
          <cell r="E4276" t="str">
            <v>0005</v>
          </cell>
          <cell r="F4276" t="str">
            <v>0007</v>
          </cell>
          <cell r="G4276" t="str">
            <v>40513</v>
          </cell>
          <cell r="H4276" t="str">
            <v>转1-2月份餐费</v>
          </cell>
          <cell r="I4276" t="b">
            <v>1</v>
          </cell>
          <cell r="J4276">
            <v>721.8</v>
          </cell>
          <cell r="K4276">
            <v>0</v>
          </cell>
          <cell r="L4276">
            <v>0</v>
          </cell>
        </row>
        <row r="4277">
          <cell r="A4277" t="str">
            <v>03</v>
          </cell>
          <cell r="B4277" t="str">
            <v>27</v>
          </cell>
          <cell r="C4277" t="str">
            <v>03</v>
          </cell>
          <cell r="D4277" t="str">
            <v>5</v>
          </cell>
          <cell r="E4277" t="str">
            <v>0005</v>
          </cell>
          <cell r="F4277" t="str">
            <v>0008</v>
          </cell>
          <cell r="G4277" t="str">
            <v>40513</v>
          </cell>
          <cell r="H4277" t="str">
            <v>转1-2月份餐费</v>
          </cell>
          <cell r="I4277" t="b">
            <v>1</v>
          </cell>
          <cell r="J4277">
            <v>1311.9</v>
          </cell>
          <cell r="K4277">
            <v>0</v>
          </cell>
          <cell r="L4277">
            <v>0</v>
          </cell>
        </row>
        <row r="4278">
          <cell r="A4278" t="str">
            <v>03</v>
          </cell>
          <cell r="B4278" t="str">
            <v>27</v>
          </cell>
          <cell r="C4278" t="str">
            <v>03</v>
          </cell>
          <cell r="D4278" t="str">
            <v>5</v>
          </cell>
          <cell r="E4278" t="str">
            <v>0005</v>
          </cell>
          <cell r="F4278" t="str">
            <v>0009</v>
          </cell>
          <cell r="G4278" t="str">
            <v>40513</v>
          </cell>
          <cell r="H4278" t="str">
            <v>转1-2月份餐费</v>
          </cell>
          <cell r="I4278" t="b">
            <v>1</v>
          </cell>
          <cell r="J4278">
            <v>964</v>
          </cell>
          <cell r="K4278">
            <v>0</v>
          </cell>
          <cell r="L4278">
            <v>0</v>
          </cell>
        </row>
        <row r="4279">
          <cell r="A4279" t="str">
            <v>03</v>
          </cell>
          <cell r="B4279" t="str">
            <v>27</v>
          </cell>
          <cell r="C4279" t="str">
            <v>03</v>
          </cell>
          <cell r="D4279" t="str">
            <v>5</v>
          </cell>
          <cell r="E4279" t="str">
            <v>0005</v>
          </cell>
          <cell r="F4279" t="str">
            <v>0010</v>
          </cell>
          <cell r="G4279" t="str">
            <v>40513</v>
          </cell>
          <cell r="H4279" t="str">
            <v>转1-2月份餐费</v>
          </cell>
          <cell r="I4279" t="b">
            <v>1</v>
          </cell>
          <cell r="J4279">
            <v>833.5</v>
          </cell>
          <cell r="K4279">
            <v>0</v>
          </cell>
          <cell r="L4279">
            <v>0</v>
          </cell>
        </row>
        <row r="4280">
          <cell r="A4280" t="str">
            <v>03</v>
          </cell>
          <cell r="B4280" t="str">
            <v>27</v>
          </cell>
          <cell r="C4280" t="str">
            <v>03</v>
          </cell>
          <cell r="D4280" t="str">
            <v>5</v>
          </cell>
          <cell r="E4280" t="str">
            <v>0005</v>
          </cell>
          <cell r="F4280" t="str">
            <v>0011</v>
          </cell>
          <cell r="G4280" t="str">
            <v>40513</v>
          </cell>
          <cell r="H4280" t="str">
            <v>转1-2月份餐费</v>
          </cell>
          <cell r="I4280" t="b">
            <v>1</v>
          </cell>
          <cell r="J4280">
            <v>3325.5</v>
          </cell>
          <cell r="K4280">
            <v>0</v>
          </cell>
          <cell r="L4280">
            <v>0</v>
          </cell>
        </row>
        <row r="4281">
          <cell r="A4281" t="str">
            <v>03</v>
          </cell>
          <cell r="B4281" t="str">
            <v>27</v>
          </cell>
          <cell r="C4281" t="str">
            <v>03</v>
          </cell>
          <cell r="D4281" t="str">
            <v>5</v>
          </cell>
          <cell r="E4281" t="str">
            <v>0005</v>
          </cell>
          <cell r="F4281" t="str">
            <v>0012</v>
          </cell>
          <cell r="G4281" t="str">
            <v>40513</v>
          </cell>
          <cell r="H4281" t="str">
            <v>转1-2月份餐费</v>
          </cell>
          <cell r="I4281" t="b">
            <v>1</v>
          </cell>
          <cell r="J4281">
            <v>2030.4</v>
          </cell>
          <cell r="K4281">
            <v>0</v>
          </cell>
          <cell r="L4281">
            <v>0</v>
          </cell>
        </row>
        <row r="4282">
          <cell r="A4282" t="str">
            <v>03</v>
          </cell>
          <cell r="B4282" t="str">
            <v>30</v>
          </cell>
          <cell r="C4282" t="str">
            <v>03</v>
          </cell>
          <cell r="D4282" t="str">
            <v>5</v>
          </cell>
          <cell r="E4282" t="str">
            <v>0024</v>
          </cell>
          <cell r="F4282" t="str">
            <v>0012</v>
          </cell>
          <cell r="G4282" t="str">
            <v>40513</v>
          </cell>
          <cell r="H4282" t="str">
            <v>转本月共同制造费用</v>
          </cell>
          <cell r="I4282" t="b">
            <v>1</v>
          </cell>
          <cell r="J4282">
            <v>-19863.400000000001</v>
          </cell>
          <cell r="K4282">
            <v>0</v>
          </cell>
          <cell r="L4282">
            <v>0</v>
          </cell>
        </row>
        <row r="4283">
          <cell r="A4283" t="str">
            <v>03</v>
          </cell>
          <cell r="B4283" t="str">
            <v>30</v>
          </cell>
          <cell r="C4283" t="str">
            <v>03</v>
          </cell>
          <cell r="D4283" t="str">
            <v>5</v>
          </cell>
          <cell r="E4283" t="str">
            <v>0025</v>
          </cell>
          <cell r="F4283" t="str">
            <v>0017</v>
          </cell>
          <cell r="G4283" t="str">
            <v>40513</v>
          </cell>
          <cell r="H4283" t="str">
            <v>结转本月制造费用</v>
          </cell>
          <cell r="I4283" t="b">
            <v>0</v>
          </cell>
          <cell r="J4283">
            <v>4125.3999999999996</v>
          </cell>
          <cell r="K4283">
            <v>0</v>
          </cell>
          <cell r="L4283">
            <v>0</v>
          </cell>
        </row>
        <row r="4284">
          <cell r="A4284" t="str">
            <v>03</v>
          </cell>
          <cell r="B4284" t="str">
            <v>30</v>
          </cell>
          <cell r="C4284" t="str">
            <v>03</v>
          </cell>
          <cell r="D4284" t="str">
            <v>5</v>
          </cell>
          <cell r="E4284" t="str">
            <v>0025</v>
          </cell>
          <cell r="F4284" t="str">
            <v>0018</v>
          </cell>
          <cell r="G4284" t="str">
            <v>40513</v>
          </cell>
          <cell r="H4284" t="str">
            <v>结转本月制造费用</v>
          </cell>
          <cell r="I4284" t="b">
            <v>0</v>
          </cell>
          <cell r="J4284">
            <v>964</v>
          </cell>
          <cell r="K4284">
            <v>0</v>
          </cell>
          <cell r="L4284">
            <v>0</v>
          </cell>
        </row>
        <row r="4285">
          <cell r="A4285" t="str">
            <v>03</v>
          </cell>
          <cell r="B4285" t="str">
            <v>30</v>
          </cell>
          <cell r="C4285" t="str">
            <v>03</v>
          </cell>
          <cell r="D4285" t="str">
            <v>5</v>
          </cell>
          <cell r="E4285" t="str">
            <v>0025</v>
          </cell>
          <cell r="F4285" t="str">
            <v>0019</v>
          </cell>
          <cell r="G4285" t="str">
            <v>40513</v>
          </cell>
          <cell r="H4285" t="str">
            <v>结转本月制造费用</v>
          </cell>
          <cell r="I4285" t="b">
            <v>0</v>
          </cell>
          <cell r="J4285">
            <v>4386.7</v>
          </cell>
          <cell r="K4285">
            <v>0</v>
          </cell>
          <cell r="L4285">
            <v>0</v>
          </cell>
        </row>
        <row r="4286">
          <cell r="A4286" t="str">
            <v>03</v>
          </cell>
          <cell r="B4286" t="str">
            <v>30</v>
          </cell>
          <cell r="C4286" t="str">
            <v>03</v>
          </cell>
          <cell r="D4286" t="str">
            <v>5</v>
          </cell>
          <cell r="E4286" t="str">
            <v>0025</v>
          </cell>
          <cell r="F4286" t="str">
            <v>0020</v>
          </cell>
          <cell r="G4286" t="str">
            <v>40513</v>
          </cell>
          <cell r="H4286" t="str">
            <v>结转本月制造费用</v>
          </cell>
          <cell r="I4286" t="b">
            <v>0</v>
          </cell>
          <cell r="J4286">
            <v>4821.5</v>
          </cell>
          <cell r="K4286">
            <v>0</v>
          </cell>
          <cell r="L4286">
            <v>0</v>
          </cell>
        </row>
        <row r="4287">
          <cell r="A4287" t="str">
            <v>03</v>
          </cell>
          <cell r="B4287" t="str">
            <v>30</v>
          </cell>
          <cell r="C4287" t="str">
            <v>03</v>
          </cell>
          <cell r="D4287" t="str">
            <v>5</v>
          </cell>
          <cell r="E4287" t="str">
            <v>0025</v>
          </cell>
          <cell r="F4287" t="str">
            <v>0021</v>
          </cell>
          <cell r="G4287" t="str">
            <v>40513</v>
          </cell>
          <cell r="H4287" t="str">
            <v>结转本月制造费用</v>
          </cell>
          <cell r="I4287" t="b">
            <v>0</v>
          </cell>
          <cell r="J4287">
            <v>833.5</v>
          </cell>
          <cell r="K4287">
            <v>0</v>
          </cell>
          <cell r="L4287">
            <v>0</v>
          </cell>
        </row>
        <row r="4288">
          <cell r="A4288" t="str">
            <v>03</v>
          </cell>
          <cell r="B4288" t="str">
            <v>30</v>
          </cell>
          <cell r="C4288" t="str">
            <v>03</v>
          </cell>
          <cell r="D4288" t="str">
            <v>5</v>
          </cell>
          <cell r="E4288" t="str">
            <v>0025</v>
          </cell>
          <cell r="F4288" t="str">
            <v>0022</v>
          </cell>
          <cell r="G4288" t="str">
            <v>40513</v>
          </cell>
          <cell r="H4288" t="str">
            <v>结转本月制造费用</v>
          </cell>
          <cell r="I4288" t="b">
            <v>0</v>
          </cell>
          <cell r="J4288">
            <v>1461.9</v>
          </cell>
          <cell r="K4288">
            <v>0</v>
          </cell>
          <cell r="L4288">
            <v>0</v>
          </cell>
        </row>
        <row r="4289">
          <cell r="A4289" t="str">
            <v>03</v>
          </cell>
          <cell r="B4289" t="str">
            <v>30</v>
          </cell>
          <cell r="C4289" t="str">
            <v>03</v>
          </cell>
          <cell r="D4289" t="str">
            <v>5</v>
          </cell>
          <cell r="E4289" t="str">
            <v>0025</v>
          </cell>
          <cell r="F4289" t="str">
            <v>0023</v>
          </cell>
          <cell r="G4289" t="str">
            <v>40513</v>
          </cell>
          <cell r="H4289" t="str">
            <v>结转本月制造费用</v>
          </cell>
          <cell r="I4289" t="b">
            <v>0</v>
          </cell>
          <cell r="J4289">
            <v>1019.6</v>
          </cell>
          <cell r="K4289">
            <v>0</v>
          </cell>
          <cell r="L4289">
            <v>0</v>
          </cell>
        </row>
        <row r="4290">
          <cell r="A4290" t="str">
            <v>03</v>
          </cell>
          <cell r="B4290" t="str">
            <v>30</v>
          </cell>
          <cell r="C4290" t="str">
            <v>03</v>
          </cell>
          <cell r="D4290" t="str">
            <v>5</v>
          </cell>
          <cell r="E4290" t="str">
            <v>0025</v>
          </cell>
          <cell r="F4290" t="str">
            <v>0024</v>
          </cell>
          <cell r="G4290" t="str">
            <v>40513</v>
          </cell>
          <cell r="H4290" t="str">
            <v>结转本月制造费用</v>
          </cell>
          <cell r="I4290" t="b">
            <v>0</v>
          </cell>
          <cell r="J4290">
            <v>327.2</v>
          </cell>
          <cell r="K4290">
            <v>0</v>
          </cell>
          <cell r="L4290">
            <v>0</v>
          </cell>
        </row>
        <row r="4291">
          <cell r="A4291" t="str">
            <v>03</v>
          </cell>
          <cell r="B4291" t="str">
            <v>30</v>
          </cell>
          <cell r="C4291" t="str">
            <v>03</v>
          </cell>
          <cell r="D4291" t="str">
            <v>5</v>
          </cell>
          <cell r="E4291" t="str">
            <v>0025</v>
          </cell>
          <cell r="F4291" t="str">
            <v>0025</v>
          </cell>
          <cell r="G4291" t="str">
            <v>40513</v>
          </cell>
          <cell r="H4291" t="str">
            <v>结转本月制造费用</v>
          </cell>
          <cell r="I4291" t="b">
            <v>0</v>
          </cell>
          <cell r="J4291">
            <v>512.1</v>
          </cell>
          <cell r="K4291">
            <v>0</v>
          </cell>
          <cell r="L4291">
            <v>0</v>
          </cell>
        </row>
        <row r="4292">
          <cell r="A4292" t="str">
            <v>03</v>
          </cell>
          <cell r="B4292" t="str">
            <v>30</v>
          </cell>
          <cell r="C4292" t="str">
            <v>03</v>
          </cell>
          <cell r="D4292" t="str">
            <v>5</v>
          </cell>
          <cell r="E4292" t="str">
            <v>0025</v>
          </cell>
          <cell r="F4292" t="str">
            <v>0026</v>
          </cell>
          <cell r="G4292" t="str">
            <v>40513</v>
          </cell>
          <cell r="H4292" t="str">
            <v>结转本月制造费用</v>
          </cell>
          <cell r="I4292" t="b">
            <v>0</v>
          </cell>
          <cell r="J4292">
            <v>689.7</v>
          </cell>
          <cell r="K4292">
            <v>0</v>
          </cell>
          <cell r="L4292">
            <v>0</v>
          </cell>
        </row>
        <row r="4293">
          <cell r="A4293" t="str">
            <v>03</v>
          </cell>
          <cell r="B4293" t="str">
            <v>30</v>
          </cell>
          <cell r="C4293" t="str">
            <v>03</v>
          </cell>
          <cell r="D4293" t="str">
            <v>5</v>
          </cell>
          <cell r="E4293" t="str">
            <v>0025</v>
          </cell>
          <cell r="F4293" t="str">
            <v>0027</v>
          </cell>
          <cell r="G4293" t="str">
            <v>40513</v>
          </cell>
          <cell r="H4293" t="str">
            <v>结转本月制造费用</v>
          </cell>
          <cell r="I4293" t="b">
            <v>0</v>
          </cell>
          <cell r="J4293">
            <v>721.8</v>
          </cell>
          <cell r="K4293">
            <v>0</v>
          </cell>
          <cell r="L4293">
            <v>0</v>
          </cell>
        </row>
        <row r="4294">
          <cell r="A4294" t="str">
            <v>03</v>
          </cell>
          <cell r="B4294" t="str">
            <v>30</v>
          </cell>
          <cell r="C4294" t="str">
            <v>03</v>
          </cell>
          <cell r="D4294" t="str">
            <v>5</v>
          </cell>
          <cell r="E4294" t="str">
            <v>0025</v>
          </cell>
          <cell r="F4294" t="str">
            <v>0039</v>
          </cell>
          <cell r="G4294" t="str">
            <v>40513</v>
          </cell>
          <cell r="H4294" t="str">
            <v>结转本月制造费用</v>
          </cell>
          <cell r="I4294" t="b">
            <v>1</v>
          </cell>
          <cell r="J4294">
            <v>19863.400000000001</v>
          </cell>
          <cell r="K4294">
            <v>0</v>
          </cell>
          <cell r="L4294">
            <v>0</v>
          </cell>
        </row>
        <row r="4295">
          <cell r="A4295" t="str">
            <v>04</v>
          </cell>
          <cell r="B4295" t="str">
            <v>01</v>
          </cell>
          <cell r="C4295" t="str">
            <v>04</v>
          </cell>
          <cell r="D4295" t="str">
            <v>2</v>
          </cell>
          <cell r="E4295" t="str">
            <v>0001</v>
          </cell>
          <cell r="F4295" t="str">
            <v>0003</v>
          </cell>
          <cell r="G4295" t="str">
            <v>40513</v>
          </cell>
          <cell r="H4295" t="str">
            <v>付饭费</v>
          </cell>
          <cell r="I4295" t="b">
            <v>1</v>
          </cell>
          <cell r="J4295">
            <v>250</v>
          </cell>
          <cell r="K4295">
            <v>0</v>
          </cell>
          <cell r="L4295">
            <v>0</v>
          </cell>
        </row>
        <row r="4296">
          <cell r="A4296" t="str">
            <v>04</v>
          </cell>
          <cell r="B4296" t="str">
            <v>05</v>
          </cell>
          <cell r="C4296" t="str">
            <v>04</v>
          </cell>
          <cell r="D4296" t="str">
            <v>2</v>
          </cell>
          <cell r="E4296" t="str">
            <v>0003</v>
          </cell>
          <cell r="F4296" t="str">
            <v>0002</v>
          </cell>
          <cell r="G4296" t="str">
            <v>40513</v>
          </cell>
          <cell r="H4296" t="str">
            <v>付招待费</v>
          </cell>
          <cell r="I4296" t="b">
            <v>1</v>
          </cell>
          <cell r="J4296">
            <v>1106</v>
          </cell>
          <cell r="K4296">
            <v>0</v>
          </cell>
          <cell r="L4296">
            <v>0</v>
          </cell>
        </row>
        <row r="4297">
          <cell r="A4297" t="str">
            <v>04</v>
          </cell>
          <cell r="B4297" t="str">
            <v>25</v>
          </cell>
          <cell r="C4297" t="str">
            <v>04</v>
          </cell>
          <cell r="D4297" t="str">
            <v>5</v>
          </cell>
          <cell r="E4297" t="str">
            <v>0020</v>
          </cell>
          <cell r="F4297" t="str">
            <v>0012</v>
          </cell>
          <cell r="G4297" t="str">
            <v>40513</v>
          </cell>
          <cell r="H4297" t="str">
            <v>转本月共同制造费用</v>
          </cell>
          <cell r="I4297" t="b">
            <v>1</v>
          </cell>
          <cell r="J4297">
            <v>-1356</v>
          </cell>
          <cell r="K4297">
            <v>0</v>
          </cell>
          <cell r="L4297">
            <v>0</v>
          </cell>
        </row>
        <row r="4298">
          <cell r="A4298" t="str">
            <v>04</v>
          </cell>
          <cell r="B4298" t="str">
            <v>25</v>
          </cell>
          <cell r="C4298" t="str">
            <v>04</v>
          </cell>
          <cell r="D4298" t="str">
            <v>5</v>
          </cell>
          <cell r="E4298" t="str">
            <v>0021</v>
          </cell>
          <cell r="F4298" t="str">
            <v>0029</v>
          </cell>
          <cell r="G4298" t="str">
            <v>40513</v>
          </cell>
          <cell r="H4298" t="str">
            <v>结转本月制造费用</v>
          </cell>
          <cell r="I4298" t="b">
            <v>0</v>
          </cell>
          <cell r="J4298">
            <v>1106</v>
          </cell>
          <cell r="K4298">
            <v>0</v>
          </cell>
          <cell r="L4298">
            <v>0</v>
          </cell>
        </row>
        <row r="4299">
          <cell r="A4299" t="str">
            <v>04</v>
          </cell>
          <cell r="B4299" t="str">
            <v>25</v>
          </cell>
          <cell r="C4299" t="str">
            <v>04</v>
          </cell>
          <cell r="D4299" t="str">
            <v>5</v>
          </cell>
          <cell r="E4299" t="str">
            <v>0021</v>
          </cell>
          <cell r="F4299" t="str">
            <v>0030</v>
          </cell>
          <cell r="G4299" t="str">
            <v>40513</v>
          </cell>
          <cell r="H4299" t="str">
            <v>结转本月制造费用</v>
          </cell>
          <cell r="I4299" t="b">
            <v>0</v>
          </cell>
          <cell r="J4299">
            <v>250</v>
          </cell>
          <cell r="K4299">
            <v>0</v>
          </cell>
          <cell r="L4299">
            <v>0</v>
          </cell>
        </row>
        <row r="4300">
          <cell r="A4300" t="str">
            <v>04</v>
          </cell>
          <cell r="B4300" t="str">
            <v>25</v>
          </cell>
          <cell r="C4300" t="str">
            <v>04</v>
          </cell>
          <cell r="D4300" t="str">
            <v>5</v>
          </cell>
          <cell r="E4300" t="str">
            <v>0021</v>
          </cell>
          <cell r="F4300" t="str">
            <v>0042</v>
          </cell>
          <cell r="G4300" t="str">
            <v>40513</v>
          </cell>
          <cell r="H4300" t="str">
            <v>结转本月制造费用</v>
          </cell>
          <cell r="I4300" t="b">
            <v>1</v>
          </cell>
          <cell r="J4300">
            <v>1356</v>
          </cell>
          <cell r="K4300">
            <v>0</v>
          </cell>
          <cell r="L4300">
            <v>0</v>
          </cell>
        </row>
        <row r="4301">
          <cell r="A4301" t="str">
            <v>05</v>
          </cell>
          <cell r="B4301" t="str">
            <v>15</v>
          </cell>
          <cell r="C4301" t="str">
            <v>05</v>
          </cell>
          <cell r="D4301" t="str">
            <v>2</v>
          </cell>
          <cell r="E4301" t="str">
            <v>0005</v>
          </cell>
          <cell r="F4301" t="str">
            <v>0002</v>
          </cell>
          <cell r="G4301" t="str">
            <v>40513</v>
          </cell>
          <cell r="H4301" t="str">
            <v>付招待费</v>
          </cell>
          <cell r="I4301" t="b">
            <v>1</v>
          </cell>
          <cell r="J4301">
            <v>50</v>
          </cell>
          <cell r="K4301">
            <v>0</v>
          </cell>
          <cell r="L4301">
            <v>0</v>
          </cell>
        </row>
        <row r="4302">
          <cell r="A4302" t="str">
            <v>05</v>
          </cell>
          <cell r="B4302" t="str">
            <v>15</v>
          </cell>
          <cell r="C4302" t="str">
            <v>05</v>
          </cell>
          <cell r="D4302" t="str">
            <v>2</v>
          </cell>
          <cell r="E4302" t="str">
            <v>0006</v>
          </cell>
          <cell r="F4302" t="str">
            <v>0001</v>
          </cell>
          <cell r="G4302" t="str">
            <v>40513</v>
          </cell>
          <cell r="H4302" t="str">
            <v>付招待费</v>
          </cell>
          <cell r="I4302" t="b">
            <v>1</v>
          </cell>
          <cell r="J4302">
            <v>4469</v>
          </cell>
          <cell r="K4302">
            <v>0</v>
          </cell>
          <cell r="L4302">
            <v>0</v>
          </cell>
        </row>
        <row r="4303">
          <cell r="A4303" t="str">
            <v>05</v>
          </cell>
          <cell r="B4303" t="str">
            <v>18</v>
          </cell>
          <cell r="C4303" t="str">
            <v>05</v>
          </cell>
          <cell r="D4303" t="str">
            <v>2</v>
          </cell>
          <cell r="E4303" t="str">
            <v>0007</v>
          </cell>
          <cell r="F4303" t="str">
            <v>0001</v>
          </cell>
          <cell r="G4303" t="str">
            <v>40513</v>
          </cell>
          <cell r="H4303" t="str">
            <v>付招待费</v>
          </cell>
          <cell r="I4303" t="b">
            <v>1</v>
          </cell>
          <cell r="J4303">
            <v>565</v>
          </cell>
          <cell r="K4303">
            <v>0</v>
          </cell>
          <cell r="L4303">
            <v>0</v>
          </cell>
        </row>
        <row r="4304">
          <cell r="A4304" t="str">
            <v>05</v>
          </cell>
          <cell r="B4304" t="str">
            <v>18</v>
          </cell>
          <cell r="C4304" t="str">
            <v>05</v>
          </cell>
          <cell r="D4304" t="str">
            <v>2</v>
          </cell>
          <cell r="E4304" t="str">
            <v>0008</v>
          </cell>
          <cell r="F4304" t="str">
            <v>0001</v>
          </cell>
          <cell r="G4304" t="str">
            <v>40513</v>
          </cell>
          <cell r="H4304" t="str">
            <v>付招待费</v>
          </cell>
          <cell r="I4304" t="b">
            <v>1</v>
          </cell>
          <cell r="J4304">
            <v>200</v>
          </cell>
          <cell r="K4304">
            <v>0</v>
          </cell>
          <cell r="L4304">
            <v>0</v>
          </cell>
        </row>
        <row r="4305">
          <cell r="A4305" t="str">
            <v>05</v>
          </cell>
          <cell r="B4305" t="str">
            <v>18</v>
          </cell>
          <cell r="C4305" t="str">
            <v>05</v>
          </cell>
          <cell r="D4305" t="str">
            <v>2</v>
          </cell>
          <cell r="E4305" t="str">
            <v>0010</v>
          </cell>
          <cell r="F4305" t="str">
            <v>0002</v>
          </cell>
          <cell r="G4305" t="str">
            <v>40513</v>
          </cell>
          <cell r="H4305" t="str">
            <v>付招待费</v>
          </cell>
          <cell r="I4305" t="b">
            <v>1</v>
          </cell>
          <cell r="J4305">
            <v>3886</v>
          </cell>
          <cell r="K4305">
            <v>0</v>
          </cell>
          <cell r="L4305">
            <v>0</v>
          </cell>
        </row>
        <row r="4306">
          <cell r="A4306" t="str">
            <v>05</v>
          </cell>
          <cell r="B4306" t="str">
            <v>19</v>
          </cell>
          <cell r="C4306" t="str">
            <v>05</v>
          </cell>
          <cell r="D4306" t="str">
            <v>2</v>
          </cell>
          <cell r="E4306" t="str">
            <v>0011</v>
          </cell>
          <cell r="F4306" t="str">
            <v>0001</v>
          </cell>
          <cell r="G4306" t="str">
            <v>40513</v>
          </cell>
          <cell r="H4306" t="str">
            <v>付招待费</v>
          </cell>
          <cell r="I4306" t="b">
            <v>1</v>
          </cell>
          <cell r="J4306">
            <v>614</v>
          </cell>
          <cell r="K4306">
            <v>0</v>
          </cell>
          <cell r="L4306">
            <v>0</v>
          </cell>
        </row>
        <row r="4307">
          <cell r="A4307" t="str">
            <v>05</v>
          </cell>
          <cell r="B4307" t="str">
            <v>20</v>
          </cell>
          <cell r="C4307" t="str">
            <v>05</v>
          </cell>
          <cell r="D4307" t="str">
            <v>2</v>
          </cell>
          <cell r="E4307" t="str">
            <v>0014</v>
          </cell>
          <cell r="F4307" t="str">
            <v>0002</v>
          </cell>
          <cell r="G4307" t="str">
            <v>40513</v>
          </cell>
          <cell r="H4307" t="str">
            <v>付招待费</v>
          </cell>
          <cell r="I4307" t="b">
            <v>1</v>
          </cell>
          <cell r="J4307">
            <v>250</v>
          </cell>
          <cell r="K4307">
            <v>0</v>
          </cell>
          <cell r="L4307">
            <v>0</v>
          </cell>
        </row>
        <row r="4308">
          <cell r="A4308" t="str">
            <v>05</v>
          </cell>
          <cell r="B4308" t="str">
            <v>25</v>
          </cell>
          <cell r="C4308" t="str">
            <v>05</v>
          </cell>
          <cell r="D4308" t="str">
            <v>5</v>
          </cell>
          <cell r="E4308" t="str">
            <v>0010</v>
          </cell>
          <cell r="F4308" t="str">
            <v>0001</v>
          </cell>
          <cell r="G4308" t="str">
            <v>40513</v>
          </cell>
          <cell r="H4308" t="str">
            <v>转3.4月份餐费</v>
          </cell>
          <cell r="I4308" t="b">
            <v>1</v>
          </cell>
          <cell r="J4308">
            <v>2449.1</v>
          </cell>
          <cell r="K4308">
            <v>0</v>
          </cell>
          <cell r="L4308">
            <v>0</v>
          </cell>
        </row>
        <row r="4309">
          <cell r="A4309" t="str">
            <v>05</v>
          </cell>
          <cell r="B4309" t="str">
            <v>25</v>
          </cell>
          <cell r="C4309" t="str">
            <v>05</v>
          </cell>
          <cell r="D4309" t="str">
            <v>5</v>
          </cell>
          <cell r="E4309" t="str">
            <v>0010</v>
          </cell>
          <cell r="F4309" t="str">
            <v>0002</v>
          </cell>
          <cell r="G4309" t="str">
            <v>40513</v>
          </cell>
          <cell r="H4309" t="str">
            <v>转3.4月份餐费</v>
          </cell>
          <cell r="I4309" t="b">
            <v>1</v>
          </cell>
          <cell r="J4309">
            <v>3691.8</v>
          </cell>
          <cell r="K4309">
            <v>0</v>
          </cell>
          <cell r="L4309">
            <v>0</v>
          </cell>
        </row>
        <row r="4310">
          <cell r="A4310" t="str">
            <v>05</v>
          </cell>
          <cell r="B4310" t="str">
            <v>25</v>
          </cell>
          <cell r="C4310" t="str">
            <v>05</v>
          </cell>
          <cell r="D4310" t="str">
            <v>5</v>
          </cell>
          <cell r="E4310" t="str">
            <v>0010</v>
          </cell>
          <cell r="F4310" t="str">
            <v>0003</v>
          </cell>
          <cell r="G4310" t="str">
            <v>40513</v>
          </cell>
          <cell r="H4310" t="str">
            <v>转3.4月份餐费</v>
          </cell>
          <cell r="I4310" t="b">
            <v>1</v>
          </cell>
          <cell r="J4310">
            <v>1248.5</v>
          </cell>
          <cell r="K4310">
            <v>0</v>
          </cell>
          <cell r="L4310">
            <v>0</v>
          </cell>
        </row>
        <row r="4311">
          <cell r="A4311" t="str">
            <v>05</v>
          </cell>
          <cell r="B4311" t="str">
            <v>25</v>
          </cell>
          <cell r="C4311" t="str">
            <v>05</v>
          </cell>
          <cell r="D4311" t="str">
            <v>5</v>
          </cell>
          <cell r="E4311" t="str">
            <v>0010</v>
          </cell>
          <cell r="F4311" t="str">
            <v>0004</v>
          </cell>
          <cell r="G4311" t="str">
            <v>40513</v>
          </cell>
          <cell r="H4311" t="str">
            <v>转3.4月份餐费</v>
          </cell>
          <cell r="I4311" t="b">
            <v>1</v>
          </cell>
          <cell r="J4311">
            <v>811.6</v>
          </cell>
          <cell r="K4311">
            <v>0</v>
          </cell>
          <cell r="L4311">
            <v>0</v>
          </cell>
        </row>
        <row r="4312">
          <cell r="A4312" t="str">
            <v>05</v>
          </cell>
          <cell r="B4312" t="str">
            <v>25</v>
          </cell>
          <cell r="C4312" t="str">
            <v>05</v>
          </cell>
          <cell r="D4312" t="str">
            <v>5</v>
          </cell>
          <cell r="E4312" t="str">
            <v>0010</v>
          </cell>
          <cell r="F4312" t="str">
            <v>0005</v>
          </cell>
          <cell r="G4312" t="str">
            <v>40513</v>
          </cell>
          <cell r="H4312" t="str">
            <v>转3.4月份餐费</v>
          </cell>
          <cell r="I4312" t="b">
            <v>1</v>
          </cell>
          <cell r="J4312">
            <v>2944</v>
          </cell>
          <cell r="K4312">
            <v>0</v>
          </cell>
          <cell r="L4312">
            <v>0</v>
          </cell>
        </row>
        <row r="4313">
          <cell r="A4313" t="str">
            <v>05</v>
          </cell>
          <cell r="B4313" t="str">
            <v>25</v>
          </cell>
          <cell r="C4313" t="str">
            <v>05</v>
          </cell>
          <cell r="D4313" t="str">
            <v>5</v>
          </cell>
          <cell r="E4313" t="str">
            <v>0010</v>
          </cell>
          <cell r="F4313" t="str">
            <v>0006</v>
          </cell>
          <cell r="G4313" t="str">
            <v>40513</v>
          </cell>
          <cell r="H4313" t="str">
            <v>转3.4月份餐费</v>
          </cell>
          <cell r="I4313" t="b">
            <v>1</v>
          </cell>
          <cell r="J4313">
            <v>2427.3000000000002</v>
          </cell>
          <cell r="K4313">
            <v>0</v>
          </cell>
          <cell r="L4313">
            <v>0</v>
          </cell>
        </row>
        <row r="4314">
          <cell r="A4314" t="str">
            <v>05</v>
          </cell>
          <cell r="B4314" t="str">
            <v>25</v>
          </cell>
          <cell r="C4314" t="str">
            <v>05</v>
          </cell>
          <cell r="D4314" t="str">
            <v>5</v>
          </cell>
          <cell r="E4314" t="str">
            <v>0010</v>
          </cell>
          <cell r="F4314" t="str">
            <v>0007</v>
          </cell>
          <cell r="G4314" t="str">
            <v>40513</v>
          </cell>
          <cell r="H4314" t="str">
            <v>转3.4月份餐费</v>
          </cell>
          <cell r="I4314" t="b">
            <v>1</v>
          </cell>
          <cell r="J4314">
            <v>342.8</v>
          </cell>
          <cell r="K4314">
            <v>0</v>
          </cell>
          <cell r="L4314">
            <v>0</v>
          </cell>
        </row>
        <row r="4315">
          <cell r="A4315" t="str">
            <v>05</v>
          </cell>
          <cell r="B4315" t="str">
            <v>25</v>
          </cell>
          <cell r="C4315" t="str">
            <v>05</v>
          </cell>
          <cell r="D4315" t="str">
            <v>5</v>
          </cell>
          <cell r="E4315" t="str">
            <v>0010</v>
          </cell>
          <cell r="F4315" t="str">
            <v>0008</v>
          </cell>
          <cell r="G4315" t="str">
            <v>40513</v>
          </cell>
          <cell r="H4315" t="str">
            <v>转3.4月份餐费</v>
          </cell>
          <cell r="I4315" t="b">
            <v>1</v>
          </cell>
          <cell r="J4315">
            <v>926.8</v>
          </cell>
          <cell r="K4315">
            <v>0</v>
          </cell>
          <cell r="L4315">
            <v>0</v>
          </cell>
        </row>
        <row r="4316">
          <cell r="A4316" t="str">
            <v>05</v>
          </cell>
          <cell r="B4316" t="str">
            <v>25</v>
          </cell>
          <cell r="C4316" t="str">
            <v>05</v>
          </cell>
          <cell r="D4316" t="str">
            <v>5</v>
          </cell>
          <cell r="E4316" t="str">
            <v>0010</v>
          </cell>
          <cell r="F4316" t="str">
            <v>0009</v>
          </cell>
          <cell r="G4316" t="str">
            <v>40513</v>
          </cell>
          <cell r="H4316" t="str">
            <v>转3.4月份餐费</v>
          </cell>
          <cell r="I4316" t="b">
            <v>1</v>
          </cell>
          <cell r="J4316">
            <v>861.9</v>
          </cell>
          <cell r="K4316">
            <v>0</v>
          </cell>
          <cell r="L4316">
            <v>0</v>
          </cell>
        </row>
        <row r="4317">
          <cell r="A4317" t="str">
            <v>05</v>
          </cell>
          <cell r="B4317" t="str">
            <v>25</v>
          </cell>
          <cell r="C4317" t="str">
            <v>05</v>
          </cell>
          <cell r="D4317" t="str">
            <v>5</v>
          </cell>
          <cell r="E4317" t="str">
            <v>0010</v>
          </cell>
          <cell r="F4317" t="str">
            <v>0010</v>
          </cell>
          <cell r="G4317" t="str">
            <v>40513</v>
          </cell>
          <cell r="H4317" t="str">
            <v>转3.4月份餐费</v>
          </cell>
          <cell r="I4317" t="b">
            <v>1</v>
          </cell>
          <cell r="J4317">
            <v>273.8</v>
          </cell>
          <cell r="K4317">
            <v>0</v>
          </cell>
          <cell r="L4317">
            <v>0</v>
          </cell>
        </row>
        <row r="4318">
          <cell r="A4318" t="str">
            <v>05</v>
          </cell>
          <cell r="B4318" t="str">
            <v>27</v>
          </cell>
          <cell r="C4318" t="str">
            <v>05</v>
          </cell>
          <cell r="D4318" t="str">
            <v>5</v>
          </cell>
          <cell r="E4318" t="str">
            <v>0029</v>
          </cell>
          <cell r="F4318" t="str">
            <v>0012</v>
          </cell>
          <cell r="G4318" t="str">
            <v>40513</v>
          </cell>
          <cell r="H4318" t="str">
            <v>转本月共同制造费用</v>
          </cell>
          <cell r="I4318" t="b">
            <v>1</v>
          </cell>
          <cell r="J4318">
            <v>-26011.599999999999</v>
          </cell>
          <cell r="K4318">
            <v>0</v>
          </cell>
          <cell r="L4318">
            <v>0</v>
          </cell>
        </row>
        <row r="4319">
          <cell r="A4319" t="str">
            <v>05</v>
          </cell>
          <cell r="B4319" t="str">
            <v>29</v>
          </cell>
          <cell r="C4319" t="str">
            <v>05</v>
          </cell>
          <cell r="D4319" t="str">
            <v>5</v>
          </cell>
          <cell r="E4319" t="str">
            <v>0030</v>
          </cell>
          <cell r="F4319" t="str">
            <v>0032</v>
          </cell>
          <cell r="G4319" t="str">
            <v>40513</v>
          </cell>
          <cell r="H4319" t="str">
            <v>结转本月制造费用</v>
          </cell>
          <cell r="I4319" t="b">
            <v>0</v>
          </cell>
          <cell r="J4319">
            <v>2944</v>
          </cell>
          <cell r="K4319">
            <v>0</v>
          </cell>
          <cell r="L4319">
            <v>0</v>
          </cell>
        </row>
        <row r="4320">
          <cell r="A4320" t="str">
            <v>05</v>
          </cell>
          <cell r="B4320" t="str">
            <v>29</v>
          </cell>
          <cell r="C4320" t="str">
            <v>05</v>
          </cell>
          <cell r="D4320" t="str">
            <v>5</v>
          </cell>
          <cell r="E4320" t="str">
            <v>0030</v>
          </cell>
          <cell r="F4320" t="str">
            <v>0033</v>
          </cell>
          <cell r="G4320" t="str">
            <v>40513</v>
          </cell>
          <cell r="H4320" t="str">
            <v>结转本月制造费用</v>
          </cell>
          <cell r="I4320" t="b">
            <v>0</v>
          </cell>
          <cell r="J4320">
            <v>342.8</v>
          </cell>
          <cell r="K4320">
            <v>0</v>
          </cell>
          <cell r="L4320">
            <v>0</v>
          </cell>
        </row>
        <row r="4321">
          <cell r="A4321" t="str">
            <v>05</v>
          </cell>
          <cell r="B4321" t="str">
            <v>29</v>
          </cell>
          <cell r="C4321" t="str">
            <v>05</v>
          </cell>
          <cell r="D4321" t="str">
            <v>5</v>
          </cell>
          <cell r="E4321" t="str">
            <v>0030</v>
          </cell>
          <cell r="F4321" t="str">
            <v>0034</v>
          </cell>
          <cell r="G4321" t="str">
            <v>40513</v>
          </cell>
          <cell r="H4321" t="str">
            <v>结转本月制造费用</v>
          </cell>
          <cell r="I4321" t="b">
            <v>0</v>
          </cell>
          <cell r="J4321">
            <v>7532.1</v>
          </cell>
          <cell r="K4321">
            <v>0</v>
          </cell>
          <cell r="L4321">
            <v>0</v>
          </cell>
        </row>
        <row r="4322">
          <cell r="A4322" t="str">
            <v>05</v>
          </cell>
          <cell r="B4322" t="str">
            <v>29</v>
          </cell>
          <cell r="C4322" t="str">
            <v>05</v>
          </cell>
          <cell r="D4322" t="str">
            <v>5</v>
          </cell>
          <cell r="E4322" t="str">
            <v>0030</v>
          </cell>
          <cell r="F4322" t="str">
            <v>0035</v>
          </cell>
          <cell r="G4322" t="str">
            <v>40513</v>
          </cell>
          <cell r="H4322" t="str">
            <v>结转本月制造费用</v>
          </cell>
          <cell r="I4322" t="b">
            <v>0</v>
          </cell>
          <cell r="J4322">
            <v>8142.8</v>
          </cell>
          <cell r="K4322">
            <v>0</v>
          </cell>
          <cell r="L4322">
            <v>0</v>
          </cell>
        </row>
        <row r="4323">
          <cell r="A4323" t="str">
            <v>05</v>
          </cell>
          <cell r="B4323" t="str">
            <v>29</v>
          </cell>
          <cell r="C4323" t="str">
            <v>05</v>
          </cell>
          <cell r="D4323" t="str">
            <v>5</v>
          </cell>
          <cell r="E4323" t="str">
            <v>0030</v>
          </cell>
          <cell r="F4323" t="str">
            <v>0036</v>
          </cell>
          <cell r="G4323" t="str">
            <v>40513</v>
          </cell>
          <cell r="H4323" t="str">
            <v>结转本月制造费用</v>
          </cell>
          <cell r="I4323" t="b">
            <v>0</v>
          </cell>
          <cell r="J4323">
            <v>273.8</v>
          </cell>
          <cell r="K4323">
            <v>0</v>
          </cell>
          <cell r="L4323">
            <v>0</v>
          </cell>
        </row>
        <row r="4324">
          <cell r="A4324" t="str">
            <v>05</v>
          </cell>
          <cell r="B4324" t="str">
            <v>29</v>
          </cell>
          <cell r="C4324" t="str">
            <v>05</v>
          </cell>
          <cell r="D4324" t="str">
            <v>5</v>
          </cell>
          <cell r="E4324" t="str">
            <v>0030</v>
          </cell>
          <cell r="F4324" t="str">
            <v>0037</v>
          </cell>
          <cell r="G4324" t="str">
            <v>40513</v>
          </cell>
          <cell r="H4324" t="str">
            <v>结转本月制造费用</v>
          </cell>
          <cell r="I4324" t="b">
            <v>0</v>
          </cell>
          <cell r="J4324">
            <v>1448.5</v>
          </cell>
          <cell r="K4324">
            <v>0</v>
          </cell>
          <cell r="L4324">
            <v>0</v>
          </cell>
        </row>
        <row r="4325">
          <cell r="A4325" t="str">
            <v>05</v>
          </cell>
          <cell r="B4325" t="str">
            <v>29</v>
          </cell>
          <cell r="C4325" t="str">
            <v>05</v>
          </cell>
          <cell r="D4325" t="str">
            <v>5</v>
          </cell>
          <cell r="E4325" t="str">
            <v>0030</v>
          </cell>
          <cell r="F4325" t="str">
            <v>0038</v>
          </cell>
          <cell r="G4325" t="str">
            <v>40513</v>
          </cell>
          <cell r="H4325" t="str">
            <v>结转本月制造费用</v>
          </cell>
          <cell r="I4325" t="b">
            <v>0</v>
          </cell>
          <cell r="J4325">
            <v>861.6</v>
          </cell>
          <cell r="K4325">
            <v>0</v>
          </cell>
          <cell r="L4325">
            <v>0</v>
          </cell>
        </row>
        <row r="4326">
          <cell r="A4326" t="str">
            <v>05</v>
          </cell>
          <cell r="B4326" t="str">
            <v>29</v>
          </cell>
          <cell r="C4326" t="str">
            <v>05</v>
          </cell>
          <cell r="D4326" t="str">
            <v>5</v>
          </cell>
          <cell r="E4326" t="str">
            <v>0030</v>
          </cell>
          <cell r="F4326" t="str">
            <v>0039</v>
          </cell>
          <cell r="G4326" t="str">
            <v>40513</v>
          </cell>
          <cell r="H4326" t="str">
            <v>结转本月制造费用</v>
          </cell>
          <cell r="I4326" t="b">
            <v>0</v>
          </cell>
          <cell r="J4326">
            <v>1111.9000000000001</v>
          </cell>
          <cell r="K4326">
            <v>0</v>
          </cell>
          <cell r="L4326">
            <v>0</v>
          </cell>
        </row>
        <row r="4327">
          <cell r="A4327" t="str">
            <v>05</v>
          </cell>
          <cell r="B4327" t="str">
            <v>29</v>
          </cell>
          <cell r="C4327" t="str">
            <v>05</v>
          </cell>
          <cell r="D4327" t="str">
            <v>5</v>
          </cell>
          <cell r="E4327" t="str">
            <v>0030</v>
          </cell>
          <cell r="F4327" t="str">
            <v>0040</v>
          </cell>
          <cell r="G4327" t="str">
            <v>40513</v>
          </cell>
          <cell r="H4327" t="str">
            <v>结转本月制造费用</v>
          </cell>
          <cell r="I4327" t="b">
            <v>0</v>
          </cell>
          <cell r="J4327">
            <v>926.8</v>
          </cell>
          <cell r="K4327">
            <v>0</v>
          </cell>
          <cell r="L4327">
            <v>0</v>
          </cell>
        </row>
        <row r="4328">
          <cell r="A4328" t="str">
            <v>05</v>
          </cell>
          <cell r="B4328" t="str">
            <v>29</v>
          </cell>
          <cell r="C4328" t="str">
            <v>05</v>
          </cell>
          <cell r="D4328" t="str">
            <v>5</v>
          </cell>
          <cell r="E4328" t="str">
            <v>0030</v>
          </cell>
          <cell r="F4328" t="str">
            <v>0041</v>
          </cell>
          <cell r="G4328" t="str">
            <v>40513</v>
          </cell>
          <cell r="H4328" t="str">
            <v>结转本月制造费用</v>
          </cell>
          <cell r="I4328" t="b">
            <v>0</v>
          </cell>
          <cell r="J4328">
            <v>2427.3000000000002</v>
          </cell>
          <cell r="K4328">
            <v>0</v>
          </cell>
          <cell r="L4328">
            <v>0</v>
          </cell>
        </row>
        <row r="4329">
          <cell r="A4329" t="str">
            <v>05</v>
          </cell>
          <cell r="B4329" t="str">
            <v>29</v>
          </cell>
          <cell r="C4329" t="str">
            <v>05</v>
          </cell>
          <cell r="D4329" t="str">
            <v>5</v>
          </cell>
          <cell r="E4329" t="str">
            <v>0030</v>
          </cell>
          <cell r="F4329" t="str">
            <v>0054</v>
          </cell>
          <cell r="G4329" t="str">
            <v>40513</v>
          </cell>
          <cell r="H4329" t="str">
            <v>结转本月制造费用</v>
          </cell>
          <cell r="I4329" t="b">
            <v>1</v>
          </cell>
          <cell r="J4329">
            <v>26011.599999999999</v>
          </cell>
          <cell r="K4329">
            <v>0</v>
          </cell>
          <cell r="L4329">
            <v>0</v>
          </cell>
        </row>
        <row r="4330">
          <cell r="A4330" t="str">
            <v>06</v>
          </cell>
          <cell r="B4330" t="str">
            <v>05</v>
          </cell>
          <cell r="C4330" t="str">
            <v>06</v>
          </cell>
          <cell r="D4330" t="str">
            <v>2</v>
          </cell>
          <cell r="E4330" t="str">
            <v>0004</v>
          </cell>
          <cell r="F4330" t="str">
            <v>0001</v>
          </cell>
          <cell r="G4330" t="str">
            <v>40513</v>
          </cell>
          <cell r="H4330" t="str">
            <v>付招待费</v>
          </cell>
          <cell r="I4330" t="b">
            <v>1</v>
          </cell>
          <cell r="J4330">
            <v>300</v>
          </cell>
          <cell r="K4330">
            <v>0</v>
          </cell>
          <cell r="L4330">
            <v>0</v>
          </cell>
        </row>
        <row r="4331">
          <cell r="A4331" t="str">
            <v>06</v>
          </cell>
          <cell r="B4331" t="str">
            <v>08</v>
          </cell>
          <cell r="C4331" t="str">
            <v>06</v>
          </cell>
          <cell r="D4331" t="str">
            <v>2</v>
          </cell>
          <cell r="E4331" t="str">
            <v>0006</v>
          </cell>
          <cell r="F4331" t="str">
            <v>0001</v>
          </cell>
          <cell r="G4331" t="str">
            <v>40513</v>
          </cell>
          <cell r="H4331" t="str">
            <v>付招待费</v>
          </cell>
          <cell r="I4331" t="b">
            <v>1</v>
          </cell>
          <cell r="J4331">
            <v>620.5</v>
          </cell>
          <cell r="K4331">
            <v>0</v>
          </cell>
          <cell r="L4331">
            <v>0</v>
          </cell>
        </row>
        <row r="4332">
          <cell r="A4332" t="str">
            <v>06</v>
          </cell>
          <cell r="B4332" t="str">
            <v>14</v>
          </cell>
          <cell r="C4332" t="str">
            <v>06</v>
          </cell>
          <cell r="D4332" t="str">
            <v>2</v>
          </cell>
          <cell r="E4332" t="str">
            <v>0012</v>
          </cell>
          <cell r="F4332" t="str">
            <v>0002</v>
          </cell>
          <cell r="G4332" t="str">
            <v>40513</v>
          </cell>
          <cell r="H4332" t="str">
            <v>付招待费</v>
          </cell>
          <cell r="I4332" t="b">
            <v>1</v>
          </cell>
          <cell r="J4332">
            <v>390</v>
          </cell>
          <cell r="K4332">
            <v>0</v>
          </cell>
          <cell r="L4332">
            <v>0</v>
          </cell>
        </row>
        <row r="4333">
          <cell r="A4333" t="str">
            <v>06</v>
          </cell>
          <cell r="B4333" t="str">
            <v>20</v>
          </cell>
          <cell r="C4333" t="str">
            <v>06</v>
          </cell>
          <cell r="D4333" t="str">
            <v>5</v>
          </cell>
          <cell r="E4333" t="str">
            <v>0009</v>
          </cell>
          <cell r="F4333" t="str">
            <v>0001</v>
          </cell>
          <cell r="G4333" t="str">
            <v>40513</v>
          </cell>
          <cell r="H4333" t="str">
            <v>转5-6月份餐费</v>
          </cell>
          <cell r="I4333" t="b">
            <v>1</v>
          </cell>
          <cell r="J4333">
            <v>2339</v>
          </cell>
          <cell r="K4333">
            <v>0</v>
          </cell>
          <cell r="L4333">
            <v>0</v>
          </cell>
        </row>
        <row r="4334">
          <cell r="A4334" t="str">
            <v>06</v>
          </cell>
          <cell r="B4334" t="str">
            <v>20</v>
          </cell>
          <cell r="C4334" t="str">
            <v>06</v>
          </cell>
          <cell r="D4334" t="str">
            <v>5</v>
          </cell>
          <cell r="E4334" t="str">
            <v>0009</v>
          </cell>
          <cell r="F4334" t="str">
            <v>0002</v>
          </cell>
          <cell r="G4334" t="str">
            <v>40513</v>
          </cell>
          <cell r="H4334" t="str">
            <v>转5-6月份餐费</v>
          </cell>
          <cell r="I4334" t="b">
            <v>1</v>
          </cell>
          <cell r="J4334">
            <v>2873.3</v>
          </cell>
          <cell r="K4334">
            <v>0</v>
          </cell>
          <cell r="L4334">
            <v>0</v>
          </cell>
        </row>
        <row r="4335">
          <cell r="A4335" t="str">
            <v>06</v>
          </cell>
          <cell r="B4335" t="str">
            <v>20</v>
          </cell>
          <cell r="C4335" t="str">
            <v>06</v>
          </cell>
          <cell r="D4335" t="str">
            <v>5</v>
          </cell>
          <cell r="E4335" t="str">
            <v>0009</v>
          </cell>
          <cell r="F4335" t="str">
            <v>0003</v>
          </cell>
          <cell r="G4335" t="str">
            <v>40513</v>
          </cell>
          <cell r="H4335" t="str">
            <v>转5-6月份餐费</v>
          </cell>
          <cell r="I4335" t="b">
            <v>1</v>
          </cell>
          <cell r="J4335">
            <v>212.4</v>
          </cell>
          <cell r="K4335">
            <v>0</v>
          </cell>
          <cell r="L4335">
            <v>0</v>
          </cell>
        </row>
        <row r="4336">
          <cell r="A4336" t="str">
            <v>06</v>
          </cell>
          <cell r="B4336" t="str">
            <v>20</v>
          </cell>
          <cell r="C4336" t="str">
            <v>06</v>
          </cell>
          <cell r="D4336" t="str">
            <v>5</v>
          </cell>
          <cell r="E4336" t="str">
            <v>0009</v>
          </cell>
          <cell r="F4336" t="str">
            <v>0004</v>
          </cell>
          <cell r="G4336" t="str">
            <v>40513</v>
          </cell>
          <cell r="H4336" t="str">
            <v>转5-6月份餐费</v>
          </cell>
          <cell r="I4336" t="b">
            <v>1</v>
          </cell>
          <cell r="J4336">
            <v>169.4</v>
          </cell>
          <cell r="K4336">
            <v>0</v>
          </cell>
          <cell r="L4336">
            <v>0</v>
          </cell>
        </row>
        <row r="4337">
          <cell r="A4337" t="str">
            <v>06</v>
          </cell>
          <cell r="B4337" t="str">
            <v>20</v>
          </cell>
          <cell r="C4337" t="str">
            <v>06</v>
          </cell>
          <cell r="D4337" t="str">
            <v>5</v>
          </cell>
          <cell r="E4337" t="str">
            <v>0009</v>
          </cell>
          <cell r="F4337" t="str">
            <v>0005</v>
          </cell>
          <cell r="G4337" t="str">
            <v>40513</v>
          </cell>
          <cell r="H4337" t="str">
            <v>转5-6月份餐费</v>
          </cell>
          <cell r="I4337" t="b">
            <v>1</v>
          </cell>
          <cell r="J4337">
            <v>1094.7</v>
          </cell>
          <cell r="K4337">
            <v>0</v>
          </cell>
          <cell r="L4337">
            <v>0</v>
          </cell>
        </row>
        <row r="4338">
          <cell r="A4338" t="str">
            <v>06</v>
          </cell>
          <cell r="B4338" t="str">
            <v>20</v>
          </cell>
          <cell r="C4338" t="str">
            <v>06</v>
          </cell>
          <cell r="D4338" t="str">
            <v>5</v>
          </cell>
          <cell r="E4338" t="str">
            <v>0009</v>
          </cell>
          <cell r="F4338" t="str">
            <v>0006</v>
          </cell>
          <cell r="G4338" t="str">
            <v>40513</v>
          </cell>
          <cell r="H4338" t="str">
            <v>转5-6月份餐费</v>
          </cell>
          <cell r="I4338" t="b">
            <v>1</v>
          </cell>
          <cell r="J4338">
            <v>1412.1</v>
          </cell>
          <cell r="K4338">
            <v>0</v>
          </cell>
          <cell r="L4338">
            <v>0</v>
          </cell>
        </row>
        <row r="4339">
          <cell r="A4339" t="str">
            <v>06</v>
          </cell>
          <cell r="B4339" t="str">
            <v>20</v>
          </cell>
          <cell r="C4339" t="str">
            <v>06</v>
          </cell>
          <cell r="D4339" t="str">
            <v>5</v>
          </cell>
          <cell r="E4339" t="str">
            <v>0009</v>
          </cell>
          <cell r="F4339" t="str">
            <v>0007</v>
          </cell>
          <cell r="G4339" t="str">
            <v>40513</v>
          </cell>
          <cell r="H4339" t="str">
            <v>转5-6月份餐费</v>
          </cell>
          <cell r="I4339" t="b">
            <v>1</v>
          </cell>
          <cell r="J4339">
            <v>1315.1</v>
          </cell>
          <cell r="K4339">
            <v>0</v>
          </cell>
          <cell r="L4339">
            <v>0</v>
          </cell>
        </row>
        <row r="4340">
          <cell r="A4340" t="str">
            <v>06</v>
          </cell>
          <cell r="B4340" t="str">
            <v>20</v>
          </cell>
          <cell r="C4340" t="str">
            <v>06</v>
          </cell>
          <cell r="D4340" t="str">
            <v>5</v>
          </cell>
          <cell r="E4340" t="str">
            <v>0009</v>
          </cell>
          <cell r="F4340" t="str">
            <v>0009</v>
          </cell>
          <cell r="G4340" t="str">
            <v>40513</v>
          </cell>
          <cell r="H4340" t="str">
            <v>转5-6月份餐费</v>
          </cell>
          <cell r="I4340" t="b">
            <v>1</v>
          </cell>
          <cell r="J4340">
            <v>349.2</v>
          </cell>
          <cell r="K4340">
            <v>0</v>
          </cell>
          <cell r="L4340">
            <v>0</v>
          </cell>
        </row>
        <row r="4341">
          <cell r="A4341" t="str">
            <v>06</v>
          </cell>
          <cell r="B4341" t="str">
            <v>23</v>
          </cell>
          <cell r="C4341" t="str">
            <v>06</v>
          </cell>
          <cell r="D4341" t="str">
            <v>5</v>
          </cell>
          <cell r="E4341" t="str">
            <v>0020</v>
          </cell>
          <cell r="F4341" t="str">
            <v>0011</v>
          </cell>
          <cell r="G4341" t="str">
            <v>40513</v>
          </cell>
          <cell r="H4341" t="str">
            <v>转本月共同制造费用</v>
          </cell>
          <cell r="I4341" t="b">
            <v>1</v>
          </cell>
          <cell r="J4341">
            <v>-11075.7</v>
          </cell>
          <cell r="K4341">
            <v>0</v>
          </cell>
          <cell r="L4341">
            <v>0</v>
          </cell>
        </row>
        <row r="4342">
          <cell r="A4342" t="str">
            <v>06</v>
          </cell>
          <cell r="B4342" t="str">
            <v>25</v>
          </cell>
          <cell r="C4342" t="str">
            <v>06</v>
          </cell>
          <cell r="D4342" t="str">
            <v>5</v>
          </cell>
          <cell r="E4342" t="str">
            <v>0021</v>
          </cell>
          <cell r="F4342" t="str">
            <v>0017</v>
          </cell>
          <cell r="G4342" t="str">
            <v>40513</v>
          </cell>
          <cell r="H4342" t="str">
            <v>结转本月制造费用</v>
          </cell>
          <cell r="I4342" t="b">
            <v>0</v>
          </cell>
          <cell r="J4342">
            <v>349.2</v>
          </cell>
          <cell r="K4342">
            <v>0</v>
          </cell>
          <cell r="L4342">
            <v>0</v>
          </cell>
        </row>
        <row r="4343">
          <cell r="A4343" t="str">
            <v>06</v>
          </cell>
          <cell r="B4343" t="str">
            <v>25</v>
          </cell>
          <cell r="C4343" t="str">
            <v>06</v>
          </cell>
          <cell r="D4343" t="str">
            <v>5</v>
          </cell>
          <cell r="E4343" t="str">
            <v>0021</v>
          </cell>
          <cell r="F4343" t="str">
            <v>0018</v>
          </cell>
          <cell r="G4343" t="str">
            <v>40513</v>
          </cell>
          <cell r="H4343" t="str">
            <v>结转本月制造费用</v>
          </cell>
          <cell r="I4343" t="b">
            <v>0</v>
          </cell>
          <cell r="J4343">
            <v>2339</v>
          </cell>
          <cell r="K4343">
            <v>0</v>
          </cell>
          <cell r="L4343">
            <v>0</v>
          </cell>
        </row>
        <row r="4344">
          <cell r="A4344" t="str">
            <v>06</v>
          </cell>
          <cell r="B4344" t="str">
            <v>25</v>
          </cell>
          <cell r="C4344" t="str">
            <v>06</v>
          </cell>
          <cell r="D4344" t="str">
            <v>5</v>
          </cell>
          <cell r="E4344" t="str">
            <v>0021</v>
          </cell>
          <cell r="F4344" t="str">
            <v>0019</v>
          </cell>
          <cell r="G4344" t="str">
            <v>40513</v>
          </cell>
          <cell r="H4344" t="str">
            <v>结转本月制造费用</v>
          </cell>
          <cell r="I4344" t="b">
            <v>0</v>
          </cell>
          <cell r="J4344">
            <v>1412.1</v>
          </cell>
          <cell r="K4344">
            <v>0</v>
          </cell>
          <cell r="L4344">
            <v>0</v>
          </cell>
        </row>
        <row r="4345">
          <cell r="A4345" t="str">
            <v>06</v>
          </cell>
          <cell r="B4345" t="str">
            <v>25</v>
          </cell>
          <cell r="C4345" t="str">
            <v>06</v>
          </cell>
          <cell r="D4345" t="str">
            <v>5</v>
          </cell>
          <cell r="E4345" t="str">
            <v>0021</v>
          </cell>
          <cell r="F4345" t="str">
            <v>0020</v>
          </cell>
          <cell r="G4345" t="str">
            <v>40513</v>
          </cell>
          <cell r="H4345" t="str">
            <v>结转本月制造费用</v>
          </cell>
          <cell r="I4345" t="b">
            <v>0</v>
          </cell>
          <cell r="J4345">
            <v>3263.3</v>
          </cell>
          <cell r="K4345">
            <v>0</v>
          </cell>
          <cell r="L4345">
            <v>0</v>
          </cell>
        </row>
        <row r="4346">
          <cell r="A4346" t="str">
            <v>06</v>
          </cell>
          <cell r="B4346" t="str">
            <v>25</v>
          </cell>
          <cell r="C4346" t="str">
            <v>06</v>
          </cell>
          <cell r="D4346" t="str">
            <v>5</v>
          </cell>
          <cell r="E4346" t="str">
            <v>0021</v>
          </cell>
          <cell r="F4346" t="str">
            <v>0021</v>
          </cell>
          <cell r="G4346" t="str">
            <v>40513</v>
          </cell>
          <cell r="H4346" t="str">
            <v>结转本月制造费用</v>
          </cell>
          <cell r="I4346" t="b">
            <v>0</v>
          </cell>
          <cell r="J4346">
            <v>169.4</v>
          </cell>
          <cell r="K4346">
            <v>0</v>
          </cell>
          <cell r="L4346">
            <v>0</v>
          </cell>
        </row>
        <row r="4347">
          <cell r="A4347" t="str">
            <v>06</v>
          </cell>
          <cell r="B4347" t="str">
            <v>25</v>
          </cell>
          <cell r="C4347" t="str">
            <v>06</v>
          </cell>
          <cell r="D4347" t="str">
            <v>5</v>
          </cell>
          <cell r="E4347" t="str">
            <v>0021</v>
          </cell>
          <cell r="F4347" t="str">
            <v>0022</v>
          </cell>
          <cell r="G4347" t="str">
            <v>40513</v>
          </cell>
          <cell r="H4347" t="str">
            <v>结转本月制造费用</v>
          </cell>
          <cell r="I4347" t="b">
            <v>0</v>
          </cell>
          <cell r="J4347">
            <v>620.5</v>
          </cell>
          <cell r="K4347">
            <v>0</v>
          </cell>
          <cell r="L4347">
            <v>0</v>
          </cell>
        </row>
        <row r="4348">
          <cell r="A4348" t="str">
            <v>06</v>
          </cell>
          <cell r="B4348" t="str">
            <v>25</v>
          </cell>
          <cell r="C4348" t="str">
            <v>06</v>
          </cell>
          <cell r="D4348" t="str">
            <v>5</v>
          </cell>
          <cell r="E4348" t="str">
            <v>0021</v>
          </cell>
          <cell r="F4348" t="str">
            <v>0023</v>
          </cell>
          <cell r="G4348" t="str">
            <v>40513</v>
          </cell>
          <cell r="H4348" t="str">
            <v>结转本月制造费用</v>
          </cell>
          <cell r="I4348" t="b">
            <v>0</v>
          </cell>
          <cell r="J4348">
            <v>1394.7</v>
          </cell>
          <cell r="K4348">
            <v>0</v>
          </cell>
          <cell r="L4348">
            <v>0</v>
          </cell>
        </row>
        <row r="4349">
          <cell r="A4349" t="str">
            <v>06</v>
          </cell>
          <cell r="B4349" t="str">
            <v>25</v>
          </cell>
          <cell r="C4349" t="str">
            <v>06</v>
          </cell>
          <cell r="D4349" t="str">
            <v>5</v>
          </cell>
          <cell r="E4349" t="str">
            <v>0021</v>
          </cell>
          <cell r="F4349" t="str">
            <v>0024</v>
          </cell>
          <cell r="G4349" t="str">
            <v>40513</v>
          </cell>
          <cell r="H4349" t="str">
            <v>结转本月制造费用</v>
          </cell>
          <cell r="I4349" t="b">
            <v>0</v>
          </cell>
          <cell r="J4349">
            <v>212.4</v>
          </cell>
          <cell r="K4349">
            <v>0</v>
          </cell>
          <cell r="L4349">
            <v>0</v>
          </cell>
        </row>
        <row r="4350">
          <cell r="A4350" t="str">
            <v>06</v>
          </cell>
          <cell r="B4350" t="str">
            <v>25</v>
          </cell>
          <cell r="C4350" t="str">
            <v>06</v>
          </cell>
          <cell r="D4350" t="str">
            <v>5</v>
          </cell>
          <cell r="E4350" t="str">
            <v>0021</v>
          </cell>
          <cell r="F4350" t="str">
            <v>0025</v>
          </cell>
          <cell r="G4350" t="str">
            <v>40513</v>
          </cell>
          <cell r="H4350" t="str">
            <v>结转本月制造费用</v>
          </cell>
          <cell r="I4350" t="b">
            <v>0</v>
          </cell>
          <cell r="J4350">
            <v>1315.1</v>
          </cell>
          <cell r="K4350">
            <v>0</v>
          </cell>
          <cell r="L4350">
            <v>0</v>
          </cell>
        </row>
        <row r="4351">
          <cell r="A4351" t="str">
            <v>06</v>
          </cell>
          <cell r="B4351" t="str">
            <v>25</v>
          </cell>
          <cell r="C4351" t="str">
            <v>06</v>
          </cell>
          <cell r="D4351" t="str">
            <v>5</v>
          </cell>
          <cell r="E4351" t="str">
            <v>0021</v>
          </cell>
          <cell r="F4351" t="str">
            <v>0035</v>
          </cell>
          <cell r="G4351" t="str">
            <v>40513</v>
          </cell>
          <cell r="H4351" t="str">
            <v>结转本月制造费用</v>
          </cell>
          <cell r="I4351" t="b">
            <v>1</v>
          </cell>
          <cell r="J4351">
            <v>11075.7</v>
          </cell>
          <cell r="K4351">
            <v>0</v>
          </cell>
          <cell r="L4351">
            <v>0</v>
          </cell>
        </row>
        <row r="4352">
          <cell r="A4352" t="str">
            <v>07</v>
          </cell>
          <cell r="B4352" t="str">
            <v>12</v>
          </cell>
          <cell r="C4352" t="str">
            <v>07</v>
          </cell>
          <cell r="D4352" t="str">
            <v>2</v>
          </cell>
          <cell r="E4352" t="str">
            <v>0009</v>
          </cell>
          <cell r="F4352" t="str">
            <v>0001</v>
          </cell>
          <cell r="G4352" t="str">
            <v>40513</v>
          </cell>
          <cell r="H4352" t="str">
            <v>付招待费</v>
          </cell>
          <cell r="I4352" t="b">
            <v>1</v>
          </cell>
          <cell r="J4352">
            <v>2270</v>
          </cell>
          <cell r="K4352">
            <v>0</v>
          </cell>
          <cell r="L4352">
            <v>0</v>
          </cell>
        </row>
        <row r="4353">
          <cell r="A4353" t="str">
            <v>07</v>
          </cell>
          <cell r="B4353" t="str">
            <v>20</v>
          </cell>
          <cell r="C4353" t="str">
            <v>07</v>
          </cell>
          <cell r="D4353" t="str">
            <v>2</v>
          </cell>
          <cell r="E4353" t="str">
            <v>0017</v>
          </cell>
          <cell r="F4353" t="str">
            <v>0003</v>
          </cell>
          <cell r="G4353" t="str">
            <v>40513</v>
          </cell>
          <cell r="H4353" t="str">
            <v>付招待费</v>
          </cell>
          <cell r="I4353" t="b">
            <v>1</v>
          </cell>
          <cell r="J4353">
            <v>980</v>
          </cell>
          <cell r="K4353">
            <v>0</v>
          </cell>
          <cell r="L4353">
            <v>0</v>
          </cell>
        </row>
        <row r="4354">
          <cell r="A4354" t="str">
            <v>07</v>
          </cell>
          <cell r="B4354" t="str">
            <v>21</v>
          </cell>
          <cell r="C4354" t="str">
            <v>07</v>
          </cell>
          <cell r="D4354" t="str">
            <v>2</v>
          </cell>
          <cell r="E4354" t="str">
            <v>0019</v>
          </cell>
          <cell r="F4354" t="str">
            <v>0002</v>
          </cell>
          <cell r="G4354" t="str">
            <v>40513</v>
          </cell>
          <cell r="H4354" t="str">
            <v>付招待费</v>
          </cell>
          <cell r="I4354" t="b">
            <v>1</v>
          </cell>
          <cell r="J4354">
            <v>700</v>
          </cell>
          <cell r="K4354">
            <v>0</v>
          </cell>
          <cell r="L4354">
            <v>0</v>
          </cell>
        </row>
        <row r="4355">
          <cell r="A4355" t="str">
            <v>07</v>
          </cell>
          <cell r="B4355" t="str">
            <v>21</v>
          </cell>
          <cell r="C4355" t="str">
            <v>07</v>
          </cell>
          <cell r="D4355" t="str">
            <v>2</v>
          </cell>
          <cell r="E4355" t="str">
            <v>0019</v>
          </cell>
          <cell r="F4355" t="str">
            <v>0003</v>
          </cell>
          <cell r="G4355" t="str">
            <v>40513</v>
          </cell>
          <cell r="H4355" t="str">
            <v>付招待费</v>
          </cell>
          <cell r="I4355" t="b">
            <v>1</v>
          </cell>
          <cell r="J4355">
            <v>1100</v>
          </cell>
          <cell r="K4355">
            <v>0</v>
          </cell>
          <cell r="L4355">
            <v>0</v>
          </cell>
        </row>
        <row r="4356">
          <cell r="A4356" t="str">
            <v>07</v>
          </cell>
          <cell r="B4356" t="str">
            <v>24</v>
          </cell>
          <cell r="C4356" t="str">
            <v>07</v>
          </cell>
          <cell r="D4356" t="str">
            <v>5</v>
          </cell>
          <cell r="E4356" t="str">
            <v>0012</v>
          </cell>
          <cell r="F4356" t="str">
            <v>0002</v>
          </cell>
          <cell r="G4356" t="str">
            <v>40513</v>
          </cell>
          <cell r="H4356" t="str">
            <v>转报销招待费</v>
          </cell>
          <cell r="I4356" t="b">
            <v>1</v>
          </cell>
          <cell r="J4356">
            <v>135</v>
          </cell>
          <cell r="K4356">
            <v>0</v>
          </cell>
          <cell r="L4356">
            <v>0</v>
          </cell>
        </row>
        <row r="4357">
          <cell r="A4357" t="str">
            <v>07</v>
          </cell>
          <cell r="B4357" t="str">
            <v>27</v>
          </cell>
          <cell r="C4357" t="str">
            <v>07</v>
          </cell>
          <cell r="D4357" t="str">
            <v>5</v>
          </cell>
          <cell r="E4357" t="str">
            <v>0034</v>
          </cell>
          <cell r="F4357" t="str">
            <v>0011</v>
          </cell>
          <cell r="G4357" t="str">
            <v>40513</v>
          </cell>
          <cell r="H4357" t="str">
            <v>转本月共同制造费用</v>
          </cell>
          <cell r="I4357" t="b">
            <v>1</v>
          </cell>
          <cell r="J4357">
            <v>-5185</v>
          </cell>
          <cell r="K4357">
            <v>0</v>
          </cell>
          <cell r="L4357">
            <v>0</v>
          </cell>
        </row>
        <row r="4358">
          <cell r="A4358" t="str">
            <v>07</v>
          </cell>
          <cell r="B4358" t="str">
            <v>28</v>
          </cell>
          <cell r="C4358" t="str">
            <v>07</v>
          </cell>
          <cell r="D4358" t="str">
            <v>5</v>
          </cell>
          <cell r="E4358" t="str">
            <v>0035</v>
          </cell>
          <cell r="F4358" t="str">
            <v>0025</v>
          </cell>
          <cell r="G4358" t="str">
            <v>40513</v>
          </cell>
          <cell r="H4358" t="str">
            <v>结转本月制造费用</v>
          </cell>
          <cell r="I4358" t="b">
            <v>0</v>
          </cell>
          <cell r="J4358">
            <v>980</v>
          </cell>
          <cell r="K4358">
            <v>0</v>
          </cell>
          <cell r="L4358">
            <v>0</v>
          </cell>
        </row>
        <row r="4359">
          <cell r="A4359" t="str">
            <v>07</v>
          </cell>
          <cell r="B4359" t="str">
            <v>28</v>
          </cell>
          <cell r="C4359" t="str">
            <v>07</v>
          </cell>
          <cell r="D4359" t="str">
            <v>5</v>
          </cell>
          <cell r="E4359" t="str">
            <v>0035</v>
          </cell>
          <cell r="F4359" t="str">
            <v>0026</v>
          </cell>
          <cell r="G4359" t="str">
            <v>40513</v>
          </cell>
          <cell r="H4359" t="str">
            <v>结转本月制造费用</v>
          </cell>
          <cell r="I4359" t="b">
            <v>0</v>
          </cell>
          <cell r="J4359">
            <v>2970</v>
          </cell>
          <cell r="K4359">
            <v>0</v>
          </cell>
          <cell r="L4359">
            <v>0</v>
          </cell>
        </row>
        <row r="4360">
          <cell r="A4360" t="str">
            <v>07</v>
          </cell>
          <cell r="B4360" t="str">
            <v>28</v>
          </cell>
          <cell r="C4360" t="str">
            <v>07</v>
          </cell>
          <cell r="D4360" t="str">
            <v>5</v>
          </cell>
          <cell r="E4360" t="str">
            <v>0035</v>
          </cell>
          <cell r="F4360" t="str">
            <v>0027</v>
          </cell>
          <cell r="G4360" t="str">
            <v>40513</v>
          </cell>
          <cell r="H4360" t="str">
            <v>结转本月制造费用</v>
          </cell>
          <cell r="I4360" t="b">
            <v>0</v>
          </cell>
          <cell r="J4360">
            <v>1235</v>
          </cell>
          <cell r="K4360">
            <v>0</v>
          </cell>
          <cell r="L4360">
            <v>0</v>
          </cell>
        </row>
        <row r="4361">
          <cell r="A4361" t="str">
            <v>07</v>
          </cell>
          <cell r="B4361" t="str">
            <v>28</v>
          </cell>
          <cell r="C4361" t="str">
            <v>07</v>
          </cell>
          <cell r="D4361" t="str">
            <v>5</v>
          </cell>
          <cell r="E4361" t="str">
            <v>0035</v>
          </cell>
          <cell r="F4361" t="str">
            <v>0038</v>
          </cell>
          <cell r="G4361" t="str">
            <v>40513</v>
          </cell>
          <cell r="H4361" t="str">
            <v>结转本月制造费用</v>
          </cell>
          <cell r="I4361" t="b">
            <v>1</v>
          </cell>
          <cell r="J4361">
            <v>5185</v>
          </cell>
          <cell r="K4361">
            <v>0</v>
          </cell>
          <cell r="L4361">
            <v>0</v>
          </cell>
        </row>
        <row r="4362">
          <cell r="A4362" t="str">
            <v>02</v>
          </cell>
          <cell r="B4362" t="str">
            <v>03</v>
          </cell>
          <cell r="C4362" t="str">
            <v>02</v>
          </cell>
          <cell r="D4362" t="str">
            <v>2</v>
          </cell>
          <cell r="E4362" t="str">
            <v>0009</v>
          </cell>
          <cell r="F4362" t="str">
            <v>0002</v>
          </cell>
          <cell r="G4362" t="str">
            <v>40599</v>
          </cell>
          <cell r="H4362" t="str">
            <v>付邮费</v>
          </cell>
          <cell r="I4362" t="b">
            <v>1</v>
          </cell>
          <cell r="J4362">
            <v>70</v>
          </cell>
          <cell r="K4362">
            <v>0</v>
          </cell>
          <cell r="L4362">
            <v>0</v>
          </cell>
        </row>
        <row r="4363">
          <cell r="A4363" t="str">
            <v>02</v>
          </cell>
          <cell r="B4363" t="str">
            <v>05</v>
          </cell>
          <cell r="C4363" t="str">
            <v>02</v>
          </cell>
          <cell r="D4363" t="str">
            <v>2</v>
          </cell>
          <cell r="E4363" t="str">
            <v>0010</v>
          </cell>
          <cell r="F4363" t="str">
            <v>0001</v>
          </cell>
          <cell r="G4363" t="str">
            <v>40599</v>
          </cell>
          <cell r="H4363" t="str">
            <v>付邮费等</v>
          </cell>
          <cell r="I4363" t="b">
            <v>1</v>
          </cell>
          <cell r="J4363">
            <v>1821.5</v>
          </cell>
          <cell r="K4363">
            <v>0</v>
          </cell>
          <cell r="L4363">
            <v>0</v>
          </cell>
        </row>
        <row r="4364">
          <cell r="A4364" t="str">
            <v>02</v>
          </cell>
          <cell r="B4364" t="str">
            <v>05</v>
          </cell>
          <cell r="C4364" t="str">
            <v>02</v>
          </cell>
          <cell r="D4364" t="str">
            <v>2</v>
          </cell>
          <cell r="E4364" t="str">
            <v>0011</v>
          </cell>
          <cell r="F4364" t="str">
            <v>0001</v>
          </cell>
          <cell r="G4364" t="str">
            <v>40599</v>
          </cell>
          <cell r="H4364" t="str">
            <v>付邮费</v>
          </cell>
          <cell r="I4364" t="b">
            <v>1</v>
          </cell>
          <cell r="J4364">
            <v>1580</v>
          </cell>
          <cell r="K4364">
            <v>0</v>
          </cell>
          <cell r="L4364">
            <v>0</v>
          </cell>
        </row>
        <row r="4365">
          <cell r="A4365" t="str">
            <v>02</v>
          </cell>
          <cell r="B4365" t="str">
            <v>08</v>
          </cell>
          <cell r="C4365" t="str">
            <v>02</v>
          </cell>
          <cell r="D4365" t="str">
            <v>2</v>
          </cell>
          <cell r="E4365" t="str">
            <v>0019</v>
          </cell>
          <cell r="F4365" t="str">
            <v>0001</v>
          </cell>
          <cell r="G4365" t="str">
            <v>40599</v>
          </cell>
          <cell r="H4365" t="str">
            <v>付邮递费</v>
          </cell>
          <cell r="I4365" t="b">
            <v>1</v>
          </cell>
          <cell r="J4365">
            <v>9710.6</v>
          </cell>
          <cell r="K4365">
            <v>0</v>
          </cell>
          <cell r="L4365">
            <v>0</v>
          </cell>
        </row>
        <row r="4366">
          <cell r="A4366" t="str">
            <v>02</v>
          </cell>
          <cell r="B4366" t="str">
            <v>20</v>
          </cell>
          <cell r="C4366" t="str">
            <v>02</v>
          </cell>
          <cell r="D4366" t="str">
            <v>2</v>
          </cell>
          <cell r="E4366" t="str">
            <v>0035</v>
          </cell>
          <cell r="F4366" t="str">
            <v>0002</v>
          </cell>
          <cell r="G4366" t="str">
            <v>40599</v>
          </cell>
          <cell r="H4366" t="str">
            <v>付邮费</v>
          </cell>
          <cell r="I4366" t="b">
            <v>1</v>
          </cell>
          <cell r="J4366">
            <v>143.5</v>
          </cell>
          <cell r="K4366">
            <v>0</v>
          </cell>
          <cell r="L4366">
            <v>0</v>
          </cell>
        </row>
        <row r="4367">
          <cell r="A4367" t="str">
            <v>02</v>
          </cell>
          <cell r="B4367" t="str">
            <v>20</v>
          </cell>
          <cell r="C4367" t="str">
            <v>02</v>
          </cell>
          <cell r="D4367" t="str">
            <v>2</v>
          </cell>
          <cell r="E4367" t="str">
            <v>0037</v>
          </cell>
          <cell r="F4367" t="str">
            <v>0001</v>
          </cell>
          <cell r="G4367" t="str">
            <v>40599</v>
          </cell>
          <cell r="H4367" t="str">
            <v>刻印</v>
          </cell>
          <cell r="I4367" t="b">
            <v>1</v>
          </cell>
          <cell r="J4367">
            <v>35</v>
          </cell>
          <cell r="K4367">
            <v>0</v>
          </cell>
          <cell r="L4367">
            <v>0</v>
          </cell>
        </row>
        <row r="4368">
          <cell r="A4368" t="str">
            <v>02</v>
          </cell>
          <cell r="B4368" t="str">
            <v>23</v>
          </cell>
          <cell r="C4368" t="str">
            <v>02</v>
          </cell>
          <cell r="D4368" t="str">
            <v>5</v>
          </cell>
          <cell r="E4368" t="str">
            <v>0015</v>
          </cell>
          <cell r="F4368" t="str">
            <v>0001</v>
          </cell>
          <cell r="G4368" t="str">
            <v>40599</v>
          </cell>
          <cell r="H4368" t="str">
            <v>转报销电话费</v>
          </cell>
          <cell r="I4368" t="b">
            <v>1</v>
          </cell>
          <cell r="J4368">
            <v>485</v>
          </cell>
          <cell r="K4368">
            <v>0</v>
          </cell>
          <cell r="L4368">
            <v>0</v>
          </cell>
        </row>
        <row r="4369">
          <cell r="A4369" t="str">
            <v>02</v>
          </cell>
          <cell r="B4369" t="str">
            <v>25</v>
          </cell>
          <cell r="C4369" t="str">
            <v>02</v>
          </cell>
          <cell r="D4369" t="str">
            <v>5</v>
          </cell>
          <cell r="E4369" t="str">
            <v>0017</v>
          </cell>
          <cell r="F4369" t="str">
            <v>0001</v>
          </cell>
          <cell r="G4369" t="str">
            <v>40599</v>
          </cell>
          <cell r="H4369" t="str">
            <v>转付中鲁美洲8-10月费用27991.55</v>
          </cell>
          <cell r="I4369" t="b">
            <v>1</v>
          </cell>
          <cell r="J4369">
            <v>231770.03</v>
          </cell>
          <cell r="K4369">
            <v>0</v>
          </cell>
          <cell r="L4369">
            <v>0</v>
          </cell>
        </row>
        <row r="4370">
          <cell r="A4370" t="str">
            <v>02</v>
          </cell>
          <cell r="B4370" t="str">
            <v>28</v>
          </cell>
          <cell r="C4370" t="str">
            <v>02</v>
          </cell>
          <cell r="D4370" t="str">
            <v>5</v>
          </cell>
          <cell r="E4370" t="str">
            <v>0041</v>
          </cell>
          <cell r="F4370" t="str">
            <v>0018</v>
          </cell>
          <cell r="G4370" t="str">
            <v>40599</v>
          </cell>
          <cell r="H4370" t="str">
            <v>转本月共同制造费用</v>
          </cell>
          <cell r="I4370" t="b">
            <v>1</v>
          </cell>
          <cell r="J4370">
            <v>-245615.63</v>
          </cell>
          <cell r="K4370">
            <v>0</v>
          </cell>
          <cell r="L4370">
            <v>0</v>
          </cell>
        </row>
        <row r="4371">
          <cell r="A4371" t="str">
            <v>02</v>
          </cell>
          <cell r="B4371" t="str">
            <v>29</v>
          </cell>
          <cell r="C4371" t="str">
            <v>02</v>
          </cell>
          <cell r="D4371" t="str">
            <v>5</v>
          </cell>
          <cell r="E4371" t="str">
            <v>0042</v>
          </cell>
          <cell r="F4371" t="str">
            <v>0045</v>
          </cell>
          <cell r="G4371" t="str">
            <v>40599</v>
          </cell>
          <cell r="H4371" t="str">
            <v>结转本月制造费用</v>
          </cell>
          <cell r="I4371" t="b">
            <v>0</v>
          </cell>
          <cell r="J4371">
            <v>11325.6</v>
          </cell>
          <cell r="K4371">
            <v>0</v>
          </cell>
          <cell r="L4371">
            <v>0</v>
          </cell>
        </row>
        <row r="4372">
          <cell r="A4372" t="str">
            <v>02</v>
          </cell>
          <cell r="B4372" t="str">
            <v>29</v>
          </cell>
          <cell r="C4372" t="str">
            <v>02</v>
          </cell>
          <cell r="D4372" t="str">
            <v>5</v>
          </cell>
          <cell r="E4372" t="str">
            <v>0042</v>
          </cell>
          <cell r="F4372" t="str">
            <v>0046</v>
          </cell>
          <cell r="G4372" t="str">
            <v>40599</v>
          </cell>
          <cell r="H4372" t="str">
            <v>结转本月制造费用</v>
          </cell>
          <cell r="I4372" t="b">
            <v>0</v>
          </cell>
          <cell r="J4372">
            <v>1821.5</v>
          </cell>
          <cell r="K4372">
            <v>0</v>
          </cell>
          <cell r="L4372">
            <v>0</v>
          </cell>
        </row>
        <row r="4373">
          <cell r="A4373" t="str">
            <v>02</v>
          </cell>
          <cell r="B4373" t="str">
            <v>29</v>
          </cell>
          <cell r="C4373" t="str">
            <v>02</v>
          </cell>
          <cell r="D4373" t="str">
            <v>5</v>
          </cell>
          <cell r="E4373" t="str">
            <v>0042</v>
          </cell>
          <cell r="F4373" t="str">
            <v>0047</v>
          </cell>
          <cell r="G4373" t="str">
            <v>40599</v>
          </cell>
          <cell r="H4373" t="str">
            <v>结转本月制造费用</v>
          </cell>
          <cell r="I4373" t="b">
            <v>0</v>
          </cell>
          <cell r="J4373">
            <v>555</v>
          </cell>
          <cell r="K4373">
            <v>0</v>
          </cell>
          <cell r="L4373">
            <v>0</v>
          </cell>
        </row>
        <row r="4374">
          <cell r="A4374" t="str">
            <v>02</v>
          </cell>
          <cell r="B4374" t="str">
            <v>29</v>
          </cell>
          <cell r="C4374" t="str">
            <v>02</v>
          </cell>
          <cell r="D4374" t="str">
            <v>5</v>
          </cell>
          <cell r="E4374" t="str">
            <v>0042</v>
          </cell>
          <cell r="F4374" t="str">
            <v>0048</v>
          </cell>
          <cell r="G4374" t="str">
            <v>40599</v>
          </cell>
          <cell r="H4374" t="str">
            <v>结转本月制造费用</v>
          </cell>
          <cell r="I4374" t="b">
            <v>0</v>
          </cell>
          <cell r="J4374">
            <v>143.5</v>
          </cell>
          <cell r="K4374">
            <v>0</v>
          </cell>
          <cell r="L4374">
            <v>0</v>
          </cell>
        </row>
        <row r="4375">
          <cell r="A4375" t="str">
            <v>02</v>
          </cell>
          <cell r="B4375" t="str">
            <v>29</v>
          </cell>
          <cell r="C4375" t="str">
            <v>02</v>
          </cell>
          <cell r="D4375" t="str">
            <v>5</v>
          </cell>
          <cell r="E4375" t="str">
            <v>0042</v>
          </cell>
          <cell r="F4375" t="str">
            <v>0049</v>
          </cell>
          <cell r="G4375" t="str">
            <v>40599</v>
          </cell>
          <cell r="H4375" t="str">
            <v>结转本月制造费用</v>
          </cell>
          <cell r="I4375" t="b">
            <v>0</v>
          </cell>
          <cell r="J4375">
            <v>231770.03</v>
          </cell>
          <cell r="K4375">
            <v>0</v>
          </cell>
          <cell r="L4375">
            <v>0</v>
          </cell>
        </row>
        <row r="4376">
          <cell r="A4376" t="str">
            <v>02</v>
          </cell>
          <cell r="B4376" t="str">
            <v>29</v>
          </cell>
          <cell r="C4376" t="str">
            <v>02</v>
          </cell>
          <cell r="D4376" t="str">
            <v>5</v>
          </cell>
          <cell r="E4376" t="str">
            <v>0042</v>
          </cell>
          <cell r="F4376" t="str">
            <v>0060</v>
          </cell>
          <cell r="G4376" t="str">
            <v>40599</v>
          </cell>
          <cell r="H4376" t="str">
            <v>结转本月制造费用</v>
          </cell>
          <cell r="I4376" t="b">
            <v>1</v>
          </cell>
          <cell r="J4376">
            <v>245615.63</v>
          </cell>
          <cell r="K4376">
            <v>0</v>
          </cell>
          <cell r="L4376">
            <v>0</v>
          </cell>
        </row>
        <row r="4377">
          <cell r="A4377" t="str">
            <v>03</v>
          </cell>
          <cell r="B4377" t="str">
            <v>05</v>
          </cell>
          <cell r="C4377" t="str">
            <v>03</v>
          </cell>
          <cell r="D4377" t="str">
            <v>2</v>
          </cell>
          <cell r="E4377" t="str">
            <v>0004</v>
          </cell>
          <cell r="F4377" t="str">
            <v>0001</v>
          </cell>
          <cell r="G4377" t="str">
            <v>40599</v>
          </cell>
          <cell r="H4377" t="str">
            <v>付一部邮费</v>
          </cell>
          <cell r="I4377" t="b">
            <v>1</v>
          </cell>
          <cell r="J4377">
            <v>19352</v>
          </cell>
          <cell r="K4377">
            <v>0</v>
          </cell>
          <cell r="L4377">
            <v>0</v>
          </cell>
        </row>
        <row r="4378">
          <cell r="A4378" t="str">
            <v>03</v>
          </cell>
          <cell r="B4378" t="str">
            <v>10</v>
          </cell>
          <cell r="C4378" t="str">
            <v>03</v>
          </cell>
          <cell r="D4378" t="str">
            <v>2</v>
          </cell>
          <cell r="E4378" t="str">
            <v>0006</v>
          </cell>
          <cell r="F4378" t="str">
            <v>0002</v>
          </cell>
          <cell r="G4378" t="str">
            <v>40599</v>
          </cell>
          <cell r="H4378" t="str">
            <v>付邮费</v>
          </cell>
          <cell r="I4378" t="b">
            <v>1</v>
          </cell>
          <cell r="J4378">
            <v>1751</v>
          </cell>
          <cell r="K4378">
            <v>0</v>
          </cell>
          <cell r="L4378">
            <v>0</v>
          </cell>
        </row>
        <row r="4379">
          <cell r="A4379" t="str">
            <v>03</v>
          </cell>
          <cell r="B4379" t="str">
            <v>10</v>
          </cell>
          <cell r="C4379" t="str">
            <v>03</v>
          </cell>
          <cell r="D4379" t="str">
            <v>2</v>
          </cell>
          <cell r="E4379" t="str">
            <v>0008</v>
          </cell>
          <cell r="F4379" t="str">
            <v>0002</v>
          </cell>
          <cell r="G4379" t="str">
            <v>40599</v>
          </cell>
          <cell r="H4379" t="str">
            <v>付邮费</v>
          </cell>
          <cell r="I4379" t="b">
            <v>1</v>
          </cell>
          <cell r="J4379">
            <v>241.3</v>
          </cell>
          <cell r="K4379">
            <v>0</v>
          </cell>
          <cell r="L4379">
            <v>0</v>
          </cell>
        </row>
        <row r="4380">
          <cell r="A4380" t="str">
            <v>03</v>
          </cell>
          <cell r="B4380" t="str">
            <v>10</v>
          </cell>
          <cell r="C4380" t="str">
            <v>03</v>
          </cell>
          <cell r="D4380" t="str">
            <v>2</v>
          </cell>
          <cell r="E4380" t="str">
            <v>0009</v>
          </cell>
          <cell r="F4380" t="str">
            <v>0001</v>
          </cell>
          <cell r="G4380" t="str">
            <v>40599</v>
          </cell>
          <cell r="H4380" t="str">
            <v>刻章</v>
          </cell>
          <cell r="I4380" t="b">
            <v>1</v>
          </cell>
          <cell r="J4380">
            <v>25</v>
          </cell>
          <cell r="K4380">
            <v>0</v>
          </cell>
          <cell r="L4380">
            <v>0</v>
          </cell>
        </row>
        <row r="4381">
          <cell r="A4381" t="str">
            <v>03</v>
          </cell>
          <cell r="B4381" t="str">
            <v>17</v>
          </cell>
          <cell r="C4381" t="str">
            <v>03</v>
          </cell>
          <cell r="D4381" t="str">
            <v>2</v>
          </cell>
          <cell r="E4381" t="str">
            <v>0016</v>
          </cell>
          <cell r="F4381" t="str">
            <v>0001</v>
          </cell>
          <cell r="G4381" t="str">
            <v>40599</v>
          </cell>
          <cell r="H4381" t="str">
            <v>付机件款</v>
          </cell>
          <cell r="I4381" t="b">
            <v>1</v>
          </cell>
          <cell r="J4381">
            <v>280</v>
          </cell>
          <cell r="K4381">
            <v>0</v>
          </cell>
          <cell r="L4381">
            <v>0</v>
          </cell>
        </row>
        <row r="4382">
          <cell r="A4382" t="str">
            <v>03</v>
          </cell>
          <cell r="B4382" t="str">
            <v>17</v>
          </cell>
          <cell r="C4382" t="str">
            <v>03</v>
          </cell>
          <cell r="D4382" t="str">
            <v>2</v>
          </cell>
          <cell r="E4382" t="str">
            <v>0016</v>
          </cell>
          <cell r="F4382" t="str">
            <v>0002</v>
          </cell>
          <cell r="G4382" t="str">
            <v>40599</v>
          </cell>
          <cell r="H4382" t="str">
            <v>付司机体检费.审验费.违章办班费</v>
          </cell>
          <cell r="I4382" t="b">
            <v>1</v>
          </cell>
          <cell r="J4382">
            <v>858</v>
          </cell>
          <cell r="K4382">
            <v>0</v>
          </cell>
          <cell r="L4382">
            <v>0</v>
          </cell>
        </row>
        <row r="4383">
          <cell r="A4383" t="str">
            <v>03</v>
          </cell>
          <cell r="B4383" t="str">
            <v>20</v>
          </cell>
          <cell r="C4383" t="str">
            <v>03</v>
          </cell>
          <cell r="D4383" t="str">
            <v>2</v>
          </cell>
          <cell r="E4383" t="str">
            <v>0018</v>
          </cell>
          <cell r="F4383" t="str">
            <v>0003</v>
          </cell>
          <cell r="G4383" t="str">
            <v>40599</v>
          </cell>
          <cell r="H4383" t="str">
            <v>付邮费</v>
          </cell>
          <cell r="I4383" t="b">
            <v>1</v>
          </cell>
          <cell r="J4383">
            <v>306</v>
          </cell>
          <cell r="K4383">
            <v>0</v>
          </cell>
          <cell r="L4383">
            <v>0</v>
          </cell>
        </row>
        <row r="4384">
          <cell r="A4384" t="str">
            <v>03</v>
          </cell>
          <cell r="B4384" t="str">
            <v>27</v>
          </cell>
          <cell r="C4384" t="str">
            <v>03</v>
          </cell>
          <cell r="D4384" t="str">
            <v>2</v>
          </cell>
          <cell r="E4384" t="str">
            <v>0027</v>
          </cell>
          <cell r="F4384" t="str">
            <v>0003</v>
          </cell>
          <cell r="G4384" t="str">
            <v>40599</v>
          </cell>
          <cell r="H4384" t="str">
            <v>付邮费</v>
          </cell>
          <cell r="I4384" t="b">
            <v>1</v>
          </cell>
          <cell r="J4384">
            <v>6018</v>
          </cell>
          <cell r="K4384">
            <v>0</v>
          </cell>
          <cell r="L4384">
            <v>0</v>
          </cell>
        </row>
        <row r="4385">
          <cell r="A4385" t="str">
            <v>03</v>
          </cell>
          <cell r="B4385" t="str">
            <v>14</v>
          </cell>
          <cell r="C4385" t="str">
            <v>03</v>
          </cell>
          <cell r="D4385" t="str">
            <v>4</v>
          </cell>
          <cell r="E4385" t="str">
            <v>0019</v>
          </cell>
          <cell r="F4385" t="str">
            <v>0004</v>
          </cell>
          <cell r="G4385" t="str">
            <v>40599</v>
          </cell>
          <cell r="H4385" t="str">
            <v>付购油款</v>
          </cell>
          <cell r="I4385" t="b">
            <v>1</v>
          </cell>
          <cell r="J4385">
            <v>3205.13</v>
          </cell>
          <cell r="K4385">
            <v>0</v>
          </cell>
          <cell r="L4385">
            <v>0</v>
          </cell>
        </row>
        <row r="4386">
          <cell r="A4386" t="str">
            <v>03</v>
          </cell>
          <cell r="B4386" t="str">
            <v>30</v>
          </cell>
          <cell r="C4386" t="str">
            <v>03</v>
          </cell>
          <cell r="D4386" t="str">
            <v>5</v>
          </cell>
          <cell r="E4386" t="str">
            <v>0024</v>
          </cell>
          <cell r="F4386" t="str">
            <v>0013</v>
          </cell>
          <cell r="G4386" t="str">
            <v>40599</v>
          </cell>
          <cell r="H4386" t="str">
            <v>转本月共同制造费用</v>
          </cell>
          <cell r="I4386" t="b">
            <v>1</v>
          </cell>
          <cell r="J4386">
            <v>-32036.43</v>
          </cell>
          <cell r="K4386">
            <v>0</v>
          </cell>
          <cell r="L4386">
            <v>0</v>
          </cell>
        </row>
        <row r="4387">
          <cell r="A4387" t="str">
            <v>03</v>
          </cell>
          <cell r="B4387" t="str">
            <v>30</v>
          </cell>
          <cell r="C4387" t="str">
            <v>03</v>
          </cell>
          <cell r="D4387" t="str">
            <v>5</v>
          </cell>
          <cell r="E4387" t="str">
            <v>0025</v>
          </cell>
          <cell r="F4387" t="str">
            <v>0028</v>
          </cell>
          <cell r="G4387" t="str">
            <v>40599</v>
          </cell>
          <cell r="H4387" t="str">
            <v>结转本月制造费用</v>
          </cell>
          <cell r="I4387" t="b">
            <v>0</v>
          </cell>
          <cell r="J4387">
            <v>2057</v>
          </cell>
          <cell r="K4387">
            <v>0</v>
          </cell>
          <cell r="L4387">
            <v>0</v>
          </cell>
        </row>
        <row r="4388">
          <cell r="A4388" t="str">
            <v>03</v>
          </cell>
          <cell r="B4388" t="str">
            <v>30</v>
          </cell>
          <cell r="C4388" t="str">
            <v>03</v>
          </cell>
          <cell r="D4388" t="str">
            <v>5</v>
          </cell>
          <cell r="E4388" t="str">
            <v>0025</v>
          </cell>
          <cell r="F4388" t="str">
            <v>0029</v>
          </cell>
          <cell r="G4388" t="str">
            <v>40599</v>
          </cell>
          <cell r="H4388" t="str">
            <v>结转本月制造费用</v>
          </cell>
          <cell r="I4388" t="b">
            <v>0</v>
          </cell>
          <cell r="J4388">
            <v>25395</v>
          </cell>
          <cell r="K4388">
            <v>0</v>
          </cell>
          <cell r="L4388">
            <v>0</v>
          </cell>
        </row>
        <row r="4389">
          <cell r="A4389" t="str">
            <v>03</v>
          </cell>
          <cell r="B4389" t="str">
            <v>30</v>
          </cell>
          <cell r="C4389" t="str">
            <v>03</v>
          </cell>
          <cell r="D4389" t="str">
            <v>5</v>
          </cell>
          <cell r="E4389" t="str">
            <v>0025</v>
          </cell>
          <cell r="F4389" t="str">
            <v>0030</v>
          </cell>
          <cell r="G4389" t="str">
            <v>40599</v>
          </cell>
          <cell r="H4389" t="str">
            <v>结转本月制造费用</v>
          </cell>
          <cell r="I4389" t="b">
            <v>0</v>
          </cell>
          <cell r="J4389">
            <v>241.3</v>
          </cell>
          <cell r="K4389">
            <v>0</v>
          </cell>
          <cell r="L4389">
            <v>0</v>
          </cell>
        </row>
        <row r="4390">
          <cell r="A4390" t="str">
            <v>03</v>
          </cell>
          <cell r="B4390" t="str">
            <v>30</v>
          </cell>
          <cell r="C4390" t="str">
            <v>03</v>
          </cell>
          <cell r="D4390" t="str">
            <v>5</v>
          </cell>
          <cell r="E4390" t="str">
            <v>0025</v>
          </cell>
          <cell r="F4390" t="str">
            <v>0031</v>
          </cell>
          <cell r="G4390" t="str">
            <v>40599</v>
          </cell>
          <cell r="H4390" t="str">
            <v>结转本月制造费用</v>
          </cell>
          <cell r="I4390" t="b">
            <v>0</v>
          </cell>
          <cell r="J4390">
            <v>1138</v>
          </cell>
          <cell r="K4390">
            <v>0</v>
          </cell>
          <cell r="L4390">
            <v>0</v>
          </cell>
        </row>
        <row r="4391">
          <cell r="A4391" t="str">
            <v>03</v>
          </cell>
          <cell r="B4391" t="str">
            <v>30</v>
          </cell>
          <cell r="C4391" t="str">
            <v>03</v>
          </cell>
          <cell r="D4391" t="str">
            <v>5</v>
          </cell>
          <cell r="E4391" t="str">
            <v>0025</v>
          </cell>
          <cell r="F4391" t="str">
            <v>0032</v>
          </cell>
          <cell r="G4391" t="str">
            <v>40599</v>
          </cell>
          <cell r="H4391" t="str">
            <v>结转本月制造费用</v>
          </cell>
          <cell r="I4391" t="b">
            <v>0</v>
          </cell>
          <cell r="J4391">
            <v>3205.13</v>
          </cell>
          <cell r="K4391">
            <v>0</v>
          </cell>
          <cell r="L4391">
            <v>0</v>
          </cell>
        </row>
        <row r="4392">
          <cell r="A4392" t="str">
            <v>03</v>
          </cell>
          <cell r="B4392" t="str">
            <v>30</v>
          </cell>
          <cell r="C4392" t="str">
            <v>03</v>
          </cell>
          <cell r="D4392" t="str">
            <v>5</v>
          </cell>
          <cell r="E4392" t="str">
            <v>0025</v>
          </cell>
          <cell r="F4392" t="str">
            <v>0040</v>
          </cell>
          <cell r="G4392" t="str">
            <v>40599</v>
          </cell>
          <cell r="H4392" t="str">
            <v>结转本月制造费用</v>
          </cell>
          <cell r="I4392" t="b">
            <v>1</v>
          </cell>
          <cell r="J4392">
            <v>32036.43</v>
          </cell>
          <cell r="K4392">
            <v>0</v>
          </cell>
          <cell r="L4392">
            <v>0</v>
          </cell>
        </row>
        <row r="4393">
          <cell r="A4393" t="str">
            <v>04</v>
          </cell>
          <cell r="B4393" t="str">
            <v>05</v>
          </cell>
          <cell r="C4393" t="str">
            <v>04</v>
          </cell>
          <cell r="D4393" t="str">
            <v>2</v>
          </cell>
          <cell r="E4393" t="str">
            <v>0003</v>
          </cell>
          <cell r="F4393" t="str">
            <v>0001</v>
          </cell>
          <cell r="G4393" t="str">
            <v>40599</v>
          </cell>
          <cell r="H4393" t="str">
            <v>刻印</v>
          </cell>
          <cell r="I4393" t="b">
            <v>1</v>
          </cell>
          <cell r="J4393">
            <v>574.29999999999995</v>
          </cell>
          <cell r="K4393">
            <v>0</v>
          </cell>
          <cell r="L4393">
            <v>0</v>
          </cell>
        </row>
        <row r="4394">
          <cell r="A4394" t="str">
            <v>04</v>
          </cell>
          <cell r="B4394" t="str">
            <v>10</v>
          </cell>
          <cell r="C4394" t="str">
            <v>04</v>
          </cell>
          <cell r="D4394" t="str">
            <v>2</v>
          </cell>
          <cell r="E4394" t="str">
            <v>0005</v>
          </cell>
          <cell r="F4394" t="str">
            <v>0001</v>
          </cell>
          <cell r="G4394" t="str">
            <v>40599</v>
          </cell>
          <cell r="H4394" t="str">
            <v>付邮费</v>
          </cell>
          <cell r="I4394" t="b">
            <v>1</v>
          </cell>
          <cell r="J4394">
            <v>46</v>
          </cell>
          <cell r="K4394">
            <v>0</v>
          </cell>
          <cell r="L4394">
            <v>0</v>
          </cell>
        </row>
        <row r="4395">
          <cell r="A4395" t="str">
            <v>04</v>
          </cell>
          <cell r="B4395" t="str">
            <v>08</v>
          </cell>
          <cell r="C4395" t="str">
            <v>04</v>
          </cell>
          <cell r="D4395" t="str">
            <v>4</v>
          </cell>
          <cell r="E4395" t="str">
            <v>0007</v>
          </cell>
          <cell r="F4395" t="str">
            <v>0001</v>
          </cell>
          <cell r="G4395" t="str">
            <v>40599</v>
          </cell>
          <cell r="H4395" t="str">
            <v>付邮递费</v>
          </cell>
          <cell r="I4395" t="b">
            <v>1</v>
          </cell>
          <cell r="J4395">
            <v>8779</v>
          </cell>
          <cell r="K4395">
            <v>0</v>
          </cell>
          <cell r="L4395">
            <v>0</v>
          </cell>
        </row>
        <row r="4396">
          <cell r="A4396" t="str">
            <v>04</v>
          </cell>
          <cell r="B4396" t="str">
            <v>10</v>
          </cell>
          <cell r="C4396" t="str">
            <v>04</v>
          </cell>
          <cell r="D4396" t="str">
            <v>4</v>
          </cell>
          <cell r="E4396" t="str">
            <v>0008</v>
          </cell>
          <cell r="F4396" t="str">
            <v>0001</v>
          </cell>
          <cell r="G4396" t="str">
            <v>40599</v>
          </cell>
          <cell r="H4396" t="str">
            <v>付邮递费</v>
          </cell>
          <cell r="I4396" t="b">
            <v>1</v>
          </cell>
          <cell r="J4396">
            <v>11785</v>
          </cell>
          <cell r="K4396">
            <v>0</v>
          </cell>
          <cell r="L4396">
            <v>0</v>
          </cell>
        </row>
        <row r="4397">
          <cell r="A4397" t="str">
            <v>04</v>
          </cell>
          <cell r="B4397" t="str">
            <v>25</v>
          </cell>
          <cell r="C4397" t="str">
            <v>04</v>
          </cell>
          <cell r="D4397" t="str">
            <v>5</v>
          </cell>
          <cell r="E4397" t="str">
            <v>0020</v>
          </cell>
          <cell r="F4397" t="str">
            <v>0013</v>
          </cell>
          <cell r="G4397" t="str">
            <v>40599</v>
          </cell>
          <cell r="H4397" t="str">
            <v>转本月共同制造费用</v>
          </cell>
          <cell r="I4397" t="b">
            <v>1</v>
          </cell>
          <cell r="J4397">
            <v>-21184.3</v>
          </cell>
          <cell r="K4397">
            <v>0</v>
          </cell>
          <cell r="L4397">
            <v>0</v>
          </cell>
        </row>
        <row r="4398">
          <cell r="A4398" t="str">
            <v>04</v>
          </cell>
          <cell r="B4398" t="str">
            <v>25</v>
          </cell>
          <cell r="C4398" t="str">
            <v>04</v>
          </cell>
          <cell r="D4398" t="str">
            <v>5</v>
          </cell>
          <cell r="E4398" t="str">
            <v>0021</v>
          </cell>
          <cell r="F4398" t="str">
            <v>0031</v>
          </cell>
          <cell r="G4398" t="str">
            <v>40599</v>
          </cell>
          <cell r="H4398" t="str">
            <v>结转本月制造费用</v>
          </cell>
          <cell r="I4398" t="b">
            <v>0</v>
          </cell>
          <cell r="J4398">
            <v>12359.3</v>
          </cell>
          <cell r="K4398">
            <v>0</v>
          </cell>
          <cell r="L4398">
            <v>0</v>
          </cell>
        </row>
        <row r="4399">
          <cell r="A4399" t="str">
            <v>04</v>
          </cell>
          <cell r="B4399" t="str">
            <v>25</v>
          </cell>
          <cell r="C4399" t="str">
            <v>04</v>
          </cell>
          <cell r="D4399" t="str">
            <v>5</v>
          </cell>
          <cell r="E4399" t="str">
            <v>0021</v>
          </cell>
          <cell r="F4399" t="str">
            <v>0032</v>
          </cell>
          <cell r="G4399" t="str">
            <v>40599</v>
          </cell>
          <cell r="H4399" t="str">
            <v>结转本月制造费用</v>
          </cell>
          <cell r="I4399" t="b">
            <v>0</v>
          </cell>
          <cell r="J4399">
            <v>8779</v>
          </cell>
          <cell r="K4399">
            <v>0</v>
          </cell>
          <cell r="L4399">
            <v>0</v>
          </cell>
        </row>
        <row r="4400">
          <cell r="A4400" t="str">
            <v>04</v>
          </cell>
          <cell r="B4400" t="str">
            <v>25</v>
          </cell>
          <cell r="C4400" t="str">
            <v>04</v>
          </cell>
          <cell r="D4400" t="str">
            <v>5</v>
          </cell>
          <cell r="E4400" t="str">
            <v>0021</v>
          </cell>
          <cell r="F4400" t="str">
            <v>0033</v>
          </cell>
          <cell r="G4400" t="str">
            <v>40599</v>
          </cell>
          <cell r="H4400" t="str">
            <v>结转本月制造费用</v>
          </cell>
          <cell r="I4400" t="b">
            <v>0</v>
          </cell>
          <cell r="J4400">
            <v>46</v>
          </cell>
          <cell r="K4400">
            <v>0</v>
          </cell>
          <cell r="L4400">
            <v>0</v>
          </cell>
        </row>
        <row r="4401">
          <cell r="A4401" t="str">
            <v>04</v>
          </cell>
          <cell r="B4401" t="str">
            <v>25</v>
          </cell>
          <cell r="C4401" t="str">
            <v>04</v>
          </cell>
          <cell r="D4401" t="str">
            <v>5</v>
          </cell>
          <cell r="E4401" t="str">
            <v>0021</v>
          </cell>
          <cell r="F4401" t="str">
            <v>0043</v>
          </cell>
          <cell r="G4401" t="str">
            <v>40599</v>
          </cell>
          <cell r="H4401" t="str">
            <v>结转本月制造费用</v>
          </cell>
          <cell r="I4401" t="b">
            <v>1</v>
          </cell>
          <cell r="J4401">
            <v>21184.3</v>
          </cell>
          <cell r="K4401">
            <v>0</v>
          </cell>
          <cell r="L4401">
            <v>0</v>
          </cell>
        </row>
        <row r="4402">
          <cell r="A4402" t="str">
            <v>05</v>
          </cell>
          <cell r="B4402" t="str">
            <v>15</v>
          </cell>
          <cell r="C4402" t="str">
            <v>05</v>
          </cell>
          <cell r="D4402" t="str">
            <v>2</v>
          </cell>
          <cell r="E4402" t="str">
            <v>0005</v>
          </cell>
          <cell r="F4402" t="str">
            <v>0001</v>
          </cell>
          <cell r="G4402" t="str">
            <v>40599</v>
          </cell>
          <cell r="H4402" t="str">
            <v>配钥匙</v>
          </cell>
          <cell r="I4402" t="b">
            <v>1</v>
          </cell>
          <cell r="J4402">
            <v>6</v>
          </cell>
          <cell r="K4402">
            <v>0</v>
          </cell>
          <cell r="L4402">
            <v>0</v>
          </cell>
        </row>
        <row r="4403">
          <cell r="A4403" t="str">
            <v>05</v>
          </cell>
          <cell r="B4403" t="str">
            <v>18</v>
          </cell>
          <cell r="C4403" t="str">
            <v>05</v>
          </cell>
          <cell r="D4403" t="str">
            <v>2</v>
          </cell>
          <cell r="E4403" t="str">
            <v>0007</v>
          </cell>
          <cell r="F4403" t="str">
            <v>0002</v>
          </cell>
          <cell r="G4403" t="str">
            <v>40599</v>
          </cell>
          <cell r="H4403" t="str">
            <v>付邮寄费</v>
          </cell>
          <cell r="I4403" t="b">
            <v>1</v>
          </cell>
          <cell r="J4403">
            <v>7162</v>
          </cell>
          <cell r="K4403">
            <v>0</v>
          </cell>
          <cell r="L4403">
            <v>0</v>
          </cell>
        </row>
        <row r="4404">
          <cell r="A4404" t="str">
            <v>05</v>
          </cell>
          <cell r="B4404" t="str">
            <v>18</v>
          </cell>
          <cell r="C4404" t="str">
            <v>05</v>
          </cell>
          <cell r="D4404" t="str">
            <v>2</v>
          </cell>
          <cell r="E4404" t="str">
            <v>0010</v>
          </cell>
          <cell r="F4404" t="str">
            <v>0001</v>
          </cell>
          <cell r="G4404" t="str">
            <v>40599</v>
          </cell>
          <cell r="H4404" t="str">
            <v>付传真费等</v>
          </cell>
          <cell r="I4404" t="b">
            <v>1</v>
          </cell>
          <cell r="J4404">
            <v>87.7</v>
          </cell>
          <cell r="K4404">
            <v>0</v>
          </cell>
          <cell r="L4404">
            <v>0</v>
          </cell>
        </row>
        <row r="4405">
          <cell r="A4405" t="str">
            <v>05</v>
          </cell>
          <cell r="B4405" t="str">
            <v>19</v>
          </cell>
          <cell r="C4405" t="str">
            <v>05</v>
          </cell>
          <cell r="D4405" t="str">
            <v>2</v>
          </cell>
          <cell r="E4405" t="str">
            <v>0011</v>
          </cell>
          <cell r="F4405" t="str">
            <v>0002</v>
          </cell>
          <cell r="G4405" t="str">
            <v>40599</v>
          </cell>
          <cell r="H4405" t="str">
            <v>付邮寄费</v>
          </cell>
          <cell r="I4405" t="b">
            <v>1</v>
          </cell>
          <cell r="J4405">
            <v>657</v>
          </cell>
          <cell r="K4405">
            <v>0</v>
          </cell>
          <cell r="L4405">
            <v>0</v>
          </cell>
        </row>
        <row r="4406">
          <cell r="A4406" t="str">
            <v>05</v>
          </cell>
          <cell r="B4406" t="str">
            <v>20</v>
          </cell>
          <cell r="C4406" t="str">
            <v>05</v>
          </cell>
          <cell r="D4406" t="str">
            <v>2</v>
          </cell>
          <cell r="E4406" t="str">
            <v>0014</v>
          </cell>
          <cell r="F4406" t="str">
            <v>0001</v>
          </cell>
          <cell r="G4406" t="str">
            <v>40599</v>
          </cell>
          <cell r="H4406" t="str">
            <v>付检测费等</v>
          </cell>
          <cell r="I4406" t="b">
            <v>1</v>
          </cell>
          <cell r="J4406">
            <v>780</v>
          </cell>
          <cell r="K4406">
            <v>0</v>
          </cell>
          <cell r="L4406">
            <v>0</v>
          </cell>
        </row>
        <row r="4407">
          <cell r="A4407" t="str">
            <v>05</v>
          </cell>
          <cell r="B4407" t="str">
            <v>27</v>
          </cell>
          <cell r="C4407" t="str">
            <v>05</v>
          </cell>
          <cell r="D4407" t="str">
            <v>5</v>
          </cell>
          <cell r="E4407" t="str">
            <v>0029</v>
          </cell>
          <cell r="F4407" t="str">
            <v>0013</v>
          </cell>
          <cell r="G4407" t="str">
            <v>40599</v>
          </cell>
          <cell r="H4407" t="str">
            <v>转本月共同制造费用</v>
          </cell>
          <cell r="I4407" t="b">
            <v>1</v>
          </cell>
          <cell r="J4407">
            <v>-8692.7000000000007</v>
          </cell>
          <cell r="K4407">
            <v>0</v>
          </cell>
          <cell r="L4407">
            <v>0</v>
          </cell>
        </row>
        <row r="4408">
          <cell r="A4408" t="str">
            <v>05</v>
          </cell>
          <cell r="B4408" t="str">
            <v>29</v>
          </cell>
          <cell r="C4408" t="str">
            <v>05</v>
          </cell>
          <cell r="D4408" t="str">
            <v>5</v>
          </cell>
          <cell r="E4408" t="str">
            <v>0030</v>
          </cell>
          <cell r="F4408" t="str">
            <v>0042</v>
          </cell>
          <cell r="G4408" t="str">
            <v>40599</v>
          </cell>
          <cell r="H4408" t="str">
            <v>结转本月制造费用</v>
          </cell>
          <cell r="I4408" t="b">
            <v>0</v>
          </cell>
          <cell r="J4408">
            <v>657</v>
          </cell>
          <cell r="K4408">
            <v>0</v>
          </cell>
          <cell r="L4408">
            <v>0</v>
          </cell>
        </row>
        <row r="4409">
          <cell r="A4409" t="str">
            <v>05</v>
          </cell>
          <cell r="B4409" t="str">
            <v>29</v>
          </cell>
          <cell r="C4409" t="str">
            <v>05</v>
          </cell>
          <cell r="D4409" t="str">
            <v>5</v>
          </cell>
          <cell r="E4409" t="str">
            <v>0030</v>
          </cell>
          <cell r="F4409" t="str">
            <v>0043</v>
          </cell>
          <cell r="G4409" t="str">
            <v>40599</v>
          </cell>
          <cell r="H4409" t="str">
            <v>结转本月制造费用</v>
          </cell>
          <cell r="I4409" t="b">
            <v>0</v>
          </cell>
          <cell r="J4409">
            <v>7249.7</v>
          </cell>
          <cell r="K4409">
            <v>0</v>
          </cell>
          <cell r="L4409">
            <v>0</v>
          </cell>
        </row>
        <row r="4410">
          <cell r="A4410" t="str">
            <v>05</v>
          </cell>
          <cell r="B4410" t="str">
            <v>29</v>
          </cell>
          <cell r="C4410" t="str">
            <v>05</v>
          </cell>
          <cell r="D4410" t="str">
            <v>5</v>
          </cell>
          <cell r="E4410" t="str">
            <v>0030</v>
          </cell>
          <cell r="F4410" t="str">
            <v>0044</v>
          </cell>
          <cell r="G4410" t="str">
            <v>40599</v>
          </cell>
          <cell r="H4410" t="str">
            <v>结转本月制造费用</v>
          </cell>
          <cell r="I4410" t="b">
            <v>0</v>
          </cell>
          <cell r="J4410">
            <v>6</v>
          </cell>
          <cell r="K4410">
            <v>0</v>
          </cell>
          <cell r="L4410">
            <v>0</v>
          </cell>
        </row>
        <row r="4411">
          <cell r="A4411" t="str">
            <v>05</v>
          </cell>
          <cell r="B4411" t="str">
            <v>29</v>
          </cell>
          <cell r="C4411" t="str">
            <v>05</v>
          </cell>
          <cell r="D4411" t="str">
            <v>5</v>
          </cell>
          <cell r="E4411" t="str">
            <v>0030</v>
          </cell>
          <cell r="F4411" t="str">
            <v>0045</v>
          </cell>
          <cell r="G4411" t="str">
            <v>40599</v>
          </cell>
          <cell r="H4411" t="str">
            <v>结转本月制造费用</v>
          </cell>
          <cell r="I4411" t="b">
            <v>0</v>
          </cell>
          <cell r="J4411">
            <v>780</v>
          </cell>
          <cell r="K4411">
            <v>0</v>
          </cell>
          <cell r="L4411">
            <v>0</v>
          </cell>
        </row>
        <row r="4412">
          <cell r="A4412" t="str">
            <v>05</v>
          </cell>
          <cell r="B4412" t="str">
            <v>29</v>
          </cell>
          <cell r="C4412" t="str">
            <v>05</v>
          </cell>
          <cell r="D4412" t="str">
            <v>5</v>
          </cell>
          <cell r="E4412" t="str">
            <v>0030</v>
          </cell>
          <cell r="F4412" t="str">
            <v>0055</v>
          </cell>
          <cell r="G4412" t="str">
            <v>40599</v>
          </cell>
          <cell r="H4412" t="str">
            <v>结转本月制造费用</v>
          </cell>
          <cell r="I4412" t="b">
            <v>1</v>
          </cell>
          <cell r="J4412">
            <v>8692.7000000000007</v>
          </cell>
          <cell r="K4412">
            <v>0</v>
          </cell>
          <cell r="L4412">
            <v>0</v>
          </cell>
        </row>
        <row r="4413">
          <cell r="A4413" t="str">
            <v>06</v>
          </cell>
          <cell r="B4413" t="str">
            <v>14</v>
          </cell>
          <cell r="C4413" t="str">
            <v>06</v>
          </cell>
          <cell r="D4413" t="str">
            <v>2</v>
          </cell>
          <cell r="E4413" t="str">
            <v>0012</v>
          </cell>
          <cell r="F4413" t="str">
            <v>0001</v>
          </cell>
          <cell r="G4413" t="str">
            <v>40599</v>
          </cell>
          <cell r="H4413" t="str">
            <v>付快递费等</v>
          </cell>
          <cell r="I4413" t="b">
            <v>1</v>
          </cell>
          <cell r="J4413">
            <v>402</v>
          </cell>
          <cell r="K4413">
            <v>0</v>
          </cell>
          <cell r="L4413">
            <v>0</v>
          </cell>
        </row>
        <row r="4414">
          <cell r="A4414" t="str">
            <v>06</v>
          </cell>
          <cell r="B4414" t="str">
            <v>14</v>
          </cell>
          <cell r="C4414" t="str">
            <v>06</v>
          </cell>
          <cell r="D4414" t="str">
            <v>2</v>
          </cell>
          <cell r="E4414" t="str">
            <v>0012</v>
          </cell>
          <cell r="F4414" t="str">
            <v>0004</v>
          </cell>
          <cell r="G4414" t="str">
            <v>40599</v>
          </cell>
          <cell r="H4414" t="str">
            <v>付快递费</v>
          </cell>
          <cell r="I4414" t="b">
            <v>1</v>
          </cell>
          <cell r="J4414">
            <v>3830</v>
          </cell>
          <cell r="K4414">
            <v>0</v>
          </cell>
          <cell r="L4414">
            <v>0</v>
          </cell>
        </row>
        <row r="4415">
          <cell r="A4415" t="str">
            <v>06</v>
          </cell>
          <cell r="B4415" t="str">
            <v>23</v>
          </cell>
          <cell r="C4415" t="str">
            <v>06</v>
          </cell>
          <cell r="D4415" t="str">
            <v>5</v>
          </cell>
          <cell r="E4415" t="str">
            <v>0020</v>
          </cell>
          <cell r="F4415" t="str">
            <v>0012</v>
          </cell>
          <cell r="G4415" t="str">
            <v>40599</v>
          </cell>
          <cell r="H4415" t="str">
            <v>转本月共同制造费用</v>
          </cell>
          <cell r="I4415" t="b">
            <v>1</v>
          </cell>
          <cell r="J4415">
            <v>-4232</v>
          </cell>
          <cell r="K4415">
            <v>0</v>
          </cell>
          <cell r="L4415">
            <v>0</v>
          </cell>
        </row>
        <row r="4416">
          <cell r="A4416" t="str">
            <v>06</v>
          </cell>
          <cell r="B4416" t="str">
            <v>25</v>
          </cell>
          <cell r="C4416" t="str">
            <v>06</v>
          </cell>
          <cell r="D4416" t="str">
            <v>5</v>
          </cell>
          <cell r="E4416" t="str">
            <v>0021</v>
          </cell>
          <cell r="F4416" t="str">
            <v>0026</v>
          </cell>
          <cell r="G4416" t="str">
            <v>40599</v>
          </cell>
          <cell r="H4416" t="str">
            <v>结转本月制造费用</v>
          </cell>
          <cell r="I4416" t="b">
            <v>0</v>
          </cell>
          <cell r="J4416">
            <v>402</v>
          </cell>
          <cell r="K4416">
            <v>0</v>
          </cell>
          <cell r="L4416">
            <v>0</v>
          </cell>
        </row>
        <row r="4417">
          <cell r="A4417" t="str">
            <v>06</v>
          </cell>
          <cell r="B4417" t="str">
            <v>25</v>
          </cell>
          <cell r="C4417" t="str">
            <v>06</v>
          </cell>
          <cell r="D4417" t="str">
            <v>5</v>
          </cell>
          <cell r="E4417" t="str">
            <v>0021</v>
          </cell>
          <cell r="F4417" t="str">
            <v>0027</v>
          </cell>
          <cell r="G4417" t="str">
            <v>40599</v>
          </cell>
          <cell r="H4417" t="str">
            <v>结转本月制造费用</v>
          </cell>
          <cell r="I4417" t="b">
            <v>0</v>
          </cell>
          <cell r="J4417">
            <v>3830</v>
          </cell>
          <cell r="K4417">
            <v>0</v>
          </cell>
          <cell r="L4417">
            <v>0</v>
          </cell>
        </row>
        <row r="4418">
          <cell r="A4418" t="str">
            <v>06</v>
          </cell>
          <cell r="B4418" t="str">
            <v>25</v>
          </cell>
          <cell r="C4418" t="str">
            <v>06</v>
          </cell>
          <cell r="D4418" t="str">
            <v>5</v>
          </cell>
          <cell r="E4418" t="str">
            <v>0021</v>
          </cell>
          <cell r="F4418" t="str">
            <v>0036</v>
          </cell>
          <cell r="G4418" t="str">
            <v>40599</v>
          </cell>
          <cell r="H4418" t="str">
            <v>结转本月制造费用</v>
          </cell>
          <cell r="I4418" t="b">
            <v>1</v>
          </cell>
          <cell r="J4418">
            <v>4232</v>
          </cell>
          <cell r="K4418">
            <v>0</v>
          </cell>
          <cell r="L4418">
            <v>0</v>
          </cell>
        </row>
        <row r="4419">
          <cell r="A4419" t="str">
            <v>07</v>
          </cell>
          <cell r="B4419" t="str">
            <v>20</v>
          </cell>
          <cell r="C4419" t="str">
            <v>07</v>
          </cell>
          <cell r="D4419" t="str">
            <v>2</v>
          </cell>
          <cell r="E4419" t="str">
            <v>0017</v>
          </cell>
          <cell r="F4419" t="str">
            <v>0001</v>
          </cell>
          <cell r="G4419" t="str">
            <v>40599</v>
          </cell>
          <cell r="H4419" t="str">
            <v>付氨基酸测试费</v>
          </cell>
          <cell r="I4419" t="b">
            <v>1</v>
          </cell>
          <cell r="J4419">
            <v>500</v>
          </cell>
          <cell r="K4419">
            <v>0</v>
          </cell>
          <cell r="L4419">
            <v>0</v>
          </cell>
        </row>
        <row r="4420">
          <cell r="A4420" t="str">
            <v>07</v>
          </cell>
          <cell r="B4420" t="str">
            <v>21</v>
          </cell>
          <cell r="C4420" t="str">
            <v>07</v>
          </cell>
          <cell r="D4420" t="str">
            <v>2</v>
          </cell>
          <cell r="E4420" t="str">
            <v>0019</v>
          </cell>
          <cell r="F4420" t="str">
            <v>0001</v>
          </cell>
          <cell r="G4420" t="str">
            <v>40599</v>
          </cell>
          <cell r="H4420" t="str">
            <v>付快递费</v>
          </cell>
          <cell r="I4420" t="b">
            <v>1</v>
          </cell>
          <cell r="J4420">
            <v>527.20000000000005</v>
          </cell>
          <cell r="K4420">
            <v>0</v>
          </cell>
          <cell r="L4420">
            <v>0</v>
          </cell>
        </row>
        <row r="4421">
          <cell r="A4421" t="str">
            <v>07</v>
          </cell>
          <cell r="B4421" t="str">
            <v>19</v>
          </cell>
          <cell r="C4421" t="str">
            <v>07</v>
          </cell>
          <cell r="D4421" t="str">
            <v>4</v>
          </cell>
          <cell r="E4421" t="str">
            <v>0019</v>
          </cell>
          <cell r="F4421" t="str">
            <v>0001</v>
          </cell>
          <cell r="G4421" t="str">
            <v>40599</v>
          </cell>
          <cell r="H4421" t="str">
            <v>付邮递费</v>
          </cell>
          <cell r="I4421" t="b">
            <v>1</v>
          </cell>
          <cell r="J4421">
            <v>5312</v>
          </cell>
          <cell r="K4421">
            <v>0</v>
          </cell>
          <cell r="L4421">
            <v>0</v>
          </cell>
        </row>
        <row r="4422">
          <cell r="A4422" t="str">
            <v>07</v>
          </cell>
          <cell r="B4422" t="str">
            <v>19</v>
          </cell>
          <cell r="C4422" t="str">
            <v>07</v>
          </cell>
          <cell r="D4422" t="str">
            <v>4</v>
          </cell>
          <cell r="E4422" t="str">
            <v>0019</v>
          </cell>
          <cell r="F4422" t="str">
            <v>0002</v>
          </cell>
          <cell r="G4422" t="str">
            <v>40599</v>
          </cell>
          <cell r="H4422" t="str">
            <v>付邮递费</v>
          </cell>
          <cell r="I4422" t="b">
            <v>1</v>
          </cell>
          <cell r="J4422">
            <v>1826</v>
          </cell>
          <cell r="K4422">
            <v>0</v>
          </cell>
          <cell r="L4422">
            <v>0</v>
          </cell>
        </row>
        <row r="4423">
          <cell r="A4423" t="str">
            <v>07</v>
          </cell>
          <cell r="B4423" t="str">
            <v>24</v>
          </cell>
          <cell r="C4423" t="str">
            <v>07</v>
          </cell>
          <cell r="D4423" t="str">
            <v>5</v>
          </cell>
          <cell r="E4423" t="str">
            <v>0012</v>
          </cell>
          <cell r="F4423" t="str">
            <v>0001</v>
          </cell>
          <cell r="G4423" t="str">
            <v>40599</v>
          </cell>
          <cell r="H4423" t="str">
            <v>转报销会议费</v>
          </cell>
          <cell r="I4423" t="b">
            <v>1</v>
          </cell>
          <cell r="J4423">
            <v>4120</v>
          </cell>
          <cell r="K4423">
            <v>0</v>
          </cell>
          <cell r="L4423">
            <v>0</v>
          </cell>
        </row>
        <row r="4424">
          <cell r="A4424" t="str">
            <v>07</v>
          </cell>
          <cell r="B4424" t="str">
            <v>24</v>
          </cell>
          <cell r="C4424" t="str">
            <v>07</v>
          </cell>
          <cell r="D4424" t="str">
            <v>5</v>
          </cell>
          <cell r="E4424" t="str">
            <v>0013</v>
          </cell>
          <cell r="F4424" t="str">
            <v>0002</v>
          </cell>
          <cell r="G4424" t="str">
            <v>40599</v>
          </cell>
          <cell r="H4424" t="str">
            <v>转报销会务费及资料费等</v>
          </cell>
          <cell r="I4424" t="b">
            <v>1</v>
          </cell>
          <cell r="J4424">
            <v>3292</v>
          </cell>
          <cell r="K4424">
            <v>0</v>
          </cell>
          <cell r="L4424">
            <v>0</v>
          </cell>
        </row>
        <row r="4425">
          <cell r="A4425" t="str">
            <v>07</v>
          </cell>
          <cell r="B4425" t="str">
            <v>27</v>
          </cell>
          <cell r="C4425" t="str">
            <v>07</v>
          </cell>
          <cell r="D4425" t="str">
            <v>5</v>
          </cell>
          <cell r="E4425" t="str">
            <v>0034</v>
          </cell>
          <cell r="F4425" t="str">
            <v>0012</v>
          </cell>
          <cell r="G4425" t="str">
            <v>40599</v>
          </cell>
          <cell r="H4425" t="str">
            <v>转本月共同制造费用</v>
          </cell>
          <cell r="I4425" t="b">
            <v>1</v>
          </cell>
          <cell r="J4425">
            <v>-15577.2</v>
          </cell>
          <cell r="K4425">
            <v>0</v>
          </cell>
          <cell r="L4425">
            <v>0</v>
          </cell>
        </row>
        <row r="4426">
          <cell r="A4426" t="str">
            <v>07</v>
          </cell>
          <cell r="B4426" t="str">
            <v>28</v>
          </cell>
          <cell r="C4426" t="str">
            <v>07</v>
          </cell>
          <cell r="D4426" t="str">
            <v>5</v>
          </cell>
          <cell r="E4426" t="str">
            <v>0035</v>
          </cell>
          <cell r="F4426" t="str">
            <v>0028</v>
          </cell>
          <cell r="G4426" t="str">
            <v>40599</v>
          </cell>
          <cell r="H4426" t="str">
            <v>结转本月制造费用</v>
          </cell>
          <cell r="I4426" t="b">
            <v>0</v>
          </cell>
          <cell r="J4426">
            <v>2353.1999999999998</v>
          </cell>
          <cell r="K4426">
            <v>0</v>
          </cell>
          <cell r="L4426">
            <v>0</v>
          </cell>
        </row>
        <row r="4427">
          <cell r="A4427" t="str">
            <v>07</v>
          </cell>
          <cell r="B4427" t="str">
            <v>28</v>
          </cell>
          <cell r="C4427" t="str">
            <v>07</v>
          </cell>
          <cell r="D4427" t="str">
            <v>5</v>
          </cell>
          <cell r="E4427" t="str">
            <v>0035</v>
          </cell>
          <cell r="F4427" t="str">
            <v>0029</v>
          </cell>
          <cell r="G4427" t="str">
            <v>40599</v>
          </cell>
          <cell r="H4427" t="str">
            <v>结转本月制造费用</v>
          </cell>
          <cell r="I4427" t="b">
            <v>0</v>
          </cell>
          <cell r="J4427">
            <v>9432</v>
          </cell>
          <cell r="K4427">
            <v>0</v>
          </cell>
          <cell r="L4427">
            <v>0</v>
          </cell>
        </row>
        <row r="4428">
          <cell r="A4428" t="str">
            <v>07</v>
          </cell>
          <cell r="B4428" t="str">
            <v>28</v>
          </cell>
          <cell r="C4428" t="str">
            <v>07</v>
          </cell>
          <cell r="D4428" t="str">
            <v>5</v>
          </cell>
          <cell r="E4428" t="str">
            <v>0035</v>
          </cell>
          <cell r="F4428" t="str">
            <v>0030</v>
          </cell>
          <cell r="G4428" t="str">
            <v>40599</v>
          </cell>
          <cell r="H4428" t="str">
            <v>结转本月制造费用</v>
          </cell>
          <cell r="I4428" t="b">
            <v>0</v>
          </cell>
          <cell r="J4428">
            <v>3792</v>
          </cell>
          <cell r="K4428">
            <v>0</v>
          </cell>
          <cell r="L4428">
            <v>0</v>
          </cell>
        </row>
        <row r="4429">
          <cell r="A4429" t="str">
            <v>07</v>
          </cell>
          <cell r="B4429" t="str">
            <v>28</v>
          </cell>
          <cell r="C4429" t="str">
            <v>07</v>
          </cell>
          <cell r="D4429" t="str">
            <v>5</v>
          </cell>
          <cell r="E4429" t="str">
            <v>0035</v>
          </cell>
          <cell r="F4429" t="str">
            <v>0039</v>
          </cell>
          <cell r="G4429" t="str">
            <v>40599</v>
          </cell>
          <cell r="H4429" t="str">
            <v>结转本月制造费用</v>
          </cell>
          <cell r="I4429" t="b">
            <v>1</v>
          </cell>
          <cell r="J4429">
            <v>15577.2</v>
          </cell>
          <cell r="K4429">
            <v>0</v>
          </cell>
          <cell r="L4429">
            <v>0</v>
          </cell>
        </row>
        <row r="4430">
          <cell r="A4430" t="str">
            <v>02</v>
          </cell>
          <cell r="B4430" t="str">
            <v>05</v>
          </cell>
          <cell r="C4430" t="str">
            <v>02</v>
          </cell>
          <cell r="D4430" t="str">
            <v>1</v>
          </cell>
          <cell r="E4430" t="str">
            <v>0006</v>
          </cell>
          <cell r="F4430" t="str">
            <v>0002</v>
          </cell>
          <cell r="G4430" t="str">
            <v>5010101</v>
          </cell>
          <cell r="H4430" t="str">
            <v>销苹果浓汁税款</v>
          </cell>
          <cell r="I4430" t="b">
            <v>0</v>
          </cell>
          <cell r="J4430">
            <v>10400</v>
          </cell>
          <cell r="K4430">
            <v>0</v>
          </cell>
          <cell r="L4430">
            <v>1.56</v>
          </cell>
        </row>
        <row r="4431">
          <cell r="A4431" t="str">
            <v>02</v>
          </cell>
          <cell r="B4431" t="str">
            <v>05</v>
          </cell>
          <cell r="C4431" t="str">
            <v>02</v>
          </cell>
          <cell r="D4431" t="str">
            <v>1</v>
          </cell>
          <cell r="E4431" t="str">
            <v>0006</v>
          </cell>
          <cell r="F4431" t="str">
            <v>0004</v>
          </cell>
          <cell r="G4431" t="str">
            <v>5010101</v>
          </cell>
          <cell r="H4431" t="str">
            <v>销苹果浓汁</v>
          </cell>
          <cell r="I4431" t="b">
            <v>0</v>
          </cell>
          <cell r="J4431">
            <v>3270</v>
          </cell>
          <cell r="K4431">
            <v>0</v>
          </cell>
          <cell r="L4431">
            <v>0.58499999999999996</v>
          </cell>
        </row>
        <row r="4432">
          <cell r="A4432" t="str">
            <v>02</v>
          </cell>
          <cell r="B4432" t="str">
            <v>16</v>
          </cell>
          <cell r="C4432" t="str">
            <v>02</v>
          </cell>
          <cell r="D4432" t="str">
            <v>1</v>
          </cell>
          <cell r="E4432" t="str">
            <v>0011</v>
          </cell>
          <cell r="F4432" t="str">
            <v>0002</v>
          </cell>
          <cell r="G4432" t="str">
            <v>5010101</v>
          </cell>
          <cell r="H4432" t="str">
            <v>销苹果浓汁</v>
          </cell>
          <cell r="I4432" t="b">
            <v>0</v>
          </cell>
          <cell r="J4432">
            <v>1743.59</v>
          </cell>
          <cell r="K4432">
            <v>0</v>
          </cell>
          <cell r="L4432">
            <v>0.27500000000000002</v>
          </cell>
        </row>
        <row r="4433">
          <cell r="A4433" t="str">
            <v>02</v>
          </cell>
          <cell r="B4433" t="str">
            <v>05</v>
          </cell>
          <cell r="C4433" t="str">
            <v>02</v>
          </cell>
          <cell r="D4433" t="str">
            <v>3</v>
          </cell>
          <cell r="E4433" t="str">
            <v>0003</v>
          </cell>
          <cell r="F4433" t="str">
            <v>0002</v>
          </cell>
          <cell r="G4433" t="str">
            <v>5010101</v>
          </cell>
          <cell r="H4433" t="str">
            <v>销苹果浓汁</v>
          </cell>
          <cell r="I4433" t="b">
            <v>0</v>
          </cell>
          <cell r="J4433">
            <v>29866.67</v>
          </cell>
          <cell r="K4433">
            <v>0</v>
          </cell>
          <cell r="L4433">
            <v>3.9</v>
          </cell>
        </row>
        <row r="4434">
          <cell r="A4434" t="str">
            <v>02</v>
          </cell>
          <cell r="B4434" t="str">
            <v>22</v>
          </cell>
          <cell r="C4434" t="str">
            <v>02</v>
          </cell>
          <cell r="D4434" t="str">
            <v>5</v>
          </cell>
          <cell r="E4434" t="str">
            <v>0006</v>
          </cell>
          <cell r="F4434" t="str">
            <v>0001</v>
          </cell>
          <cell r="G4434" t="str">
            <v>5010101</v>
          </cell>
          <cell r="H4434" t="str">
            <v>转销苹果浓汁27.92吨</v>
          </cell>
          <cell r="I4434" t="b">
            <v>0</v>
          </cell>
          <cell r="J4434">
            <v>188281.62</v>
          </cell>
          <cell r="K4434">
            <v>0</v>
          </cell>
          <cell r="L4434">
            <v>27.92</v>
          </cell>
        </row>
        <row r="4435">
          <cell r="A4435" t="str">
            <v>02</v>
          </cell>
          <cell r="B4435" t="str">
            <v>29</v>
          </cell>
          <cell r="C4435" t="str">
            <v>02</v>
          </cell>
          <cell r="D4435" t="str">
            <v>5</v>
          </cell>
          <cell r="E4435" t="str">
            <v>0044</v>
          </cell>
          <cell r="F4435" t="str">
            <v>0001</v>
          </cell>
          <cell r="G4435" t="str">
            <v>5010101</v>
          </cell>
          <cell r="H4435" t="str">
            <v>转销苹果浓汁1.56吨</v>
          </cell>
          <cell r="I4435" t="b">
            <v>0</v>
          </cell>
          <cell r="J4435">
            <v>6000</v>
          </cell>
          <cell r="K4435">
            <v>0</v>
          </cell>
          <cell r="L4435">
            <v>1.56</v>
          </cell>
        </row>
        <row r="4436">
          <cell r="A4436" t="str">
            <v>02</v>
          </cell>
          <cell r="B4436" t="str">
            <v>29</v>
          </cell>
          <cell r="C4436" t="str">
            <v>02</v>
          </cell>
          <cell r="D4436" t="str">
            <v>5</v>
          </cell>
          <cell r="E4436" t="str">
            <v>0053</v>
          </cell>
          <cell r="F4436" t="str">
            <v>0001</v>
          </cell>
          <cell r="G4436" t="str">
            <v>5010101</v>
          </cell>
          <cell r="H4436" t="str">
            <v>结转本月产品收入</v>
          </cell>
          <cell r="I4436" t="b">
            <v>1</v>
          </cell>
          <cell r="J4436">
            <v>239561.88</v>
          </cell>
          <cell r="K4436">
            <v>0</v>
          </cell>
          <cell r="L4436">
            <v>35.799999999999997</v>
          </cell>
        </row>
        <row r="4437">
          <cell r="A4437" t="str">
            <v>03</v>
          </cell>
          <cell r="B4437" t="str">
            <v>17</v>
          </cell>
          <cell r="C4437" t="str">
            <v>03</v>
          </cell>
          <cell r="D4437" t="str">
            <v>1</v>
          </cell>
          <cell r="E4437" t="str">
            <v>0002</v>
          </cell>
          <cell r="F4437" t="str">
            <v>0002</v>
          </cell>
          <cell r="G4437" t="str">
            <v>5010101</v>
          </cell>
          <cell r="H4437" t="str">
            <v>销苹果浓汁</v>
          </cell>
          <cell r="I4437" t="b">
            <v>0</v>
          </cell>
          <cell r="J4437">
            <v>47.86</v>
          </cell>
          <cell r="K4437">
            <v>0</v>
          </cell>
          <cell r="L4437">
            <v>7.0000000000000001E-3</v>
          </cell>
        </row>
        <row r="4438">
          <cell r="A4438" t="str">
            <v>03</v>
          </cell>
          <cell r="B4438" t="str">
            <v>21</v>
          </cell>
          <cell r="C4438" t="str">
            <v>03</v>
          </cell>
          <cell r="D4438" t="str">
            <v>1</v>
          </cell>
          <cell r="E4438" t="str">
            <v>0004</v>
          </cell>
          <cell r="F4438" t="str">
            <v>0002</v>
          </cell>
          <cell r="G4438" t="str">
            <v>5010101</v>
          </cell>
          <cell r="H4438" t="str">
            <v>销苹果浓汁</v>
          </cell>
          <cell r="I4438" t="b">
            <v>0</v>
          </cell>
          <cell r="J4438">
            <v>9333.34</v>
          </cell>
          <cell r="K4438">
            <v>0</v>
          </cell>
          <cell r="L4438">
            <v>1.365</v>
          </cell>
        </row>
        <row r="4439">
          <cell r="A4439" t="str">
            <v>03</v>
          </cell>
          <cell r="B4439" t="str">
            <v>27</v>
          </cell>
          <cell r="C4439" t="str">
            <v>03</v>
          </cell>
          <cell r="D4439" t="str">
            <v>1</v>
          </cell>
          <cell r="E4439" t="str">
            <v>0006</v>
          </cell>
          <cell r="F4439" t="str">
            <v>0002</v>
          </cell>
          <cell r="G4439" t="str">
            <v>5010101</v>
          </cell>
          <cell r="H4439" t="str">
            <v>销苹果浓汁</v>
          </cell>
          <cell r="I4439" t="b">
            <v>0</v>
          </cell>
          <cell r="J4439">
            <v>2666.67</v>
          </cell>
          <cell r="K4439">
            <v>0</v>
          </cell>
          <cell r="L4439">
            <v>0.39</v>
          </cell>
        </row>
        <row r="4440">
          <cell r="A4440" t="str">
            <v>03</v>
          </cell>
          <cell r="B4440" t="str">
            <v>12</v>
          </cell>
          <cell r="C4440" t="str">
            <v>03</v>
          </cell>
          <cell r="D4440" t="str">
            <v>3</v>
          </cell>
          <cell r="E4440" t="str">
            <v>0007</v>
          </cell>
          <cell r="F4440" t="str">
            <v>0003</v>
          </cell>
          <cell r="G4440" t="str">
            <v>5010101</v>
          </cell>
          <cell r="H4440" t="str">
            <v>内销0.78吨</v>
          </cell>
          <cell r="I4440" t="b">
            <v>0</v>
          </cell>
          <cell r="J4440">
            <v>5866.67</v>
          </cell>
          <cell r="K4440">
            <v>0</v>
          </cell>
          <cell r="L4440">
            <v>1.78</v>
          </cell>
        </row>
        <row r="4441">
          <cell r="A4441" t="str">
            <v>03</v>
          </cell>
          <cell r="B4441" t="str">
            <v>30</v>
          </cell>
          <cell r="C4441" t="str">
            <v>03</v>
          </cell>
          <cell r="D4441" t="str">
            <v>5</v>
          </cell>
          <cell r="E4441" t="str">
            <v>0029</v>
          </cell>
          <cell r="F4441" t="str">
            <v>0001</v>
          </cell>
          <cell r="G4441" t="str">
            <v>5010101</v>
          </cell>
          <cell r="H4441" t="str">
            <v>结转本月产品收入</v>
          </cell>
          <cell r="I4441" t="b">
            <v>1</v>
          </cell>
          <cell r="J4441">
            <v>17914.54</v>
          </cell>
          <cell r="K4441">
            <v>0</v>
          </cell>
          <cell r="L4441">
            <v>3.5419999999999998</v>
          </cell>
        </row>
        <row r="4442">
          <cell r="A4442" t="str">
            <v>04</v>
          </cell>
          <cell r="B4442" t="str">
            <v>20</v>
          </cell>
          <cell r="C4442" t="str">
            <v>04</v>
          </cell>
          <cell r="D4442" t="str">
            <v>1</v>
          </cell>
          <cell r="E4442" t="str">
            <v>0005</v>
          </cell>
          <cell r="F4442" t="str">
            <v>0002</v>
          </cell>
          <cell r="G4442" t="str">
            <v>5010101</v>
          </cell>
          <cell r="H4442" t="str">
            <v>转销苹果浓汁0.1吨</v>
          </cell>
          <cell r="I4442" t="b">
            <v>0</v>
          </cell>
          <cell r="J4442">
            <v>683.76</v>
          </cell>
          <cell r="K4442">
            <v>0</v>
          </cell>
          <cell r="L4442">
            <v>0.1</v>
          </cell>
        </row>
        <row r="4443">
          <cell r="A4443" t="str">
            <v>04</v>
          </cell>
          <cell r="B4443" t="str">
            <v>29</v>
          </cell>
          <cell r="C4443" t="str">
            <v>04</v>
          </cell>
          <cell r="D4443" t="str">
            <v>5</v>
          </cell>
          <cell r="E4443" t="str">
            <v>0035</v>
          </cell>
          <cell r="F4443" t="str">
            <v>0001</v>
          </cell>
          <cell r="G4443" t="str">
            <v>5010101</v>
          </cell>
          <cell r="H4443" t="str">
            <v>结转本月产品收入</v>
          </cell>
          <cell r="I4443" t="b">
            <v>1</v>
          </cell>
          <cell r="J4443">
            <v>683.76</v>
          </cell>
          <cell r="K4443">
            <v>0</v>
          </cell>
          <cell r="L4443">
            <v>0.1</v>
          </cell>
        </row>
        <row r="4444">
          <cell r="A4444" t="str">
            <v>07</v>
          </cell>
          <cell r="B4444" t="str">
            <v>03</v>
          </cell>
          <cell r="C4444" t="str">
            <v>07</v>
          </cell>
          <cell r="D4444" t="str">
            <v>1</v>
          </cell>
          <cell r="E4444" t="str">
            <v>0002</v>
          </cell>
          <cell r="F4444" t="str">
            <v>0002</v>
          </cell>
          <cell r="G4444" t="str">
            <v>5010101</v>
          </cell>
          <cell r="H4444" t="str">
            <v>销苹果浓汁</v>
          </cell>
          <cell r="I4444" t="b">
            <v>0</v>
          </cell>
          <cell r="J4444">
            <v>4247.8599999999997</v>
          </cell>
          <cell r="K4444">
            <v>0</v>
          </cell>
          <cell r="L4444">
            <v>0.63500000000000001</v>
          </cell>
        </row>
        <row r="4445">
          <cell r="A4445" t="str">
            <v>07</v>
          </cell>
          <cell r="B4445" t="str">
            <v>28</v>
          </cell>
          <cell r="C4445" t="str">
            <v>07</v>
          </cell>
          <cell r="D4445" t="str">
            <v>5</v>
          </cell>
          <cell r="E4445" t="str">
            <v>0036</v>
          </cell>
          <cell r="F4445" t="str">
            <v>0001</v>
          </cell>
          <cell r="G4445" t="str">
            <v>5010101</v>
          </cell>
          <cell r="H4445" t="str">
            <v>结转本月产品收入</v>
          </cell>
          <cell r="I4445" t="b">
            <v>1</v>
          </cell>
          <cell r="J4445">
            <v>4247.8599999999997</v>
          </cell>
          <cell r="K4445">
            <v>0</v>
          </cell>
          <cell r="L4445">
            <v>0.63500000000000001</v>
          </cell>
        </row>
        <row r="4446">
          <cell r="A4446" t="str">
            <v>08</v>
          </cell>
          <cell r="B4446" t="str">
            <v>15</v>
          </cell>
          <cell r="C4446" t="str">
            <v>08</v>
          </cell>
          <cell r="D4446" t="str">
            <v>1</v>
          </cell>
          <cell r="E4446" t="str">
            <v>0006</v>
          </cell>
          <cell r="F4446" t="str">
            <v>0002</v>
          </cell>
          <cell r="G4446" t="str">
            <v>5010101</v>
          </cell>
          <cell r="H4446" t="str">
            <v>销苹果浓汁</v>
          </cell>
          <cell r="I4446" t="b">
            <v>0</v>
          </cell>
          <cell r="J4446">
            <v>3805.98</v>
          </cell>
          <cell r="K4446">
            <v>0</v>
          </cell>
          <cell r="L4446">
            <v>0.57499999999999996</v>
          </cell>
        </row>
        <row r="4447">
          <cell r="A4447" t="str">
            <v>08</v>
          </cell>
          <cell r="B4447" t="str">
            <v>14</v>
          </cell>
          <cell r="C4447" t="str">
            <v>08</v>
          </cell>
          <cell r="D4447" t="str">
            <v>3</v>
          </cell>
          <cell r="E4447" t="str">
            <v>0005</v>
          </cell>
          <cell r="F4447" t="str">
            <v>0002</v>
          </cell>
          <cell r="G4447" t="str">
            <v>5010101</v>
          </cell>
          <cell r="H4447" t="str">
            <v>销浓汁</v>
          </cell>
          <cell r="I4447" t="b">
            <v>0</v>
          </cell>
          <cell r="J4447">
            <v>1000</v>
          </cell>
          <cell r="K4447">
            <v>0</v>
          </cell>
          <cell r="L4447">
            <v>0.15</v>
          </cell>
        </row>
        <row r="4448">
          <cell r="A4448" t="str">
            <v>08</v>
          </cell>
          <cell r="B4448" t="str">
            <v>27</v>
          </cell>
          <cell r="C4448" t="str">
            <v>08</v>
          </cell>
          <cell r="D4448" t="str">
            <v>5</v>
          </cell>
          <cell r="E4448" t="str">
            <v>0022</v>
          </cell>
          <cell r="F4448" t="str">
            <v>0002</v>
          </cell>
          <cell r="G4448" t="str">
            <v>5010101</v>
          </cell>
          <cell r="H4448" t="str">
            <v>转销苹果浓汁0.195吨</v>
          </cell>
          <cell r="I4448" t="b">
            <v>0</v>
          </cell>
          <cell r="J4448">
            <v>1461.54</v>
          </cell>
          <cell r="K4448">
            <v>0</v>
          </cell>
          <cell r="L4448">
            <v>0.19500000000000001</v>
          </cell>
        </row>
        <row r="4449">
          <cell r="A4449" t="str">
            <v>08</v>
          </cell>
          <cell r="B4449" t="str">
            <v>31</v>
          </cell>
          <cell r="C4449" t="str">
            <v>08</v>
          </cell>
          <cell r="D4449" t="str">
            <v>5</v>
          </cell>
          <cell r="E4449" t="str">
            <v>0032</v>
          </cell>
          <cell r="F4449" t="str">
            <v>0001</v>
          </cell>
          <cell r="G4449" t="str">
            <v>5010101</v>
          </cell>
          <cell r="H4449" t="str">
            <v>转本月产品收入</v>
          </cell>
          <cell r="I4449" t="b">
            <v>1</v>
          </cell>
          <cell r="J4449">
            <v>6267.52</v>
          </cell>
          <cell r="K4449">
            <v>0</v>
          </cell>
          <cell r="L4449">
            <v>0.92</v>
          </cell>
        </row>
        <row r="4450">
          <cell r="A4450" t="str">
            <v>09</v>
          </cell>
          <cell r="B4450" t="str">
            <v>01</v>
          </cell>
          <cell r="C4450" t="str">
            <v>09</v>
          </cell>
          <cell r="D4450" t="str">
            <v>1</v>
          </cell>
          <cell r="E4450" t="str">
            <v>0001</v>
          </cell>
          <cell r="F4450" t="str">
            <v>0002</v>
          </cell>
          <cell r="G4450" t="str">
            <v>5010101</v>
          </cell>
          <cell r="H4450" t="str">
            <v>销苹果浓汁</v>
          </cell>
          <cell r="I4450" t="b">
            <v>0</v>
          </cell>
          <cell r="J4450">
            <v>574.36</v>
          </cell>
          <cell r="K4450">
            <v>0</v>
          </cell>
          <cell r="L4450">
            <v>8.4000000000000005E-2</v>
          </cell>
        </row>
        <row r="4451">
          <cell r="A4451" t="str">
            <v>09</v>
          </cell>
          <cell r="B4451" t="str">
            <v>20</v>
          </cell>
          <cell r="C4451" t="str">
            <v>09</v>
          </cell>
          <cell r="D4451" t="str">
            <v>1</v>
          </cell>
          <cell r="E4451" t="str">
            <v>0006</v>
          </cell>
          <cell r="F4451" t="str">
            <v>0002</v>
          </cell>
          <cell r="G4451" t="str">
            <v>5010101</v>
          </cell>
          <cell r="H4451" t="str">
            <v>销苹果浓汁</v>
          </cell>
          <cell r="I4451" t="b">
            <v>0</v>
          </cell>
          <cell r="J4451">
            <v>615.38</v>
          </cell>
          <cell r="K4451">
            <v>0</v>
          </cell>
          <cell r="L4451">
            <v>0.09</v>
          </cell>
        </row>
        <row r="4452">
          <cell r="A4452" t="str">
            <v>09</v>
          </cell>
          <cell r="B4452" t="str">
            <v>30</v>
          </cell>
          <cell r="C4452" t="str">
            <v>09</v>
          </cell>
          <cell r="D4452" t="str">
            <v>5</v>
          </cell>
          <cell r="E4452" t="str">
            <v>0037</v>
          </cell>
          <cell r="F4452" t="str">
            <v>0001</v>
          </cell>
          <cell r="G4452" t="str">
            <v>5010101</v>
          </cell>
          <cell r="H4452" t="str">
            <v>转本月产品收入</v>
          </cell>
          <cell r="I4452" t="b">
            <v>1</v>
          </cell>
          <cell r="J4452">
            <v>1189.74</v>
          </cell>
          <cell r="K4452">
            <v>0</v>
          </cell>
          <cell r="L4452">
            <v>0.17399999999999999</v>
          </cell>
        </row>
        <row r="4453">
          <cell r="A4453" t="str">
            <v>10</v>
          </cell>
          <cell r="B4453" t="str">
            <v>20</v>
          </cell>
          <cell r="C4453" t="str">
            <v>10</v>
          </cell>
          <cell r="D4453" t="str">
            <v>1</v>
          </cell>
          <cell r="E4453" t="str">
            <v>0006</v>
          </cell>
          <cell r="F4453" t="str">
            <v>0004</v>
          </cell>
          <cell r="G4453" t="str">
            <v>5010101</v>
          </cell>
          <cell r="H4453" t="str">
            <v>收浓汁款</v>
          </cell>
          <cell r="I4453" t="b">
            <v>0</v>
          </cell>
          <cell r="J4453">
            <v>76.92</v>
          </cell>
          <cell r="K4453">
            <v>0</v>
          </cell>
          <cell r="L4453">
            <v>1.4999999999999999E-2</v>
          </cell>
        </row>
        <row r="4454">
          <cell r="A4454" t="str">
            <v>10</v>
          </cell>
          <cell r="B4454" t="str">
            <v>30</v>
          </cell>
          <cell r="C4454" t="str">
            <v>10</v>
          </cell>
          <cell r="D4454" t="str">
            <v>5</v>
          </cell>
          <cell r="E4454" t="str">
            <v>0031</v>
          </cell>
          <cell r="F4454" t="str">
            <v>0001</v>
          </cell>
          <cell r="G4454" t="str">
            <v>5010101</v>
          </cell>
          <cell r="H4454" t="str">
            <v>结转本月产品收入</v>
          </cell>
          <cell r="I4454" t="b">
            <v>1</v>
          </cell>
          <cell r="J4454">
            <v>76.92</v>
          </cell>
          <cell r="K4454">
            <v>0</v>
          </cell>
          <cell r="L4454">
            <v>1.4999999999999999E-2</v>
          </cell>
        </row>
        <row r="4455">
          <cell r="A4455" t="str">
            <v>11</v>
          </cell>
          <cell r="B4455" t="str">
            <v>08</v>
          </cell>
          <cell r="C4455" t="str">
            <v>11</v>
          </cell>
          <cell r="D4455" t="str">
            <v>1</v>
          </cell>
          <cell r="E4455" t="str">
            <v>0001</v>
          </cell>
          <cell r="F4455" t="str">
            <v>0002</v>
          </cell>
          <cell r="G4455" t="str">
            <v>5010101</v>
          </cell>
          <cell r="H4455" t="str">
            <v>销苹果浓汁</v>
          </cell>
          <cell r="I4455" t="b">
            <v>0</v>
          </cell>
          <cell r="J4455">
            <v>666.67</v>
          </cell>
          <cell r="K4455">
            <v>0</v>
          </cell>
          <cell r="L4455">
            <v>0.1</v>
          </cell>
        </row>
        <row r="4456">
          <cell r="A4456" t="str">
            <v>11</v>
          </cell>
          <cell r="B4456" t="str">
            <v>24</v>
          </cell>
          <cell r="C4456" t="str">
            <v>11</v>
          </cell>
          <cell r="D4456" t="str">
            <v>3</v>
          </cell>
          <cell r="E4456" t="str">
            <v>0007</v>
          </cell>
          <cell r="F4456" t="str">
            <v>0002</v>
          </cell>
          <cell r="G4456" t="str">
            <v>5010101</v>
          </cell>
          <cell r="H4456" t="str">
            <v>销苹果浓汁</v>
          </cell>
          <cell r="I4456" t="b">
            <v>0</v>
          </cell>
          <cell r="J4456">
            <v>259957.26</v>
          </cell>
          <cell r="K4456">
            <v>0</v>
          </cell>
          <cell r="L4456">
            <v>38.5</v>
          </cell>
        </row>
        <row r="4457">
          <cell r="A4457" t="str">
            <v>11</v>
          </cell>
          <cell r="B4457" t="str">
            <v>30</v>
          </cell>
          <cell r="C4457" t="str">
            <v>11</v>
          </cell>
          <cell r="D4457" t="str">
            <v>5</v>
          </cell>
          <cell r="E4457" t="str">
            <v>0034</v>
          </cell>
          <cell r="F4457" t="str">
            <v>0001</v>
          </cell>
          <cell r="G4457" t="str">
            <v>5010101</v>
          </cell>
          <cell r="H4457" t="str">
            <v>结转本月产品收入</v>
          </cell>
          <cell r="I4457" t="b">
            <v>1</v>
          </cell>
          <cell r="J4457">
            <v>260623.93</v>
          </cell>
          <cell r="K4457">
            <v>0</v>
          </cell>
          <cell r="L4457">
            <v>38.6</v>
          </cell>
        </row>
        <row r="4458">
          <cell r="A4458" t="str">
            <v>02</v>
          </cell>
          <cell r="B4458" t="str">
            <v>28</v>
          </cell>
          <cell r="C4458" t="str">
            <v>02</v>
          </cell>
          <cell r="D4458" t="str">
            <v>5</v>
          </cell>
          <cell r="E4458" t="str">
            <v>0028</v>
          </cell>
          <cell r="F4458" t="str">
            <v>0002</v>
          </cell>
          <cell r="G4458" t="str">
            <v>5010102</v>
          </cell>
          <cell r="H4458" t="str">
            <v>转JA990629发票出口收入</v>
          </cell>
          <cell r="I4458" t="b">
            <v>0</v>
          </cell>
          <cell r="J4458">
            <v>539878.57999999996</v>
          </cell>
          <cell r="K4458">
            <v>65325</v>
          </cell>
          <cell r="L4458">
            <v>77</v>
          </cell>
        </row>
        <row r="4459">
          <cell r="A4459" t="str">
            <v>02</v>
          </cell>
          <cell r="B4459" t="str">
            <v>28</v>
          </cell>
          <cell r="C4459" t="str">
            <v>02</v>
          </cell>
          <cell r="D4459" t="str">
            <v>5</v>
          </cell>
          <cell r="E4459" t="str">
            <v>0028</v>
          </cell>
          <cell r="F4459" t="str">
            <v>0005</v>
          </cell>
          <cell r="G4459" t="str">
            <v>5010102</v>
          </cell>
          <cell r="H4459" t="str">
            <v>转FVE9942-9946#发票出口收入</v>
          </cell>
          <cell r="I4459" t="b">
            <v>0</v>
          </cell>
          <cell r="J4459">
            <v>2826060.47</v>
          </cell>
          <cell r="K4459">
            <v>341840.1</v>
          </cell>
          <cell r="L4459">
            <v>491.04500000000002</v>
          </cell>
        </row>
        <row r="4460">
          <cell r="A4460" t="str">
            <v>02</v>
          </cell>
          <cell r="B4460" t="str">
            <v>28</v>
          </cell>
          <cell r="C4460" t="str">
            <v>02</v>
          </cell>
          <cell r="D4460" t="str">
            <v>5</v>
          </cell>
          <cell r="E4460" t="str">
            <v>0028</v>
          </cell>
          <cell r="F4460" t="str">
            <v>0008</v>
          </cell>
          <cell r="G4460" t="str">
            <v>5010102</v>
          </cell>
          <cell r="H4460" t="str">
            <v>转FVE9915#发票出口收入</v>
          </cell>
          <cell r="I4460" t="b">
            <v>0</v>
          </cell>
          <cell r="J4460">
            <v>551215.56000000006</v>
          </cell>
          <cell r="K4460">
            <v>66675</v>
          </cell>
          <cell r="L4460">
            <v>82.5</v>
          </cell>
        </row>
        <row r="4461">
          <cell r="A4461" t="str">
            <v>02</v>
          </cell>
          <cell r="B4461" t="str">
            <v>28</v>
          </cell>
          <cell r="C4461" t="str">
            <v>02</v>
          </cell>
          <cell r="D4461" t="str">
            <v>5</v>
          </cell>
          <cell r="E4461" t="str">
            <v>0028</v>
          </cell>
          <cell r="F4461" t="str">
            <v>0011</v>
          </cell>
          <cell r="G4461" t="str">
            <v>5010102</v>
          </cell>
          <cell r="H4461" t="str">
            <v>转FVE9916#发票出口收入</v>
          </cell>
          <cell r="I4461" t="b">
            <v>0</v>
          </cell>
          <cell r="J4461">
            <v>551215.56000000006</v>
          </cell>
          <cell r="K4461">
            <v>66675</v>
          </cell>
          <cell r="L4461">
            <v>82.5</v>
          </cell>
        </row>
        <row r="4462">
          <cell r="A4462" t="str">
            <v>02</v>
          </cell>
          <cell r="B4462" t="str">
            <v>28</v>
          </cell>
          <cell r="C4462" t="str">
            <v>02</v>
          </cell>
          <cell r="D4462" t="str">
            <v>5</v>
          </cell>
          <cell r="E4462" t="str">
            <v>0028</v>
          </cell>
          <cell r="F4462" t="str">
            <v>0014</v>
          </cell>
          <cell r="G4462" t="str">
            <v>5010102</v>
          </cell>
          <cell r="H4462" t="str">
            <v>转FVE9931#发票出口收入</v>
          </cell>
          <cell r="I4462" t="b">
            <v>0</v>
          </cell>
          <cell r="J4462">
            <v>242854.33</v>
          </cell>
          <cell r="K4462">
            <v>29376</v>
          </cell>
          <cell r="L4462">
            <v>39.6</v>
          </cell>
        </row>
        <row r="4463">
          <cell r="A4463" t="str">
            <v>02</v>
          </cell>
          <cell r="B4463" t="str">
            <v>28</v>
          </cell>
          <cell r="C4463" t="str">
            <v>02</v>
          </cell>
          <cell r="D4463" t="str">
            <v>5</v>
          </cell>
          <cell r="E4463" t="str">
            <v>0028</v>
          </cell>
          <cell r="F4463" t="str">
            <v>0017</v>
          </cell>
          <cell r="G4463" t="str">
            <v>5010102</v>
          </cell>
          <cell r="H4463" t="str">
            <v>转FVE9932#发票出口收入</v>
          </cell>
          <cell r="I4463" t="b">
            <v>0</v>
          </cell>
          <cell r="J4463">
            <v>489280.05</v>
          </cell>
          <cell r="K4463">
            <v>59184</v>
          </cell>
          <cell r="L4463">
            <v>79.2</v>
          </cell>
        </row>
        <row r="4464">
          <cell r="A4464" t="str">
            <v>02</v>
          </cell>
          <cell r="B4464" t="str">
            <v>28</v>
          </cell>
          <cell r="C4464" t="str">
            <v>02</v>
          </cell>
          <cell r="D4464" t="str">
            <v>5</v>
          </cell>
          <cell r="E4464" t="str">
            <v>0028</v>
          </cell>
          <cell r="F4464" t="str">
            <v>0020</v>
          </cell>
          <cell r="G4464" t="str">
            <v>5010102</v>
          </cell>
          <cell r="H4464" t="str">
            <v>转FVE9934#发票出口收入</v>
          </cell>
          <cell r="I4464" t="b">
            <v>0</v>
          </cell>
          <cell r="J4464">
            <v>485702.78</v>
          </cell>
          <cell r="K4464">
            <v>58752</v>
          </cell>
          <cell r="L4464">
            <v>79.2</v>
          </cell>
        </row>
        <row r="4465">
          <cell r="A4465" t="str">
            <v>02</v>
          </cell>
          <cell r="B4465" t="str">
            <v>28</v>
          </cell>
          <cell r="C4465" t="str">
            <v>02</v>
          </cell>
          <cell r="D4465" t="str">
            <v>5</v>
          </cell>
          <cell r="E4465" t="str">
            <v>0028</v>
          </cell>
          <cell r="F4465" t="str">
            <v>0023</v>
          </cell>
          <cell r="G4465" t="str">
            <v>5010102</v>
          </cell>
          <cell r="H4465" t="str">
            <v>转FVE9935#发票出口收入</v>
          </cell>
          <cell r="I4465" t="b">
            <v>0</v>
          </cell>
          <cell r="J4465">
            <v>489274.12</v>
          </cell>
          <cell r="K4465">
            <v>59184</v>
          </cell>
          <cell r="L4465">
            <v>79.2</v>
          </cell>
        </row>
        <row r="4466">
          <cell r="A4466" t="str">
            <v>02</v>
          </cell>
          <cell r="B4466" t="str">
            <v>28</v>
          </cell>
          <cell r="C4466" t="str">
            <v>02</v>
          </cell>
          <cell r="D4466" t="str">
            <v>5</v>
          </cell>
          <cell r="E4466" t="str">
            <v>0028</v>
          </cell>
          <cell r="F4466" t="str">
            <v>0026</v>
          </cell>
          <cell r="G4466" t="str">
            <v>5010102</v>
          </cell>
          <cell r="H4466" t="str">
            <v>转FVE9947#发票出口收入</v>
          </cell>
          <cell r="I4466" t="b">
            <v>0</v>
          </cell>
          <cell r="J4466">
            <v>485696.91</v>
          </cell>
          <cell r="K4466">
            <v>58752</v>
          </cell>
          <cell r="L4466">
            <v>79.2</v>
          </cell>
        </row>
        <row r="4467">
          <cell r="A4467" t="str">
            <v>02</v>
          </cell>
          <cell r="B4467" t="str">
            <v>28</v>
          </cell>
          <cell r="C4467" t="str">
            <v>02</v>
          </cell>
          <cell r="D4467" t="str">
            <v>5</v>
          </cell>
          <cell r="E4467" t="str">
            <v>0029</v>
          </cell>
          <cell r="F4467" t="str">
            <v>0002</v>
          </cell>
          <cell r="G4467" t="str">
            <v>5010102</v>
          </cell>
          <cell r="H4467" t="str">
            <v>转FVE9948#发票出口收入</v>
          </cell>
          <cell r="I4467" t="b">
            <v>0</v>
          </cell>
          <cell r="J4467">
            <v>485696.91</v>
          </cell>
          <cell r="K4467">
            <v>58752</v>
          </cell>
          <cell r="L4467">
            <v>79.2</v>
          </cell>
        </row>
        <row r="4468">
          <cell r="A4468" t="str">
            <v>02</v>
          </cell>
          <cell r="B4468" t="str">
            <v>28</v>
          </cell>
          <cell r="C4468" t="str">
            <v>02</v>
          </cell>
          <cell r="D4468" t="str">
            <v>5</v>
          </cell>
          <cell r="E4468" t="str">
            <v>0029</v>
          </cell>
          <cell r="F4468" t="str">
            <v>0005</v>
          </cell>
          <cell r="G4468" t="str">
            <v>5010102</v>
          </cell>
          <cell r="H4468" t="str">
            <v>转FVE9949#发票出口收入</v>
          </cell>
          <cell r="I4468" t="b">
            <v>0</v>
          </cell>
          <cell r="J4468">
            <v>242848.45</v>
          </cell>
          <cell r="K4468">
            <v>29376</v>
          </cell>
          <cell r="L4468">
            <v>39.6</v>
          </cell>
        </row>
        <row r="4469">
          <cell r="A4469" t="str">
            <v>02</v>
          </cell>
          <cell r="B4469" t="str">
            <v>28</v>
          </cell>
          <cell r="C4469" t="str">
            <v>02</v>
          </cell>
          <cell r="D4469" t="str">
            <v>5</v>
          </cell>
          <cell r="E4469" t="str">
            <v>0029</v>
          </cell>
          <cell r="F4469" t="str">
            <v>0008</v>
          </cell>
          <cell r="G4469" t="str">
            <v>5010102</v>
          </cell>
          <cell r="H4469" t="str">
            <v>转FVE9950#发票出口收入</v>
          </cell>
          <cell r="I4469" t="b">
            <v>0</v>
          </cell>
          <cell r="J4469">
            <v>611585.26</v>
          </cell>
          <cell r="K4469">
            <v>73980</v>
          </cell>
          <cell r="L4469">
            <v>99</v>
          </cell>
        </row>
        <row r="4470">
          <cell r="A4470" t="str">
            <v>02</v>
          </cell>
          <cell r="B4470" t="str">
            <v>28</v>
          </cell>
          <cell r="C4470" t="str">
            <v>02</v>
          </cell>
          <cell r="D4470" t="str">
            <v>5</v>
          </cell>
          <cell r="E4470" t="str">
            <v>0029</v>
          </cell>
          <cell r="F4470" t="str">
            <v>0011</v>
          </cell>
          <cell r="G4470" t="str">
            <v>5010102</v>
          </cell>
          <cell r="H4470" t="str">
            <v>转FVE9951#发票出口收入</v>
          </cell>
          <cell r="I4470" t="b">
            <v>0</v>
          </cell>
          <cell r="J4470">
            <v>485696.91</v>
          </cell>
          <cell r="K4470">
            <v>58752</v>
          </cell>
          <cell r="L4470">
            <v>79.2</v>
          </cell>
        </row>
        <row r="4471">
          <cell r="A4471" t="str">
            <v>02</v>
          </cell>
          <cell r="B4471" t="str">
            <v>28</v>
          </cell>
          <cell r="C4471" t="str">
            <v>02</v>
          </cell>
          <cell r="D4471" t="str">
            <v>5</v>
          </cell>
          <cell r="E4471" t="str">
            <v>0029</v>
          </cell>
          <cell r="F4471" t="str">
            <v>0014</v>
          </cell>
          <cell r="G4471" t="str">
            <v>5010102</v>
          </cell>
          <cell r="H4471" t="str">
            <v>转FVE9952#发票出口收入</v>
          </cell>
          <cell r="I4471" t="b">
            <v>0</v>
          </cell>
          <cell r="J4471">
            <v>119012.36</v>
          </cell>
          <cell r="K4471">
            <v>14396.25</v>
          </cell>
          <cell r="L4471">
            <v>19.25</v>
          </cell>
        </row>
        <row r="4472">
          <cell r="A4472" t="str">
            <v>02</v>
          </cell>
          <cell r="B4472" t="str">
            <v>28</v>
          </cell>
          <cell r="C4472" t="str">
            <v>02</v>
          </cell>
          <cell r="D4472" t="str">
            <v>5</v>
          </cell>
          <cell r="E4472" t="str">
            <v>0029</v>
          </cell>
          <cell r="F4472" t="str">
            <v>0017</v>
          </cell>
          <cell r="G4472" t="str">
            <v>5010102</v>
          </cell>
          <cell r="H4472" t="str">
            <v>转FVE9953#发票出口收入</v>
          </cell>
          <cell r="I4472" t="b">
            <v>0</v>
          </cell>
          <cell r="J4472">
            <v>123786.49</v>
          </cell>
          <cell r="K4472">
            <v>14973.75</v>
          </cell>
          <cell r="L4472">
            <v>19.25</v>
          </cell>
        </row>
        <row r="4473">
          <cell r="A4473" t="str">
            <v>02</v>
          </cell>
          <cell r="B4473" t="str">
            <v>28</v>
          </cell>
          <cell r="C4473" t="str">
            <v>02</v>
          </cell>
          <cell r="D4473" t="str">
            <v>5</v>
          </cell>
          <cell r="E4473" t="str">
            <v>0029</v>
          </cell>
          <cell r="F4473" t="str">
            <v>0020</v>
          </cell>
          <cell r="G4473" t="str">
            <v>5010102</v>
          </cell>
          <cell r="H4473" t="str">
            <v>转FVE9955#发票出口收入</v>
          </cell>
          <cell r="I4473" t="b">
            <v>0</v>
          </cell>
          <cell r="J4473">
            <v>326660.46000000002</v>
          </cell>
          <cell r="K4473">
            <v>39520</v>
          </cell>
          <cell r="L4473">
            <v>38.5</v>
          </cell>
        </row>
        <row r="4474">
          <cell r="A4474" t="str">
            <v>02</v>
          </cell>
          <cell r="B4474" t="str">
            <v>28</v>
          </cell>
          <cell r="C4474" t="str">
            <v>02</v>
          </cell>
          <cell r="D4474" t="str">
            <v>5</v>
          </cell>
          <cell r="E4474" t="str">
            <v>0029</v>
          </cell>
          <cell r="F4474" t="str">
            <v>0023</v>
          </cell>
          <cell r="G4474" t="str">
            <v>5010102</v>
          </cell>
          <cell r="H4474" t="str">
            <v>转FVE9956#发票出口收入</v>
          </cell>
          <cell r="I4474" t="b">
            <v>0</v>
          </cell>
          <cell r="J4474">
            <v>2347884.7999999998</v>
          </cell>
          <cell r="K4474">
            <v>284000</v>
          </cell>
          <cell r="L4474">
            <v>385</v>
          </cell>
        </row>
        <row r="4475">
          <cell r="A4475" t="str">
            <v>02</v>
          </cell>
          <cell r="B4475" t="str">
            <v>28</v>
          </cell>
          <cell r="C4475" t="str">
            <v>02</v>
          </cell>
          <cell r="D4475" t="str">
            <v>5</v>
          </cell>
          <cell r="E4475" t="str">
            <v>0029</v>
          </cell>
          <cell r="F4475" t="str">
            <v>0026</v>
          </cell>
          <cell r="G4475" t="str">
            <v>5010102</v>
          </cell>
          <cell r="H4475" t="str">
            <v>转FVE9958#发票出口收入</v>
          </cell>
          <cell r="I4475" t="b">
            <v>0</v>
          </cell>
          <cell r="J4475">
            <v>133969.98000000001</v>
          </cell>
          <cell r="K4475">
            <v>16205</v>
          </cell>
          <cell r="L4475">
            <v>19.25</v>
          </cell>
        </row>
        <row r="4476">
          <cell r="A4476" t="str">
            <v>02</v>
          </cell>
          <cell r="B4476" t="str">
            <v>28</v>
          </cell>
          <cell r="C4476" t="str">
            <v>02</v>
          </cell>
          <cell r="D4476" t="str">
            <v>5</v>
          </cell>
          <cell r="E4476" t="str">
            <v>0029</v>
          </cell>
          <cell r="F4476" t="str">
            <v>0029</v>
          </cell>
          <cell r="G4476" t="str">
            <v>5010102</v>
          </cell>
          <cell r="H4476" t="str">
            <v>转FVE9960#发票出口收入</v>
          </cell>
          <cell r="I4476" t="b">
            <v>0</v>
          </cell>
          <cell r="J4476">
            <v>245506.26</v>
          </cell>
          <cell r="K4476">
            <v>29697.5</v>
          </cell>
          <cell r="L4476">
            <v>38.5</v>
          </cell>
        </row>
        <row r="4477">
          <cell r="A4477" t="str">
            <v>02</v>
          </cell>
          <cell r="B4477" t="str">
            <v>28</v>
          </cell>
          <cell r="C4477" t="str">
            <v>02</v>
          </cell>
          <cell r="D4477" t="str">
            <v>5</v>
          </cell>
          <cell r="E4477" t="str">
            <v>0029</v>
          </cell>
          <cell r="F4477" t="str">
            <v>0032</v>
          </cell>
          <cell r="G4477" t="str">
            <v>5010102</v>
          </cell>
          <cell r="H4477" t="str">
            <v>转FVE9962#发票出口收入</v>
          </cell>
          <cell r="I4477" t="b">
            <v>0</v>
          </cell>
          <cell r="J4477">
            <v>662964.05000000005</v>
          </cell>
          <cell r="K4477">
            <v>80195</v>
          </cell>
          <cell r="L4477">
            <v>99</v>
          </cell>
        </row>
        <row r="4478">
          <cell r="A4478" t="str">
            <v>02</v>
          </cell>
          <cell r="B4478" t="str">
            <v>28</v>
          </cell>
          <cell r="C4478" t="str">
            <v>02</v>
          </cell>
          <cell r="D4478" t="str">
            <v>5</v>
          </cell>
          <cell r="E4478" t="str">
            <v>0029</v>
          </cell>
          <cell r="F4478" t="str">
            <v>0035</v>
          </cell>
          <cell r="G4478" t="str">
            <v>5010102</v>
          </cell>
          <cell r="H4478" t="str">
            <v>转FVE9965#发票出口收入</v>
          </cell>
          <cell r="I4478" t="b">
            <v>0</v>
          </cell>
          <cell r="J4478">
            <v>611239.59</v>
          </cell>
          <cell r="K4478">
            <v>73952.5</v>
          </cell>
          <cell r="L4478">
            <v>96.25</v>
          </cell>
        </row>
        <row r="4479">
          <cell r="A4479" t="str">
            <v>02</v>
          </cell>
          <cell r="B4479" t="str">
            <v>28</v>
          </cell>
          <cell r="C4479" t="str">
            <v>02</v>
          </cell>
          <cell r="D4479" t="str">
            <v>5</v>
          </cell>
          <cell r="E4479" t="str">
            <v>0029</v>
          </cell>
          <cell r="F4479" t="str">
            <v>0038</v>
          </cell>
          <cell r="G4479" t="str">
            <v>5010102</v>
          </cell>
          <cell r="H4479" t="str">
            <v>转FVE9967#发票出口收入</v>
          </cell>
          <cell r="I4479" t="b">
            <v>0</v>
          </cell>
          <cell r="J4479">
            <v>2684235.89</v>
          </cell>
          <cell r="K4479">
            <v>324740</v>
          </cell>
          <cell r="L4479">
            <v>396</v>
          </cell>
        </row>
        <row r="4480">
          <cell r="A4480" t="str">
            <v>02</v>
          </cell>
          <cell r="B4480" t="str">
            <v>29</v>
          </cell>
          <cell r="C4480" t="str">
            <v>02</v>
          </cell>
          <cell r="D4480" t="str">
            <v>5</v>
          </cell>
          <cell r="E4480" t="str">
            <v>0053</v>
          </cell>
          <cell r="F4480" t="str">
            <v>0002</v>
          </cell>
          <cell r="G4480" t="str">
            <v>5010102</v>
          </cell>
          <cell r="H4480" t="str">
            <v>结转本月产品收入</v>
          </cell>
          <cell r="I4480" t="b">
            <v>1</v>
          </cell>
          <cell r="J4480">
            <v>15742265.77</v>
          </cell>
          <cell r="K4480">
            <v>0</v>
          </cell>
          <cell r="L4480">
            <v>2497.4450000000002</v>
          </cell>
        </row>
        <row r="4481">
          <cell r="A4481" t="str">
            <v>03</v>
          </cell>
          <cell r="B4481" t="str">
            <v>28</v>
          </cell>
          <cell r="C4481" t="str">
            <v>03</v>
          </cell>
          <cell r="D4481" t="str">
            <v>5</v>
          </cell>
          <cell r="E4481" t="str">
            <v>0015</v>
          </cell>
          <cell r="F4481" t="str">
            <v>0002</v>
          </cell>
          <cell r="G4481" t="str">
            <v>5010102</v>
          </cell>
          <cell r="H4481" t="str">
            <v>转FVE9911发票出口收入</v>
          </cell>
          <cell r="I4481" t="b">
            <v>0</v>
          </cell>
          <cell r="J4481">
            <v>661482.68000000005</v>
          </cell>
          <cell r="K4481">
            <v>80010</v>
          </cell>
          <cell r="L4481">
            <v>99</v>
          </cell>
        </row>
        <row r="4482">
          <cell r="A4482" t="str">
            <v>03</v>
          </cell>
          <cell r="B4482" t="str">
            <v>28</v>
          </cell>
          <cell r="C4482" t="str">
            <v>03</v>
          </cell>
          <cell r="D4482" t="str">
            <v>5</v>
          </cell>
          <cell r="E4482" t="str">
            <v>0015</v>
          </cell>
          <cell r="F4482" t="str">
            <v>0005</v>
          </cell>
          <cell r="G4482" t="str">
            <v>5010102</v>
          </cell>
          <cell r="H4482" t="str">
            <v>转FVE9912发票出口收入</v>
          </cell>
          <cell r="I4482" t="b">
            <v>0</v>
          </cell>
          <cell r="J4482">
            <v>551235.57999999996</v>
          </cell>
          <cell r="K4482">
            <v>66675</v>
          </cell>
          <cell r="L4482">
            <v>82.5</v>
          </cell>
        </row>
        <row r="4483">
          <cell r="A4483" t="str">
            <v>03</v>
          </cell>
          <cell r="B4483" t="str">
            <v>28</v>
          </cell>
          <cell r="C4483" t="str">
            <v>03</v>
          </cell>
          <cell r="D4483" t="str">
            <v>5</v>
          </cell>
          <cell r="E4483" t="str">
            <v>0015</v>
          </cell>
          <cell r="F4483" t="str">
            <v>0008</v>
          </cell>
          <cell r="G4483" t="str">
            <v>5010102</v>
          </cell>
          <cell r="H4483" t="str">
            <v>转FVE9920发票出口收入</v>
          </cell>
          <cell r="I4483" t="b">
            <v>0</v>
          </cell>
          <cell r="J4483">
            <v>541542.93999999994</v>
          </cell>
          <cell r="K4483">
            <v>65505</v>
          </cell>
          <cell r="L4483">
            <v>77</v>
          </cell>
        </row>
        <row r="4484">
          <cell r="A4484" t="str">
            <v>03</v>
          </cell>
          <cell r="B4484" t="str">
            <v>28</v>
          </cell>
          <cell r="C4484" t="str">
            <v>03</v>
          </cell>
          <cell r="D4484" t="str">
            <v>5</v>
          </cell>
          <cell r="E4484" t="str">
            <v>0015</v>
          </cell>
          <cell r="F4484" t="str">
            <v>0011</v>
          </cell>
          <cell r="G4484" t="str">
            <v>5010102</v>
          </cell>
          <cell r="H4484" t="str">
            <v>转FVE9954发票出口收入</v>
          </cell>
          <cell r="I4484" t="b">
            <v>0</v>
          </cell>
          <cell r="J4484">
            <v>120450.59</v>
          </cell>
          <cell r="K4484">
            <v>14573.75</v>
          </cell>
          <cell r="L4484">
            <v>19.25</v>
          </cell>
        </row>
        <row r="4485">
          <cell r="A4485" t="str">
            <v>03</v>
          </cell>
          <cell r="B4485" t="str">
            <v>28</v>
          </cell>
          <cell r="C4485" t="str">
            <v>03</v>
          </cell>
          <cell r="D4485" t="str">
            <v>5</v>
          </cell>
          <cell r="E4485" t="str">
            <v>0015</v>
          </cell>
          <cell r="F4485" t="str">
            <v>0014</v>
          </cell>
          <cell r="G4485" t="str">
            <v>5010102</v>
          </cell>
          <cell r="H4485" t="str">
            <v>转FVE9957发票出口收入</v>
          </cell>
          <cell r="I4485" t="b">
            <v>0</v>
          </cell>
          <cell r="J4485">
            <v>126243.2</v>
          </cell>
          <cell r="K4485">
            <v>15270</v>
          </cell>
          <cell r="L4485">
            <v>19.25</v>
          </cell>
        </row>
        <row r="4486">
          <cell r="A4486" t="str">
            <v>03</v>
          </cell>
          <cell r="B4486" t="str">
            <v>28</v>
          </cell>
          <cell r="C4486" t="str">
            <v>03</v>
          </cell>
          <cell r="D4486" t="str">
            <v>5</v>
          </cell>
          <cell r="E4486" t="str">
            <v>0015</v>
          </cell>
          <cell r="F4486" t="str">
            <v>0017</v>
          </cell>
          <cell r="G4486" t="str">
            <v>5010102</v>
          </cell>
          <cell r="H4486" t="str">
            <v>转FVE9961发票出口收入</v>
          </cell>
          <cell r="I4486" t="b">
            <v>0</v>
          </cell>
          <cell r="J4486">
            <v>326628.84999999998</v>
          </cell>
          <cell r="K4486">
            <v>39520</v>
          </cell>
          <cell r="L4486">
            <v>38.5</v>
          </cell>
        </row>
        <row r="4487">
          <cell r="A4487" t="str">
            <v>03</v>
          </cell>
          <cell r="B4487" t="str">
            <v>28</v>
          </cell>
          <cell r="C4487" t="str">
            <v>03</v>
          </cell>
          <cell r="D4487" t="str">
            <v>5</v>
          </cell>
          <cell r="E4487" t="str">
            <v>0015</v>
          </cell>
          <cell r="F4487" t="str">
            <v>0020</v>
          </cell>
          <cell r="G4487" t="str">
            <v>5010102</v>
          </cell>
          <cell r="H4487" t="str">
            <v>转FVE9963发票出口收入</v>
          </cell>
          <cell r="I4487" t="b">
            <v>0</v>
          </cell>
          <cell r="J4487">
            <v>602311.23</v>
          </cell>
          <cell r="K4487">
            <v>72868.75</v>
          </cell>
          <cell r="L4487">
            <v>96.25</v>
          </cell>
        </row>
        <row r="4488">
          <cell r="A4488" t="str">
            <v>03</v>
          </cell>
          <cell r="B4488" t="str">
            <v>28</v>
          </cell>
          <cell r="C4488" t="str">
            <v>03</v>
          </cell>
          <cell r="D4488" t="str">
            <v>5</v>
          </cell>
          <cell r="E4488" t="str">
            <v>0015</v>
          </cell>
          <cell r="F4488" t="str">
            <v>0023</v>
          </cell>
          <cell r="G4488" t="str">
            <v>5010102</v>
          </cell>
          <cell r="H4488" t="str">
            <v>转FVE9971发票出口收入</v>
          </cell>
          <cell r="I4488" t="b">
            <v>0</v>
          </cell>
          <cell r="J4488">
            <v>2200542.42</v>
          </cell>
          <cell r="K4488">
            <v>266229</v>
          </cell>
          <cell r="L4488">
            <v>346.5</v>
          </cell>
        </row>
        <row r="4489">
          <cell r="A4489" t="str">
            <v>03</v>
          </cell>
          <cell r="B4489" t="str">
            <v>30</v>
          </cell>
          <cell r="C4489" t="str">
            <v>03</v>
          </cell>
          <cell r="D4489" t="str">
            <v>5</v>
          </cell>
          <cell r="E4489" t="str">
            <v>0029</v>
          </cell>
          <cell r="F4489" t="str">
            <v>0002</v>
          </cell>
          <cell r="G4489" t="str">
            <v>5010102</v>
          </cell>
          <cell r="H4489" t="str">
            <v>结转本月产品收入</v>
          </cell>
          <cell r="I4489" t="b">
            <v>1</v>
          </cell>
          <cell r="J4489">
            <v>5130437.49</v>
          </cell>
          <cell r="K4489">
            <v>0</v>
          </cell>
          <cell r="L4489">
            <v>778.25</v>
          </cell>
        </row>
        <row r="4490">
          <cell r="A4490" t="str">
            <v>04</v>
          </cell>
          <cell r="B4490" t="str">
            <v>26</v>
          </cell>
          <cell r="C4490" t="str">
            <v>04</v>
          </cell>
          <cell r="D4490" t="str">
            <v>5</v>
          </cell>
          <cell r="E4490" t="str">
            <v>0024</v>
          </cell>
          <cell r="F4490" t="str">
            <v>0002</v>
          </cell>
          <cell r="G4490" t="str">
            <v>5010102</v>
          </cell>
          <cell r="H4490" t="str">
            <v>转FVE9966发票出口收入</v>
          </cell>
          <cell r="I4490" t="b">
            <v>0</v>
          </cell>
          <cell r="J4490">
            <v>2130972.77</v>
          </cell>
          <cell r="K4490">
            <v>257775</v>
          </cell>
          <cell r="L4490">
            <v>288.75</v>
          </cell>
        </row>
        <row r="4491">
          <cell r="A4491" t="str">
            <v>04</v>
          </cell>
          <cell r="B4491" t="str">
            <v>26</v>
          </cell>
          <cell r="C4491" t="str">
            <v>04</v>
          </cell>
          <cell r="D4491" t="str">
            <v>5</v>
          </cell>
          <cell r="E4491" t="str">
            <v>0024</v>
          </cell>
          <cell r="F4491" t="str">
            <v>0005</v>
          </cell>
          <cell r="G4491" t="str">
            <v>5010102</v>
          </cell>
          <cell r="H4491" t="str">
            <v>转FVE9968发票出口收入</v>
          </cell>
          <cell r="I4491" t="b">
            <v>0</v>
          </cell>
          <cell r="J4491">
            <v>1679070.1</v>
          </cell>
          <cell r="K4491">
            <v>203112.5</v>
          </cell>
          <cell r="L4491">
            <v>192.5</v>
          </cell>
        </row>
        <row r="4492">
          <cell r="A4492" t="str">
            <v>04</v>
          </cell>
          <cell r="B4492" t="str">
            <v>26</v>
          </cell>
          <cell r="C4492" t="str">
            <v>04</v>
          </cell>
          <cell r="D4492" t="str">
            <v>5</v>
          </cell>
          <cell r="E4492" t="str">
            <v>0024</v>
          </cell>
          <cell r="F4492" t="str">
            <v>0008</v>
          </cell>
          <cell r="G4492" t="str">
            <v>5010102</v>
          </cell>
          <cell r="H4492" t="str">
            <v>转FVE9969发票出口收入</v>
          </cell>
          <cell r="I4492" t="b">
            <v>0</v>
          </cell>
          <cell r="J4492">
            <v>1650505.85</v>
          </cell>
          <cell r="K4492">
            <v>199647.5</v>
          </cell>
          <cell r="L4492">
            <v>192.5</v>
          </cell>
        </row>
        <row r="4493">
          <cell r="A4493" t="str">
            <v>04</v>
          </cell>
          <cell r="B4493" t="str">
            <v>26</v>
          </cell>
          <cell r="C4493" t="str">
            <v>04</v>
          </cell>
          <cell r="D4493" t="str">
            <v>5</v>
          </cell>
          <cell r="E4493" t="str">
            <v>0024</v>
          </cell>
          <cell r="F4493" t="str">
            <v>0011</v>
          </cell>
          <cell r="G4493" t="str">
            <v>5010102</v>
          </cell>
          <cell r="H4493" t="str">
            <v>转FVE9975发票出口收入</v>
          </cell>
          <cell r="I4493" t="b">
            <v>0</v>
          </cell>
          <cell r="J4493">
            <v>135545.51</v>
          </cell>
          <cell r="K4493">
            <v>16398.75</v>
          </cell>
          <cell r="L4493">
            <v>19.25</v>
          </cell>
        </row>
        <row r="4494">
          <cell r="A4494" t="str">
            <v>04</v>
          </cell>
          <cell r="B4494" t="str">
            <v>26</v>
          </cell>
          <cell r="C4494" t="str">
            <v>04</v>
          </cell>
          <cell r="D4494" t="str">
            <v>5</v>
          </cell>
          <cell r="E4494" t="str">
            <v>0024</v>
          </cell>
          <cell r="F4494" t="str">
            <v>0014</v>
          </cell>
          <cell r="G4494" t="str">
            <v>5010102</v>
          </cell>
          <cell r="H4494" t="str">
            <v>转FVE9981发票出口收入</v>
          </cell>
          <cell r="I4494" t="b">
            <v>0</v>
          </cell>
          <cell r="J4494">
            <v>151091.59</v>
          </cell>
          <cell r="K4494">
            <v>18276.25</v>
          </cell>
          <cell r="L4494">
            <v>19.25</v>
          </cell>
        </row>
        <row r="4495">
          <cell r="A4495" t="str">
            <v>04</v>
          </cell>
          <cell r="B4495" t="str">
            <v>29</v>
          </cell>
          <cell r="C4495" t="str">
            <v>04</v>
          </cell>
          <cell r="D4495" t="str">
            <v>5</v>
          </cell>
          <cell r="E4495" t="str">
            <v>0035</v>
          </cell>
          <cell r="F4495" t="str">
            <v>0002</v>
          </cell>
          <cell r="G4495" t="str">
            <v>5010102</v>
          </cell>
          <cell r="H4495" t="str">
            <v>结转本月产品收入</v>
          </cell>
          <cell r="I4495" t="b">
            <v>1</v>
          </cell>
          <cell r="J4495">
            <v>5747185.8200000003</v>
          </cell>
          <cell r="K4495">
            <v>0</v>
          </cell>
          <cell r="L4495">
            <v>712.25</v>
          </cell>
        </row>
        <row r="4496">
          <cell r="A4496" t="str">
            <v>05</v>
          </cell>
          <cell r="B4496" t="str">
            <v>25</v>
          </cell>
          <cell r="C4496" t="str">
            <v>05</v>
          </cell>
          <cell r="D4496" t="str">
            <v>5</v>
          </cell>
          <cell r="E4496" t="str">
            <v>0004</v>
          </cell>
          <cell r="F4496" t="str">
            <v>0002</v>
          </cell>
          <cell r="G4496" t="str">
            <v>5010102</v>
          </cell>
          <cell r="H4496" t="str">
            <v>转FVE9959发票出口收入</v>
          </cell>
          <cell r="I4496" t="b">
            <v>0</v>
          </cell>
          <cell r="J4496">
            <v>2451371.27</v>
          </cell>
          <cell r="K4496">
            <v>296550</v>
          </cell>
          <cell r="L4496">
            <v>385</v>
          </cell>
        </row>
        <row r="4497">
          <cell r="A4497" t="str">
            <v>05</v>
          </cell>
          <cell r="B4497" t="str">
            <v>25</v>
          </cell>
          <cell r="C4497" t="str">
            <v>05</v>
          </cell>
          <cell r="D4497" t="str">
            <v>5</v>
          </cell>
          <cell r="E4497" t="str">
            <v>0004</v>
          </cell>
          <cell r="F4497" t="str">
            <v>0005</v>
          </cell>
          <cell r="G4497" t="str">
            <v>5010102</v>
          </cell>
          <cell r="H4497" t="str">
            <v>转FVE9964发票出口收入</v>
          </cell>
          <cell r="I4497" t="b">
            <v>0</v>
          </cell>
          <cell r="J4497">
            <v>2595001.23</v>
          </cell>
          <cell r="K4497">
            <v>313892</v>
          </cell>
          <cell r="L4497">
            <v>308</v>
          </cell>
        </row>
        <row r="4498">
          <cell r="A4498" t="str">
            <v>05</v>
          </cell>
          <cell r="B4498" t="str">
            <v>25</v>
          </cell>
          <cell r="C4498" t="str">
            <v>05</v>
          </cell>
          <cell r="D4498" t="str">
            <v>5</v>
          </cell>
          <cell r="E4498" t="str">
            <v>0004</v>
          </cell>
          <cell r="F4498" t="str">
            <v>0008</v>
          </cell>
          <cell r="G4498" t="str">
            <v>5010102</v>
          </cell>
          <cell r="H4498" t="str">
            <v>转FVE9970发票出口收入</v>
          </cell>
          <cell r="I4498" t="b">
            <v>0</v>
          </cell>
          <cell r="J4498">
            <v>333879.90000000002</v>
          </cell>
          <cell r="K4498">
            <v>40390</v>
          </cell>
          <cell r="L4498">
            <v>38.5</v>
          </cell>
        </row>
        <row r="4499">
          <cell r="A4499" t="str">
            <v>05</v>
          </cell>
          <cell r="B4499" t="str">
            <v>25</v>
          </cell>
          <cell r="C4499" t="str">
            <v>05</v>
          </cell>
          <cell r="D4499" t="str">
            <v>5</v>
          </cell>
          <cell r="E4499" t="str">
            <v>0004</v>
          </cell>
          <cell r="F4499" t="str">
            <v>0011</v>
          </cell>
          <cell r="G4499" t="str">
            <v>5010102</v>
          </cell>
          <cell r="H4499" t="str">
            <v>转FVE9972发票出口收入</v>
          </cell>
          <cell r="I4499" t="b">
            <v>0</v>
          </cell>
          <cell r="J4499">
            <v>140306.85999999999</v>
          </cell>
          <cell r="K4499">
            <v>16975</v>
          </cell>
          <cell r="L4499">
            <v>19.25</v>
          </cell>
        </row>
        <row r="4500">
          <cell r="A4500" t="str">
            <v>05</v>
          </cell>
          <cell r="B4500" t="str">
            <v>25</v>
          </cell>
          <cell r="C4500" t="str">
            <v>05</v>
          </cell>
          <cell r="D4500" t="str">
            <v>5</v>
          </cell>
          <cell r="E4500" t="str">
            <v>0004</v>
          </cell>
          <cell r="F4500" t="str">
            <v>0014</v>
          </cell>
          <cell r="G4500" t="str">
            <v>5010102</v>
          </cell>
          <cell r="H4500" t="str">
            <v>转FVE9977发票出口收入</v>
          </cell>
          <cell r="I4500" t="b">
            <v>0</v>
          </cell>
          <cell r="J4500">
            <v>126224.88</v>
          </cell>
          <cell r="K4500">
            <v>15270</v>
          </cell>
          <cell r="L4500">
            <v>19.25</v>
          </cell>
        </row>
        <row r="4501">
          <cell r="A4501" t="str">
            <v>05</v>
          </cell>
          <cell r="B4501" t="str">
            <v>25</v>
          </cell>
          <cell r="C4501" t="str">
            <v>05</v>
          </cell>
          <cell r="D4501" t="str">
            <v>5</v>
          </cell>
          <cell r="E4501" t="str">
            <v>0004</v>
          </cell>
          <cell r="F4501" t="str">
            <v>0017</v>
          </cell>
          <cell r="G4501" t="str">
            <v>5010102</v>
          </cell>
          <cell r="H4501" t="str">
            <v>转FVE9979发票出口收入</v>
          </cell>
          <cell r="I4501" t="b">
            <v>0</v>
          </cell>
          <cell r="J4501">
            <v>612865.06000000006</v>
          </cell>
          <cell r="K4501">
            <v>74137.5</v>
          </cell>
          <cell r="L4501">
            <v>96.25</v>
          </cell>
        </row>
        <row r="4502">
          <cell r="A4502" t="str">
            <v>05</v>
          </cell>
          <cell r="B4502" t="str">
            <v>25</v>
          </cell>
          <cell r="C4502" t="str">
            <v>05</v>
          </cell>
          <cell r="D4502" t="str">
            <v>5</v>
          </cell>
          <cell r="E4502" t="str">
            <v>0004</v>
          </cell>
          <cell r="F4502" t="str">
            <v>0020</v>
          </cell>
          <cell r="G4502" t="str">
            <v>5010102</v>
          </cell>
          <cell r="H4502" t="str">
            <v>转FVE9986发票出口收入</v>
          </cell>
          <cell r="I4502" t="b">
            <v>0</v>
          </cell>
          <cell r="J4502">
            <v>1349587.75</v>
          </cell>
          <cell r="K4502">
            <v>163250</v>
          </cell>
          <cell r="L4502">
            <v>192.5</v>
          </cell>
        </row>
        <row r="4503">
          <cell r="A4503" t="str">
            <v>05</v>
          </cell>
          <cell r="B4503" t="str">
            <v>26</v>
          </cell>
          <cell r="C4503" t="str">
            <v>05</v>
          </cell>
          <cell r="D4503" t="str">
            <v>5</v>
          </cell>
          <cell r="E4503" t="str">
            <v>0018</v>
          </cell>
          <cell r="F4503" t="str">
            <v>0002</v>
          </cell>
          <cell r="G4503" t="str">
            <v>5010102</v>
          </cell>
          <cell r="H4503" t="str">
            <v>订2.5-29#FVE67#票国外银行费用</v>
          </cell>
          <cell r="I4503" t="b">
            <v>0</v>
          </cell>
          <cell r="J4503">
            <v>-18952.490000000002</v>
          </cell>
          <cell r="K4503">
            <v>-2292.88</v>
          </cell>
          <cell r="L4503">
            <v>0</v>
          </cell>
        </row>
        <row r="4504">
          <cell r="A4504" t="str">
            <v>05</v>
          </cell>
          <cell r="B4504" t="str">
            <v>26</v>
          </cell>
          <cell r="C4504" t="str">
            <v>05</v>
          </cell>
          <cell r="D4504" t="str">
            <v>5</v>
          </cell>
          <cell r="E4504" t="str">
            <v>0020</v>
          </cell>
          <cell r="F4504" t="str">
            <v>0002</v>
          </cell>
          <cell r="G4504" t="str">
            <v>5010102</v>
          </cell>
          <cell r="H4504" t="str">
            <v>转FVE9986#发票国外扣费USD98.00</v>
          </cell>
          <cell r="I4504" t="b">
            <v>0</v>
          </cell>
          <cell r="J4504">
            <v>-810.17</v>
          </cell>
          <cell r="K4504">
            <v>-98</v>
          </cell>
          <cell r="L4504">
            <v>0</v>
          </cell>
        </row>
        <row r="4505">
          <cell r="A4505" t="str">
            <v>05</v>
          </cell>
          <cell r="B4505" t="str">
            <v>26</v>
          </cell>
          <cell r="C4505" t="str">
            <v>05</v>
          </cell>
          <cell r="D4505" t="str">
            <v>5</v>
          </cell>
          <cell r="E4505" t="str">
            <v>0021</v>
          </cell>
          <cell r="F4505" t="str">
            <v>0001</v>
          </cell>
          <cell r="G4505" t="str">
            <v>5010102</v>
          </cell>
          <cell r="H4505" t="str">
            <v>转FVE9970#发票国外扣费USD65.00</v>
          </cell>
          <cell r="I4505" t="b">
            <v>0</v>
          </cell>
          <cell r="J4505">
            <v>-537.32000000000005</v>
          </cell>
          <cell r="K4505">
            <v>-65</v>
          </cell>
          <cell r="L4505">
            <v>0</v>
          </cell>
        </row>
        <row r="4506">
          <cell r="A4506" t="str">
            <v>05</v>
          </cell>
          <cell r="B4506" t="str">
            <v>26</v>
          </cell>
          <cell r="C4506" t="str">
            <v>05</v>
          </cell>
          <cell r="D4506" t="str">
            <v>5</v>
          </cell>
          <cell r="E4506" t="str">
            <v>0022</v>
          </cell>
          <cell r="F4506" t="str">
            <v>0002</v>
          </cell>
          <cell r="G4506" t="str">
            <v>5010102</v>
          </cell>
          <cell r="H4506" t="str">
            <v>转FVE9979#发票国外扣费</v>
          </cell>
          <cell r="I4506" t="b">
            <v>0</v>
          </cell>
          <cell r="J4506">
            <v>-853.11</v>
          </cell>
          <cell r="K4506">
            <v>-103.2</v>
          </cell>
          <cell r="L4506">
            <v>0</v>
          </cell>
        </row>
        <row r="4507">
          <cell r="A4507" t="str">
            <v>05</v>
          </cell>
          <cell r="B4507" t="str">
            <v>26</v>
          </cell>
          <cell r="C4507" t="str">
            <v>05</v>
          </cell>
          <cell r="D4507" t="str">
            <v>5</v>
          </cell>
          <cell r="E4507" t="str">
            <v>0023</v>
          </cell>
          <cell r="F4507" t="str">
            <v>0002</v>
          </cell>
          <cell r="G4507" t="str">
            <v>5010102</v>
          </cell>
          <cell r="H4507" t="str">
            <v>转订FVE9972.9977#发票国外费用</v>
          </cell>
          <cell r="I4507" t="b">
            <v>0</v>
          </cell>
          <cell r="J4507">
            <v>-1942.5</v>
          </cell>
          <cell r="K4507">
            <v>-235</v>
          </cell>
          <cell r="L4507">
            <v>0</v>
          </cell>
        </row>
        <row r="4508">
          <cell r="A4508" t="str">
            <v>05</v>
          </cell>
          <cell r="B4508" t="str">
            <v>26</v>
          </cell>
          <cell r="C4508" t="str">
            <v>05</v>
          </cell>
          <cell r="D4508" t="str">
            <v>5</v>
          </cell>
          <cell r="E4508" t="str">
            <v>0024</v>
          </cell>
          <cell r="F4508" t="str">
            <v>0002</v>
          </cell>
          <cell r="G4508" t="str">
            <v>5010102</v>
          </cell>
          <cell r="H4508" t="str">
            <v>转FVE9959#发票国外费用</v>
          </cell>
          <cell r="I4508" t="b">
            <v>0</v>
          </cell>
          <cell r="J4508">
            <v>-334.79</v>
          </cell>
          <cell r="K4508">
            <v>-40.5</v>
          </cell>
          <cell r="L4508">
            <v>0</v>
          </cell>
        </row>
        <row r="4509">
          <cell r="A4509" t="str">
            <v>05</v>
          </cell>
          <cell r="B4509" t="str">
            <v>31</v>
          </cell>
          <cell r="C4509" t="str">
            <v>05</v>
          </cell>
          <cell r="D4509" t="str">
            <v>5</v>
          </cell>
          <cell r="E4509" t="str">
            <v>0036</v>
          </cell>
          <cell r="F4509" t="str">
            <v>0001</v>
          </cell>
          <cell r="G4509" t="str">
            <v>5010102</v>
          </cell>
          <cell r="H4509" t="str">
            <v>结转本月产品收入</v>
          </cell>
          <cell r="I4509" t="b">
            <v>1</v>
          </cell>
          <cell r="J4509">
            <v>7585806.5700000003</v>
          </cell>
          <cell r="K4509">
            <v>0</v>
          </cell>
          <cell r="L4509">
            <v>1058.75</v>
          </cell>
        </row>
        <row r="4510">
          <cell r="A4510" t="str">
            <v>06</v>
          </cell>
          <cell r="B4510" t="str">
            <v>23</v>
          </cell>
          <cell r="C4510" t="str">
            <v>06</v>
          </cell>
          <cell r="D4510" t="str">
            <v>5</v>
          </cell>
          <cell r="E4510" t="str">
            <v>0013</v>
          </cell>
          <cell r="F4510" t="str">
            <v>0001</v>
          </cell>
          <cell r="G4510" t="str">
            <v>5010102</v>
          </cell>
          <cell r="H4510" t="str">
            <v>转FVE9987#发票国外扣款USD60.00</v>
          </cell>
          <cell r="I4510" t="b">
            <v>0</v>
          </cell>
          <cell r="J4510">
            <v>-495.86</v>
          </cell>
          <cell r="K4510">
            <v>-60</v>
          </cell>
          <cell r="L4510">
            <v>0</v>
          </cell>
        </row>
        <row r="4511">
          <cell r="A4511" t="str">
            <v>06</v>
          </cell>
          <cell r="B4511" t="str">
            <v>23</v>
          </cell>
          <cell r="C4511" t="str">
            <v>06</v>
          </cell>
          <cell r="D4511" t="str">
            <v>5</v>
          </cell>
          <cell r="E4511" t="str">
            <v>0015</v>
          </cell>
          <cell r="F4511" t="str">
            <v>0003</v>
          </cell>
          <cell r="G4511" t="str">
            <v>5010102</v>
          </cell>
          <cell r="H4511" t="str">
            <v>转FVE9980#发票境外扣费USD30.00</v>
          </cell>
          <cell r="I4511" t="b">
            <v>0</v>
          </cell>
          <cell r="J4511">
            <v>-247.93</v>
          </cell>
          <cell r="K4511">
            <v>-30</v>
          </cell>
          <cell r="L4511">
            <v>0</v>
          </cell>
        </row>
        <row r="4512">
          <cell r="A4512" t="str">
            <v>06</v>
          </cell>
          <cell r="B4512" t="str">
            <v>23</v>
          </cell>
          <cell r="C4512" t="str">
            <v>06</v>
          </cell>
          <cell r="D4512" t="str">
            <v>5</v>
          </cell>
          <cell r="E4512" t="str">
            <v>0015</v>
          </cell>
          <cell r="F4512" t="str">
            <v>0004</v>
          </cell>
          <cell r="G4512" t="str">
            <v>5010102</v>
          </cell>
          <cell r="H4512" t="str">
            <v>转FVE9982#发票境外扣费USD60.00</v>
          </cell>
          <cell r="I4512" t="b">
            <v>0</v>
          </cell>
          <cell r="J4512">
            <v>-495.86</v>
          </cell>
          <cell r="K4512">
            <v>-60</v>
          </cell>
          <cell r="L4512">
            <v>0</v>
          </cell>
        </row>
        <row r="4513">
          <cell r="A4513" t="str">
            <v>06</v>
          </cell>
          <cell r="B4513" t="str">
            <v>23</v>
          </cell>
          <cell r="C4513" t="str">
            <v>06</v>
          </cell>
          <cell r="D4513" t="str">
            <v>5</v>
          </cell>
          <cell r="E4513" t="str">
            <v>0016</v>
          </cell>
          <cell r="F4513" t="str">
            <v>0002</v>
          </cell>
          <cell r="G4513" t="str">
            <v>5010102</v>
          </cell>
          <cell r="H4513" t="str">
            <v>转FVE9992#发票境外扣费USD71.35</v>
          </cell>
          <cell r="I4513" t="b">
            <v>0</v>
          </cell>
          <cell r="J4513">
            <v>-589.73</v>
          </cell>
          <cell r="K4513">
            <v>-71.349999999999994</v>
          </cell>
          <cell r="L4513">
            <v>0</v>
          </cell>
        </row>
        <row r="4514">
          <cell r="A4514" t="str">
            <v>06</v>
          </cell>
          <cell r="B4514" t="str">
            <v>23</v>
          </cell>
          <cell r="C4514" t="str">
            <v>06</v>
          </cell>
          <cell r="D4514" t="str">
            <v>5</v>
          </cell>
          <cell r="E4514" t="str">
            <v>0017</v>
          </cell>
          <cell r="F4514" t="str">
            <v>0002</v>
          </cell>
          <cell r="G4514" t="str">
            <v>5010102</v>
          </cell>
          <cell r="H4514" t="str">
            <v>转FVE9989#发票境外扣费USD50.00</v>
          </cell>
          <cell r="I4514" t="b">
            <v>0</v>
          </cell>
          <cell r="J4514">
            <v>-413.31</v>
          </cell>
          <cell r="K4514">
            <v>-50</v>
          </cell>
          <cell r="L4514">
            <v>0</v>
          </cell>
        </row>
        <row r="4515">
          <cell r="A4515" t="str">
            <v>06</v>
          </cell>
          <cell r="B4515" t="str">
            <v>23</v>
          </cell>
          <cell r="C4515" t="str">
            <v>06</v>
          </cell>
          <cell r="D4515" t="str">
            <v>5</v>
          </cell>
          <cell r="E4515" t="str">
            <v>0018</v>
          </cell>
          <cell r="F4515" t="str">
            <v>0002</v>
          </cell>
          <cell r="G4515" t="str">
            <v>5010102</v>
          </cell>
          <cell r="H4515" t="str">
            <v>转FVE9980发票出口收入</v>
          </cell>
          <cell r="I4515" t="b">
            <v>0</v>
          </cell>
          <cell r="J4515">
            <v>353964.25</v>
          </cell>
          <cell r="K4515">
            <v>42830</v>
          </cell>
          <cell r="L4515">
            <v>38.5</v>
          </cell>
        </row>
        <row r="4516">
          <cell r="A4516" t="str">
            <v>06</v>
          </cell>
          <cell r="B4516" t="str">
            <v>23</v>
          </cell>
          <cell r="C4516" t="str">
            <v>06</v>
          </cell>
          <cell r="D4516" t="str">
            <v>5</v>
          </cell>
          <cell r="E4516" t="str">
            <v>0018</v>
          </cell>
          <cell r="F4516" t="str">
            <v>0004</v>
          </cell>
          <cell r="G4516" t="str">
            <v>5010102</v>
          </cell>
          <cell r="H4516" t="str">
            <v>转FVE9982发票出口收入</v>
          </cell>
          <cell r="I4516" t="b">
            <v>0</v>
          </cell>
          <cell r="J4516">
            <v>477583.14</v>
          </cell>
          <cell r="K4516">
            <v>57788</v>
          </cell>
          <cell r="L4516">
            <v>66</v>
          </cell>
        </row>
        <row r="4517">
          <cell r="A4517" t="str">
            <v>06</v>
          </cell>
          <cell r="B4517" t="str">
            <v>23</v>
          </cell>
          <cell r="C4517" t="str">
            <v>06</v>
          </cell>
          <cell r="D4517" t="str">
            <v>5</v>
          </cell>
          <cell r="E4517" t="str">
            <v>0018</v>
          </cell>
          <cell r="F4517" t="str">
            <v>0007</v>
          </cell>
          <cell r="G4517" t="str">
            <v>5010102</v>
          </cell>
          <cell r="H4517" t="str">
            <v>转FVE9987发票出口收入</v>
          </cell>
          <cell r="I4517" t="b">
            <v>0</v>
          </cell>
          <cell r="J4517">
            <v>1446270</v>
          </cell>
          <cell r="K4517">
            <v>175000</v>
          </cell>
          <cell r="L4517">
            <v>192.5</v>
          </cell>
        </row>
        <row r="4518">
          <cell r="A4518" t="str">
            <v>06</v>
          </cell>
          <cell r="B4518" t="str">
            <v>23</v>
          </cell>
          <cell r="C4518" t="str">
            <v>06</v>
          </cell>
          <cell r="D4518" t="str">
            <v>5</v>
          </cell>
          <cell r="E4518" t="str">
            <v>0018</v>
          </cell>
          <cell r="F4518" t="str">
            <v>0010</v>
          </cell>
          <cell r="G4518" t="str">
            <v>5010102</v>
          </cell>
          <cell r="H4518" t="str">
            <v>转FVE9989发票出口收入</v>
          </cell>
          <cell r="I4518" t="b">
            <v>0</v>
          </cell>
          <cell r="J4518">
            <v>150246.71</v>
          </cell>
          <cell r="K4518">
            <v>18176.25</v>
          </cell>
          <cell r="L4518">
            <v>19.25</v>
          </cell>
        </row>
        <row r="4519">
          <cell r="A4519" t="str">
            <v>06</v>
          </cell>
          <cell r="B4519" t="str">
            <v>23</v>
          </cell>
          <cell r="C4519" t="str">
            <v>06</v>
          </cell>
          <cell r="D4519" t="str">
            <v>5</v>
          </cell>
          <cell r="E4519" t="str">
            <v>0018</v>
          </cell>
          <cell r="F4519" t="str">
            <v>0013</v>
          </cell>
          <cell r="G4519" t="str">
            <v>5010102</v>
          </cell>
          <cell r="H4519" t="str">
            <v>转FVE9992发票出口收入</v>
          </cell>
          <cell r="I4519" t="b">
            <v>0</v>
          </cell>
          <cell r="J4519">
            <v>127595.57</v>
          </cell>
          <cell r="K4519">
            <v>15437.5</v>
          </cell>
          <cell r="L4519">
            <v>19.25</v>
          </cell>
        </row>
        <row r="4520">
          <cell r="A4520" t="str">
            <v>06</v>
          </cell>
          <cell r="B4520" t="str">
            <v>25</v>
          </cell>
          <cell r="C4520" t="str">
            <v>06</v>
          </cell>
          <cell r="D4520" t="str">
            <v>5</v>
          </cell>
          <cell r="E4520" t="str">
            <v>0024</v>
          </cell>
          <cell r="F4520" t="str">
            <v>0001</v>
          </cell>
          <cell r="G4520" t="str">
            <v>5010102</v>
          </cell>
          <cell r="H4520" t="str">
            <v>转本月产品收入</v>
          </cell>
          <cell r="I4520" t="b">
            <v>1</v>
          </cell>
          <cell r="J4520">
            <v>2553416.98</v>
          </cell>
          <cell r="K4520">
            <v>0</v>
          </cell>
          <cell r="L4520">
            <v>335.5</v>
          </cell>
        </row>
        <row r="4521">
          <cell r="A4521" t="str">
            <v>07</v>
          </cell>
          <cell r="B4521" t="str">
            <v>26</v>
          </cell>
          <cell r="C4521" t="str">
            <v>07</v>
          </cell>
          <cell r="D4521" t="str">
            <v>5</v>
          </cell>
          <cell r="E4521" t="str">
            <v>0024</v>
          </cell>
          <cell r="F4521" t="str">
            <v>0001</v>
          </cell>
          <cell r="G4521" t="str">
            <v>5010102</v>
          </cell>
          <cell r="H4521" t="str">
            <v>转FVE9991#发票国外扣费</v>
          </cell>
          <cell r="I4521" t="b">
            <v>0</v>
          </cell>
          <cell r="J4521">
            <v>-496.02</v>
          </cell>
          <cell r="K4521">
            <v>-60</v>
          </cell>
          <cell r="L4521">
            <v>0</v>
          </cell>
        </row>
        <row r="4522">
          <cell r="A4522" t="str">
            <v>07</v>
          </cell>
          <cell r="B4522" t="str">
            <v>27</v>
          </cell>
          <cell r="C4522" t="str">
            <v>07</v>
          </cell>
          <cell r="D4522" t="str">
            <v>5</v>
          </cell>
          <cell r="E4522" t="str">
            <v>0030</v>
          </cell>
          <cell r="F4522" t="str">
            <v>0002</v>
          </cell>
          <cell r="G4522" t="str">
            <v>5010102</v>
          </cell>
          <cell r="H4522" t="str">
            <v>转FVE9983发票出口收入</v>
          </cell>
          <cell r="I4522" t="b">
            <v>0</v>
          </cell>
          <cell r="J4522">
            <v>1166239.8</v>
          </cell>
          <cell r="K4522">
            <v>141070</v>
          </cell>
          <cell r="L4522">
            <v>165</v>
          </cell>
        </row>
        <row r="4523">
          <cell r="A4523" t="str">
            <v>07</v>
          </cell>
          <cell r="B4523" t="str">
            <v>27</v>
          </cell>
          <cell r="C4523" t="str">
            <v>07</v>
          </cell>
          <cell r="D4523" t="str">
            <v>5</v>
          </cell>
          <cell r="E4523" t="str">
            <v>0030</v>
          </cell>
          <cell r="F4523" t="str">
            <v>0005</v>
          </cell>
          <cell r="G4523" t="str">
            <v>5010102</v>
          </cell>
          <cell r="H4523" t="str">
            <v>转FVE9991发票出口收入</v>
          </cell>
          <cell r="I4523" t="b">
            <v>0</v>
          </cell>
          <cell r="J4523">
            <v>478466.67</v>
          </cell>
          <cell r="K4523">
            <v>57876</v>
          </cell>
          <cell r="L4523">
            <v>58.59</v>
          </cell>
        </row>
        <row r="4524">
          <cell r="A4524" t="str">
            <v>07</v>
          </cell>
          <cell r="B4524" t="str">
            <v>27</v>
          </cell>
          <cell r="C4524" t="str">
            <v>07</v>
          </cell>
          <cell r="D4524" t="str">
            <v>5</v>
          </cell>
          <cell r="E4524" t="str">
            <v>0032</v>
          </cell>
          <cell r="F4524" t="str">
            <v>0002</v>
          </cell>
          <cell r="G4524" t="str">
            <v>5010102</v>
          </cell>
          <cell r="H4524" t="str">
            <v>转FVE9983#发票国外扣费</v>
          </cell>
          <cell r="I4524" t="b">
            <v>0</v>
          </cell>
          <cell r="J4524">
            <v>-248.02</v>
          </cell>
          <cell r="K4524">
            <v>-30</v>
          </cell>
          <cell r="L4524">
            <v>0</v>
          </cell>
        </row>
        <row r="4525">
          <cell r="A4525" t="str">
            <v>07</v>
          </cell>
          <cell r="B4525" t="str">
            <v>28</v>
          </cell>
          <cell r="C4525" t="str">
            <v>07</v>
          </cell>
          <cell r="D4525" t="str">
            <v>5</v>
          </cell>
          <cell r="E4525" t="str">
            <v>0036</v>
          </cell>
          <cell r="F4525" t="str">
            <v>0002</v>
          </cell>
          <cell r="G4525" t="str">
            <v>5010102</v>
          </cell>
          <cell r="H4525" t="str">
            <v>结转本月产品收入</v>
          </cell>
          <cell r="I4525" t="b">
            <v>1</v>
          </cell>
          <cell r="J4525">
            <v>1643962.43</v>
          </cell>
          <cell r="K4525">
            <v>0</v>
          </cell>
          <cell r="L4525">
            <v>223.59</v>
          </cell>
        </row>
        <row r="4526">
          <cell r="A4526" t="str">
            <v>08</v>
          </cell>
          <cell r="B4526" t="str">
            <v>20</v>
          </cell>
          <cell r="C4526" t="str">
            <v>08</v>
          </cell>
          <cell r="D4526" t="str">
            <v>5</v>
          </cell>
          <cell r="E4526" t="str">
            <v>0004</v>
          </cell>
          <cell r="F4526" t="str">
            <v>0002</v>
          </cell>
          <cell r="G4526" t="str">
            <v>5010102</v>
          </cell>
          <cell r="H4526" t="str">
            <v>转FVE99101#发票国外扣费USD50.0</v>
          </cell>
          <cell r="I4526" t="b">
            <v>0</v>
          </cell>
          <cell r="J4526">
            <v>-413.22</v>
          </cell>
          <cell r="K4526">
            <v>-50</v>
          </cell>
          <cell r="L4526">
            <v>0</v>
          </cell>
        </row>
        <row r="4527">
          <cell r="A4527" t="str">
            <v>08</v>
          </cell>
          <cell r="B4527" t="str">
            <v>20</v>
          </cell>
          <cell r="C4527" t="str">
            <v>08</v>
          </cell>
          <cell r="D4527" t="str">
            <v>5</v>
          </cell>
          <cell r="E4527" t="str">
            <v>0005</v>
          </cell>
          <cell r="F4527" t="str">
            <v>0001</v>
          </cell>
          <cell r="G4527" t="str">
            <v>5010102</v>
          </cell>
          <cell r="H4527" t="str">
            <v>转FVE9994#发票境外扣费</v>
          </cell>
          <cell r="I4527" t="b">
            <v>0</v>
          </cell>
          <cell r="J4527">
            <v>-248.02</v>
          </cell>
          <cell r="K4527">
            <v>-30</v>
          </cell>
          <cell r="L4527">
            <v>0</v>
          </cell>
        </row>
        <row r="4528">
          <cell r="A4528" t="str">
            <v>08</v>
          </cell>
          <cell r="B4528" t="str">
            <v>20</v>
          </cell>
          <cell r="C4528" t="str">
            <v>08</v>
          </cell>
          <cell r="D4528" t="str">
            <v>5</v>
          </cell>
          <cell r="E4528" t="str">
            <v>0006</v>
          </cell>
          <cell r="F4528" t="str">
            <v>0002</v>
          </cell>
          <cell r="G4528" t="str">
            <v>5010102</v>
          </cell>
          <cell r="H4528" t="str">
            <v>转FVE99103#发票国外扣费</v>
          </cell>
          <cell r="I4528" t="b">
            <v>0</v>
          </cell>
          <cell r="J4528">
            <v>-809.94</v>
          </cell>
          <cell r="K4528">
            <v>-98</v>
          </cell>
          <cell r="L4528">
            <v>0</v>
          </cell>
        </row>
        <row r="4529">
          <cell r="A4529" t="str">
            <v>08</v>
          </cell>
          <cell r="B4529" t="str">
            <v>20</v>
          </cell>
          <cell r="C4529" t="str">
            <v>08</v>
          </cell>
          <cell r="D4529" t="str">
            <v>5</v>
          </cell>
          <cell r="E4529" t="str">
            <v>0007</v>
          </cell>
          <cell r="F4529" t="str">
            <v>0001</v>
          </cell>
          <cell r="G4529" t="str">
            <v>5010102</v>
          </cell>
          <cell r="H4529" t="str">
            <v>转ZLB04#发票国外扣费USD15.00</v>
          </cell>
          <cell r="I4529" t="b">
            <v>0</v>
          </cell>
          <cell r="J4529">
            <v>-123.98</v>
          </cell>
          <cell r="K4529">
            <v>-15</v>
          </cell>
          <cell r="L4529">
            <v>0</v>
          </cell>
        </row>
        <row r="4530">
          <cell r="A4530" t="str">
            <v>08</v>
          </cell>
          <cell r="B4530" t="str">
            <v>24</v>
          </cell>
          <cell r="C4530" t="str">
            <v>08</v>
          </cell>
          <cell r="D4530" t="str">
            <v>5</v>
          </cell>
          <cell r="E4530" t="str">
            <v>0011</v>
          </cell>
          <cell r="F4530" t="str">
            <v>0001</v>
          </cell>
          <cell r="G4530" t="str">
            <v>5010102</v>
          </cell>
          <cell r="H4530" t="str">
            <v>转FVE9996#发票境外扣费</v>
          </cell>
          <cell r="I4530" t="b">
            <v>0</v>
          </cell>
          <cell r="J4530">
            <v>-248</v>
          </cell>
          <cell r="K4530">
            <v>-30</v>
          </cell>
          <cell r="L4530">
            <v>0</v>
          </cell>
        </row>
        <row r="4531">
          <cell r="A4531" t="str">
            <v>08</v>
          </cell>
          <cell r="B4531" t="str">
            <v>24</v>
          </cell>
          <cell r="C4531" t="str">
            <v>08</v>
          </cell>
          <cell r="D4531" t="str">
            <v>5</v>
          </cell>
          <cell r="E4531" t="str">
            <v>0012</v>
          </cell>
          <cell r="F4531" t="str">
            <v>0001</v>
          </cell>
          <cell r="G4531" t="str">
            <v>5010102</v>
          </cell>
          <cell r="H4531" t="str">
            <v>转FVE9976#发票境外扣费</v>
          </cell>
          <cell r="I4531" t="b">
            <v>0</v>
          </cell>
          <cell r="J4531">
            <v>-495.92</v>
          </cell>
          <cell r="K4531">
            <v>-60</v>
          </cell>
          <cell r="L4531">
            <v>0</v>
          </cell>
        </row>
        <row r="4532">
          <cell r="A4532" t="str">
            <v>08</v>
          </cell>
          <cell r="B4532" t="str">
            <v>24</v>
          </cell>
          <cell r="C4532" t="str">
            <v>08</v>
          </cell>
          <cell r="D4532" t="str">
            <v>5</v>
          </cell>
          <cell r="E4532" t="str">
            <v>0013</v>
          </cell>
          <cell r="F4532" t="str">
            <v>0001</v>
          </cell>
          <cell r="G4532" t="str">
            <v>5010102</v>
          </cell>
          <cell r="H4532" t="str">
            <v>转FVE99109#发票国外扣费</v>
          </cell>
          <cell r="I4532" t="b">
            <v>0</v>
          </cell>
          <cell r="J4532">
            <v>-810.2</v>
          </cell>
          <cell r="K4532">
            <v>-98</v>
          </cell>
          <cell r="L4532">
            <v>0</v>
          </cell>
        </row>
        <row r="4533">
          <cell r="A4533" t="str">
            <v>08</v>
          </cell>
          <cell r="B4533" t="str">
            <v>27</v>
          </cell>
          <cell r="C4533" t="str">
            <v>08</v>
          </cell>
          <cell r="D4533" t="str">
            <v>5</v>
          </cell>
          <cell r="E4533" t="str">
            <v>0014</v>
          </cell>
          <cell r="F4533" t="str">
            <v>0002</v>
          </cell>
          <cell r="G4533" t="str">
            <v>5010102</v>
          </cell>
          <cell r="H4533" t="str">
            <v>转ZLB02发票出口收入</v>
          </cell>
          <cell r="I4533" t="b">
            <v>0</v>
          </cell>
          <cell r="J4533">
            <v>548701.56000000006</v>
          </cell>
          <cell r="K4533">
            <v>66377.33</v>
          </cell>
          <cell r="L4533">
            <v>57.75</v>
          </cell>
        </row>
        <row r="4534">
          <cell r="A4534" t="str">
            <v>08</v>
          </cell>
          <cell r="B4534" t="str">
            <v>27</v>
          </cell>
          <cell r="C4534" t="str">
            <v>08</v>
          </cell>
          <cell r="D4534" t="str">
            <v>5</v>
          </cell>
          <cell r="E4534" t="str">
            <v>0014</v>
          </cell>
          <cell r="F4534" t="str">
            <v>0005</v>
          </cell>
          <cell r="G4534" t="str">
            <v>5010102</v>
          </cell>
          <cell r="H4534" t="str">
            <v>转ZLB04发票出口收入</v>
          </cell>
          <cell r="I4534" t="b">
            <v>0</v>
          </cell>
          <cell r="J4534">
            <v>134726.01999999999</v>
          </cell>
          <cell r="K4534">
            <v>16300</v>
          </cell>
          <cell r="L4534">
            <v>19.25</v>
          </cell>
        </row>
        <row r="4535">
          <cell r="A4535" t="str">
            <v>08</v>
          </cell>
          <cell r="B4535" t="str">
            <v>27</v>
          </cell>
          <cell r="C4535" t="str">
            <v>08</v>
          </cell>
          <cell r="D4535" t="str">
            <v>5</v>
          </cell>
          <cell r="E4535" t="str">
            <v>0014</v>
          </cell>
          <cell r="F4535" t="str">
            <v>0008</v>
          </cell>
          <cell r="G4535" t="str">
            <v>5010102</v>
          </cell>
          <cell r="H4535" t="str">
            <v>转FVE9976发票出口收入</v>
          </cell>
          <cell r="I4535" t="b">
            <v>0</v>
          </cell>
          <cell r="J4535">
            <v>2806870.81</v>
          </cell>
          <cell r="K4535">
            <v>339596.25</v>
          </cell>
          <cell r="L4535">
            <v>327.25</v>
          </cell>
        </row>
        <row r="4536">
          <cell r="A4536" t="str">
            <v>08</v>
          </cell>
          <cell r="B4536" t="str">
            <v>27</v>
          </cell>
          <cell r="C4536" t="str">
            <v>08</v>
          </cell>
          <cell r="D4536" t="str">
            <v>5</v>
          </cell>
          <cell r="E4536" t="str">
            <v>0014</v>
          </cell>
          <cell r="F4536" t="str">
            <v>0011</v>
          </cell>
          <cell r="G4536" t="str">
            <v>5010102</v>
          </cell>
          <cell r="H4536" t="str">
            <v>转FVE9994发票出口收入</v>
          </cell>
          <cell r="I4536" t="b">
            <v>0</v>
          </cell>
          <cell r="J4536">
            <v>472222.46</v>
          </cell>
          <cell r="K4536">
            <v>57120</v>
          </cell>
          <cell r="L4536">
            <v>57.75</v>
          </cell>
        </row>
        <row r="4537">
          <cell r="A4537" t="str">
            <v>08</v>
          </cell>
          <cell r="B4537" t="str">
            <v>27</v>
          </cell>
          <cell r="C4537" t="str">
            <v>08</v>
          </cell>
          <cell r="D4537" t="str">
            <v>5</v>
          </cell>
          <cell r="E4537" t="str">
            <v>0014</v>
          </cell>
          <cell r="F4537" t="str">
            <v>0014</v>
          </cell>
          <cell r="G4537" t="str">
            <v>5010102</v>
          </cell>
          <cell r="H4537" t="str">
            <v>转FVE9996发票出口收入</v>
          </cell>
          <cell r="I4537" t="b">
            <v>0</v>
          </cell>
          <cell r="J4537">
            <v>315242.33</v>
          </cell>
          <cell r="K4537">
            <v>38134</v>
          </cell>
          <cell r="L4537">
            <v>39.06</v>
          </cell>
        </row>
        <row r="4538">
          <cell r="A4538" t="str">
            <v>08</v>
          </cell>
          <cell r="B4538" t="str">
            <v>27</v>
          </cell>
          <cell r="C4538" t="str">
            <v>08</v>
          </cell>
          <cell r="D4538" t="str">
            <v>5</v>
          </cell>
          <cell r="E4538" t="str">
            <v>0014</v>
          </cell>
          <cell r="F4538" t="str">
            <v>0017</v>
          </cell>
          <cell r="G4538" t="str">
            <v>5010102</v>
          </cell>
          <cell r="H4538" t="str">
            <v>转FVE99101发票出口收入</v>
          </cell>
          <cell r="I4538" t="b">
            <v>0</v>
          </cell>
          <cell r="J4538">
            <v>149844.73000000001</v>
          </cell>
          <cell r="K4538">
            <v>18131.349999999999</v>
          </cell>
          <cell r="L4538">
            <v>19.25</v>
          </cell>
        </row>
        <row r="4539">
          <cell r="A4539" t="str">
            <v>08</v>
          </cell>
          <cell r="B4539" t="str">
            <v>27</v>
          </cell>
          <cell r="C4539" t="str">
            <v>08</v>
          </cell>
          <cell r="D4539" t="str">
            <v>5</v>
          </cell>
          <cell r="E4539" t="str">
            <v>0014</v>
          </cell>
          <cell r="F4539" t="str">
            <v>0020</v>
          </cell>
          <cell r="G4539" t="str">
            <v>5010102</v>
          </cell>
          <cell r="H4539" t="str">
            <v>转FVE99103发票出口收入</v>
          </cell>
          <cell r="I4539" t="b">
            <v>0</v>
          </cell>
          <cell r="J4539">
            <v>1353344.63</v>
          </cell>
          <cell r="K4539">
            <v>163750</v>
          </cell>
          <cell r="L4539">
            <v>192.5</v>
          </cell>
        </row>
        <row r="4540">
          <cell r="A4540" t="str">
            <v>08</v>
          </cell>
          <cell r="B4540" t="str">
            <v>27</v>
          </cell>
          <cell r="C4540" t="str">
            <v>08</v>
          </cell>
          <cell r="D4540" t="str">
            <v>5</v>
          </cell>
          <cell r="E4540" t="str">
            <v>0014</v>
          </cell>
          <cell r="F4540" t="str">
            <v>0023</v>
          </cell>
          <cell r="G4540" t="str">
            <v>5010102</v>
          </cell>
          <cell r="H4540" t="str">
            <v>转FVE99104发票出口收入</v>
          </cell>
          <cell r="I4540" t="b">
            <v>0</v>
          </cell>
          <cell r="J4540">
            <v>146512.19</v>
          </cell>
          <cell r="K4540">
            <v>17724.25</v>
          </cell>
          <cell r="L4540">
            <v>19.25</v>
          </cell>
        </row>
        <row r="4541">
          <cell r="A4541" t="str">
            <v>08</v>
          </cell>
          <cell r="B4541" t="str">
            <v>27</v>
          </cell>
          <cell r="C4541" t="str">
            <v>08</v>
          </cell>
          <cell r="D4541" t="str">
            <v>5</v>
          </cell>
          <cell r="E4541" t="str">
            <v>0014</v>
          </cell>
          <cell r="F4541" t="str">
            <v>0026</v>
          </cell>
          <cell r="G4541" t="str">
            <v>5010102</v>
          </cell>
          <cell r="H4541" t="str">
            <v>转FVE99109发票出口收入</v>
          </cell>
          <cell r="I4541" t="b">
            <v>0</v>
          </cell>
          <cell r="J4541">
            <v>1353770.38</v>
          </cell>
          <cell r="K4541">
            <v>163750</v>
          </cell>
          <cell r="L4541">
            <v>192.5</v>
          </cell>
        </row>
        <row r="4542">
          <cell r="A4542" t="str">
            <v>08</v>
          </cell>
          <cell r="B4542" t="str">
            <v>31</v>
          </cell>
          <cell r="C4542" t="str">
            <v>08</v>
          </cell>
          <cell r="D4542" t="str">
            <v>5</v>
          </cell>
          <cell r="E4542" t="str">
            <v>0032</v>
          </cell>
          <cell r="F4542" t="str">
            <v>0002</v>
          </cell>
          <cell r="G4542" t="str">
            <v>5010102</v>
          </cell>
          <cell r="H4542" t="str">
            <v>结转本月产品收入</v>
          </cell>
          <cell r="I4542" t="b">
            <v>1</v>
          </cell>
          <cell r="J4542">
            <v>7278085.8300000001</v>
          </cell>
          <cell r="K4542">
            <v>0</v>
          </cell>
          <cell r="L4542">
            <v>924.56</v>
          </cell>
        </row>
        <row r="4543">
          <cell r="A4543" t="str">
            <v>09</v>
          </cell>
          <cell r="B4543" t="str">
            <v>28</v>
          </cell>
          <cell r="C4543" t="str">
            <v>09</v>
          </cell>
          <cell r="D4543" t="str">
            <v>5</v>
          </cell>
          <cell r="E4543" t="str">
            <v>0026</v>
          </cell>
          <cell r="F4543" t="str">
            <v>0002</v>
          </cell>
          <cell r="G4543" t="str">
            <v>5010102</v>
          </cell>
          <cell r="H4543" t="str">
            <v>转FVE9984发票出口收入</v>
          </cell>
          <cell r="I4543" t="b">
            <v>0</v>
          </cell>
          <cell r="J4543">
            <v>3320670.46</v>
          </cell>
          <cell r="K4543">
            <v>401716</v>
          </cell>
          <cell r="L4543">
            <v>462</v>
          </cell>
        </row>
        <row r="4544">
          <cell r="A4544" t="str">
            <v>09</v>
          </cell>
          <cell r="B4544" t="str">
            <v>28</v>
          </cell>
          <cell r="C4544" t="str">
            <v>09</v>
          </cell>
          <cell r="D4544" t="str">
            <v>5</v>
          </cell>
          <cell r="E4544" t="str">
            <v>0026</v>
          </cell>
          <cell r="F4544" t="str">
            <v>0005</v>
          </cell>
          <cell r="G4544" t="str">
            <v>5010102</v>
          </cell>
          <cell r="H4544" t="str">
            <v>转ZLB01发票出口收入</v>
          </cell>
          <cell r="I4544" t="b">
            <v>0</v>
          </cell>
          <cell r="J4544">
            <v>548701.56000000006</v>
          </cell>
          <cell r="K4544">
            <v>66377.33</v>
          </cell>
          <cell r="L4544">
            <v>57.75</v>
          </cell>
        </row>
        <row r="4545">
          <cell r="A4545" t="str">
            <v>09</v>
          </cell>
          <cell r="B4545" t="str">
            <v>28</v>
          </cell>
          <cell r="C4545" t="str">
            <v>09</v>
          </cell>
          <cell r="D4545" t="str">
            <v>5</v>
          </cell>
          <cell r="E4545" t="str">
            <v>0026</v>
          </cell>
          <cell r="F4545" t="str">
            <v>0008</v>
          </cell>
          <cell r="G4545" t="str">
            <v>5010102</v>
          </cell>
          <cell r="H4545" t="str">
            <v>转ZLB03发票出口收入</v>
          </cell>
          <cell r="I4545" t="b">
            <v>0</v>
          </cell>
          <cell r="J4545">
            <v>539767.31999999995</v>
          </cell>
          <cell r="K4545">
            <v>65297.33</v>
          </cell>
          <cell r="L4545">
            <v>57.75</v>
          </cell>
        </row>
        <row r="4546">
          <cell r="A4546" t="str">
            <v>09</v>
          </cell>
          <cell r="B4546" t="str">
            <v>28</v>
          </cell>
          <cell r="C4546" t="str">
            <v>09</v>
          </cell>
          <cell r="D4546" t="str">
            <v>5</v>
          </cell>
          <cell r="E4546" t="str">
            <v>0026</v>
          </cell>
          <cell r="F4546" t="str">
            <v>0011</v>
          </cell>
          <cell r="G4546" t="str">
            <v>5010102</v>
          </cell>
          <cell r="H4546" t="str">
            <v>转FVE99102发票出口收入</v>
          </cell>
          <cell r="I4546" t="b">
            <v>0</v>
          </cell>
          <cell r="J4546">
            <v>315644.21999999997</v>
          </cell>
          <cell r="K4546">
            <v>38184</v>
          </cell>
          <cell r="L4546">
            <v>39.06</v>
          </cell>
        </row>
        <row r="4547">
          <cell r="A4547" t="str">
            <v>09</v>
          </cell>
          <cell r="B4547" t="str">
            <v>28</v>
          </cell>
          <cell r="C4547" t="str">
            <v>09</v>
          </cell>
          <cell r="D4547" t="str">
            <v>5</v>
          </cell>
          <cell r="E4547" t="str">
            <v>0027</v>
          </cell>
          <cell r="F4547" t="str">
            <v>0002</v>
          </cell>
          <cell r="G4547" t="str">
            <v>5010102</v>
          </cell>
          <cell r="H4547" t="str">
            <v>转FVE9984#发票境外扣费</v>
          </cell>
          <cell r="I4547" t="b">
            <v>0</v>
          </cell>
          <cell r="J4547">
            <v>-743.94</v>
          </cell>
          <cell r="K4547">
            <v>-90</v>
          </cell>
          <cell r="L4547">
            <v>0</v>
          </cell>
        </row>
        <row r="4548">
          <cell r="A4548" t="str">
            <v>09</v>
          </cell>
          <cell r="B4548" t="str">
            <v>28</v>
          </cell>
          <cell r="C4548" t="str">
            <v>09</v>
          </cell>
          <cell r="D4548" t="str">
            <v>5</v>
          </cell>
          <cell r="E4548" t="str">
            <v>0028</v>
          </cell>
          <cell r="F4548" t="str">
            <v>0002</v>
          </cell>
          <cell r="G4548" t="str">
            <v>5010102</v>
          </cell>
          <cell r="H4548" t="str">
            <v>转FVE99102#发票境外扣费</v>
          </cell>
          <cell r="I4548" t="b">
            <v>0</v>
          </cell>
          <cell r="J4548">
            <v>-247.99</v>
          </cell>
          <cell r="K4548">
            <v>-30</v>
          </cell>
          <cell r="L4548">
            <v>0</v>
          </cell>
        </row>
        <row r="4549">
          <cell r="A4549" t="str">
            <v>09</v>
          </cell>
          <cell r="B4549" t="str">
            <v>30</v>
          </cell>
          <cell r="C4549" t="str">
            <v>09</v>
          </cell>
          <cell r="D4549" t="str">
            <v>5</v>
          </cell>
          <cell r="E4549" t="str">
            <v>0037</v>
          </cell>
          <cell r="F4549" t="str">
            <v>0002</v>
          </cell>
          <cell r="G4549" t="str">
            <v>5010102</v>
          </cell>
          <cell r="H4549" t="str">
            <v>结转本月产品收入</v>
          </cell>
          <cell r="I4549" t="b">
            <v>1</v>
          </cell>
          <cell r="J4549">
            <v>4723791.63</v>
          </cell>
          <cell r="K4549">
            <v>0</v>
          </cell>
          <cell r="L4549">
            <v>616.55999999999995</v>
          </cell>
        </row>
        <row r="4550">
          <cell r="A4550" t="str">
            <v>10</v>
          </cell>
          <cell r="B4550" t="str">
            <v>28</v>
          </cell>
          <cell r="C4550" t="str">
            <v>10</v>
          </cell>
          <cell r="D4550" t="str">
            <v>5</v>
          </cell>
          <cell r="E4550" t="str">
            <v>0025</v>
          </cell>
          <cell r="F4550" t="str">
            <v>0002</v>
          </cell>
          <cell r="G4550" t="str">
            <v>5010102</v>
          </cell>
          <cell r="H4550" t="str">
            <v>转FVE9993发票出口收入</v>
          </cell>
          <cell r="I4550" t="b">
            <v>0</v>
          </cell>
          <cell r="J4550">
            <v>3206785.48</v>
          </cell>
          <cell r="K4550">
            <v>387940</v>
          </cell>
          <cell r="L4550">
            <v>462</v>
          </cell>
        </row>
        <row r="4551">
          <cell r="A4551" t="str">
            <v>10</v>
          </cell>
          <cell r="B4551" t="str">
            <v>30</v>
          </cell>
          <cell r="C4551" t="str">
            <v>10</v>
          </cell>
          <cell r="D4551" t="str">
            <v>5</v>
          </cell>
          <cell r="E4551" t="str">
            <v>0031</v>
          </cell>
          <cell r="F4551" t="str">
            <v>0002</v>
          </cell>
          <cell r="G4551" t="str">
            <v>5010102</v>
          </cell>
          <cell r="H4551" t="str">
            <v>结转本月产品收入</v>
          </cell>
          <cell r="I4551" t="b">
            <v>1</v>
          </cell>
          <cell r="J4551">
            <v>3206785.48</v>
          </cell>
          <cell r="K4551">
            <v>0</v>
          </cell>
          <cell r="L4551">
            <v>462</v>
          </cell>
        </row>
        <row r="4552">
          <cell r="A4552" t="str">
            <v>11</v>
          </cell>
          <cell r="B4552" t="str">
            <v>30</v>
          </cell>
          <cell r="C4552" t="str">
            <v>11</v>
          </cell>
          <cell r="D4552" t="str">
            <v>5</v>
          </cell>
          <cell r="E4552" t="str">
            <v>0029</v>
          </cell>
          <cell r="F4552" t="str">
            <v>0002</v>
          </cell>
          <cell r="G4552" t="str">
            <v>5010102</v>
          </cell>
          <cell r="H4552" t="str">
            <v>转ZLB05发票出口收入</v>
          </cell>
          <cell r="I4552" t="b">
            <v>0</v>
          </cell>
          <cell r="J4552">
            <v>433249.48</v>
          </cell>
          <cell r="K4552">
            <v>52409</v>
          </cell>
          <cell r="L4552">
            <v>57.75</v>
          </cell>
        </row>
        <row r="4553">
          <cell r="A4553" t="str">
            <v>11</v>
          </cell>
          <cell r="B4553" t="str">
            <v>30</v>
          </cell>
          <cell r="C4553" t="str">
            <v>11</v>
          </cell>
          <cell r="D4553" t="str">
            <v>5</v>
          </cell>
          <cell r="E4553" t="str">
            <v>0034</v>
          </cell>
          <cell r="F4553" t="str">
            <v>0002</v>
          </cell>
          <cell r="G4553" t="str">
            <v>5010102</v>
          </cell>
          <cell r="H4553" t="str">
            <v>结转本月产品收入</v>
          </cell>
          <cell r="I4553" t="b">
            <v>1</v>
          </cell>
          <cell r="J4553">
            <v>433249.48</v>
          </cell>
          <cell r="K4553">
            <v>0</v>
          </cell>
          <cell r="L4553">
            <v>57.75</v>
          </cell>
        </row>
        <row r="4554">
          <cell r="A4554" t="str">
            <v>12</v>
          </cell>
          <cell r="B4554" t="str">
            <v>28</v>
          </cell>
          <cell r="C4554" t="str">
            <v>12</v>
          </cell>
          <cell r="D4554" t="str">
            <v>5</v>
          </cell>
          <cell r="E4554" t="str">
            <v>0046</v>
          </cell>
          <cell r="F4554" t="str">
            <v>0002</v>
          </cell>
          <cell r="G4554" t="str">
            <v>5010102</v>
          </cell>
          <cell r="H4554" t="str">
            <v>转ZLB06发票出口收入</v>
          </cell>
          <cell r="I4554" t="b">
            <v>0</v>
          </cell>
          <cell r="J4554">
            <v>731796.09</v>
          </cell>
          <cell r="K4554">
            <v>88548</v>
          </cell>
          <cell r="L4554">
            <v>96.25</v>
          </cell>
        </row>
        <row r="4555">
          <cell r="A4555" t="str">
            <v>12</v>
          </cell>
          <cell r="B4555" t="str">
            <v>28</v>
          </cell>
          <cell r="C4555" t="str">
            <v>12</v>
          </cell>
          <cell r="D4555" t="str">
            <v>5</v>
          </cell>
          <cell r="E4555" t="str">
            <v>0046</v>
          </cell>
          <cell r="F4555" t="str">
            <v>0005</v>
          </cell>
          <cell r="G4555" t="str">
            <v>5010102</v>
          </cell>
          <cell r="H4555" t="str">
            <v>转FVE99112发票出口收入</v>
          </cell>
          <cell r="I4555" t="b">
            <v>0</v>
          </cell>
          <cell r="J4555">
            <v>143461.47</v>
          </cell>
          <cell r="K4555">
            <v>17357.5</v>
          </cell>
          <cell r="L4555">
            <v>19.25</v>
          </cell>
        </row>
        <row r="4556">
          <cell r="A4556" t="str">
            <v>12</v>
          </cell>
          <cell r="B4556" t="str">
            <v>28</v>
          </cell>
          <cell r="C4556" t="str">
            <v>12</v>
          </cell>
          <cell r="D4556" t="str">
            <v>5</v>
          </cell>
          <cell r="E4556" t="str">
            <v>0046</v>
          </cell>
          <cell r="F4556" t="str">
            <v>0008</v>
          </cell>
          <cell r="G4556" t="str">
            <v>5010102</v>
          </cell>
          <cell r="H4556" t="str">
            <v>转FVE99113发票出口收入</v>
          </cell>
          <cell r="I4556" t="b">
            <v>0</v>
          </cell>
          <cell r="J4556">
            <v>123725.84</v>
          </cell>
          <cell r="K4556">
            <v>14967.5</v>
          </cell>
          <cell r="L4556">
            <v>19.25</v>
          </cell>
        </row>
        <row r="4557">
          <cell r="A4557" t="str">
            <v>12</v>
          </cell>
          <cell r="B4557" t="str">
            <v>28</v>
          </cell>
          <cell r="C4557" t="str">
            <v>12</v>
          </cell>
          <cell r="D4557" t="str">
            <v>5</v>
          </cell>
          <cell r="E4557" t="str">
            <v>0046</v>
          </cell>
          <cell r="F4557" t="str">
            <v>0011</v>
          </cell>
          <cell r="G4557" t="str">
            <v>5010102</v>
          </cell>
          <cell r="H4557" t="str">
            <v>转FVE99114发票出口收入</v>
          </cell>
          <cell r="I4557" t="b">
            <v>0</v>
          </cell>
          <cell r="J4557">
            <v>147279.31</v>
          </cell>
          <cell r="K4557">
            <v>17814.25</v>
          </cell>
          <cell r="L4557">
            <v>19.25</v>
          </cell>
        </row>
        <row r="4558">
          <cell r="A4558" t="str">
            <v>12</v>
          </cell>
          <cell r="B4558" t="str">
            <v>28</v>
          </cell>
          <cell r="C4558" t="str">
            <v>12</v>
          </cell>
          <cell r="D4558" t="str">
            <v>5</v>
          </cell>
          <cell r="E4558" t="str">
            <v>0046</v>
          </cell>
          <cell r="F4558" t="str">
            <v>0014</v>
          </cell>
          <cell r="G4558" t="str">
            <v>5010102</v>
          </cell>
          <cell r="H4558" t="str">
            <v>转FVE99115发票出口收入</v>
          </cell>
          <cell r="I4558" t="b">
            <v>0</v>
          </cell>
          <cell r="J4558">
            <v>484135.5</v>
          </cell>
          <cell r="K4558">
            <v>58561</v>
          </cell>
          <cell r="L4558">
            <v>77</v>
          </cell>
        </row>
        <row r="4559">
          <cell r="A4559" t="str">
            <v>12</v>
          </cell>
          <cell r="B4559" t="str">
            <v>28</v>
          </cell>
          <cell r="C4559" t="str">
            <v>12</v>
          </cell>
          <cell r="D4559" t="str">
            <v>5</v>
          </cell>
          <cell r="E4559" t="str">
            <v>0046</v>
          </cell>
          <cell r="F4559" t="str">
            <v>0017</v>
          </cell>
          <cell r="G4559" t="str">
            <v>5010102</v>
          </cell>
          <cell r="H4559" t="str">
            <v>转FVE99116发票出口收入</v>
          </cell>
          <cell r="I4559" t="b">
            <v>0</v>
          </cell>
          <cell r="J4559">
            <v>335711.05</v>
          </cell>
          <cell r="K4559">
            <v>40612.5</v>
          </cell>
          <cell r="L4559">
            <v>49.5</v>
          </cell>
        </row>
        <row r="4560">
          <cell r="A4560" t="str">
            <v>12</v>
          </cell>
          <cell r="B4560" t="str">
            <v>28</v>
          </cell>
          <cell r="C4560" t="str">
            <v>12</v>
          </cell>
          <cell r="D4560" t="str">
            <v>5</v>
          </cell>
          <cell r="E4560" t="str">
            <v>0046</v>
          </cell>
          <cell r="F4560" t="str">
            <v>0020</v>
          </cell>
          <cell r="G4560" t="str">
            <v>5010102</v>
          </cell>
          <cell r="H4560" t="str">
            <v>转FVE99117发票出口收入</v>
          </cell>
          <cell r="I4560" t="b">
            <v>0</v>
          </cell>
          <cell r="J4560">
            <v>671275.89</v>
          </cell>
          <cell r="K4560">
            <v>81225</v>
          </cell>
          <cell r="L4560">
            <v>99</v>
          </cell>
        </row>
        <row r="4561">
          <cell r="A4561" t="str">
            <v>12</v>
          </cell>
          <cell r="B4561" t="str">
            <v>28</v>
          </cell>
          <cell r="C4561" t="str">
            <v>12</v>
          </cell>
          <cell r="D4561" t="str">
            <v>5</v>
          </cell>
          <cell r="E4561" t="str">
            <v>0047</v>
          </cell>
          <cell r="F4561" t="str">
            <v>0001</v>
          </cell>
          <cell r="G4561" t="str">
            <v>5010102</v>
          </cell>
          <cell r="H4561" t="str">
            <v>转FVE99112#发票国外扣款USD40.0</v>
          </cell>
          <cell r="I4561" t="b">
            <v>0</v>
          </cell>
          <cell r="J4561">
            <v>-330.6</v>
          </cell>
          <cell r="K4561">
            <v>-40</v>
          </cell>
          <cell r="L4561">
            <v>0</v>
          </cell>
        </row>
        <row r="4562">
          <cell r="A4562" t="str">
            <v>12</v>
          </cell>
          <cell r="B4562" t="str">
            <v>28</v>
          </cell>
          <cell r="C4562" t="str">
            <v>12</v>
          </cell>
          <cell r="D4562" t="str">
            <v>5</v>
          </cell>
          <cell r="E4562" t="str">
            <v>0047</v>
          </cell>
          <cell r="F4562" t="str">
            <v>0004</v>
          </cell>
          <cell r="G4562" t="str">
            <v>5010102</v>
          </cell>
          <cell r="H4562" t="str">
            <v>转FVE99115#发票国外扣费</v>
          </cell>
          <cell r="I4562" t="b">
            <v>0</v>
          </cell>
          <cell r="J4562">
            <v>-899.14</v>
          </cell>
          <cell r="K4562">
            <v>-108.76</v>
          </cell>
          <cell r="L4562">
            <v>0</v>
          </cell>
        </row>
        <row r="4563">
          <cell r="A4563" t="str">
            <v>12</v>
          </cell>
          <cell r="B4563" t="str">
            <v>28</v>
          </cell>
          <cell r="C4563" t="str">
            <v>12</v>
          </cell>
          <cell r="D4563" t="str">
            <v>5</v>
          </cell>
          <cell r="E4563" t="str">
            <v>0048</v>
          </cell>
          <cell r="F4563" t="str">
            <v>0001</v>
          </cell>
          <cell r="G4563" t="str">
            <v>5010102</v>
          </cell>
          <cell r="H4563" t="str">
            <v>转FVE99116#发票境外扣费</v>
          </cell>
          <cell r="I4563" t="b">
            <v>0</v>
          </cell>
          <cell r="J4563">
            <v>-247.99</v>
          </cell>
          <cell r="K4563">
            <v>-30</v>
          </cell>
          <cell r="L4563">
            <v>0</v>
          </cell>
        </row>
        <row r="4564">
          <cell r="A4564" t="str">
            <v>12</v>
          </cell>
          <cell r="B4564" t="str">
            <v>28</v>
          </cell>
          <cell r="C4564" t="str">
            <v>12</v>
          </cell>
          <cell r="D4564" t="str">
            <v>5</v>
          </cell>
          <cell r="E4564" t="str">
            <v>0049</v>
          </cell>
          <cell r="F4564" t="str">
            <v>0001</v>
          </cell>
          <cell r="G4564" t="str">
            <v>5010102</v>
          </cell>
          <cell r="H4564" t="str">
            <v>转FVE99118#发票境外扣费</v>
          </cell>
          <cell r="I4564" t="b">
            <v>0</v>
          </cell>
          <cell r="J4564">
            <v>-247.97</v>
          </cell>
          <cell r="K4564">
            <v>-30</v>
          </cell>
          <cell r="L4564">
            <v>0</v>
          </cell>
        </row>
        <row r="4565">
          <cell r="A4565" t="str">
            <v>12</v>
          </cell>
          <cell r="B4565" t="str">
            <v>28</v>
          </cell>
          <cell r="C4565" t="str">
            <v>12</v>
          </cell>
          <cell r="D4565" t="str">
            <v>5</v>
          </cell>
          <cell r="E4565" t="str">
            <v>0050</v>
          </cell>
          <cell r="F4565" t="str">
            <v>0001</v>
          </cell>
          <cell r="G4565" t="str">
            <v>5010102</v>
          </cell>
          <cell r="H4565" t="str">
            <v>转FVE99113#发票国外扣费</v>
          </cell>
          <cell r="I4565" t="b">
            <v>0</v>
          </cell>
          <cell r="J4565">
            <v>-991.96</v>
          </cell>
          <cell r="K4565">
            <v>-120</v>
          </cell>
          <cell r="L4565">
            <v>0</v>
          </cell>
        </row>
        <row r="4566">
          <cell r="A4566" t="str">
            <v>12</v>
          </cell>
          <cell r="B4566" t="str">
            <v>28</v>
          </cell>
          <cell r="C4566" t="str">
            <v>12</v>
          </cell>
          <cell r="D4566" t="str">
            <v>5</v>
          </cell>
          <cell r="E4566" t="str">
            <v>0051</v>
          </cell>
          <cell r="F4566" t="str">
            <v>0003</v>
          </cell>
          <cell r="G4566" t="str">
            <v>5010102</v>
          </cell>
          <cell r="H4566" t="str">
            <v>转FVE99124#发票国外扣款</v>
          </cell>
          <cell r="I4566" t="b">
            <v>0</v>
          </cell>
          <cell r="J4566">
            <v>-429.79</v>
          </cell>
          <cell r="K4566">
            <v>-52</v>
          </cell>
          <cell r="L4566">
            <v>0</v>
          </cell>
        </row>
        <row r="4567">
          <cell r="A4567" t="str">
            <v>12</v>
          </cell>
          <cell r="B4567" t="str">
            <v>28</v>
          </cell>
          <cell r="C4567" t="str">
            <v>12</v>
          </cell>
          <cell r="D4567" t="str">
            <v>5</v>
          </cell>
          <cell r="E4567" t="str">
            <v>0052</v>
          </cell>
          <cell r="F4567" t="str">
            <v>0001</v>
          </cell>
          <cell r="G4567" t="str">
            <v>5010102</v>
          </cell>
          <cell r="H4567" t="str">
            <v>转ZLA00002#发票境外扣费</v>
          </cell>
          <cell r="I4567" t="b">
            <v>0</v>
          </cell>
          <cell r="J4567">
            <v>-247.99</v>
          </cell>
          <cell r="K4567">
            <v>-30</v>
          </cell>
          <cell r="L4567">
            <v>0</v>
          </cell>
        </row>
        <row r="4568">
          <cell r="A4568" t="str">
            <v>12</v>
          </cell>
          <cell r="B4568" t="str">
            <v>28</v>
          </cell>
          <cell r="C4568" t="str">
            <v>12</v>
          </cell>
          <cell r="D4568" t="str">
            <v>5</v>
          </cell>
          <cell r="E4568" t="str">
            <v>0053</v>
          </cell>
          <cell r="F4568" t="str">
            <v>0002</v>
          </cell>
          <cell r="G4568" t="str">
            <v>5010102</v>
          </cell>
          <cell r="H4568" t="str">
            <v>转ZLA00014#发票国外扣费</v>
          </cell>
          <cell r="I4568" t="b">
            <v>0</v>
          </cell>
          <cell r="J4568">
            <v>-578.66999999999996</v>
          </cell>
          <cell r="K4568">
            <v>-70</v>
          </cell>
          <cell r="L4568">
            <v>0</v>
          </cell>
        </row>
        <row r="4569">
          <cell r="A4569" t="str">
            <v>12</v>
          </cell>
          <cell r="B4569" t="str">
            <v>28</v>
          </cell>
          <cell r="C4569" t="str">
            <v>12</v>
          </cell>
          <cell r="D4569" t="str">
            <v>5</v>
          </cell>
          <cell r="E4569" t="str">
            <v>0054</v>
          </cell>
          <cell r="F4569" t="str">
            <v>0002</v>
          </cell>
          <cell r="G4569" t="str">
            <v>5010102</v>
          </cell>
          <cell r="H4569" t="str">
            <v>转FVE99118发票出口收入</v>
          </cell>
          <cell r="I4569" t="b">
            <v>0</v>
          </cell>
          <cell r="J4569">
            <v>484047.66</v>
          </cell>
          <cell r="K4569">
            <v>58561</v>
          </cell>
          <cell r="L4569">
            <v>77</v>
          </cell>
        </row>
        <row r="4570">
          <cell r="A4570" t="str">
            <v>12</v>
          </cell>
          <cell r="B4570" t="str">
            <v>28</v>
          </cell>
          <cell r="C4570" t="str">
            <v>12</v>
          </cell>
          <cell r="D4570" t="str">
            <v>5</v>
          </cell>
          <cell r="E4570" t="str">
            <v>0054</v>
          </cell>
          <cell r="F4570" t="str">
            <v>0005</v>
          </cell>
          <cell r="G4570" t="str">
            <v>5010102</v>
          </cell>
          <cell r="H4570" t="str">
            <v>转FVE99119发票出口收入</v>
          </cell>
          <cell r="I4570" t="b">
            <v>0</v>
          </cell>
          <cell r="J4570">
            <v>335702.93</v>
          </cell>
          <cell r="K4570">
            <v>40612.5</v>
          </cell>
          <cell r="L4570">
            <v>49.5</v>
          </cell>
        </row>
        <row r="4571">
          <cell r="A4571" t="str">
            <v>12</v>
          </cell>
          <cell r="B4571" t="str">
            <v>28</v>
          </cell>
          <cell r="C4571" t="str">
            <v>12</v>
          </cell>
          <cell r="D4571" t="str">
            <v>5</v>
          </cell>
          <cell r="E4571" t="str">
            <v>0054</v>
          </cell>
          <cell r="F4571" t="str">
            <v>0008</v>
          </cell>
          <cell r="G4571" t="str">
            <v>5010102</v>
          </cell>
          <cell r="H4571" t="str">
            <v>转FVE99121发票出口收入</v>
          </cell>
          <cell r="I4571" t="b">
            <v>0</v>
          </cell>
          <cell r="J4571">
            <v>671422.1</v>
          </cell>
          <cell r="K4571">
            <v>81225</v>
          </cell>
          <cell r="L4571">
            <v>99</v>
          </cell>
        </row>
        <row r="4572">
          <cell r="A4572" t="str">
            <v>12</v>
          </cell>
          <cell r="B4572" t="str">
            <v>28</v>
          </cell>
          <cell r="C4572" t="str">
            <v>12</v>
          </cell>
          <cell r="D4572" t="str">
            <v>5</v>
          </cell>
          <cell r="E4572" t="str">
            <v>0054</v>
          </cell>
          <cell r="F4572" t="str">
            <v>0011</v>
          </cell>
          <cell r="G4572" t="str">
            <v>5010102</v>
          </cell>
          <cell r="H4572" t="str">
            <v>转FVE99122发票出口收入</v>
          </cell>
          <cell r="I4572" t="b">
            <v>0</v>
          </cell>
          <cell r="J4572">
            <v>335637.95</v>
          </cell>
          <cell r="K4572">
            <v>40612.5</v>
          </cell>
          <cell r="L4572">
            <v>49.5</v>
          </cell>
        </row>
        <row r="4573">
          <cell r="A4573" t="str">
            <v>12</v>
          </cell>
          <cell r="B4573" t="str">
            <v>28</v>
          </cell>
          <cell r="C4573" t="str">
            <v>12</v>
          </cell>
          <cell r="D4573" t="str">
            <v>5</v>
          </cell>
          <cell r="E4573" t="str">
            <v>0054</v>
          </cell>
          <cell r="F4573" t="str">
            <v>0014</v>
          </cell>
          <cell r="G4573" t="str">
            <v>5010102</v>
          </cell>
          <cell r="H4573" t="str">
            <v>转FVE99123发票出口收入</v>
          </cell>
          <cell r="I4573" t="b">
            <v>0</v>
          </cell>
          <cell r="J4573">
            <v>315217.87</v>
          </cell>
          <cell r="K4573">
            <v>38137.5</v>
          </cell>
          <cell r="L4573">
            <v>49.5</v>
          </cell>
        </row>
        <row r="4574">
          <cell r="A4574" t="str">
            <v>12</v>
          </cell>
          <cell r="B4574" t="str">
            <v>28</v>
          </cell>
          <cell r="C4574" t="str">
            <v>12</v>
          </cell>
          <cell r="D4574" t="str">
            <v>5</v>
          </cell>
          <cell r="E4574" t="str">
            <v>0054</v>
          </cell>
          <cell r="F4574" t="str">
            <v>0017</v>
          </cell>
          <cell r="G4574" t="str">
            <v>5010102</v>
          </cell>
          <cell r="H4574" t="str">
            <v>转FVE99124发票出口收入</v>
          </cell>
          <cell r="I4574" t="b">
            <v>0</v>
          </cell>
          <cell r="J4574">
            <v>147567.16</v>
          </cell>
          <cell r="K4574">
            <v>17854.25</v>
          </cell>
          <cell r="L4574">
            <v>19.25</v>
          </cell>
        </row>
        <row r="4575">
          <cell r="A4575" t="str">
            <v>12</v>
          </cell>
          <cell r="B4575" t="str">
            <v>28</v>
          </cell>
          <cell r="C4575" t="str">
            <v>12</v>
          </cell>
          <cell r="D4575" t="str">
            <v>5</v>
          </cell>
          <cell r="E4575" t="str">
            <v>0054</v>
          </cell>
          <cell r="F4575" t="str">
            <v>0020</v>
          </cell>
          <cell r="G4575" t="str">
            <v>5010102</v>
          </cell>
          <cell r="H4575" t="str">
            <v>转FVE99125发票出口收入</v>
          </cell>
          <cell r="I4575" t="b">
            <v>0</v>
          </cell>
          <cell r="J4575">
            <v>116506.45</v>
          </cell>
          <cell r="K4575">
            <v>14095</v>
          </cell>
          <cell r="L4575">
            <v>19.25</v>
          </cell>
        </row>
        <row r="4576">
          <cell r="A4576" t="str">
            <v>12</v>
          </cell>
          <cell r="B4576" t="str">
            <v>28</v>
          </cell>
          <cell r="C4576" t="str">
            <v>12</v>
          </cell>
          <cell r="D4576" t="str">
            <v>5</v>
          </cell>
          <cell r="E4576" t="str">
            <v>0055</v>
          </cell>
          <cell r="F4576" t="str">
            <v>0002</v>
          </cell>
          <cell r="G4576" t="str">
            <v>5010102</v>
          </cell>
          <cell r="H4576" t="str">
            <v>转ZLA00025#发票国外扣费</v>
          </cell>
          <cell r="I4576" t="b">
            <v>0</v>
          </cell>
          <cell r="J4576">
            <v>-810.06</v>
          </cell>
          <cell r="K4576">
            <v>-98</v>
          </cell>
          <cell r="L4576">
            <v>0</v>
          </cell>
        </row>
        <row r="4577">
          <cell r="A4577" t="str">
            <v>12</v>
          </cell>
          <cell r="B4577" t="str">
            <v>28</v>
          </cell>
          <cell r="C4577" t="str">
            <v>12</v>
          </cell>
          <cell r="D4577" t="str">
            <v>5</v>
          </cell>
          <cell r="E4577" t="str">
            <v>0056</v>
          </cell>
          <cell r="F4577" t="str">
            <v>0002</v>
          </cell>
          <cell r="G4577" t="str">
            <v>5010102</v>
          </cell>
          <cell r="H4577" t="str">
            <v>转ZLA00028#发票国外扣费</v>
          </cell>
          <cell r="I4577" t="b">
            <v>0</v>
          </cell>
          <cell r="J4577">
            <v>-867.76</v>
          </cell>
          <cell r="K4577">
            <v>-105</v>
          </cell>
          <cell r="L4577">
            <v>0</v>
          </cell>
        </row>
        <row r="4578">
          <cell r="A4578" t="str">
            <v>12</v>
          </cell>
          <cell r="B4578" t="str">
            <v>28</v>
          </cell>
          <cell r="C4578" t="str">
            <v>12</v>
          </cell>
          <cell r="D4578" t="str">
            <v>5</v>
          </cell>
          <cell r="E4578" t="str">
            <v>0058</v>
          </cell>
          <cell r="F4578" t="str">
            <v>0002</v>
          </cell>
          <cell r="G4578" t="str">
            <v>5010102</v>
          </cell>
          <cell r="H4578" t="str">
            <v>转ZLA00011#发票国外扣费</v>
          </cell>
          <cell r="I4578" t="b">
            <v>0</v>
          </cell>
          <cell r="J4578">
            <v>-330.58</v>
          </cell>
          <cell r="K4578">
            <v>-40</v>
          </cell>
          <cell r="L4578">
            <v>0</v>
          </cell>
        </row>
        <row r="4579">
          <cell r="A4579" t="str">
            <v>12</v>
          </cell>
          <cell r="B4579" t="str">
            <v>28</v>
          </cell>
          <cell r="C4579" t="str">
            <v>12</v>
          </cell>
          <cell r="D4579" t="str">
            <v>5</v>
          </cell>
          <cell r="E4579" t="str">
            <v>0059</v>
          </cell>
          <cell r="F4579" t="str">
            <v>0002</v>
          </cell>
          <cell r="G4579" t="str">
            <v>5010102</v>
          </cell>
          <cell r="H4579" t="str">
            <v>转ZLA00010#发票国外扣费</v>
          </cell>
          <cell r="I4579" t="b">
            <v>0</v>
          </cell>
          <cell r="J4579">
            <v>-330.65</v>
          </cell>
          <cell r="K4579">
            <v>-40</v>
          </cell>
          <cell r="L4579">
            <v>0</v>
          </cell>
        </row>
        <row r="4580">
          <cell r="A4580" t="str">
            <v>12</v>
          </cell>
          <cell r="B4580" t="str">
            <v>28</v>
          </cell>
          <cell r="C4580" t="str">
            <v>12</v>
          </cell>
          <cell r="D4580" t="str">
            <v>5</v>
          </cell>
          <cell r="E4580" t="str">
            <v>0060</v>
          </cell>
          <cell r="F4580" t="str">
            <v>0002</v>
          </cell>
          <cell r="G4580" t="str">
            <v>5010102</v>
          </cell>
          <cell r="H4580" t="str">
            <v>转FVE99126发票出口收入</v>
          </cell>
          <cell r="I4580" t="b">
            <v>0</v>
          </cell>
          <cell r="J4580">
            <v>630382.37</v>
          </cell>
          <cell r="K4580">
            <v>76275</v>
          </cell>
          <cell r="L4580">
            <v>99</v>
          </cell>
        </row>
        <row r="4581">
          <cell r="A4581" t="str">
            <v>12</v>
          </cell>
          <cell r="B4581" t="str">
            <v>28</v>
          </cell>
          <cell r="C4581" t="str">
            <v>12</v>
          </cell>
          <cell r="D4581" t="str">
            <v>5</v>
          </cell>
          <cell r="E4581" t="str">
            <v>0060</v>
          </cell>
          <cell r="F4581" t="str">
            <v>0005</v>
          </cell>
          <cell r="G4581" t="str">
            <v>5010102</v>
          </cell>
          <cell r="H4581" t="str">
            <v>转ZLA00001发票出口收入</v>
          </cell>
          <cell r="I4581" t="b">
            <v>0</v>
          </cell>
          <cell r="J4581">
            <v>646327.73</v>
          </cell>
          <cell r="K4581">
            <v>78206.25</v>
          </cell>
          <cell r="L4581">
            <v>96.25</v>
          </cell>
        </row>
        <row r="4582">
          <cell r="A4582" t="str">
            <v>12</v>
          </cell>
          <cell r="B4582" t="str">
            <v>28</v>
          </cell>
          <cell r="C4582" t="str">
            <v>12</v>
          </cell>
          <cell r="D4582" t="str">
            <v>5</v>
          </cell>
          <cell r="E4582" t="str">
            <v>0060</v>
          </cell>
          <cell r="F4582" t="str">
            <v>0008</v>
          </cell>
          <cell r="G4582" t="str">
            <v>5010102</v>
          </cell>
          <cell r="H4582" t="str">
            <v>转ZLA00002发票出口收入</v>
          </cell>
          <cell r="I4582" t="b">
            <v>0</v>
          </cell>
          <cell r="J4582">
            <v>260871.05</v>
          </cell>
          <cell r="K4582">
            <v>31558</v>
          </cell>
          <cell r="L4582">
            <v>38.5</v>
          </cell>
        </row>
        <row r="4583">
          <cell r="A4583" t="str">
            <v>12</v>
          </cell>
          <cell r="B4583" t="str">
            <v>28</v>
          </cell>
          <cell r="C4583" t="str">
            <v>12</v>
          </cell>
          <cell r="D4583" t="str">
            <v>5</v>
          </cell>
          <cell r="E4583" t="str">
            <v>0060</v>
          </cell>
          <cell r="F4583" t="str">
            <v>0011</v>
          </cell>
          <cell r="G4583" t="str">
            <v>5010102</v>
          </cell>
          <cell r="H4583" t="str">
            <v>转ZLA00003发票出口收入</v>
          </cell>
          <cell r="I4583" t="b">
            <v>0</v>
          </cell>
          <cell r="J4583">
            <v>646335.55000000005</v>
          </cell>
          <cell r="K4583">
            <v>78206.25</v>
          </cell>
          <cell r="L4583">
            <v>96.25</v>
          </cell>
        </row>
        <row r="4584">
          <cell r="A4584" t="str">
            <v>12</v>
          </cell>
          <cell r="B4584" t="str">
            <v>28</v>
          </cell>
          <cell r="C4584" t="str">
            <v>12</v>
          </cell>
          <cell r="D4584" t="str">
            <v>5</v>
          </cell>
          <cell r="E4584" t="str">
            <v>0060</v>
          </cell>
          <cell r="F4584" t="str">
            <v>0014</v>
          </cell>
          <cell r="G4584" t="str">
            <v>5010102</v>
          </cell>
          <cell r="H4584" t="str">
            <v>转ZLA00005发票出口收入</v>
          </cell>
          <cell r="I4584" t="b">
            <v>0</v>
          </cell>
          <cell r="J4584">
            <v>260811.09</v>
          </cell>
          <cell r="K4584">
            <v>31558</v>
          </cell>
          <cell r="L4584">
            <v>38.5</v>
          </cell>
        </row>
        <row r="4585">
          <cell r="A4585" t="str">
            <v>12</v>
          </cell>
          <cell r="B4585" t="str">
            <v>28</v>
          </cell>
          <cell r="C4585" t="str">
            <v>12</v>
          </cell>
          <cell r="D4585" t="str">
            <v>5</v>
          </cell>
          <cell r="E4585" t="str">
            <v>0060</v>
          </cell>
          <cell r="F4585" t="str">
            <v>0017</v>
          </cell>
          <cell r="G4585" t="str">
            <v>5010102</v>
          </cell>
          <cell r="H4585" t="str">
            <v>转ZLA00006发票出口收入</v>
          </cell>
          <cell r="I4585" t="b">
            <v>0</v>
          </cell>
          <cell r="J4585">
            <v>391216.64000000001</v>
          </cell>
          <cell r="K4585">
            <v>47337</v>
          </cell>
          <cell r="L4585">
            <v>57.75</v>
          </cell>
        </row>
        <row r="4586">
          <cell r="A4586" t="str">
            <v>12</v>
          </cell>
          <cell r="B4586" t="str">
            <v>28</v>
          </cell>
          <cell r="C4586" t="str">
            <v>12</v>
          </cell>
          <cell r="D4586" t="str">
            <v>5</v>
          </cell>
          <cell r="E4586" t="str">
            <v>0061</v>
          </cell>
          <cell r="F4586" t="str">
            <v>0002</v>
          </cell>
          <cell r="G4586" t="str">
            <v>5010102</v>
          </cell>
          <cell r="H4586" t="str">
            <v>转ZLA00006#发票国外扣费</v>
          </cell>
          <cell r="I4586" t="b">
            <v>0</v>
          </cell>
          <cell r="J4586">
            <v>-330.58</v>
          </cell>
          <cell r="K4586">
            <v>-40</v>
          </cell>
          <cell r="L4586">
            <v>0</v>
          </cell>
        </row>
        <row r="4587">
          <cell r="A4587" t="str">
            <v>12</v>
          </cell>
          <cell r="B4587" t="str">
            <v>28</v>
          </cell>
          <cell r="C4587" t="str">
            <v>12</v>
          </cell>
          <cell r="D4587" t="str">
            <v>5</v>
          </cell>
          <cell r="E4587" t="str">
            <v>0062</v>
          </cell>
          <cell r="F4587" t="str">
            <v>0002</v>
          </cell>
          <cell r="G4587" t="str">
            <v>5010102</v>
          </cell>
          <cell r="H4587" t="str">
            <v>转ZLA00005#发票国外扣费</v>
          </cell>
          <cell r="I4587" t="b">
            <v>0</v>
          </cell>
          <cell r="J4587">
            <v>-330.58</v>
          </cell>
          <cell r="K4587">
            <v>-40</v>
          </cell>
          <cell r="L4587">
            <v>0</v>
          </cell>
        </row>
        <row r="4588">
          <cell r="A4588" t="str">
            <v>12</v>
          </cell>
          <cell r="B4588" t="str">
            <v>28</v>
          </cell>
          <cell r="C4588" t="str">
            <v>12</v>
          </cell>
          <cell r="D4588" t="str">
            <v>5</v>
          </cell>
          <cell r="E4588" t="str">
            <v>0063</v>
          </cell>
          <cell r="F4588" t="str">
            <v>0002</v>
          </cell>
          <cell r="G4588" t="str">
            <v>5010102</v>
          </cell>
          <cell r="H4588" t="str">
            <v>转ZLA00003#发票国外扣费</v>
          </cell>
          <cell r="I4588" t="b">
            <v>0</v>
          </cell>
          <cell r="J4588">
            <v>-330.58</v>
          </cell>
          <cell r="K4588">
            <v>-40</v>
          </cell>
          <cell r="L4588">
            <v>0</v>
          </cell>
        </row>
        <row r="4589">
          <cell r="A4589" t="str">
            <v>12</v>
          </cell>
          <cell r="B4589" t="str">
            <v>28</v>
          </cell>
          <cell r="C4589" t="str">
            <v>12</v>
          </cell>
          <cell r="D4589" t="str">
            <v>5</v>
          </cell>
          <cell r="E4589" t="str">
            <v>0064</v>
          </cell>
          <cell r="F4589" t="str">
            <v>0002</v>
          </cell>
          <cell r="G4589" t="str">
            <v>5010102</v>
          </cell>
          <cell r="H4589" t="str">
            <v>转ZLA00001#发票国外扣费</v>
          </cell>
          <cell r="I4589" t="b">
            <v>0</v>
          </cell>
          <cell r="J4589">
            <v>-330.58</v>
          </cell>
          <cell r="K4589">
            <v>-40</v>
          </cell>
          <cell r="L4589">
            <v>0</v>
          </cell>
        </row>
        <row r="4590">
          <cell r="A4590" t="str">
            <v>12</v>
          </cell>
          <cell r="B4590" t="str">
            <v>28</v>
          </cell>
          <cell r="C4590" t="str">
            <v>12</v>
          </cell>
          <cell r="D4590" t="str">
            <v>5</v>
          </cell>
          <cell r="E4590" t="str">
            <v>0065</v>
          </cell>
          <cell r="F4590" t="str">
            <v>0002</v>
          </cell>
          <cell r="G4590" t="str">
            <v>5010102</v>
          </cell>
          <cell r="H4590" t="str">
            <v>转FVE99126#发票国外扣费</v>
          </cell>
          <cell r="I4590" t="b">
            <v>0</v>
          </cell>
          <cell r="J4590">
            <v>-330.59</v>
          </cell>
          <cell r="K4590">
            <v>-40</v>
          </cell>
          <cell r="L4590">
            <v>0</v>
          </cell>
        </row>
        <row r="4591">
          <cell r="A4591" t="str">
            <v>12</v>
          </cell>
          <cell r="B4591" t="str">
            <v>28</v>
          </cell>
          <cell r="C4591" t="str">
            <v>12</v>
          </cell>
          <cell r="D4591" t="str">
            <v>5</v>
          </cell>
          <cell r="E4591" t="str">
            <v>0066</v>
          </cell>
          <cell r="F4591" t="str">
            <v>0002</v>
          </cell>
          <cell r="G4591" t="str">
            <v>5010102</v>
          </cell>
          <cell r="H4591" t="str">
            <v>转FVE99125#发票国外扣费</v>
          </cell>
          <cell r="I4591" t="b">
            <v>0</v>
          </cell>
          <cell r="J4591">
            <v>-330.63</v>
          </cell>
          <cell r="K4591">
            <v>-40</v>
          </cell>
          <cell r="L4591">
            <v>0</v>
          </cell>
        </row>
        <row r="4592">
          <cell r="A4592" t="str">
            <v>12</v>
          </cell>
          <cell r="B4592" t="str">
            <v>28</v>
          </cell>
          <cell r="C4592" t="str">
            <v>12</v>
          </cell>
          <cell r="D4592" t="str">
            <v>5</v>
          </cell>
          <cell r="E4592" t="str">
            <v>0067</v>
          </cell>
          <cell r="F4592" t="str">
            <v>0002</v>
          </cell>
          <cell r="G4592" t="str">
            <v>5010102</v>
          </cell>
          <cell r="H4592" t="str">
            <v>转FVE99123#发票国外扣费</v>
          </cell>
          <cell r="I4592" t="b">
            <v>0</v>
          </cell>
          <cell r="J4592">
            <v>-330.61</v>
          </cell>
          <cell r="K4592">
            <v>-40</v>
          </cell>
          <cell r="L4592">
            <v>0</v>
          </cell>
        </row>
        <row r="4593">
          <cell r="A4593" t="str">
            <v>12</v>
          </cell>
          <cell r="B4593" t="str">
            <v>28</v>
          </cell>
          <cell r="C4593" t="str">
            <v>12</v>
          </cell>
          <cell r="D4593" t="str">
            <v>5</v>
          </cell>
          <cell r="E4593" t="str">
            <v>0068</v>
          </cell>
          <cell r="F4593" t="str">
            <v>0002</v>
          </cell>
          <cell r="G4593" t="str">
            <v>5010102</v>
          </cell>
          <cell r="H4593" t="str">
            <v>转FVE99122#发票国外扣费</v>
          </cell>
          <cell r="I4593" t="b">
            <v>0</v>
          </cell>
          <cell r="J4593">
            <v>-330.58</v>
          </cell>
          <cell r="K4593">
            <v>-40</v>
          </cell>
          <cell r="L4593">
            <v>0</v>
          </cell>
        </row>
        <row r="4594">
          <cell r="A4594" t="str">
            <v>12</v>
          </cell>
          <cell r="B4594" t="str">
            <v>28</v>
          </cell>
          <cell r="C4594" t="str">
            <v>12</v>
          </cell>
          <cell r="D4594" t="str">
            <v>5</v>
          </cell>
          <cell r="E4594" t="str">
            <v>0069</v>
          </cell>
          <cell r="F4594" t="str">
            <v>0002</v>
          </cell>
          <cell r="G4594" t="str">
            <v>5010102</v>
          </cell>
          <cell r="H4594" t="str">
            <v>转FVE99121#发票国外扣费</v>
          </cell>
          <cell r="I4594" t="b">
            <v>0</v>
          </cell>
          <cell r="J4594">
            <v>-330.65</v>
          </cell>
          <cell r="K4594">
            <v>-40</v>
          </cell>
          <cell r="L4594">
            <v>0</v>
          </cell>
        </row>
        <row r="4595">
          <cell r="A4595" t="str">
            <v>12</v>
          </cell>
          <cell r="B4595" t="str">
            <v>28</v>
          </cell>
          <cell r="C4595" t="str">
            <v>12</v>
          </cell>
          <cell r="D4595" t="str">
            <v>5</v>
          </cell>
          <cell r="E4595" t="str">
            <v>0070</v>
          </cell>
          <cell r="F4595" t="str">
            <v>0002</v>
          </cell>
          <cell r="G4595" t="str">
            <v>5010102</v>
          </cell>
          <cell r="H4595" t="str">
            <v>转ZLA00010发票出口收入</v>
          </cell>
          <cell r="I4595" t="b">
            <v>0</v>
          </cell>
          <cell r="J4595">
            <v>613972.01</v>
          </cell>
          <cell r="K4595">
            <v>74275</v>
          </cell>
          <cell r="L4595">
            <v>96.25</v>
          </cell>
        </row>
        <row r="4596">
          <cell r="A4596" t="str">
            <v>12</v>
          </cell>
          <cell r="B4596" t="str">
            <v>28</v>
          </cell>
          <cell r="C4596" t="str">
            <v>12</v>
          </cell>
          <cell r="D4596" t="str">
            <v>5</v>
          </cell>
          <cell r="E4596" t="str">
            <v>0070</v>
          </cell>
          <cell r="F4596" t="str">
            <v>0005</v>
          </cell>
          <cell r="G4596" t="str">
            <v>5010102</v>
          </cell>
          <cell r="H4596" t="str">
            <v>转ZLA00011发票出口收入</v>
          </cell>
          <cell r="I4596" t="b">
            <v>0</v>
          </cell>
          <cell r="J4596">
            <v>613853.17000000004</v>
          </cell>
          <cell r="K4596">
            <v>74275</v>
          </cell>
          <cell r="L4596">
            <v>96.25</v>
          </cell>
        </row>
        <row r="4597">
          <cell r="A4597" t="str">
            <v>12</v>
          </cell>
          <cell r="B4597" t="str">
            <v>28</v>
          </cell>
          <cell r="C4597" t="str">
            <v>12</v>
          </cell>
          <cell r="D4597" t="str">
            <v>5</v>
          </cell>
          <cell r="E4597" t="str">
            <v>0070</v>
          </cell>
          <cell r="F4597" t="str">
            <v>0008</v>
          </cell>
          <cell r="G4597" t="str">
            <v>5010102</v>
          </cell>
          <cell r="H4597" t="str">
            <v>转ZLA00014发票出口收入</v>
          </cell>
          <cell r="I4597" t="b">
            <v>0</v>
          </cell>
          <cell r="J4597">
            <v>1277081.1499999999</v>
          </cell>
          <cell r="K4597">
            <v>154485</v>
          </cell>
          <cell r="L4597">
            <v>173.25</v>
          </cell>
        </row>
        <row r="4598">
          <cell r="A4598" t="str">
            <v>12</v>
          </cell>
          <cell r="B4598" t="str">
            <v>28</v>
          </cell>
          <cell r="C4598" t="str">
            <v>12</v>
          </cell>
          <cell r="D4598" t="str">
            <v>5</v>
          </cell>
          <cell r="E4598" t="str">
            <v>0070</v>
          </cell>
          <cell r="F4598" t="str">
            <v>0011</v>
          </cell>
          <cell r="G4598" t="str">
            <v>5010102</v>
          </cell>
          <cell r="H4598" t="str">
            <v>转ZLA00025发票出口收入</v>
          </cell>
          <cell r="I4598" t="b">
            <v>0</v>
          </cell>
          <cell r="J4598">
            <v>1418858.9</v>
          </cell>
          <cell r="K4598">
            <v>171650</v>
          </cell>
          <cell r="L4598">
            <v>192.5</v>
          </cell>
        </row>
        <row r="4599">
          <cell r="A4599" t="str">
            <v>12</v>
          </cell>
          <cell r="B4599" t="str">
            <v>28</v>
          </cell>
          <cell r="C4599" t="str">
            <v>12</v>
          </cell>
          <cell r="D4599" t="str">
            <v>5</v>
          </cell>
          <cell r="E4599" t="str">
            <v>0070</v>
          </cell>
          <cell r="F4599" t="str">
            <v>0014</v>
          </cell>
          <cell r="G4599" t="str">
            <v>5010102</v>
          </cell>
          <cell r="H4599" t="str">
            <v>转ZLA00028发票出口收入</v>
          </cell>
          <cell r="I4599" t="b">
            <v>0</v>
          </cell>
          <cell r="J4599">
            <v>236320.52</v>
          </cell>
          <cell r="K4599">
            <v>28595</v>
          </cell>
          <cell r="L4599">
            <v>38.5</v>
          </cell>
        </row>
        <row r="4600">
          <cell r="A4600" t="str">
            <v>12</v>
          </cell>
          <cell r="B4600" t="str">
            <v>28</v>
          </cell>
          <cell r="C4600" t="str">
            <v>12</v>
          </cell>
          <cell r="D4600" t="str">
            <v>5</v>
          </cell>
          <cell r="E4600" t="str">
            <v>0071</v>
          </cell>
          <cell r="F4600" t="str">
            <v>0002</v>
          </cell>
          <cell r="G4600" t="str">
            <v>5010102</v>
          </cell>
          <cell r="H4600" t="str">
            <v>转FVE99119#发票国外扣费</v>
          </cell>
          <cell r="I4600" t="b">
            <v>0</v>
          </cell>
          <cell r="J4600">
            <v>-330.64</v>
          </cell>
          <cell r="K4600">
            <v>-40</v>
          </cell>
          <cell r="L4600">
            <v>0</v>
          </cell>
        </row>
        <row r="4601">
          <cell r="A4601" t="str">
            <v>12</v>
          </cell>
          <cell r="B4601" t="str">
            <v>28</v>
          </cell>
          <cell r="C4601" t="str">
            <v>12</v>
          </cell>
          <cell r="D4601" t="str">
            <v>5</v>
          </cell>
          <cell r="E4601" t="str">
            <v>0072</v>
          </cell>
          <cell r="F4601" t="str">
            <v>0002</v>
          </cell>
          <cell r="G4601" t="str">
            <v>5010102</v>
          </cell>
          <cell r="H4601" t="str">
            <v>转FVE99117#发票国外扣费</v>
          </cell>
          <cell r="I4601" t="b">
            <v>0</v>
          </cell>
          <cell r="J4601">
            <v>-330.58</v>
          </cell>
          <cell r="K4601">
            <v>-40</v>
          </cell>
          <cell r="L4601">
            <v>0</v>
          </cell>
        </row>
        <row r="4602">
          <cell r="A4602" t="str">
            <v>12</v>
          </cell>
          <cell r="B4602" t="str">
            <v>31</v>
          </cell>
          <cell r="C4602" t="str">
            <v>12</v>
          </cell>
          <cell r="D4602" t="str">
            <v>5</v>
          </cell>
          <cell r="E4602" t="str">
            <v>0100</v>
          </cell>
          <cell r="F4602" t="str">
            <v>0001</v>
          </cell>
          <cell r="G4602" t="str">
            <v>5010102</v>
          </cell>
          <cell r="H4602" t="str">
            <v>结转本月产品收入</v>
          </cell>
          <cell r="I4602" t="b">
            <v>1</v>
          </cell>
          <cell r="J4602">
            <v>12029567.689999999</v>
          </cell>
          <cell r="K4602">
            <v>7993317</v>
          </cell>
          <cell r="L4602">
            <v>1765.5</v>
          </cell>
        </row>
        <row r="4603">
          <cell r="A4603" t="str">
            <v>02</v>
          </cell>
          <cell r="B4603" t="str">
            <v>16</v>
          </cell>
          <cell r="C4603" t="str">
            <v>02</v>
          </cell>
          <cell r="D4603" t="str">
            <v>1</v>
          </cell>
          <cell r="E4603" t="str">
            <v>0011</v>
          </cell>
          <cell r="F4603" t="str">
            <v>0004</v>
          </cell>
          <cell r="G4603" t="str">
            <v>50103</v>
          </cell>
          <cell r="H4603" t="str">
            <v>销山楂浓汁</v>
          </cell>
          <cell r="I4603" t="b">
            <v>0</v>
          </cell>
          <cell r="J4603">
            <v>68.38</v>
          </cell>
          <cell r="K4603">
            <v>0</v>
          </cell>
          <cell r="L4603">
            <v>0.01</v>
          </cell>
        </row>
        <row r="4604">
          <cell r="A4604" t="str">
            <v>02</v>
          </cell>
          <cell r="B4604" t="str">
            <v>05</v>
          </cell>
          <cell r="C4604" t="str">
            <v>02</v>
          </cell>
          <cell r="D4604" t="str">
            <v>3</v>
          </cell>
          <cell r="E4604" t="str">
            <v>0003</v>
          </cell>
          <cell r="F4604" t="str">
            <v>0004</v>
          </cell>
          <cell r="G4604" t="str">
            <v>50103</v>
          </cell>
          <cell r="H4604" t="str">
            <v>销山楂浓汁</v>
          </cell>
          <cell r="I4604" t="b">
            <v>0</v>
          </cell>
          <cell r="J4604">
            <v>21346.15</v>
          </cell>
          <cell r="K4604">
            <v>0</v>
          </cell>
          <cell r="L4604">
            <v>1.665</v>
          </cell>
        </row>
        <row r="4605">
          <cell r="A4605" t="str">
            <v>02</v>
          </cell>
          <cell r="B4605" t="str">
            <v>29</v>
          </cell>
          <cell r="C4605" t="str">
            <v>02</v>
          </cell>
          <cell r="D4605" t="str">
            <v>5</v>
          </cell>
          <cell r="E4605" t="str">
            <v>0053</v>
          </cell>
          <cell r="F4605" t="str">
            <v>0003</v>
          </cell>
          <cell r="G4605" t="str">
            <v>50103</v>
          </cell>
          <cell r="H4605" t="str">
            <v>结转本月产品收入</v>
          </cell>
          <cell r="I4605" t="b">
            <v>1</v>
          </cell>
          <cell r="J4605">
            <v>21414.53</v>
          </cell>
          <cell r="K4605">
            <v>0</v>
          </cell>
          <cell r="L4605">
            <v>1.675</v>
          </cell>
        </row>
        <row r="4606">
          <cell r="A4606" t="str">
            <v>03</v>
          </cell>
          <cell r="B4606" t="str">
            <v>27</v>
          </cell>
          <cell r="C4606" t="str">
            <v>03</v>
          </cell>
          <cell r="D4606" t="str">
            <v>5</v>
          </cell>
          <cell r="E4606" t="str">
            <v>0006</v>
          </cell>
          <cell r="F4606" t="str">
            <v>0001</v>
          </cell>
          <cell r="G4606" t="str">
            <v>50103</v>
          </cell>
          <cell r="H4606" t="str">
            <v>转销山楂汁1.86吨</v>
          </cell>
          <cell r="I4606" t="b">
            <v>0</v>
          </cell>
          <cell r="J4606">
            <v>23717.95</v>
          </cell>
          <cell r="K4606">
            <v>0</v>
          </cell>
          <cell r="L4606">
            <v>1.86</v>
          </cell>
        </row>
        <row r="4607">
          <cell r="A4607" t="str">
            <v>03</v>
          </cell>
          <cell r="B4607" t="str">
            <v>30</v>
          </cell>
          <cell r="C4607" t="str">
            <v>03</v>
          </cell>
          <cell r="D4607" t="str">
            <v>5</v>
          </cell>
          <cell r="E4607" t="str">
            <v>0029</v>
          </cell>
          <cell r="F4607" t="str">
            <v>0003</v>
          </cell>
          <cell r="G4607" t="str">
            <v>50103</v>
          </cell>
          <cell r="H4607" t="str">
            <v>结转本月产品收入</v>
          </cell>
          <cell r="I4607" t="b">
            <v>1</v>
          </cell>
          <cell r="J4607">
            <v>23717.95</v>
          </cell>
          <cell r="K4607">
            <v>0</v>
          </cell>
          <cell r="L4607">
            <v>1.86</v>
          </cell>
        </row>
        <row r="4608">
          <cell r="A4608" t="str">
            <v>04</v>
          </cell>
          <cell r="B4608" t="str">
            <v>24</v>
          </cell>
          <cell r="C4608" t="str">
            <v>04</v>
          </cell>
          <cell r="D4608" t="str">
            <v>5</v>
          </cell>
          <cell r="E4608" t="str">
            <v>0018</v>
          </cell>
          <cell r="F4608" t="str">
            <v>0001</v>
          </cell>
          <cell r="G4608" t="str">
            <v>50103</v>
          </cell>
          <cell r="H4608" t="str">
            <v>转订出山楂浓汁0.185吨</v>
          </cell>
          <cell r="I4608" t="b">
            <v>0</v>
          </cell>
          <cell r="J4608">
            <v>-2134.62</v>
          </cell>
          <cell r="K4608">
            <v>0</v>
          </cell>
          <cell r="L4608">
            <v>-0.185</v>
          </cell>
        </row>
        <row r="4609">
          <cell r="A4609" t="str">
            <v>04</v>
          </cell>
          <cell r="B4609" t="str">
            <v>24</v>
          </cell>
          <cell r="C4609" t="str">
            <v>04</v>
          </cell>
          <cell r="D4609" t="str">
            <v>5</v>
          </cell>
          <cell r="E4609" t="str">
            <v>0018</v>
          </cell>
          <cell r="F4609" t="str">
            <v>0004</v>
          </cell>
          <cell r="G4609" t="str">
            <v>50103</v>
          </cell>
          <cell r="H4609" t="str">
            <v>转销山楂浓汁0.185吨</v>
          </cell>
          <cell r="I4609" t="b">
            <v>0</v>
          </cell>
          <cell r="J4609">
            <v>2591.79</v>
          </cell>
          <cell r="K4609">
            <v>0</v>
          </cell>
          <cell r="L4609">
            <v>0.185</v>
          </cell>
        </row>
        <row r="4610">
          <cell r="A4610" t="str">
            <v>04</v>
          </cell>
          <cell r="B4610" t="str">
            <v>29</v>
          </cell>
          <cell r="C4610" t="str">
            <v>04</v>
          </cell>
          <cell r="D4610" t="str">
            <v>5</v>
          </cell>
          <cell r="E4610" t="str">
            <v>0035</v>
          </cell>
          <cell r="F4610" t="str">
            <v>0003</v>
          </cell>
          <cell r="G4610" t="str">
            <v>50103</v>
          </cell>
          <cell r="H4610" t="str">
            <v>结转本月产品收入</v>
          </cell>
          <cell r="I4610" t="b">
            <v>1</v>
          </cell>
          <cell r="J4610">
            <v>457.17</v>
          </cell>
          <cell r="K4610">
            <v>0</v>
          </cell>
          <cell r="L4610">
            <v>0</v>
          </cell>
        </row>
        <row r="4611">
          <cell r="A4611" t="str">
            <v>07</v>
          </cell>
          <cell r="B4611" t="str">
            <v>24</v>
          </cell>
          <cell r="C4611" t="str">
            <v>07</v>
          </cell>
          <cell r="D4611" t="str">
            <v>1</v>
          </cell>
          <cell r="E4611" t="str">
            <v>0010</v>
          </cell>
          <cell r="F4611" t="str">
            <v>0002</v>
          </cell>
          <cell r="G4611" t="str">
            <v>50103</v>
          </cell>
          <cell r="H4611" t="str">
            <v>销山楂浓汁</v>
          </cell>
          <cell r="I4611" t="b">
            <v>0</v>
          </cell>
          <cell r="J4611">
            <v>28556.41</v>
          </cell>
          <cell r="K4611">
            <v>0</v>
          </cell>
          <cell r="L4611">
            <v>3.8849999999999998</v>
          </cell>
        </row>
        <row r="4612">
          <cell r="A4612" t="str">
            <v>07</v>
          </cell>
          <cell r="B4612" t="str">
            <v>25</v>
          </cell>
          <cell r="C4612" t="str">
            <v>07</v>
          </cell>
          <cell r="D4612" t="str">
            <v>5</v>
          </cell>
          <cell r="E4612" t="str">
            <v>0017</v>
          </cell>
          <cell r="F4612" t="str">
            <v>0001</v>
          </cell>
          <cell r="G4612" t="str">
            <v>50103</v>
          </cell>
          <cell r="H4612" t="str">
            <v>转销山楂汁2.035吨</v>
          </cell>
          <cell r="I4612" t="b">
            <v>0</v>
          </cell>
          <cell r="J4612">
            <v>26089.74</v>
          </cell>
          <cell r="K4612">
            <v>0</v>
          </cell>
          <cell r="L4612">
            <v>2.0350000000000001</v>
          </cell>
        </row>
        <row r="4613">
          <cell r="A4613" t="str">
            <v>07</v>
          </cell>
          <cell r="B4613" t="str">
            <v>28</v>
          </cell>
          <cell r="C4613" t="str">
            <v>07</v>
          </cell>
          <cell r="D4613" t="str">
            <v>5</v>
          </cell>
          <cell r="E4613" t="str">
            <v>0036</v>
          </cell>
          <cell r="F4613" t="str">
            <v>0003</v>
          </cell>
          <cell r="G4613" t="str">
            <v>50103</v>
          </cell>
          <cell r="H4613" t="str">
            <v>结转本月产品收入</v>
          </cell>
          <cell r="I4613" t="b">
            <v>1</v>
          </cell>
          <cell r="J4613">
            <v>54646.15</v>
          </cell>
          <cell r="K4613">
            <v>0</v>
          </cell>
          <cell r="L4613">
            <v>5.92</v>
          </cell>
        </row>
        <row r="4614">
          <cell r="A4614" t="str">
            <v>08</v>
          </cell>
          <cell r="B4614" t="str">
            <v>15</v>
          </cell>
          <cell r="C4614" t="str">
            <v>08</v>
          </cell>
          <cell r="D4614" t="str">
            <v>1</v>
          </cell>
          <cell r="E4614" t="str">
            <v>0006</v>
          </cell>
          <cell r="F4614" t="str">
            <v>0004</v>
          </cell>
          <cell r="G4614" t="str">
            <v>50103</v>
          </cell>
          <cell r="H4614" t="str">
            <v>销山楂浓汁</v>
          </cell>
          <cell r="I4614" t="b">
            <v>0</v>
          </cell>
          <cell r="J4614">
            <v>215.38</v>
          </cell>
          <cell r="K4614">
            <v>0</v>
          </cell>
          <cell r="L4614">
            <v>1.7999999999999999E-2</v>
          </cell>
        </row>
        <row r="4615">
          <cell r="A4615" t="str">
            <v>08</v>
          </cell>
          <cell r="B4615" t="str">
            <v>31</v>
          </cell>
          <cell r="C4615" t="str">
            <v>08</v>
          </cell>
          <cell r="D4615" t="str">
            <v>5</v>
          </cell>
          <cell r="E4615" t="str">
            <v>0032</v>
          </cell>
          <cell r="F4615" t="str">
            <v>0003</v>
          </cell>
          <cell r="G4615" t="str">
            <v>50103</v>
          </cell>
          <cell r="H4615" t="str">
            <v>结转本月产品收入</v>
          </cell>
          <cell r="I4615" t="b">
            <v>1</v>
          </cell>
          <cell r="J4615">
            <v>215.38</v>
          </cell>
          <cell r="K4615">
            <v>0</v>
          </cell>
          <cell r="L4615">
            <v>1.7999999999999999E-2</v>
          </cell>
        </row>
        <row r="4616">
          <cell r="A4616" t="str">
            <v>09</v>
          </cell>
          <cell r="B4616" t="str">
            <v>23</v>
          </cell>
          <cell r="C4616" t="str">
            <v>09</v>
          </cell>
          <cell r="D4616" t="str">
            <v>3</v>
          </cell>
          <cell r="E4616" t="str">
            <v>0008</v>
          </cell>
          <cell r="F4616" t="str">
            <v>0002</v>
          </cell>
          <cell r="G4616" t="str">
            <v>50103</v>
          </cell>
          <cell r="H4616" t="str">
            <v>销山楂浓汁</v>
          </cell>
          <cell r="I4616" t="b">
            <v>0</v>
          </cell>
          <cell r="J4616">
            <v>4700.8500000000004</v>
          </cell>
          <cell r="K4616">
            <v>0</v>
          </cell>
          <cell r="L4616">
            <v>0.44</v>
          </cell>
        </row>
        <row r="4617">
          <cell r="A4617" t="str">
            <v>09</v>
          </cell>
          <cell r="B4617" t="str">
            <v>30</v>
          </cell>
          <cell r="C4617" t="str">
            <v>09</v>
          </cell>
          <cell r="D4617" t="str">
            <v>5</v>
          </cell>
          <cell r="E4617" t="str">
            <v>0037</v>
          </cell>
          <cell r="F4617" t="str">
            <v>0003</v>
          </cell>
          <cell r="G4617" t="str">
            <v>50103</v>
          </cell>
          <cell r="H4617" t="str">
            <v>结转本月产品收入</v>
          </cell>
          <cell r="I4617" t="b">
            <v>1</v>
          </cell>
          <cell r="J4617">
            <v>4700.8500000000004</v>
          </cell>
          <cell r="K4617">
            <v>0</v>
          </cell>
          <cell r="L4617">
            <v>0.44</v>
          </cell>
        </row>
        <row r="4618">
          <cell r="A4618" t="str">
            <v>10</v>
          </cell>
          <cell r="B4618" t="str">
            <v>20</v>
          </cell>
          <cell r="C4618" t="str">
            <v>10</v>
          </cell>
          <cell r="D4618" t="str">
            <v>3</v>
          </cell>
          <cell r="E4618" t="str">
            <v>0004</v>
          </cell>
          <cell r="F4618" t="str">
            <v>0002</v>
          </cell>
          <cell r="G4618" t="str">
            <v>50103</v>
          </cell>
          <cell r="H4618" t="str">
            <v>销山楂浓汁</v>
          </cell>
          <cell r="I4618" t="b">
            <v>0</v>
          </cell>
          <cell r="J4618">
            <v>28461.54</v>
          </cell>
          <cell r="K4618">
            <v>0</v>
          </cell>
          <cell r="L4618">
            <v>2.2200000000000002</v>
          </cell>
        </row>
        <row r="4619">
          <cell r="A4619" t="str">
            <v>10</v>
          </cell>
          <cell r="B4619" t="str">
            <v>30</v>
          </cell>
          <cell r="C4619" t="str">
            <v>10</v>
          </cell>
          <cell r="D4619" t="str">
            <v>5</v>
          </cell>
          <cell r="E4619" t="str">
            <v>0031</v>
          </cell>
          <cell r="F4619" t="str">
            <v>0003</v>
          </cell>
          <cell r="G4619" t="str">
            <v>50103</v>
          </cell>
          <cell r="H4619" t="str">
            <v>结转本月产品收入</v>
          </cell>
          <cell r="I4619" t="b">
            <v>1</v>
          </cell>
          <cell r="J4619">
            <v>28461.54</v>
          </cell>
          <cell r="K4619">
            <v>0</v>
          </cell>
          <cell r="L4619">
            <v>2.2200000000000002</v>
          </cell>
        </row>
        <row r="4620">
          <cell r="A4620" t="str">
            <v>12</v>
          </cell>
          <cell r="B4620" t="str">
            <v>05</v>
          </cell>
          <cell r="C4620" t="str">
            <v>12</v>
          </cell>
          <cell r="D4620" t="str">
            <v>3</v>
          </cell>
          <cell r="E4620" t="str">
            <v>0004</v>
          </cell>
          <cell r="F4620" t="str">
            <v>0002</v>
          </cell>
          <cell r="G4620" t="str">
            <v>50103</v>
          </cell>
          <cell r="H4620" t="str">
            <v>收浓汁款</v>
          </cell>
          <cell r="I4620" t="b">
            <v>0</v>
          </cell>
          <cell r="J4620">
            <v>11384.62</v>
          </cell>
          <cell r="K4620">
            <v>0</v>
          </cell>
          <cell r="L4620">
            <v>1.1100000000000001</v>
          </cell>
        </row>
        <row r="4621">
          <cell r="A4621" t="str">
            <v>12</v>
          </cell>
          <cell r="B4621" t="str">
            <v>27</v>
          </cell>
          <cell r="C4621" t="str">
            <v>12</v>
          </cell>
          <cell r="D4621" t="str">
            <v>5</v>
          </cell>
          <cell r="E4621" t="str">
            <v>0038</v>
          </cell>
          <cell r="F4621" t="str">
            <v>0004</v>
          </cell>
          <cell r="G4621" t="str">
            <v>50103</v>
          </cell>
          <cell r="H4621" t="str">
            <v>转销山楂浓汁0.185吨</v>
          </cell>
          <cell r="I4621" t="b">
            <v>0</v>
          </cell>
          <cell r="J4621">
            <v>2055.56</v>
          </cell>
          <cell r="K4621">
            <v>0</v>
          </cell>
          <cell r="L4621">
            <v>0.185</v>
          </cell>
        </row>
        <row r="4622">
          <cell r="A4622" t="str">
            <v>12</v>
          </cell>
          <cell r="B4622" t="str">
            <v>31</v>
          </cell>
          <cell r="C4622" t="str">
            <v>12</v>
          </cell>
          <cell r="D4622" t="str">
            <v>5</v>
          </cell>
          <cell r="E4622" t="str">
            <v>0100</v>
          </cell>
          <cell r="F4622" t="str">
            <v>0002</v>
          </cell>
          <cell r="G4622" t="str">
            <v>50103</v>
          </cell>
          <cell r="H4622" t="str">
            <v>结转本月产品收入</v>
          </cell>
          <cell r="I4622" t="b">
            <v>1</v>
          </cell>
          <cell r="J4622">
            <v>13440.18</v>
          </cell>
          <cell r="K4622">
            <v>0</v>
          </cell>
          <cell r="L4622">
            <v>1.2949999999999999</v>
          </cell>
        </row>
        <row r="4623">
          <cell r="A4623" t="str">
            <v>12</v>
          </cell>
          <cell r="B4623" t="str">
            <v>28</v>
          </cell>
          <cell r="C4623" t="str">
            <v>12</v>
          </cell>
          <cell r="D4623" t="str">
            <v>5</v>
          </cell>
          <cell r="E4623" t="str">
            <v>0057</v>
          </cell>
          <cell r="F4623" t="str">
            <v>0002</v>
          </cell>
          <cell r="G4623" t="str">
            <v>5010702</v>
          </cell>
          <cell r="H4623" t="str">
            <v>转ZLA00013P#发票国外扣费</v>
          </cell>
          <cell r="I4623" t="b">
            <v>0</v>
          </cell>
          <cell r="J4623">
            <v>-330.59</v>
          </cell>
          <cell r="K4623">
            <v>-40</v>
          </cell>
          <cell r="L4623">
            <v>0</v>
          </cell>
        </row>
        <row r="4624">
          <cell r="A4624" t="str">
            <v>12</v>
          </cell>
          <cell r="B4624" t="str">
            <v>28</v>
          </cell>
          <cell r="C4624" t="str">
            <v>12</v>
          </cell>
          <cell r="D4624" t="str">
            <v>5</v>
          </cell>
          <cell r="E4624" t="str">
            <v>0070</v>
          </cell>
          <cell r="F4624" t="str">
            <v>0017</v>
          </cell>
          <cell r="G4624" t="str">
            <v>5010702</v>
          </cell>
          <cell r="H4624" t="str">
            <v>转ZLA00013P发票出口收入</v>
          </cell>
          <cell r="I4624" t="b">
            <v>0</v>
          </cell>
          <cell r="J4624">
            <v>518471.42</v>
          </cell>
          <cell r="K4624">
            <v>62734</v>
          </cell>
          <cell r="L4624">
            <v>77</v>
          </cell>
        </row>
        <row r="4625">
          <cell r="A4625" t="str">
            <v>12</v>
          </cell>
          <cell r="B4625" t="str">
            <v>31</v>
          </cell>
          <cell r="C4625" t="str">
            <v>12</v>
          </cell>
          <cell r="D4625" t="str">
            <v>5</v>
          </cell>
          <cell r="E4625" t="str">
            <v>0100</v>
          </cell>
          <cell r="F4625" t="str">
            <v>0003</v>
          </cell>
          <cell r="G4625" t="str">
            <v>5010702</v>
          </cell>
          <cell r="H4625" t="str">
            <v>结转本月产品收入</v>
          </cell>
          <cell r="I4625" t="b">
            <v>1</v>
          </cell>
          <cell r="J4625">
            <v>518140.83</v>
          </cell>
          <cell r="K4625">
            <v>62694</v>
          </cell>
          <cell r="L4625">
            <v>77</v>
          </cell>
        </row>
        <row r="4626">
          <cell r="A4626" t="str">
            <v>02</v>
          </cell>
          <cell r="B4626" t="str">
            <v>29</v>
          </cell>
          <cell r="C4626" t="str">
            <v>02</v>
          </cell>
          <cell r="D4626" t="str">
            <v>5</v>
          </cell>
          <cell r="E4626" t="str">
            <v>0052</v>
          </cell>
          <cell r="F4626" t="str">
            <v>0001</v>
          </cell>
          <cell r="G4626" t="str">
            <v>5020101</v>
          </cell>
          <cell r="H4626" t="str">
            <v>结转本月产品销售成本</v>
          </cell>
          <cell r="I4626" t="b">
            <v>1</v>
          </cell>
          <cell r="J4626">
            <v>170248.69</v>
          </cell>
          <cell r="K4626">
            <v>0</v>
          </cell>
          <cell r="L4626">
            <v>35.799999999999997</v>
          </cell>
        </row>
        <row r="4627">
          <cell r="A4627" t="str">
            <v>02</v>
          </cell>
          <cell r="B4627" t="str">
            <v>29</v>
          </cell>
          <cell r="C4627" t="str">
            <v>02</v>
          </cell>
          <cell r="D4627" t="str">
            <v>5</v>
          </cell>
          <cell r="E4627" t="str">
            <v>0054</v>
          </cell>
          <cell r="F4627" t="str">
            <v>0002</v>
          </cell>
          <cell r="G4627" t="str">
            <v>5020101</v>
          </cell>
          <cell r="H4627" t="str">
            <v>结转本月产品销售成本</v>
          </cell>
          <cell r="I4627" t="b">
            <v>0</v>
          </cell>
          <cell r="J4627">
            <v>170248.69</v>
          </cell>
          <cell r="K4627">
            <v>0</v>
          </cell>
          <cell r="L4627">
            <v>35.799999999999997</v>
          </cell>
        </row>
        <row r="4628">
          <cell r="A4628" t="str">
            <v>03</v>
          </cell>
          <cell r="B4628" t="str">
            <v>28</v>
          </cell>
          <cell r="C4628" t="str">
            <v>03</v>
          </cell>
          <cell r="D4628" t="str">
            <v>5</v>
          </cell>
          <cell r="E4628" t="str">
            <v>0021</v>
          </cell>
          <cell r="F4628" t="str">
            <v>0001</v>
          </cell>
          <cell r="G4628" t="str">
            <v>5020101</v>
          </cell>
          <cell r="H4628" t="str">
            <v>结转本月产品销售成本</v>
          </cell>
          <cell r="I4628" t="b">
            <v>1</v>
          </cell>
          <cell r="J4628">
            <v>16844.16</v>
          </cell>
          <cell r="K4628">
            <v>0</v>
          </cell>
          <cell r="L4628">
            <v>3.5419999999999998</v>
          </cell>
        </row>
        <row r="4629">
          <cell r="A4629" t="str">
            <v>03</v>
          </cell>
          <cell r="B4629" t="str">
            <v>28</v>
          </cell>
          <cell r="C4629" t="str">
            <v>03</v>
          </cell>
          <cell r="D4629" t="str">
            <v>5</v>
          </cell>
          <cell r="E4629" t="str">
            <v>0023</v>
          </cell>
          <cell r="F4629" t="str">
            <v>0002</v>
          </cell>
          <cell r="G4629" t="str">
            <v>5020101</v>
          </cell>
          <cell r="H4629" t="str">
            <v>结转本月产品销售成本</v>
          </cell>
          <cell r="I4629" t="b">
            <v>0</v>
          </cell>
          <cell r="J4629">
            <v>16844.16</v>
          </cell>
          <cell r="K4629">
            <v>0</v>
          </cell>
          <cell r="L4629">
            <v>3.5419999999999998</v>
          </cell>
        </row>
        <row r="4630">
          <cell r="A4630" t="str">
            <v>04</v>
          </cell>
          <cell r="B4630" t="str">
            <v>28</v>
          </cell>
          <cell r="C4630" t="str">
            <v>04</v>
          </cell>
          <cell r="D4630" t="str">
            <v>5</v>
          </cell>
          <cell r="E4630" t="str">
            <v>0033</v>
          </cell>
          <cell r="F4630" t="str">
            <v>0001</v>
          </cell>
          <cell r="G4630" t="str">
            <v>5020101</v>
          </cell>
          <cell r="H4630" t="str">
            <v>结转本月产品销售成本</v>
          </cell>
          <cell r="I4630" t="b">
            <v>1</v>
          </cell>
          <cell r="J4630">
            <v>458.62</v>
          </cell>
          <cell r="K4630">
            <v>0</v>
          </cell>
          <cell r="L4630">
            <v>0.1</v>
          </cell>
        </row>
        <row r="4631">
          <cell r="A4631" t="str">
            <v>04</v>
          </cell>
          <cell r="B4631" t="str">
            <v>28</v>
          </cell>
          <cell r="C4631" t="str">
            <v>04</v>
          </cell>
          <cell r="D4631" t="str">
            <v>5</v>
          </cell>
          <cell r="E4631" t="str">
            <v>0034</v>
          </cell>
          <cell r="F4631" t="str">
            <v>0002</v>
          </cell>
          <cell r="G4631" t="str">
            <v>5020101</v>
          </cell>
          <cell r="H4631" t="str">
            <v>结转本月产品销售成本</v>
          </cell>
          <cell r="I4631" t="b">
            <v>0</v>
          </cell>
          <cell r="J4631">
            <v>458.62</v>
          </cell>
          <cell r="K4631">
            <v>0</v>
          </cell>
          <cell r="L4631">
            <v>0.1</v>
          </cell>
        </row>
        <row r="4632">
          <cell r="A4632" t="str">
            <v>07</v>
          </cell>
          <cell r="B4632" t="str">
            <v>28</v>
          </cell>
          <cell r="C4632" t="str">
            <v>07</v>
          </cell>
          <cell r="D4632" t="str">
            <v>5</v>
          </cell>
          <cell r="E4632" t="str">
            <v>0040</v>
          </cell>
          <cell r="F4632" t="str">
            <v>0002</v>
          </cell>
          <cell r="G4632" t="str">
            <v>5020101</v>
          </cell>
          <cell r="H4632" t="str">
            <v>结转本月产品销售成本</v>
          </cell>
          <cell r="I4632" t="b">
            <v>1</v>
          </cell>
          <cell r="J4632">
            <v>2912.23</v>
          </cell>
          <cell r="K4632">
            <v>0</v>
          </cell>
          <cell r="L4632">
            <v>0.63500000000000001</v>
          </cell>
        </row>
        <row r="4633">
          <cell r="A4633" t="str">
            <v>07</v>
          </cell>
          <cell r="B4633" t="str">
            <v>28</v>
          </cell>
          <cell r="C4633" t="str">
            <v>07</v>
          </cell>
          <cell r="D4633" t="str">
            <v>5</v>
          </cell>
          <cell r="E4633" t="str">
            <v>0041</v>
          </cell>
          <cell r="F4633" t="str">
            <v>0002</v>
          </cell>
          <cell r="G4633" t="str">
            <v>5020101</v>
          </cell>
          <cell r="H4633" t="str">
            <v>结转本月产品销售成本</v>
          </cell>
          <cell r="I4633" t="b">
            <v>0</v>
          </cell>
          <cell r="J4633">
            <v>2912.23</v>
          </cell>
          <cell r="K4633">
            <v>0</v>
          </cell>
          <cell r="L4633">
            <v>0.63500000000000001</v>
          </cell>
        </row>
        <row r="4634">
          <cell r="A4634" t="str">
            <v>08</v>
          </cell>
          <cell r="B4634" t="str">
            <v>28</v>
          </cell>
          <cell r="C4634" t="str">
            <v>08</v>
          </cell>
          <cell r="D4634" t="str">
            <v>5</v>
          </cell>
          <cell r="E4634" t="str">
            <v>0029</v>
          </cell>
          <cell r="F4634" t="str">
            <v>0002</v>
          </cell>
          <cell r="G4634" t="str">
            <v>5020101</v>
          </cell>
          <cell r="H4634" t="str">
            <v>结转本月产品销售成本</v>
          </cell>
          <cell r="I4634" t="b">
            <v>1</v>
          </cell>
          <cell r="J4634">
            <v>4125.7</v>
          </cell>
          <cell r="K4634">
            <v>0</v>
          </cell>
          <cell r="L4634">
            <v>0.92</v>
          </cell>
        </row>
        <row r="4635">
          <cell r="A4635" t="str">
            <v>08</v>
          </cell>
          <cell r="B4635" t="str">
            <v>31</v>
          </cell>
          <cell r="C4635" t="str">
            <v>08</v>
          </cell>
          <cell r="D4635" t="str">
            <v>5</v>
          </cell>
          <cell r="E4635" t="str">
            <v>0036</v>
          </cell>
          <cell r="F4635" t="str">
            <v>0003</v>
          </cell>
          <cell r="G4635" t="str">
            <v>5020101</v>
          </cell>
          <cell r="H4635" t="str">
            <v>结转本月销售成本</v>
          </cell>
          <cell r="I4635" t="b">
            <v>0</v>
          </cell>
          <cell r="J4635">
            <v>4125.7</v>
          </cell>
          <cell r="K4635">
            <v>0</v>
          </cell>
          <cell r="L4635">
            <v>0.92</v>
          </cell>
        </row>
        <row r="4636">
          <cell r="A4636" t="str">
            <v>09</v>
          </cell>
          <cell r="B4636" t="str">
            <v>30</v>
          </cell>
          <cell r="C4636" t="str">
            <v>09</v>
          </cell>
          <cell r="D4636" t="str">
            <v>5</v>
          </cell>
          <cell r="E4636" t="str">
            <v>0035</v>
          </cell>
          <cell r="F4636" t="str">
            <v>0002</v>
          </cell>
          <cell r="G4636" t="str">
            <v>5020101</v>
          </cell>
          <cell r="H4636" t="str">
            <v>结转本月产品销售成本</v>
          </cell>
          <cell r="I4636" t="b">
            <v>1</v>
          </cell>
          <cell r="J4636">
            <v>745.99</v>
          </cell>
          <cell r="K4636">
            <v>0</v>
          </cell>
          <cell r="L4636">
            <v>0.17399999999999999</v>
          </cell>
        </row>
        <row r="4637">
          <cell r="A4637" t="str">
            <v>09</v>
          </cell>
          <cell r="B4637" t="str">
            <v>30</v>
          </cell>
          <cell r="C4637" t="str">
            <v>09</v>
          </cell>
          <cell r="D4637" t="str">
            <v>5</v>
          </cell>
          <cell r="E4637" t="str">
            <v>0036</v>
          </cell>
          <cell r="F4637" t="str">
            <v>0003</v>
          </cell>
          <cell r="G4637" t="str">
            <v>5020101</v>
          </cell>
          <cell r="H4637" t="str">
            <v>结转本月销售成本</v>
          </cell>
          <cell r="I4637" t="b">
            <v>0</v>
          </cell>
          <cell r="J4637">
            <v>745.99</v>
          </cell>
          <cell r="K4637">
            <v>0</v>
          </cell>
          <cell r="L4637">
            <v>0.17399999999999999</v>
          </cell>
        </row>
        <row r="4638">
          <cell r="A4638" t="str">
            <v>10</v>
          </cell>
          <cell r="B4638" t="str">
            <v>28</v>
          </cell>
          <cell r="C4638" t="str">
            <v>10</v>
          </cell>
          <cell r="D4638" t="str">
            <v>5</v>
          </cell>
          <cell r="E4638" t="str">
            <v>0028</v>
          </cell>
          <cell r="F4638" t="str">
            <v>0002</v>
          </cell>
          <cell r="G4638" t="str">
            <v>5020101</v>
          </cell>
          <cell r="H4638" t="str">
            <v>结转本月产品销售成本</v>
          </cell>
          <cell r="I4638" t="b">
            <v>1</v>
          </cell>
          <cell r="J4638">
            <v>61.08</v>
          </cell>
          <cell r="K4638">
            <v>0</v>
          </cell>
          <cell r="L4638">
            <v>1.4999999999999999E-2</v>
          </cell>
        </row>
        <row r="4639">
          <cell r="A4639" t="str">
            <v>10</v>
          </cell>
          <cell r="B4639" t="str">
            <v>28</v>
          </cell>
          <cell r="C4639" t="str">
            <v>10</v>
          </cell>
          <cell r="D4639" t="str">
            <v>5</v>
          </cell>
          <cell r="E4639" t="str">
            <v>0030</v>
          </cell>
          <cell r="F4639" t="str">
            <v>0003</v>
          </cell>
          <cell r="G4639" t="str">
            <v>5020101</v>
          </cell>
          <cell r="H4639" t="str">
            <v>结转本月销售成本</v>
          </cell>
          <cell r="I4639" t="b">
            <v>0</v>
          </cell>
          <cell r="J4639">
            <v>61.08</v>
          </cell>
          <cell r="K4639">
            <v>0</v>
          </cell>
          <cell r="L4639">
            <v>1.4999999999999999E-2</v>
          </cell>
        </row>
        <row r="4640">
          <cell r="A4640" t="str">
            <v>11</v>
          </cell>
          <cell r="B4640" t="str">
            <v>30</v>
          </cell>
          <cell r="C4640" t="str">
            <v>11</v>
          </cell>
          <cell r="D4640" t="str">
            <v>5</v>
          </cell>
          <cell r="E4640" t="str">
            <v>0032</v>
          </cell>
          <cell r="F4640" t="str">
            <v>0002</v>
          </cell>
          <cell r="G4640" t="str">
            <v>5020101</v>
          </cell>
          <cell r="H4640" t="str">
            <v>结转本月产品销售成本</v>
          </cell>
          <cell r="I4640" t="b">
            <v>1</v>
          </cell>
          <cell r="J4640">
            <v>154594.93</v>
          </cell>
          <cell r="K4640">
            <v>0</v>
          </cell>
          <cell r="L4640">
            <v>38.6</v>
          </cell>
        </row>
        <row r="4641">
          <cell r="A4641" t="str">
            <v>11</v>
          </cell>
          <cell r="B4641" t="str">
            <v>30</v>
          </cell>
          <cell r="C4641" t="str">
            <v>11</v>
          </cell>
          <cell r="D4641" t="str">
            <v>5</v>
          </cell>
          <cell r="E4641" t="str">
            <v>0035</v>
          </cell>
          <cell r="F4641" t="str">
            <v>0002</v>
          </cell>
          <cell r="G4641" t="str">
            <v>5020101</v>
          </cell>
          <cell r="H4641" t="str">
            <v>结转本月产品销售成本</v>
          </cell>
          <cell r="I4641" t="b">
            <v>0</v>
          </cell>
          <cell r="J4641">
            <v>154594.93</v>
          </cell>
          <cell r="K4641">
            <v>0</v>
          </cell>
          <cell r="L4641">
            <v>38.6</v>
          </cell>
        </row>
        <row r="4642">
          <cell r="A4642" t="str">
            <v>02</v>
          </cell>
          <cell r="B4642" t="str">
            <v>29</v>
          </cell>
          <cell r="C4642" t="str">
            <v>02</v>
          </cell>
          <cell r="D4642" t="str">
            <v>5</v>
          </cell>
          <cell r="E4642" t="str">
            <v>0052</v>
          </cell>
          <cell r="F4642" t="str">
            <v>0002</v>
          </cell>
          <cell r="G4642" t="str">
            <v>5020102</v>
          </cell>
          <cell r="H4642" t="str">
            <v>结转本月产品销售成本</v>
          </cell>
          <cell r="I4642" t="b">
            <v>1</v>
          </cell>
          <cell r="J4642">
            <v>11876724.57</v>
          </cell>
          <cell r="K4642">
            <v>0</v>
          </cell>
          <cell r="L4642">
            <v>2497.4450000000002</v>
          </cell>
        </row>
        <row r="4643">
          <cell r="A4643" t="str">
            <v>02</v>
          </cell>
          <cell r="B4643" t="str">
            <v>29</v>
          </cell>
          <cell r="C4643" t="str">
            <v>02</v>
          </cell>
          <cell r="D4643" t="str">
            <v>5</v>
          </cell>
          <cell r="E4643" t="str">
            <v>0054</v>
          </cell>
          <cell r="F4643" t="str">
            <v>0003</v>
          </cell>
          <cell r="G4643" t="str">
            <v>5020102</v>
          </cell>
          <cell r="H4643" t="str">
            <v>结转本月产品销售成本</v>
          </cell>
          <cell r="I4643" t="b">
            <v>0</v>
          </cell>
          <cell r="J4643">
            <v>11876724.57</v>
          </cell>
          <cell r="K4643">
            <v>0</v>
          </cell>
          <cell r="L4643">
            <v>2497.4450000000002</v>
          </cell>
        </row>
        <row r="4644">
          <cell r="A4644" t="str">
            <v>03</v>
          </cell>
          <cell r="B4644" t="str">
            <v>28</v>
          </cell>
          <cell r="C4644" t="str">
            <v>03</v>
          </cell>
          <cell r="D4644" t="str">
            <v>5</v>
          </cell>
          <cell r="E4644" t="str">
            <v>0021</v>
          </cell>
          <cell r="F4644" t="str">
            <v>0002</v>
          </cell>
          <cell r="G4644" t="str">
            <v>5020102</v>
          </cell>
          <cell r="H4644" t="str">
            <v>结转本月产品销售成本</v>
          </cell>
          <cell r="I4644" t="b">
            <v>1</v>
          </cell>
          <cell r="J4644">
            <v>3701006.79</v>
          </cell>
          <cell r="K4644">
            <v>0</v>
          </cell>
          <cell r="L4644">
            <v>778.25</v>
          </cell>
        </row>
        <row r="4645">
          <cell r="A4645" t="str">
            <v>03</v>
          </cell>
          <cell r="B4645" t="str">
            <v>28</v>
          </cell>
          <cell r="C4645" t="str">
            <v>03</v>
          </cell>
          <cell r="D4645" t="str">
            <v>5</v>
          </cell>
          <cell r="E4645" t="str">
            <v>0023</v>
          </cell>
          <cell r="F4645" t="str">
            <v>0003</v>
          </cell>
          <cell r="G4645" t="str">
            <v>5020102</v>
          </cell>
          <cell r="H4645" t="str">
            <v>结转本月产品销售成本</v>
          </cell>
          <cell r="I4645" t="b">
            <v>0</v>
          </cell>
          <cell r="J4645">
            <v>3701006.79</v>
          </cell>
          <cell r="K4645">
            <v>0</v>
          </cell>
          <cell r="L4645">
            <v>778.25</v>
          </cell>
        </row>
        <row r="4646">
          <cell r="A4646" t="str">
            <v>04</v>
          </cell>
          <cell r="B4646" t="str">
            <v>28</v>
          </cell>
          <cell r="C4646" t="str">
            <v>04</v>
          </cell>
          <cell r="D4646" t="str">
            <v>5</v>
          </cell>
          <cell r="E4646" t="str">
            <v>0033</v>
          </cell>
          <cell r="F4646" t="str">
            <v>0002</v>
          </cell>
          <cell r="G4646" t="str">
            <v>5020102</v>
          </cell>
          <cell r="H4646" t="str">
            <v>结转本月产品销售成本</v>
          </cell>
          <cell r="I4646" t="b">
            <v>1</v>
          </cell>
          <cell r="J4646">
            <v>3266513.83</v>
          </cell>
          <cell r="K4646">
            <v>0</v>
          </cell>
          <cell r="L4646">
            <v>712.25</v>
          </cell>
        </row>
        <row r="4647">
          <cell r="A4647" t="str">
            <v>04</v>
          </cell>
          <cell r="B4647" t="str">
            <v>28</v>
          </cell>
          <cell r="C4647" t="str">
            <v>04</v>
          </cell>
          <cell r="D4647" t="str">
            <v>5</v>
          </cell>
          <cell r="E4647" t="str">
            <v>0034</v>
          </cell>
          <cell r="F4647" t="str">
            <v>0003</v>
          </cell>
          <cell r="G4647" t="str">
            <v>5020102</v>
          </cell>
          <cell r="H4647" t="str">
            <v>结转本月产品销售成本</v>
          </cell>
          <cell r="I4647" t="b">
            <v>0</v>
          </cell>
          <cell r="J4647">
            <v>3266513.83</v>
          </cell>
          <cell r="K4647">
            <v>0</v>
          </cell>
          <cell r="L4647">
            <v>712.25</v>
          </cell>
        </row>
        <row r="4648">
          <cell r="A4648" t="str">
            <v>05</v>
          </cell>
          <cell r="B4648" t="str">
            <v>29</v>
          </cell>
          <cell r="C4648" t="str">
            <v>05</v>
          </cell>
          <cell r="D4648" t="str">
            <v>5</v>
          </cell>
          <cell r="E4648" t="str">
            <v>0034</v>
          </cell>
          <cell r="F4648" t="str">
            <v>0001</v>
          </cell>
          <cell r="G4648" t="str">
            <v>5020102</v>
          </cell>
          <cell r="H4648" t="str">
            <v>结转本月产品销售成本</v>
          </cell>
          <cell r="I4648" t="b">
            <v>1</v>
          </cell>
          <cell r="J4648">
            <v>4855628.66</v>
          </cell>
          <cell r="K4648">
            <v>0</v>
          </cell>
          <cell r="L4648">
            <v>1058.75</v>
          </cell>
        </row>
        <row r="4649">
          <cell r="A4649" t="str">
            <v>05</v>
          </cell>
          <cell r="B4649" t="str">
            <v>29</v>
          </cell>
          <cell r="C4649" t="str">
            <v>05</v>
          </cell>
          <cell r="D4649" t="str">
            <v>5</v>
          </cell>
          <cell r="E4649" t="str">
            <v>0035</v>
          </cell>
          <cell r="F4649" t="str">
            <v>0002</v>
          </cell>
          <cell r="G4649" t="str">
            <v>5020102</v>
          </cell>
          <cell r="H4649" t="str">
            <v>结转本月产品销售成本</v>
          </cell>
          <cell r="I4649" t="b">
            <v>0</v>
          </cell>
          <cell r="J4649">
            <v>4855628.66</v>
          </cell>
          <cell r="K4649">
            <v>0</v>
          </cell>
          <cell r="L4649">
            <v>1058.75</v>
          </cell>
        </row>
        <row r="4650">
          <cell r="A4650" t="str">
            <v>06</v>
          </cell>
          <cell r="B4650" t="str">
            <v>25</v>
          </cell>
          <cell r="C4650" t="str">
            <v>06</v>
          </cell>
          <cell r="D4650" t="str">
            <v>5</v>
          </cell>
          <cell r="E4650" t="str">
            <v>0023</v>
          </cell>
          <cell r="F4650" t="str">
            <v>0001</v>
          </cell>
          <cell r="G4650" t="str">
            <v>5020102</v>
          </cell>
          <cell r="H4650" t="str">
            <v>结转本月产品销售成本</v>
          </cell>
          <cell r="I4650" t="b">
            <v>1</v>
          </cell>
          <cell r="J4650">
            <v>1538666.75</v>
          </cell>
          <cell r="K4650">
            <v>0</v>
          </cell>
          <cell r="L4650">
            <v>335.5</v>
          </cell>
        </row>
        <row r="4651">
          <cell r="A4651" t="str">
            <v>06</v>
          </cell>
          <cell r="B4651" t="str">
            <v>25</v>
          </cell>
          <cell r="C4651" t="str">
            <v>06</v>
          </cell>
          <cell r="D4651" t="str">
            <v>5</v>
          </cell>
          <cell r="E4651" t="str">
            <v>0025</v>
          </cell>
          <cell r="F4651" t="str">
            <v>0002</v>
          </cell>
          <cell r="G4651" t="str">
            <v>5020102</v>
          </cell>
          <cell r="H4651" t="str">
            <v>结转本月产品销售成本</v>
          </cell>
          <cell r="I4651" t="b">
            <v>0</v>
          </cell>
          <cell r="J4651">
            <v>1538666.75</v>
          </cell>
          <cell r="K4651">
            <v>0</v>
          </cell>
          <cell r="L4651">
            <v>335.5</v>
          </cell>
        </row>
        <row r="4652">
          <cell r="A4652" t="str">
            <v>07</v>
          </cell>
          <cell r="B4652" t="str">
            <v>28</v>
          </cell>
          <cell r="C4652" t="str">
            <v>07</v>
          </cell>
          <cell r="D4652" t="str">
            <v>5</v>
          </cell>
          <cell r="E4652" t="str">
            <v>0040</v>
          </cell>
          <cell r="F4652" t="str">
            <v>0001</v>
          </cell>
          <cell r="G4652" t="str">
            <v>5020102</v>
          </cell>
          <cell r="H4652" t="str">
            <v>结转本月产品销售成本</v>
          </cell>
          <cell r="I4652" t="b">
            <v>1</v>
          </cell>
          <cell r="J4652">
            <v>1025426.22</v>
          </cell>
          <cell r="K4652">
            <v>0</v>
          </cell>
          <cell r="L4652">
            <v>223.59</v>
          </cell>
        </row>
        <row r="4653">
          <cell r="A4653" t="str">
            <v>07</v>
          </cell>
          <cell r="B4653" t="str">
            <v>28</v>
          </cell>
          <cell r="C4653" t="str">
            <v>07</v>
          </cell>
          <cell r="D4653" t="str">
            <v>5</v>
          </cell>
          <cell r="E4653" t="str">
            <v>0041</v>
          </cell>
          <cell r="F4653" t="str">
            <v>0003</v>
          </cell>
          <cell r="G4653" t="str">
            <v>5020102</v>
          </cell>
          <cell r="H4653" t="str">
            <v>结转本月产品销售成本</v>
          </cell>
          <cell r="I4653" t="b">
            <v>0</v>
          </cell>
          <cell r="J4653">
            <v>1025426.22</v>
          </cell>
          <cell r="K4653">
            <v>0</v>
          </cell>
          <cell r="L4653">
            <v>223.59</v>
          </cell>
        </row>
        <row r="4654">
          <cell r="A4654" t="str">
            <v>08</v>
          </cell>
          <cell r="B4654" t="str">
            <v>28</v>
          </cell>
          <cell r="C4654" t="str">
            <v>08</v>
          </cell>
          <cell r="D4654" t="str">
            <v>5</v>
          </cell>
          <cell r="E4654" t="str">
            <v>0029</v>
          </cell>
          <cell r="F4654" t="str">
            <v>0001</v>
          </cell>
          <cell r="G4654" t="str">
            <v>5020102</v>
          </cell>
          <cell r="H4654" t="str">
            <v>结转本月产品销售成本</v>
          </cell>
          <cell r="I4654" t="b">
            <v>1</v>
          </cell>
          <cell r="J4654">
            <v>4146152.34</v>
          </cell>
          <cell r="K4654">
            <v>0</v>
          </cell>
          <cell r="L4654">
            <v>924.56</v>
          </cell>
        </row>
        <row r="4655">
          <cell r="A4655" t="str">
            <v>08</v>
          </cell>
          <cell r="B4655" t="str">
            <v>31</v>
          </cell>
          <cell r="C4655" t="str">
            <v>08</v>
          </cell>
          <cell r="D4655" t="str">
            <v>5</v>
          </cell>
          <cell r="E4655" t="str">
            <v>0036</v>
          </cell>
          <cell r="F4655" t="str">
            <v>0002</v>
          </cell>
          <cell r="G4655" t="str">
            <v>5020102</v>
          </cell>
          <cell r="H4655" t="str">
            <v>结转本月销售成本</v>
          </cell>
          <cell r="I4655" t="b">
            <v>0</v>
          </cell>
          <cell r="J4655">
            <v>4146152.34</v>
          </cell>
          <cell r="K4655">
            <v>0</v>
          </cell>
          <cell r="L4655">
            <v>924.56</v>
          </cell>
        </row>
        <row r="4656">
          <cell r="A4656" t="str">
            <v>09</v>
          </cell>
          <cell r="B4656" t="str">
            <v>30</v>
          </cell>
          <cell r="C4656" t="str">
            <v>09</v>
          </cell>
          <cell r="D4656" t="str">
            <v>5</v>
          </cell>
          <cell r="E4656" t="str">
            <v>0035</v>
          </cell>
          <cell r="F4656" t="str">
            <v>0001</v>
          </cell>
          <cell r="G4656" t="str">
            <v>5020102</v>
          </cell>
          <cell r="H4656" t="str">
            <v>结转本月产品销售成本</v>
          </cell>
          <cell r="I4656" t="b">
            <v>1</v>
          </cell>
          <cell r="J4656">
            <v>2643377.69</v>
          </cell>
          <cell r="K4656">
            <v>0</v>
          </cell>
          <cell r="L4656">
            <v>616.55999999999995</v>
          </cell>
        </row>
        <row r="4657">
          <cell r="A4657" t="str">
            <v>09</v>
          </cell>
          <cell r="B4657" t="str">
            <v>30</v>
          </cell>
          <cell r="C4657" t="str">
            <v>09</v>
          </cell>
          <cell r="D4657" t="str">
            <v>5</v>
          </cell>
          <cell r="E4657" t="str">
            <v>0036</v>
          </cell>
          <cell r="F4657" t="str">
            <v>0002</v>
          </cell>
          <cell r="G4657" t="str">
            <v>5020102</v>
          </cell>
          <cell r="H4657" t="str">
            <v>结转本月销售成本</v>
          </cell>
          <cell r="I4657" t="b">
            <v>0</v>
          </cell>
          <cell r="J4657">
            <v>2643377.69</v>
          </cell>
          <cell r="K4657">
            <v>0</v>
          </cell>
          <cell r="L4657">
            <v>616.55999999999995</v>
          </cell>
        </row>
        <row r="4658">
          <cell r="A4658" t="str">
            <v>10</v>
          </cell>
          <cell r="B4658" t="str">
            <v>28</v>
          </cell>
          <cell r="C4658" t="str">
            <v>10</v>
          </cell>
          <cell r="D4658" t="str">
            <v>5</v>
          </cell>
          <cell r="E4658" t="str">
            <v>0028</v>
          </cell>
          <cell r="F4658" t="str">
            <v>0001</v>
          </cell>
          <cell r="G4658" t="str">
            <v>5020102</v>
          </cell>
          <cell r="H4658" t="str">
            <v>结转本月产品销售成本</v>
          </cell>
          <cell r="I4658" t="b">
            <v>1</v>
          </cell>
          <cell r="J4658">
            <v>1881264</v>
          </cell>
          <cell r="K4658">
            <v>0</v>
          </cell>
          <cell r="L4658">
            <v>462</v>
          </cell>
        </row>
        <row r="4659">
          <cell r="A4659" t="str">
            <v>10</v>
          </cell>
          <cell r="B4659" t="str">
            <v>28</v>
          </cell>
          <cell r="C4659" t="str">
            <v>10</v>
          </cell>
          <cell r="D4659" t="str">
            <v>5</v>
          </cell>
          <cell r="E4659" t="str">
            <v>0030</v>
          </cell>
          <cell r="F4659" t="str">
            <v>0002</v>
          </cell>
          <cell r="G4659" t="str">
            <v>5020102</v>
          </cell>
          <cell r="H4659" t="str">
            <v>结转本月销售成本</v>
          </cell>
          <cell r="I4659" t="b">
            <v>0</v>
          </cell>
          <cell r="J4659">
            <v>1881264</v>
          </cell>
          <cell r="K4659">
            <v>0</v>
          </cell>
          <cell r="L4659">
            <v>462</v>
          </cell>
        </row>
        <row r="4660">
          <cell r="A4660" t="str">
            <v>11</v>
          </cell>
          <cell r="B4660" t="str">
            <v>30</v>
          </cell>
          <cell r="C4660" t="str">
            <v>11</v>
          </cell>
          <cell r="D4660" t="str">
            <v>5</v>
          </cell>
          <cell r="E4660" t="str">
            <v>0032</v>
          </cell>
          <cell r="F4660" t="str">
            <v>0001</v>
          </cell>
          <cell r="G4660" t="str">
            <v>5020102</v>
          </cell>
          <cell r="H4660" t="str">
            <v>结转本月产品销售成本</v>
          </cell>
          <cell r="I4660" t="b">
            <v>1</v>
          </cell>
          <cell r="J4660">
            <v>231291.64</v>
          </cell>
          <cell r="K4660">
            <v>0</v>
          </cell>
          <cell r="L4660">
            <v>57.75</v>
          </cell>
        </row>
        <row r="4661">
          <cell r="A4661" t="str">
            <v>11</v>
          </cell>
          <cell r="B4661" t="str">
            <v>30</v>
          </cell>
          <cell r="C4661" t="str">
            <v>11</v>
          </cell>
          <cell r="D4661" t="str">
            <v>5</v>
          </cell>
          <cell r="E4661" t="str">
            <v>0035</v>
          </cell>
          <cell r="F4661" t="str">
            <v>0003</v>
          </cell>
          <cell r="G4661" t="str">
            <v>5020102</v>
          </cell>
          <cell r="H4661" t="str">
            <v>结转本月产品销售成本</v>
          </cell>
          <cell r="I4661" t="b">
            <v>0</v>
          </cell>
          <cell r="J4661">
            <v>231291.64</v>
          </cell>
          <cell r="K4661">
            <v>0</v>
          </cell>
          <cell r="L4661">
            <v>57.75</v>
          </cell>
        </row>
        <row r="4662">
          <cell r="A4662" t="str">
            <v>12</v>
          </cell>
          <cell r="B4662" t="str">
            <v>29</v>
          </cell>
          <cell r="C4662" t="str">
            <v>12</v>
          </cell>
          <cell r="D4662" t="str">
            <v>5</v>
          </cell>
          <cell r="E4662" t="str">
            <v>0085</v>
          </cell>
          <cell r="F4662" t="str">
            <v>0001</v>
          </cell>
          <cell r="G4662" t="str">
            <v>5020102</v>
          </cell>
          <cell r="H4662" t="str">
            <v>结转本月产品销售成本</v>
          </cell>
          <cell r="I4662" t="b">
            <v>1</v>
          </cell>
          <cell r="J4662">
            <v>6640433.9100000001</v>
          </cell>
          <cell r="K4662">
            <v>0</v>
          </cell>
          <cell r="L4662">
            <v>1765.5</v>
          </cell>
        </row>
        <row r="4663">
          <cell r="A4663" t="str">
            <v>12</v>
          </cell>
          <cell r="B4663" t="str">
            <v>31</v>
          </cell>
          <cell r="C4663" t="str">
            <v>12</v>
          </cell>
          <cell r="D4663" t="str">
            <v>5</v>
          </cell>
          <cell r="E4663" t="str">
            <v>0106</v>
          </cell>
          <cell r="F4663" t="str">
            <v>0002</v>
          </cell>
          <cell r="G4663" t="str">
            <v>5020102</v>
          </cell>
          <cell r="H4663" t="str">
            <v>结转本年产品销售成本</v>
          </cell>
          <cell r="I4663" t="b">
            <v>0</v>
          </cell>
          <cell r="J4663">
            <v>6640433.9100000001</v>
          </cell>
          <cell r="K4663">
            <v>0</v>
          </cell>
          <cell r="L4663">
            <v>1765.5</v>
          </cell>
        </row>
        <row r="4664">
          <cell r="A4664" t="str">
            <v>02</v>
          </cell>
          <cell r="B4664" t="str">
            <v>29</v>
          </cell>
          <cell r="C4664" t="str">
            <v>02</v>
          </cell>
          <cell r="D4664" t="str">
            <v>5</v>
          </cell>
          <cell r="E4664" t="str">
            <v>0052</v>
          </cell>
          <cell r="F4664" t="str">
            <v>0003</v>
          </cell>
          <cell r="G4664" t="str">
            <v>50203</v>
          </cell>
          <cell r="H4664" t="str">
            <v>结转本月产品销售成本</v>
          </cell>
          <cell r="I4664" t="b">
            <v>1</v>
          </cell>
          <cell r="J4664">
            <v>6402.49</v>
          </cell>
          <cell r="K4664">
            <v>0</v>
          </cell>
          <cell r="L4664">
            <v>1.675</v>
          </cell>
        </row>
        <row r="4665">
          <cell r="A4665" t="str">
            <v>02</v>
          </cell>
          <cell r="B4665" t="str">
            <v>29</v>
          </cell>
          <cell r="C4665" t="str">
            <v>02</v>
          </cell>
          <cell r="D4665" t="str">
            <v>5</v>
          </cell>
          <cell r="E4665" t="str">
            <v>0054</v>
          </cell>
          <cell r="F4665" t="str">
            <v>0004</v>
          </cell>
          <cell r="G4665" t="str">
            <v>50203</v>
          </cell>
          <cell r="H4665" t="str">
            <v>结转本月产品销售成本</v>
          </cell>
          <cell r="I4665" t="b">
            <v>0</v>
          </cell>
          <cell r="J4665">
            <v>6402.49</v>
          </cell>
          <cell r="K4665">
            <v>0</v>
          </cell>
          <cell r="L4665">
            <v>1.675</v>
          </cell>
        </row>
        <row r="4666">
          <cell r="A4666" t="str">
            <v>03</v>
          </cell>
          <cell r="B4666" t="str">
            <v>28</v>
          </cell>
          <cell r="C4666" t="str">
            <v>03</v>
          </cell>
          <cell r="D4666" t="str">
            <v>5</v>
          </cell>
          <cell r="E4666" t="str">
            <v>0021</v>
          </cell>
          <cell r="F4666" t="str">
            <v>0003</v>
          </cell>
          <cell r="G4666" t="str">
            <v>50203</v>
          </cell>
          <cell r="H4666" t="str">
            <v>结转本月产品销售成本</v>
          </cell>
          <cell r="I4666" t="b">
            <v>1</v>
          </cell>
          <cell r="J4666">
            <v>7109.63</v>
          </cell>
          <cell r="K4666">
            <v>0</v>
          </cell>
          <cell r="L4666">
            <v>1.86</v>
          </cell>
        </row>
        <row r="4667">
          <cell r="A4667" t="str">
            <v>03</v>
          </cell>
          <cell r="B4667" t="str">
            <v>28</v>
          </cell>
          <cell r="C4667" t="str">
            <v>03</v>
          </cell>
          <cell r="D4667" t="str">
            <v>5</v>
          </cell>
          <cell r="E4667" t="str">
            <v>0023</v>
          </cell>
          <cell r="F4667" t="str">
            <v>0004</v>
          </cell>
          <cell r="G4667" t="str">
            <v>50203</v>
          </cell>
          <cell r="H4667" t="str">
            <v>结转本月产品销售成本</v>
          </cell>
          <cell r="I4667" t="b">
            <v>0</v>
          </cell>
          <cell r="J4667">
            <v>7109.63</v>
          </cell>
          <cell r="K4667">
            <v>0</v>
          </cell>
          <cell r="L4667">
            <v>1.86</v>
          </cell>
        </row>
        <row r="4668">
          <cell r="A4668" t="str">
            <v>07</v>
          </cell>
          <cell r="B4668" t="str">
            <v>28</v>
          </cell>
          <cell r="C4668" t="str">
            <v>07</v>
          </cell>
          <cell r="D4668" t="str">
            <v>5</v>
          </cell>
          <cell r="E4668" t="str">
            <v>0040</v>
          </cell>
          <cell r="F4668" t="str">
            <v>0003</v>
          </cell>
          <cell r="G4668" t="str">
            <v>50203</v>
          </cell>
          <cell r="H4668" t="str">
            <v>结转本月产品销售成本</v>
          </cell>
          <cell r="I4668" t="b">
            <v>1</v>
          </cell>
          <cell r="J4668">
            <v>22628.49</v>
          </cell>
          <cell r="K4668">
            <v>0</v>
          </cell>
          <cell r="L4668">
            <v>5.92</v>
          </cell>
        </row>
        <row r="4669">
          <cell r="A4669" t="str">
            <v>07</v>
          </cell>
          <cell r="B4669" t="str">
            <v>28</v>
          </cell>
          <cell r="C4669" t="str">
            <v>07</v>
          </cell>
          <cell r="D4669" t="str">
            <v>5</v>
          </cell>
          <cell r="E4669" t="str">
            <v>0041</v>
          </cell>
          <cell r="F4669" t="str">
            <v>0005</v>
          </cell>
          <cell r="G4669" t="str">
            <v>50203</v>
          </cell>
          <cell r="H4669" t="str">
            <v>结转本月产品销售成本</v>
          </cell>
          <cell r="I4669" t="b">
            <v>0</v>
          </cell>
          <cell r="J4669">
            <v>22628.49</v>
          </cell>
          <cell r="K4669">
            <v>0</v>
          </cell>
          <cell r="L4669">
            <v>5.92</v>
          </cell>
        </row>
        <row r="4670">
          <cell r="A4670" t="str">
            <v>08</v>
          </cell>
          <cell r="B4670" t="str">
            <v>28</v>
          </cell>
          <cell r="C4670" t="str">
            <v>08</v>
          </cell>
          <cell r="D4670" t="str">
            <v>5</v>
          </cell>
          <cell r="E4670" t="str">
            <v>0029</v>
          </cell>
          <cell r="F4670" t="str">
            <v>0003</v>
          </cell>
          <cell r="G4670" t="str">
            <v>50203</v>
          </cell>
          <cell r="H4670" t="str">
            <v>结转本月产品销售成本</v>
          </cell>
          <cell r="I4670" t="b">
            <v>1</v>
          </cell>
          <cell r="J4670">
            <v>68.8</v>
          </cell>
          <cell r="K4670">
            <v>0</v>
          </cell>
          <cell r="L4670">
            <v>1.7999999999999999E-2</v>
          </cell>
        </row>
        <row r="4671">
          <cell r="A4671" t="str">
            <v>08</v>
          </cell>
          <cell r="B4671" t="str">
            <v>31</v>
          </cell>
          <cell r="C4671" t="str">
            <v>08</v>
          </cell>
          <cell r="D4671" t="str">
            <v>5</v>
          </cell>
          <cell r="E4671" t="str">
            <v>0036</v>
          </cell>
          <cell r="F4671" t="str">
            <v>0004</v>
          </cell>
          <cell r="G4671" t="str">
            <v>50203</v>
          </cell>
          <cell r="H4671" t="str">
            <v>结转本月销售成本</v>
          </cell>
          <cell r="I4671" t="b">
            <v>0</v>
          </cell>
          <cell r="J4671">
            <v>68.8</v>
          </cell>
          <cell r="K4671">
            <v>0</v>
          </cell>
          <cell r="L4671">
            <v>1.7999999999999999E-2</v>
          </cell>
        </row>
        <row r="4672">
          <cell r="A4672" t="str">
            <v>09</v>
          </cell>
          <cell r="B4672" t="str">
            <v>30</v>
          </cell>
          <cell r="C4672" t="str">
            <v>09</v>
          </cell>
          <cell r="D4672" t="str">
            <v>5</v>
          </cell>
          <cell r="E4672" t="str">
            <v>0035</v>
          </cell>
          <cell r="F4672" t="str">
            <v>0003</v>
          </cell>
          <cell r="G4672" t="str">
            <v>50203</v>
          </cell>
          <cell r="H4672" t="str">
            <v>结转本月产品销售成本</v>
          </cell>
          <cell r="I4672" t="b">
            <v>1</v>
          </cell>
          <cell r="J4672">
            <v>1681.85</v>
          </cell>
          <cell r="K4672">
            <v>0</v>
          </cell>
          <cell r="L4672">
            <v>0.44</v>
          </cell>
        </row>
        <row r="4673">
          <cell r="A4673" t="str">
            <v>09</v>
          </cell>
          <cell r="B4673" t="str">
            <v>30</v>
          </cell>
          <cell r="C4673" t="str">
            <v>09</v>
          </cell>
          <cell r="D4673" t="str">
            <v>5</v>
          </cell>
          <cell r="E4673" t="str">
            <v>0036</v>
          </cell>
          <cell r="F4673" t="str">
            <v>0004</v>
          </cell>
          <cell r="G4673" t="str">
            <v>50203</v>
          </cell>
          <cell r="H4673" t="str">
            <v>结转本月销售成本</v>
          </cell>
          <cell r="I4673" t="b">
            <v>0</v>
          </cell>
          <cell r="J4673">
            <v>1681.85</v>
          </cell>
          <cell r="K4673">
            <v>0</v>
          </cell>
          <cell r="L4673">
            <v>0.44</v>
          </cell>
        </row>
        <row r="4674">
          <cell r="A4674" t="str">
            <v>10</v>
          </cell>
          <cell r="B4674" t="str">
            <v>28</v>
          </cell>
          <cell r="C4674" t="str">
            <v>10</v>
          </cell>
          <cell r="D4674" t="str">
            <v>5</v>
          </cell>
          <cell r="E4674" t="str">
            <v>0028</v>
          </cell>
          <cell r="F4674" t="str">
            <v>0003</v>
          </cell>
          <cell r="G4674" t="str">
            <v>50203</v>
          </cell>
          <cell r="H4674" t="str">
            <v>结转本月产品销售成本</v>
          </cell>
          <cell r="I4674" t="b">
            <v>1</v>
          </cell>
          <cell r="J4674">
            <v>8485.68</v>
          </cell>
          <cell r="K4674">
            <v>0</v>
          </cell>
          <cell r="L4674">
            <v>2.2200000000000002</v>
          </cell>
        </row>
        <row r="4675">
          <cell r="A4675" t="str">
            <v>10</v>
          </cell>
          <cell r="B4675" t="str">
            <v>28</v>
          </cell>
          <cell r="C4675" t="str">
            <v>10</v>
          </cell>
          <cell r="D4675" t="str">
            <v>5</v>
          </cell>
          <cell r="E4675" t="str">
            <v>0030</v>
          </cell>
          <cell r="F4675" t="str">
            <v>0004</v>
          </cell>
          <cell r="G4675" t="str">
            <v>50203</v>
          </cell>
          <cell r="H4675" t="str">
            <v>结转本月销售成本</v>
          </cell>
          <cell r="I4675" t="b">
            <v>0</v>
          </cell>
          <cell r="J4675">
            <v>8485.68</v>
          </cell>
          <cell r="K4675">
            <v>0</v>
          </cell>
          <cell r="L4675">
            <v>2.2200000000000002</v>
          </cell>
        </row>
        <row r="4676">
          <cell r="A4676" t="str">
            <v>02</v>
          </cell>
          <cell r="B4676" t="str">
            <v>28</v>
          </cell>
          <cell r="C4676" t="str">
            <v>02</v>
          </cell>
          <cell r="D4676" t="str">
            <v>5</v>
          </cell>
          <cell r="E4676" t="str">
            <v>0033</v>
          </cell>
          <cell r="F4676" t="str">
            <v>0001</v>
          </cell>
          <cell r="G4676" t="str">
            <v>50206</v>
          </cell>
          <cell r="H4676" t="str">
            <v>按出口收入4%计提不予免抵税金</v>
          </cell>
          <cell r="I4676" t="b">
            <v>1</v>
          </cell>
          <cell r="J4676">
            <v>629690.63</v>
          </cell>
          <cell r="K4676">
            <v>0</v>
          </cell>
          <cell r="L4676">
            <v>0</v>
          </cell>
        </row>
        <row r="4677">
          <cell r="A4677" t="str">
            <v>02</v>
          </cell>
          <cell r="B4677" t="str">
            <v>29</v>
          </cell>
          <cell r="C4677" t="str">
            <v>02</v>
          </cell>
          <cell r="D4677" t="str">
            <v>5</v>
          </cell>
          <cell r="E4677" t="str">
            <v>0054</v>
          </cell>
          <cell r="F4677" t="str">
            <v>0005</v>
          </cell>
          <cell r="G4677" t="str">
            <v>50206</v>
          </cell>
          <cell r="H4677" t="str">
            <v>结转本月产品销售成本</v>
          </cell>
          <cell r="I4677" t="b">
            <v>0</v>
          </cell>
          <cell r="J4677">
            <v>629690.63</v>
          </cell>
          <cell r="K4677">
            <v>0</v>
          </cell>
          <cell r="L4677">
            <v>0</v>
          </cell>
        </row>
        <row r="4678">
          <cell r="A4678" t="str">
            <v>03</v>
          </cell>
          <cell r="B4678" t="str">
            <v>28</v>
          </cell>
          <cell r="C4678" t="str">
            <v>03</v>
          </cell>
          <cell r="D4678" t="str">
            <v>5</v>
          </cell>
          <cell r="E4678" t="str">
            <v>0016</v>
          </cell>
          <cell r="F4678" t="str">
            <v>0001</v>
          </cell>
          <cell r="G4678" t="str">
            <v>50206</v>
          </cell>
          <cell r="H4678" t="str">
            <v>转按销售收入4%计提不予免抵税款</v>
          </cell>
          <cell r="I4678" t="b">
            <v>1</v>
          </cell>
          <cell r="J4678">
            <v>205217.5</v>
          </cell>
          <cell r="K4678">
            <v>0</v>
          </cell>
          <cell r="L4678">
            <v>0</v>
          </cell>
        </row>
        <row r="4679">
          <cell r="A4679" t="str">
            <v>03</v>
          </cell>
          <cell r="B4679" t="str">
            <v>28</v>
          </cell>
          <cell r="C4679" t="str">
            <v>03</v>
          </cell>
          <cell r="D4679" t="str">
            <v>5</v>
          </cell>
          <cell r="E4679" t="str">
            <v>0023</v>
          </cell>
          <cell r="F4679" t="str">
            <v>0005</v>
          </cell>
          <cell r="G4679" t="str">
            <v>50206</v>
          </cell>
          <cell r="H4679" t="str">
            <v>结转本月产品销售成本</v>
          </cell>
          <cell r="I4679" t="b">
            <v>0</v>
          </cell>
          <cell r="J4679">
            <v>176562.63</v>
          </cell>
          <cell r="K4679">
            <v>0</v>
          </cell>
          <cell r="L4679">
            <v>0</v>
          </cell>
        </row>
        <row r="4680">
          <cell r="A4680" t="str">
            <v>03</v>
          </cell>
          <cell r="B4680" t="str">
            <v>30</v>
          </cell>
          <cell r="C4680" t="str">
            <v>03</v>
          </cell>
          <cell r="D4680" t="str">
            <v>5</v>
          </cell>
          <cell r="E4680" t="str">
            <v>0027</v>
          </cell>
          <cell r="F4680" t="str">
            <v>0001</v>
          </cell>
          <cell r="G4680" t="str">
            <v>50206</v>
          </cell>
          <cell r="H4680" t="str">
            <v>转本月进料加工虚拟进项税款</v>
          </cell>
          <cell r="I4680" t="b">
            <v>1</v>
          </cell>
          <cell r="J4680">
            <v>-28654.87</v>
          </cell>
          <cell r="K4680">
            <v>0</v>
          </cell>
          <cell r="L4680">
            <v>0</v>
          </cell>
        </row>
        <row r="4681">
          <cell r="A4681" t="str">
            <v>04</v>
          </cell>
          <cell r="B4681" t="str">
            <v>26</v>
          </cell>
          <cell r="C4681" t="str">
            <v>04</v>
          </cell>
          <cell r="D4681" t="str">
            <v>5</v>
          </cell>
          <cell r="E4681" t="str">
            <v>0025</v>
          </cell>
          <cell r="F4681" t="str">
            <v>0001</v>
          </cell>
          <cell r="G4681" t="str">
            <v>50206</v>
          </cell>
          <cell r="H4681" t="str">
            <v>转按销售收入4%计提不予免抵税款</v>
          </cell>
          <cell r="I4681" t="b">
            <v>1</v>
          </cell>
          <cell r="J4681">
            <v>229887.43</v>
          </cell>
          <cell r="K4681">
            <v>0</v>
          </cell>
          <cell r="L4681">
            <v>0</v>
          </cell>
        </row>
        <row r="4682">
          <cell r="A4682" t="str">
            <v>04</v>
          </cell>
          <cell r="B4682" t="str">
            <v>28</v>
          </cell>
          <cell r="C4682" t="str">
            <v>04</v>
          </cell>
          <cell r="D4682" t="str">
            <v>5</v>
          </cell>
          <cell r="E4682" t="str">
            <v>0034</v>
          </cell>
          <cell r="F4682" t="str">
            <v>0004</v>
          </cell>
          <cell r="G4682" t="str">
            <v>50206</v>
          </cell>
          <cell r="H4682" t="str">
            <v>结转本月产品销售成本</v>
          </cell>
          <cell r="I4682" t="b">
            <v>0</v>
          </cell>
          <cell r="J4682">
            <v>229887.43</v>
          </cell>
          <cell r="K4682">
            <v>0</v>
          </cell>
          <cell r="L4682">
            <v>0</v>
          </cell>
        </row>
        <row r="4683">
          <cell r="A4683" t="str">
            <v>05</v>
          </cell>
          <cell r="B4683" t="str">
            <v>26</v>
          </cell>
          <cell r="C4683" t="str">
            <v>05</v>
          </cell>
          <cell r="D4683" t="str">
            <v>5</v>
          </cell>
          <cell r="E4683" t="str">
            <v>0027</v>
          </cell>
          <cell r="F4683" t="str">
            <v>0001</v>
          </cell>
          <cell r="G4683" t="str">
            <v>50206</v>
          </cell>
          <cell r="H4683" t="str">
            <v>转订2月5-29FVE67#不予免抵税金</v>
          </cell>
          <cell r="I4683" t="b">
            <v>1</v>
          </cell>
          <cell r="J4683">
            <v>-758.1</v>
          </cell>
          <cell r="K4683">
            <v>0</v>
          </cell>
          <cell r="L4683">
            <v>0</v>
          </cell>
        </row>
        <row r="4684">
          <cell r="A4684" t="str">
            <v>05</v>
          </cell>
          <cell r="B4684" t="str">
            <v>27</v>
          </cell>
          <cell r="C4684" t="str">
            <v>05</v>
          </cell>
          <cell r="D4684" t="str">
            <v>5</v>
          </cell>
          <cell r="E4684" t="str">
            <v>0028</v>
          </cell>
          <cell r="F4684" t="str">
            <v>0001</v>
          </cell>
          <cell r="G4684" t="str">
            <v>50206</v>
          </cell>
          <cell r="H4684" t="str">
            <v>转按4%计提本月不予免抵税金</v>
          </cell>
          <cell r="I4684" t="b">
            <v>1</v>
          </cell>
          <cell r="J4684">
            <v>304190.36</v>
          </cell>
          <cell r="K4684">
            <v>0</v>
          </cell>
          <cell r="L4684">
            <v>0</v>
          </cell>
        </row>
        <row r="4685">
          <cell r="A4685" t="str">
            <v>05</v>
          </cell>
          <cell r="B4685" t="str">
            <v>29</v>
          </cell>
          <cell r="C4685" t="str">
            <v>05</v>
          </cell>
          <cell r="D4685" t="str">
            <v>5</v>
          </cell>
          <cell r="E4685" t="str">
            <v>0035</v>
          </cell>
          <cell r="F4685" t="str">
            <v>0003</v>
          </cell>
          <cell r="G4685" t="str">
            <v>50206</v>
          </cell>
          <cell r="H4685" t="str">
            <v>结转本月产品销售成本</v>
          </cell>
          <cell r="I4685" t="b">
            <v>0</v>
          </cell>
          <cell r="J4685">
            <v>303432.26</v>
          </cell>
          <cell r="K4685">
            <v>0</v>
          </cell>
          <cell r="L4685">
            <v>0</v>
          </cell>
        </row>
        <row r="4686">
          <cell r="A4686" t="str">
            <v>06</v>
          </cell>
          <cell r="B4686" t="str">
            <v>23</v>
          </cell>
          <cell r="C4686" t="str">
            <v>06</v>
          </cell>
          <cell r="D4686" t="str">
            <v>5</v>
          </cell>
          <cell r="E4686" t="str">
            <v>0019</v>
          </cell>
          <cell r="F4686" t="str">
            <v>0001</v>
          </cell>
          <cell r="G4686" t="str">
            <v>50206</v>
          </cell>
          <cell r="H4686" t="str">
            <v>转按4%计提本月不予免抵税金</v>
          </cell>
          <cell r="I4686" t="b">
            <v>1</v>
          </cell>
          <cell r="J4686">
            <v>102136.68</v>
          </cell>
          <cell r="K4686">
            <v>0</v>
          </cell>
          <cell r="L4686">
            <v>0</v>
          </cell>
        </row>
        <row r="4687">
          <cell r="A4687" t="str">
            <v>06</v>
          </cell>
          <cell r="B4687" t="str">
            <v>25</v>
          </cell>
          <cell r="C4687" t="str">
            <v>06</v>
          </cell>
          <cell r="D4687" t="str">
            <v>5</v>
          </cell>
          <cell r="E4687" t="str">
            <v>0025</v>
          </cell>
          <cell r="F4687" t="str">
            <v>0003</v>
          </cell>
          <cell r="G4687" t="str">
            <v>50206</v>
          </cell>
          <cell r="H4687" t="str">
            <v>结转本月产品销售成本</v>
          </cell>
          <cell r="I4687" t="b">
            <v>0</v>
          </cell>
          <cell r="J4687">
            <v>102136.68</v>
          </cell>
          <cell r="K4687">
            <v>0</v>
          </cell>
          <cell r="L4687">
            <v>0</v>
          </cell>
        </row>
        <row r="4688">
          <cell r="A4688" t="str">
            <v>07</v>
          </cell>
          <cell r="B4688" t="str">
            <v>27</v>
          </cell>
          <cell r="C4688" t="str">
            <v>07</v>
          </cell>
          <cell r="D4688" t="str">
            <v>5</v>
          </cell>
          <cell r="E4688" t="str">
            <v>0031</v>
          </cell>
          <cell r="F4688" t="str">
            <v>0001</v>
          </cell>
          <cell r="G4688" t="str">
            <v>50206</v>
          </cell>
          <cell r="H4688" t="str">
            <v>转按4%计提本月不予免抵税金</v>
          </cell>
          <cell r="I4688" t="b">
            <v>1</v>
          </cell>
          <cell r="J4688">
            <v>65758.5</v>
          </cell>
          <cell r="K4688">
            <v>0</v>
          </cell>
          <cell r="L4688">
            <v>0</v>
          </cell>
        </row>
        <row r="4689">
          <cell r="A4689" t="str">
            <v>07</v>
          </cell>
          <cell r="B4689" t="str">
            <v>28</v>
          </cell>
          <cell r="C4689" t="str">
            <v>07</v>
          </cell>
          <cell r="D4689" t="str">
            <v>5</v>
          </cell>
          <cell r="E4689" t="str">
            <v>0041</v>
          </cell>
          <cell r="F4689" t="str">
            <v>0004</v>
          </cell>
          <cell r="G4689" t="str">
            <v>50206</v>
          </cell>
          <cell r="H4689" t="str">
            <v>结转本月产品销售成本</v>
          </cell>
          <cell r="I4689" t="b">
            <v>0</v>
          </cell>
          <cell r="J4689">
            <v>65758.5</v>
          </cell>
          <cell r="K4689">
            <v>0</v>
          </cell>
          <cell r="L4689">
            <v>0</v>
          </cell>
        </row>
        <row r="4690">
          <cell r="A4690" t="str">
            <v>08</v>
          </cell>
          <cell r="B4690" t="str">
            <v>28</v>
          </cell>
          <cell r="C4690" t="str">
            <v>08</v>
          </cell>
          <cell r="D4690" t="str">
            <v>5</v>
          </cell>
          <cell r="E4690" t="str">
            <v>0027</v>
          </cell>
          <cell r="F4690" t="str">
            <v>0001</v>
          </cell>
          <cell r="G4690" t="str">
            <v>50206</v>
          </cell>
          <cell r="H4690" t="str">
            <v>转按4%计提本月不予免抵税金</v>
          </cell>
          <cell r="I4690" t="b">
            <v>1</v>
          </cell>
          <cell r="J4690">
            <v>291123.43</v>
          </cell>
          <cell r="K4690">
            <v>0</v>
          </cell>
          <cell r="L4690">
            <v>0</v>
          </cell>
        </row>
        <row r="4691">
          <cell r="A4691" t="str">
            <v>08</v>
          </cell>
          <cell r="B4691" t="str">
            <v>31</v>
          </cell>
          <cell r="C4691" t="str">
            <v>08</v>
          </cell>
          <cell r="D4691" t="str">
            <v>5</v>
          </cell>
          <cell r="E4691" t="str">
            <v>0036</v>
          </cell>
          <cell r="F4691" t="str">
            <v>0005</v>
          </cell>
          <cell r="G4691" t="str">
            <v>50206</v>
          </cell>
          <cell r="H4691" t="str">
            <v>结转本月销售成本</v>
          </cell>
          <cell r="I4691" t="b">
            <v>0</v>
          </cell>
          <cell r="J4691">
            <v>291123.43</v>
          </cell>
          <cell r="K4691">
            <v>0</v>
          </cell>
          <cell r="L4691">
            <v>0</v>
          </cell>
        </row>
        <row r="4692">
          <cell r="A4692" t="str">
            <v>09</v>
          </cell>
          <cell r="B4692" t="str">
            <v>30</v>
          </cell>
          <cell r="C4692" t="str">
            <v>09</v>
          </cell>
          <cell r="D4692" t="str">
            <v>5</v>
          </cell>
          <cell r="E4692" t="str">
            <v>0033</v>
          </cell>
          <cell r="F4692" t="str">
            <v>0001</v>
          </cell>
          <cell r="G4692" t="str">
            <v>50206</v>
          </cell>
          <cell r="H4692" t="str">
            <v>转按4%计提本月不予免抵税金</v>
          </cell>
          <cell r="I4692" t="b">
            <v>1</v>
          </cell>
          <cell r="J4692">
            <v>188951.67</v>
          </cell>
          <cell r="K4692">
            <v>0</v>
          </cell>
          <cell r="L4692">
            <v>0</v>
          </cell>
        </row>
        <row r="4693">
          <cell r="A4693" t="str">
            <v>09</v>
          </cell>
          <cell r="B4693" t="str">
            <v>30</v>
          </cell>
          <cell r="C4693" t="str">
            <v>09</v>
          </cell>
          <cell r="D4693" t="str">
            <v>5</v>
          </cell>
          <cell r="E4693" t="str">
            <v>0036</v>
          </cell>
          <cell r="F4693" t="str">
            <v>0005</v>
          </cell>
          <cell r="G4693" t="str">
            <v>50206</v>
          </cell>
          <cell r="H4693" t="str">
            <v>结转本月销售成本</v>
          </cell>
          <cell r="I4693" t="b">
            <v>0</v>
          </cell>
          <cell r="J4693">
            <v>188951.67</v>
          </cell>
          <cell r="K4693">
            <v>0</v>
          </cell>
          <cell r="L4693">
            <v>0</v>
          </cell>
        </row>
        <row r="4694">
          <cell r="A4694" t="str">
            <v>10</v>
          </cell>
          <cell r="B4694" t="str">
            <v>28</v>
          </cell>
          <cell r="C4694" t="str">
            <v>10</v>
          </cell>
          <cell r="D4694" t="str">
            <v>5</v>
          </cell>
          <cell r="E4694" t="str">
            <v>0027</v>
          </cell>
          <cell r="F4694" t="str">
            <v>0001</v>
          </cell>
          <cell r="G4694" t="str">
            <v>50206</v>
          </cell>
          <cell r="H4694" t="str">
            <v>转按4%计提本月不予免抵税金</v>
          </cell>
          <cell r="I4694" t="b">
            <v>1</v>
          </cell>
          <cell r="J4694">
            <v>128271.42</v>
          </cell>
          <cell r="K4694">
            <v>0</v>
          </cell>
          <cell r="L4694">
            <v>0</v>
          </cell>
        </row>
        <row r="4695">
          <cell r="A4695" t="str">
            <v>10</v>
          </cell>
          <cell r="B4695" t="str">
            <v>28</v>
          </cell>
          <cell r="C4695" t="str">
            <v>10</v>
          </cell>
          <cell r="D4695" t="str">
            <v>5</v>
          </cell>
          <cell r="E4695" t="str">
            <v>0030</v>
          </cell>
          <cell r="F4695" t="str">
            <v>0005</v>
          </cell>
          <cell r="G4695" t="str">
            <v>50206</v>
          </cell>
          <cell r="H4695" t="str">
            <v>结转本月销售成本</v>
          </cell>
          <cell r="I4695" t="b">
            <v>0</v>
          </cell>
          <cell r="J4695">
            <v>128271.42</v>
          </cell>
          <cell r="K4695">
            <v>0</v>
          </cell>
          <cell r="L4695">
            <v>0</v>
          </cell>
        </row>
        <row r="4696">
          <cell r="A4696" t="str">
            <v>11</v>
          </cell>
          <cell r="B4696" t="str">
            <v>30</v>
          </cell>
          <cell r="C4696" t="str">
            <v>11</v>
          </cell>
          <cell r="D4696" t="str">
            <v>5</v>
          </cell>
          <cell r="E4696" t="str">
            <v>0030</v>
          </cell>
          <cell r="F4696" t="str">
            <v>0001</v>
          </cell>
          <cell r="G4696" t="str">
            <v>50206</v>
          </cell>
          <cell r="H4696" t="str">
            <v>转按4%计提本月不予免抵税金</v>
          </cell>
          <cell r="I4696" t="b">
            <v>1</v>
          </cell>
          <cell r="J4696">
            <v>17329.98</v>
          </cell>
          <cell r="K4696">
            <v>0</v>
          </cell>
          <cell r="L4696">
            <v>0</v>
          </cell>
        </row>
        <row r="4697">
          <cell r="A4697" t="str">
            <v>11</v>
          </cell>
          <cell r="B4697" t="str">
            <v>30</v>
          </cell>
          <cell r="C4697" t="str">
            <v>11</v>
          </cell>
          <cell r="D4697" t="str">
            <v>5</v>
          </cell>
          <cell r="E4697" t="str">
            <v>0035</v>
          </cell>
          <cell r="F4697" t="str">
            <v>0004</v>
          </cell>
          <cell r="G4697" t="str">
            <v>50206</v>
          </cell>
          <cell r="H4697" t="str">
            <v>结转本月不予免抵税款</v>
          </cell>
          <cell r="I4697" t="b">
            <v>0</v>
          </cell>
          <cell r="J4697">
            <v>17329.98</v>
          </cell>
          <cell r="K4697">
            <v>0</v>
          </cell>
          <cell r="L4697">
            <v>0</v>
          </cell>
        </row>
        <row r="4698">
          <cell r="A4698" t="str">
            <v>12</v>
          </cell>
          <cell r="B4698" t="str">
            <v>28</v>
          </cell>
          <cell r="C4698" t="str">
            <v>12</v>
          </cell>
          <cell r="D4698" t="str">
            <v>5</v>
          </cell>
          <cell r="E4698" t="str">
            <v>0075</v>
          </cell>
          <cell r="F4698" t="str">
            <v>0001</v>
          </cell>
          <cell r="G4698" t="str">
            <v>50206</v>
          </cell>
          <cell r="H4698" t="str">
            <v>转按4%计提本月不予免抵税金</v>
          </cell>
          <cell r="I4698" t="b">
            <v>1</v>
          </cell>
          <cell r="J4698">
            <v>501908.34</v>
          </cell>
          <cell r="K4698">
            <v>0</v>
          </cell>
          <cell r="L4698">
            <v>0</v>
          </cell>
        </row>
        <row r="4699">
          <cell r="A4699" t="str">
            <v>12</v>
          </cell>
          <cell r="B4699" t="str">
            <v>31</v>
          </cell>
          <cell r="C4699" t="str">
            <v>12</v>
          </cell>
          <cell r="D4699" t="str">
            <v>5</v>
          </cell>
          <cell r="E4699" t="str">
            <v>0106</v>
          </cell>
          <cell r="F4699" t="str">
            <v>0004</v>
          </cell>
          <cell r="G4699" t="str">
            <v>50206</v>
          </cell>
          <cell r="H4699" t="str">
            <v>结转本年出口产品成本</v>
          </cell>
          <cell r="I4699" t="b">
            <v>0</v>
          </cell>
          <cell r="J4699">
            <v>501908.34</v>
          </cell>
          <cell r="K4699">
            <v>0</v>
          </cell>
          <cell r="L4699">
            <v>0</v>
          </cell>
        </row>
        <row r="4700">
          <cell r="A4700" t="str">
            <v>12</v>
          </cell>
          <cell r="B4700" t="str">
            <v>29</v>
          </cell>
          <cell r="C4700" t="str">
            <v>12</v>
          </cell>
          <cell r="D4700" t="str">
            <v>5</v>
          </cell>
          <cell r="E4700" t="str">
            <v>0085</v>
          </cell>
          <cell r="F4700" t="str">
            <v>0002</v>
          </cell>
          <cell r="G4700" t="str">
            <v>5020802</v>
          </cell>
          <cell r="H4700" t="str">
            <v>结转本月产品销售成本</v>
          </cell>
          <cell r="I4700" t="b">
            <v>1</v>
          </cell>
          <cell r="J4700">
            <v>282832.55</v>
          </cell>
          <cell r="K4700">
            <v>0</v>
          </cell>
          <cell r="L4700">
            <v>77</v>
          </cell>
        </row>
        <row r="4701">
          <cell r="A4701" t="str">
            <v>12</v>
          </cell>
          <cell r="B4701" t="str">
            <v>31</v>
          </cell>
          <cell r="C4701" t="str">
            <v>12</v>
          </cell>
          <cell r="D4701" t="str">
            <v>5</v>
          </cell>
          <cell r="E4701" t="str">
            <v>0106</v>
          </cell>
          <cell r="F4701" t="str">
            <v>0003</v>
          </cell>
          <cell r="G4701" t="str">
            <v>5020802</v>
          </cell>
          <cell r="H4701" t="str">
            <v>结转本年产品销售成本</v>
          </cell>
          <cell r="I4701" t="b">
            <v>0</v>
          </cell>
          <cell r="J4701">
            <v>282832.55</v>
          </cell>
          <cell r="K4701">
            <v>0</v>
          </cell>
          <cell r="L4701">
            <v>77</v>
          </cell>
        </row>
        <row r="4702">
          <cell r="A4702" t="str">
            <v>02</v>
          </cell>
          <cell r="B4702" t="str">
            <v>15</v>
          </cell>
          <cell r="C4702" t="str">
            <v>02</v>
          </cell>
          <cell r="D4702" t="str">
            <v>4</v>
          </cell>
          <cell r="E4702" t="str">
            <v>0016</v>
          </cell>
          <cell r="F4702" t="str">
            <v>0002</v>
          </cell>
          <cell r="G4702" t="str">
            <v>50301</v>
          </cell>
          <cell r="H4702" t="str">
            <v>付运费</v>
          </cell>
          <cell r="I4702" t="b">
            <v>1</v>
          </cell>
          <cell r="J4702">
            <v>2304.02</v>
          </cell>
          <cell r="K4702">
            <v>0</v>
          </cell>
          <cell r="L4702">
            <v>0</v>
          </cell>
        </row>
        <row r="4703">
          <cell r="A4703" t="str">
            <v>02</v>
          </cell>
          <cell r="B4703" t="str">
            <v>18</v>
          </cell>
          <cell r="C4703" t="str">
            <v>02</v>
          </cell>
          <cell r="D4703" t="str">
            <v>4</v>
          </cell>
          <cell r="E4703" t="str">
            <v>0023</v>
          </cell>
          <cell r="F4703" t="str">
            <v>0002</v>
          </cell>
          <cell r="G4703" t="str">
            <v>50301</v>
          </cell>
          <cell r="H4703" t="str">
            <v>付FUR053#发票运费</v>
          </cell>
          <cell r="I4703" t="b">
            <v>1</v>
          </cell>
          <cell r="J4703">
            <v>3494.48</v>
          </cell>
          <cell r="K4703">
            <v>0</v>
          </cell>
          <cell r="L4703">
            <v>0</v>
          </cell>
        </row>
        <row r="4704">
          <cell r="A4704" t="str">
            <v>02</v>
          </cell>
          <cell r="B4704" t="str">
            <v>19</v>
          </cell>
          <cell r="C4704" t="str">
            <v>02</v>
          </cell>
          <cell r="D4704" t="str">
            <v>4</v>
          </cell>
          <cell r="E4704" t="str">
            <v>0025</v>
          </cell>
          <cell r="F4704" t="str">
            <v>0001</v>
          </cell>
          <cell r="G4704" t="str">
            <v>50301</v>
          </cell>
          <cell r="H4704" t="str">
            <v>付运费</v>
          </cell>
          <cell r="I4704" t="b">
            <v>1</v>
          </cell>
          <cell r="J4704">
            <v>41545.79</v>
          </cell>
          <cell r="K4704">
            <v>0</v>
          </cell>
          <cell r="L4704">
            <v>0</v>
          </cell>
        </row>
        <row r="4705">
          <cell r="A4705" t="str">
            <v>02</v>
          </cell>
          <cell r="B4705" t="str">
            <v>19</v>
          </cell>
          <cell r="C4705" t="str">
            <v>02</v>
          </cell>
          <cell r="D4705" t="str">
            <v>4</v>
          </cell>
          <cell r="E4705" t="str">
            <v>0026</v>
          </cell>
          <cell r="F4705" t="str">
            <v>0001</v>
          </cell>
          <cell r="G4705" t="str">
            <v>50301</v>
          </cell>
          <cell r="H4705" t="str">
            <v>付运费</v>
          </cell>
          <cell r="I4705" t="b">
            <v>1</v>
          </cell>
          <cell r="J4705">
            <v>9632.92</v>
          </cell>
          <cell r="K4705">
            <v>0</v>
          </cell>
          <cell r="L4705">
            <v>0</v>
          </cell>
        </row>
        <row r="4706">
          <cell r="A4706" t="str">
            <v>02</v>
          </cell>
          <cell r="B4706" t="str">
            <v>22</v>
          </cell>
          <cell r="C4706" t="str">
            <v>02</v>
          </cell>
          <cell r="D4706" t="str">
            <v>4</v>
          </cell>
          <cell r="E4706" t="str">
            <v>0034</v>
          </cell>
          <cell r="F4706" t="str">
            <v>0001</v>
          </cell>
          <cell r="G4706" t="str">
            <v>50301</v>
          </cell>
          <cell r="H4706" t="str">
            <v>付FVE9961.9955#发票陆运费</v>
          </cell>
          <cell r="I4706" t="b">
            <v>1</v>
          </cell>
          <cell r="J4706">
            <v>3682.8</v>
          </cell>
          <cell r="K4706">
            <v>0</v>
          </cell>
          <cell r="L4706">
            <v>0</v>
          </cell>
        </row>
        <row r="4707">
          <cell r="A4707" t="str">
            <v>02</v>
          </cell>
          <cell r="B4707" t="str">
            <v>22</v>
          </cell>
          <cell r="C4707" t="str">
            <v>02</v>
          </cell>
          <cell r="D4707" t="str">
            <v>4</v>
          </cell>
          <cell r="E4707" t="str">
            <v>0035</v>
          </cell>
          <cell r="F4707" t="str">
            <v>0001</v>
          </cell>
          <cell r="G4707" t="str">
            <v>50301</v>
          </cell>
          <cell r="H4707" t="str">
            <v>付FVE9960.95.62#发票陆运费</v>
          </cell>
          <cell r="I4707" t="b">
            <v>1</v>
          </cell>
          <cell r="J4707">
            <v>10044</v>
          </cell>
          <cell r="K4707">
            <v>0</v>
          </cell>
          <cell r="L4707">
            <v>0</v>
          </cell>
        </row>
        <row r="4708">
          <cell r="A4708" t="str">
            <v>02</v>
          </cell>
          <cell r="B4708" t="str">
            <v>22</v>
          </cell>
          <cell r="C4708" t="str">
            <v>02</v>
          </cell>
          <cell r="D4708" t="str">
            <v>4</v>
          </cell>
          <cell r="E4708" t="str">
            <v>0036</v>
          </cell>
          <cell r="F4708" t="str">
            <v>0001</v>
          </cell>
          <cell r="G4708" t="str">
            <v>50301</v>
          </cell>
          <cell r="H4708" t="str">
            <v>付FVE9967#发票陆运费</v>
          </cell>
          <cell r="I4708" t="b">
            <v>1</v>
          </cell>
          <cell r="J4708">
            <v>16740</v>
          </cell>
          <cell r="K4708">
            <v>0</v>
          </cell>
          <cell r="L4708">
            <v>0</v>
          </cell>
        </row>
        <row r="4709">
          <cell r="A4709" t="str">
            <v>02</v>
          </cell>
          <cell r="B4709" t="str">
            <v>22</v>
          </cell>
          <cell r="C4709" t="str">
            <v>02</v>
          </cell>
          <cell r="D4709" t="str">
            <v>4</v>
          </cell>
          <cell r="E4709" t="str">
            <v>0037</v>
          </cell>
          <cell r="F4709" t="str">
            <v>0001</v>
          </cell>
          <cell r="G4709" t="str">
            <v>50301</v>
          </cell>
          <cell r="H4709" t="str">
            <v>付FVE9957#发票陆运费</v>
          </cell>
          <cell r="I4709" t="b">
            <v>1</v>
          </cell>
          <cell r="J4709">
            <v>920.7</v>
          </cell>
          <cell r="K4709">
            <v>0</v>
          </cell>
          <cell r="L4709">
            <v>0</v>
          </cell>
        </row>
        <row r="4710">
          <cell r="A4710" t="str">
            <v>02</v>
          </cell>
          <cell r="B4710" t="str">
            <v>22</v>
          </cell>
          <cell r="C4710" t="str">
            <v>02</v>
          </cell>
          <cell r="D4710" t="str">
            <v>4</v>
          </cell>
          <cell r="E4710" t="str">
            <v>0039</v>
          </cell>
          <cell r="F4710" t="str">
            <v>0001</v>
          </cell>
          <cell r="G4710" t="str">
            <v>50301</v>
          </cell>
          <cell r="H4710" t="str">
            <v>付FVE9968/70#发票陆运费</v>
          </cell>
          <cell r="I4710" t="b">
            <v>1</v>
          </cell>
          <cell r="J4710">
            <v>18581.400000000001</v>
          </cell>
          <cell r="K4710">
            <v>0</v>
          </cell>
          <cell r="L4710">
            <v>0</v>
          </cell>
        </row>
        <row r="4711">
          <cell r="A4711" t="str">
            <v>02</v>
          </cell>
          <cell r="B4711" t="str">
            <v>29</v>
          </cell>
          <cell r="C4711" t="str">
            <v>02</v>
          </cell>
          <cell r="D4711" t="str">
            <v>5</v>
          </cell>
          <cell r="E4711" t="str">
            <v>0057</v>
          </cell>
          <cell r="F4711" t="str">
            <v>0002</v>
          </cell>
          <cell r="G4711" t="str">
            <v>50301</v>
          </cell>
          <cell r="H4711" t="str">
            <v>结转本月销售费用</v>
          </cell>
          <cell r="I4711" t="b">
            <v>0</v>
          </cell>
          <cell r="J4711">
            <v>106946.11</v>
          </cell>
          <cell r="K4711">
            <v>0</v>
          </cell>
          <cell r="L4711">
            <v>0</v>
          </cell>
        </row>
        <row r="4712">
          <cell r="A4712" t="str">
            <v>03</v>
          </cell>
          <cell r="B4712" t="str">
            <v>17</v>
          </cell>
          <cell r="C4712" t="str">
            <v>03</v>
          </cell>
          <cell r="D4712" t="str">
            <v>2</v>
          </cell>
          <cell r="E4712" t="str">
            <v>0014</v>
          </cell>
          <cell r="F4712" t="str">
            <v>0002</v>
          </cell>
          <cell r="G4712" t="str">
            <v>50301</v>
          </cell>
          <cell r="H4712" t="str">
            <v>付运费</v>
          </cell>
          <cell r="I4712" t="b">
            <v>1</v>
          </cell>
          <cell r="J4712">
            <v>1395</v>
          </cell>
          <cell r="K4712">
            <v>0</v>
          </cell>
          <cell r="L4712">
            <v>0</v>
          </cell>
        </row>
        <row r="4713">
          <cell r="A4713" t="str">
            <v>03</v>
          </cell>
          <cell r="B4713" t="str">
            <v>14</v>
          </cell>
          <cell r="C4713" t="str">
            <v>03</v>
          </cell>
          <cell r="D4713" t="str">
            <v>4</v>
          </cell>
          <cell r="E4713" t="str">
            <v>0018</v>
          </cell>
          <cell r="F4713" t="str">
            <v>0002</v>
          </cell>
          <cell r="G4713" t="str">
            <v>50301</v>
          </cell>
          <cell r="H4713" t="str">
            <v>付出口陆运费(FVE9975.59.76)</v>
          </cell>
          <cell r="I4713" t="b">
            <v>1</v>
          </cell>
          <cell r="J4713">
            <v>31248</v>
          </cell>
          <cell r="K4713">
            <v>0</v>
          </cell>
          <cell r="L4713">
            <v>0</v>
          </cell>
        </row>
        <row r="4714">
          <cell r="A4714" t="str">
            <v>03</v>
          </cell>
          <cell r="B4714" t="str">
            <v>15</v>
          </cell>
          <cell r="C4714" t="str">
            <v>03</v>
          </cell>
          <cell r="D4714" t="str">
            <v>4</v>
          </cell>
          <cell r="E4714" t="str">
            <v>0020</v>
          </cell>
          <cell r="F4714" t="str">
            <v>0001</v>
          </cell>
          <cell r="G4714" t="str">
            <v>50301</v>
          </cell>
          <cell r="H4714" t="str">
            <v>付出口陆运费(FVE9971)</v>
          </cell>
          <cell r="I4714" t="b">
            <v>1</v>
          </cell>
          <cell r="J4714">
            <v>15066</v>
          </cell>
          <cell r="K4714">
            <v>0</v>
          </cell>
          <cell r="L4714">
            <v>0</v>
          </cell>
        </row>
        <row r="4715">
          <cell r="A4715" t="str">
            <v>03</v>
          </cell>
          <cell r="B4715" t="str">
            <v>30</v>
          </cell>
          <cell r="C4715" t="str">
            <v>03</v>
          </cell>
          <cell r="D4715" t="str">
            <v>5</v>
          </cell>
          <cell r="E4715" t="str">
            <v>0031</v>
          </cell>
          <cell r="F4715" t="str">
            <v>0002</v>
          </cell>
          <cell r="G4715" t="str">
            <v>50301</v>
          </cell>
          <cell r="H4715" t="str">
            <v>结转本月销售费用</v>
          </cell>
          <cell r="I4715" t="b">
            <v>0</v>
          </cell>
          <cell r="J4715">
            <v>47709</v>
          </cell>
          <cell r="K4715">
            <v>0</v>
          </cell>
          <cell r="L4715">
            <v>0</v>
          </cell>
        </row>
        <row r="4716">
          <cell r="A4716" t="str">
            <v>04</v>
          </cell>
          <cell r="B4716" t="str">
            <v>05</v>
          </cell>
          <cell r="C4716" t="str">
            <v>04</v>
          </cell>
          <cell r="D4716" t="str">
            <v>2</v>
          </cell>
          <cell r="E4716" t="str">
            <v>0004</v>
          </cell>
          <cell r="F4716" t="str">
            <v>0001</v>
          </cell>
          <cell r="G4716" t="str">
            <v>50301</v>
          </cell>
          <cell r="H4716" t="str">
            <v>付运费</v>
          </cell>
          <cell r="I4716" t="b">
            <v>1</v>
          </cell>
          <cell r="J4716">
            <v>2284.2800000000002</v>
          </cell>
          <cell r="K4716">
            <v>0</v>
          </cell>
          <cell r="L4716">
            <v>0</v>
          </cell>
        </row>
        <row r="4717">
          <cell r="A4717" t="str">
            <v>04</v>
          </cell>
          <cell r="B4717" t="str">
            <v>16</v>
          </cell>
          <cell r="C4717" t="str">
            <v>04</v>
          </cell>
          <cell r="D4717" t="str">
            <v>4</v>
          </cell>
          <cell r="E4717" t="str">
            <v>0015</v>
          </cell>
          <cell r="F4717" t="str">
            <v>0001</v>
          </cell>
          <cell r="G4717" t="str">
            <v>50301</v>
          </cell>
          <cell r="H4717" t="str">
            <v>付FVE9977#发票陆运费</v>
          </cell>
          <cell r="I4717" t="b">
            <v>1</v>
          </cell>
          <cell r="J4717">
            <v>910.47</v>
          </cell>
          <cell r="K4717">
            <v>0</v>
          </cell>
          <cell r="L4717">
            <v>0</v>
          </cell>
        </row>
        <row r="4718">
          <cell r="A4718" t="str">
            <v>04</v>
          </cell>
          <cell r="B4718" t="str">
            <v>16</v>
          </cell>
          <cell r="C4718" t="str">
            <v>04</v>
          </cell>
          <cell r="D4718" t="str">
            <v>4</v>
          </cell>
          <cell r="E4718" t="str">
            <v>0016</v>
          </cell>
          <cell r="F4718" t="str">
            <v>0001</v>
          </cell>
          <cell r="G4718" t="str">
            <v>50301</v>
          </cell>
          <cell r="H4718" t="str">
            <v>付FVE9986#.9979#发票陆运费</v>
          </cell>
          <cell r="I4718" t="b">
            <v>1</v>
          </cell>
          <cell r="J4718">
            <v>10183.5</v>
          </cell>
          <cell r="K4718">
            <v>0</v>
          </cell>
          <cell r="L4718">
            <v>0</v>
          </cell>
        </row>
        <row r="4719">
          <cell r="A4719" t="str">
            <v>04</v>
          </cell>
          <cell r="B4719" t="str">
            <v>16</v>
          </cell>
          <cell r="C4719" t="str">
            <v>04</v>
          </cell>
          <cell r="D4719" t="str">
            <v>4</v>
          </cell>
          <cell r="E4719" t="str">
            <v>0017</v>
          </cell>
          <cell r="F4719" t="str">
            <v>0001</v>
          </cell>
          <cell r="G4719" t="str">
            <v>50301</v>
          </cell>
          <cell r="H4719" t="str">
            <v>付FVE9984#.9982#发票陆运费</v>
          </cell>
          <cell r="I4719" t="b">
            <v>1</v>
          </cell>
          <cell r="J4719">
            <v>26784</v>
          </cell>
          <cell r="K4719">
            <v>0</v>
          </cell>
          <cell r="L4719">
            <v>0</v>
          </cell>
        </row>
        <row r="4720">
          <cell r="A4720" t="str">
            <v>04</v>
          </cell>
          <cell r="B4720" t="str">
            <v>16</v>
          </cell>
          <cell r="C4720" t="str">
            <v>04</v>
          </cell>
          <cell r="D4720" t="str">
            <v>4</v>
          </cell>
          <cell r="E4720" t="str">
            <v>0017</v>
          </cell>
          <cell r="F4720" t="str">
            <v>0003</v>
          </cell>
          <cell r="G4720" t="str">
            <v>50301</v>
          </cell>
          <cell r="H4720" t="str">
            <v>付FVE9964#.9980#发票运费</v>
          </cell>
          <cell r="I4720" t="b">
            <v>1</v>
          </cell>
          <cell r="J4720">
            <v>15066</v>
          </cell>
          <cell r="K4720">
            <v>0</v>
          </cell>
          <cell r="L4720">
            <v>0</v>
          </cell>
        </row>
        <row r="4721">
          <cell r="A4721" t="str">
            <v>04</v>
          </cell>
          <cell r="B4721" t="str">
            <v>19</v>
          </cell>
          <cell r="C4721" t="str">
            <v>04</v>
          </cell>
          <cell r="D4721" t="str">
            <v>4</v>
          </cell>
          <cell r="E4721" t="str">
            <v>0018</v>
          </cell>
          <cell r="F4721" t="str">
            <v>0002</v>
          </cell>
          <cell r="G4721" t="str">
            <v>50301</v>
          </cell>
          <cell r="H4721" t="str">
            <v>付FVE9981#发票运费</v>
          </cell>
          <cell r="I4721" t="b">
            <v>1</v>
          </cell>
          <cell r="J4721">
            <v>920.7</v>
          </cell>
          <cell r="K4721">
            <v>0</v>
          </cell>
          <cell r="L4721">
            <v>0</v>
          </cell>
        </row>
        <row r="4722">
          <cell r="A4722" t="str">
            <v>04</v>
          </cell>
          <cell r="B4722" t="str">
            <v>29</v>
          </cell>
          <cell r="C4722" t="str">
            <v>04</v>
          </cell>
          <cell r="D4722" t="str">
            <v>5</v>
          </cell>
          <cell r="E4722" t="str">
            <v>0037</v>
          </cell>
          <cell r="F4722" t="str">
            <v>0002</v>
          </cell>
          <cell r="G4722" t="str">
            <v>50301</v>
          </cell>
          <cell r="H4722" t="str">
            <v>结转本月销售费用</v>
          </cell>
          <cell r="I4722" t="b">
            <v>0</v>
          </cell>
          <cell r="J4722">
            <v>56148.95</v>
          </cell>
          <cell r="K4722">
            <v>0</v>
          </cell>
          <cell r="L4722">
            <v>0</v>
          </cell>
        </row>
        <row r="4723">
          <cell r="A4723" t="str">
            <v>05</v>
          </cell>
          <cell r="B4723" t="str">
            <v>20</v>
          </cell>
          <cell r="C4723" t="str">
            <v>05</v>
          </cell>
          <cell r="D4723" t="str">
            <v>2</v>
          </cell>
          <cell r="E4723" t="str">
            <v>0013</v>
          </cell>
          <cell r="F4723" t="str">
            <v>0001</v>
          </cell>
          <cell r="G4723" t="str">
            <v>50301</v>
          </cell>
          <cell r="H4723" t="str">
            <v>付运费</v>
          </cell>
          <cell r="I4723" t="b">
            <v>1</v>
          </cell>
          <cell r="J4723">
            <v>1067.6400000000001</v>
          </cell>
          <cell r="K4723">
            <v>0</v>
          </cell>
          <cell r="L4723">
            <v>0</v>
          </cell>
        </row>
        <row r="4724">
          <cell r="A4724" t="str">
            <v>05</v>
          </cell>
          <cell r="B4724" t="str">
            <v>09</v>
          </cell>
          <cell r="C4724" t="str">
            <v>05</v>
          </cell>
          <cell r="D4724" t="str">
            <v>4</v>
          </cell>
          <cell r="E4724" t="str">
            <v>0002</v>
          </cell>
          <cell r="F4724" t="str">
            <v>0002</v>
          </cell>
          <cell r="G4724" t="str">
            <v>50301</v>
          </cell>
          <cell r="H4724" t="str">
            <v>付果汁运费</v>
          </cell>
          <cell r="I4724" t="b">
            <v>1</v>
          </cell>
          <cell r="J4724">
            <v>1860</v>
          </cell>
          <cell r="K4724">
            <v>0</v>
          </cell>
          <cell r="L4724">
            <v>0</v>
          </cell>
        </row>
        <row r="4725">
          <cell r="A4725" t="str">
            <v>05</v>
          </cell>
          <cell r="B4725" t="str">
            <v>11</v>
          </cell>
          <cell r="C4725" t="str">
            <v>05</v>
          </cell>
          <cell r="D4725" t="str">
            <v>4</v>
          </cell>
          <cell r="E4725" t="str">
            <v>0004</v>
          </cell>
          <cell r="F4725" t="str">
            <v>0002</v>
          </cell>
          <cell r="G4725" t="str">
            <v>50301</v>
          </cell>
          <cell r="H4725" t="str">
            <v>付FVE9987#发票运费</v>
          </cell>
          <cell r="I4725" t="b">
            <v>1</v>
          </cell>
          <cell r="J4725">
            <v>9207</v>
          </cell>
          <cell r="K4725">
            <v>0</v>
          </cell>
          <cell r="L4725">
            <v>0</v>
          </cell>
        </row>
        <row r="4726">
          <cell r="A4726" t="str">
            <v>05</v>
          </cell>
          <cell r="B4726" t="str">
            <v>15</v>
          </cell>
          <cell r="C4726" t="str">
            <v>05</v>
          </cell>
          <cell r="D4726" t="str">
            <v>4</v>
          </cell>
          <cell r="E4726" t="str">
            <v>0009</v>
          </cell>
          <cell r="F4726" t="str">
            <v>0002</v>
          </cell>
          <cell r="G4726" t="str">
            <v>50301</v>
          </cell>
          <cell r="H4726" t="str">
            <v>付FVE9991#.9980#发票运费</v>
          </cell>
          <cell r="I4726" t="b">
            <v>1</v>
          </cell>
          <cell r="J4726">
            <v>2106.4499999999998</v>
          </cell>
          <cell r="K4726">
            <v>0</v>
          </cell>
          <cell r="L4726">
            <v>0</v>
          </cell>
        </row>
        <row r="4727">
          <cell r="A4727" t="str">
            <v>05</v>
          </cell>
          <cell r="B4727" t="str">
            <v>31</v>
          </cell>
          <cell r="C4727" t="str">
            <v>05</v>
          </cell>
          <cell r="D4727" t="str">
            <v>5</v>
          </cell>
          <cell r="E4727" t="str">
            <v>0038</v>
          </cell>
          <cell r="F4727" t="str">
            <v>0002</v>
          </cell>
          <cell r="G4727" t="str">
            <v>50301</v>
          </cell>
          <cell r="H4727" t="str">
            <v>结转本月销售费用</v>
          </cell>
          <cell r="I4727" t="b">
            <v>0</v>
          </cell>
          <cell r="J4727">
            <v>14241.09</v>
          </cell>
          <cell r="K4727">
            <v>0</v>
          </cell>
          <cell r="L4727">
            <v>0</v>
          </cell>
        </row>
        <row r="4728">
          <cell r="A4728" t="str">
            <v>06</v>
          </cell>
          <cell r="B4728" t="str">
            <v>15</v>
          </cell>
          <cell r="C4728" t="str">
            <v>06</v>
          </cell>
          <cell r="D4728" t="str">
            <v>4</v>
          </cell>
          <cell r="E4728" t="str">
            <v>0001</v>
          </cell>
          <cell r="F4728" t="str">
            <v>0001</v>
          </cell>
          <cell r="G4728" t="str">
            <v>50301</v>
          </cell>
          <cell r="H4728" t="str">
            <v>付FVE9993.FVE99101#发票运费</v>
          </cell>
          <cell r="I4728" t="b">
            <v>1</v>
          </cell>
          <cell r="J4728">
            <v>26486.400000000001</v>
          </cell>
          <cell r="K4728">
            <v>0</v>
          </cell>
          <cell r="L4728">
            <v>0</v>
          </cell>
        </row>
        <row r="4729">
          <cell r="A4729" t="str">
            <v>06</v>
          </cell>
          <cell r="B4729" t="str">
            <v>15</v>
          </cell>
          <cell r="C4729" t="str">
            <v>06</v>
          </cell>
          <cell r="D4729" t="str">
            <v>4</v>
          </cell>
          <cell r="E4729" t="str">
            <v>0001</v>
          </cell>
          <cell r="F4729" t="str">
            <v>0002</v>
          </cell>
          <cell r="G4729" t="str">
            <v>50301</v>
          </cell>
          <cell r="H4729" t="str">
            <v>付FVE9989.FVE9991/9992#运费</v>
          </cell>
          <cell r="I4729" t="b">
            <v>1</v>
          </cell>
          <cell r="J4729">
            <v>4603.5</v>
          </cell>
          <cell r="K4729">
            <v>0</v>
          </cell>
          <cell r="L4729">
            <v>0</v>
          </cell>
        </row>
        <row r="4730">
          <cell r="A4730" t="str">
            <v>06</v>
          </cell>
          <cell r="B4730" t="str">
            <v>15</v>
          </cell>
          <cell r="C4730" t="str">
            <v>06</v>
          </cell>
          <cell r="D4730" t="str">
            <v>4</v>
          </cell>
          <cell r="E4730" t="str">
            <v>0002</v>
          </cell>
          <cell r="F4730" t="str">
            <v>0001</v>
          </cell>
          <cell r="G4730" t="str">
            <v>50301</v>
          </cell>
          <cell r="H4730" t="str">
            <v>付FVE9996#发票陆运费</v>
          </cell>
          <cell r="I4730" t="b">
            <v>1</v>
          </cell>
          <cell r="J4730">
            <v>1841.4</v>
          </cell>
          <cell r="K4730">
            <v>0</v>
          </cell>
          <cell r="L4730">
            <v>0</v>
          </cell>
        </row>
        <row r="4731">
          <cell r="A4731" t="str">
            <v>06</v>
          </cell>
          <cell r="B4731" t="str">
            <v>15</v>
          </cell>
          <cell r="C4731" t="str">
            <v>06</v>
          </cell>
          <cell r="D4731" t="str">
            <v>4</v>
          </cell>
          <cell r="E4731" t="str">
            <v>0002</v>
          </cell>
          <cell r="F4731" t="str">
            <v>0002</v>
          </cell>
          <cell r="G4731" t="str">
            <v>50301</v>
          </cell>
          <cell r="H4731" t="str">
            <v>付FVE99102/FVE99103#发票运费</v>
          </cell>
          <cell r="I4731" t="b">
            <v>1</v>
          </cell>
          <cell r="J4731">
            <v>7254</v>
          </cell>
          <cell r="K4731">
            <v>0</v>
          </cell>
          <cell r="L4731">
            <v>0</v>
          </cell>
        </row>
        <row r="4732">
          <cell r="A4732" t="str">
            <v>06</v>
          </cell>
          <cell r="B4732" t="str">
            <v>15</v>
          </cell>
          <cell r="C4732" t="str">
            <v>06</v>
          </cell>
          <cell r="D4732" t="str">
            <v>4</v>
          </cell>
          <cell r="E4732" t="str">
            <v>0003</v>
          </cell>
          <cell r="F4732" t="str">
            <v>0001</v>
          </cell>
          <cell r="G4732" t="str">
            <v>50301</v>
          </cell>
          <cell r="H4732" t="str">
            <v>付FVE9975发票陆运费</v>
          </cell>
          <cell r="I4732" t="b">
            <v>1</v>
          </cell>
          <cell r="J4732">
            <v>837</v>
          </cell>
          <cell r="K4732">
            <v>0</v>
          </cell>
          <cell r="L4732">
            <v>0</v>
          </cell>
        </row>
        <row r="4733">
          <cell r="A4733" t="str">
            <v>06</v>
          </cell>
          <cell r="B4733" t="str">
            <v>25</v>
          </cell>
          <cell r="C4733" t="str">
            <v>06</v>
          </cell>
          <cell r="D4733" t="str">
            <v>5</v>
          </cell>
          <cell r="E4733" t="str">
            <v>0027</v>
          </cell>
          <cell r="F4733" t="str">
            <v>0002</v>
          </cell>
          <cell r="G4733" t="str">
            <v>50301</v>
          </cell>
          <cell r="H4733" t="str">
            <v>结转本月销售费用</v>
          </cell>
          <cell r="I4733" t="b">
            <v>0</v>
          </cell>
          <cell r="J4733">
            <v>41022.300000000003</v>
          </cell>
          <cell r="K4733">
            <v>0</v>
          </cell>
          <cell r="L4733">
            <v>0</v>
          </cell>
        </row>
        <row r="4734">
          <cell r="A4734" t="str">
            <v>08</v>
          </cell>
          <cell r="B4734" t="str">
            <v>01</v>
          </cell>
          <cell r="C4734" t="str">
            <v>08</v>
          </cell>
          <cell r="D4734" t="str">
            <v>2</v>
          </cell>
          <cell r="E4734" t="str">
            <v>0001</v>
          </cell>
          <cell r="F4734" t="str">
            <v>0001</v>
          </cell>
          <cell r="G4734" t="str">
            <v>50301</v>
          </cell>
          <cell r="H4734" t="str">
            <v>付运费</v>
          </cell>
          <cell r="I4734" t="b">
            <v>1</v>
          </cell>
          <cell r="J4734">
            <v>1245</v>
          </cell>
          <cell r="K4734">
            <v>0</v>
          </cell>
          <cell r="L4734">
            <v>0</v>
          </cell>
        </row>
        <row r="4735">
          <cell r="A4735" t="str">
            <v>08</v>
          </cell>
          <cell r="B4735" t="str">
            <v>03</v>
          </cell>
          <cell r="C4735" t="str">
            <v>08</v>
          </cell>
          <cell r="D4735" t="str">
            <v>2</v>
          </cell>
          <cell r="E4735" t="str">
            <v>0002</v>
          </cell>
          <cell r="F4735" t="str">
            <v>0002</v>
          </cell>
          <cell r="G4735" t="str">
            <v>50301</v>
          </cell>
          <cell r="H4735" t="str">
            <v>付吊车搬运费</v>
          </cell>
          <cell r="I4735" t="b">
            <v>1</v>
          </cell>
          <cell r="J4735">
            <v>200</v>
          </cell>
          <cell r="K4735">
            <v>0</v>
          </cell>
          <cell r="L4735">
            <v>0</v>
          </cell>
        </row>
        <row r="4736">
          <cell r="A4736" t="str">
            <v>08</v>
          </cell>
          <cell r="B4736" t="str">
            <v>01</v>
          </cell>
          <cell r="C4736" t="str">
            <v>08</v>
          </cell>
          <cell r="D4736" t="str">
            <v>4</v>
          </cell>
          <cell r="E4736" t="str">
            <v>0002</v>
          </cell>
          <cell r="F4736" t="str">
            <v>0001</v>
          </cell>
          <cell r="G4736" t="str">
            <v>50301</v>
          </cell>
          <cell r="H4736" t="str">
            <v>付FVE99104#等发票运费</v>
          </cell>
          <cell r="I4736" t="b">
            <v>1</v>
          </cell>
          <cell r="J4736">
            <v>5942.7</v>
          </cell>
          <cell r="K4736">
            <v>0</v>
          </cell>
          <cell r="L4736">
            <v>0</v>
          </cell>
        </row>
        <row r="4737">
          <cell r="A4737" t="str">
            <v>08</v>
          </cell>
          <cell r="B4737" t="str">
            <v>06</v>
          </cell>
          <cell r="C4737" t="str">
            <v>08</v>
          </cell>
          <cell r="D4737" t="str">
            <v>4</v>
          </cell>
          <cell r="E4737" t="str">
            <v>0013</v>
          </cell>
          <cell r="F4737" t="str">
            <v>0001</v>
          </cell>
          <cell r="G4737" t="str">
            <v>50301</v>
          </cell>
          <cell r="H4737" t="str">
            <v>付FVE99109#发票陆运费</v>
          </cell>
          <cell r="I4737" t="b">
            <v>1</v>
          </cell>
          <cell r="J4737">
            <v>5580</v>
          </cell>
          <cell r="K4737">
            <v>0</v>
          </cell>
          <cell r="L4737">
            <v>0</v>
          </cell>
        </row>
        <row r="4738">
          <cell r="A4738" t="str">
            <v>08</v>
          </cell>
          <cell r="B4738" t="str">
            <v>15</v>
          </cell>
          <cell r="C4738" t="str">
            <v>08</v>
          </cell>
          <cell r="D4738" t="str">
            <v>4</v>
          </cell>
          <cell r="E4738" t="str">
            <v>0020</v>
          </cell>
          <cell r="F4738" t="str">
            <v>0001</v>
          </cell>
          <cell r="G4738" t="str">
            <v>50301</v>
          </cell>
          <cell r="H4738" t="str">
            <v>付FVE99112/99113#发票运费</v>
          </cell>
          <cell r="I4738" t="b">
            <v>1</v>
          </cell>
          <cell r="J4738">
            <v>1841.4</v>
          </cell>
          <cell r="K4738">
            <v>0</v>
          </cell>
          <cell r="L4738">
            <v>0</v>
          </cell>
        </row>
        <row r="4739">
          <cell r="A4739" t="str">
            <v>08</v>
          </cell>
          <cell r="B4739" t="str">
            <v>15</v>
          </cell>
          <cell r="C4739" t="str">
            <v>08</v>
          </cell>
          <cell r="D4739" t="str">
            <v>4</v>
          </cell>
          <cell r="E4739" t="str">
            <v>0020</v>
          </cell>
          <cell r="F4739" t="str">
            <v>0002</v>
          </cell>
          <cell r="G4739" t="str">
            <v>50301</v>
          </cell>
          <cell r="H4739" t="str">
            <v>付ZLB06##发票运费</v>
          </cell>
          <cell r="I4739" t="b">
            <v>1</v>
          </cell>
          <cell r="J4739">
            <v>4603.5</v>
          </cell>
          <cell r="K4739">
            <v>0</v>
          </cell>
          <cell r="L4739">
            <v>0</v>
          </cell>
        </row>
        <row r="4740">
          <cell r="A4740" t="str">
            <v>08</v>
          </cell>
          <cell r="B4740" t="str">
            <v>31</v>
          </cell>
          <cell r="C4740" t="str">
            <v>08</v>
          </cell>
          <cell r="D4740" t="str">
            <v>5</v>
          </cell>
          <cell r="E4740" t="str">
            <v>0034</v>
          </cell>
          <cell r="F4740" t="str">
            <v>0002</v>
          </cell>
          <cell r="G4740" t="str">
            <v>50301</v>
          </cell>
          <cell r="H4740" t="str">
            <v>结转本月销售费用</v>
          </cell>
          <cell r="I4740" t="b">
            <v>0</v>
          </cell>
          <cell r="J4740">
            <v>19412.599999999999</v>
          </cell>
          <cell r="K4740">
            <v>0</v>
          </cell>
          <cell r="L4740">
            <v>0</v>
          </cell>
        </row>
        <row r="4741">
          <cell r="A4741" t="str">
            <v>09</v>
          </cell>
          <cell r="B4741" t="str">
            <v>23</v>
          </cell>
          <cell r="C4741" t="str">
            <v>09</v>
          </cell>
          <cell r="D4741" t="str">
            <v>4</v>
          </cell>
          <cell r="E4741" t="str">
            <v>0024</v>
          </cell>
          <cell r="F4741" t="str">
            <v>0001</v>
          </cell>
          <cell r="G4741" t="str">
            <v>50301</v>
          </cell>
          <cell r="H4741" t="str">
            <v>付ZLA00011#发票陆运费</v>
          </cell>
          <cell r="I4741" t="b">
            <v>1</v>
          </cell>
          <cell r="J4741">
            <v>2069.25</v>
          </cell>
          <cell r="K4741">
            <v>0</v>
          </cell>
          <cell r="L4741">
            <v>0</v>
          </cell>
        </row>
        <row r="4742">
          <cell r="A4742" t="str">
            <v>09</v>
          </cell>
          <cell r="B4742" t="str">
            <v>23</v>
          </cell>
          <cell r="C4742" t="str">
            <v>09</v>
          </cell>
          <cell r="D4742" t="str">
            <v>4</v>
          </cell>
          <cell r="E4742" t="str">
            <v>0024</v>
          </cell>
          <cell r="F4742" t="str">
            <v>0002</v>
          </cell>
          <cell r="G4742" t="str">
            <v>50301</v>
          </cell>
          <cell r="H4742" t="str">
            <v>付ZLA00010#发票陆运费</v>
          </cell>
          <cell r="I4742" t="b">
            <v>1</v>
          </cell>
          <cell r="J4742">
            <v>2069.25</v>
          </cell>
          <cell r="K4742">
            <v>0</v>
          </cell>
          <cell r="L4742">
            <v>0</v>
          </cell>
        </row>
        <row r="4743">
          <cell r="A4743" t="str">
            <v>09</v>
          </cell>
          <cell r="B4743" t="str">
            <v>23</v>
          </cell>
          <cell r="C4743" t="str">
            <v>09</v>
          </cell>
          <cell r="D4743" t="str">
            <v>4</v>
          </cell>
          <cell r="E4743" t="str">
            <v>0024</v>
          </cell>
          <cell r="F4743" t="str">
            <v>0003</v>
          </cell>
          <cell r="G4743" t="str">
            <v>50301</v>
          </cell>
          <cell r="H4743" t="str">
            <v>付FVE99126#发票陆运费</v>
          </cell>
          <cell r="I4743" t="b">
            <v>1</v>
          </cell>
          <cell r="J4743">
            <v>2445.9</v>
          </cell>
          <cell r="K4743">
            <v>0</v>
          </cell>
          <cell r="L4743">
            <v>0</v>
          </cell>
        </row>
        <row r="4744">
          <cell r="A4744" t="str">
            <v>09</v>
          </cell>
          <cell r="B4744" t="str">
            <v>30</v>
          </cell>
          <cell r="C4744" t="str">
            <v>09</v>
          </cell>
          <cell r="D4744" t="str">
            <v>5</v>
          </cell>
          <cell r="E4744" t="str">
            <v>0039</v>
          </cell>
          <cell r="F4744" t="str">
            <v>0002</v>
          </cell>
          <cell r="G4744" t="str">
            <v>50301</v>
          </cell>
          <cell r="H4744" t="str">
            <v>结转本月销售费用</v>
          </cell>
          <cell r="I4744" t="b">
            <v>0</v>
          </cell>
          <cell r="J4744">
            <v>6584.4</v>
          </cell>
          <cell r="K4744">
            <v>0</v>
          </cell>
          <cell r="L4744">
            <v>0</v>
          </cell>
        </row>
        <row r="4745">
          <cell r="A4745" t="str">
            <v>10</v>
          </cell>
          <cell r="B4745" t="str">
            <v>17</v>
          </cell>
          <cell r="C4745" t="str">
            <v>10</v>
          </cell>
          <cell r="D4745" t="str">
            <v>4</v>
          </cell>
          <cell r="E4745" t="str">
            <v>0015</v>
          </cell>
          <cell r="F4745" t="str">
            <v>0001</v>
          </cell>
          <cell r="G4745" t="str">
            <v>50301</v>
          </cell>
          <cell r="H4745" t="str">
            <v>付ZLA00001-00003#发票运费</v>
          </cell>
          <cell r="I4745" t="b">
            <v>1</v>
          </cell>
          <cell r="J4745">
            <v>10044</v>
          </cell>
          <cell r="K4745">
            <v>0</v>
          </cell>
          <cell r="L4745">
            <v>0</v>
          </cell>
        </row>
        <row r="4746">
          <cell r="A4746" t="str">
            <v>10</v>
          </cell>
          <cell r="B4746" t="str">
            <v>17</v>
          </cell>
          <cell r="C4746" t="str">
            <v>10</v>
          </cell>
          <cell r="D4746" t="str">
            <v>4</v>
          </cell>
          <cell r="E4746" t="str">
            <v>0015</v>
          </cell>
          <cell r="F4746" t="str">
            <v>0002</v>
          </cell>
          <cell r="G4746" t="str">
            <v>50301</v>
          </cell>
          <cell r="H4746" t="str">
            <v>付ZLA00005-00008#发票运费</v>
          </cell>
          <cell r="I4746" t="b">
            <v>1</v>
          </cell>
          <cell r="J4746">
            <v>5859</v>
          </cell>
          <cell r="K4746">
            <v>0</v>
          </cell>
          <cell r="L4746">
            <v>0</v>
          </cell>
        </row>
        <row r="4747">
          <cell r="A4747" t="str">
            <v>10</v>
          </cell>
          <cell r="B4747" t="str">
            <v>17</v>
          </cell>
          <cell r="C4747" t="str">
            <v>10</v>
          </cell>
          <cell r="D4747" t="str">
            <v>4</v>
          </cell>
          <cell r="E4747" t="str">
            <v>0015</v>
          </cell>
          <cell r="F4747" t="str">
            <v>0003</v>
          </cell>
          <cell r="G4747" t="str">
            <v>50301</v>
          </cell>
          <cell r="H4747" t="str">
            <v>付ZLA00010-00011#发票运费</v>
          </cell>
          <cell r="I4747" t="b">
            <v>1</v>
          </cell>
          <cell r="J4747">
            <v>8370</v>
          </cell>
          <cell r="K4747">
            <v>0</v>
          </cell>
          <cell r="L4747">
            <v>0</v>
          </cell>
        </row>
        <row r="4748">
          <cell r="A4748" t="str">
            <v>10</v>
          </cell>
          <cell r="B4748" t="str">
            <v>17</v>
          </cell>
          <cell r="C4748" t="str">
            <v>10</v>
          </cell>
          <cell r="D4748" t="str">
            <v>4</v>
          </cell>
          <cell r="E4748" t="str">
            <v>0015</v>
          </cell>
          <cell r="F4748" t="str">
            <v>0004</v>
          </cell>
          <cell r="G4748" t="str">
            <v>50301</v>
          </cell>
          <cell r="H4748" t="str">
            <v>付ZLA00015-00017#发票运费</v>
          </cell>
          <cell r="I4748" t="b">
            <v>1</v>
          </cell>
          <cell r="J4748">
            <v>10881</v>
          </cell>
          <cell r="K4748">
            <v>0</v>
          </cell>
          <cell r="L4748">
            <v>0</v>
          </cell>
        </row>
        <row r="4749">
          <cell r="A4749" t="str">
            <v>10</v>
          </cell>
          <cell r="B4749" t="str">
            <v>17</v>
          </cell>
          <cell r="C4749" t="str">
            <v>10</v>
          </cell>
          <cell r="D4749" t="str">
            <v>4</v>
          </cell>
          <cell r="E4749" t="str">
            <v>0015</v>
          </cell>
          <cell r="F4749" t="str">
            <v>0005</v>
          </cell>
          <cell r="G4749" t="str">
            <v>50301</v>
          </cell>
          <cell r="H4749" t="str">
            <v>付FVE99115-99119#发票运费</v>
          </cell>
          <cell r="I4749" t="b">
            <v>1</v>
          </cell>
          <cell r="J4749">
            <v>16740</v>
          </cell>
          <cell r="K4749">
            <v>0</v>
          </cell>
          <cell r="L4749">
            <v>0</v>
          </cell>
        </row>
        <row r="4750">
          <cell r="A4750" t="str">
            <v>10</v>
          </cell>
          <cell r="B4750" t="str">
            <v>17</v>
          </cell>
          <cell r="C4750" t="str">
            <v>10</v>
          </cell>
          <cell r="D4750" t="str">
            <v>4</v>
          </cell>
          <cell r="E4750" t="str">
            <v>0015</v>
          </cell>
          <cell r="F4750" t="str">
            <v>0006</v>
          </cell>
          <cell r="G4750" t="str">
            <v>50301</v>
          </cell>
          <cell r="H4750" t="str">
            <v>付FVE99121-99124#发票运费</v>
          </cell>
          <cell r="I4750" t="b">
            <v>1</v>
          </cell>
          <cell r="J4750">
            <v>10881</v>
          </cell>
          <cell r="K4750">
            <v>0</v>
          </cell>
          <cell r="L4750">
            <v>0</v>
          </cell>
        </row>
        <row r="4751">
          <cell r="A4751" t="str">
            <v>10</v>
          </cell>
          <cell r="B4751" t="str">
            <v>17</v>
          </cell>
          <cell r="C4751" t="str">
            <v>10</v>
          </cell>
          <cell r="D4751" t="str">
            <v>4</v>
          </cell>
          <cell r="E4751" t="str">
            <v>0015</v>
          </cell>
          <cell r="F4751" t="str">
            <v>0007</v>
          </cell>
          <cell r="G4751" t="str">
            <v>50301</v>
          </cell>
          <cell r="H4751" t="str">
            <v>付FVE99126#发票运费</v>
          </cell>
          <cell r="I4751" t="b">
            <v>1</v>
          </cell>
          <cell r="J4751">
            <v>5022</v>
          </cell>
          <cell r="K4751">
            <v>0</v>
          </cell>
          <cell r="L4751">
            <v>0</v>
          </cell>
        </row>
        <row r="4752">
          <cell r="A4752" t="str">
            <v>10</v>
          </cell>
          <cell r="B4752" t="str">
            <v>17</v>
          </cell>
          <cell r="C4752" t="str">
            <v>10</v>
          </cell>
          <cell r="D4752" t="str">
            <v>4</v>
          </cell>
          <cell r="E4752" t="str">
            <v>0015</v>
          </cell>
          <cell r="F4752" t="str">
            <v>0008</v>
          </cell>
          <cell r="G4752" t="str">
            <v>50301</v>
          </cell>
          <cell r="H4752" t="str">
            <v>付SJA00001#发票运费</v>
          </cell>
          <cell r="I4752" t="b">
            <v>1</v>
          </cell>
          <cell r="J4752">
            <v>1674</v>
          </cell>
          <cell r="K4752">
            <v>0</v>
          </cell>
          <cell r="L4752">
            <v>0</v>
          </cell>
        </row>
        <row r="4753">
          <cell r="A4753" t="str">
            <v>10</v>
          </cell>
          <cell r="B4753" t="str">
            <v>21</v>
          </cell>
          <cell r="C4753" t="str">
            <v>10</v>
          </cell>
          <cell r="D4753" t="str">
            <v>4</v>
          </cell>
          <cell r="E4753" t="str">
            <v>0020</v>
          </cell>
          <cell r="F4753" t="str">
            <v>0001</v>
          </cell>
          <cell r="G4753" t="str">
            <v>50301</v>
          </cell>
          <cell r="H4753" t="str">
            <v>付FVE99125#发票陆运费</v>
          </cell>
          <cell r="I4753" t="b">
            <v>1</v>
          </cell>
          <cell r="J4753">
            <v>920.7</v>
          </cell>
          <cell r="K4753">
            <v>0</v>
          </cell>
          <cell r="L4753">
            <v>0</v>
          </cell>
        </row>
        <row r="4754">
          <cell r="A4754" t="str">
            <v>10</v>
          </cell>
          <cell r="B4754" t="str">
            <v>21</v>
          </cell>
          <cell r="C4754" t="str">
            <v>10</v>
          </cell>
          <cell r="D4754" t="str">
            <v>4</v>
          </cell>
          <cell r="E4754" t="str">
            <v>0020</v>
          </cell>
          <cell r="F4754" t="str">
            <v>0002</v>
          </cell>
          <cell r="G4754" t="str">
            <v>50301</v>
          </cell>
          <cell r="H4754" t="str">
            <v>付ZLA00012.13#发票陆运费</v>
          </cell>
          <cell r="I4754" t="b">
            <v>1</v>
          </cell>
          <cell r="J4754">
            <v>5524.2</v>
          </cell>
          <cell r="K4754">
            <v>0</v>
          </cell>
          <cell r="L4754">
            <v>0</v>
          </cell>
        </row>
        <row r="4755">
          <cell r="A4755" t="str">
            <v>10</v>
          </cell>
          <cell r="B4755" t="str">
            <v>21</v>
          </cell>
          <cell r="C4755" t="str">
            <v>10</v>
          </cell>
          <cell r="D4755" t="str">
            <v>4</v>
          </cell>
          <cell r="E4755" t="str">
            <v>0021</v>
          </cell>
          <cell r="F4755" t="str">
            <v>0001</v>
          </cell>
          <cell r="G4755" t="str">
            <v>50301</v>
          </cell>
          <cell r="H4755" t="str">
            <v>付ZLB07#发票陆运费</v>
          </cell>
          <cell r="I4755" t="b">
            <v>1</v>
          </cell>
          <cell r="J4755">
            <v>3682.8</v>
          </cell>
          <cell r="K4755">
            <v>0</v>
          </cell>
          <cell r="L4755">
            <v>0</v>
          </cell>
        </row>
        <row r="4756">
          <cell r="A4756" t="str">
            <v>10</v>
          </cell>
          <cell r="B4756" t="str">
            <v>21</v>
          </cell>
          <cell r="C4756" t="str">
            <v>10</v>
          </cell>
          <cell r="D4756" t="str">
            <v>4</v>
          </cell>
          <cell r="E4756" t="str">
            <v>0021</v>
          </cell>
          <cell r="F4756" t="str">
            <v>0002</v>
          </cell>
          <cell r="G4756" t="str">
            <v>50301</v>
          </cell>
          <cell r="H4756" t="str">
            <v>付ZLA00014#发票陆运费</v>
          </cell>
          <cell r="I4756" t="b">
            <v>1</v>
          </cell>
          <cell r="J4756">
            <v>5022</v>
          </cell>
          <cell r="K4756">
            <v>0</v>
          </cell>
          <cell r="L4756">
            <v>0</v>
          </cell>
        </row>
        <row r="4757">
          <cell r="A4757" t="str">
            <v>10</v>
          </cell>
          <cell r="B4757" t="str">
            <v>22</v>
          </cell>
          <cell r="C4757" t="str">
            <v>10</v>
          </cell>
          <cell r="D4757" t="str">
            <v>4</v>
          </cell>
          <cell r="E4757" t="str">
            <v>0023</v>
          </cell>
          <cell r="F4757" t="str">
            <v>0001</v>
          </cell>
          <cell r="G4757" t="str">
            <v>50301</v>
          </cell>
          <cell r="H4757" t="str">
            <v>付ZLA00020.21#发票陆运费</v>
          </cell>
          <cell r="I4757" t="b">
            <v>1</v>
          </cell>
          <cell r="J4757">
            <v>3231.75</v>
          </cell>
          <cell r="K4757">
            <v>0</v>
          </cell>
          <cell r="L4757">
            <v>0</v>
          </cell>
        </row>
        <row r="4758">
          <cell r="A4758" t="str">
            <v>10</v>
          </cell>
          <cell r="B4758" t="str">
            <v>22</v>
          </cell>
          <cell r="C4758" t="str">
            <v>10</v>
          </cell>
          <cell r="D4758" t="str">
            <v>4</v>
          </cell>
          <cell r="E4758" t="str">
            <v>0023</v>
          </cell>
          <cell r="F4758" t="str">
            <v>0002</v>
          </cell>
          <cell r="G4758" t="str">
            <v>50301</v>
          </cell>
          <cell r="H4758" t="str">
            <v>付ZLA00015-00019#发票陆运费</v>
          </cell>
          <cell r="I4758" t="b">
            <v>1</v>
          </cell>
          <cell r="J4758">
            <v>15061.35</v>
          </cell>
          <cell r="K4758">
            <v>0</v>
          </cell>
          <cell r="L4758">
            <v>0</v>
          </cell>
        </row>
        <row r="4759">
          <cell r="A4759" t="str">
            <v>10</v>
          </cell>
          <cell r="B4759" t="str">
            <v>30</v>
          </cell>
          <cell r="C4759" t="str">
            <v>10</v>
          </cell>
          <cell r="D4759" t="str">
            <v>5</v>
          </cell>
          <cell r="E4759" t="str">
            <v>0033</v>
          </cell>
          <cell r="F4759" t="str">
            <v>0002</v>
          </cell>
          <cell r="G4759" t="str">
            <v>50301</v>
          </cell>
          <cell r="H4759" t="str">
            <v>结转本月销售费用</v>
          </cell>
          <cell r="I4759" t="b">
            <v>0</v>
          </cell>
          <cell r="J4759">
            <v>102913.8</v>
          </cell>
          <cell r="K4759">
            <v>0</v>
          </cell>
          <cell r="L4759">
            <v>0</v>
          </cell>
        </row>
        <row r="4760">
          <cell r="A4760" t="str">
            <v>11</v>
          </cell>
          <cell r="B4760" t="str">
            <v>13</v>
          </cell>
          <cell r="C4760" t="str">
            <v>11</v>
          </cell>
          <cell r="D4760" t="str">
            <v>4</v>
          </cell>
          <cell r="E4760" t="str">
            <v>0011</v>
          </cell>
          <cell r="F4760" t="str">
            <v>0001</v>
          </cell>
          <cell r="G4760" t="str">
            <v>50301</v>
          </cell>
          <cell r="H4760" t="str">
            <v>付FVE99127.ZLA00029P#发票运费</v>
          </cell>
          <cell r="I4760" t="b">
            <v>1</v>
          </cell>
          <cell r="J4760">
            <v>9300</v>
          </cell>
          <cell r="K4760">
            <v>0</v>
          </cell>
          <cell r="L4760">
            <v>0</v>
          </cell>
        </row>
        <row r="4761">
          <cell r="A4761" t="str">
            <v>11</v>
          </cell>
          <cell r="B4761" t="str">
            <v>13</v>
          </cell>
          <cell r="C4761" t="str">
            <v>11</v>
          </cell>
          <cell r="D4761" t="str">
            <v>4</v>
          </cell>
          <cell r="E4761" t="str">
            <v>0011</v>
          </cell>
          <cell r="F4761" t="str">
            <v>0002</v>
          </cell>
          <cell r="G4761" t="str">
            <v>50301</v>
          </cell>
          <cell r="H4761" t="str">
            <v>付ZLA00020.24.27/28#发票运费</v>
          </cell>
          <cell r="I4761" t="b">
            <v>1</v>
          </cell>
          <cell r="J4761">
            <v>9300</v>
          </cell>
          <cell r="K4761">
            <v>0</v>
          </cell>
          <cell r="L4761">
            <v>0</v>
          </cell>
        </row>
        <row r="4762">
          <cell r="A4762" t="str">
            <v>11</v>
          </cell>
          <cell r="B4762" t="str">
            <v>13</v>
          </cell>
          <cell r="C4762" t="str">
            <v>11</v>
          </cell>
          <cell r="D4762" t="str">
            <v>4</v>
          </cell>
          <cell r="E4762" t="str">
            <v>0011</v>
          </cell>
          <cell r="F4762" t="str">
            <v>0003</v>
          </cell>
          <cell r="G4762" t="str">
            <v>50301</v>
          </cell>
          <cell r="H4762" t="str">
            <v>付ZLA00018P/00019P#发票运费</v>
          </cell>
          <cell r="I4762" t="b">
            <v>1</v>
          </cell>
          <cell r="J4762">
            <v>7347</v>
          </cell>
          <cell r="K4762">
            <v>0</v>
          </cell>
          <cell r="L4762">
            <v>0</v>
          </cell>
        </row>
        <row r="4763">
          <cell r="A4763" t="str">
            <v>11</v>
          </cell>
          <cell r="B4763" t="str">
            <v>13</v>
          </cell>
          <cell r="C4763" t="str">
            <v>11</v>
          </cell>
          <cell r="D4763" t="str">
            <v>4</v>
          </cell>
          <cell r="E4763" t="str">
            <v>0013</v>
          </cell>
          <cell r="F4763" t="str">
            <v>0001</v>
          </cell>
          <cell r="G4763" t="str">
            <v>50301</v>
          </cell>
          <cell r="H4763" t="str">
            <v>付ZLA00004#发票运费</v>
          </cell>
          <cell r="I4763" t="b">
            <v>1</v>
          </cell>
          <cell r="J4763">
            <v>6440.25</v>
          </cell>
          <cell r="K4763">
            <v>0</v>
          </cell>
          <cell r="L4763">
            <v>0</v>
          </cell>
        </row>
        <row r="4764">
          <cell r="A4764" t="str">
            <v>11</v>
          </cell>
          <cell r="B4764" t="str">
            <v>30</v>
          </cell>
          <cell r="C4764" t="str">
            <v>11</v>
          </cell>
          <cell r="D4764" t="str">
            <v>5</v>
          </cell>
          <cell r="E4764" t="str">
            <v>0036</v>
          </cell>
          <cell r="F4764" t="str">
            <v>0002</v>
          </cell>
          <cell r="G4764" t="str">
            <v>50301</v>
          </cell>
          <cell r="H4764" t="str">
            <v>结转本月销售费用</v>
          </cell>
          <cell r="I4764" t="b">
            <v>0</v>
          </cell>
          <cell r="J4764">
            <v>32387.25</v>
          </cell>
          <cell r="K4764">
            <v>0</v>
          </cell>
          <cell r="L4764">
            <v>0</v>
          </cell>
        </row>
        <row r="4765">
          <cell r="A4765" t="str">
            <v>12</v>
          </cell>
          <cell r="B4765" t="str">
            <v>10</v>
          </cell>
          <cell r="C4765" t="str">
            <v>12</v>
          </cell>
          <cell r="D4765" t="str">
            <v>4</v>
          </cell>
          <cell r="E4765" t="str">
            <v>0016</v>
          </cell>
          <cell r="F4765" t="str">
            <v>0001</v>
          </cell>
          <cell r="G4765" t="str">
            <v>50301</v>
          </cell>
          <cell r="H4765" t="str">
            <v>付ZLA00026P#发票运费</v>
          </cell>
          <cell r="I4765" t="b">
            <v>1</v>
          </cell>
          <cell r="J4765">
            <v>5022</v>
          </cell>
          <cell r="K4765">
            <v>0</v>
          </cell>
          <cell r="L4765">
            <v>0</v>
          </cell>
        </row>
        <row r="4766">
          <cell r="A4766" t="str">
            <v>12</v>
          </cell>
          <cell r="B4766" t="str">
            <v>19</v>
          </cell>
          <cell r="C4766" t="str">
            <v>12</v>
          </cell>
          <cell r="D4766" t="str">
            <v>4</v>
          </cell>
          <cell r="E4766" t="str">
            <v>0028</v>
          </cell>
          <cell r="F4766" t="str">
            <v>0001</v>
          </cell>
          <cell r="G4766" t="str">
            <v>50301</v>
          </cell>
          <cell r="H4766" t="str">
            <v>付果汁运费</v>
          </cell>
          <cell r="I4766" t="b">
            <v>1</v>
          </cell>
          <cell r="J4766">
            <v>2232</v>
          </cell>
          <cell r="K4766">
            <v>0</v>
          </cell>
          <cell r="L4766">
            <v>0</v>
          </cell>
        </row>
        <row r="4767">
          <cell r="A4767" t="str">
            <v>12</v>
          </cell>
          <cell r="B4767" t="str">
            <v>20</v>
          </cell>
          <cell r="C4767" t="str">
            <v>12</v>
          </cell>
          <cell r="D4767" t="str">
            <v>4</v>
          </cell>
          <cell r="E4767" t="str">
            <v>0040</v>
          </cell>
          <cell r="F4767" t="str">
            <v>0001</v>
          </cell>
          <cell r="G4767" t="str">
            <v>50301</v>
          </cell>
          <cell r="H4767" t="str">
            <v>付ZLA00032#发票陆运费</v>
          </cell>
          <cell r="I4767" t="b">
            <v>1</v>
          </cell>
          <cell r="J4767">
            <v>2483.1</v>
          </cell>
          <cell r="K4767">
            <v>0</v>
          </cell>
          <cell r="L4767">
            <v>0</v>
          </cell>
        </row>
        <row r="4768">
          <cell r="A4768" t="str">
            <v>12</v>
          </cell>
          <cell r="B4768" t="str">
            <v>20</v>
          </cell>
          <cell r="C4768" t="str">
            <v>12</v>
          </cell>
          <cell r="D4768" t="str">
            <v>5</v>
          </cell>
          <cell r="E4768" t="str">
            <v>0015</v>
          </cell>
          <cell r="F4768" t="str">
            <v>0001</v>
          </cell>
          <cell r="G4768" t="str">
            <v>50301</v>
          </cell>
          <cell r="H4768" t="str">
            <v>转ZLA00035#发票陆运费</v>
          </cell>
          <cell r="I4768" t="b">
            <v>1</v>
          </cell>
          <cell r="J4768">
            <v>3348</v>
          </cell>
          <cell r="K4768">
            <v>0</v>
          </cell>
          <cell r="L4768">
            <v>0</v>
          </cell>
        </row>
        <row r="4769">
          <cell r="A4769" t="str">
            <v>12</v>
          </cell>
          <cell r="B4769" t="str">
            <v>20</v>
          </cell>
          <cell r="C4769" t="str">
            <v>12</v>
          </cell>
          <cell r="D4769" t="str">
            <v>5</v>
          </cell>
          <cell r="E4769" t="str">
            <v>0016</v>
          </cell>
          <cell r="F4769" t="str">
            <v>0001</v>
          </cell>
          <cell r="G4769" t="str">
            <v>50301</v>
          </cell>
          <cell r="H4769" t="str">
            <v>转收货款</v>
          </cell>
          <cell r="I4769" t="b">
            <v>1</v>
          </cell>
          <cell r="J4769">
            <v>-200</v>
          </cell>
          <cell r="K4769">
            <v>0</v>
          </cell>
          <cell r="L4769">
            <v>0</v>
          </cell>
        </row>
        <row r="4770">
          <cell r="A4770" t="str">
            <v>12</v>
          </cell>
          <cell r="B4770" t="str">
            <v>31</v>
          </cell>
          <cell r="C4770" t="str">
            <v>12</v>
          </cell>
          <cell r="D4770" t="str">
            <v>5</v>
          </cell>
          <cell r="E4770" t="str">
            <v>0102</v>
          </cell>
          <cell r="F4770" t="str">
            <v>0002</v>
          </cell>
          <cell r="G4770" t="str">
            <v>50301</v>
          </cell>
          <cell r="H4770" t="str">
            <v>结转本月销售费用</v>
          </cell>
          <cell r="I4770" t="b">
            <v>0</v>
          </cell>
          <cell r="J4770">
            <v>12885.1</v>
          </cell>
          <cell r="K4770">
            <v>0</v>
          </cell>
          <cell r="L4770">
            <v>0</v>
          </cell>
        </row>
        <row r="4771">
          <cell r="A4771" t="str">
            <v>02</v>
          </cell>
          <cell r="B4771" t="str">
            <v>25</v>
          </cell>
          <cell r="C4771" t="str">
            <v>02</v>
          </cell>
          <cell r="D4771" t="str">
            <v>4</v>
          </cell>
          <cell r="E4771" t="str">
            <v>0040</v>
          </cell>
          <cell r="F4771" t="str">
            <v>0001</v>
          </cell>
          <cell r="G4771" t="str">
            <v>50302</v>
          </cell>
          <cell r="H4771" t="str">
            <v>付FVE9963/64#发票海运费</v>
          </cell>
          <cell r="I4771" t="b">
            <v>1</v>
          </cell>
          <cell r="J4771">
            <v>365119.63</v>
          </cell>
          <cell r="K4771">
            <v>0</v>
          </cell>
          <cell r="L4771">
            <v>0</v>
          </cell>
        </row>
        <row r="4772">
          <cell r="A4772" t="str">
            <v>02</v>
          </cell>
          <cell r="B4772" t="str">
            <v>25</v>
          </cell>
          <cell r="C4772" t="str">
            <v>02</v>
          </cell>
          <cell r="D4772" t="str">
            <v>4</v>
          </cell>
          <cell r="E4772" t="str">
            <v>0040</v>
          </cell>
          <cell r="F4772" t="str">
            <v>0002</v>
          </cell>
          <cell r="G4772" t="str">
            <v>50302</v>
          </cell>
          <cell r="H4772" t="str">
            <v>付FVE9958#发票海运费</v>
          </cell>
          <cell r="I4772" t="b">
            <v>1</v>
          </cell>
          <cell r="J4772">
            <v>2690.36</v>
          </cell>
          <cell r="K4772">
            <v>0</v>
          </cell>
          <cell r="L4772">
            <v>0</v>
          </cell>
        </row>
        <row r="4773">
          <cell r="A4773" t="str">
            <v>02</v>
          </cell>
          <cell r="B4773" t="str">
            <v>25</v>
          </cell>
          <cell r="C4773" t="str">
            <v>02</v>
          </cell>
          <cell r="D4773" t="str">
            <v>4</v>
          </cell>
          <cell r="E4773" t="str">
            <v>0040</v>
          </cell>
          <cell r="F4773" t="str">
            <v>0003</v>
          </cell>
          <cell r="G4773" t="str">
            <v>50302</v>
          </cell>
          <cell r="H4773" t="str">
            <v>付FVE9954#发票海运费</v>
          </cell>
          <cell r="I4773" t="b">
            <v>1</v>
          </cell>
          <cell r="J4773">
            <v>12397.95</v>
          </cell>
          <cell r="K4773">
            <v>0</v>
          </cell>
          <cell r="L4773">
            <v>0</v>
          </cell>
        </row>
        <row r="4774">
          <cell r="A4774" t="str">
            <v>02</v>
          </cell>
          <cell r="B4774" t="str">
            <v>25</v>
          </cell>
          <cell r="C4774" t="str">
            <v>02</v>
          </cell>
          <cell r="D4774" t="str">
            <v>4</v>
          </cell>
          <cell r="E4774" t="str">
            <v>0041</v>
          </cell>
          <cell r="F4774" t="str">
            <v>0001</v>
          </cell>
          <cell r="G4774" t="str">
            <v>50302</v>
          </cell>
          <cell r="H4774" t="str">
            <v>付FVE9955.9961#发票海运费</v>
          </cell>
          <cell r="I4774" t="b">
            <v>1</v>
          </cell>
          <cell r="J4774">
            <v>55344.45</v>
          </cell>
          <cell r="K4774">
            <v>0</v>
          </cell>
          <cell r="L4774">
            <v>0</v>
          </cell>
        </row>
        <row r="4775">
          <cell r="A4775" t="str">
            <v>02</v>
          </cell>
          <cell r="B4775" t="str">
            <v>25</v>
          </cell>
          <cell r="C4775" t="str">
            <v>02</v>
          </cell>
          <cell r="D4775" t="str">
            <v>4</v>
          </cell>
          <cell r="E4775" t="str">
            <v>0043</v>
          </cell>
          <cell r="F4775" t="str">
            <v>0001</v>
          </cell>
          <cell r="G4775" t="str">
            <v>50302</v>
          </cell>
          <cell r="H4775" t="str">
            <v>付FVE9965.9962#发票海运费</v>
          </cell>
          <cell r="I4775" t="b">
            <v>1</v>
          </cell>
          <cell r="J4775">
            <v>91241.47</v>
          </cell>
          <cell r="K4775">
            <v>0</v>
          </cell>
          <cell r="L4775">
            <v>0</v>
          </cell>
        </row>
        <row r="4776">
          <cell r="A4776" t="str">
            <v>02</v>
          </cell>
          <cell r="B4776" t="str">
            <v>25</v>
          </cell>
          <cell r="C4776" t="str">
            <v>02</v>
          </cell>
          <cell r="D4776" t="str">
            <v>4</v>
          </cell>
          <cell r="E4776" t="str">
            <v>0043</v>
          </cell>
          <cell r="F4776" t="str">
            <v>0002</v>
          </cell>
          <cell r="G4776" t="str">
            <v>50302</v>
          </cell>
          <cell r="H4776" t="str">
            <v>付FVE9960#发票海运费</v>
          </cell>
          <cell r="I4776" t="b">
            <v>1</v>
          </cell>
          <cell r="J4776">
            <v>24751.27</v>
          </cell>
          <cell r="K4776">
            <v>0</v>
          </cell>
          <cell r="L4776">
            <v>0</v>
          </cell>
        </row>
        <row r="4777">
          <cell r="A4777" t="str">
            <v>02</v>
          </cell>
          <cell r="B4777" t="str">
            <v>25</v>
          </cell>
          <cell r="C4777" t="str">
            <v>02</v>
          </cell>
          <cell r="D4777" t="str">
            <v>5</v>
          </cell>
          <cell r="E4777" t="str">
            <v>0017</v>
          </cell>
          <cell r="F4777" t="str">
            <v>0002</v>
          </cell>
          <cell r="G4777" t="str">
            <v>50302</v>
          </cell>
          <cell r="H4777" t="str">
            <v>转付海运费USD114505*8.28</v>
          </cell>
          <cell r="I4777" t="b">
            <v>1</v>
          </cell>
          <cell r="J4777">
            <v>881734.3</v>
          </cell>
          <cell r="K4777">
            <v>0</v>
          </cell>
          <cell r="L4777">
            <v>0</v>
          </cell>
        </row>
        <row r="4778">
          <cell r="A4778" t="str">
            <v>02</v>
          </cell>
          <cell r="B4778" t="str">
            <v>28</v>
          </cell>
          <cell r="C4778" t="str">
            <v>02</v>
          </cell>
          <cell r="D4778" t="str">
            <v>5</v>
          </cell>
          <cell r="E4778" t="str">
            <v>0028</v>
          </cell>
          <cell r="F4778" t="str">
            <v>0003</v>
          </cell>
          <cell r="G4778" t="str">
            <v>50302</v>
          </cell>
          <cell r="H4778" t="str">
            <v>转JA990629发票出口海运费</v>
          </cell>
          <cell r="I4778" t="b">
            <v>1</v>
          </cell>
          <cell r="J4778">
            <v>-10624</v>
          </cell>
          <cell r="K4778">
            <v>0</v>
          </cell>
          <cell r="L4778">
            <v>0</v>
          </cell>
        </row>
        <row r="4779">
          <cell r="A4779" t="str">
            <v>02</v>
          </cell>
          <cell r="B4779" t="str">
            <v>28</v>
          </cell>
          <cell r="C4779" t="str">
            <v>02</v>
          </cell>
          <cell r="D4779" t="str">
            <v>5</v>
          </cell>
          <cell r="E4779" t="str">
            <v>0028</v>
          </cell>
          <cell r="F4779" t="str">
            <v>0006</v>
          </cell>
          <cell r="G4779" t="str">
            <v>50302</v>
          </cell>
          <cell r="H4779" t="str">
            <v>转FVE9942-9946#发票出口海运费</v>
          </cell>
          <cell r="I4779" t="b">
            <v>1</v>
          </cell>
          <cell r="J4779">
            <v>-340401.96</v>
          </cell>
          <cell r="K4779">
            <v>0</v>
          </cell>
          <cell r="L4779">
            <v>0</v>
          </cell>
        </row>
        <row r="4780">
          <cell r="A4780" t="str">
            <v>02</v>
          </cell>
          <cell r="B4780" t="str">
            <v>28</v>
          </cell>
          <cell r="C4780" t="str">
            <v>02</v>
          </cell>
          <cell r="D4780" t="str">
            <v>5</v>
          </cell>
          <cell r="E4780" t="str">
            <v>0028</v>
          </cell>
          <cell r="F4780" t="str">
            <v>0009</v>
          </cell>
          <cell r="G4780" t="str">
            <v>50302</v>
          </cell>
          <cell r="H4780" t="str">
            <v>转FVE9915#发票出口海运费</v>
          </cell>
          <cell r="I4780" t="b">
            <v>1</v>
          </cell>
          <cell r="J4780">
            <v>-124008</v>
          </cell>
          <cell r="K4780">
            <v>0</v>
          </cell>
          <cell r="L4780">
            <v>0</v>
          </cell>
        </row>
        <row r="4781">
          <cell r="A4781" t="str">
            <v>02</v>
          </cell>
          <cell r="B4781" t="str">
            <v>28</v>
          </cell>
          <cell r="C4781" t="str">
            <v>02</v>
          </cell>
          <cell r="D4781" t="str">
            <v>5</v>
          </cell>
          <cell r="E4781" t="str">
            <v>0028</v>
          </cell>
          <cell r="F4781" t="str">
            <v>0012</v>
          </cell>
          <cell r="G4781" t="str">
            <v>50302</v>
          </cell>
          <cell r="H4781" t="str">
            <v>转FVE9916#发票出口海运费</v>
          </cell>
          <cell r="I4781" t="b">
            <v>1</v>
          </cell>
          <cell r="J4781">
            <v>-124008</v>
          </cell>
          <cell r="K4781">
            <v>0</v>
          </cell>
          <cell r="L4781">
            <v>0</v>
          </cell>
        </row>
        <row r="4782">
          <cell r="A4782" t="str">
            <v>02</v>
          </cell>
          <cell r="B4782" t="str">
            <v>28</v>
          </cell>
          <cell r="C4782" t="str">
            <v>02</v>
          </cell>
          <cell r="D4782" t="str">
            <v>5</v>
          </cell>
          <cell r="E4782" t="str">
            <v>0028</v>
          </cell>
          <cell r="F4782" t="str">
            <v>0015</v>
          </cell>
          <cell r="G4782" t="str">
            <v>50302</v>
          </cell>
          <cell r="H4782" t="str">
            <v>转FVE9931#发票出口海运费</v>
          </cell>
          <cell r="I4782" t="b">
            <v>1</v>
          </cell>
          <cell r="J4782">
            <v>-27231.83</v>
          </cell>
          <cell r="K4782">
            <v>0</v>
          </cell>
          <cell r="L4782">
            <v>0</v>
          </cell>
        </row>
        <row r="4783">
          <cell r="A4783" t="str">
            <v>02</v>
          </cell>
          <cell r="B4783" t="str">
            <v>28</v>
          </cell>
          <cell r="C4783" t="str">
            <v>02</v>
          </cell>
          <cell r="D4783" t="str">
            <v>5</v>
          </cell>
          <cell r="E4783" t="str">
            <v>0028</v>
          </cell>
          <cell r="F4783" t="str">
            <v>0018</v>
          </cell>
          <cell r="G4783" t="str">
            <v>50302</v>
          </cell>
          <cell r="H4783" t="str">
            <v>转FVE9932#发票出口海运费</v>
          </cell>
          <cell r="I4783" t="b">
            <v>1</v>
          </cell>
          <cell r="J4783">
            <v>-57439.81</v>
          </cell>
          <cell r="K4783">
            <v>0</v>
          </cell>
          <cell r="L4783">
            <v>0</v>
          </cell>
        </row>
        <row r="4784">
          <cell r="A4784" t="str">
            <v>02</v>
          </cell>
          <cell r="B4784" t="str">
            <v>28</v>
          </cell>
          <cell r="C4784" t="str">
            <v>02</v>
          </cell>
          <cell r="D4784" t="str">
            <v>5</v>
          </cell>
          <cell r="E4784" t="str">
            <v>0028</v>
          </cell>
          <cell r="F4784" t="str">
            <v>0021</v>
          </cell>
          <cell r="G4784" t="str">
            <v>50302</v>
          </cell>
          <cell r="H4784" t="str">
            <v>转FVE9934#发票出口海运费</v>
          </cell>
          <cell r="I4784" t="b">
            <v>1</v>
          </cell>
          <cell r="J4784">
            <v>-54463</v>
          </cell>
          <cell r="K4784">
            <v>0</v>
          </cell>
          <cell r="L4784">
            <v>0</v>
          </cell>
        </row>
        <row r="4785">
          <cell r="A4785" t="str">
            <v>02</v>
          </cell>
          <cell r="B4785" t="str">
            <v>28</v>
          </cell>
          <cell r="C4785" t="str">
            <v>02</v>
          </cell>
          <cell r="D4785" t="str">
            <v>5</v>
          </cell>
          <cell r="E4785" t="str">
            <v>0028</v>
          </cell>
          <cell r="F4785" t="str">
            <v>0024</v>
          </cell>
          <cell r="G4785" t="str">
            <v>50302</v>
          </cell>
          <cell r="H4785" t="str">
            <v>转FVE9935#发票出口海运费</v>
          </cell>
          <cell r="I4785" t="b">
            <v>1</v>
          </cell>
          <cell r="J4785">
            <v>-57439.12</v>
          </cell>
          <cell r="K4785">
            <v>0</v>
          </cell>
          <cell r="L4785">
            <v>0</v>
          </cell>
        </row>
        <row r="4786">
          <cell r="A4786" t="str">
            <v>02</v>
          </cell>
          <cell r="B4786" t="str">
            <v>28</v>
          </cell>
          <cell r="C4786" t="str">
            <v>02</v>
          </cell>
          <cell r="D4786" t="str">
            <v>5</v>
          </cell>
          <cell r="E4786" t="str">
            <v>0028</v>
          </cell>
          <cell r="F4786" t="str">
            <v>0027</v>
          </cell>
          <cell r="G4786" t="str">
            <v>50302</v>
          </cell>
          <cell r="H4786" t="str">
            <v>转FVE9947#发票出口海运费</v>
          </cell>
          <cell r="I4786" t="b">
            <v>1</v>
          </cell>
          <cell r="J4786">
            <v>-54462.34</v>
          </cell>
          <cell r="K4786">
            <v>0</v>
          </cell>
          <cell r="L4786">
            <v>0</v>
          </cell>
        </row>
        <row r="4787">
          <cell r="A4787" t="str">
            <v>02</v>
          </cell>
          <cell r="B4787" t="str">
            <v>28</v>
          </cell>
          <cell r="C4787" t="str">
            <v>02</v>
          </cell>
          <cell r="D4787" t="str">
            <v>5</v>
          </cell>
          <cell r="E4787" t="str">
            <v>0029</v>
          </cell>
          <cell r="F4787" t="str">
            <v>0003</v>
          </cell>
          <cell r="G4787" t="str">
            <v>50302</v>
          </cell>
          <cell r="H4787" t="str">
            <v>转FVE9948#发票出口海运费</v>
          </cell>
          <cell r="I4787" t="b">
            <v>1</v>
          </cell>
          <cell r="J4787">
            <v>-54462.34</v>
          </cell>
          <cell r="K4787">
            <v>0</v>
          </cell>
          <cell r="L4787">
            <v>0</v>
          </cell>
        </row>
        <row r="4788">
          <cell r="A4788" t="str">
            <v>02</v>
          </cell>
          <cell r="B4788" t="str">
            <v>28</v>
          </cell>
          <cell r="C4788" t="str">
            <v>02</v>
          </cell>
          <cell r="D4788" t="str">
            <v>5</v>
          </cell>
          <cell r="E4788" t="str">
            <v>0029</v>
          </cell>
          <cell r="F4788" t="str">
            <v>0006</v>
          </cell>
          <cell r="G4788" t="str">
            <v>50302</v>
          </cell>
          <cell r="H4788" t="str">
            <v>转FVE9949#发票出口海运费</v>
          </cell>
          <cell r="I4788" t="b">
            <v>1</v>
          </cell>
          <cell r="J4788">
            <v>-27231.17</v>
          </cell>
          <cell r="K4788">
            <v>0</v>
          </cell>
          <cell r="L4788">
            <v>0</v>
          </cell>
        </row>
        <row r="4789">
          <cell r="A4789" t="str">
            <v>02</v>
          </cell>
          <cell r="B4789" t="str">
            <v>28</v>
          </cell>
          <cell r="C4789" t="str">
            <v>02</v>
          </cell>
          <cell r="D4789" t="str">
            <v>5</v>
          </cell>
          <cell r="E4789" t="str">
            <v>0029</v>
          </cell>
          <cell r="F4789" t="str">
            <v>0009</v>
          </cell>
          <cell r="G4789" t="str">
            <v>50302</v>
          </cell>
          <cell r="H4789" t="str">
            <v>转FVE9950#发票出口海运费</v>
          </cell>
          <cell r="I4789" t="b">
            <v>1</v>
          </cell>
          <cell r="J4789">
            <v>-71798.03</v>
          </cell>
          <cell r="K4789">
            <v>0</v>
          </cell>
          <cell r="L4789">
            <v>0</v>
          </cell>
        </row>
        <row r="4790">
          <cell r="A4790" t="str">
            <v>02</v>
          </cell>
          <cell r="B4790" t="str">
            <v>28</v>
          </cell>
          <cell r="C4790" t="str">
            <v>02</v>
          </cell>
          <cell r="D4790" t="str">
            <v>5</v>
          </cell>
          <cell r="E4790" t="str">
            <v>0029</v>
          </cell>
          <cell r="F4790" t="str">
            <v>0012</v>
          </cell>
          <cell r="G4790" t="str">
            <v>50302</v>
          </cell>
          <cell r="H4790" t="str">
            <v>转FVE9951#发票出口海运费</v>
          </cell>
          <cell r="I4790" t="b">
            <v>1</v>
          </cell>
          <cell r="J4790">
            <v>-54462.34</v>
          </cell>
          <cell r="K4790">
            <v>0</v>
          </cell>
          <cell r="L4790">
            <v>0</v>
          </cell>
        </row>
        <row r="4791">
          <cell r="A4791" t="str">
            <v>02</v>
          </cell>
          <cell r="B4791" t="str">
            <v>28</v>
          </cell>
          <cell r="C4791" t="str">
            <v>02</v>
          </cell>
          <cell r="D4791" t="str">
            <v>5</v>
          </cell>
          <cell r="E4791" t="str">
            <v>0029</v>
          </cell>
          <cell r="F4791" t="str">
            <v>0015</v>
          </cell>
          <cell r="G4791" t="str">
            <v>50302</v>
          </cell>
          <cell r="H4791" t="str">
            <v>转FVE9952#发票出口海运费</v>
          </cell>
          <cell r="I4791" t="b">
            <v>1</v>
          </cell>
          <cell r="J4791">
            <v>-9093.59</v>
          </cell>
          <cell r="K4791">
            <v>0</v>
          </cell>
          <cell r="L4791">
            <v>0</v>
          </cell>
        </row>
        <row r="4792">
          <cell r="A4792" t="str">
            <v>02</v>
          </cell>
          <cell r="B4792" t="str">
            <v>28</v>
          </cell>
          <cell r="C4792" t="str">
            <v>02</v>
          </cell>
          <cell r="D4792" t="str">
            <v>5</v>
          </cell>
          <cell r="E4792" t="str">
            <v>0029</v>
          </cell>
          <cell r="F4792" t="str">
            <v>0018</v>
          </cell>
          <cell r="G4792" t="str">
            <v>50302</v>
          </cell>
          <cell r="H4792" t="str">
            <v>转FVE9953#发票出口海运费</v>
          </cell>
          <cell r="I4792" t="b">
            <v>1</v>
          </cell>
          <cell r="J4792">
            <v>-9093.59</v>
          </cell>
          <cell r="K4792">
            <v>0</v>
          </cell>
          <cell r="L4792">
            <v>0</v>
          </cell>
        </row>
        <row r="4793">
          <cell r="A4793" t="str">
            <v>02</v>
          </cell>
          <cell r="B4793" t="str">
            <v>28</v>
          </cell>
          <cell r="C4793" t="str">
            <v>02</v>
          </cell>
          <cell r="D4793" t="str">
            <v>5</v>
          </cell>
          <cell r="E4793" t="str">
            <v>0029</v>
          </cell>
          <cell r="F4793" t="str">
            <v>0021</v>
          </cell>
          <cell r="G4793" t="str">
            <v>50302</v>
          </cell>
          <cell r="H4793" t="str">
            <v>转FVE9955#发票出口海运费</v>
          </cell>
          <cell r="I4793" t="b">
            <v>1</v>
          </cell>
          <cell r="J4793">
            <v>-29756.52</v>
          </cell>
          <cell r="K4793">
            <v>0</v>
          </cell>
          <cell r="L4793">
            <v>0</v>
          </cell>
        </row>
        <row r="4794">
          <cell r="A4794" t="str">
            <v>02</v>
          </cell>
          <cell r="B4794" t="str">
            <v>28</v>
          </cell>
          <cell r="C4794" t="str">
            <v>02</v>
          </cell>
          <cell r="D4794" t="str">
            <v>5</v>
          </cell>
          <cell r="E4794" t="str">
            <v>0029</v>
          </cell>
          <cell r="F4794" t="str">
            <v>0024</v>
          </cell>
          <cell r="G4794" t="str">
            <v>50302</v>
          </cell>
          <cell r="H4794" t="str">
            <v>转FVE9956#发票出口海运费</v>
          </cell>
          <cell r="I4794" t="b">
            <v>1</v>
          </cell>
          <cell r="J4794">
            <v>-198412.79999999999</v>
          </cell>
          <cell r="K4794">
            <v>0</v>
          </cell>
          <cell r="L4794">
            <v>0</v>
          </cell>
        </row>
        <row r="4795">
          <cell r="A4795" t="str">
            <v>02</v>
          </cell>
          <cell r="B4795" t="str">
            <v>28</v>
          </cell>
          <cell r="C4795" t="str">
            <v>02</v>
          </cell>
          <cell r="D4795" t="str">
            <v>5</v>
          </cell>
          <cell r="E4795" t="str">
            <v>0029</v>
          </cell>
          <cell r="F4795" t="str">
            <v>0027</v>
          </cell>
          <cell r="G4795" t="str">
            <v>50302</v>
          </cell>
          <cell r="H4795" t="str">
            <v>转FVE9958#发票出口海运费</v>
          </cell>
          <cell r="I4795" t="b">
            <v>1</v>
          </cell>
          <cell r="J4795">
            <v>-2893.52</v>
          </cell>
          <cell r="K4795">
            <v>0</v>
          </cell>
          <cell r="L4795">
            <v>0</v>
          </cell>
        </row>
        <row r="4796">
          <cell r="A4796" t="str">
            <v>02</v>
          </cell>
          <cell r="B4796" t="str">
            <v>28</v>
          </cell>
          <cell r="C4796" t="str">
            <v>02</v>
          </cell>
          <cell r="D4796" t="str">
            <v>5</v>
          </cell>
          <cell r="E4796" t="str">
            <v>0029</v>
          </cell>
          <cell r="F4796" t="str">
            <v>0030</v>
          </cell>
          <cell r="G4796" t="str">
            <v>50302</v>
          </cell>
          <cell r="H4796" t="str">
            <v>转FVE9960#发票出口海运费</v>
          </cell>
          <cell r="I4796" t="b">
            <v>1</v>
          </cell>
          <cell r="J4796">
            <v>-26619.42</v>
          </cell>
          <cell r="K4796">
            <v>0</v>
          </cell>
          <cell r="L4796">
            <v>0</v>
          </cell>
        </row>
        <row r="4797">
          <cell r="A4797" t="str">
            <v>02</v>
          </cell>
          <cell r="B4797" t="str">
            <v>28</v>
          </cell>
          <cell r="C4797" t="str">
            <v>02</v>
          </cell>
          <cell r="D4797" t="str">
            <v>5</v>
          </cell>
          <cell r="E4797" t="str">
            <v>0029</v>
          </cell>
          <cell r="F4797" t="str">
            <v>0033</v>
          </cell>
          <cell r="G4797" t="str">
            <v>50302</v>
          </cell>
          <cell r="H4797" t="str">
            <v>转FVE9962#发票出口海运费</v>
          </cell>
          <cell r="I4797" t="b">
            <v>1</v>
          </cell>
          <cell r="J4797">
            <v>-49064.05</v>
          </cell>
          <cell r="K4797">
            <v>0</v>
          </cell>
          <cell r="L4797">
            <v>0</v>
          </cell>
        </row>
        <row r="4798">
          <cell r="A4798" t="str">
            <v>02</v>
          </cell>
          <cell r="B4798" t="str">
            <v>28</v>
          </cell>
          <cell r="C4798" t="str">
            <v>02</v>
          </cell>
          <cell r="D4798" t="str">
            <v>5</v>
          </cell>
          <cell r="E4798" t="str">
            <v>0029</v>
          </cell>
          <cell r="F4798" t="str">
            <v>0036</v>
          </cell>
          <cell r="G4798" t="str">
            <v>50302</v>
          </cell>
          <cell r="H4798" t="str">
            <v>转FVE9965#发票出口海运费</v>
          </cell>
          <cell r="I4798" t="b">
            <v>1</v>
          </cell>
          <cell r="J4798">
            <v>-49054.559999999998</v>
          </cell>
          <cell r="K4798">
            <v>0</v>
          </cell>
          <cell r="L4798">
            <v>0</v>
          </cell>
        </row>
        <row r="4799">
          <cell r="A4799" t="str">
            <v>02</v>
          </cell>
          <cell r="B4799" t="str">
            <v>28</v>
          </cell>
          <cell r="C4799" t="str">
            <v>02</v>
          </cell>
          <cell r="D4799" t="str">
            <v>5</v>
          </cell>
          <cell r="E4799" t="str">
            <v>0029</v>
          </cell>
          <cell r="F4799" t="str">
            <v>0039</v>
          </cell>
          <cell r="G4799" t="str">
            <v>50302</v>
          </cell>
          <cell r="H4799" t="str">
            <v>转FVE9967#发票出口海运费</v>
          </cell>
          <cell r="I4799" t="b">
            <v>1</v>
          </cell>
          <cell r="J4799">
            <v>-196230.09</v>
          </cell>
          <cell r="K4799">
            <v>0</v>
          </cell>
          <cell r="L4799">
            <v>0</v>
          </cell>
        </row>
        <row r="4800">
          <cell r="A4800" t="str">
            <v>02</v>
          </cell>
          <cell r="B4800" t="str">
            <v>29</v>
          </cell>
          <cell r="C4800" t="str">
            <v>02</v>
          </cell>
          <cell r="D4800" t="str">
            <v>5</v>
          </cell>
          <cell r="E4800" t="str">
            <v>0043</v>
          </cell>
          <cell r="F4800" t="str">
            <v>0001</v>
          </cell>
          <cell r="G4800" t="str">
            <v>50302</v>
          </cell>
          <cell r="H4800" t="str">
            <v>转FVE9970/9972#发票海运费</v>
          </cell>
          <cell r="I4800" t="b">
            <v>1</v>
          </cell>
          <cell r="J4800">
            <v>166925</v>
          </cell>
          <cell r="K4800">
            <v>0</v>
          </cell>
          <cell r="L4800">
            <v>0</v>
          </cell>
        </row>
        <row r="4801">
          <cell r="A4801" t="str">
            <v>02</v>
          </cell>
          <cell r="B4801" t="str">
            <v>29</v>
          </cell>
          <cell r="C4801" t="str">
            <v>02</v>
          </cell>
          <cell r="D4801" t="str">
            <v>5</v>
          </cell>
          <cell r="E4801" t="str">
            <v>0057</v>
          </cell>
          <cell r="F4801" t="str">
            <v>0003</v>
          </cell>
          <cell r="G4801" t="str">
            <v>50302</v>
          </cell>
          <cell r="H4801" t="str">
            <v>结转本月销售费用</v>
          </cell>
          <cell r="I4801" t="b">
            <v>0</v>
          </cell>
          <cell r="J4801">
            <v>-28045.65</v>
          </cell>
          <cell r="K4801">
            <v>0</v>
          </cell>
          <cell r="L4801">
            <v>0</v>
          </cell>
        </row>
        <row r="4802">
          <cell r="A4802" t="str">
            <v>03</v>
          </cell>
          <cell r="B4802" t="str">
            <v>17</v>
          </cell>
          <cell r="C4802" t="str">
            <v>03</v>
          </cell>
          <cell r="D4802" t="str">
            <v>4</v>
          </cell>
          <cell r="E4802" t="str">
            <v>0024</v>
          </cell>
          <cell r="F4802" t="str">
            <v>0002</v>
          </cell>
          <cell r="G4802" t="str">
            <v>50302</v>
          </cell>
          <cell r="H4802" t="str">
            <v>付出口海运费(FVE9959.75.76)</v>
          </cell>
          <cell r="I4802" t="b">
            <v>1</v>
          </cell>
          <cell r="J4802">
            <v>509301.25</v>
          </cell>
          <cell r="K4802">
            <v>0</v>
          </cell>
          <cell r="L4802">
            <v>0</v>
          </cell>
        </row>
        <row r="4803">
          <cell r="A4803" t="str">
            <v>03</v>
          </cell>
          <cell r="B4803" t="str">
            <v>28</v>
          </cell>
          <cell r="C4803" t="str">
            <v>03</v>
          </cell>
          <cell r="D4803" t="str">
            <v>5</v>
          </cell>
          <cell r="E4803" t="str">
            <v>0015</v>
          </cell>
          <cell r="F4803" t="str">
            <v>0003</v>
          </cell>
          <cell r="G4803" t="str">
            <v>50302</v>
          </cell>
          <cell r="H4803" t="str">
            <v>转FVE9911发票出口海运费</v>
          </cell>
          <cell r="I4803" t="b">
            <v>1</v>
          </cell>
          <cell r="J4803">
            <v>-148815</v>
          </cell>
          <cell r="K4803">
            <v>0</v>
          </cell>
          <cell r="L4803">
            <v>0</v>
          </cell>
        </row>
        <row r="4804">
          <cell r="A4804" t="str">
            <v>03</v>
          </cell>
          <cell r="B4804" t="str">
            <v>28</v>
          </cell>
          <cell r="C4804" t="str">
            <v>03</v>
          </cell>
          <cell r="D4804" t="str">
            <v>5</v>
          </cell>
          <cell r="E4804" t="str">
            <v>0015</v>
          </cell>
          <cell r="F4804" t="str">
            <v>0006</v>
          </cell>
          <cell r="G4804" t="str">
            <v>50302</v>
          </cell>
          <cell r="H4804" t="str">
            <v>转FVE9912发票出口海运费</v>
          </cell>
          <cell r="I4804" t="b">
            <v>1</v>
          </cell>
          <cell r="J4804">
            <v>-124012.5</v>
          </cell>
          <cell r="K4804">
            <v>0</v>
          </cell>
          <cell r="L4804">
            <v>0</v>
          </cell>
        </row>
        <row r="4805">
          <cell r="A4805" t="str">
            <v>03</v>
          </cell>
          <cell r="B4805" t="str">
            <v>28</v>
          </cell>
          <cell r="C4805" t="str">
            <v>03</v>
          </cell>
          <cell r="D4805" t="str">
            <v>5</v>
          </cell>
          <cell r="E4805" t="str">
            <v>0015</v>
          </cell>
          <cell r="F4805" t="str">
            <v>0009</v>
          </cell>
          <cell r="G4805" t="str">
            <v>50302</v>
          </cell>
          <cell r="H4805" t="str">
            <v>转FVE9920发票出口海运费</v>
          </cell>
          <cell r="I4805" t="b">
            <v>1</v>
          </cell>
          <cell r="J4805">
            <v>-72751.360000000001</v>
          </cell>
          <cell r="K4805">
            <v>0</v>
          </cell>
          <cell r="L4805">
            <v>0</v>
          </cell>
        </row>
        <row r="4806">
          <cell r="A4806" t="str">
            <v>03</v>
          </cell>
          <cell r="B4806" t="str">
            <v>28</v>
          </cell>
          <cell r="C4806" t="str">
            <v>03</v>
          </cell>
          <cell r="D4806" t="str">
            <v>5</v>
          </cell>
          <cell r="E4806" t="str">
            <v>0015</v>
          </cell>
          <cell r="F4806" t="str">
            <v>0012</v>
          </cell>
          <cell r="G4806" t="str">
            <v>50302</v>
          </cell>
          <cell r="H4806" t="str">
            <v>转FVE9954发票出口海运费</v>
          </cell>
          <cell r="I4806" t="b">
            <v>1</v>
          </cell>
          <cell r="J4806">
            <v>-12397.35</v>
          </cell>
          <cell r="K4806">
            <v>0</v>
          </cell>
          <cell r="L4806">
            <v>0</v>
          </cell>
        </row>
        <row r="4807">
          <cell r="A4807" t="str">
            <v>03</v>
          </cell>
          <cell r="B4807" t="str">
            <v>28</v>
          </cell>
          <cell r="C4807" t="str">
            <v>03</v>
          </cell>
          <cell r="D4807" t="str">
            <v>5</v>
          </cell>
          <cell r="E4807" t="str">
            <v>0015</v>
          </cell>
          <cell r="F4807" t="str">
            <v>0015</v>
          </cell>
          <cell r="G4807" t="str">
            <v>50302</v>
          </cell>
          <cell r="H4807" t="str">
            <v>转FVE9957发票出口海运费</v>
          </cell>
          <cell r="I4807" t="b">
            <v>1</v>
          </cell>
          <cell r="J4807">
            <v>-4257.71</v>
          </cell>
          <cell r="K4807">
            <v>0</v>
          </cell>
          <cell r="L4807">
            <v>0</v>
          </cell>
        </row>
        <row r="4808">
          <cell r="A4808" t="str">
            <v>03</v>
          </cell>
          <cell r="B4808" t="str">
            <v>28</v>
          </cell>
          <cell r="C4808" t="str">
            <v>03</v>
          </cell>
          <cell r="D4808" t="str">
            <v>5</v>
          </cell>
          <cell r="E4808" t="str">
            <v>0015</v>
          </cell>
          <cell r="F4808" t="str">
            <v>0018</v>
          </cell>
          <cell r="G4808" t="str">
            <v>50302</v>
          </cell>
          <cell r="H4808" t="str">
            <v>转FVE9961发票出口海运费</v>
          </cell>
          <cell r="I4808" t="b">
            <v>1</v>
          </cell>
          <cell r="J4808">
            <v>-29753.64</v>
          </cell>
          <cell r="K4808">
            <v>0</v>
          </cell>
          <cell r="L4808">
            <v>0</v>
          </cell>
        </row>
        <row r="4809">
          <cell r="A4809" t="str">
            <v>03</v>
          </cell>
          <cell r="B4809" t="str">
            <v>28</v>
          </cell>
          <cell r="C4809" t="str">
            <v>03</v>
          </cell>
          <cell r="D4809" t="str">
            <v>5</v>
          </cell>
          <cell r="E4809" t="str">
            <v>0015</v>
          </cell>
          <cell r="F4809" t="str">
            <v>0021</v>
          </cell>
          <cell r="G4809" t="str">
            <v>50302</v>
          </cell>
          <cell r="H4809" t="str">
            <v>转FVE9963发票出口海运费</v>
          </cell>
          <cell r="I4809" t="b">
            <v>1</v>
          </cell>
          <cell r="J4809">
            <v>-61992.75</v>
          </cell>
          <cell r="K4809">
            <v>0</v>
          </cell>
          <cell r="L4809">
            <v>0</v>
          </cell>
        </row>
        <row r="4810">
          <cell r="A4810" t="str">
            <v>03</v>
          </cell>
          <cell r="B4810" t="str">
            <v>28</v>
          </cell>
          <cell r="C4810" t="str">
            <v>03</v>
          </cell>
          <cell r="D4810" t="str">
            <v>5</v>
          </cell>
          <cell r="E4810" t="str">
            <v>0015</v>
          </cell>
          <cell r="F4810" t="str">
            <v>0024</v>
          </cell>
          <cell r="G4810" t="str">
            <v>50302</v>
          </cell>
          <cell r="H4810" t="str">
            <v>转FVE9971发票出口海运费</v>
          </cell>
          <cell r="I4810" t="b">
            <v>1</v>
          </cell>
          <cell r="J4810">
            <v>-176602.81</v>
          </cell>
          <cell r="K4810">
            <v>0</v>
          </cell>
          <cell r="L4810">
            <v>0</v>
          </cell>
        </row>
        <row r="4811">
          <cell r="A4811" t="str">
            <v>03</v>
          </cell>
          <cell r="B4811" t="str">
            <v>30</v>
          </cell>
          <cell r="C4811" t="str">
            <v>03</v>
          </cell>
          <cell r="D4811" t="str">
            <v>5</v>
          </cell>
          <cell r="E4811" t="str">
            <v>0031</v>
          </cell>
          <cell r="F4811" t="str">
            <v>0003</v>
          </cell>
          <cell r="G4811" t="str">
            <v>50302</v>
          </cell>
          <cell r="H4811" t="str">
            <v>结转本月销售费用</v>
          </cell>
          <cell r="I4811" t="b">
            <v>0</v>
          </cell>
          <cell r="J4811">
            <v>-121281.87</v>
          </cell>
          <cell r="K4811">
            <v>0</v>
          </cell>
          <cell r="L4811">
            <v>0</v>
          </cell>
        </row>
        <row r="4812">
          <cell r="A4812" t="str">
            <v>04</v>
          </cell>
          <cell r="B4812" t="str">
            <v>20</v>
          </cell>
          <cell r="C4812" t="str">
            <v>04</v>
          </cell>
          <cell r="D4812" t="str">
            <v>5</v>
          </cell>
          <cell r="E4812" t="str">
            <v>0004</v>
          </cell>
          <cell r="F4812" t="str">
            <v>0001</v>
          </cell>
          <cell r="G4812" t="str">
            <v>50302</v>
          </cell>
          <cell r="H4812" t="str">
            <v>转付果汁海运费USD112065</v>
          </cell>
          <cell r="I4812" t="b">
            <v>1</v>
          </cell>
          <cell r="J4812">
            <v>926362.91</v>
          </cell>
          <cell r="K4812">
            <v>0</v>
          </cell>
          <cell r="L4812">
            <v>0</v>
          </cell>
        </row>
        <row r="4813">
          <cell r="A4813" t="str">
            <v>04</v>
          </cell>
          <cell r="B4813" t="str">
            <v>20</v>
          </cell>
          <cell r="C4813" t="str">
            <v>04</v>
          </cell>
          <cell r="D4813" t="str">
            <v>5</v>
          </cell>
          <cell r="E4813" t="str">
            <v>0004</v>
          </cell>
          <cell r="F4813" t="str">
            <v>0002</v>
          </cell>
          <cell r="G4813" t="str">
            <v>50302</v>
          </cell>
          <cell r="H4813" t="str">
            <v>转付果汁海运费USD26900</v>
          </cell>
          <cell r="I4813" t="b">
            <v>1</v>
          </cell>
          <cell r="J4813">
            <v>222363.47</v>
          </cell>
          <cell r="K4813">
            <v>0</v>
          </cell>
          <cell r="L4813">
            <v>0</v>
          </cell>
        </row>
        <row r="4814">
          <cell r="A4814" t="str">
            <v>04</v>
          </cell>
          <cell r="B4814" t="str">
            <v>26</v>
          </cell>
          <cell r="C4814" t="str">
            <v>04</v>
          </cell>
          <cell r="D4814" t="str">
            <v>5</v>
          </cell>
          <cell r="E4814" t="str">
            <v>0024</v>
          </cell>
          <cell r="F4814" t="str">
            <v>0003</v>
          </cell>
          <cell r="G4814" t="str">
            <v>50302</v>
          </cell>
          <cell r="H4814" t="str">
            <v>转FVE9966发票出口海运费</v>
          </cell>
          <cell r="I4814" t="b">
            <v>1</v>
          </cell>
          <cell r="J4814">
            <v>-303804.67</v>
          </cell>
          <cell r="K4814">
            <v>0</v>
          </cell>
          <cell r="L4814">
            <v>0</v>
          </cell>
        </row>
        <row r="4815">
          <cell r="A4815" t="str">
            <v>04</v>
          </cell>
          <cell r="B4815" t="str">
            <v>26</v>
          </cell>
          <cell r="C4815" t="str">
            <v>04</v>
          </cell>
          <cell r="D4815" t="str">
            <v>5</v>
          </cell>
          <cell r="E4815" t="str">
            <v>0024</v>
          </cell>
          <cell r="F4815" t="str">
            <v>0006</v>
          </cell>
          <cell r="G4815" t="str">
            <v>50302</v>
          </cell>
          <cell r="H4815" t="str">
            <v>转FVE9968发票出口海运费</v>
          </cell>
          <cell r="I4815" t="b">
            <v>1</v>
          </cell>
          <cell r="J4815">
            <v>-206667.5</v>
          </cell>
          <cell r="K4815">
            <v>0</v>
          </cell>
          <cell r="L4815">
            <v>0</v>
          </cell>
        </row>
        <row r="4816">
          <cell r="A4816" t="str">
            <v>04</v>
          </cell>
          <cell r="B4816" t="str">
            <v>26</v>
          </cell>
          <cell r="C4816" t="str">
            <v>04</v>
          </cell>
          <cell r="D4816" t="str">
            <v>5</v>
          </cell>
          <cell r="E4816" t="str">
            <v>0024</v>
          </cell>
          <cell r="F4816" t="str">
            <v>0009</v>
          </cell>
          <cell r="G4816" t="str">
            <v>50302</v>
          </cell>
          <cell r="H4816" t="str">
            <v>转FVE9969发票出口海运费</v>
          </cell>
          <cell r="I4816" t="b">
            <v>1</v>
          </cell>
          <cell r="J4816">
            <v>-206677.5</v>
          </cell>
          <cell r="K4816">
            <v>0</v>
          </cell>
          <cell r="L4816">
            <v>0</v>
          </cell>
        </row>
        <row r="4817">
          <cell r="A4817" t="str">
            <v>04</v>
          </cell>
          <cell r="B4817" t="str">
            <v>26</v>
          </cell>
          <cell r="C4817" t="str">
            <v>04</v>
          </cell>
          <cell r="D4817" t="str">
            <v>5</v>
          </cell>
          <cell r="E4817" t="str">
            <v>0024</v>
          </cell>
          <cell r="F4817" t="str">
            <v>0012</v>
          </cell>
          <cell r="G4817" t="str">
            <v>50302</v>
          </cell>
          <cell r="H4817" t="str">
            <v>转FVE9975发票出口海运费</v>
          </cell>
          <cell r="I4817" t="b">
            <v>1</v>
          </cell>
          <cell r="J4817">
            <v>-13224.96</v>
          </cell>
          <cell r="K4817">
            <v>0</v>
          </cell>
          <cell r="L4817">
            <v>0</v>
          </cell>
        </row>
        <row r="4818">
          <cell r="A4818" t="str">
            <v>04</v>
          </cell>
          <cell r="B4818" t="str">
            <v>26</v>
          </cell>
          <cell r="C4818" t="str">
            <v>04</v>
          </cell>
          <cell r="D4818" t="str">
            <v>5</v>
          </cell>
          <cell r="E4818" t="str">
            <v>0024</v>
          </cell>
          <cell r="F4818" t="str">
            <v>0015</v>
          </cell>
          <cell r="G4818" t="str">
            <v>50302</v>
          </cell>
          <cell r="H4818" t="str">
            <v>转FVE9981发票出口海运费</v>
          </cell>
          <cell r="I4818" t="b">
            <v>1</v>
          </cell>
          <cell r="J4818">
            <v>-2480.13</v>
          </cell>
          <cell r="K4818">
            <v>0</v>
          </cell>
          <cell r="L4818">
            <v>0</v>
          </cell>
        </row>
        <row r="4819">
          <cell r="A4819" t="str">
            <v>04</v>
          </cell>
          <cell r="B4819" t="str">
            <v>29</v>
          </cell>
          <cell r="C4819" t="str">
            <v>04</v>
          </cell>
          <cell r="D4819" t="str">
            <v>5</v>
          </cell>
          <cell r="E4819" t="str">
            <v>0037</v>
          </cell>
          <cell r="F4819" t="str">
            <v>0003</v>
          </cell>
          <cell r="G4819" t="str">
            <v>50302</v>
          </cell>
          <cell r="H4819" t="str">
            <v>结转本月销售费用</v>
          </cell>
          <cell r="I4819" t="b">
            <v>0</v>
          </cell>
          <cell r="J4819">
            <v>415871.62</v>
          </cell>
          <cell r="K4819">
            <v>0</v>
          </cell>
          <cell r="L4819">
            <v>0</v>
          </cell>
        </row>
        <row r="4820">
          <cell r="A4820" t="str">
            <v>05</v>
          </cell>
          <cell r="B4820" t="str">
            <v>16</v>
          </cell>
          <cell r="C4820" t="str">
            <v>05</v>
          </cell>
          <cell r="D4820" t="str">
            <v>4</v>
          </cell>
          <cell r="E4820" t="str">
            <v>0014</v>
          </cell>
          <cell r="F4820" t="str">
            <v>0001</v>
          </cell>
          <cell r="G4820" t="str">
            <v>50302</v>
          </cell>
          <cell r="H4820" t="str">
            <v>付ZLB02#发票海运费</v>
          </cell>
          <cell r="I4820" t="b">
            <v>1</v>
          </cell>
          <cell r="J4820">
            <v>43404.38</v>
          </cell>
          <cell r="K4820">
            <v>0</v>
          </cell>
          <cell r="L4820">
            <v>0</v>
          </cell>
        </row>
        <row r="4821">
          <cell r="A4821" t="str">
            <v>05</v>
          </cell>
          <cell r="B4821" t="str">
            <v>16</v>
          </cell>
          <cell r="C4821" t="str">
            <v>05</v>
          </cell>
          <cell r="D4821" t="str">
            <v>4</v>
          </cell>
          <cell r="E4821" t="str">
            <v>0014</v>
          </cell>
          <cell r="F4821" t="str">
            <v>0002</v>
          </cell>
          <cell r="G4821" t="str">
            <v>50302</v>
          </cell>
          <cell r="H4821" t="str">
            <v>付FVE9992.9991#发票海运费</v>
          </cell>
          <cell r="I4821" t="b">
            <v>1</v>
          </cell>
          <cell r="J4821">
            <v>66966.75</v>
          </cell>
          <cell r="K4821">
            <v>0</v>
          </cell>
          <cell r="L4821">
            <v>0</v>
          </cell>
        </row>
        <row r="4822">
          <cell r="A4822" t="str">
            <v>05</v>
          </cell>
          <cell r="B4822" t="str">
            <v>16</v>
          </cell>
          <cell r="C4822" t="str">
            <v>05</v>
          </cell>
          <cell r="D4822" t="str">
            <v>4</v>
          </cell>
          <cell r="E4822" t="str">
            <v>0014</v>
          </cell>
          <cell r="F4822" t="str">
            <v>0003</v>
          </cell>
          <cell r="G4822" t="str">
            <v>50302</v>
          </cell>
          <cell r="H4822" t="str">
            <v>付FVE9989.9980#发票海运费</v>
          </cell>
          <cell r="I4822" t="b">
            <v>1</v>
          </cell>
          <cell r="J4822">
            <v>32243.25</v>
          </cell>
          <cell r="K4822">
            <v>0</v>
          </cell>
          <cell r="L4822">
            <v>0</v>
          </cell>
        </row>
        <row r="4823">
          <cell r="A4823" t="str">
            <v>05</v>
          </cell>
          <cell r="B4823" t="str">
            <v>25</v>
          </cell>
          <cell r="C4823" t="str">
            <v>05</v>
          </cell>
          <cell r="D4823" t="str">
            <v>5</v>
          </cell>
          <cell r="E4823" t="str">
            <v>0004</v>
          </cell>
          <cell r="F4823" t="str">
            <v>0003</v>
          </cell>
          <cell r="G4823" t="str">
            <v>50302</v>
          </cell>
          <cell r="H4823" t="str">
            <v>转FVE9959发票出口海运费</v>
          </cell>
          <cell r="I4823" t="b">
            <v>1</v>
          </cell>
          <cell r="J4823">
            <v>-190124.9</v>
          </cell>
          <cell r="K4823">
            <v>0</v>
          </cell>
          <cell r="L4823">
            <v>0</v>
          </cell>
        </row>
        <row r="4824">
          <cell r="A4824" t="str">
            <v>05</v>
          </cell>
          <cell r="B4824" t="str">
            <v>25</v>
          </cell>
          <cell r="C4824" t="str">
            <v>05</v>
          </cell>
          <cell r="D4824" t="str">
            <v>5</v>
          </cell>
          <cell r="E4824" t="str">
            <v>0004</v>
          </cell>
          <cell r="F4824" t="str">
            <v>0006</v>
          </cell>
          <cell r="G4824" t="str">
            <v>50302</v>
          </cell>
          <cell r="H4824" t="str">
            <v>转FVE9964发票出口海运费</v>
          </cell>
          <cell r="I4824" t="b">
            <v>1</v>
          </cell>
          <cell r="J4824">
            <v>-330687.14</v>
          </cell>
          <cell r="K4824">
            <v>0</v>
          </cell>
          <cell r="L4824">
            <v>0</v>
          </cell>
        </row>
        <row r="4825">
          <cell r="A4825" t="str">
            <v>05</v>
          </cell>
          <cell r="B4825" t="str">
            <v>25</v>
          </cell>
          <cell r="C4825" t="str">
            <v>05</v>
          </cell>
          <cell r="D4825" t="str">
            <v>5</v>
          </cell>
          <cell r="E4825" t="str">
            <v>0004</v>
          </cell>
          <cell r="F4825" t="str">
            <v>0009</v>
          </cell>
          <cell r="G4825" t="str">
            <v>50302</v>
          </cell>
          <cell r="H4825" t="str">
            <v>转FVE9970发票出口海运费</v>
          </cell>
          <cell r="I4825" t="b">
            <v>1</v>
          </cell>
          <cell r="J4825">
            <v>-28932.400000000001</v>
          </cell>
          <cell r="K4825">
            <v>0</v>
          </cell>
          <cell r="L4825">
            <v>0</v>
          </cell>
        </row>
        <row r="4826">
          <cell r="A4826" t="str">
            <v>05</v>
          </cell>
          <cell r="B4826" t="str">
            <v>25</v>
          </cell>
          <cell r="C4826" t="str">
            <v>05</v>
          </cell>
          <cell r="D4826" t="str">
            <v>5</v>
          </cell>
          <cell r="E4826" t="str">
            <v>0004</v>
          </cell>
          <cell r="F4826" t="str">
            <v>0012</v>
          </cell>
          <cell r="G4826" t="str">
            <v>50302</v>
          </cell>
          <cell r="H4826" t="str">
            <v>转FVE9972发票出口海运费</v>
          </cell>
          <cell r="I4826" t="b">
            <v>1</v>
          </cell>
          <cell r="J4826">
            <v>-2892.93</v>
          </cell>
          <cell r="K4826">
            <v>0</v>
          </cell>
          <cell r="L4826">
            <v>0</v>
          </cell>
        </row>
        <row r="4827">
          <cell r="A4827" t="str">
            <v>05</v>
          </cell>
          <cell r="B4827" t="str">
            <v>25</v>
          </cell>
          <cell r="C4827" t="str">
            <v>05</v>
          </cell>
          <cell r="D4827" t="str">
            <v>5</v>
          </cell>
          <cell r="E4827" t="str">
            <v>0004</v>
          </cell>
          <cell r="F4827" t="str">
            <v>0015</v>
          </cell>
          <cell r="G4827" t="str">
            <v>50302</v>
          </cell>
          <cell r="H4827" t="str">
            <v>转FVE9977发票出口海运费</v>
          </cell>
          <cell r="I4827" t="b">
            <v>1</v>
          </cell>
          <cell r="J4827">
            <v>-4257.09</v>
          </cell>
          <cell r="K4827">
            <v>0</v>
          </cell>
          <cell r="L4827">
            <v>0</v>
          </cell>
        </row>
        <row r="4828">
          <cell r="A4828" t="str">
            <v>05</v>
          </cell>
          <cell r="B4828" t="str">
            <v>25</v>
          </cell>
          <cell r="C4828" t="str">
            <v>05</v>
          </cell>
          <cell r="D4828" t="str">
            <v>5</v>
          </cell>
          <cell r="E4828" t="str">
            <v>0004</v>
          </cell>
          <cell r="F4828" t="str">
            <v>0018</v>
          </cell>
          <cell r="G4828" t="str">
            <v>50302</v>
          </cell>
          <cell r="H4828" t="str">
            <v>转FVE9979发票出口海运费</v>
          </cell>
          <cell r="I4828" t="b">
            <v>1</v>
          </cell>
          <cell r="J4828">
            <v>-47532.95</v>
          </cell>
          <cell r="K4828">
            <v>0</v>
          </cell>
          <cell r="L4828">
            <v>0</v>
          </cell>
        </row>
        <row r="4829">
          <cell r="A4829" t="str">
            <v>05</v>
          </cell>
          <cell r="B4829" t="str">
            <v>25</v>
          </cell>
          <cell r="C4829" t="str">
            <v>05</v>
          </cell>
          <cell r="D4829" t="str">
            <v>5</v>
          </cell>
          <cell r="E4829" t="str">
            <v>0004</v>
          </cell>
          <cell r="F4829" t="str">
            <v>0021</v>
          </cell>
          <cell r="G4829" t="str">
            <v>50302</v>
          </cell>
          <cell r="H4829" t="str">
            <v>转FVE9986发票出口海运费</v>
          </cell>
          <cell r="I4829" t="b">
            <v>1</v>
          </cell>
          <cell r="J4829">
            <v>-82670</v>
          </cell>
          <cell r="K4829">
            <v>0</v>
          </cell>
          <cell r="L4829">
            <v>0</v>
          </cell>
        </row>
        <row r="4830">
          <cell r="A4830" t="str">
            <v>05</v>
          </cell>
          <cell r="B4830" t="str">
            <v>31</v>
          </cell>
          <cell r="C4830" t="str">
            <v>05</v>
          </cell>
          <cell r="D4830" t="str">
            <v>5</v>
          </cell>
          <cell r="E4830" t="str">
            <v>0038</v>
          </cell>
          <cell r="F4830" t="str">
            <v>0003</v>
          </cell>
          <cell r="G4830" t="str">
            <v>50302</v>
          </cell>
          <cell r="H4830" t="str">
            <v>结转本月销售费用</v>
          </cell>
          <cell r="I4830" t="b">
            <v>0</v>
          </cell>
          <cell r="J4830">
            <v>-544483.03</v>
          </cell>
          <cell r="K4830">
            <v>0</v>
          </cell>
          <cell r="L4830">
            <v>0</v>
          </cell>
        </row>
        <row r="4831">
          <cell r="A4831" t="str">
            <v>06</v>
          </cell>
          <cell r="B4831" t="str">
            <v>20</v>
          </cell>
          <cell r="C4831" t="str">
            <v>06</v>
          </cell>
          <cell r="D4831" t="str">
            <v>5</v>
          </cell>
          <cell r="E4831" t="str">
            <v>0010</v>
          </cell>
          <cell r="F4831" t="str">
            <v>0001</v>
          </cell>
          <cell r="G4831" t="str">
            <v>50302</v>
          </cell>
          <cell r="H4831" t="str">
            <v>转付海运费</v>
          </cell>
          <cell r="I4831" t="b">
            <v>1</v>
          </cell>
          <cell r="J4831">
            <v>697595.2</v>
          </cell>
          <cell r="K4831">
            <v>0</v>
          </cell>
          <cell r="L4831">
            <v>0</v>
          </cell>
        </row>
        <row r="4832">
          <cell r="A4832" t="str">
            <v>06</v>
          </cell>
          <cell r="B4832" t="str">
            <v>23</v>
          </cell>
          <cell r="C4832" t="str">
            <v>06</v>
          </cell>
          <cell r="D4832" t="str">
            <v>5</v>
          </cell>
          <cell r="E4832" t="str">
            <v>0018</v>
          </cell>
          <cell r="F4832" t="str">
            <v>0005</v>
          </cell>
          <cell r="G4832" t="str">
            <v>50302</v>
          </cell>
          <cell r="H4832" t="str">
            <v>转FVE9982发票出口海运费</v>
          </cell>
          <cell r="I4832" t="b">
            <v>1</v>
          </cell>
          <cell r="J4832">
            <v>-77685.37</v>
          </cell>
          <cell r="K4832">
            <v>0</v>
          </cell>
          <cell r="L4832">
            <v>0</v>
          </cell>
        </row>
        <row r="4833">
          <cell r="A4833" t="str">
            <v>06</v>
          </cell>
          <cell r="B4833" t="str">
            <v>23</v>
          </cell>
          <cell r="C4833" t="str">
            <v>06</v>
          </cell>
          <cell r="D4833" t="str">
            <v>5</v>
          </cell>
          <cell r="E4833" t="str">
            <v>0018</v>
          </cell>
          <cell r="F4833" t="str">
            <v>0008</v>
          </cell>
          <cell r="G4833" t="str">
            <v>50302</v>
          </cell>
          <cell r="H4833" t="str">
            <v>转FVE9987发票出口海运费</v>
          </cell>
          <cell r="I4833" t="b">
            <v>1</v>
          </cell>
          <cell r="J4833">
            <v>-144627</v>
          </cell>
          <cell r="K4833">
            <v>0</v>
          </cell>
          <cell r="L4833">
            <v>0</v>
          </cell>
        </row>
        <row r="4834">
          <cell r="A4834" t="str">
            <v>06</v>
          </cell>
          <cell r="B4834" t="str">
            <v>23</v>
          </cell>
          <cell r="C4834" t="str">
            <v>06</v>
          </cell>
          <cell r="D4834" t="str">
            <v>5</v>
          </cell>
          <cell r="E4834" t="str">
            <v>0018</v>
          </cell>
          <cell r="F4834" t="str">
            <v>0011</v>
          </cell>
          <cell r="G4834" t="str">
            <v>50302</v>
          </cell>
          <cell r="H4834" t="str">
            <v>转FVE9989发票出口海运费</v>
          </cell>
          <cell r="I4834" t="b">
            <v>1</v>
          </cell>
          <cell r="J4834">
            <v>-3306.43</v>
          </cell>
          <cell r="K4834">
            <v>0</v>
          </cell>
          <cell r="L4834">
            <v>0</v>
          </cell>
        </row>
        <row r="4835">
          <cell r="A4835" t="str">
            <v>06</v>
          </cell>
          <cell r="B4835" t="str">
            <v>23</v>
          </cell>
          <cell r="C4835" t="str">
            <v>06</v>
          </cell>
          <cell r="D4835" t="str">
            <v>5</v>
          </cell>
          <cell r="E4835" t="str">
            <v>0018</v>
          </cell>
          <cell r="F4835" t="str">
            <v>0014</v>
          </cell>
          <cell r="G4835" t="str">
            <v>50302</v>
          </cell>
          <cell r="H4835" t="str">
            <v>转FVE9992发票出口海运费</v>
          </cell>
          <cell r="I4835" t="b">
            <v>1</v>
          </cell>
          <cell r="J4835">
            <v>-23556.1</v>
          </cell>
          <cell r="K4835">
            <v>0</v>
          </cell>
          <cell r="L4835">
            <v>0</v>
          </cell>
        </row>
        <row r="4836">
          <cell r="A4836" t="str">
            <v>06</v>
          </cell>
          <cell r="B4836" t="str">
            <v>25</v>
          </cell>
          <cell r="C4836" t="str">
            <v>06</v>
          </cell>
          <cell r="D4836" t="str">
            <v>5</v>
          </cell>
          <cell r="E4836" t="str">
            <v>0027</v>
          </cell>
          <cell r="F4836" t="str">
            <v>0003</v>
          </cell>
          <cell r="G4836" t="str">
            <v>50302</v>
          </cell>
          <cell r="H4836" t="str">
            <v>结转本月销售费用</v>
          </cell>
          <cell r="I4836" t="b">
            <v>0</v>
          </cell>
          <cell r="J4836">
            <v>448420.3</v>
          </cell>
          <cell r="K4836">
            <v>0</v>
          </cell>
          <cell r="L4836">
            <v>0</v>
          </cell>
        </row>
        <row r="4837">
          <cell r="A4837" t="str">
            <v>07</v>
          </cell>
          <cell r="B4837" t="str">
            <v>25</v>
          </cell>
          <cell r="C4837" t="str">
            <v>07</v>
          </cell>
          <cell r="D4837" t="str">
            <v>5</v>
          </cell>
          <cell r="E4837" t="str">
            <v>0016</v>
          </cell>
          <cell r="F4837" t="str">
            <v>0001</v>
          </cell>
          <cell r="G4837" t="str">
            <v>50302</v>
          </cell>
          <cell r="H4837" t="str">
            <v>转海运费</v>
          </cell>
          <cell r="I4837" t="b">
            <v>1</v>
          </cell>
          <cell r="J4837">
            <v>146304.66</v>
          </cell>
          <cell r="K4837">
            <v>0</v>
          </cell>
          <cell r="L4837">
            <v>0</v>
          </cell>
        </row>
        <row r="4838">
          <cell r="A4838" t="str">
            <v>07</v>
          </cell>
          <cell r="B4838" t="str">
            <v>27</v>
          </cell>
          <cell r="C4838" t="str">
            <v>07</v>
          </cell>
          <cell r="D4838" t="str">
            <v>5</v>
          </cell>
          <cell r="E4838" t="str">
            <v>0030</v>
          </cell>
          <cell r="F4838" t="str">
            <v>0003</v>
          </cell>
          <cell r="G4838" t="str">
            <v>50302</v>
          </cell>
          <cell r="H4838" t="str">
            <v>转FVE9983发票出口海运费</v>
          </cell>
          <cell r="I4838" t="b">
            <v>1</v>
          </cell>
          <cell r="J4838">
            <v>-222384.99</v>
          </cell>
          <cell r="K4838">
            <v>0</v>
          </cell>
          <cell r="L4838">
            <v>0</v>
          </cell>
        </row>
        <row r="4839">
          <cell r="A4839" t="str">
            <v>07</v>
          </cell>
          <cell r="B4839" t="str">
            <v>27</v>
          </cell>
          <cell r="C4839" t="str">
            <v>07</v>
          </cell>
          <cell r="D4839" t="str">
            <v>5</v>
          </cell>
          <cell r="E4839" t="str">
            <v>0030</v>
          </cell>
          <cell r="F4839" t="str">
            <v>0006</v>
          </cell>
          <cell r="G4839" t="str">
            <v>50302</v>
          </cell>
          <cell r="H4839" t="str">
            <v>转FVE9991发票出口海运费</v>
          </cell>
          <cell r="I4839" t="b">
            <v>1</v>
          </cell>
          <cell r="J4839">
            <v>-43402.28</v>
          </cell>
          <cell r="K4839">
            <v>0</v>
          </cell>
          <cell r="L4839">
            <v>0</v>
          </cell>
        </row>
        <row r="4840">
          <cell r="A4840" t="str">
            <v>07</v>
          </cell>
          <cell r="B4840" t="str">
            <v>29</v>
          </cell>
          <cell r="C4840" t="str">
            <v>07</v>
          </cell>
          <cell r="D4840" t="str">
            <v>5</v>
          </cell>
          <cell r="E4840" t="str">
            <v>0043</v>
          </cell>
          <cell r="F4840" t="str">
            <v>0002</v>
          </cell>
          <cell r="G4840" t="str">
            <v>50302</v>
          </cell>
          <cell r="H4840" t="str">
            <v>结转本月销售费用</v>
          </cell>
          <cell r="I4840" t="b">
            <v>0</v>
          </cell>
          <cell r="J4840">
            <v>-119482.61</v>
          </cell>
          <cell r="K4840">
            <v>0</v>
          </cell>
          <cell r="L4840">
            <v>0</v>
          </cell>
        </row>
        <row r="4841">
          <cell r="A4841" t="str">
            <v>08</v>
          </cell>
          <cell r="B4841" t="str">
            <v>20</v>
          </cell>
          <cell r="C4841" t="str">
            <v>08</v>
          </cell>
          <cell r="D4841" t="str">
            <v>4</v>
          </cell>
          <cell r="E4841" t="str">
            <v>0027</v>
          </cell>
          <cell r="F4841" t="str">
            <v>0001</v>
          </cell>
          <cell r="G4841" t="str">
            <v>50302</v>
          </cell>
          <cell r="H4841" t="str">
            <v>付ZLB05/ZLB06#发票海运费</v>
          </cell>
          <cell r="I4841" t="b">
            <v>1</v>
          </cell>
          <cell r="J4841">
            <v>129623.42</v>
          </cell>
          <cell r="K4841">
            <v>0</v>
          </cell>
          <cell r="L4841">
            <v>0</v>
          </cell>
        </row>
        <row r="4842">
          <cell r="A4842" t="str">
            <v>08</v>
          </cell>
          <cell r="B4842" t="str">
            <v>20</v>
          </cell>
          <cell r="C4842" t="str">
            <v>08</v>
          </cell>
          <cell r="D4842" t="str">
            <v>4</v>
          </cell>
          <cell r="E4842" t="str">
            <v>0027</v>
          </cell>
          <cell r="F4842" t="str">
            <v>0002</v>
          </cell>
          <cell r="G4842" t="str">
            <v>50302</v>
          </cell>
          <cell r="H4842" t="str">
            <v>付FVE99109#发票海运费</v>
          </cell>
          <cell r="I4842" t="b">
            <v>1</v>
          </cell>
          <cell r="J4842">
            <v>78534.600000000006</v>
          </cell>
          <cell r="K4842">
            <v>0</v>
          </cell>
          <cell r="L4842">
            <v>0</v>
          </cell>
        </row>
        <row r="4843">
          <cell r="A4843" t="str">
            <v>08</v>
          </cell>
          <cell r="B4843" t="str">
            <v>20</v>
          </cell>
          <cell r="C4843" t="str">
            <v>08</v>
          </cell>
          <cell r="D4843" t="str">
            <v>4</v>
          </cell>
          <cell r="E4843" t="str">
            <v>0027</v>
          </cell>
          <cell r="F4843" t="str">
            <v>0003</v>
          </cell>
          <cell r="G4843" t="str">
            <v>50302</v>
          </cell>
          <cell r="H4843" t="str">
            <v>付FVE99104#发票海运费</v>
          </cell>
          <cell r="I4843" t="b">
            <v>1</v>
          </cell>
          <cell r="J4843">
            <v>3224.05</v>
          </cell>
          <cell r="K4843">
            <v>0</v>
          </cell>
          <cell r="L4843">
            <v>0</v>
          </cell>
        </row>
        <row r="4844">
          <cell r="A4844" t="str">
            <v>08</v>
          </cell>
          <cell r="B4844" t="str">
            <v>20</v>
          </cell>
          <cell r="C4844" t="str">
            <v>08</v>
          </cell>
          <cell r="D4844" t="str">
            <v>4</v>
          </cell>
          <cell r="E4844" t="str">
            <v>0027</v>
          </cell>
          <cell r="F4844" t="str">
            <v>0004</v>
          </cell>
          <cell r="G4844" t="str">
            <v>50302</v>
          </cell>
          <cell r="H4844" t="str">
            <v>付FVE99112/99113#发票海运费</v>
          </cell>
          <cell r="I4844" t="b">
            <v>1</v>
          </cell>
          <cell r="J4844">
            <v>35133.9</v>
          </cell>
          <cell r="K4844">
            <v>0</v>
          </cell>
          <cell r="L4844">
            <v>0</v>
          </cell>
        </row>
        <row r="4845">
          <cell r="A4845" t="str">
            <v>08</v>
          </cell>
          <cell r="B4845" t="str">
            <v>24</v>
          </cell>
          <cell r="C4845" t="str">
            <v>08</v>
          </cell>
          <cell r="D4845" t="str">
            <v>5</v>
          </cell>
          <cell r="E4845" t="str">
            <v>0009</v>
          </cell>
          <cell r="F4845" t="str">
            <v>0001</v>
          </cell>
          <cell r="G4845" t="str">
            <v>50302</v>
          </cell>
          <cell r="H4845" t="str">
            <v>转FVE99114-16.18出口果汁海运费</v>
          </cell>
          <cell r="I4845" t="b">
            <v>1</v>
          </cell>
          <cell r="J4845">
            <v>234363.78</v>
          </cell>
          <cell r="K4845">
            <v>0</v>
          </cell>
          <cell r="L4845">
            <v>0</v>
          </cell>
        </row>
        <row r="4846">
          <cell r="A4846" t="str">
            <v>08</v>
          </cell>
          <cell r="B4846" t="str">
            <v>27</v>
          </cell>
          <cell r="C4846" t="str">
            <v>08</v>
          </cell>
          <cell r="D4846" t="str">
            <v>5</v>
          </cell>
          <cell r="E4846" t="str">
            <v>0014</v>
          </cell>
          <cell r="F4846" t="str">
            <v>0003</v>
          </cell>
          <cell r="G4846" t="str">
            <v>50302</v>
          </cell>
          <cell r="H4846" t="str">
            <v>转ZLB02发票出口海运费</v>
          </cell>
          <cell r="I4846" t="b">
            <v>1</v>
          </cell>
          <cell r="J4846">
            <v>-43398.6</v>
          </cell>
          <cell r="K4846">
            <v>0</v>
          </cell>
          <cell r="L4846">
            <v>0</v>
          </cell>
        </row>
        <row r="4847">
          <cell r="A4847" t="str">
            <v>08</v>
          </cell>
          <cell r="B4847" t="str">
            <v>27</v>
          </cell>
          <cell r="C4847" t="str">
            <v>08</v>
          </cell>
          <cell r="D4847" t="str">
            <v>5</v>
          </cell>
          <cell r="E4847" t="str">
            <v>0014</v>
          </cell>
          <cell r="F4847" t="str">
            <v>0006</v>
          </cell>
          <cell r="G4847" t="str">
            <v>50302</v>
          </cell>
          <cell r="H4847" t="str">
            <v>转ZLB04发票出口海运费</v>
          </cell>
          <cell r="I4847" t="b">
            <v>1</v>
          </cell>
          <cell r="J4847">
            <v>-10745.02</v>
          </cell>
          <cell r="K4847">
            <v>0</v>
          </cell>
          <cell r="L4847">
            <v>0</v>
          </cell>
        </row>
        <row r="4848">
          <cell r="A4848" t="str">
            <v>08</v>
          </cell>
          <cell r="B4848" t="str">
            <v>27</v>
          </cell>
          <cell r="C4848" t="str">
            <v>08</v>
          </cell>
          <cell r="D4848" t="str">
            <v>5</v>
          </cell>
          <cell r="E4848" t="str">
            <v>0014</v>
          </cell>
          <cell r="F4848" t="str">
            <v>0009</v>
          </cell>
          <cell r="G4848" t="str">
            <v>50302</v>
          </cell>
          <cell r="H4848" t="str">
            <v>转FVE9976发票出口海运费</v>
          </cell>
          <cell r="I4848" t="b">
            <v>1</v>
          </cell>
          <cell r="J4848">
            <v>-344250.47</v>
          </cell>
          <cell r="K4848">
            <v>0</v>
          </cell>
          <cell r="L4848">
            <v>0</v>
          </cell>
        </row>
        <row r="4849">
          <cell r="A4849" t="str">
            <v>08</v>
          </cell>
          <cell r="B4849" t="str">
            <v>27</v>
          </cell>
          <cell r="C4849" t="str">
            <v>08</v>
          </cell>
          <cell r="D4849" t="str">
            <v>5</v>
          </cell>
          <cell r="E4849" t="str">
            <v>0014</v>
          </cell>
          <cell r="F4849" t="str">
            <v>0012</v>
          </cell>
          <cell r="G4849" t="str">
            <v>50302</v>
          </cell>
          <cell r="H4849" t="str">
            <v>转FVE9994发票出口海运费</v>
          </cell>
          <cell r="I4849" t="b">
            <v>1</v>
          </cell>
          <cell r="J4849">
            <v>-43402.8</v>
          </cell>
          <cell r="K4849">
            <v>0</v>
          </cell>
          <cell r="L4849">
            <v>0</v>
          </cell>
        </row>
        <row r="4850">
          <cell r="A4850" t="str">
            <v>08</v>
          </cell>
          <cell r="B4850" t="str">
            <v>27</v>
          </cell>
          <cell r="C4850" t="str">
            <v>08</v>
          </cell>
          <cell r="D4850" t="str">
            <v>5</v>
          </cell>
          <cell r="E4850" t="str">
            <v>0014</v>
          </cell>
          <cell r="F4850" t="str">
            <v>0015</v>
          </cell>
          <cell r="G4850" t="str">
            <v>50302</v>
          </cell>
          <cell r="H4850" t="str">
            <v>转FVE9996发票出口海运费</v>
          </cell>
          <cell r="I4850" t="b">
            <v>1</v>
          </cell>
          <cell r="J4850">
            <v>-32653.47</v>
          </cell>
          <cell r="K4850">
            <v>0</v>
          </cell>
          <cell r="L4850">
            <v>0</v>
          </cell>
        </row>
        <row r="4851">
          <cell r="A4851" t="str">
            <v>08</v>
          </cell>
          <cell r="B4851" t="str">
            <v>27</v>
          </cell>
          <cell r="C4851" t="str">
            <v>08</v>
          </cell>
          <cell r="D4851" t="str">
            <v>5</v>
          </cell>
          <cell r="E4851" t="str">
            <v>0014</v>
          </cell>
          <cell r="F4851" t="str">
            <v>0018</v>
          </cell>
          <cell r="G4851" t="str">
            <v>50302</v>
          </cell>
          <cell r="H4851" t="str">
            <v>转FVE99101发票出口海运费</v>
          </cell>
          <cell r="I4851" t="b">
            <v>1</v>
          </cell>
          <cell r="J4851">
            <v>-2892.54</v>
          </cell>
          <cell r="K4851">
            <v>0</v>
          </cell>
          <cell r="L4851">
            <v>0</v>
          </cell>
        </row>
        <row r="4852">
          <cell r="A4852" t="str">
            <v>08</v>
          </cell>
          <cell r="B4852" t="str">
            <v>27</v>
          </cell>
          <cell r="C4852" t="str">
            <v>08</v>
          </cell>
          <cell r="D4852" t="str">
            <v>5</v>
          </cell>
          <cell r="E4852" t="str">
            <v>0014</v>
          </cell>
          <cell r="F4852" t="str">
            <v>0021</v>
          </cell>
          <cell r="G4852" t="str">
            <v>50302</v>
          </cell>
          <cell r="H4852" t="str">
            <v>转FVE99103发票出口海运费</v>
          </cell>
          <cell r="I4852" t="b">
            <v>1</v>
          </cell>
          <cell r="J4852">
            <v>-78514.649999999994</v>
          </cell>
          <cell r="K4852">
            <v>0</v>
          </cell>
          <cell r="L4852">
            <v>0</v>
          </cell>
        </row>
        <row r="4853">
          <cell r="A4853" t="str">
            <v>08</v>
          </cell>
          <cell r="B4853" t="str">
            <v>27</v>
          </cell>
          <cell r="C4853" t="str">
            <v>08</v>
          </cell>
          <cell r="D4853" t="str">
            <v>5</v>
          </cell>
          <cell r="E4853" t="str">
            <v>0014</v>
          </cell>
          <cell r="F4853" t="str">
            <v>0024</v>
          </cell>
          <cell r="G4853" t="str">
            <v>50302</v>
          </cell>
          <cell r="H4853" t="str">
            <v>转FVE99104发票出口海运费</v>
          </cell>
          <cell r="I4853" t="b">
            <v>1</v>
          </cell>
          <cell r="J4853">
            <v>-3223.82</v>
          </cell>
          <cell r="K4853">
            <v>0</v>
          </cell>
          <cell r="L4853">
            <v>0</v>
          </cell>
        </row>
        <row r="4854">
          <cell r="A4854" t="str">
            <v>08</v>
          </cell>
          <cell r="B4854" t="str">
            <v>27</v>
          </cell>
          <cell r="C4854" t="str">
            <v>08</v>
          </cell>
          <cell r="D4854" t="str">
            <v>5</v>
          </cell>
          <cell r="E4854" t="str">
            <v>0014</v>
          </cell>
          <cell r="F4854" t="str">
            <v>0027</v>
          </cell>
          <cell r="G4854" t="str">
            <v>50302</v>
          </cell>
          <cell r="H4854" t="str">
            <v>转FVE99109发票出口海运费</v>
          </cell>
          <cell r="I4854" t="b">
            <v>1</v>
          </cell>
          <cell r="J4854">
            <v>-78539.350000000006</v>
          </cell>
          <cell r="K4854">
            <v>0</v>
          </cell>
          <cell r="L4854">
            <v>0</v>
          </cell>
        </row>
        <row r="4855">
          <cell r="A4855" t="str">
            <v>08</v>
          </cell>
          <cell r="B4855" t="str">
            <v>31</v>
          </cell>
          <cell r="C4855" t="str">
            <v>08</v>
          </cell>
          <cell r="D4855" t="str">
            <v>5</v>
          </cell>
          <cell r="E4855" t="str">
            <v>0034</v>
          </cell>
          <cell r="F4855" t="str">
            <v>0003</v>
          </cell>
          <cell r="G4855" t="str">
            <v>50302</v>
          </cell>
          <cell r="H4855" t="str">
            <v>结转本月销售费用</v>
          </cell>
          <cell r="I4855" t="b">
            <v>0</v>
          </cell>
          <cell r="J4855">
            <v>-156740.97</v>
          </cell>
          <cell r="K4855">
            <v>0</v>
          </cell>
          <cell r="L4855">
            <v>0</v>
          </cell>
        </row>
        <row r="4856">
          <cell r="A4856" t="str">
            <v>09</v>
          </cell>
          <cell r="B4856" t="str">
            <v>28</v>
          </cell>
          <cell r="C4856" t="str">
            <v>09</v>
          </cell>
          <cell r="D4856" t="str">
            <v>5</v>
          </cell>
          <cell r="E4856" t="str">
            <v>0026</v>
          </cell>
          <cell r="F4856" t="str">
            <v>0003</v>
          </cell>
          <cell r="G4856" t="str">
            <v>50302</v>
          </cell>
          <cell r="H4856" t="str">
            <v>转FVE9984发票出口海运费</v>
          </cell>
          <cell r="I4856" t="b">
            <v>1</v>
          </cell>
          <cell r="J4856">
            <v>-567062.29</v>
          </cell>
          <cell r="K4856">
            <v>0</v>
          </cell>
          <cell r="L4856">
            <v>0</v>
          </cell>
        </row>
        <row r="4857">
          <cell r="A4857" t="str">
            <v>09</v>
          </cell>
          <cell r="B4857" t="str">
            <v>28</v>
          </cell>
          <cell r="C4857" t="str">
            <v>09</v>
          </cell>
          <cell r="D4857" t="str">
            <v>5</v>
          </cell>
          <cell r="E4857" t="str">
            <v>0026</v>
          </cell>
          <cell r="F4857" t="str">
            <v>0006</v>
          </cell>
          <cell r="G4857" t="str">
            <v>50302</v>
          </cell>
          <cell r="H4857" t="str">
            <v>转ZLB01发票出口海运费</v>
          </cell>
          <cell r="I4857" t="b">
            <v>1</v>
          </cell>
          <cell r="J4857">
            <v>-43398.6</v>
          </cell>
          <cell r="K4857">
            <v>0</v>
          </cell>
          <cell r="L4857">
            <v>0</v>
          </cell>
        </row>
        <row r="4858">
          <cell r="A4858" t="str">
            <v>09</v>
          </cell>
          <cell r="B4858" t="str">
            <v>28</v>
          </cell>
          <cell r="C4858" t="str">
            <v>09</v>
          </cell>
          <cell r="D4858" t="str">
            <v>5</v>
          </cell>
          <cell r="E4858" t="str">
            <v>0026</v>
          </cell>
          <cell r="F4858" t="str">
            <v>0009</v>
          </cell>
          <cell r="G4858" t="str">
            <v>50302</v>
          </cell>
          <cell r="H4858" t="str">
            <v>转ZLB03发票出口海运费</v>
          </cell>
          <cell r="I4858" t="b">
            <v>1</v>
          </cell>
          <cell r="J4858">
            <v>-52325.68</v>
          </cell>
          <cell r="K4858">
            <v>0</v>
          </cell>
          <cell r="L4858">
            <v>0</v>
          </cell>
        </row>
        <row r="4859">
          <cell r="A4859" t="str">
            <v>09</v>
          </cell>
          <cell r="B4859" t="str">
            <v>28</v>
          </cell>
          <cell r="C4859" t="str">
            <v>09</v>
          </cell>
          <cell r="D4859" t="str">
            <v>5</v>
          </cell>
          <cell r="E4859" t="str">
            <v>0026</v>
          </cell>
          <cell r="F4859" t="str">
            <v>0012</v>
          </cell>
          <cell r="G4859" t="str">
            <v>50302</v>
          </cell>
          <cell r="H4859" t="str">
            <v>转FVE99102发票出口海运费</v>
          </cell>
          <cell r="I4859" t="b">
            <v>1</v>
          </cell>
          <cell r="J4859">
            <v>-32238.959999999999</v>
          </cell>
          <cell r="K4859">
            <v>0</v>
          </cell>
          <cell r="L4859">
            <v>0</v>
          </cell>
        </row>
        <row r="4860">
          <cell r="A4860" t="str">
            <v>09</v>
          </cell>
          <cell r="B4860" t="str">
            <v>30</v>
          </cell>
          <cell r="C4860" t="str">
            <v>09</v>
          </cell>
          <cell r="D4860" t="str">
            <v>5</v>
          </cell>
          <cell r="E4860" t="str">
            <v>0039</v>
          </cell>
          <cell r="F4860" t="str">
            <v>0003</v>
          </cell>
          <cell r="G4860" t="str">
            <v>50302</v>
          </cell>
          <cell r="H4860" t="str">
            <v>结转本月销售费用</v>
          </cell>
          <cell r="I4860" t="b">
            <v>0</v>
          </cell>
          <cell r="J4860">
            <v>-695025.53</v>
          </cell>
          <cell r="K4860">
            <v>0</v>
          </cell>
          <cell r="L4860">
            <v>0</v>
          </cell>
        </row>
        <row r="4861">
          <cell r="A4861" t="str">
            <v>10</v>
          </cell>
          <cell r="B4861" t="str">
            <v>28</v>
          </cell>
          <cell r="C4861" t="str">
            <v>10</v>
          </cell>
          <cell r="D4861" t="str">
            <v>5</v>
          </cell>
          <cell r="E4861" t="str">
            <v>0025</v>
          </cell>
          <cell r="F4861" t="str">
            <v>0003</v>
          </cell>
          <cell r="G4861" t="str">
            <v>50302</v>
          </cell>
          <cell r="H4861" t="str">
            <v>转FVE9993发票出口海运费</v>
          </cell>
          <cell r="I4861" t="b">
            <v>1</v>
          </cell>
          <cell r="J4861">
            <v>-601778.57999999996</v>
          </cell>
          <cell r="K4861">
            <v>0</v>
          </cell>
          <cell r="L4861">
            <v>0</v>
          </cell>
        </row>
        <row r="4862">
          <cell r="A4862" t="str">
            <v>10</v>
          </cell>
          <cell r="B4862" t="str">
            <v>30</v>
          </cell>
          <cell r="C4862" t="str">
            <v>10</v>
          </cell>
          <cell r="D4862" t="str">
            <v>5</v>
          </cell>
          <cell r="E4862" t="str">
            <v>0033</v>
          </cell>
          <cell r="F4862" t="str">
            <v>0004</v>
          </cell>
          <cell r="G4862" t="str">
            <v>50302</v>
          </cell>
          <cell r="H4862" t="str">
            <v>结转本月销售费用</v>
          </cell>
          <cell r="I4862" t="b">
            <v>0</v>
          </cell>
          <cell r="J4862">
            <v>-601778.57999999996</v>
          </cell>
          <cell r="K4862">
            <v>0</v>
          </cell>
          <cell r="L4862">
            <v>0</v>
          </cell>
        </row>
        <row r="4863">
          <cell r="A4863" t="str">
            <v>11</v>
          </cell>
          <cell r="B4863" t="str">
            <v>30</v>
          </cell>
          <cell r="C4863" t="str">
            <v>11</v>
          </cell>
          <cell r="D4863" t="str">
            <v>5</v>
          </cell>
          <cell r="E4863" t="str">
            <v>0029</v>
          </cell>
          <cell r="F4863" t="str">
            <v>0003</v>
          </cell>
          <cell r="G4863" t="str">
            <v>50302</v>
          </cell>
          <cell r="H4863" t="str">
            <v>转ZLB05发票出口海运费</v>
          </cell>
          <cell r="I4863" t="b">
            <v>1</v>
          </cell>
          <cell r="J4863">
            <v>-52328.21</v>
          </cell>
          <cell r="K4863">
            <v>0</v>
          </cell>
          <cell r="L4863">
            <v>0</v>
          </cell>
        </row>
        <row r="4864">
          <cell r="A4864" t="str">
            <v>11</v>
          </cell>
          <cell r="B4864" t="str">
            <v>30</v>
          </cell>
          <cell r="C4864" t="str">
            <v>11</v>
          </cell>
          <cell r="D4864" t="str">
            <v>5</v>
          </cell>
          <cell r="E4864" t="str">
            <v>0036</v>
          </cell>
          <cell r="F4864" t="str">
            <v>0005</v>
          </cell>
          <cell r="G4864" t="str">
            <v>50302</v>
          </cell>
          <cell r="H4864" t="str">
            <v>结转本月销售费用</v>
          </cell>
          <cell r="I4864" t="b">
            <v>0</v>
          </cell>
          <cell r="J4864">
            <v>-52328.21</v>
          </cell>
          <cell r="K4864">
            <v>0</v>
          </cell>
          <cell r="L4864">
            <v>0</v>
          </cell>
        </row>
        <row r="4865">
          <cell r="A4865" t="str">
            <v>12</v>
          </cell>
          <cell r="B4865" t="str">
            <v>10</v>
          </cell>
          <cell r="C4865" t="str">
            <v>12</v>
          </cell>
          <cell r="D4865" t="str">
            <v>4</v>
          </cell>
          <cell r="E4865" t="str">
            <v>0016</v>
          </cell>
          <cell r="F4865" t="str">
            <v>0002</v>
          </cell>
          <cell r="G4865" t="str">
            <v>50302</v>
          </cell>
          <cell r="H4865" t="str">
            <v>付ZLA00009#发票运费</v>
          </cell>
          <cell r="I4865" t="b">
            <v>1</v>
          </cell>
          <cell r="J4865">
            <v>1674</v>
          </cell>
          <cell r="K4865">
            <v>0</v>
          </cell>
          <cell r="L4865">
            <v>0</v>
          </cell>
        </row>
        <row r="4866">
          <cell r="A4866" t="str">
            <v>12</v>
          </cell>
          <cell r="B4866" t="str">
            <v>28</v>
          </cell>
          <cell r="C4866" t="str">
            <v>12</v>
          </cell>
          <cell r="D4866" t="str">
            <v>5</v>
          </cell>
          <cell r="E4866" t="str">
            <v>0046</v>
          </cell>
          <cell r="F4866" t="str">
            <v>0003</v>
          </cell>
          <cell r="G4866" t="str">
            <v>50302</v>
          </cell>
          <cell r="H4866" t="str">
            <v>转ZLB06发票出口海运费</v>
          </cell>
          <cell r="I4866" t="b">
            <v>1</v>
          </cell>
          <cell r="J4866">
            <v>-77272.14</v>
          </cell>
          <cell r="K4866">
            <v>0</v>
          </cell>
          <cell r="L4866">
            <v>0</v>
          </cell>
        </row>
        <row r="4867">
          <cell r="A4867" t="str">
            <v>12</v>
          </cell>
          <cell r="B4867" t="str">
            <v>28</v>
          </cell>
          <cell r="C4867" t="str">
            <v>12</v>
          </cell>
          <cell r="D4867" t="str">
            <v>5</v>
          </cell>
          <cell r="E4867" t="str">
            <v>0046</v>
          </cell>
          <cell r="F4867" t="str">
            <v>0006</v>
          </cell>
          <cell r="G4867" t="str">
            <v>50302</v>
          </cell>
          <cell r="H4867" t="str">
            <v>转FVE99112发票出口海运费</v>
          </cell>
          <cell r="I4867" t="b">
            <v>1</v>
          </cell>
          <cell r="J4867">
            <v>-14050.67</v>
          </cell>
          <cell r="K4867">
            <v>0</v>
          </cell>
          <cell r="L4867">
            <v>0</v>
          </cell>
        </row>
        <row r="4868">
          <cell r="A4868" t="str">
            <v>12</v>
          </cell>
          <cell r="B4868" t="str">
            <v>28</v>
          </cell>
          <cell r="C4868" t="str">
            <v>12</v>
          </cell>
          <cell r="D4868" t="str">
            <v>5</v>
          </cell>
          <cell r="E4868" t="str">
            <v>0046</v>
          </cell>
          <cell r="F4868" t="str">
            <v>0009</v>
          </cell>
          <cell r="G4868" t="str">
            <v>50302</v>
          </cell>
          <cell r="H4868" t="str">
            <v>转FVE99113发票出口海运费</v>
          </cell>
          <cell r="I4868" t="b">
            <v>1</v>
          </cell>
          <cell r="J4868">
            <v>-21079.07</v>
          </cell>
          <cell r="K4868">
            <v>0</v>
          </cell>
          <cell r="L4868">
            <v>0</v>
          </cell>
        </row>
        <row r="4869">
          <cell r="A4869" t="str">
            <v>12</v>
          </cell>
          <cell r="B4869" t="str">
            <v>28</v>
          </cell>
          <cell r="C4869" t="str">
            <v>12</v>
          </cell>
          <cell r="D4869" t="str">
            <v>5</v>
          </cell>
          <cell r="E4869" t="str">
            <v>0046</v>
          </cell>
          <cell r="F4869" t="str">
            <v>0012</v>
          </cell>
          <cell r="G4869" t="str">
            <v>50302</v>
          </cell>
          <cell r="H4869" t="str">
            <v>转FVE99114发票出口海运费</v>
          </cell>
          <cell r="I4869" t="b">
            <v>1</v>
          </cell>
          <cell r="J4869">
            <v>-2480.25</v>
          </cell>
          <cell r="K4869">
            <v>0</v>
          </cell>
          <cell r="L4869">
            <v>0</v>
          </cell>
        </row>
        <row r="4870">
          <cell r="A4870" t="str">
            <v>12</v>
          </cell>
          <cell r="B4870" t="str">
            <v>28</v>
          </cell>
          <cell r="C4870" t="str">
            <v>12</v>
          </cell>
          <cell r="D4870" t="str">
            <v>5</v>
          </cell>
          <cell r="E4870" t="str">
            <v>0046</v>
          </cell>
          <cell r="F4870" t="str">
            <v>0015</v>
          </cell>
          <cell r="G4870" t="str">
            <v>50302</v>
          </cell>
          <cell r="H4870" t="str">
            <v>转FVE99115发票出口海运费</v>
          </cell>
          <cell r="I4870" t="b">
            <v>1</v>
          </cell>
          <cell r="J4870">
            <v>-84325.440000000002</v>
          </cell>
          <cell r="K4870">
            <v>0</v>
          </cell>
          <cell r="L4870">
            <v>0</v>
          </cell>
        </row>
        <row r="4871">
          <cell r="A4871" t="str">
            <v>12</v>
          </cell>
          <cell r="B4871" t="str">
            <v>28</v>
          </cell>
          <cell r="C4871" t="str">
            <v>12</v>
          </cell>
          <cell r="D4871" t="str">
            <v>5</v>
          </cell>
          <cell r="E4871" t="str">
            <v>0046</v>
          </cell>
          <cell r="F4871" t="str">
            <v>0018</v>
          </cell>
          <cell r="G4871" t="str">
            <v>50302</v>
          </cell>
          <cell r="H4871" t="str">
            <v>转FVE99116发票出口海运费</v>
          </cell>
          <cell r="I4871" t="b">
            <v>1</v>
          </cell>
          <cell r="J4871">
            <v>-63236.43</v>
          </cell>
          <cell r="K4871">
            <v>0</v>
          </cell>
          <cell r="L4871">
            <v>0</v>
          </cell>
        </row>
        <row r="4872">
          <cell r="A4872" t="str">
            <v>12</v>
          </cell>
          <cell r="B4872" t="str">
            <v>28</v>
          </cell>
          <cell r="C4872" t="str">
            <v>12</v>
          </cell>
          <cell r="D4872" t="str">
            <v>5</v>
          </cell>
          <cell r="E4872" t="str">
            <v>0054</v>
          </cell>
          <cell r="F4872" t="str">
            <v>0003</v>
          </cell>
          <cell r="G4872" t="str">
            <v>50302</v>
          </cell>
          <cell r="H4872" t="str">
            <v>转FVE99118发票出口海运费</v>
          </cell>
          <cell r="I4872" t="b">
            <v>1</v>
          </cell>
          <cell r="J4872">
            <v>-84310.14</v>
          </cell>
          <cell r="K4872">
            <v>0</v>
          </cell>
          <cell r="L4872">
            <v>0</v>
          </cell>
        </row>
        <row r="4873">
          <cell r="A4873" t="str">
            <v>12</v>
          </cell>
          <cell r="B4873" t="str">
            <v>31</v>
          </cell>
          <cell r="C4873" t="str">
            <v>12</v>
          </cell>
          <cell r="D4873" t="str">
            <v>5</v>
          </cell>
          <cell r="E4873" t="str">
            <v>0102</v>
          </cell>
          <cell r="F4873" t="str">
            <v>0003</v>
          </cell>
          <cell r="G4873" t="str">
            <v>50302</v>
          </cell>
          <cell r="H4873" t="str">
            <v>结转本月销售费用</v>
          </cell>
          <cell r="I4873" t="b">
            <v>0</v>
          </cell>
          <cell r="J4873">
            <v>-345080.14</v>
          </cell>
          <cell r="K4873">
            <v>0</v>
          </cell>
          <cell r="L4873">
            <v>0</v>
          </cell>
        </row>
        <row r="4874">
          <cell r="A4874" t="str">
            <v>02</v>
          </cell>
          <cell r="B4874" t="str">
            <v>01</v>
          </cell>
          <cell r="C4874" t="str">
            <v>02</v>
          </cell>
          <cell r="D4874" t="str">
            <v>2</v>
          </cell>
          <cell r="E4874" t="str">
            <v>0003</v>
          </cell>
          <cell r="F4874" t="str">
            <v>0003</v>
          </cell>
          <cell r="G4874" t="str">
            <v>50303</v>
          </cell>
          <cell r="H4874" t="str">
            <v>付商检费</v>
          </cell>
          <cell r="I4874" t="b">
            <v>1</v>
          </cell>
          <cell r="J4874">
            <v>5378</v>
          </cell>
          <cell r="K4874">
            <v>0</v>
          </cell>
          <cell r="L4874">
            <v>0</v>
          </cell>
        </row>
        <row r="4875">
          <cell r="A4875" t="str">
            <v>02</v>
          </cell>
          <cell r="B4875" t="str">
            <v>20</v>
          </cell>
          <cell r="C4875" t="str">
            <v>02</v>
          </cell>
          <cell r="D4875" t="str">
            <v>2</v>
          </cell>
          <cell r="E4875" t="str">
            <v>0038</v>
          </cell>
          <cell r="F4875" t="str">
            <v>0001</v>
          </cell>
          <cell r="G4875" t="str">
            <v>50303</v>
          </cell>
          <cell r="H4875" t="str">
            <v>付商检费</v>
          </cell>
          <cell r="I4875" t="b">
            <v>1</v>
          </cell>
          <cell r="J4875">
            <v>4447</v>
          </cell>
          <cell r="K4875">
            <v>0</v>
          </cell>
          <cell r="L4875">
            <v>0</v>
          </cell>
        </row>
        <row r="4876">
          <cell r="A4876" t="str">
            <v>02</v>
          </cell>
          <cell r="B4876" t="str">
            <v>05</v>
          </cell>
          <cell r="C4876" t="str">
            <v>02</v>
          </cell>
          <cell r="D4876" t="str">
            <v>4</v>
          </cell>
          <cell r="E4876" t="str">
            <v>0005</v>
          </cell>
          <cell r="F4876" t="str">
            <v>0001</v>
          </cell>
          <cell r="G4876" t="str">
            <v>50303</v>
          </cell>
          <cell r="H4876" t="str">
            <v>付商检费</v>
          </cell>
          <cell r="I4876" t="b">
            <v>1</v>
          </cell>
          <cell r="J4876">
            <v>21429</v>
          </cell>
          <cell r="K4876">
            <v>0</v>
          </cell>
          <cell r="L4876">
            <v>0</v>
          </cell>
        </row>
        <row r="4877">
          <cell r="A4877" t="str">
            <v>02</v>
          </cell>
          <cell r="B4877" t="str">
            <v>06</v>
          </cell>
          <cell r="C4877" t="str">
            <v>02</v>
          </cell>
          <cell r="D4877" t="str">
            <v>4</v>
          </cell>
          <cell r="E4877" t="str">
            <v>0007</v>
          </cell>
          <cell r="F4877" t="str">
            <v>0002</v>
          </cell>
          <cell r="G4877" t="str">
            <v>50303</v>
          </cell>
          <cell r="H4877" t="str">
            <v>付商检费</v>
          </cell>
          <cell r="I4877" t="b">
            <v>1</v>
          </cell>
          <cell r="J4877">
            <v>55787</v>
          </cell>
          <cell r="K4877">
            <v>0</v>
          </cell>
          <cell r="L4877">
            <v>0</v>
          </cell>
        </row>
        <row r="4878">
          <cell r="A4878" t="str">
            <v>02</v>
          </cell>
          <cell r="B4878" t="str">
            <v>29</v>
          </cell>
          <cell r="C4878" t="str">
            <v>02</v>
          </cell>
          <cell r="D4878" t="str">
            <v>5</v>
          </cell>
          <cell r="E4878" t="str">
            <v>0057</v>
          </cell>
          <cell r="F4878" t="str">
            <v>0004</v>
          </cell>
          <cell r="G4878" t="str">
            <v>50303</v>
          </cell>
          <cell r="H4878" t="str">
            <v>结转本月销售费用</v>
          </cell>
          <cell r="I4878" t="b">
            <v>0</v>
          </cell>
          <cell r="J4878">
            <v>87041</v>
          </cell>
          <cell r="K4878">
            <v>0</v>
          </cell>
          <cell r="L4878">
            <v>0</v>
          </cell>
        </row>
        <row r="4879">
          <cell r="A4879" t="str">
            <v>03</v>
          </cell>
          <cell r="B4879" t="str">
            <v>10</v>
          </cell>
          <cell r="C4879" t="str">
            <v>03</v>
          </cell>
          <cell r="D4879" t="str">
            <v>2</v>
          </cell>
          <cell r="E4879" t="str">
            <v>0007</v>
          </cell>
          <cell r="F4879" t="str">
            <v>0002</v>
          </cell>
          <cell r="G4879" t="str">
            <v>50303</v>
          </cell>
          <cell r="H4879" t="str">
            <v>付商检费</v>
          </cell>
          <cell r="I4879" t="b">
            <v>1</v>
          </cell>
          <cell r="J4879">
            <v>1242</v>
          </cell>
          <cell r="K4879">
            <v>0</v>
          </cell>
          <cell r="L4879">
            <v>0</v>
          </cell>
        </row>
        <row r="4880">
          <cell r="A4880" t="str">
            <v>03</v>
          </cell>
          <cell r="B4880" t="str">
            <v>17</v>
          </cell>
          <cell r="C4880" t="str">
            <v>03</v>
          </cell>
          <cell r="D4880" t="str">
            <v>2</v>
          </cell>
          <cell r="E4880" t="str">
            <v>0017</v>
          </cell>
          <cell r="F4880" t="str">
            <v>0001</v>
          </cell>
          <cell r="G4880" t="str">
            <v>50303</v>
          </cell>
          <cell r="H4880" t="str">
            <v>付商检费</v>
          </cell>
          <cell r="I4880" t="b">
            <v>1</v>
          </cell>
          <cell r="J4880">
            <v>3246</v>
          </cell>
          <cell r="K4880">
            <v>0</v>
          </cell>
          <cell r="L4880">
            <v>0</v>
          </cell>
        </row>
        <row r="4881">
          <cell r="A4881" t="str">
            <v>03</v>
          </cell>
          <cell r="B4881" t="str">
            <v>30</v>
          </cell>
          <cell r="C4881" t="str">
            <v>03</v>
          </cell>
          <cell r="D4881" t="str">
            <v>5</v>
          </cell>
          <cell r="E4881" t="str">
            <v>0031</v>
          </cell>
          <cell r="F4881" t="str">
            <v>0004</v>
          </cell>
          <cell r="G4881" t="str">
            <v>50303</v>
          </cell>
          <cell r="H4881" t="str">
            <v>结转本月销售费用</v>
          </cell>
          <cell r="I4881" t="b">
            <v>0</v>
          </cell>
          <cell r="J4881">
            <v>4488</v>
          </cell>
          <cell r="K4881">
            <v>0</v>
          </cell>
          <cell r="L4881">
            <v>0</v>
          </cell>
        </row>
        <row r="4882">
          <cell r="A4882" t="str">
            <v>04</v>
          </cell>
          <cell r="B4882" t="str">
            <v>20</v>
          </cell>
          <cell r="C4882" t="str">
            <v>04</v>
          </cell>
          <cell r="D4882" t="str">
            <v>4</v>
          </cell>
          <cell r="E4882" t="str">
            <v>0023</v>
          </cell>
          <cell r="F4882" t="str">
            <v>0002</v>
          </cell>
          <cell r="G4882" t="str">
            <v>50303</v>
          </cell>
          <cell r="H4882" t="str">
            <v>付商检费</v>
          </cell>
          <cell r="I4882" t="b">
            <v>1</v>
          </cell>
          <cell r="J4882">
            <v>3957</v>
          </cell>
          <cell r="K4882">
            <v>0</v>
          </cell>
          <cell r="L4882">
            <v>0</v>
          </cell>
        </row>
        <row r="4883">
          <cell r="A4883" t="str">
            <v>04</v>
          </cell>
          <cell r="B4883" t="str">
            <v>20</v>
          </cell>
          <cell r="C4883" t="str">
            <v>04</v>
          </cell>
          <cell r="D4883" t="str">
            <v>5</v>
          </cell>
          <cell r="E4883" t="str">
            <v>0002</v>
          </cell>
          <cell r="F4883" t="str">
            <v>0001</v>
          </cell>
          <cell r="G4883" t="str">
            <v>50303</v>
          </cell>
          <cell r="H4883" t="str">
            <v>转报销商检费</v>
          </cell>
          <cell r="I4883" t="b">
            <v>1</v>
          </cell>
          <cell r="J4883">
            <v>16900</v>
          </cell>
          <cell r="K4883">
            <v>0</v>
          </cell>
          <cell r="L4883">
            <v>0</v>
          </cell>
        </row>
        <row r="4884">
          <cell r="A4884" t="str">
            <v>04</v>
          </cell>
          <cell r="B4884" t="str">
            <v>29</v>
          </cell>
          <cell r="C4884" t="str">
            <v>04</v>
          </cell>
          <cell r="D4884" t="str">
            <v>5</v>
          </cell>
          <cell r="E4884" t="str">
            <v>0037</v>
          </cell>
          <cell r="F4884" t="str">
            <v>0004</v>
          </cell>
          <cell r="G4884" t="str">
            <v>50303</v>
          </cell>
          <cell r="H4884" t="str">
            <v>结转本月销售费用</v>
          </cell>
          <cell r="I4884" t="b">
            <v>0</v>
          </cell>
          <cell r="J4884">
            <v>20857</v>
          </cell>
          <cell r="K4884">
            <v>0</v>
          </cell>
          <cell r="L4884">
            <v>0</v>
          </cell>
        </row>
        <row r="4885">
          <cell r="A4885" t="str">
            <v>05</v>
          </cell>
          <cell r="B4885" t="str">
            <v>20</v>
          </cell>
          <cell r="C4885" t="str">
            <v>05</v>
          </cell>
          <cell r="D4885" t="str">
            <v>2</v>
          </cell>
          <cell r="E4885" t="str">
            <v>0013</v>
          </cell>
          <cell r="F4885" t="str">
            <v>0003</v>
          </cell>
          <cell r="G4885" t="str">
            <v>50303</v>
          </cell>
          <cell r="H4885" t="str">
            <v>付商检费</v>
          </cell>
          <cell r="I4885" t="b">
            <v>1</v>
          </cell>
          <cell r="J4885">
            <v>24146</v>
          </cell>
          <cell r="K4885">
            <v>0</v>
          </cell>
          <cell r="L4885">
            <v>0</v>
          </cell>
        </row>
        <row r="4886">
          <cell r="A4886" t="str">
            <v>05</v>
          </cell>
          <cell r="B4886" t="str">
            <v>31</v>
          </cell>
          <cell r="C4886" t="str">
            <v>05</v>
          </cell>
          <cell r="D4886" t="str">
            <v>5</v>
          </cell>
          <cell r="E4886" t="str">
            <v>0038</v>
          </cell>
          <cell r="F4886" t="str">
            <v>0004</v>
          </cell>
          <cell r="G4886" t="str">
            <v>50303</v>
          </cell>
          <cell r="H4886" t="str">
            <v>结转本月销售费用</v>
          </cell>
          <cell r="I4886" t="b">
            <v>0</v>
          </cell>
          <cell r="J4886">
            <v>24146</v>
          </cell>
          <cell r="K4886">
            <v>0</v>
          </cell>
          <cell r="L4886">
            <v>0</v>
          </cell>
        </row>
        <row r="4887">
          <cell r="A4887" t="str">
            <v>06</v>
          </cell>
          <cell r="B4887" t="str">
            <v>05</v>
          </cell>
          <cell r="C4887" t="str">
            <v>06</v>
          </cell>
          <cell r="D4887" t="str">
            <v>2</v>
          </cell>
          <cell r="E4887" t="str">
            <v>0003</v>
          </cell>
          <cell r="F4887" t="str">
            <v>0002</v>
          </cell>
          <cell r="G4887" t="str">
            <v>50303</v>
          </cell>
          <cell r="H4887" t="str">
            <v>付商检费</v>
          </cell>
          <cell r="I4887" t="b">
            <v>1</v>
          </cell>
          <cell r="J4887">
            <v>4164</v>
          </cell>
          <cell r="K4887">
            <v>0</v>
          </cell>
          <cell r="L4887">
            <v>0</v>
          </cell>
        </row>
        <row r="4888">
          <cell r="A4888" t="str">
            <v>06</v>
          </cell>
          <cell r="B4888" t="str">
            <v>25</v>
          </cell>
          <cell r="C4888" t="str">
            <v>06</v>
          </cell>
          <cell r="D4888" t="str">
            <v>5</v>
          </cell>
          <cell r="E4888" t="str">
            <v>0027</v>
          </cell>
          <cell r="F4888" t="str">
            <v>0004</v>
          </cell>
          <cell r="G4888" t="str">
            <v>50303</v>
          </cell>
          <cell r="H4888" t="str">
            <v>结转本月销售费用</v>
          </cell>
          <cell r="I4888" t="b">
            <v>0</v>
          </cell>
          <cell r="J4888">
            <v>4164</v>
          </cell>
          <cell r="K4888">
            <v>0</v>
          </cell>
          <cell r="L4888">
            <v>0</v>
          </cell>
        </row>
        <row r="4889">
          <cell r="A4889" t="str">
            <v>08</v>
          </cell>
          <cell r="B4889" t="str">
            <v>03</v>
          </cell>
          <cell r="C4889" t="str">
            <v>08</v>
          </cell>
          <cell r="D4889" t="str">
            <v>2</v>
          </cell>
          <cell r="E4889" t="str">
            <v>0002</v>
          </cell>
          <cell r="F4889" t="str">
            <v>0003</v>
          </cell>
          <cell r="G4889" t="str">
            <v>50303</v>
          </cell>
          <cell r="H4889" t="str">
            <v>付商检费</v>
          </cell>
          <cell r="I4889" t="b">
            <v>1</v>
          </cell>
          <cell r="J4889">
            <v>2428</v>
          </cell>
          <cell r="K4889">
            <v>0</v>
          </cell>
          <cell r="L4889">
            <v>0</v>
          </cell>
        </row>
        <row r="4890">
          <cell r="A4890" t="str">
            <v>08</v>
          </cell>
          <cell r="B4890" t="str">
            <v>05</v>
          </cell>
          <cell r="C4890" t="str">
            <v>08</v>
          </cell>
          <cell r="D4890" t="str">
            <v>4</v>
          </cell>
          <cell r="E4890" t="str">
            <v>0007</v>
          </cell>
          <cell r="F4890" t="str">
            <v>0002</v>
          </cell>
          <cell r="G4890" t="str">
            <v>50303</v>
          </cell>
          <cell r="H4890" t="str">
            <v>付商检费</v>
          </cell>
          <cell r="I4890" t="b">
            <v>1</v>
          </cell>
          <cell r="J4890">
            <v>6648</v>
          </cell>
          <cell r="K4890">
            <v>0</v>
          </cell>
          <cell r="L4890">
            <v>0</v>
          </cell>
        </row>
        <row r="4891">
          <cell r="A4891" t="str">
            <v>08</v>
          </cell>
          <cell r="B4891" t="str">
            <v>31</v>
          </cell>
          <cell r="C4891" t="str">
            <v>08</v>
          </cell>
          <cell r="D4891" t="str">
            <v>5</v>
          </cell>
          <cell r="E4891" t="str">
            <v>0034</v>
          </cell>
          <cell r="F4891" t="str">
            <v>0004</v>
          </cell>
          <cell r="G4891" t="str">
            <v>50303</v>
          </cell>
          <cell r="H4891" t="str">
            <v>结转本月销售费用</v>
          </cell>
          <cell r="I4891" t="b">
            <v>0</v>
          </cell>
          <cell r="J4891">
            <v>9076</v>
          </cell>
          <cell r="K4891">
            <v>0</v>
          </cell>
          <cell r="L4891">
            <v>0</v>
          </cell>
        </row>
        <row r="4892">
          <cell r="A4892" t="str">
            <v>11</v>
          </cell>
          <cell r="B4892" t="str">
            <v>08</v>
          </cell>
          <cell r="C4892" t="str">
            <v>11</v>
          </cell>
          <cell r="D4892" t="str">
            <v>2</v>
          </cell>
          <cell r="E4892" t="str">
            <v>0011</v>
          </cell>
          <cell r="F4892" t="str">
            <v>0002</v>
          </cell>
          <cell r="G4892" t="str">
            <v>50303</v>
          </cell>
          <cell r="H4892" t="str">
            <v>付商检费</v>
          </cell>
          <cell r="I4892" t="b">
            <v>1</v>
          </cell>
          <cell r="J4892">
            <v>633</v>
          </cell>
          <cell r="K4892">
            <v>0</v>
          </cell>
          <cell r="L4892">
            <v>0</v>
          </cell>
        </row>
        <row r="4893">
          <cell r="A4893" t="str">
            <v>11</v>
          </cell>
          <cell r="B4893" t="str">
            <v>01</v>
          </cell>
          <cell r="C4893" t="str">
            <v>11</v>
          </cell>
          <cell r="D4893" t="str">
            <v>4</v>
          </cell>
          <cell r="E4893" t="str">
            <v>0002</v>
          </cell>
          <cell r="F4893" t="str">
            <v>0001</v>
          </cell>
          <cell r="G4893" t="str">
            <v>50303</v>
          </cell>
          <cell r="H4893" t="str">
            <v>付商检费</v>
          </cell>
          <cell r="I4893" t="b">
            <v>1</v>
          </cell>
          <cell r="J4893">
            <v>12559</v>
          </cell>
          <cell r="K4893">
            <v>0</v>
          </cell>
          <cell r="L4893">
            <v>0</v>
          </cell>
        </row>
        <row r="4894">
          <cell r="A4894" t="str">
            <v>11</v>
          </cell>
          <cell r="B4894" t="str">
            <v>18</v>
          </cell>
          <cell r="C4894" t="str">
            <v>11</v>
          </cell>
          <cell r="D4894" t="str">
            <v>4</v>
          </cell>
          <cell r="E4894" t="str">
            <v>0030</v>
          </cell>
          <cell r="F4894" t="str">
            <v>0001</v>
          </cell>
          <cell r="G4894" t="str">
            <v>50303</v>
          </cell>
          <cell r="H4894" t="str">
            <v>付商检费</v>
          </cell>
          <cell r="I4894" t="b">
            <v>1</v>
          </cell>
          <cell r="J4894">
            <v>1427</v>
          </cell>
          <cell r="K4894">
            <v>0</v>
          </cell>
          <cell r="L4894">
            <v>0</v>
          </cell>
        </row>
        <row r="4895">
          <cell r="A4895" t="str">
            <v>11</v>
          </cell>
          <cell r="B4895" t="str">
            <v>30</v>
          </cell>
          <cell r="C4895" t="str">
            <v>11</v>
          </cell>
          <cell r="D4895" t="str">
            <v>5</v>
          </cell>
          <cell r="E4895" t="str">
            <v>0036</v>
          </cell>
          <cell r="F4895" t="str">
            <v>0003</v>
          </cell>
          <cell r="G4895" t="str">
            <v>50303</v>
          </cell>
          <cell r="H4895" t="str">
            <v>结转本月销售费用</v>
          </cell>
          <cell r="I4895" t="b">
            <v>0</v>
          </cell>
          <cell r="J4895">
            <v>14619</v>
          </cell>
          <cell r="K4895">
            <v>0</v>
          </cell>
          <cell r="L4895">
            <v>0</v>
          </cell>
        </row>
        <row r="4896">
          <cell r="A4896" t="str">
            <v>12</v>
          </cell>
          <cell r="B4896" t="str">
            <v>05</v>
          </cell>
          <cell r="C4896" t="str">
            <v>12</v>
          </cell>
          <cell r="D4896" t="str">
            <v>2</v>
          </cell>
          <cell r="E4896" t="str">
            <v>0005</v>
          </cell>
          <cell r="F4896" t="str">
            <v>0002</v>
          </cell>
          <cell r="G4896" t="str">
            <v>50303</v>
          </cell>
          <cell r="H4896" t="str">
            <v>付商检费</v>
          </cell>
          <cell r="I4896" t="b">
            <v>1</v>
          </cell>
          <cell r="J4896">
            <v>11006</v>
          </cell>
          <cell r="K4896">
            <v>0</v>
          </cell>
          <cell r="L4896">
            <v>0</v>
          </cell>
        </row>
        <row r="4897">
          <cell r="A4897" t="str">
            <v>12</v>
          </cell>
          <cell r="B4897" t="str">
            <v>15</v>
          </cell>
          <cell r="C4897" t="str">
            <v>12</v>
          </cell>
          <cell r="D4897" t="str">
            <v>4</v>
          </cell>
          <cell r="E4897" t="str">
            <v>0023</v>
          </cell>
          <cell r="F4897" t="str">
            <v>0002</v>
          </cell>
          <cell r="G4897" t="str">
            <v>50303</v>
          </cell>
          <cell r="H4897" t="str">
            <v>付商检费</v>
          </cell>
          <cell r="I4897" t="b">
            <v>1</v>
          </cell>
          <cell r="J4897">
            <v>34873</v>
          </cell>
          <cell r="K4897">
            <v>0</v>
          </cell>
          <cell r="L4897">
            <v>0</v>
          </cell>
        </row>
        <row r="4898">
          <cell r="A4898" t="str">
            <v>12</v>
          </cell>
          <cell r="B4898" t="str">
            <v>26</v>
          </cell>
          <cell r="C4898" t="str">
            <v>12</v>
          </cell>
          <cell r="D4898" t="str">
            <v>5</v>
          </cell>
          <cell r="E4898" t="str">
            <v>0030</v>
          </cell>
          <cell r="F4898" t="str">
            <v>0001</v>
          </cell>
          <cell r="G4898" t="str">
            <v>50303</v>
          </cell>
          <cell r="H4898" t="str">
            <v>转出口果汁商检费</v>
          </cell>
          <cell r="I4898" t="b">
            <v>1</v>
          </cell>
          <cell r="J4898">
            <v>6648</v>
          </cell>
          <cell r="K4898">
            <v>0</v>
          </cell>
          <cell r="L4898">
            <v>0</v>
          </cell>
        </row>
        <row r="4899">
          <cell r="A4899" t="str">
            <v>12</v>
          </cell>
          <cell r="B4899" t="str">
            <v>31</v>
          </cell>
          <cell r="C4899" t="str">
            <v>12</v>
          </cell>
          <cell r="D4899" t="str">
            <v>5</v>
          </cell>
          <cell r="E4899" t="str">
            <v>0102</v>
          </cell>
          <cell r="F4899" t="str">
            <v>0004</v>
          </cell>
          <cell r="G4899" t="str">
            <v>50303</v>
          </cell>
          <cell r="H4899" t="str">
            <v>结转本月销售费用</v>
          </cell>
          <cell r="I4899" t="b">
            <v>0</v>
          </cell>
          <cell r="J4899">
            <v>52527</v>
          </cell>
          <cell r="K4899">
            <v>0</v>
          </cell>
          <cell r="L4899">
            <v>0</v>
          </cell>
        </row>
        <row r="4900">
          <cell r="A4900" t="str">
            <v>02</v>
          </cell>
          <cell r="B4900" t="str">
            <v>01</v>
          </cell>
          <cell r="C4900" t="str">
            <v>02</v>
          </cell>
          <cell r="D4900" t="str">
            <v>2</v>
          </cell>
          <cell r="E4900" t="str">
            <v>0003</v>
          </cell>
          <cell r="F4900" t="str">
            <v>0002</v>
          </cell>
          <cell r="G4900" t="str">
            <v>50306</v>
          </cell>
          <cell r="H4900" t="str">
            <v>付吊车装卸费</v>
          </cell>
          <cell r="I4900" t="b">
            <v>1</v>
          </cell>
          <cell r="J4900">
            <v>734.9</v>
          </cell>
          <cell r="K4900">
            <v>0</v>
          </cell>
          <cell r="L4900">
            <v>0</v>
          </cell>
        </row>
        <row r="4901">
          <cell r="A4901" t="str">
            <v>02</v>
          </cell>
          <cell r="B4901" t="str">
            <v>22</v>
          </cell>
          <cell r="C4901" t="str">
            <v>02</v>
          </cell>
          <cell r="D4901" t="str">
            <v>2</v>
          </cell>
          <cell r="E4901" t="str">
            <v>0044</v>
          </cell>
          <cell r="F4901" t="str">
            <v>0001</v>
          </cell>
          <cell r="G4901" t="str">
            <v>50306</v>
          </cell>
          <cell r="H4901" t="str">
            <v>付奖金USD7000.00*8.28</v>
          </cell>
          <cell r="I4901" t="b">
            <v>1</v>
          </cell>
          <cell r="J4901">
            <v>57960</v>
          </cell>
          <cell r="K4901">
            <v>0</v>
          </cell>
          <cell r="L4901">
            <v>0</v>
          </cell>
        </row>
        <row r="4902">
          <cell r="A4902" t="str">
            <v>02</v>
          </cell>
          <cell r="B4902" t="str">
            <v>18</v>
          </cell>
          <cell r="C4902" t="str">
            <v>02</v>
          </cell>
          <cell r="D4902" t="str">
            <v>4</v>
          </cell>
          <cell r="E4902" t="str">
            <v>0023</v>
          </cell>
          <cell r="F4902" t="str">
            <v>0001</v>
          </cell>
          <cell r="G4902" t="str">
            <v>50306</v>
          </cell>
          <cell r="H4902" t="str">
            <v>付FVE9954.58#发票运杂费</v>
          </cell>
          <cell r="I4902" t="b">
            <v>1</v>
          </cell>
          <cell r="J4902">
            <v>2625</v>
          </cell>
          <cell r="K4902">
            <v>0</v>
          </cell>
          <cell r="L4902">
            <v>0</v>
          </cell>
        </row>
        <row r="4903">
          <cell r="A4903" t="str">
            <v>02</v>
          </cell>
          <cell r="B4903" t="str">
            <v>20</v>
          </cell>
          <cell r="C4903" t="str">
            <v>02</v>
          </cell>
          <cell r="D4903" t="str">
            <v>4</v>
          </cell>
          <cell r="E4903" t="str">
            <v>0028</v>
          </cell>
          <cell r="F4903" t="str">
            <v>0001</v>
          </cell>
          <cell r="G4903" t="str">
            <v>50306</v>
          </cell>
          <cell r="H4903" t="str">
            <v>付FUR9963.9964#发票运杂费</v>
          </cell>
          <cell r="I4903" t="b">
            <v>1</v>
          </cell>
          <cell r="J4903">
            <v>14071.5</v>
          </cell>
          <cell r="K4903">
            <v>0</v>
          </cell>
          <cell r="L4903">
            <v>0</v>
          </cell>
        </row>
        <row r="4904">
          <cell r="A4904" t="str">
            <v>02</v>
          </cell>
          <cell r="B4904" t="str">
            <v>20</v>
          </cell>
          <cell r="C4904" t="str">
            <v>02</v>
          </cell>
          <cell r="D4904" t="str">
            <v>4</v>
          </cell>
          <cell r="E4904" t="str">
            <v>0031</v>
          </cell>
          <cell r="F4904" t="str">
            <v>0002</v>
          </cell>
          <cell r="G4904" t="str">
            <v>50306</v>
          </cell>
          <cell r="H4904" t="str">
            <v>付果汁广告费</v>
          </cell>
          <cell r="I4904" t="b">
            <v>1</v>
          </cell>
          <cell r="J4904">
            <v>188897.94</v>
          </cell>
          <cell r="K4904">
            <v>0</v>
          </cell>
          <cell r="L4904">
            <v>0</v>
          </cell>
        </row>
        <row r="4905">
          <cell r="A4905" t="str">
            <v>02</v>
          </cell>
          <cell r="B4905" t="str">
            <v>22</v>
          </cell>
          <cell r="C4905" t="str">
            <v>02</v>
          </cell>
          <cell r="D4905" t="str">
            <v>4</v>
          </cell>
          <cell r="E4905" t="str">
            <v>0034</v>
          </cell>
          <cell r="F4905" t="str">
            <v>0002</v>
          </cell>
          <cell r="G4905" t="str">
            <v>50306</v>
          </cell>
          <cell r="H4905" t="str">
            <v>付FVE9961.9955#发票运杂费</v>
          </cell>
          <cell r="I4905" t="b">
            <v>1</v>
          </cell>
          <cell r="J4905">
            <v>2200</v>
          </cell>
          <cell r="K4905">
            <v>0</v>
          </cell>
          <cell r="L4905">
            <v>0</v>
          </cell>
        </row>
        <row r="4906">
          <cell r="A4906" t="str">
            <v>02</v>
          </cell>
          <cell r="B4906" t="str">
            <v>22</v>
          </cell>
          <cell r="C4906" t="str">
            <v>02</v>
          </cell>
          <cell r="D4906" t="str">
            <v>4</v>
          </cell>
          <cell r="E4906" t="str">
            <v>0035</v>
          </cell>
          <cell r="F4906" t="str">
            <v>0002</v>
          </cell>
          <cell r="G4906" t="str">
            <v>50306</v>
          </cell>
          <cell r="H4906" t="str">
            <v>付FVE9960.95.62#发票运杂费</v>
          </cell>
          <cell r="I4906" t="b">
            <v>1</v>
          </cell>
          <cell r="J4906">
            <v>7200</v>
          </cell>
          <cell r="K4906">
            <v>0</v>
          </cell>
          <cell r="L4906">
            <v>0</v>
          </cell>
        </row>
        <row r="4907">
          <cell r="A4907" t="str">
            <v>02</v>
          </cell>
          <cell r="B4907" t="str">
            <v>22</v>
          </cell>
          <cell r="C4907" t="str">
            <v>02</v>
          </cell>
          <cell r="D4907" t="str">
            <v>4</v>
          </cell>
          <cell r="E4907" t="str">
            <v>0036</v>
          </cell>
          <cell r="F4907" t="str">
            <v>0002</v>
          </cell>
          <cell r="G4907" t="str">
            <v>50306</v>
          </cell>
          <cell r="H4907" t="str">
            <v>付FVE9967#发票运杂费</v>
          </cell>
          <cell r="I4907" t="b">
            <v>1</v>
          </cell>
          <cell r="J4907">
            <v>12000</v>
          </cell>
          <cell r="K4907">
            <v>0</v>
          </cell>
          <cell r="L4907">
            <v>0</v>
          </cell>
        </row>
        <row r="4908">
          <cell r="A4908" t="str">
            <v>02</v>
          </cell>
          <cell r="B4908" t="str">
            <v>22</v>
          </cell>
          <cell r="C4908" t="str">
            <v>02</v>
          </cell>
          <cell r="D4908" t="str">
            <v>4</v>
          </cell>
          <cell r="E4908" t="str">
            <v>0037</v>
          </cell>
          <cell r="F4908" t="str">
            <v>0002</v>
          </cell>
          <cell r="G4908" t="str">
            <v>50306</v>
          </cell>
          <cell r="H4908" t="str">
            <v>付FVE9957#发票运杂费</v>
          </cell>
          <cell r="I4908" t="b">
            <v>1</v>
          </cell>
          <cell r="J4908">
            <v>594</v>
          </cell>
          <cell r="K4908">
            <v>0</v>
          </cell>
          <cell r="L4908">
            <v>0</v>
          </cell>
        </row>
        <row r="4909">
          <cell r="A4909" t="str">
            <v>02</v>
          </cell>
          <cell r="B4909" t="str">
            <v>22</v>
          </cell>
          <cell r="C4909" t="str">
            <v>02</v>
          </cell>
          <cell r="D4909" t="str">
            <v>4</v>
          </cell>
          <cell r="E4909" t="str">
            <v>0038</v>
          </cell>
          <cell r="F4909" t="str">
            <v>0001</v>
          </cell>
          <cell r="G4909" t="str">
            <v>50306</v>
          </cell>
          <cell r="H4909" t="str">
            <v>付FVE9968/69#发票运杂费</v>
          </cell>
          <cell r="I4909" t="b">
            <v>1</v>
          </cell>
          <cell r="J4909">
            <v>8604</v>
          </cell>
          <cell r="K4909">
            <v>0</v>
          </cell>
          <cell r="L4909">
            <v>0</v>
          </cell>
        </row>
        <row r="4910">
          <cell r="A4910" t="str">
            <v>02</v>
          </cell>
          <cell r="B4910" t="str">
            <v>22</v>
          </cell>
          <cell r="C4910" t="str">
            <v>02</v>
          </cell>
          <cell r="D4910" t="str">
            <v>4</v>
          </cell>
          <cell r="E4910" t="str">
            <v>0039</v>
          </cell>
          <cell r="F4910" t="str">
            <v>0002</v>
          </cell>
          <cell r="G4910" t="str">
            <v>50306</v>
          </cell>
          <cell r="H4910" t="str">
            <v>付FVE9968/70#发票运杂费</v>
          </cell>
          <cell r="I4910" t="b">
            <v>1</v>
          </cell>
          <cell r="J4910">
            <v>20923.400000000001</v>
          </cell>
          <cell r="K4910">
            <v>0</v>
          </cell>
          <cell r="L4910">
            <v>0</v>
          </cell>
        </row>
        <row r="4911">
          <cell r="A4911" t="str">
            <v>02</v>
          </cell>
          <cell r="B4911" t="str">
            <v>29</v>
          </cell>
          <cell r="C4911" t="str">
            <v>02</v>
          </cell>
          <cell r="D4911" t="str">
            <v>5</v>
          </cell>
          <cell r="E4911" t="str">
            <v>0057</v>
          </cell>
          <cell r="F4911" t="str">
            <v>0005</v>
          </cell>
          <cell r="G4911" t="str">
            <v>50306</v>
          </cell>
          <cell r="H4911" t="str">
            <v>结转本月销售费用</v>
          </cell>
          <cell r="I4911" t="b">
            <v>0</v>
          </cell>
          <cell r="J4911">
            <v>315810.74</v>
          </cell>
          <cell r="K4911">
            <v>0</v>
          </cell>
          <cell r="L4911">
            <v>0</v>
          </cell>
        </row>
        <row r="4912">
          <cell r="A4912" t="str">
            <v>03</v>
          </cell>
          <cell r="B4912" t="str">
            <v>10</v>
          </cell>
          <cell r="C4912" t="str">
            <v>03</v>
          </cell>
          <cell r="D4912" t="str">
            <v>2</v>
          </cell>
          <cell r="E4912" t="str">
            <v>0007</v>
          </cell>
          <cell r="F4912" t="str">
            <v>0001</v>
          </cell>
          <cell r="G4912" t="str">
            <v>50306</v>
          </cell>
          <cell r="H4912" t="str">
            <v>付产地证费</v>
          </cell>
          <cell r="I4912" t="b">
            <v>1</v>
          </cell>
          <cell r="J4912">
            <v>1237</v>
          </cell>
          <cell r="K4912">
            <v>0</v>
          </cell>
          <cell r="L4912">
            <v>0</v>
          </cell>
        </row>
        <row r="4913">
          <cell r="A4913" t="str">
            <v>03</v>
          </cell>
          <cell r="B4913" t="str">
            <v>17</v>
          </cell>
          <cell r="C4913" t="str">
            <v>03</v>
          </cell>
          <cell r="D4913" t="str">
            <v>2</v>
          </cell>
          <cell r="E4913" t="str">
            <v>0017</v>
          </cell>
          <cell r="F4913" t="str">
            <v>0002</v>
          </cell>
          <cell r="G4913" t="str">
            <v>50306</v>
          </cell>
          <cell r="H4913" t="str">
            <v>付产地证费</v>
          </cell>
          <cell r="I4913" t="b">
            <v>1</v>
          </cell>
          <cell r="J4913">
            <v>480</v>
          </cell>
          <cell r="K4913">
            <v>0</v>
          </cell>
          <cell r="L4913">
            <v>0</v>
          </cell>
        </row>
        <row r="4914">
          <cell r="A4914" t="str">
            <v>03</v>
          </cell>
          <cell r="B4914" t="str">
            <v>02</v>
          </cell>
          <cell r="C4914" t="str">
            <v>03</v>
          </cell>
          <cell r="D4914" t="str">
            <v>4</v>
          </cell>
          <cell r="E4914" t="str">
            <v>0006</v>
          </cell>
          <cell r="F4914" t="str">
            <v>0002</v>
          </cell>
          <cell r="G4914" t="str">
            <v>50306</v>
          </cell>
          <cell r="H4914" t="str">
            <v>付海运保险费(FVE9965.60.71)</v>
          </cell>
          <cell r="I4914" t="b">
            <v>1</v>
          </cell>
          <cell r="J4914">
            <v>18194.419999999998</v>
          </cell>
          <cell r="K4914">
            <v>0</v>
          </cell>
          <cell r="L4914">
            <v>0</v>
          </cell>
        </row>
        <row r="4915">
          <cell r="A4915" t="str">
            <v>03</v>
          </cell>
          <cell r="B4915" t="str">
            <v>03</v>
          </cell>
          <cell r="C4915" t="str">
            <v>03</v>
          </cell>
          <cell r="D4915" t="str">
            <v>4</v>
          </cell>
          <cell r="E4915" t="str">
            <v>0009</v>
          </cell>
          <cell r="F4915" t="str">
            <v>0001</v>
          </cell>
          <cell r="G4915" t="str">
            <v>50306</v>
          </cell>
          <cell r="H4915" t="str">
            <v>付特快专递费</v>
          </cell>
          <cell r="I4915" t="b">
            <v>1</v>
          </cell>
          <cell r="J4915">
            <v>12283</v>
          </cell>
          <cell r="K4915">
            <v>0</v>
          </cell>
          <cell r="L4915">
            <v>0</v>
          </cell>
        </row>
        <row r="4916">
          <cell r="A4916" t="str">
            <v>03</v>
          </cell>
          <cell r="B4916" t="str">
            <v>14</v>
          </cell>
          <cell r="C4916" t="str">
            <v>03</v>
          </cell>
          <cell r="D4916" t="str">
            <v>4</v>
          </cell>
          <cell r="E4916" t="str">
            <v>0018</v>
          </cell>
          <cell r="F4916" t="str">
            <v>0003</v>
          </cell>
          <cell r="G4916" t="str">
            <v>50306</v>
          </cell>
          <cell r="H4916" t="str">
            <v>付港杂费(FVE9975.59.76.ZLB01)</v>
          </cell>
          <cell r="I4916" t="b">
            <v>1</v>
          </cell>
          <cell r="J4916">
            <v>25260</v>
          </cell>
          <cell r="K4916">
            <v>0</v>
          </cell>
          <cell r="L4916">
            <v>0</v>
          </cell>
        </row>
        <row r="4917">
          <cell r="A4917" t="str">
            <v>03</v>
          </cell>
          <cell r="B4917" t="str">
            <v>15</v>
          </cell>
          <cell r="C4917" t="str">
            <v>03</v>
          </cell>
          <cell r="D4917" t="str">
            <v>4</v>
          </cell>
          <cell r="E4917" t="str">
            <v>0020</v>
          </cell>
          <cell r="F4917" t="str">
            <v>0002</v>
          </cell>
          <cell r="G4917" t="str">
            <v>50306</v>
          </cell>
          <cell r="H4917" t="str">
            <v>付出口港杂费(FVE9971.72)</v>
          </cell>
          <cell r="I4917" t="b">
            <v>1</v>
          </cell>
          <cell r="J4917">
            <v>12000</v>
          </cell>
          <cell r="K4917">
            <v>0</v>
          </cell>
          <cell r="L4917">
            <v>0</v>
          </cell>
        </row>
        <row r="4918">
          <cell r="A4918" t="str">
            <v>03</v>
          </cell>
          <cell r="B4918" t="str">
            <v>30</v>
          </cell>
          <cell r="C4918" t="str">
            <v>03</v>
          </cell>
          <cell r="D4918" t="str">
            <v>5</v>
          </cell>
          <cell r="E4918" t="str">
            <v>0031</v>
          </cell>
          <cell r="F4918" t="str">
            <v>0005</v>
          </cell>
          <cell r="G4918" t="str">
            <v>50306</v>
          </cell>
          <cell r="H4918" t="str">
            <v>结转本月销售费用</v>
          </cell>
          <cell r="I4918" t="b">
            <v>0</v>
          </cell>
          <cell r="J4918">
            <v>69454.42</v>
          </cell>
          <cell r="K4918">
            <v>0</v>
          </cell>
          <cell r="L4918">
            <v>0</v>
          </cell>
        </row>
        <row r="4919">
          <cell r="A4919" t="str">
            <v>04</v>
          </cell>
          <cell r="B4919" t="str">
            <v>05</v>
          </cell>
          <cell r="C4919" t="str">
            <v>04</v>
          </cell>
          <cell r="D4919" t="str">
            <v>2</v>
          </cell>
          <cell r="E4919" t="str">
            <v>0004</v>
          </cell>
          <cell r="F4919" t="str">
            <v>0002</v>
          </cell>
          <cell r="G4919" t="str">
            <v>50306</v>
          </cell>
          <cell r="H4919" t="str">
            <v>付产地证费.邮费</v>
          </cell>
          <cell r="I4919" t="b">
            <v>1</v>
          </cell>
          <cell r="J4919">
            <v>480.4</v>
          </cell>
          <cell r="K4919">
            <v>0</v>
          </cell>
          <cell r="L4919">
            <v>0</v>
          </cell>
        </row>
        <row r="4920">
          <cell r="A4920" t="str">
            <v>04</v>
          </cell>
          <cell r="B4920" t="str">
            <v>16</v>
          </cell>
          <cell r="C4920" t="str">
            <v>04</v>
          </cell>
          <cell r="D4920" t="str">
            <v>4</v>
          </cell>
          <cell r="E4920" t="str">
            <v>0015</v>
          </cell>
          <cell r="F4920" t="str">
            <v>0002</v>
          </cell>
          <cell r="G4920" t="str">
            <v>50306</v>
          </cell>
          <cell r="H4920" t="str">
            <v>付FVE9977#.9987#发票运杂费</v>
          </cell>
          <cell r="I4920" t="b">
            <v>1</v>
          </cell>
          <cell r="J4920">
            <v>4076</v>
          </cell>
          <cell r="K4920">
            <v>0</v>
          </cell>
          <cell r="L4920">
            <v>0</v>
          </cell>
        </row>
        <row r="4921">
          <cell r="A4921" t="str">
            <v>04</v>
          </cell>
          <cell r="B4921" t="str">
            <v>16</v>
          </cell>
          <cell r="C4921" t="str">
            <v>04</v>
          </cell>
          <cell r="D4921" t="str">
            <v>4</v>
          </cell>
          <cell r="E4921" t="str">
            <v>0016</v>
          </cell>
          <cell r="F4921" t="str">
            <v>0002</v>
          </cell>
          <cell r="G4921" t="str">
            <v>50306</v>
          </cell>
          <cell r="H4921" t="str">
            <v>付FVE9986#.9979#发票运杂费</v>
          </cell>
          <cell r="I4921" t="b">
            <v>1</v>
          </cell>
          <cell r="J4921">
            <v>9355</v>
          </cell>
          <cell r="K4921">
            <v>0</v>
          </cell>
          <cell r="L4921">
            <v>0</v>
          </cell>
        </row>
        <row r="4922">
          <cell r="A4922" t="str">
            <v>04</v>
          </cell>
          <cell r="B4922" t="str">
            <v>16</v>
          </cell>
          <cell r="C4922" t="str">
            <v>04</v>
          </cell>
          <cell r="D4922" t="str">
            <v>4</v>
          </cell>
          <cell r="E4922" t="str">
            <v>0017</v>
          </cell>
          <cell r="F4922" t="str">
            <v>0002</v>
          </cell>
          <cell r="G4922" t="str">
            <v>50306</v>
          </cell>
          <cell r="H4922" t="str">
            <v>付FVE9984#.9982#发票运杂费</v>
          </cell>
          <cell r="I4922" t="b">
            <v>1</v>
          </cell>
          <cell r="J4922">
            <v>19200</v>
          </cell>
          <cell r="K4922">
            <v>0</v>
          </cell>
          <cell r="L4922">
            <v>0</v>
          </cell>
        </row>
        <row r="4923">
          <cell r="A4923" t="str">
            <v>04</v>
          </cell>
          <cell r="B4923" t="str">
            <v>19</v>
          </cell>
          <cell r="C4923" t="str">
            <v>04</v>
          </cell>
          <cell r="D4923" t="str">
            <v>4</v>
          </cell>
          <cell r="E4923" t="str">
            <v>0018</v>
          </cell>
          <cell r="F4923" t="str">
            <v>0001</v>
          </cell>
          <cell r="G4923" t="str">
            <v>50306</v>
          </cell>
          <cell r="H4923" t="str">
            <v>付FVE9983#.9981#发票运杂费</v>
          </cell>
          <cell r="I4923" t="b">
            <v>1</v>
          </cell>
          <cell r="J4923">
            <v>9055</v>
          </cell>
          <cell r="K4923">
            <v>0</v>
          </cell>
          <cell r="L4923">
            <v>0</v>
          </cell>
        </row>
        <row r="4924">
          <cell r="A4924" t="str">
            <v>04</v>
          </cell>
          <cell r="B4924" t="str">
            <v>19</v>
          </cell>
          <cell r="C4924" t="str">
            <v>04</v>
          </cell>
          <cell r="D4924" t="str">
            <v>4</v>
          </cell>
          <cell r="E4924" t="str">
            <v>0020</v>
          </cell>
          <cell r="F4924" t="str">
            <v>0001</v>
          </cell>
          <cell r="G4924" t="str">
            <v>50306</v>
          </cell>
          <cell r="H4924" t="str">
            <v>付ZLB01#发票运杂费等</v>
          </cell>
          <cell r="I4924" t="b">
            <v>1</v>
          </cell>
          <cell r="J4924">
            <v>147199</v>
          </cell>
          <cell r="K4924">
            <v>0</v>
          </cell>
          <cell r="L4924">
            <v>0</v>
          </cell>
        </row>
        <row r="4925">
          <cell r="A4925" t="str">
            <v>04</v>
          </cell>
          <cell r="B4925" t="str">
            <v>20</v>
          </cell>
          <cell r="C4925" t="str">
            <v>04</v>
          </cell>
          <cell r="D4925" t="str">
            <v>4</v>
          </cell>
          <cell r="E4925" t="str">
            <v>0023</v>
          </cell>
          <cell r="F4925" t="str">
            <v>0001</v>
          </cell>
          <cell r="G4925" t="str">
            <v>50306</v>
          </cell>
          <cell r="H4925" t="str">
            <v>付叉车费</v>
          </cell>
          <cell r="I4925" t="b">
            <v>1</v>
          </cell>
          <cell r="J4925">
            <v>3740</v>
          </cell>
          <cell r="K4925">
            <v>0</v>
          </cell>
          <cell r="L4925">
            <v>0</v>
          </cell>
        </row>
        <row r="4926">
          <cell r="A4926" t="str">
            <v>04</v>
          </cell>
          <cell r="B4926" t="str">
            <v>20</v>
          </cell>
          <cell r="C4926" t="str">
            <v>04</v>
          </cell>
          <cell r="D4926" t="str">
            <v>4</v>
          </cell>
          <cell r="E4926" t="str">
            <v>0031</v>
          </cell>
          <cell r="F4926" t="str">
            <v>0001</v>
          </cell>
          <cell r="G4926" t="str">
            <v>50306</v>
          </cell>
          <cell r="H4926" t="str">
            <v>付佣金</v>
          </cell>
          <cell r="I4926" t="b">
            <v>1</v>
          </cell>
          <cell r="J4926">
            <v>7956.31</v>
          </cell>
          <cell r="K4926">
            <v>0</v>
          </cell>
          <cell r="L4926">
            <v>0</v>
          </cell>
        </row>
        <row r="4927">
          <cell r="A4927" t="str">
            <v>04</v>
          </cell>
          <cell r="B4927" t="str">
            <v>20</v>
          </cell>
          <cell r="C4927" t="str">
            <v>04</v>
          </cell>
          <cell r="D4927" t="str">
            <v>5</v>
          </cell>
          <cell r="E4927" t="str">
            <v>0002</v>
          </cell>
          <cell r="F4927" t="str">
            <v>0002</v>
          </cell>
          <cell r="G4927" t="str">
            <v>50306</v>
          </cell>
          <cell r="H4927" t="str">
            <v>转报销产地证费</v>
          </cell>
          <cell r="I4927" t="b">
            <v>1</v>
          </cell>
          <cell r="J4927">
            <v>434</v>
          </cell>
          <cell r="K4927">
            <v>0</v>
          </cell>
          <cell r="L4927">
            <v>0</v>
          </cell>
        </row>
        <row r="4928">
          <cell r="A4928" t="str">
            <v>04</v>
          </cell>
          <cell r="B4928" t="str">
            <v>29</v>
          </cell>
          <cell r="C4928" t="str">
            <v>04</v>
          </cell>
          <cell r="D4928" t="str">
            <v>5</v>
          </cell>
          <cell r="E4928" t="str">
            <v>0037</v>
          </cell>
          <cell r="F4928" t="str">
            <v>0005</v>
          </cell>
          <cell r="G4928" t="str">
            <v>50306</v>
          </cell>
          <cell r="H4928" t="str">
            <v>结转本月销售费用</v>
          </cell>
          <cell r="I4928" t="b">
            <v>0</v>
          </cell>
          <cell r="J4928">
            <v>201495.71</v>
          </cell>
          <cell r="K4928">
            <v>0</v>
          </cell>
          <cell r="L4928">
            <v>0</v>
          </cell>
        </row>
        <row r="4929">
          <cell r="A4929" t="str">
            <v>05</v>
          </cell>
          <cell r="B4929" t="str">
            <v>11</v>
          </cell>
          <cell r="C4929" t="str">
            <v>05</v>
          </cell>
          <cell r="D4929" t="str">
            <v>4</v>
          </cell>
          <cell r="E4929" t="str">
            <v>0004</v>
          </cell>
          <cell r="F4929" t="str">
            <v>0001</v>
          </cell>
          <cell r="G4929" t="str">
            <v>50306</v>
          </cell>
          <cell r="H4929" t="str">
            <v>付ZLB02#发票运费</v>
          </cell>
          <cell r="I4929" t="b">
            <v>1</v>
          </cell>
          <cell r="J4929">
            <v>3050</v>
          </cell>
          <cell r="K4929">
            <v>0</v>
          </cell>
          <cell r="L4929">
            <v>0</v>
          </cell>
        </row>
        <row r="4930">
          <cell r="A4930" t="str">
            <v>05</v>
          </cell>
          <cell r="B4930" t="str">
            <v>15</v>
          </cell>
          <cell r="C4930" t="str">
            <v>05</v>
          </cell>
          <cell r="D4930" t="str">
            <v>4</v>
          </cell>
          <cell r="E4930" t="str">
            <v>0009</v>
          </cell>
          <cell r="F4930" t="str">
            <v>0001</v>
          </cell>
          <cell r="G4930" t="str">
            <v>50306</v>
          </cell>
          <cell r="H4930" t="str">
            <v>付FVE9992#.9989#发票运杂费</v>
          </cell>
          <cell r="I4930" t="b">
            <v>1</v>
          </cell>
          <cell r="J4930">
            <v>1386</v>
          </cell>
          <cell r="K4930">
            <v>0</v>
          </cell>
          <cell r="L4930">
            <v>0</v>
          </cell>
        </row>
        <row r="4931">
          <cell r="A4931" t="str">
            <v>05</v>
          </cell>
          <cell r="B4931" t="str">
            <v>16</v>
          </cell>
          <cell r="C4931" t="str">
            <v>05</v>
          </cell>
          <cell r="D4931" t="str">
            <v>4</v>
          </cell>
          <cell r="E4931" t="str">
            <v>0013</v>
          </cell>
          <cell r="F4931" t="str">
            <v>0002</v>
          </cell>
          <cell r="G4931" t="str">
            <v>50306</v>
          </cell>
          <cell r="H4931" t="str">
            <v>付美洲费用</v>
          </cell>
          <cell r="I4931" t="b">
            <v>1</v>
          </cell>
          <cell r="J4931">
            <v>154190.85999999999</v>
          </cell>
          <cell r="K4931">
            <v>0</v>
          </cell>
          <cell r="L4931">
            <v>0</v>
          </cell>
        </row>
        <row r="4932">
          <cell r="A4932" t="str">
            <v>05</v>
          </cell>
          <cell r="B4932" t="str">
            <v>17</v>
          </cell>
          <cell r="C4932" t="str">
            <v>05</v>
          </cell>
          <cell r="D4932" t="str">
            <v>4</v>
          </cell>
          <cell r="E4932" t="str">
            <v>0016</v>
          </cell>
          <cell r="F4932" t="str">
            <v>0001</v>
          </cell>
          <cell r="G4932" t="str">
            <v>50306</v>
          </cell>
          <cell r="H4932" t="str">
            <v>付FVE9993#.9994#发票运杂费</v>
          </cell>
          <cell r="I4932" t="b">
            <v>1</v>
          </cell>
          <cell r="J4932">
            <v>12304</v>
          </cell>
          <cell r="K4932">
            <v>0</v>
          </cell>
          <cell r="L4932">
            <v>0</v>
          </cell>
        </row>
        <row r="4933">
          <cell r="A4933" t="str">
            <v>05</v>
          </cell>
          <cell r="B4933" t="str">
            <v>24</v>
          </cell>
          <cell r="C4933" t="str">
            <v>05</v>
          </cell>
          <cell r="D4933" t="str">
            <v>4</v>
          </cell>
          <cell r="E4933" t="str">
            <v>0026</v>
          </cell>
          <cell r="F4933" t="str">
            <v>0001</v>
          </cell>
          <cell r="G4933" t="str">
            <v>50306</v>
          </cell>
          <cell r="H4933" t="str">
            <v>付手续费</v>
          </cell>
          <cell r="I4933" t="b">
            <v>1</v>
          </cell>
          <cell r="J4933">
            <v>127319.5</v>
          </cell>
          <cell r="K4933">
            <v>0</v>
          </cell>
          <cell r="L4933">
            <v>0</v>
          </cell>
        </row>
        <row r="4934">
          <cell r="A4934" t="str">
            <v>05</v>
          </cell>
          <cell r="B4934" t="str">
            <v>31</v>
          </cell>
          <cell r="C4934" t="str">
            <v>05</v>
          </cell>
          <cell r="D4934" t="str">
            <v>5</v>
          </cell>
          <cell r="E4934" t="str">
            <v>0038</v>
          </cell>
          <cell r="F4934" t="str">
            <v>0005</v>
          </cell>
          <cell r="G4934" t="str">
            <v>50306</v>
          </cell>
          <cell r="H4934" t="str">
            <v>结转本月销售费用</v>
          </cell>
          <cell r="I4934" t="b">
            <v>0</v>
          </cell>
          <cell r="J4934">
            <v>298250.36</v>
          </cell>
          <cell r="K4934">
            <v>0</v>
          </cell>
          <cell r="L4934">
            <v>0</v>
          </cell>
        </row>
        <row r="4935">
          <cell r="A4935" t="str">
            <v>06</v>
          </cell>
          <cell r="B4935" t="str">
            <v>05</v>
          </cell>
          <cell r="C4935" t="str">
            <v>06</v>
          </cell>
          <cell r="D4935" t="str">
            <v>2</v>
          </cell>
          <cell r="E4935" t="str">
            <v>0003</v>
          </cell>
          <cell r="F4935" t="str">
            <v>0001</v>
          </cell>
          <cell r="G4935" t="str">
            <v>50306</v>
          </cell>
          <cell r="H4935" t="str">
            <v>付产地证费</v>
          </cell>
          <cell r="I4935" t="b">
            <v>1</v>
          </cell>
          <cell r="J4935">
            <v>63704</v>
          </cell>
          <cell r="K4935">
            <v>0</v>
          </cell>
          <cell r="L4935">
            <v>0</v>
          </cell>
        </row>
        <row r="4936">
          <cell r="A4936" t="str">
            <v>06</v>
          </cell>
          <cell r="B4936" t="str">
            <v>15</v>
          </cell>
          <cell r="C4936" t="str">
            <v>06</v>
          </cell>
          <cell r="D4936" t="str">
            <v>4</v>
          </cell>
          <cell r="E4936" t="str">
            <v>0001</v>
          </cell>
          <cell r="F4936" t="str">
            <v>0003</v>
          </cell>
          <cell r="G4936" t="str">
            <v>50306</v>
          </cell>
          <cell r="H4936" t="str">
            <v>付ZLB03#发票运费.推销费等</v>
          </cell>
          <cell r="I4936" t="b">
            <v>1</v>
          </cell>
          <cell r="J4936">
            <v>45750.95</v>
          </cell>
          <cell r="K4936">
            <v>0</v>
          </cell>
          <cell r="L4936">
            <v>0</v>
          </cell>
        </row>
        <row r="4937">
          <cell r="A4937" t="str">
            <v>06</v>
          </cell>
          <cell r="B4937" t="str">
            <v>15</v>
          </cell>
          <cell r="C4937" t="str">
            <v>06</v>
          </cell>
          <cell r="D4937" t="str">
            <v>4</v>
          </cell>
          <cell r="E4937" t="str">
            <v>0002</v>
          </cell>
          <cell r="F4937" t="str">
            <v>0003</v>
          </cell>
          <cell r="G4937" t="str">
            <v>50306</v>
          </cell>
          <cell r="H4937" t="str">
            <v>付运杂费</v>
          </cell>
          <cell r="I4937" t="b">
            <v>1</v>
          </cell>
          <cell r="J4937">
            <v>8480</v>
          </cell>
          <cell r="K4937">
            <v>0</v>
          </cell>
          <cell r="L4937">
            <v>0</v>
          </cell>
        </row>
        <row r="4938">
          <cell r="A4938" t="str">
            <v>06</v>
          </cell>
          <cell r="B4938" t="str">
            <v>15</v>
          </cell>
          <cell r="C4938" t="str">
            <v>06</v>
          </cell>
          <cell r="D4938" t="str">
            <v>4</v>
          </cell>
          <cell r="E4938" t="str">
            <v>0003</v>
          </cell>
          <cell r="F4938" t="str">
            <v>0002</v>
          </cell>
          <cell r="G4938" t="str">
            <v>50306</v>
          </cell>
          <cell r="H4938" t="str">
            <v>付FVE99101#等发票运杂费</v>
          </cell>
          <cell r="I4938" t="b">
            <v>1</v>
          </cell>
          <cell r="J4938">
            <v>2417</v>
          </cell>
          <cell r="K4938">
            <v>0</v>
          </cell>
          <cell r="L4938">
            <v>0</v>
          </cell>
        </row>
        <row r="4939">
          <cell r="A4939" t="str">
            <v>06</v>
          </cell>
          <cell r="B4939" t="str">
            <v>25</v>
          </cell>
          <cell r="C4939" t="str">
            <v>06</v>
          </cell>
          <cell r="D4939" t="str">
            <v>5</v>
          </cell>
          <cell r="E4939" t="str">
            <v>0027</v>
          </cell>
          <cell r="F4939" t="str">
            <v>0005</v>
          </cell>
          <cell r="G4939" t="str">
            <v>50306</v>
          </cell>
          <cell r="H4939" t="str">
            <v>结转本月销售费用</v>
          </cell>
          <cell r="I4939" t="b">
            <v>0</v>
          </cell>
          <cell r="J4939">
            <v>120351.95</v>
          </cell>
          <cell r="K4939">
            <v>0</v>
          </cell>
          <cell r="L4939">
            <v>0</v>
          </cell>
        </row>
        <row r="4940">
          <cell r="A4940" t="str">
            <v>07</v>
          </cell>
          <cell r="B4940" t="str">
            <v>18</v>
          </cell>
          <cell r="C4940" t="str">
            <v>07</v>
          </cell>
          <cell r="D4940" t="str">
            <v>2</v>
          </cell>
          <cell r="E4940" t="str">
            <v>0015</v>
          </cell>
          <cell r="F4940" t="str">
            <v>0003</v>
          </cell>
          <cell r="G4940" t="str">
            <v>50306</v>
          </cell>
          <cell r="H4940" t="str">
            <v>付认证费</v>
          </cell>
          <cell r="I4940" t="b">
            <v>1</v>
          </cell>
          <cell r="J4940">
            <v>13</v>
          </cell>
          <cell r="K4940">
            <v>0</v>
          </cell>
          <cell r="L4940">
            <v>0</v>
          </cell>
        </row>
        <row r="4941">
          <cell r="A4941" t="str">
            <v>07</v>
          </cell>
          <cell r="B4941" t="str">
            <v>15</v>
          </cell>
          <cell r="C4941" t="str">
            <v>07</v>
          </cell>
          <cell r="D4941" t="str">
            <v>4</v>
          </cell>
          <cell r="E4941" t="str">
            <v>0010</v>
          </cell>
          <cell r="F4941" t="str">
            <v>0001</v>
          </cell>
          <cell r="G4941" t="str">
            <v>50306</v>
          </cell>
          <cell r="H4941" t="str">
            <v>付ZLB05#发票运费</v>
          </cell>
          <cell r="I4941" t="b">
            <v>1</v>
          </cell>
          <cell r="J4941">
            <v>2735</v>
          </cell>
          <cell r="K4941">
            <v>0</v>
          </cell>
          <cell r="L4941">
            <v>0</v>
          </cell>
        </row>
        <row r="4942">
          <cell r="A4942" t="str">
            <v>07</v>
          </cell>
          <cell r="B4942" t="str">
            <v>15</v>
          </cell>
          <cell r="C4942" t="str">
            <v>07</v>
          </cell>
          <cell r="D4942" t="str">
            <v>4</v>
          </cell>
          <cell r="E4942" t="str">
            <v>0010</v>
          </cell>
          <cell r="F4942" t="str">
            <v>0002</v>
          </cell>
          <cell r="G4942" t="str">
            <v>50306</v>
          </cell>
          <cell r="H4942" t="str">
            <v>付认证费</v>
          </cell>
          <cell r="I4942" t="b">
            <v>1</v>
          </cell>
          <cell r="J4942">
            <v>18060.89</v>
          </cell>
          <cell r="K4942">
            <v>0</v>
          </cell>
          <cell r="L4942">
            <v>0</v>
          </cell>
        </row>
        <row r="4943">
          <cell r="A4943" t="str">
            <v>07</v>
          </cell>
          <cell r="B4943" t="str">
            <v>19</v>
          </cell>
          <cell r="C4943" t="str">
            <v>07</v>
          </cell>
          <cell r="D4943" t="str">
            <v>4</v>
          </cell>
          <cell r="E4943" t="str">
            <v>0019</v>
          </cell>
          <cell r="F4943" t="str">
            <v>0003</v>
          </cell>
          <cell r="G4943" t="str">
            <v>50306</v>
          </cell>
          <cell r="H4943" t="str">
            <v>付邮递费</v>
          </cell>
          <cell r="I4943" t="b">
            <v>1</v>
          </cell>
          <cell r="J4943">
            <v>2321</v>
          </cell>
          <cell r="K4943">
            <v>0</v>
          </cell>
          <cell r="L4943">
            <v>0</v>
          </cell>
        </row>
        <row r="4944">
          <cell r="A4944" t="str">
            <v>07</v>
          </cell>
          <cell r="B4944" t="str">
            <v>29</v>
          </cell>
          <cell r="C4944" t="str">
            <v>07</v>
          </cell>
          <cell r="D4944" t="str">
            <v>5</v>
          </cell>
          <cell r="E4944" t="str">
            <v>0043</v>
          </cell>
          <cell r="F4944" t="str">
            <v>0003</v>
          </cell>
          <cell r="G4944" t="str">
            <v>50306</v>
          </cell>
          <cell r="H4944" t="str">
            <v>结转本月销售费用</v>
          </cell>
          <cell r="I4944" t="b">
            <v>0</v>
          </cell>
          <cell r="J4944">
            <v>23129.89</v>
          </cell>
          <cell r="K4944">
            <v>0</v>
          </cell>
          <cell r="L4944">
            <v>0</v>
          </cell>
        </row>
        <row r="4945">
          <cell r="A4945" t="str">
            <v>08</v>
          </cell>
          <cell r="B4945" t="str">
            <v>03</v>
          </cell>
          <cell r="C4945" t="str">
            <v>08</v>
          </cell>
          <cell r="D4945" t="str">
            <v>2</v>
          </cell>
          <cell r="E4945" t="str">
            <v>0002</v>
          </cell>
          <cell r="F4945" t="str">
            <v>0001</v>
          </cell>
          <cell r="G4945" t="str">
            <v>50306</v>
          </cell>
          <cell r="H4945" t="str">
            <v>付业务费.广告费</v>
          </cell>
          <cell r="I4945" t="b">
            <v>1</v>
          </cell>
          <cell r="J4945">
            <v>5282.5</v>
          </cell>
          <cell r="K4945">
            <v>0</v>
          </cell>
          <cell r="L4945">
            <v>0</v>
          </cell>
        </row>
        <row r="4946">
          <cell r="A4946" t="str">
            <v>08</v>
          </cell>
          <cell r="B4946" t="str">
            <v>05</v>
          </cell>
          <cell r="C4946" t="str">
            <v>08</v>
          </cell>
          <cell r="D4946" t="str">
            <v>2</v>
          </cell>
          <cell r="E4946" t="str">
            <v>0011</v>
          </cell>
          <cell r="F4946" t="str">
            <v>0002</v>
          </cell>
          <cell r="G4946" t="str">
            <v>50306</v>
          </cell>
          <cell r="H4946" t="str">
            <v>付一部邮寄费等</v>
          </cell>
          <cell r="I4946" t="b">
            <v>1</v>
          </cell>
          <cell r="J4946">
            <v>2405</v>
          </cell>
          <cell r="K4946">
            <v>0</v>
          </cell>
          <cell r="L4946">
            <v>0</v>
          </cell>
        </row>
        <row r="4947">
          <cell r="A4947" t="str">
            <v>08</v>
          </cell>
          <cell r="B4947" t="str">
            <v>05</v>
          </cell>
          <cell r="C4947" t="str">
            <v>08</v>
          </cell>
          <cell r="D4947" t="str">
            <v>2</v>
          </cell>
          <cell r="E4947" t="str">
            <v>0013</v>
          </cell>
          <cell r="F4947" t="str">
            <v>0001</v>
          </cell>
          <cell r="G4947" t="str">
            <v>50306</v>
          </cell>
          <cell r="H4947" t="str">
            <v>付销售信息费</v>
          </cell>
          <cell r="I4947" t="b">
            <v>1</v>
          </cell>
          <cell r="J4947">
            <v>31801</v>
          </cell>
          <cell r="K4947">
            <v>0</v>
          </cell>
          <cell r="L4947">
            <v>0</v>
          </cell>
        </row>
        <row r="4948">
          <cell r="A4948" t="str">
            <v>08</v>
          </cell>
          <cell r="B4948" t="str">
            <v>05</v>
          </cell>
          <cell r="C4948" t="str">
            <v>08</v>
          </cell>
          <cell r="D4948" t="str">
            <v>4</v>
          </cell>
          <cell r="E4948" t="str">
            <v>0007</v>
          </cell>
          <cell r="F4948" t="str">
            <v>0001</v>
          </cell>
          <cell r="G4948" t="str">
            <v>50306</v>
          </cell>
          <cell r="H4948" t="str">
            <v>付工本费</v>
          </cell>
          <cell r="I4948" t="b">
            <v>1</v>
          </cell>
          <cell r="J4948">
            <v>10</v>
          </cell>
          <cell r="K4948">
            <v>0</v>
          </cell>
          <cell r="L4948">
            <v>0</v>
          </cell>
        </row>
        <row r="4949">
          <cell r="A4949" t="str">
            <v>08</v>
          </cell>
          <cell r="B4949" t="str">
            <v>06</v>
          </cell>
          <cell r="C4949" t="str">
            <v>08</v>
          </cell>
          <cell r="D4949" t="str">
            <v>4</v>
          </cell>
          <cell r="E4949" t="str">
            <v>0011</v>
          </cell>
          <cell r="F4949" t="str">
            <v>0001</v>
          </cell>
          <cell r="G4949" t="str">
            <v>50306</v>
          </cell>
          <cell r="H4949" t="str">
            <v>付信息费.认证费</v>
          </cell>
          <cell r="I4949" t="b">
            <v>1</v>
          </cell>
          <cell r="J4949">
            <v>23402.09</v>
          </cell>
          <cell r="K4949">
            <v>0</v>
          </cell>
          <cell r="L4949">
            <v>0</v>
          </cell>
        </row>
        <row r="4950">
          <cell r="A4950" t="str">
            <v>08</v>
          </cell>
          <cell r="B4950" t="str">
            <v>06</v>
          </cell>
          <cell r="C4950" t="str">
            <v>08</v>
          </cell>
          <cell r="D4950" t="str">
            <v>4</v>
          </cell>
          <cell r="E4950" t="str">
            <v>0012</v>
          </cell>
          <cell r="F4950" t="str">
            <v>0001</v>
          </cell>
          <cell r="G4950" t="str">
            <v>50306</v>
          </cell>
          <cell r="H4950" t="str">
            <v>付ZLB06#发票港杂费</v>
          </cell>
          <cell r="I4950" t="b">
            <v>1</v>
          </cell>
          <cell r="J4950">
            <v>2275</v>
          </cell>
          <cell r="K4950">
            <v>0</v>
          </cell>
          <cell r="L4950">
            <v>0</v>
          </cell>
        </row>
        <row r="4951">
          <cell r="A4951" t="str">
            <v>08</v>
          </cell>
          <cell r="B4951" t="str">
            <v>06</v>
          </cell>
          <cell r="C4951" t="str">
            <v>08</v>
          </cell>
          <cell r="D4951" t="str">
            <v>4</v>
          </cell>
          <cell r="E4951" t="str">
            <v>0012</v>
          </cell>
          <cell r="F4951" t="str">
            <v>0002</v>
          </cell>
          <cell r="G4951" t="str">
            <v>50306</v>
          </cell>
          <cell r="H4951" t="str">
            <v>付FVE99113#发票运杂费</v>
          </cell>
          <cell r="I4951" t="b">
            <v>1</v>
          </cell>
          <cell r="J4951">
            <v>605</v>
          </cell>
          <cell r="K4951">
            <v>0</v>
          </cell>
          <cell r="L4951">
            <v>0</v>
          </cell>
        </row>
        <row r="4952">
          <cell r="A4952" t="str">
            <v>08</v>
          </cell>
          <cell r="B4952" t="str">
            <v>06</v>
          </cell>
          <cell r="C4952" t="str">
            <v>08</v>
          </cell>
          <cell r="D4952" t="str">
            <v>4</v>
          </cell>
          <cell r="E4952" t="str">
            <v>0012</v>
          </cell>
          <cell r="F4952" t="str">
            <v>0003</v>
          </cell>
          <cell r="G4952" t="str">
            <v>50306</v>
          </cell>
          <cell r="H4952" t="str">
            <v>付FVE99112#发票运杂费</v>
          </cell>
          <cell r="I4952" t="b">
            <v>1</v>
          </cell>
          <cell r="J4952">
            <v>605</v>
          </cell>
          <cell r="K4952">
            <v>0</v>
          </cell>
          <cell r="L4952">
            <v>0</v>
          </cell>
        </row>
        <row r="4953">
          <cell r="A4953" t="str">
            <v>08</v>
          </cell>
          <cell r="B4953" t="str">
            <v>06</v>
          </cell>
          <cell r="C4953" t="str">
            <v>08</v>
          </cell>
          <cell r="D4953" t="str">
            <v>4</v>
          </cell>
          <cell r="E4953" t="str">
            <v>0012</v>
          </cell>
          <cell r="F4953" t="str">
            <v>0004</v>
          </cell>
          <cell r="G4953" t="str">
            <v>50306</v>
          </cell>
          <cell r="H4953" t="str">
            <v>付FVE99104#发票运杂费</v>
          </cell>
          <cell r="I4953" t="b">
            <v>1</v>
          </cell>
          <cell r="J4953">
            <v>605</v>
          </cell>
          <cell r="K4953">
            <v>0</v>
          </cell>
          <cell r="L4953">
            <v>0</v>
          </cell>
        </row>
        <row r="4954">
          <cell r="A4954" t="str">
            <v>08</v>
          </cell>
          <cell r="B4954" t="str">
            <v>06</v>
          </cell>
          <cell r="C4954" t="str">
            <v>08</v>
          </cell>
          <cell r="D4954" t="str">
            <v>4</v>
          </cell>
          <cell r="E4954" t="str">
            <v>0013</v>
          </cell>
          <cell r="F4954" t="str">
            <v>0002</v>
          </cell>
          <cell r="G4954" t="str">
            <v>50306</v>
          </cell>
          <cell r="H4954" t="str">
            <v>付FVE99109#发票运杂费</v>
          </cell>
          <cell r="I4954" t="b">
            <v>1</v>
          </cell>
          <cell r="J4954">
            <v>6780</v>
          </cell>
          <cell r="K4954">
            <v>0</v>
          </cell>
          <cell r="L4954">
            <v>0</v>
          </cell>
        </row>
        <row r="4955">
          <cell r="A4955" t="str">
            <v>08</v>
          </cell>
          <cell r="B4955" t="str">
            <v>18</v>
          </cell>
          <cell r="C4955" t="str">
            <v>08</v>
          </cell>
          <cell r="D4955" t="str">
            <v>4</v>
          </cell>
          <cell r="E4955" t="str">
            <v>0021</v>
          </cell>
          <cell r="F4955" t="str">
            <v>0001</v>
          </cell>
          <cell r="G4955" t="str">
            <v>50306</v>
          </cell>
          <cell r="H4955" t="str">
            <v>付FVE99114/99115#发票运杂费</v>
          </cell>
          <cell r="I4955" t="b">
            <v>1</v>
          </cell>
          <cell r="J4955">
            <v>2445</v>
          </cell>
          <cell r="K4955">
            <v>0</v>
          </cell>
          <cell r="L4955">
            <v>0</v>
          </cell>
        </row>
        <row r="4956">
          <cell r="A4956" t="str">
            <v>08</v>
          </cell>
          <cell r="B4956" t="str">
            <v>18</v>
          </cell>
          <cell r="C4956" t="str">
            <v>08</v>
          </cell>
          <cell r="D4956" t="str">
            <v>4</v>
          </cell>
          <cell r="E4956" t="str">
            <v>0021</v>
          </cell>
          <cell r="F4956" t="str">
            <v>0002</v>
          </cell>
          <cell r="G4956" t="str">
            <v>50306</v>
          </cell>
          <cell r="H4956" t="str">
            <v>付FVE99118#发票运杂费</v>
          </cell>
          <cell r="I4956" t="b">
            <v>1</v>
          </cell>
          <cell r="J4956">
            <v>1820</v>
          </cell>
          <cell r="K4956">
            <v>0</v>
          </cell>
          <cell r="L4956">
            <v>0</v>
          </cell>
        </row>
        <row r="4957">
          <cell r="A4957" t="str">
            <v>08</v>
          </cell>
          <cell r="B4957" t="str">
            <v>18</v>
          </cell>
          <cell r="C4957" t="str">
            <v>08</v>
          </cell>
          <cell r="D4957" t="str">
            <v>4</v>
          </cell>
          <cell r="E4957" t="str">
            <v>0021</v>
          </cell>
          <cell r="F4957" t="str">
            <v>0003</v>
          </cell>
          <cell r="G4957" t="str">
            <v>50306</v>
          </cell>
          <cell r="H4957" t="str">
            <v>付FVE99116#发票运杂费</v>
          </cell>
          <cell r="I4957" t="b">
            <v>1</v>
          </cell>
          <cell r="J4957">
            <v>1415</v>
          </cell>
          <cell r="K4957">
            <v>0</v>
          </cell>
          <cell r="L4957">
            <v>0</v>
          </cell>
        </row>
        <row r="4958">
          <cell r="A4958" t="str">
            <v>08</v>
          </cell>
          <cell r="B4958" t="str">
            <v>20</v>
          </cell>
          <cell r="C4958" t="str">
            <v>08</v>
          </cell>
          <cell r="D4958" t="str">
            <v>4</v>
          </cell>
          <cell r="E4958" t="str">
            <v>0024</v>
          </cell>
          <cell r="F4958" t="str">
            <v>0001</v>
          </cell>
          <cell r="G4958" t="str">
            <v>50306</v>
          </cell>
          <cell r="H4958" t="str">
            <v>付邮寄费</v>
          </cell>
          <cell r="I4958" t="b">
            <v>1</v>
          </cell>
          <cell r="J4958">
            <v>2319</v>
          </cell>
          <cell r="K4958">
            <v>0</v>
          </cell>
          <cell r="L4958">
            <v>0</v>
          </cell>
        </row>
        <row r="4959">
          <cell r="A4959" t="str">
            <v>08</v>
          </cell>
          <cell r="B4959" t="str">
            <v>20</v>
          </cell>
          <cell r="C4959" t="str">
            <v>08</v>
          </cell>
          <cell r="D4959" t="str">
            <v>4</v>
          </cell>
          <cell r="E4959" t="str">
            <v>0028</v>
          </cell>
          <cell r="F4959" t="str">
            <v>0001</v>
          </cell>
          <cell r="G4959" t="str">
            <v>50306</v>
          </cell>
          <cell r="H4959" t="str">
            <v>付费用USD21498.67</v>
          </cell>
          <cell r="I4959" t="b">
            <v>1</v>
          </cell>
          <cell r="J4959">
            <v>177703.41</v>
          </cell>
          <cell r="K4959">
            <v>0</v>
          </cell>
          <cell r="L4959">
            <v>0</v>
          </cell>
        </row>
        <row r="4960">
          <cell r="A4960" t="str">
            <v>08</v>
          </cell>
          <cell r="B4960" t="str">
            <v>31</v>
          </cell>
          <cell r="C4960" t="str">
            <v>08</v>
          </cell>
          <cell r="D4960" t="str">
            <v>5</v>
          </cell>
          <cell r="E4960" t="str">
            <v>0034</v>
          </cell>
          <cell r="F4960" t="str">
            <v>0005</v>
          </cell>
          <cell r="G4960" t="str">
            <v>50306</v>
          </cell>
          <cell r="H4960" t="str">
            <v>结转本月销售费用</v>
          </cell>
          <cell r="I4960" t="b">
            <v>0</v>
          </cell>
          <cell r="J4960">
            <v>259473</v>
          </cell>
          <cell r="K4960">
            <v>0</v>
          </cell>
          <cell r="L4960">
            <v>0</v>
          </cell>
        </row>
        <row r="4961">
          <cell r="A4961" t="str">
            <v>09</v>
          </cell>
          <cell r="B4961" t="str">
            <v>20</v>
          </cell>
          <cell r="C4961" t="str">
            <v>09</v>
          </cell>
          <cell r="D4961" t="str">
            <v>2</v>
          </cell>
          <cell r="E4961" t="str">
            <v>0014</v>
          </cell>
          <cell r="F4961" t="str">
            <v>0001</v>
          </cell>
          <cell r="G4961" t="str">
            <v>50306</v>
          </cell>
          <cell r="H4961" t="str">
            <v>付快递费</v>
          </cell>
          <cell r="I4961" t="b">
            <v>1</v>
          </cell>
          <cell r="J4961">
            <v>4788</v>
          </cell>
          <cell r="K4961">
            <v>0</v>
          </cell>
          <cell r="L4961">
            <v>0</v>
          </cell>
        </row>
        <row r="4962">
          <cell r="A4962" t="str">
            <v>09</v>
          </cell>
          <cell r="B4962" t="str">
            <v>12</v>
          </cell>
          <cell r="C4962" t="str">
            <v>09</v>
          </cell>
          <cell r="D4962" t="str">
            <v>4</v>
          </cell>
          <cell r="E4962" t="str">
            <v>0013</v>
          </cell>
          <cell r="F4962" t="str">
            <v>0001</v>
          </cell>
          <cell r="G4962" t="str">
            <v>50306</v>
          </cell>
          <cell r="H4962" t="str">
            <v>付ZLB07#发票港口费用</v>
          </cell>
          <cell r="I4962" t="b">
            <v>1</v>
          </cell>
          <cell r="J4962">
            <v>1778</v>
          </cell>
          <cell r="K4962">
            <v>0</v>
          </cell>
          <cell r="L4962">
            <v>0</v>
          </cell>
        </row>
        <row r="4963">
          <cell r="A4963" t="str">
            <v>09</v>
          </cell>
          <cell r="B4963" t="str">
            <v>12</v>
          </cell>
          <cell r="C4963" t="str">
            <v>09</v>
          </cell>
          <cell r="D4963" t="str">
            <v>4</v>
          </cell>
          <cell r="E4963" t="str">
            <v>0013</v>
          </cell>
          <cell r="F4963" t="str">
            <v>0002</v>
          </cell>
          <cell r="G4963" t="str">
            <v>50306</v>
          </cell>
          <cell r="H4963" t="str">
            <v>付FVE99117#发票港杂费</v>
          </cell>
          <cell r="I4963" t="b">
            <v>1</v>
          </cell>
          <cell r="J4963">
            <v>2630</v>
          </cell>
          <cell r="K4963">
            <v>0</v>
          </cell>
          <cell r="L4963">
            <v>0</v>
          </cell>
        </row>
        <row r="4964">
          <cell r="A4964" t="str">
            <v>09</v>
          </cell>
          <cell r="B4964" t="str">
            <v>12</v>
          </cell>
          <cell r="C4964" t="str">
            <v>09</v>
          </cell>
          <cell r="D4964" t="str">
            <v>4</v>
          </cell>
          <cell r="E4964" t="str">
            <v>0013</v>
          </cell>
          <cell r="F4964" t="str">
            <v>0003</v>
          </cell>
          <cell r="G4964" t="str">
            <v>50306</v>
          </cell>
          <cell r="H4964" t="str">
            <v>付FVE99119#发票港杂费</v>
          </cell>
          <cell r="I4964" t="b">
            <v>1</v>
          </cell>
          <cell r="J4964">
            <v>1415</v>
          </cell>
          <cell r="K4964">
            <v>0</v>
          </cell>
          <cell r="L4964">
            <v>0</v>
          </cell>
        </row>
        <row r="4965">
          <cell r="A4965" t="str">
            <v>09</v>
          </cell>
          <cell r="B4965" t="str">
            <v>12</v>
          </cell>
          <cell r="C4965" t="str">
            <v>09</v>
          </cell>
          <cell r="D4965" t="str">
            <v>4</v>
          </cell>
          <cell r="E4965" t="str">
            <v>0013</v>
          </cell>
          <cell r="F4965" t="str">
            <v>0004</v>
          </cell>
          <cell r="G4965" t="str">
            <v>50306</v>
          </cell>
          <cell r="H4965" t="str">
            <v>付ZLA00001/00002#发票港杂费</v>
          </cell>
          <cell r="I4965" t="b">
            <v>1</v>
          </cell>
          <cell r="J4965">
            <v>3235</v>
          </cell>
          <cell r="K4965">
            <v>0</v>
          </cell>
          <cell r="L4965">
            <v>0</v>
          </cell>
        </row>
        <row r="4966">
          <cell r="A4966" t="str">
            <v>09</v>
          </cell>
          <cell r="B4966" t="str">
            <v>12</v>
          </cell>
          <cell r="C4966" t="str">
            <v>09</v>
          </cell>
          <cell r="D4966" t="str">
            <v>4</v>
          </cell>
          <cell r="E4966" t="str">
            <v>0014</v>
          </cell>
          <cell r="F4966" t="str">
            <v>0001</v>
          </cell>
          <cell r="G4966" t="str">
            <v>50306</v>
          </cell>
          <cell r="H4966" t="str">
            <v>付FVE99121#发票港杂费</v>
          </cell>
          <cell r="I4966" t="b">
            <v>1</v>
          </cell>
          <cell r="J4966">
            <v>2630</v>
          </cell>
          <cell r="K4966">
            <v>0</v>
          </cell>
          <cell r="L4966">
            <v>0</v>
          </cell>
        </row>
        <row r="4967">
          <cell r="A4967" t="str">
            <v>09</v>
          </cell>
          <cell r="B4967" t="str">
            <v>12</v>
          </cell>
          <cell r="C4967" t="str">
            <v>09</v>
          </cell>
          <cell r="D4967" t="str">
            <v>4</v>
          </cell>
          <cell r="E4967" t="str">
            <v>0014</v>
          </cell>
          <cell r="F4967" t="str">
            <v>0002</v>
          </cell>
          <cell r="G4967" t="str">
            <v>50306</v>
          </cell>
          <cell r="H4967" t="str">
            <v>付ZLA00005/00006#发票港杂费</v>
          </cell>
          <cell r="I4967" t="b">
            <v>1</v>
          </cell>
          <cell r="J4967">
            <v>2425</v>
          </cell>
          <cell r="K4967">
            <v>0</v>
          </cell>
          <cell r="L4967">
            <v>0</v>
          </cell>
        </row>
        <row r="4968">
          <cell r="A4968" t="str">
            <v>09</v>
          </cell>
          <cell r="B4968" t="str">
            <v>12</v>
          </cell>
          <cell r="C4968" t="str">
            <v>09</v>
          </cell>
          <cell r="D4968" t="str">
            <v>4</v>
          </cell>
          <cell r="E4968" t="str">
            <v>0014</v>
          </cell>
          <cell r="F4968" t="str">
            <v>0003</v>
          </cell>
          <cell r="G4968" t="str">
            <v>50306</v>
          </cell>
          <cell r="H4968" t="str">
            <v>付ZLA00003#发票港杂费</v>
          </cell>
          <cell r="I4968" t="b">
            <v>1</v>
          </cell>
          <cell r="J4968">
            <v>2225</v>
          </cell>
          <cell r="K4968">
            <v>0</v>
          </cell>
          <cell r="L4968">
            <v>0</v>
          </cell>
        </row>
        <row r="4969">
          <cell r="A4969" t="str">
            <v>09</v>
          </cell>
          <cell r="B4969" t="str">
            <v>23</v>
          </cell>
          <cell r="C4969" t="str">
            <v>09</v>
          </cell>
          <cell r="D4969" t="str">
            <v>4</v>
          </cell>
          <cell r="E4969" t="str">
            <v>0025</v>
          </cell>
          <cell r="F4969" t="str">
            <v>0001</v>
          </cell>
          <cell r="G4969" t="str">
            <v>50306</v>
          </cell>
          <cell r="H4969" t="str">
            <v>付ZLA00007#发票港杂费</v>
          </cell>
          <cell r="I4969" t="b">
            <v>1</v>
          </cell>
          <cell r="J4969">
            <v>605</v>
          </cell>
          <cell r="K4969">
            <v>0</v>
          </cell>
          <cell r="L4969">
            <v>0</v>
          </cell>
        </row>
        <row r="4970">
          <cell r="A4970" t="str">
            <v>09</v>
          </cell>
          <cell r="B4970" t="str">
            <v>23</v>
          </cell>
          <cell r="C4970" t="str">
            <v>09</v>
          </cell>
          <cell r="D4970" t="str">
            <v>4</v>
          </cell>
          <cell r="E4970" t="str">
            <v>0025</v>
          </cell>
          <cell r="F4970" t="str">
            <v>0002</v>
          </cell>
          <cell r="G4970" t="str">
            <v>50306</v>
          </cell>
          <cell r="H4970" t="str">
            <v>付ZLA00009#发票港杂费</v>
          </cell>
          <cell r="I4970" t="b">
            <v>1</v>
          </cell>
          <cell r="J4970">
            <v>2225</v>
          </cell>
          <cell r="K4970">
            <v>0</v>
          </cell>
          <cell r="L4970">
            <v>0</v>
          </cell>
        </row>
        <row r="4971">
          <cell r="A4971" t="str">
            <v>09</v>
          </cell>
          <cell r="B4971" t="str">
            <v>23</v>
          </cell>
          <cell r="C4971" t="str">
            <v>09</v>
          </cell>
          <cell r="D4971" t="str">
            <v>4</v>
          </cell>
          <cell r="E4971" t="str">
            <v>0025</v>
          </cell>
          <cell r="F4971" t="str">
            <v>0003</v>
          </cell>
          <cell r="G4971" t="str">
            <v>50306</v>
          </cell>
          <cell r="H4971" t="str">
            <v>付FVE99122#发票港杂费</v>
          </cell>
          <cell r="I4971" t="b">
            <v>1</v>
          </cell>
          <cell r="J4971">
            <v>1415</v>
          </cell>
          <cell r="K4971">
            <v>0</v>
          </cell>
          <cell r="L4971">
            <v>0</v>
          </cell>
        </row>
        <row r="4972">
          <cell r="A4972" t="str">
            <v>09</v>
          </cell>
          <cell r="B4972" t="str">
            <v>23</v>
          </cell>
          <cell r="C4972" t="str">
            <v>09</v>
          </cell>
          <cell r="D4972" t="str">
            <v>4</v>
          </cell>
          <cell r="E4972" t="str">
            <v>0025</v>
          </cell>
          <cell r="F4972" t="str">
            <v>0004</v>
          </cell>
          <cell r="G4972" t="str">
            <v>50306</v>
          </cell>
          <cell r="H4972" t="str">
            <v>付ZLA00008#发票港杂费</v>
          </cell>
          <cell r="I4972" t="b">
            <v>1</v>
          </cell>
          <cell r="J4972">
            <v>605</v>
          </cell>
          <cell r="K4972">
            <v>0</v>
          </cell>
          <cell r="L4972">
            <v>0</v>
          </cell>
        </row>
        <row r="4973">
          <cell r="A4973" t="str">
            <v>09</v>
          </cell>
          <cell r="B4973" t="str">
            <v>23</v>
          </cell>
          <cell r="C4973" t="str">
            <v>09</v>
          </cell>
          <cell r="D4973" t="str">
            <v>4</v>
          </cell>
          <cell r="E4973" t="str">
            <v>0025</v>
          </cell>
          <cell r="F4973" t="str">
            <v>0005</v>
          </cell>
          <cell r="G4973" t="str">
            <v>50306</v>
          </cell>
          <cell r="H4973" t="str">
            <v>付FVE99123#发票港杂费</v>
          </cell>
          <cell r="I4973" t="b">
            <v>1</v>
          </cell>
          <cell r="J4973">
            <v>1415</v>
          </cell>
          <cell r="K4973">
            <v>0</v>
          </cell>
          <cell r="L4973">
            <v>0</v>
          </cell>
        </row>
        <row r="4974">
          <cell r="A4974" t="str">
            <v>09</v>
          </cell>
          <cell r="B4974" t="str">
            <v>23</v>
          </cell>
          <cell r="C4974" t="str">
            <v>09</v>
          </cell>
          <cell r="D4974" t="str">
            <v>4</v>
          </cell>
          <cell r="E4974" t="str">
            <v>0025</v>
          </cell>
          <cell r="F4974" t="str">
            <v>0006</v>
          </cell>
          <cell r="G4974" t="str">
            <v>50306</v>
          </cell>
          <cell r="H4974" t="str">
            <v>付FVE99124#发票港杂费</v>
          </cell>
          <cell r="I4974" t="b">
            <v>1</v>
          </cell>
          <cell r="J4974">
            <v>625</v>
          </cell>
          <cell r="K4974">
            <v>0</v>
          </cell>
          <cell r="L4974">
            <v>0</v>
          </cell>
        </row>
        <row r="4975">
          <cell r="A4975" t="str">
            <v>09</v>
          </cell>
          <cell r="B4975" t="str">
            <v>23</v>
          </cell>
          <cell r="C4975" t="str">
            <v>09</v>
          </cell>
          <cell r="D4975" t="str">
            <v>4</v>
          </cell>
          <cell r="E4975" t="str">
            <v>0027</v>
          </cell>
          <cell r="F4975" t="str">
            <v>0001</v>
          </cell>
          <cell r="G4975" t="str">
            <v>50306</v>
          </cell>
          <cell r="H4975" t="str">
            <v>付ZLB01.02.03#发票港杂费</v>
          </cell>
          <cell r="I4975" t="b">
            <v>1</v>
          </cell>
          <cell r="J4975">
            <v>157530.9</v>
          </cell>
          <cell r="K4975">
            <v>0</v>
          </cell>
          <cell r="L4975">
            <v>0</v>
          </cell>
        </row>
        <row r="4976">
          <cell r="A4976" t="str">
            <v>09</v>
          </cell>
          <cell r="B4976" t="str">
            <v>30</v>
          </cell>
          <cell r="C4976" t="str">
            <v>09</v>
          </cell>
          <cell r="D4976" t="str">
            <v>5</v>
          </cell>
          <cell r="E4976" t="str">
            <v>0039</v>
          </cell>
          <cell r="F4976" t="str">
            <v>0004</v>
          </cell>
          <cell r="G4976" t="str">
            <v>50306</v>
          </cell>
          <cell r="H4976" t="str">
            <v>结转本月销售费用</v>
          </cell>
          <cell r="I4976" t="b">
            <v>0</v>
          </cell>
          <cell r="J4976">
            <v>185546.9</v>
          </cell>
          <cell r="K4976">
            <v>0</v>
          </cell>
          <cell r="L4976">
            <v>0</v>
          </cell>
        </row>
        <row r="4977">
          <cell r="A4977" t="str">
            <v>10</v>
          </cell>
          <cell r="B4977" t="str">
            <v>07</v>
          </cell>
          <cell r="C4977" t="str">
            <v>10</v>
          </cell>
          <cell r="D4977" t="str">
            <v>4</v>
          </cell>
          <cell r="E4977" t="str">
            <v>0010</v>
          </cell>
          <cell r="F4977" t="str">
            <v>0001</v>
          </cell>
          <cell r="G4977" t="str">
            <v>50306</v>
          </cell>
          <cell r="H4977" t="str">
            <v>付业务费</v>
          </cell>
          <cell r="I4977" t="b">
            <v>1</v>
          </cell>
          <cell r="J4977">
            <v>51705.98</v>
          </cell>
          <cell r="K4977">
            <v>0</v>
          </cell>
          <cell r="L4977">
            <v>0</v>
          </cell>
        </row>
        <row r="4978">
          <cell r="A4978" t="str">
            <v>10</v>
          </cell>
          <cell r="B4978" t="str">
            <v>21</v>
          </cell>
          <cell r="C4978" t="str">
            <v>10</v>
          </cell>
          <cell r="D4978" t="str">
            <v>4</v>
          </cell>
          <cell r="E4978" t="str">
            <v>0020</v>
          </cell>
          <cell r="F4978" t="str">
            <v>0003</v>
          </cell>
          <cell r="G4978" t="str">
            <v>50306</v>
          </cell>
          <cell r="H4978" t="str">
            <v>付ZLA00012.13.FVE99125#运杂费</v>
          </cell>
          <cell r="I4978" t="b">
            <v>1</v>
          </cell>
          <cell r="J4978">
            <v>2845</v>
          </cell>
          <cell r="K4978">
            <v>0</v>
          </cell>
          <cell r="L4978">
            <v>0</v>
          </cell>
        </row>
        <row r="4979">
          <cell r="A4979" t="str">
            <v>10</v>
          </cell>
          <cell r="B4979" t="str">
            <v>21</v>
          </cell>
          <cell r="C4979" t="str">
            <v>10</v>
          </cell>
          <cell r="D4979" t="str">
            <v>4</v>
          </cell>
          <cell r="E4979" t="str">
            <v>0021</v>
          </cell>
          <cell r="F4979" t="str">
            <v>0003</v>
          </cell>
          <cell r="G4979" t="str">
            <v>50306</v>
          </cell>
          <cell r="H4979" t="str">
            <v>付ZLA00014#发票运杂费</v>
          </cell>
          <cell r="I4979" t="b">
            <v>1</v>
          </cell>
          <cell r="J4979">
            <v>6675</v>
          </cell>
          <cell r="K4979">
            <v>0</v>
          </cell>
          <cell r="L4979">
            <v>0</v>
          </cell>
        </row>
        <row r="4980">
          <cell r="A4980" t="str">
            <v>10</v>
          </cell>
          <cell r="B4980" t="str">
            <v>22</v>
          </cell>
          <cell r="C4980" t="str">
            <v>10</v>
          </cell>
          <cell r="D4980" t="str">
            <v>4</v>
          </cell>
          <cell r="E4980" t="str">
            <v>0030</v>
          </cell>
          <cell r="F4980" t="str">
            <v>0001</v>
          </cell>
          <cell r="G4980" t="str">
            <v>50306</v>
          </cell>
          <cell r="H4980" t="str">
            <v>付费用</v>
          </cell>
          <cell r="I4980" t="b">
            <v>1</v>
          </cell>
          <cell r="J4980">
            <v>188526.56</v>
          </cell>
          <cell r="K4980">
            <v>0</v>
          </cell>
          <cell r="L4980">
            <v>0</v>
          </cell>
        </row>
        <row r="4981">
          <cell r="A4981" t="str">
            <v>10</v>
          </cell>
          <cell r="B4981" t="str">
            <v>30</v>
          </cell>
          <cell r="C4981" t="str">
            <v>10</v>
          </cell>
          <cell r="D4981" t="str">
            <v>5</v>
          </cell>
          <cell r="E4981" t="str">
            <v>0033</v>
          </cell>
          <cell r="F4981" t="str">
            <v>0003</v>
          </cell>
          <cell r="G4981" t="str">
            <v>50306</v>
          </cell>
          <cell r="H4981" t="str">
            <v>结转本月销售费用</v>
          </cell>
          <cell r="I4981" t="b">
            <v>0</v>
          </cell>
          <cell r="J4981">
            <v>249752.54</v>
          </cell>
          <cell r="K4981">
            <v>0</v>
          </cell>
          <cell r="L4981">
            <v>0</v>
          </cell>
        </row>
        <row r="4982">
          <cell r="A4982" t="str">
            <v>11</v>
          </cell>
          <cell r="B4982" t="str">
            <v>07</v>
          </cell>
          <cell r="C4982" t="str">
            <v>11</v>
          </cell>
          <cell r="D4982" t="str">
            <v>2</v>
          </cell>
          <cell r="E4982" t="str">
            <v>0009</v>
          </cell>
          <cell r="F4982" t="str">
            <v>0002</v>
          </cell>
          <cell r="G4982" t="str">
            <v>50306</v>
          </cell>
          <cell r="H4982" t="str">
            <v>付一部招待费</v>
          </cell>
          <cell r="I4982" t="b">
            <v>1</v>
          </cell>
          <cell r="J4982">
            <v>5411.6</v>
          </cell>
          <cell r="K4982">
            <v>0</v>
          </cell>
          <cell r="L4982">
            <v>0</v>
          </cell>
        </row>
        <row r="4983">
          <cell r="A4983" t="str">
            <v>11</v>
          </cell>
          <cell r="B4983" t="str">
            <v>08</v>
          </cell>
          <cell r="C4983" t="str">
            <v>11</v>
          </cell>
          <cell r="D4983" t="str">
            <v>2</v>
          </cell>
          <cell r="E4983" t="str">
            <v>0011</v>
          </cell>
          <cell r="F4983" t="str">
            <v>0001</v>
          </cell>
          <cell r="G4983" t="str">
            <v>50306</v>
          </cell>
          <cell r="H4983" t="str">
            <v>付报关费</v>
          </cell>
          <cell r="I4983" t="b">
            <v>1</v>
          </cell>
          <cell r="J4983">
            <v>180</v>
          </cell>
          <cell r="K4983">
            <v>0</v>
          </cell>
          <cell r="L4983">
            <v>0</v>
          </cell>
        </row>
        <row r="4984">
          <cell r="A4984" t="str">
            <v>11</v>
          </cell>
          <cell r="B4984" t="str">
            <v>10</v>
          </cell>
          <cell r="C4984" t="str">
            <v>11</v>
          </cell>
          <cell r="D4984" t="str">
            <v>2</v>
          </cell>
          <cell r="E4984" t="str">
            <v>0014</v>
          </cell>
          <cell r="F4984" t="str">
            <v>0002</v>
          </cell>
          <cell r="G4984" t="str">
            <v>50306</v>
          </cell>
          <cell r="H4984" t="str">
            <v>付一部差旅费</v>
          </cell>
          <cell r="I4984" t="b">
            <v>1</v>
          </cell>
          <cell r="J4984">
            <v>1059.5999999999999</v>
          </cell>
          <cell r="K4984">
            <v>0</v>
          </cell>
          <cell r="L4984">
            <v>0</v>
          </cell>
        </row>
        <row r="4985">
          <cell r="A4985" t="str">
            <v>11</v>
          </cell>
          <cell r="B4985" t="str">
            <v>18</v>
          </cell>
          <cell r="C4985" t="str">
            <v>11</v>
          </cell>
          <cell r="D4985" t="str">
            <v>2</v>
          </cell>
          <cell r="E4985" t="str">
            <v>0021</v>
          </cell>
          <cell r="F4985" t="str">
            <v>0001</v>
          </cell>
          <cell r="G4985" t="str">
            <v>50306</v>
          </cell>
          <cell r="H4985" t="str">
            <v>付一部房费</v>
          </cell>
          <cell r="I4985" t="b">
            <v>1</v>
          </cell>
          <cell r="J4985">
            <v>280</v>
          </cell>
          <cell r="K4985">
            <v>0</v>
          </cell>
          <cell r="L4985">
            <v>0</v>
          </cell>
        </row>
        <row r="4986">
          <cell r="A4986" t="str">
            <v>11</v>
          </cell>
          <cell r="B4986" t="str">
            <v>13</v>
          </cell>
          <cell r="C4986" t="str">
            <v>11</v>
          </cell>
          <cell r="D4986" t="str">
            <v>4</v>
          </cell>
          <cell r="E4986" t="str">
            <v>0011</v>
          </cell>
          <cell r="F4986" t="str">
            <v>0004</v>
          </cell>
          <cell r="G4986" t="str">
            <v>50306</v>
          </cell>
          <cell r="H4986" t="str">
            <v>付杂费</v>
          </cell>
          <cell r="I4986" t="b">
            <v>1</v>
          </cell>
          <cell r="J4986">
            <v>205</v>
          </cell>
          <cell r="K4986">
            <v>0</v>
          </cell>
          <cell r="L4986">
            <v>0</v>
          </cell>
        </row>
        <row r="4987">
          <cell r="A4987" t="str">
            <v>11</v>
          </cell>
          <cell r="B4987" t="str">
            <v>13</v>
          </cell>
          <cell r="C4987" t="str">
            <v>11</v>
          </cell>
          <cell r="D4987" t="str">
            <v>4</v>
          </cell>
          <cell r="E4987" t="str">
            <v>0013</v>
          </cell>
          <cell r="F4987" t="str">
            <v>0002</v>
          </cell>
          <cell r="G4987" t="str">
            <v>50306</v>
          </cell>
          <cell r="H4987" t="str">
            <v>付ZLA00024#发票运杂费</v>
          </cell>
          <cell r="I4987" t="b">
            <v>1</v>
          </cell>
          <cell r="J4987">
            <v>1010</v>
          </cell>
          <cell r="K4987">
            <v>0</v>
          </cell>
          <cell r="L4987">
            <v>0</v>
          </cell>
        </row>
        <row r="4988">
          <cell r="A4988" t="str">
            <v>11</v>
          </cell>
          <cell r="B4988" t="str">
            <v>13</v>
          </cell>
          <cell r="C4988" t="str">
            <v>11</v>
          </cell>
          <cell r="D4988" t="str">
            <v>4</v>
          </cell>
          <cell r="E4988" t="str">
            <v>0013</v>
          </cell>
          <cell r="F4988" t="str">
            <v>0003</v>
          </cell>
          <cell r="G4988" t="str">
            <v>50306</v>
          </cell>
          <cell r="H4988" t="str">
            <v>付FVE99127#发票运杂费</v>
          </cell>
          <cell r="I4988" t="b">
            <v>1</v>
          </cell>
          <cell r="J4988">
            <v>605</v>
          </cell>
          <cell r="K4988">
            <v>0</v>
          </cell>
          <cell r="L4988">
            <v>0</v>
          </cell>
        </row>
        <row r="4989">
          <cell r="A4989" t="str">
            <v>11</v>
          </cell>
          <cell r="B4989" t="str">
            <v>13</v>
          </cell>
          <cell r="C4989" t="str">
            <v>11</v>
          </cell>
          <cell r="D4989" t="str">
            <v>4</v>
          </cell>
          <cell r="E4989" t="str">
            <v>0014</v>
          </cell>
          <cell r="F4989" t="str">
            <v>0001</v>
          </cell>
          <cell r="G4989" t="str">
            <v>50306</v>
          </cell>
          <cell r="H4989" t="str">
            <v>付ZLA00025.ZLA00022/23#杂费</v>
          </cell>
          <cell r="I4989" t="b">
            <v>1</v>
          </cell>
          <cell r="J4989">
            <v>31393</v>
          </cell>
          <cell r="K4989">
            <v>0</v>
          </cell>
          <cell r="L4989">
            <v>0</v>
          </cell>
        </row>
        <row r="4990">
          <cell r="A4990" t="str">
            <v>11</v>
          </cell>
          <cell r="B4990" t="str">
            <v>15</v>
          </cell>
          <cell r="C4990" t="str">
            <v>11</v>
          </cell>
          <cell r="D4990" t="str">
            <v>4</v>
          </cell>
          <cell r="E4990" t="str">
            <v>0017</v>
          </cell>
          <cell r="F4990" t="str">
            <v>0001</v>
          </cell>
          <cell r="G4990" t="str">
            <v>50306</v>
          </cell>
          <cell r="H4990" t="str">
            <v>付邮递费</v>
          </cell>
          <cell r="I4990" t="b">
            <v>1</v>
          </cell>
          <cell r="J4990">
            <v>11353</v>
          </cell>
          <cell r="K4990">
            <v>0</v>
          </cell>
          <cell r="L4990">
            <v>0</v>
          </cell>
        </row>
        <row r="4991">
          <cell r="A4991" t="str">
            <v>11</v>
          </cell>
          <cell r="B4991" t="str">
            <v>15</v>
          </cell>
          <cell r="C4991" t="str">
            <v>11</v>
          </cell>
          <cell r="D4991" t="str">
            <v>4</v>
          </cell>
          <cell r="E4991" t="str">
            <v>0018</v>
          </cell>
          <cell r="F4991" t="str">
            <v>0001</v>
          </cell>
          <cell r="G4991" t="str">
            <v>50306</v>
          </cell>
          <cell r="H4991" t="str">
            <v>付ZLA00027.00026P#发票运杂费</v>
          </cell>
          <cell r="I4991" t="b">
            <v>1</v>
          </cell>
          <cell r="J4991">
            <v>5765</v>
          </cell>
          <cell r="K4991">
            <v>0</v>
          </cell>
          <cell r="L4991">
            <v>0</v>
          </cell>
        </row>
        <row r="4992">
          <cell r="A4992" t="str">
            <v>11</v>
          </cell>
          <cell r="B4992" t="str">
            <v>15</v>
          </cell>
          <cell r="C4992" t="str">
            <v>11</v>
          </cell>
          <cell r="D4992" t="str">
            <v>4</v>
          </cell>
          <cell r="E4992" t="str">
            <v>0018</v>
          </cell>
          <cell r="F4992" t="str">
            <v>0002</v>
          </cell>
          <cell r="G4992" t="str">
            <v>50306</v>
          </cell>
          <cell r="H4992" t="str">
            <v>付ZLA00030#发票运杂费</v>
          </cell>
          <cell r="I4992" t="b">
            <v>1</v>
          </cell>
          <cell r="J4992">
            <v>1315</v>
          </cell>
          <cell r="K4992">
            <v>0</v>
          </cell>
          <cell r="L4992">
            <v>0</v>
          </cell>
        </row>
        <row r="4993">
          <cell r="A4993" t="str">
            <v>11</v>
          </cell>
          <cell r="B4993" t="str">
            <v>15</v>
          </cell>
          <cell r="C4993" t="str">
            <v>11</v>
          </cell>
          <cell r="D4993" t="str">
            <v>4</v>
          </cell>
          <cell r="E4993" t="str">
            <v>0018</v>
          </cell>
          <cell r="F4993" t="str">
            <v>0003</v>
          </cell>
          <cell r="G4993" t="str">
            <v>50306</v>
          </cell>
          <cell r="H4993" t="str">
            <v>付ZLA00028/00029P#发票运杂费</v>
          </cell>
          <cell r="I4993" t="b">
            <v>1</v>
          </cell>
          <cell r="J4993">
            <v>3680</v>
          </cell>
          <cell r="K4993">
            <v>0</v>
          </cell>
          <cell r="L4993">
            <v>0</v>
          </cell>
        </row>
        <row r="4994">
          <cell r="A4994" t="str">
            <v>11</v>
          </cell>
          <cell r="B4994" t="str">
            <v>15</v>
          </cell>
          <cell r="C4994" t="str">
            <v>11</v>
          </cell>
          <cell r="D4994" t="str">
            <v>4</v>
          </cell>
          <cell r="E4994" t="str">
            <v>0026</v>
          </cell>
          <cell r="F4994" t="str">
            <v>0001</v>
          </cell>
          <cell r="G4994" t="str">
            <v>50306</v>
          </cell>
          <cell r="H4994" t="str">
            <v>付费用</v>
          </cell>
          <cell r="I4994" t="b">
            <v>1</v>
          </cell>
          <cell r="J4994">
            <v>160005.97</v>
          </cell>
          <cell r="K4994">
            <v>0</v>
          </cell>
          <cell r="L4994">
            <v>0</v>
          </cell>
        </row>
        <row r="4995">
          <cell r="A4995" t="str">
            <v>11</v>
          </cell>
          <cell r="B4995" t="str">
            <v>16</v>
          </cell>
          <cell r="C4995" t="str">
            <v>11</v>
          </cell>
          <cell r="D4995" t="str">
            <v>5</v>
          </cell>
          <cell r="E4995" t="str">
            <v>0012</v>
          </cell>
          <cell r="F4995" t="str">
            <v>0001</v>
          </cell>
          <cell r="G4995" t="str">
            <v>50306</v>
          </cell>
          <cell r="H4995" t="str">
            <v>转报销港杂费等</v>
          </cell>
          <cell r="I4995" t="b">
            <v>1</v>
          </cell>
          <cell r="J4995">
            <v>1328</v>
          </cell>
          <cell r="K4995">
            <v>0</v>
          </cell>
          <cell r="L4995">
            <v>0</v>
          </cell>
        </row>
        <row r="4996">
          <cell r="A4996" t="str">
            <v>11</v>
          </cell>
          <cell r="B4996" t="str">
            <v>30</v>
          </cell>
          <cell r="C4996" t="str">
            <v>11</v>
          </cell>
          <cell r="D4996" t="str">
            <v>5</v>
          </cell>
          <cell r="E4996" t="str">
            <v>0036</v>
          </cell>
          <cell r="F4996" t="str">
            <v>0004</v>
          </cell>
          <cell r="G4996" t="str">
            <v>50306</v>
          </cell>
          <cell r="H4996" t="str">
            <v>结转本月销售费用</v>
          </cell>
          <cell r="I4996" t="b">
            <v>0</v>
          </cell>
          <cell r="J4996">
            <v>223591.17</v>
          </cell>
          <cell r="K4996">
            <v>0</v>
          </cell>
          <cell r="L4996">
            <v>0</v>
          </cell>
        </row>
        <row r="4997">
          <cell r="A4997" t="str">
            <v>12</v>
          </cell>
          <cell r="B4997" t="str">
            <v>05</v>
          </cell>
          <cell r="C4997" t="str">
            <v>12</v>
          </cell>
          <cell r="D4997" t="str">
            <v>2</v>
          </cell>
          <cell r="E4997" t="str">
            <v>0005</v>
          </cell>
          <cell r="F4997" t="str">
            <v>0001</v>
          </cell>
          <cell r="G4997" t="str">
            <v>50306</v>
          </cell>
          <cell r="H4997" t="str">
            <v>付改证费</v>
          </cell>
          <cell r="I4997" t="b">
            <v>1</v>
          </cell>
          <cell r="J4997">
            <v>13</v>
          </cell>
          <cell r="K4997">
            <v>0</v>
          </cell>
          <cell r="L4997">
            <v>0</v>
          </cell>
        </row>
        <row r="4998">
          <cell r="A4998" t="str">
            <v>12</v>
          </cell>
          <cell r="B4998" t="str">
            <v>12</v>
          </cell>
          <cell r="C4998" t="str">
            <v>12</v>
          </cell>
          <cell r="D4998" t="str">
            <v>2</v>
          </cell>
          <cell r="E4998" t="str">
            <v>0014</v>
          </cell>
          <cell r="F4998" t="str">
            <v>0001</v>
          </cell>
          <cell r="G4998" t="str">
            <v>50306</v>
          </cell>
          <cell r="H4998" t="str">
            <v>付一部招待费</v>
          </cell>
          <cell r="I4998" t="b">
            <v>1</v>
          </cell>
          <cell r="J4998">
            <v>13607.3</v>
          </cell>
          <cell r="K4998">
            <v>0</v>
          </cell>
          <cell r="L4998">
            <v>0</v>
          </cell>
        </row>
        <row r="4999">
          <cell r="A4999" t="str">
            <v>12</v>
          </cell>
          <cell r="B4999" t="str">
            <v>12</v>
          </cell>
          <cell r="C4999" t="str">
            <v>12</v>
          </cell>
          <cell r="D4999" t="str">
            <v>2</v>
          </cell>
          <cell r="E4999" t="str">
            <v>0014</v>
          </cell>
          <cell r="F4999" t="str">
            <v>0002</v>
          </cell>
          <cell r="G4999" t="str">
            <v>50306</v>
          </cell>
          <cell r="H4999" t="str">
            <v>付报刊费</v>
          </cell>
          <cell r="I4999" t="b">
            <v>1</v>
          </cell>
          <cell r="J4999">
            <v>302</v>
          </cell>
          <cell r="K4999">
            <v>0</v>
          </cell>
          <cell r="L4999">
            <v>0</v>
          </cell>
        </row>
        <row r="5000">
          <cell r="A5000" t="str">
            <v>12</v>
          </cell>
          <cell r="B5000" t="str">
            <v>12</v>
          </cell>
          <cell r="C5000" t="str">
            <v>12</v>
          </cell>
          <cell r="D5000" t="str">
            <v>2</v>
          </cell>
          <cell r="E5000" t="str">
            <v>0014</v>
          </cell>
          <cell r="F5000" t="str">
            <v>0003</v>
          </cell>
          <cell r="G5000" t="str">
            <v>50306</v>
          </cell>
          <cell r="H5000" t="str">
            <v>付差旅费</v>
          </cell>
          <cell r="I5000" t="b">
            <v>1</v>
          </cell>
          <cell r="J5000">
            <v>2109</v>
          </cell>
          <cell r="K5000">
            <v>0</v>
          </cell>
          <cell r="L5000">
            <v>0</v>
          </cell>
        </row>
        <row r="5001">
          <cell r="A5001" t="str">
            <v>12</v>
          </cell>
          <cell r="B5001" t="str">
            <v>20</v>
          </cell>
          <cell r="C5001" t="str">
            <v>12</v>
          </cell>
          <cell r="D5001" t="str">
            <v>2</v>
          </cell>
          <cell r="E5001" t="str">
            <v>0019</v>
          </cell>
          <cell r="F5001" t="str">
            <v>0001</v>
          </cell>
          <cell r="G5001" t="str">
            <v>50306</v>
          </cell>
          <cell r="H5001" t="str">
            <v>付快递费</v>
          </cell>
          <cell r="I5001" t="b">
            <v>1</v>
          </cell>
          <cell r="J5001">
            <v>255</v>
          </cell>
          <cell r="K5001">
            <v>0</v>
          </cell>
          <cell r="L5001">
            <v>0</v>
          </cell>
        </row>
        <row r="5002">
          <cell r="A5002" t="str">
            <v>12</v>
          </cell>
          <cell r="B5002" t="str">
            <v>20</v>
          </cell>
          <cell r="C5002" t="str">
            <v>12</v>
          </cell>
          <cell r="D5002" t="str">
            <v>2</v>
          </cell>
          <cell r="E5002" t="str">
            <v>0020</v>
          </cell>
          <cell r="F5002" t="str">
            <v>0001</v>
          </cell>
          <cell r="G5002" t="str">
            <v>50306</v>
          </cell>
          <cell r="H5002" t="str">
            <v>付快递费</v>
          </cell>
          <cell r="I5002" t="b">
            <v>1</v>
          </cell>
          <cell r="J5002">
            <v>6710</v>
          </cell>
          <cell r="K5002">
            <v>0</v>
          </cell>
          <cell r="L5002">
            <v>0</v>
          </cell>
        </row>
        <row r="5003">
          <cell r="A5003" t="str">
            <v>12</v>
          </cell>
          <cell r="B5003" t="str">
            <v>20</v>
          </cell>
          <cell r="C5003" t="str">
            <v>12</v>
          </cell>
          <cell r="D5003" t="str">
            <v>2</v>
          </cell>
          <cell r="E5003" t="str">
            <v>0022</v>
          </cell>
          <cell r="F5003" t="str">
            <v>0001</v>
          </cell>
          <cell r="G5003" t="str">
            <v>50306</v>
          </cell>
          <cell r="H5003" t="str">
            <v>付快递费</v>
          </cell>
          <cell r="I5003" t="b">
            <v>1</v>
          </cell>
          <cell r="J5003">
            <v>9115</v>
          </cell>
          <cell r="K5003">
            <v>0</v>
          </cell>
          <cell r="L5003">
            <v>0</v>
          </cell>
        </row>
        <row r="5004">
          <cell r="A5004" t="str">
            <v>12</v>
          </cell>
          <cell r="B5004" t="str">
            <v>04</v>
          </cell>
          <cell r="C5004" t="str">
            <v>12</v>
          </cell>
          <cell r="D5004" t="str">
            <v>4</v>
          </cell>
          <cell r="E5004" t="str">
            <v>0003</v>
          </cell>
          <cell r="F5004" t="str">
            <v>0001</v>
          </cell>
          <cell r="G5004" t="str">
            <v>50306</v>
          </cell>
          <cell r="H5004" t="str">
            <v>付业务推销费</v>
          </cell>
          <cell r="I5004" t="b">
            <v>1</v>
          </cell>
          <cell r="J5004">
            <v>19250</v>
          </cell>
          <cell r="K5004">
            <v>0</v>
          </cell>
          <cell r="L5004">
            <v>0</v>
          </cell>
        </row>
        <row r="5005">
          <cell r="A5005" t="str">
            <v>12</v>
          </cell>
          <cell r="B5005" t="str">
            <v>15</v>
          </cell>
          <cell r="C5005" t="str">
            <v>12</v>
          </cell>
          <cell r="D5005" t="str">
            <v>4</v>
          </cell>
          <cell r="E5005" t="str">
            <v>0023</v>
          </cell>
          <cell r="F5005" t="str">
            <v>0001</v>
          </cell>
          <cell r="G5005" t="str">
            <v>50306</v>
          </cell>
          <cell r="H5005" t="str">
            <v>付工本费</v>
          </cell>
          <cell r="I5005" t="b">
            <v>1</v>
          </cell>
          <cell r="J5005">
            <v>60</v>
          </cell>
          <cell r="K5005">
            <v>0</v>
          </cell>
          <cell r="L5005">
            <v>0</v>
          </cell>
        </row>
        <row r="5006">
          <cell r="A5006" t="str">
            <v>12</v>
          </cell>
          <cell r="B5006" t="str">
            <v>19</v>
          </cell>
          <cell r="C5006" t="str">
            <v>12</v>
          </cell>
          <cell r="D5006" t="str">
            <v>4</v>
          </cell>
          <cell r="E5006" t="str">
            <v>0032</v>
          </cell>
          <cell r="F5006" t="str">
            <v>0001</v>
          </cell>
          <cell r="G5006" t="str">
            <v>50306</v>
          </cell>
          <cell r="H5006" t="str">
            <v>付邮递费</v>
          </cell>
          <cell r="I5006" t="b">
            <v>1</v>
          </cell>
          <cell r="J5006">
            <v>29029</v>
          </cell>
          <cell r="K5006">
            <v>0</v>
          </cell>
          <cell r="L5006">
            <v>0</v>
          </cell>
        </row>
        <row r="5007">
          <cell r="A5007" t="str">
            <v>12</v>
          </cell>
          <cell r="B5007" t="str">
            <v>20</v>
          </cell>
          <cell r="C5007" t="str">
            <v>12</v>
          </cell>
          <cell r="D5007" t="str">
            <v>4</v>
          </cell>
          <cell r="E5007" t="str">
            <v>0035</v>
          </cell>
          <cell r="F5007" t="str">
            <v>0001</v>
          </cell>
          <cell r="G5007" t="str">
            <v>50306</v>
          </cell>
          <cell r="H5007" t="str">
            <v>付ZLA00043#发票港杂费</v>
          </cell>
          <cell r="I5007" t="b">
            <v>1</v>
          </cell>
          <cell r="J5007">
            <v>2330</v>
          </cell>
          <cell r="K5007">
            <v>0</v>
          </cell>
          <cell r="L5007">
            <v>0</v>
          </cell>
        </row>
        <row r="5008">
          <cell r="A5008" t="str">
            <v>12</v>
          </cell>
          <cell r="B5008" t="str">
            <v>20</v>
          </cell>
          <cell r="C5008" t="str">
            <v>12</v>
          </cell>
          <cell r="D5008" t="str">
            <v>4</v>
          </cell>
          <cell r="E5008" t="str">
            <v>0036</v>
          </cell>
          <cell r="F5008" t="str">
            <v>0001</v>
          </cell>
          <cell r="G5008" t="str">
            <v>50306</v>
          </cell>
          <cell r="H5008" t="str">
            <v>付ZLA00040#发票港杂费</v>
          </cell>
          <cell r="I5008" t="b">
            <v>1</v>
          </cell>
          <cell r="J5008">
            <v>625</v>
          </cell>
          <cell r="K5008">
            <v>0</v>
          </cell>
          <cell r="L5008">
            <v>0</v>
          </cell>
        </row>
        <row r="5009">
          <cell r="A5009" t="str">
            <v>12</v>
          </cell>
          <cell r="B5009" t="str">
            <v>20</v>
          </cell>
          <cell r="C5009" t="str">
            <v>12</v>
          </cell>
          <cell r="D5009" t="str">
            <v>4</v>
          </cell>
          <cell r="E5009" t="str">
            <v>0036</v>
          </cell>
          <cell r="F5009" t="str">
            <v>0002</v>
          </cell>
          <cell r="G5009" t="str">
            <v>50306</v>
          </cell>
          <cell r="H5009" t="str">
            <v>付ZLA00041#发票港杂费</v>
          </cell>
          <cell r="I5009" t="b">
            <v>1</v>
          </cell>
          <cell r="J5009">
            <v>1030</v>
          </cell>
          <cell r="K5009">
            <v>0</v>
          </cell>
          <cell r="L5009">
            <v>0</v>
          </cell>
        </row>
        <row r="5010">
          <cell r="A5010" t="str">
            <v>12</v>
          </cell>
          <cell r="B5010" t="str">
            <v>20</v>
          </cell>
          <cell r="C5010" t="str">
            <v>12</v>
          </cell>
          <cell r="D5010" t="str">
            <v>4</v>
          </cell>
          <cell r="E5010" t="str">
            <v>0036</v>
          </cell>
          <cell r="F5010" t="str">
            <v>0003</v>
          </cell>
          <cell r="G5010" t="str">
            <v>50306</v>
          </cell>
          <cell r="H5010" t="str">
            <v>付ZLA00042P#发票港杂费</v>
          </cell>
          <cell r="I5010" t="b">
            <v>1</v>
          </cell>
          <cell r="J5010">
            <v>2650</v>
          </cell>
          <cell r="K5010">
            <v>0</v>
          </cell>
          <cell r="L5010">
            <v>0</v>
          </cell>
        </row>
        <row r="5011">
          <cell r="A5011" t="str">
            <v>12</v>
          </cell>
          <cell r="B5011" t="str">
            <v>20</v>
          </cell>
          <cell r="C5011" t="str">
            <v>12</v>
          </cell>
          <cell r="D5011" t="str">
            <v>4</v>
          </cell>
          <cell r="E5011" t="str">
            <v>0036</v>
          </cell>
          <cell r="F5011" t="str">
            <v>0004</v>
          </cell>
          <cell r="G5011" t="str">
            <v>50306</v>
          </cell>
          <cell r="H5011" t="str">
            <v>付ZLA00044#发票港杂费</v>
          </cell>
          <cell r="I5011" t="b">
            <v>1</v>
          </cell>
          <cell r="J5011">
            <v>625</v>
          </cell>
          <cell r="K5011">
            <v>0</v>
          </cell>
          <cell r="L5011">
            <v>0</v>
          </cell>
        </row>
        <row r="5012">
          <cell r="A5012" t="str">
            <v>12</v>
          </cell>
          <cell r="B5012" t="str">
            <v>20</v>
          </cell>
          <cell r="C5012" t="str">
            <v>12</v>
          </cell>
          <cell r="D5012" t="str">
            <v>4</v>
          </cell>
          <cell r="E5012" t="str">
            <v>0036</v>
          </cell>
          <cell r="F5012" t="str">
            <v>0005</v>
          </cell>
          <cell r="G5012" t="str">
            <v>50306</v>
          </cell>
          <cell r="H5012" t="str">
            <v>付ZLA00045#发票港杂费</v>
          </cell>
          <cell r="I5012" t="b">
            <v>1</v>
          </cell>
          <cell r="J5012">
            <v>1435</v>
          </cell>
          <cell r="K5012">
            <v>0</v>
          </cell>
          <cell r="L5012">
            <v>0</v>
          </cell>
        </row>
        <row r="5013">
          <cell r="A5013" t="str">
            <v>12</v>
          </cell>
          <cell r="B5013" t="str">
            <v>20</v>
          </cell>
          <cell r="C5013" t="str">
            <v>12</v>
          </cell>
          <cell r="D5013" t="str">
            <v>4</v>
          </cell>
          <cell r="E5013" t="str">
            <v>0036</v>
          </cell>
          <cell r="F5013" t="str">
            <v>0006</v>
          </cell>
          <cell r="G5013" t="str">
            <v>50306</v>
          </cell>
          <cell r="H5013" t="str">
            <v>付ZLA00046#发票港杂费</v>
          </cell>
          <cell r="I5013" t="b">
            <v>1</v>
          </cell>
          <cell r="J5013">
            <v>1840</v>
          </cell>
          <cell r="K5013">
            <v>0</v>
          </cell>
          <cell r="L5013">
            <v>0</v>
          </cell>
        </row>
        <row r="5014">
          <cell r="A5014" t="str">
            <v>12</v>
          </cell>
          <cell r="B5014" t="str">
            <v>20</v>
          </cell>
          <cell r="C5014" t="str">
            <v>12</v>
          </cell>
          <cell r="D5014" t="str">
            <v>4</v>
          </cell>
          <cell r="E5014" t="str">
            <v>0036</v>
          </cell>
          <cell r="F5014" t="str">
            <v>0007</v>
          </cell>
          <cell r="G5014" t="str">
            <v>50306</v>
          </cell>
          <cell r="H5014" t="str">
            <v>付ZLA00047P#发票港杂费</v>
          </cell>
          <cell r="I5014" t="b">
            <v>1</v>
          </cell>
          <cell r="J5014">
            <v>2650</v>
          </cell>
          <cell r="K5014">
            <v>0</v>
          </cell>
          <cell r="L5014">
            <v>0</v>
          </cell>
        </row>
        <row r="5015">
          <cell r="A5015" t="str">
            <v>12</v>
          </cell>
          <cell r="B5015" t="str">
            <v>20</v>
          </cell>
          <cell r="C5015" t="str">
            <v>12</v>
          </cell>
          <cell r="D5015" t="str">
            <v>4</v>
          </cell>
          <cell r="E5015" t="str">
            <v>0036</v>
          </cell>
          <cell r="F5015" t="str">
            <v>0008</v>
          </cell>
          <cell r="G5015" t="str">
            <v>50306</v>
          </cell>
          <cell r="H5015" t="str">
            <v>付ZLA00039#发票港杂费</v>
          </cell>
          <cell r="I5015" t="b">
            <v>1</v>
          </cell>
          <cell r="J5015">
            <v>830</v>
          </cell>
          <cell r="K5015">
            <v>0</v>
          </cell>
          <cell r="L5015">
            <v>0</v>
          </cell>
        </row>
        <row r="5016">
          <cell r="A5016" t="str">
            <v>12</v>
          </cell>
          <cell r="B5016" t="str">
            <v>20</v>
          </cell>
          <cell r="C5016" t="str">
            <v>12</v>
          </cell>
          <cell r="D5016" t="str">
            <v>4</v>
          </cell>
          <cell r="E5016" t="str">
            <v>0040</v>
          </cell>
          <cell r="F5016" t="str">
            <v>0002</v>
          </cell>
          <cell r="G5016" t="str">
            <v>50306</v>
          </cell>
          <cell r="H5016" t="str">
            <v>付ZLA00032#发票运杂费</v>
          </cell>
          <cell r="I5016" t="b">
            <v>1</v>
          </cell>
          <cell r="J5016">
            <v>1445</v>
          </cell>
          <cell r="K5016">
            <v>0</v>
          </cell>
          <cell r="L5016">
            <v>0</v>
          </cell>
        </row>
        <row r="5017">
          <cell r="A5017" t="str">
            <v>12</v>
          </cell>
          <cell r="B5017" t="str">
            <v>20</v>
          </cell>
          <cell r="C5017" t="str">
            <v>12</v>
          </cell>
          <cell r="D5017" t="str">
            <v>4</v>
          </cell>
          <cell r="E5017" t="str">
            <v>0041</v>
          </cell>
          <cell r="F5017" t="str">
            <v>0001</v>
          </cell>
          <cell r="G5017" t="str">
            <v>50306</v>
          </cell>
          <cell r="H5017" t="str">
            <v>付ZLA00035#发票运杂费</v>
          </cell>
          <cell r="I5017" t="b">
            <v>1</v>
          </cell>
          <cell r="J5017">
            <v>1030</v>
          </cell>
          <cell r="K5017">
            <v>0</v>
          </cell>
          <cell r="L5017">
            <v>0</v>
          </cell>
        </row>
        <row r="5018">
          <cell r="A5018" t="str">
            <v>12</v>
          </cell>
          <cell r="B5018" t="str">
            <v>20</v>
          </cell>
          <cell r="C5018" t="str">
            <v>12</v>
          </cell>
          <cell r="D5018" t="str">
            <v>4</v>
          </cell>
          <cell r="E5018" t="str">
            <v>0041</v>
          </cell>
          <cell r="F5018" t="str">
            <v>0002</v>
          </cell>
          <cell r="G5018" t="str">
            <v>50306</v>
          </cell>
          <cell r="H5018" t="str">
            <v>付ZLA00034#发票运杂费</v>
          </cell>
          <cell r="I5018" t="b">
            <v>1</v>
          </cell>
          <cell r="J5018">
            <v>625</v>
          </cell>
          <cell r="K5018">
            <v>0</v>
          </cell>
          <cell r="L5018">
            <v>0</v>
          </cell>
        </row>
        <row r="5019">
          <cell r="A5019" t="str">
            <v>12</v>
          </cell>
          <cell r="B5019" t="str">
            <v>20</v>
          </cell>
          <cell r="C5019" t="str">
            <v>12</v>
          </cell>
          <cell r="D5019" t="str">
            <v>4</v>
          </cell>
          <cell r="E5019" t="str">
            <v>0041</v>
          </cell>
          <cell r="F5019" t="str">
            <v>0003</v>
          </cell>
          <cell r="G5019" t="str">
            <v>50306</v>
          </cell>
          <cell r="H5019" t="str">
            <v>付ZLA00033#发票运杂费</v>
          </cell>
          <cell r="I5019" t="b">
            <v>1</v>
          </cell>
          <cell r="J5019">
            <v>1435</v>
          </cell>
          <cell r="K5019">
            <v>0</v>
          </cell>
          <cell r="L5019">
            <v>0</v>
          </cell>
        </row>
        <row r="5020">
          <cell r="A5020" t="str">
            <v>12</v>
          </cell>
          <cell r="B5020" t="str">
            <v>20</v>
          </cell>
          <cell r="C5020" t="str">
            <v>12</v>
          </cell>
          <cell r="D5020" t="str">
            <v>4</v>
          </cell>
          <cell r="E5020" t="str">
            <v>0041</v>
          </cell>
          <cell r="F5020" t="str">
            <v>0004</v>
          </cell>
          <cell r="G5020" t="str">
            <v>50306</v>
          </cell>
          <cell r="H5020" t="str">
            <v>付ZLA00031P#发票运杂费</v>
          </cell>
          <cell r="I5020" t="b">
            <v>1</v>
          </cell>
          <cell r="J5020">
            <v>2650</v>
          </cell>
          <cell r="K5020">
            <v>0</v>
          </cell>
          <cell r="L5020">
            <v>0</v>
          </cell>
        </row>
        <row r="5021">
          <cell r="A5021" t="str">
            <v>12</v>
          </cell>
          <cell r="B5021" t="str">
            <v>20</v>
          </cell>
          <cell r="C5021" t="str">
            <v>12</v>
          </cell>
          <cell r="D5021" t="str">
            <v>4</v>
          </cell>
          <cell r="E5021" t="str">
            <v>0041</v>
          </cell>
          <cell r="F5021" t="str">
            <v>0005</v>
          </cell>
          <cell r="G5021" t="str">
            <v>50306</v>
          </cell>
          <cell r="H5021" t="str">
            <v>付ZLA00038#发票运杂费</v>
          </cell>
          <cell r="I5021" t="b">
            <v>1</v>
          </cell>
          <cell r="J5021">
            <v>605</v>
          </cell>
          <cell r="K5021">
            <v>0</v>
          </cell>
          <cell r="L5021">
            <v>0</v>
          </cell>
        </row>
        <row r="5022">
          <cell r="A5022" t="str">
            <v>12</v>
          </cell>
          <cell r="B5022" t="str">
            <v>20</v>
          </cell>
          <cell r="C5022" t="str">
            <v>12</v>
          </cell>
          <cell r="D5022" t="str">
            <v>4</v>
          </cell>
          <cell r="E5022" t="str">
            <v>0041</v>
          </cell>
          <cell r="F5022" t="str">
            <v>0006</v>
          </cell>
          <cell r="G5022" t="str">
            <v>50306</v>
          </cell>
          <cell r="H5022" t="str">
            <v>付ZLA00036P#发票运杂费</v>
          </cell>
          <cell r="I5022" t="b">
            <v>1</v>
          </cell>
          <cell r="J5022">
            <v>1030</v>
          </cell>
          <cell r="K5022">
            <v>0</v>
          </cell>
          <cell r="L5022">
            <v>0</v>
          </cell>
        </row>
        <row r="5023">
          <cell r="A5023" t="str">
            <v>12</v>
          </cell>
          <cell r="B5023" t="str">
            <v>20</v>
          </cell>
          <cell r="C5023" t="str">
            <v>12</v>
          </cell>
          <cell r="D5023" t="str">
            <v>4</v>
          </cell>
          <cell r="E5023" t="str">
            <v>0041</v>
          </cell>
          <cell r="F5023" t="str">
            <v>0007</v>
          </cell>
          <cell r="G5023" t="str">
            <v>50306</v>
          </cell>
          <cell r="H5023" t="str">
            <v>付ZLA00037P#发票运杂费</v>
          </cell>
          <cell r="I5023" t="b">
            <v>1</v>
          </cell>
          <cell r="J5023">
            <v>2650</v>
          </cell>
          <cell r="K5023">
            <v>0</v>
          </cell>
          <cell r="L5023">
            <v>0</v>
          </cell>
        </row>
        <row r="5024">
          <cell r="A5024" t="str">
            <v>12</v>
          </cell>
          <cell r="B5024" t="str">
            <v>20</v>
          </cell>
          <cell r="C5024" t="str">
            <v>12</v>
          </cell>
          <cell r="D5024" t="str">
            <v>5</v>
          </cell>
          <cell r="E5024" t="str">
            <v>0006</v>
          </cell>
          <cell r="F5024" t="str">
            <v>0003</v>
          </cell>
          <cell r="G5024" t="str">
            <v>50306</v>
          </cell>
          <cell r="H5024" t="str">
            <v>转报销发箱用电池.业务费等</v>
          </cell>
          <cell r="I5024" t="b">
            <v>1</v>
          </cell>
          <cell r="J5024">
            <v>3514</v>
          </cell>
          <cell r="K5024">
            <v>0</v>
          </cell>
          <cell r="L5024">
            <v>0</v>
          </cell>
        </row>
        <row r="5025">
          <cell r="A5025" t="str">
            <v>12</v>
          </cell>
          <cell r="B5025" t="str">
            <v>22</v>
          </cell>
          <cell r="C5025" t="str">
            <v>12</v>
          </cell>
          <cell r="D5025" t="str">
            <v>5</v>
          </cell>
          <cell r="E5025" t="str">
            <v>0019</v>
          </cell>
          <cell r="F5025" t="str">
            <v>0002</v>
          </cell>
          <cell r="G5025" t="str">
            <v>50306</v>
          </cell>
          <cell r="H5025" t="str">
            <v>转报产地证费等</v>
          </cell>
          <cell r="I5025" t="b">
            <v>1</v>
          </cell>
          <cell r="J5025">
            <v>115</v>
          </cell>
          <cell r="K5025">
            <v>0</v>
          </cell>
          <cell r="L5025">
            <v>0</v>
          </cell>
        </row>
        <row r="5026">
          <cell r="A5026" t="str">
            <v>12</v>
          </cell>
          <cell r="B5026" t="str">
            <v>22</v>
          </cell>
          <cell r="C5026" t="str">
            <v>12</v>
          </cell>
          <cell r="D5026" t="str">
            <v>5</v>
          </cell>
          <cell r="E5026" t="str">
            <v>0020</v>
          </cell>
          <cell r="F5026" t="str">
            <v>0001</v>
          </cell>
          <cell r="G5026" t="str">
            <v>50306</v>
          </cell>
          <cell r="H5026" t="str">
            <v>转报销果汁运费</v>
          </cell>
          <cell r="I5026" t="b">
            <v>1</v>
          </cell>
          <cell r="J5026">
            <v>139.5</v>
          </cell>
          <cell r="K5026">
            <v>0</v>
          </cell>
          <cell r="L5026">
            <v>0</v>
          </cell>
        </row>
        <row r="5027">
          <cell r="A5027" t="str">
            <v>12</v>
          </cell>
          <cell r="B5027" t="str">
            <v>31</v>
          </cell>
          <cell r="C5027" t="str">
            <v>12</v>
          </cell>
          <cell r="D5027" t="str">
            <v>5</v>
          </cell>
          <cell r="E5027" t="str">
            <v>0102</v>
          </cell>
          <cell r="F5027" t="str">
            <v>0005</v>
          </cell>
          <cell r="G5027" t="str">
            <v>50306</v>
          </cell>
          <cell r="H5027" t="str">
            <v>结转本月销售费用</v>
          </cell>
          <cell r="I5027" t="b">
            <v>0</v>
          </cell>
          <cell r="J5027">
            <v>109703.8</v>
          </cell>
          <cell r="K5027">
            <v>0</v>
          </cell>
          <cell r="L5027">
            <v>0</v>
          </cell>
        </row>
        <row r="5028">
          <cell r="A5028" t="str">
            <v>02</v>
          </cell>
          <cell r="B5028" t="str">
            <v>20</v>
          </cell>
          <cell r="C5028" t="str">
            <v>02</v>
          </cell>
          <cell r="D5028" t="str">
            <v>2</v>
          </cell>
          <cell r="E5028" t="str">
            <v>0038</v>
          </cell>
          <cell r="F5028" t="str">
            <v>0002</v>
          </cell>
          <cell r="G5028" t="str">
            <v>50307</v>
          </cell>
          <cell r="H5028" t="str">
            <v>付商检费</v>
          </cell>
          <cell r="I5028" t="b">
            <v>1</v>
          </cell>
          <cell r="J5028">
            <v>6260</v>
          </cell>
          <cell r="K5028">
            <v>0</v>
          </cell>
          <cell r="L5028">
            <v>0</v>
          </cell>
        </row>
        <row r="5029">
          <cell r="A5029" t="str">
            <v>02</v>
          </cell>
          <cell r="B5029" t="str">
            <v>29</v>
          </cell>
          <cell r="C5029" t="str">
            <v>02</v>
          </cell>
          <cell r="D5029" t="str">
            <v>5</v>
          </cell>
          <cell r="E5029" t="str">
            <v>0057</v>
          </cell>
          <cell r="F5029" t="str">
            <v>0006</v>
          </cell>
          <cell r="G5029" t="str">
            <v>50307</v>
          </cell>
          <cell r="H5029" t="str">
            <v>结转本月销售费用</v>
          </cell>
          <cell r="I5029" t="b">
            <v>0</v>
          </cell>
          <cell r="J5029">
            <v>6260</v>
          </cell>
          <cell r="K5029">
            <v>0</v>
          </cell>
          <cell r="L5029">
            <v>0</v>
          </cell>
        </row>
        <row r="5030">
          <cell r="A5030" t="str">
            <v>03</v>
          </cell>
          <cell r="B5030" t="str">
            <v>10</v>
          </cell>
          <cell r="C5030" t="str">
            <v>03</v>
          </cell>
          <cell r="D5030" t="str">
            <v>2</v>
          </cell>
          <cell r="E5030" t="str">
            <v>0007</v>
          </cell>
          <cell r="F5030" t="str">
            <v>0003</v>
          </cell>
          <cell r="G5030" t="str">
            <v>50307</v>
          </cell>
          <cell r="H5030" t="str">
            <v>付商检费</v>
          </cell>
          <cell r="I5030" t="b">
            <v>1</v>
          </cell>
          <cell r="J5030">
            <v>2179</v>
          </cell>
          <cell r="K5030">
            <v>0</v>
          </cell>
          <cell r="L5030">
            <v>0</v>
          </cell>
        </row>
        <row r="5031">
          <cell r="A5031" t="str">
            <v>03</v>
          </cell>
          <cell r="B5031" t="str">
            <v>30</v>
          </cell>
          <cell r="C5031" t="str">
            <v>03</v>
          </cell>
          <cell r="D5031" t="str">
            <v>5</v>
          </cell>
          <cell r="E5031" t="str">
            <v>0031</v>
          </cell>
          <cell r="F5031" t="str">
            <v>0006</v>
          </cell>
          <cell r="G5031" t="str">
            <v>50307</v>
          </cell>
          <cell r="H5031" t="str">
            <v>结转本月销售费用</v>
          </cell>
          <cell r="I5031" t="b">
            <v>0</v>
          </cell>
          <cell r="J5031">
            <v>2179</v>
          </cell>
          <cell r="K5031">
            <v>0</v>
          </cell>
          <cell r="L5031">
            <v>0</v>
          </cell>
        </row>
        <row r="5032">
          <cell r="A5032" t="str">
            <v>05</v>
          </cell>
          <cell r="B5032" t="str">
            <v>20</v>
          </cell>
          <cell r="C5032" t="str">
            <v>05</v>
          </cell>
          <cell r="D5032" t="str">
            <v>2</v>
          </cell>
          <cell r="E5032" t="str">
            <v>0013</v>
          </cell>
          <cell r="F5032" t="str">
            <v>0002</v>
          </cell>
          <cell r="G5032" t="str">
            <v>50307</v>
          </cell>
          <cell r="H5032" t="str">
            <v>付商检费</v>
          </cell>
          <cell r="I5032" t="b">
            <v>1</v>
          </cell>
          <cell r="J5032">
            <v>1201</v>
          </cell>
          <cell r="K5032">
            <v>0</v>
          </cell>
          <cell r="L5032">
            <v>0</v>
          </cell>
        </row>
        <row r="5033">
          <cell r="A5033" t="str">
            <v>05</v>
          </cell>
          <cell r="B5033" t="str">
            <v>16</v>
          </cell>
          <cell r="C5033" t="str">
            <v>05</v>
          </cell>
          <cell r="D5033" t="str">
            <v>4</v>
          </cell>
          <cell r="E5033" t="str">
            <v>0013</v>
          </cell>
          <cell r="F5033" t="str">
            <v>0001</v>
          </cell>
          <cell r="G5033" t="str">
            <v>50307</v>
          </cell>
          <cell r="H5033" t="str">
            <v>付费用</v>
          </cell>
          <cell r="I5033" t="b">
            <v>1</v>
          </cell>
          <cell r="J5033">
            <v>30001.1</v>
          </cell>
          <cell r="K5033">
            <v>0</v>
          </cell>
          <cell r="L5033">
            <v>0</v>
          </cell>
        </row>
        <row r="5034">
          <cell r="A5034" t="str">
            <v>05</v>
          </cell>
          <cell r="B5034" t="str">
            <v>25</v>
          </cell>
          <cell r="C5034" t="str">
            <v>05</v>
          </cell>
          <cell r="D5034" t="str">
            <v>5</v>
          </cell>
          <cell r="E5034" t="str">
            <v>0008</v>
          </cell>
          <cell r="F5034" t="str">
            <v>0001</v>
          </cell>
          <cell r="G5034" t="str">
            <v>50307</v>
          </cell>
          <cell r="H5034" t="str">
            <v>转报销芮城费用</v>
          </cell>
          <cell r="I5034" t="b">
            <v>1</v>
          </cell>
          <cell r="J5034">
            <v>10439</v>
          </cell>
          <cell r="K5034">
            <v>0</v>
          </cell>
          <cell r="L5034">
            <v>0</v>
          </cell>
        </row>
        <row r="5035">
          <cell r="A5035" t="str">
            <v>05</v>
          </cell>
          <cell r="B5035" t="str">
            <v>31</v>
          </cell>
          <cell r="C5035" t="str">
            <v>05</v>
          </cell>
          <cell r="D5035" t="str">
            <v>5</v>
          </cell>
          <cell r="E5035" t="str">
            <v>0038</v>
          </cell>
          <cell r="F5035" t="str">
            <v>0006</v>
          </cell>
          <cell r="G5035" t="str">
            <v>50307</v>
          </cell>
          <cell r="H5035" t="str">
            <v>结转本月销售费用</v>
          </cell>
          <cell r="I5035" t="b">
            <v>0</v>
          </cell>
          <cell r="J5035">
            <v>41641.1</v>
          </cell>
          <cell r="K5035">
            <v>0</v>
          </cell>
          <cell r="L5035">
            <v>0</v>
          </cell>
        </row>
        <row r="5036">
          <cell r="A5036" t="str">
            <v>07</v>
          </cell>
          <cell r="B5036" t="str">
            <v>19</v>
          </cell>
          <cell r="C5036" t="str">
            <v>07</v>
          </cell>
          <cell r="D5036" t="str">
            <v>4</v>
          </cell>
          <cell r="E5036" t="str">
            <v>0019</v>
          </cell>
          <cell r="F5036" t="str">
            <v>0004</v>
          </cell>
          <cell r="G5036" t="str">
            <v>50307</v>
          </cell>
          <cell r="H5036" t="str">
            <v>付邮递费</v>
          </cell>
          <cell r="I5036" t="b">
            <v>1</v>
          </cell>
          <cell r="J5036">
            <v>5602</v>
          </cell>
          <cell r="K5036">
            <v>0</v>
          </cell>
          <cell r="L5036">
            <v>0</v>
          </cell>
        </row>
        <row r="5037">
          <cell r="A5037" t="str">
            <v>07</v>
          </cell>
          <cell r="B5037" t="str">
            <v>29</v>
          </cell>
          <cell r="C5037" t="str">
            <v>07</v>
          </cell>
          <cell r="D5037" t="str">
            <v>5</v>
          </cell>
          <cell r="E5037" t="str">
            <v>0043</v>
          </cell>
          <cell r="F5037" t="str">
            <v>0004</v>
          </cell>
          <cell r="G5037" t="str">
            <v>50307</v>
          </cell>
          <cell r="H5037" t="str">
            <v>结转本月销售费用</v>
          </cell>
          <cell r="I5037" t="b">
            <v>0</v>
          </cell>
          <cell r="J5037">
            <v>5602</v>
          </cell>
          <cell r="K5037">
            <v>0</v>
          </cell>
          <cell r="L5037">
            <v>0</v>
          </cell>
        </row>
        <row r="5038">
          <cell r="A5038" t="str">
            <v>02</v>
          </cell>
          <cell r="B5038" t="str">
            <v>01</v>
          </cell>
          <cell r="C5038" t="str">
            <v>02</v>
          </cell>
          <cell r="D5038" t="str">
            <v>2</v>
          </cell>
          <cell r="E5038" t="str">
            <v>0003</v>
          </cell>
          <cell r="F5038" t="str">
            <v>0001</v>
          </cell>
          <cell r="G5038" t="str">
            <v>50308</v>
          </cell>
          <cell r="H5038" t="str">
            <v>付佣金</v>
          </cell>
          <cell r="I5038" t="b">
            <v>1</v>
          </cell>
          <cell r="J5038">
            <v>5497.5</v>
          </cell>
          <cell r="K5038">
            <v>0</v>
          </cell>
          <cell r="L5038">
            <v>0</v>
          </cell>
        </row>
        <row r="5039">
          <cell r="A5039" t="str">
            <v>02</v>
          </cell>
          <cell r="B5039" t="str">
            <v>06</v>
          </cell>
          <cell r="C5039" t="str">
            <v>02</v>
          </cell>
          <cell r="D5039" t="str">
            <v>4</v>
          </cell>
          <cell r="E5039" t="str">
            <v>0007</v>
          </cell>
          <cell r="F5039" t="str">
            <v>0001</v>
          </cell>
          <cell r="G5039" t="str">
            <v>50308</v>
          </cell>
          <cell r="H5039" t="str">
            <v>付佣金</v>
          </cell>
          <cell r="I5039" t="b">
            <v>1</v>
          </cell>
          <cell r="J5039">
            <v>9540.2999999999993</v>
          </cell>
          <cell r="K5039">
            <v>0</v>
          </cell>
          <cell r="L5039">
            <v>0</v>
          </cell>
        </row>
        <row r="5040">
          <cell r="A5040" t="str">
            <v>02</v>
          </cell>
          <cell r="B5040" t="str">
            <v>29</v>
          </cell>
          <cell r="C5040" t="str">
            <v>02</v>
          </cell>
          <cell r="D5040" t="str">
            <v>5</v>
          </cell>
          <cell r="E5040" t="str">
            <v>0057</v>
          </cell>
          <cell r="F5040" t="str">
            <v>0007</v>
          </cell>
          <cell r="G5040" t="str">
            <v>50308</v>
          </cell>
          <cell r="H5040" t="str">
            <v>结转本月销售费用</v>
          </cell>
          <cell r="I5040" t="b">
            <v>0</v>
          </cell>
          <cell r="J5040">
            <v>15037.8</v>
          </cell>
          <cell r="K5040">
            <v>0</v>
          </cell>
          <cell r="L5040">
            <v>0</v>
          </cell>
        </row>
        <row r="5041">
          <cell r="A5041" t="str">
            <v>03</v>
          </cell>
          <cell r="B5041" t="str">
            <v>17</v>
          </cell>
          <cell r="C5041" t="str">
            <v>03</v>
          </cell>
          <cell r="D5041" t="str">
            <v>2</v>
          </cell>
          <cell r="E5041" t="str">
            <v>0014</v>
          </cell>
          <cell r="F5041" t="str">
            <v>0001</v>
          </cell>
          <cell r="G5041" t="str">
            <v>50308</v>
          </cell>
          <cell r="H5041" t="str">
            <v>付佣金</v>
          </cell>
          <cell r="I5041" t="b">
            <v>1</v>
          </cell>
          <cell r="J5041">
            <v>2775</v>
          </cell>
          <cell r="K5041">
            <v>0</v>
          </cell>
          <cell r="L5041">
            <v>0</v>
          </cell>
        </row>
        <row r="5042">
          <cell r="A5042" t="str">
            <v>03</v>
          </cell>
          <cell r="B5042" t="str">
            <v>13</v>
          </cell>
          <cell r="C5042" t="str">
            <v>03</v>
          </cell>
          <cell r="D5042" t="str">
            <v>4</v>
          </cell>
          <cell r="E5042" t="str">
            <v>0017</v>
          </cell>
          <cell r="F5042" t="str">
            <v>0003</v>
          </cell>
          <cell r="G5042" t="str">
            <v>50308</v>
          </cell>
          <cell r="H5042" t="str">
            <v>付佣金</v>
          </cell>
          <cell r="I5042" t="b">
            <v>1</v>
          </cell>
          <cell r="J5042">
            <v>1170</v>
          </cell>
          <cell r="K5042">
            <v>0</v>
          </cell>
          <cell r="L5042">
            <v>0</v>
          </cell>
        </row>
        <row r="5043">
          <cell r="A5043" t="str">
            <v>03</v>
          </cell>
          <cell r="B5043" t="str">
            <v>16</v>
          </cell>
          <cell r="C5043" t="str">
            <v>03</v>
          </cell>
          <cell r="D5043" t="str">
            <v>4</v>
          </cell>
          <cell r="E5043" t="str">
            <v>0023</v>
          </cell>
          <cell r="F5043" t="str">
            <v>0001</v>
          </cell>
          <cell r="G5043" t="str">
            <v>50308</v>
          </cell>
          <cell r="H5043" t="str">
            <v>付佣金</v>
          </cell>
          <cell r="I5043" t="b">
            <v>1</v>
          </cell>
          <cell r="J5043">
            <v>240588.41</v>
          </cell>
          <cell r="K5043">
            <v>0</v>
          </cell>
          <cell r="L5043">
            <v>0</v>
          </cell>
        </row>
        <row r="5044">
          <cell r="A5044" t="str">
            <v>03</v>
          </cell>
          <cell r="B5044" t="str">
            <v>30</v>
          </cell>
          <cell r="C5044" t="str">
            <v>03</v>
          </cell>
          <cell r="D5044" t="str">
            <v>5</v>
          </cell>
          <cell r="E5044" t="str">
            <v>0031</v>
          </cell>
          <cell r="F5044" t="str">
            <v>0007</v>
          </cell>
          <cell r="G5044" t="str">
            <v>50308</v>
          </cell>
          <cell r="H5044" t="str">
            <v>结转本月销售费用</v>
          </cell>
          <cell r="I5044" t="b">
            <v>0</v>
          </cell>
          <cell r="J5044">
            <v>244533.41</v>
          </cell>
          <cell r="K5044">
            <v>0</v>
          </cell>
          <cell r="L5044">
            <v>0</v>
          </cell>
        </row>
        <row r="5045">
          <cell r="A5045" t="str">
            <v>03</v>
          </cell>
          <cell r="B5045" t="str">
            <v>30</v>
          </cell>
          <cell r="C5045" t="str">
            <v>03</v>
          </cell>
          <cell r="D5045" t="str">
            <v>5</v>
          </cell>
          <cell r="E5045" t="str">
            <v>0028</v>
          </cell>
          <cell r="F5045" t="str">
            <v>0001</v>
          </cell>
          <cell r="G5045" t="str">
            <v>504</v>
          </cell>
          <cell r="H5045" t="str">
            <v>转1-3月份营业税应提城建及附加</v>
          </cell>
          <cell r="I5045" t="b">
            <v>1</v>
          </cell>
          <cell r="J5045">
            <v>20</v>
          </cell>
          <cell r="K5045">
            <v>0</v>
          </cell>
          <cell r="L5045">
            <v>0</v>
          </cell>
        </row>
        <row r="5046">
          <cell r="A5046" t="str">
            <v>03</v>
          </cell>
          <cell r="B5046" t="str">
            <v>30</v>
          </cell>
          <cell r="C5046" t="str">
            <v>03</v>
          </cell>
          <cell r="D5046" t="str">
            <v>5</v>
          </cell>
          <cell r="E5046" t="str">
            <v>0033</v>
          </cell>
          <cell r="F5046" t="str">
            <v>0002</v>
          </cell>
          <cell r="G5046" t="str">
            <v>504</v>
          </cell>
          <cell r="H5046" t="str">
            <v>结转本月产品销售税金及附加</v>
          </cell>
          <cell r="I5046" t="b">
            <v>0</v>
          </cell>
          <cell r="J5046">
            <v>20</v>
          </cell>
          <cell r="K5046">
            <v>0</v>
          </cell>
          <cell r="L5046">
            <v>0</v>
          </cell>
        </row>
        <row r="5047">
          <cell r="A5047" t="str">
            <v>04</v>
          </cell>
          <cell r="B5047" t="str">
            <v>25</v>
          </cell>
          <cell r="C5047" t="str">
            <v>04</v>
          </cell>
          <cell r="D5047" t="str">
            <v>5</v>
          </cell>
          <cell r="E5047" t="str">
            <v>0022</v>
          </cell>
          <cell r="F5047" t="str">
            <v>0003</v>
          </cell>
          <cell r="G5047" t="str">
            <v>504</v>
          </cell>
          <cell r="H5047" t="str">
            <v>转补提99年应交教育费附加</v>
          </cell>
          <cell r="I5047" t="b">
            <v>1</v>
          </cell>
          <cell r="J5047">
            <v>9.59</v>
          </cell>
          <cell r="K5047">
            <v>0</v>
          </cell>
          <cell r="L5047">
            <v>0</v>
          </cell>
        </row>
        <row r="5048">
          <cell r="A5048" t="str">
            <v>04</v>
          </cell>
          <cell r="B5048" t="str">
            <v>25</v>
          </cell>
          <cell r="C5048" t="str">
            <v>04</v>
          </cell>
          <cell r="D5048" t="str">
            <v>5</v>
          </cell>
          <cell r="E5048" t="str">
            <v>0022</v>
          </cell>
          <cell r="F5048" t="str">
            <v>0005</v>
          </cell>
          <cell r="G5048" t="str">
            <v>504</v>
          </cell>
          <cell r="H5048" t="str">
            <v>转补提99年应交城建税</v>
          </cell>
          <cell r="I5048" t="b">
            <v>1</v>
          </cell>
          <cell r="J5048">
            <v>22.38</v>
          </cell>
          <cell r="K5048">
            <v>0</v>
          </cell>
          <cell r="L5048">
            <v>0</v>
          </cell>
        </row>
        <row r="5049">
          <cell r="A5049" t="str">
            <v>04</v>
          </cell>
          <cell r="B5049" t="str">
            <v>29</v>
          </cell>
          <cell r="C5049" t="str">
            <v>04</v>
          </cell>
          <cell r="D5049" t="str">
            <v>5</v>
          </cell>
          <cell r="E5049" t="str">
            <v>0039</v>
          </cell>
          <cell r="F5049" t="str">
            <v>0002</v>
          </cell>
          <cell r="G5049" t="str">
            <v>504</v>
          </cell>
          <cell r="H5049" t="str">
            <v>结转本月产品销售税金及附加</v>
          </cell>
          <cell r="I5049" t="b">
            <v>0</v>
          </cell>
          <cell r="J5049">
            <v>31.97</v>
          </cell>
          <cell r="K5049">
            <v>0</v>
          </cell>
          <cell r="L5049">
            <v>0</v>
          </cell>
        </row>
        <row r="5050">
          <cell r="A5050" t="str">
            <v>12</v>
          </cell>
          <cell r="B5050" t="str">
            <v>28</v>
          </cell>
          <cell r="C5050" t="str">
            <v>12</v>
          </cell>
          <cell r="D5050" t="str">
            <v>5</v>
          </cell>
          <cell r="E5050" t="str">
            <v>0074</v>
          </cell>
          <cell r="F5050" t="str">
            <v>0001</v>
          </cell>
          <cell r="G5050" t="str">
            <v>504</v>
          </cell>
          <cell r="H5050" t="str">
            <v>转按7%计提营业税应交城建税</v>
          </cell>
          <cell r="I5050" t="b">
            <v>1</v>
          </cell>
          <cell r="J5050">
            <v>22.4</v>
          </cell>
          <cell r="K5050">
            <v>0</v>
          </cell>
          <cell r="L5050">
            <v>0</v>
          </cell>
        </row>
        <row r="5051">
          <cell r="A5051" t="str">
            <v>12</v>
          </cell>
          <cell r="B5051" t="str">
            <v>28</v>
          </cell>
          <cell r="C5051" t="str">
            <v>12</v>
          </cell>
          <cell r="D5051" t="str">
            <v>5</v>
          </cell>
          <cell r="E5051" t="str">
            <v>0074</v>
          </cell>
          <cell r="F5051" t="str">
            <v>0002</v>
          </cell>
          <cell r="G5051" t="str">
            <v>504</v>
          </cell>
          <cell r="H5051" t="str">
            <v>转按3%计提营业税应交教育费附加</v>
          </cell>
          <cell r="I5051" t="b">
            <v>1</v>
          </cell>
          <cell r="J5051">
            <v>9.6</v>
          </cell>
          <cell r="K5051">
            <v>0</v>
          </cell>
          <cell r="L5051">
            <v>0</v>
          </cell>
        </row>
        <row r="5052">
          <cell r="A5052" t="str">
            <v>12</v>
          </cell>
          <cell r="B5052" t="str">
            <v>31</v>
          </cell>
          <cell r="C5052" t="str">
            <v>12</v>
          </cell>
          <cell r="D5052" t="str">
            <v>5</v>
          </cell>
          <cell r="E5052" t="str">
            <v>0107</v>
          </cell>
          <cell r="F5052" t="str">
            <v>0001</v>
          </cell>
          <cell r="G5052" t="str">
            <v>504</v>
          </cell>
          <cell r="H5052" t="str">
            <v>结转本年产品销售税金及附加</v>
          </cell>
          <cell r="I5052" t="b">
            <v>0</v>
          </cell>
          <cell r="J5052">
            <v>32</v>
          </cell>
          <cell r="K5052">
            <v>0</v>
          </cell>
          <cell r="L5052">
            <v>0</v>
          </cell>
        </row>
        <row r="5053">
          <cell r="A5053" t="str">
            <v>02</v>
          </cell>
          <cell r="B5053" t="str">
            <v>05</v>
          </cell>
          <cell r="C5053" t="str">
            <v>02</v>
          </cell>
          <cell r="D5053" t="str">
            <v>1</v>
          </cell>
          <cell r="E5053" t="str">
            <v>0004</v>
          </cell>
          <cell r="F5053" t="str">
            <v>0002</v>
          </cell>
          <cell r="G5053" t="str">
            <v>511</v>
          </cell>
          <cell r="H5053" t="str">
            <v>收10-11月份理发室租金</v>
          </cell>
          <cell r="I5053" t="b">
            <v>0</v>
          </cell>
          <cell r="J5053">
            <v>1520</v>
          </cell>
          <cell r="K5053">
            <v>0</v>
          </cell>
          <cell r="L5053">
            <v>0</v>
          </cell>
        </row>
        <row r="5054">
          <cell r="A5054" t="str">
            <v>02</v>
          </cell>
          <cell r="B5054" t="str">
            <v>05</v>
          </cell>
          <cell r="C5054" t="str">
            <v>02</v>
          </cell>
          <cell r="D5054" t="str">
            <v>1</v>
          </cell>
          <cell r="E5054" t="str">
            <v>0004</v>
          </cell>
          <cell r="F5054" t="str">
            <v>0004</v>
          </cell>
          <cell r="G5054" t="str">
            <v>511</v>
          </cell>
          <cell r="H5054" t="str">
            <v>收旧袋款</v>
          </cell>
          <cell r="I5054" t="b">
            <v>0</v>
          </cell>
          <cell r="J5054">
            <v>803.42</v>
          </cell>
          <cell r="K5054">
            <v>0</v>
          </cell>
          <cell r="L5054">
            <v>0</v>
          </cell>
        </row>
        <row r="5055">
          <cell r="A5055" t="str">
            <v>02</v>
          </cell>
          <cell r="B5055" t="str">
            <v>16</v>
          </cell>
          <cell r="C5055" t="str">
            <v>02</v>
          </cell>
          <cell r="D5055" t="str">
            <v>1</v>
          </cell>
          <cell r="E5055" t="str">
            <v>0009</v>
          </cell>
          <cell r="F5055" t="str">
            <v>0002</v>
          </cell>
          <cell r="G5055" t="str">
            <v>511</v>
          </cell>
          <cell r="H5055" t="str">
            <v>收月租费</v>
          </cell>
          <cell r="I5055" t="b">
            <v>0</v>
          </cell>
          <cell r="J5055">
            <v>760</v>
          </cell>
          <cell r="K5055">
            <v>0</v>
          </cell>
          <cell r="L5055">
            <v>0</v>
          </cell>
        </row>
        <row r="5056">
          <cell r="A5056" t="str">
            <v>02</v>
          </cell>
          <cell r="B5056" t="str">
            <v>16</v>
          </cell>
          <cell r="C5056" t="str">
            <v>02</v>
          </cell>
          <cell r="D5056" t="str">
            <v>1</v>
          </cell>
          <cell r="E5056" t="str">
            <v>0009</v>
          </cell>
          <cell r="F5056" t="str">
            <v>0004</v>
          </cell>
          <cell r="G5056" t="str">
            <v>511</v>
          </cell>
          <cell r="H5056" t="str">
            <v>收旧袋款</v>
          </cell>
          <cell r="I5056" t="b">
            <v>0</v>
          </cell>
          <cell r="J5056">
            <v>427.35</v>
          </cell>
          <cell r="K5056">
            <v>0</v>
          </cell>
          <cell r="L5056">
            <v>0</v>
          </cell>
        </row>
        <row r="5057">
          <cell r="A5057" t="str">
            <v>02</v>
          </cell>
          <cell r="B5057" t="str">
            <v>16</v>
          </cell>
          <cell r="C5057" t="str">
            <v>02</v>
          </cell>
          <cell r="D5057" t="str">
            <v>1</v>
          </cell>
          <cell r="E5057" t="str">
            <v>0010</v>
          </cell>
          <cell r="F5057" t="str">
            <v>0002</v>
          </cell>
          <cell r="G5057" t="str">
            <v>511</v>
          </cell>
          <cell r="H5057" t="str">
            <v>销硅藻土</v>
          </cell>
          <cell r="I5057" t="b">
            <v>0</v>
          </cell>
          <cell r="J5057">
            <v>170.94</v>
          </cell>
          <cell r="K5057">
            <v>0</v>
          </cell>
          <cell r="L5057">
            <v>0</v>
          </cell>
        </row>
        <row r="5058">
          <cell r="A5058" t="str">
            <v>02</v>
          </cell>
          <cell r="B5058" t="str">
            <v>20</v>
          </cell>
          <cell r="C5058" t="str">
            <v>02</v>
          </cell>
          <cell r="D5058" t="str">
            <v>5</v>
          </cell>
          <cell r="E5058" t="str">
            <v>0005</v>
          </cell>
          <cell r="F5058" t="str">
            <v>0001</v>
          </cell>
          <cell r="G5058" t="str">
            <v>511</v>
          </cell>
          <cell r="H5058" t="str">
            <v>转销明胶及其他材料</v>
          </cell>
          <cell r="I5058" t="b">
            <v>0</v>
          </cell>
          <cell r="J5058">
            <v>19019</v>
          </cell>
          <cell r="K5058">
            <v>0</v>
          </cell>
          <cell r="L5058">
            <v>0</v>
          </cell>
        </row>
        <row r="5059">
          <cell r="A5059" t="str">
            <v>02</v>
          </cell>
          <cell r="B5059" t="str">
            <v>28</v>
          </cell>
          <cell r="C5059" t="str">
            <v>02</v>
          </cell>
          <cell r="D5059" t="str">
            <v>5</v>
          </cell>
          <cell r="E5059" t="str">
            <v>0024</v>
          </cell>
          <cell r="F5059" t="str">
            <v>0004</v>
          </cell>
          <cell r="G5059" t="str">
            <v>511</v>
          </cell>
          <cell r="H5059" t="str">
            <v>转各厂本月耗材料款</v>
          </cell>
          <cell r="I5059" t="b">
            <v>0</v>
          </cell>
          <cell r="J5059">
            <v>762709.45</v>
          </cell>
          <cell r="K5059">
            <v>0</v>
          </cell>
          <cell r="L5059">
            <v>0</v>
          </cell>
        </row>
        <row r="5060">
          <cell r="A5060" t="str">
            <v>02</v>
          </cell>
          <cell r="B5060" t="str">
            <v>29</v>
          </cell>
          <cell r="C5060" t="str">
            <v>02</v>
          </cell>
          <cell r="D5060" t="str">
            <v>5</v>
          </cell>
          <cell r="E5060" t="str">
            <v>0044</v>
          </cell>
          <cell r="F5060" t="str">
            <v>0002</v>
          </cell>
          <cell r="G5060" t="str">
            <v>511</v>
          </cell>
          <cell r="H5060" t="str">
            <v>转销旧塑料桶8个</v>
          </cell>
          <cell r="I5060" t="b">
            <v>0</v>
          </cell>
          <cell r="J5060">
            <v>478.63</v>
          </cell>
          <cell r="K5060">
            <v>0</v>
          </cell>
          <cell r="L5060">
            <v>0</v>
          </cell>
        </row>
        <row r="5061">
          <cell r="A5061" t="str">
            <v>02</v>
          </cell>
          <cell r="B5061" t="str">
            <v>29</v>
          </cell>
          <cell r="C5061" t="str">
            <v>02</v>
          </cell>
          <cell r="D5061" t="str">
            <v>5</v>
          </cell>
          <cell r="E5061" t="str">
            <v>0045</v>
          </cell>
          <cell r="F5061" t="str">
            <v>0001</v>
          </cell>
          <cell r="G5061" t="str">
            <v>511</v>
          </cell>
          <cell r="H5061" t="str">
            <v>结转本月业务收入</v>
          </cell>
          <cell r="I5061" t="b">
            <v>1</v>
          </cell>
          <cell r="J5061">
            <v>785888.79</v>
          </cell>
          <cell r="K5061">
            <v>0</v>
          </cell>
          <cell r="L5061">
            <v>0</v>
          </cell>
        </row>
        <row r="5062">
          <cell r="A5062" t="str">
            <v>03</v>
          </cell>
          <cell r="B5062" t="str">
            <v>17</v>
          </cell>
          <cell r="C5062" t="str">
            <v>03</v>
          </cell>
          <cell r="D5062" t="str">
            <v>1</v>
          </cell>
          <cell r="E5062" t="str">
            <v>0002</v>
          </cell>
          <cell r="F5062" t="str">
            <v>0004</v>
          </cell>
          <cell r="G5062" t="str">
            <v>511</v>
          </cell>
          <cell r="H5062" t="str">
            <v>销硅藻土.塑料桶</v>
          </cell>
          <cell r="I5062" t="b">
            <v>0</v>
          </cell>
          <cell r="J5062">
            <v>178.63</v>
          </cell>
          <cell r="K5062">
            <v>0</v>
          </cell>
          <cell r="L5062">
            <v>0</v>
          </cell>
        </row>
        <row r="5063">
          <cell r="A5063" t="str">
            <v>03</v>
          </cell>
          <cell r="B5063" t="str">
            <v>21</v>
          </cell>
          <cell r="C5063" t="str">
            <v>03</v>
          </cell>
          <cell r="D5063" t="str">
            <v>1</v>
          </cell>
          <cell r="E5063" t="str">
            <v>0003</v>
          </cell>
          <cell r="F5063" t="str">
            <v>0003</v>
          </cell>
          <cell r="G5063" t="str">
            <v>511</v>
          </cell>
          <cell r="H5063" t="str">
            <v>收理发室1-2月份房租</v>
          </cell>
          <cell r="I5063" t="b">
            <v>0</v>
          </cell>
          <cell r="J5063">
            <v>1520</v>
          </cell>
          <cell r="K5063">
            <v>0</v>
          </cell>
          <cell r="L5063">
            <v>0</v>
          </cell>
        </row>
        <row r="5064">
          <cell r="A5064" t="str">
            <v>03</v>
          </cell>
          <cell r="B5064" t="str">
            <v>27</v>
          </cell>
          <cell r="C5064" t="str">
            <v>03</v>
          </cell>
          <cell r="D5064" t="str">
            <v>1</v>
          </cell>
          <cell r="E5064" t="str">
            <v>0005</v>
          </cell>
          <cell r="F5064" t="str">
            <v>0002</v>
          </cell>
          <cell r="G5064" t="str">
            <v>511</v>
          </cell>
          <cell r="H5064" t="str">
            <v>销果渣款</v>
          </cell>
          <cell r="I5064" t="b">
            <v>0</v>
          </cell>
          <cell r="J5064">
            <v>97590.6</v>
          </cell>
          <cell r="K5064">
            <v>0</v>
          </cell>
          <cell r="L5064">
            <v>0</v>
          </cell>
        </row>
        <row r="5065">
          <cell r="A5065" t="str">
            <v>03</v>
          </cell>
          <cell r="B5065" t="str">
            <v>12</v>
          </cell>
          <cell r="C5065" t="str">
            <v>03</v>
          </cell>
          <cell r="D5065" t="str">
            <v>3</v>
          </cell>
          <cell r="E5065" t="str">
            <v>0007</v>
          </cell>
          <cell r="F5065" t="str">
            <v>0004</v>
          </cell>
          <cell r="G5065" t="str">
            <v>511</v>
          </cell>
          <cell r="H5065" t="str">
            <v>内销1吨果渣</v>
          </cell>
          <cell r="I5065" t="b">
            <v>0</v>
          </cell>
          <cell r="J5065">
            <v>769.23</v>
          </cell>
          <cell r="K5065">
            <v>0</v>
          </cell>
          <cell r="L5065">
            <v>0</v>
          </cell>
        </row>
        <row r="5066">
          <cell r="A5066" t="str">
            <v>03</v>
          </cell>
          <cell r="B5066" t="str">
            <v>28</v>
          </cell>
          <cell r="C5066" t="str">
            <v>03</v>
          </cell>
          <cell r="D5066" t="str">
            <v>5</v>
          </cell>
          <cell r="E5066" t="str">
            <v>0018</v>
          </cell>
          <cell r="F5066" t="str">
            <v>0001</v>
          </cell>
          <cell r="G5066" t="str">
            <v>511</v>
          </cell>
          <cell r="H5066" t="str">
            <v>结转本月业务收入</v>
          </cell>
          <cell r="I5066" t="b">
            <v>1</v>
          </cell>
          <cell r="J5066">
            <v>100058.46</v>
          </cell>
          <cell r="K5066">
            <v>0</v>
          </cell>
          <cell r="L5066">
            <v>0</v>
          </cell>
        </row>
        <row r="5067">
          <cell r="A5067" t="str">
            <v>04</v>
          </cell>
          <cell r="B5067" t="str">
            <v>17</v>
          </cell>
          <cell r="C5067" t="str">
            <v>04</v>
          </cell>
          <cell r="D5067" t="str">
            <v>1</v>
          </cell>
          <cell r="E5067" t="str">
            <v>0003</v>
          </cell>
          <cell r="F5067" t="str">
            <v>0002</v>
          </cell>
          <cell r="G5067" t="str">
            <v>511</v>
          </cell>
          <cell r="H5067" t="str">
            <v>销旧桶.旧电瓶.果渣款</v>
          </cell>
          <cell r="I5067" t="b">
            <v>0</v>
          </cell>
          <cell r="J5067">
            <v>79599.56</v>
          </cell>
          <cell r="K5067">
            <v>0</v>
          </cell>
          <cell r="L5067">
            <v>0</v>
          </cell>
        </row>
        <row r="5068">
          <cell r="A5068" t="str">
            <v>04</v>
          </cell>
          <cell r="B5068" t="str">
            <v>24</v>
          </cell>
          <cell r="C5068" t="str">
            <v>04</v>
          </cell>
          <cell r="D5068" t="str">
            <v>5</v>
          </cell>
          <cell r="E5068" t="str">
            <v>0012</v>
          </cell>
          <cell r="F5068" t="str">
            <v>0004</v>
          </cell>
          <cell r="G5068" t="str">
            <v>511</v>
          </cell>
          <cell r="H5068" t="str">
            <v>转3月份各厂耗材料</v>
          </cell>
          <cell r="I5068" t="b">
            <v>0</v>
          </cell>
          <cell r="J5068">
            <v>839216.15</v>
          </cell>
          <cell r="K5068">
            <v>0</v>
          </cell>
          <cell r="L5068">
            <v>0</v>
          </cell>
        </row>
        <row r="5069">
          <cell r="A5069" t="str">
            <v>04</v>
          </cell>
          <cell r="B5069" t="str">
            <v>25</v>
          </cell>
          <cell r="C5069" t="str">
            <v>04</v>
          </cell>
          <cell r="D5069" t="str">
            <v>5</v>
          </cell>
          <cell r="E5069" t="str">
            <v>0019</v>
          </cell>
          <cell r="F5069" t="str">
            <v>0002</v>
          </cell>
          <cell r="G5069" t="str">
            <v>511</v>
          </cell>
          <cell r="H5069" t="str">
            <v>转销材料</v>
          </cell>
          <cell r="I5069" t="b">
            <v>0</v>
          </cell>
          <cell r="J5069">
            <v>192173.68</v>
          </cell>
          <cell r="K5069">
            <v>0</v>
          </cell>
          <cell r="L5069">
            <v>0</v>
          </cell>
        </row>
        <row r="5070">
          <cell r="A5070" t="str">
            <v>04</v>
          </cell>
          <cell r="B5070" t="str">
            <v>25</v>
          </cell>
          <cell r="C5070" t="str">
            <v>04</v>
          </cell>
          <cell r="D5070" t="str">
            <v>5</v>
          </cell>
          <cell r="E5070" t="str">
            <v>0023</v>
          </cell>
          <cell r="F5070" t="str">
            <v>0001</v>
          </cell>
          <cell r="G5070" t="str">
            <v>511</v>
          </cell>
          <cell r="H5070" t="str">
            <v>结转本月业务收入</v>
          </cell>
          <cell r="I5070" t="b">
            <v>1</v>
          </cell>
          <cell r="J5070">
            <v>1110989.3899999999</v>
          </cell>
          <cell r="K5070">
            <v>0</v>
          </cell>
          <cell r="L5070">
            <v>0</v>
          </cell>
        </row>
        <row r="5071">
          <cell r="A5071" t="str">
            <v>05</v>
          </cell>
          <cell r="B5071" t="str">
            <v>19</v>
          </cell>
          <cell r="C5071" t="str">
            <v>05</v>
          </cell>
          <cell r="D5071" t="str">
            <v>1</v>
          </cell>
          <cell r="E5071" t="str">
            <v>0002</v>
          </cell>
          <cell r="F5071" t="str">
            <v>0003</v>
          </cell>
          <cell r="G5071" t="str">
            <v>511</v>
          </cell>
          <cell r="H5071" t="str">
            <v>收租金</v>
          </cell>
          <cell r="I5071" t="b">
            <v>0</v>
          </cell>
          <cell r="J5071">
            <v>760</v>
          </cell>
          <cell r="K5071">
            <v>0</v>
          </cell>
          <cell r="L5071">
            <v>0</v>
          </cell>
        </row>
        <row r="5072">
          <cell r="A5072" t="str">
            <v>05</v>
          </cell>
          <cell r="B5072" t="str">
            <v>20</v>
          </cell>
          <cell r="C5072" t="str">
            <v>05</v>
          </cell>
          <cell r="D5072" t="str">
            <v>1</v>
          </cell>
          <cell r="E5072" t="str">
            <v>0003</v>
          </cell>
          <cell r="F5072" t="str">
            <v>0002</v>
          </cell>
          <cell r="G5072" t="str">
            <v>511</v>
          </cell>
          <cell r="H5072" t="str">
            <v>销干果渣</v>
          </cell>
          <cell r="I5072" t="b">
            <v>0</v>
          </cell>
          <cell r="J5072">
            <v>17809.23</v>
          </cell>
          <cell r="K5072">
            <v>0</v>
          </cell>
          <cell r="L5072">
            <v>0</v>
          </cell>
        </row>
        <row r="5073">
          <cell r="A5073" t="str">
            <v>05</v>
          </cell>
          <cell r="B5073" t="str">
            <v>26</v>
          </cell>
          <cell r="C5073" t="str">
            <v>05</v>
          </cell>
          <cell r="D5073" t="str">
            <v>5</v>
          </cell>
          <cell r="E5073" t="str">
            <v>0016</v>
          </cell>
          <cell r="F5073" t="str">
            <v>0003</v>
          </cell>
          <cell r="G5073" t="str">
            <v>511</v>
          </cell>
          <cell r="H5073" t="str">
            <v>转5月份各厂耗材料</v>
          </cell>
          <cell r="I5073" t="b">
            <v>0</v>
          </cell>
          <cell r="J5073">
            <v>100860.42</v>
          </cell>
          <cell r="K5073">
            <v>0</v>
          </cell>
          <cell r="L5073">
            <v>0</v>
          </cell>
        </row>
        <row r="5074">
          <cell r="A5074" t="str">
            <v>05</v>
          </cell>
          <cell r="B5074" t="str">
            <v>29</v>
          </cell>
          <cell r="C5074" t="str">
            <v>05</v>
          </cell>
          <cell r="D5074" t="str">
            <v>5</v>
          </cell>
          <cell r="E5074" t="str">
            <v>0033</v>
          </cell>
          <cell r="F5074" t="str">
            <v>0001</v>
          </cell>
          <cell r="G5074" t="str">
            <v>511</v>
          </cell>
          <cell r="H5074" t="str">
            <v>结转本月业务收入</v>
          </cell>
          <cell r="I5074" t="b">
            <v>1</v>
          </cell>
          <cell r="J5074">
            <v>119429.65</v>
          </cell>
          <cell r="K5074">
            <v>0</v>
          </cell>
          <cell r="L5074">
            <v>0</v>
          </cell>
        </row>
        <row r="5075">
          <cell r="A5075" t="str">
            <v>06</v>
          </cell>
          <cell r="B5075" t="str">
            <v>01</v>
          </cell>
          <cell r="C5075" t="str">
            <v>06</v>
          </cell>
          <cell r="D5075" t="str">
            <v>1</v>
          </cell>
          <cell r="E5075" t="str">
            <v>0001</v>
          </cell>
          <cell r="F5075" t="str">
            <v>0002</v>
          </cell>
          <cell r="G5075" t="str">
            <v>511</v>
          </cell>
          <cell r="H5075" t="str">
            <v>收理发室月租费</v>
          </cell>
          <cell r="I5075" t="b">
            <v>0</v>
          </cell>
          <cell r="J5075">
            <v>760</v>
          </cell>
          <cell r="K5075">
            <v>0</v>
          </cell>
          <cell r="L5075">
            <v>0</v>
          </cell>
        </row>
        <row r="5076">
          <cell r="A5076" t="str">
            <v>06</v>
          </cell>
          <cell r="B5076" t="str">
            <v>10</v>
          </cell>
          <cell r="C5076" t="str">
            <v>06</v>
          </cell>
          <cell r="D5076" t="str">
            <v>3</v>
          </cell>
          <cell r="E5076" t="str">
            <v>0001</v>
          </cell>
          <cell r="F5076" t="str">
            <v>0002</v>
          </cell>
          <cell r="G5076" t="str">
            <v>511</v>
          </cell>
          <cell r="H5076" t="str">
            <v>销旧桶</v>
          </cell>
          <cell r="I5076" t="b">
            <v>0</v>
          </cell>
          <cell r="J5076">
            <v>18461.54</v>
          </cell>
          <cell r="K5076">
            <v>0</v>
          </cell>
          <cell r="L5076">
            <v>0</v>
          </cell>
        </row>
        <row r="5077">
          <cell r="A5077" t="str">
            <v>06</v>
          </cell>
          <cell r="B5077" t="str">
            <v>16</v>
          </cell>
          <cell r="C5077" t="str">
            <v>06</v>
          </cell>
          <cell r="D5077" t="str">
            <v>5</v>
          </cell>
          <cell r="E5077" t="str">
            <v>0006</v>
          </cell>
          <cell r="F5077" t="str">
            <v>0001</v>
          </cell>
          <cell r="G5077" t="str">
            <v>511</v>
          </cell>
          <cell r="H5077" t="str">
            <v>结转本月业务收入</v>
          </cell>
          <cell r="I5077" t="b">
            <v>1</v>
          </cell>
          <cell r="J5077">
            <v>19221.54</v>
          </cell>
          <cell r="K5077">
            <v>0</v>
          </cell>
          <cell r="L5077">
            <v>0</v>
          </cell>
        </row>
        <row r="5078">
          <cell r="A5078" t="str">
            <v>07</v>
          </cell>
          <cell r="B5078" t="str">
            <v>26</v>
          </cell>
          <cell r="C5078" t="str">
            <v>07</v>
          </cell>
          <cell r="D5078" t="str">
            <v>3</v>
          </cell>
          <cell r="E5078" t="str">
            <v>0006</v>
          </cell>
          <cell r="F5078" t="str">
            <v>0002</v>
          </cell>
          <cell r="G5078" t="str">
            <v>511</v>
          </cell>
          <cell r="H5078" t="str">
            <v>收果楂款</v>
          </cell>
          <cell r="I5078" t="b">
            <v>0</v>
          </cell>
          <cell r="J5078">
            <v>75934.66</v>
          </cell>
          <cell r="K5078">
            <v>0</v>
          </cell>
          <cell r="L5078">
            <v>0</v>
          </cell>
        </row>
        <row r="5079">
          <cell r="A5079" t="str">
            <v>07</v>
          </cell>
          <cell r="B5079" t="str">
            <v>27</v>
          </cell>
          <cell r="C5079" t="str">
            <v>07</v>
          </cell>
          <cell r="D5079" t="str">
            <v>5</v>
          </cell>
          <cell r="E5079" t="str">
            <v>0029</v>
          </cell>
          <cell r="F5079" t="str">
            <v>0004</v>
          </cell>
          <cell r="G5079" t="str">
            <v>511</v>
          </cell>
          <cell r="H5079" t="str">
            <v>转7月份各厂耗材料</v>
          </cell>
          <cell r="I5079" t="b">
            <v>0</v>
          </cell>
          <cell r="J5079">
            <v>252053.04</v>
          </cell>
          <cell r="K5079">
            <v>0</v>
          </cell>
          <cell r="L5079">
            <v>0</v>
          </cell>
        </row>
        <row r="5080">
          <cell r="A5080" t="str">
            <v>07</v>
          </cell>
          <cell r="B5080" t="str">
            <v>28</v>
          </cell>
          <cell r="C5080" t="str">
            <v>07</v>
          </cell>
          <cell r="D5080" t="str">
            <v>5</v>
          </cell>
          <cell r="E5080" t="str">
            <v>0038</v>
          </cell>
          <cell r="F5080" t="str">
            <v>0001</v>
          </cell>
          <cell r="G5080" t="str">
            <v>511</v>
          </cell>
          <cell r="H5080" t="str">
            <v>结转本月业务收入</v>
          </cell>
          <cell r="I5080" t="b">
            <v>1</v>
          </cell>
          <cell r="J5080">
            <v>327987.7</v>
          </cell>
          <cell r="K5080">
            <v>0</v>
          </cell>
          <cell r="L5080">
            <v>0</v>
          </cell>
        </row>
        <row r="5081">
          <cell r="A5081" t="str">
            <v>08</v>
          </cell>
          <cell r="B5081" t="str">
            <v>03</v>
          </cell>
          <cell r="C5081" t="str">
            <v>08</v>
          </cell>
          <cell r="D5081" t="str">
            <v>1</v>
          </cell>
          <cell r="E5081" t="str">
            <v>0002</v>
          </cell>
          <cell r="F5081" t="str">
            <v>0002</v>
          </cell>
          <cell r="G5081" t="str">
            <v>511</v>
          </cell>
          <cell r="H5081" t="str">
            <v>销果渣</v>
          </cell>
          <cell r="I5081" t="b">
            <v>0</v>
          </cell>
          <cell r="J5081">
            <v>137803.07999999999</v>
          </cell>
          <cell r="K5081">
            <v>0</v>
          </cell>
          <cell r="L5081">
            <v>0</v>
          </cell>
        </row>
        <row r="5082">
          <cell r="A5082" t="str">
            <v>08</v>
          </cell>
          <cell r="B5082" t="str">
            <v>08</v>
          </cell>
          <cell r="C5082" t="str">
            <v>08</v>
          </cell>
          <cell r="D5082" t="str">
            <v>1</v>
          </cell>
          <cell r="E5082" t="str">
            <v>0004</v>
          </cell>
          <cell r="F5082" t="str">
            <v>0002</v>
          </cell>
          <cell r="G5082" t="str">
            <v>511</v>
          </cell>
          <cell r="H5082" t="str">
            <v>销干果渣.旧铁桶</v>
          </cell>
          <cell r="I5082" t="b">
            <v>0</v>
          </cell>
          <cell r="J5082">
            <v>43081.64</v>
          </cell>
          <cell r="K5082">
            <v>0</v>
          </cell>
          <cell r="L5082">
            <v>0</v>
          </cell>
        </row>
        <row r="5083">
          <cell r="A5083" t="str">
            <v>08</v>
          </cell>
          <cell r="B5083" t="str">
            <v>23</v>
          </cell>
          <cell r="C5083" t="str">
            <v>08</v>
          </cell>
          <cell r="D5083" t="str">
            <v>1</v>
          </cell>
          <cell r="E5083" t="str">
            <v>0007</v>
          </cell>
          <cell r="F5083" t="str">
            <v>0002</v>
          </cell>
          <cell r="G5083" t="str">
            <v>511</v>
          </cell>
          <cell r="H5083" t="str">
            <v>销活性炭</v>
          </cell>
          <cell r="I5083" t="b">
            <v>0</v>
          </cell>
          <cell r="J5083">
            <v>5811.97</v>
          </cell>
          <cell r="K5083">
            <v>0</v>
          </cell>
          <cell r="L5083">
            <v>0</v>
          </cell>
        </row>
        <row r="5084">
          <cell r="A5084" t="str">
            <v>08</v>
          </cell>
          <cell r="B5084" t="str">
            <v>27</v>
          </cell>
          <cell r="C5084" t="str">
            <v>08</v>
          </cell>
          <cell r="D5084" t="str">
            <v>5</v>
          </cell>
          <cell r="E5084" t="str">
            <v>0016</v>
          </cell>
          <cell r="F5084" t="str">
            <v>0005</v>
          </cell>
          <cell r="G5084" t="str">
            <v>511</v>
          </cell>
          <cell r="H5084" t="str">
            <v>转各分公司本月耗材料</v>
          </cell>
          <cell r="I5084" t="b">
            <v>0</v>
          </cell>
          <cell r="J5084">
            <v>850106.9</v>
          </cell>
          <cell r="K5084">
            <v>0</v>
          </cell>
          <cell r="L5084">
            <v>0</v>
          </cell>
        </row>
        <row r="5085">
          <cell r="A5085" t="str">
            <v>08</v>
          </cell>
          <cell r="B5085" t="str">
            <v>28</v>
          </cell>
          <cell r="C5085" t="str">
            <v>08</v>
          </cell>
          <cell r="D5085" t="str">
            <v>5</v>
          </cell>
          <cell r="E5085" t="str">
            <v>0030</v>
          </cell>
          <cell r="F5085" t="str">
            <v>0001</v>
          </cell>
          <cell r="G5085" t="str">
            <v>511</v>
          </cell>
          <cell r="H5085" t="str">
            <v>结转本月业务收入</v>
          </cell>
          <cell r="I5085" t="b">
            <v>1</v>
          </cell>
          <cell r="J5085">
            <v>1036803.59</v>
          </cell>
          <cell r="K5085">
            <v>0</v>
          </cell>
          <cell r="L5085">
            <v>0</v>
          </cell>
        </row>
        <row r="5086">
          <cell r="A5086" t="str">
            <v>09</v>
          </cell>
          <cell r="B5086" t="str">
            <v>03</v>
          </cell>
          <cell r="C5086" t="str">
            <v>09</v>
          </cell>
          <cell r="D5086" t="str">
            <v>1</v>
          </cell>
          <cell r="E5086" t="str">
            <v>0002</v>
          </cell>
          <cell r="F5086" t="str">
            <v>0002</v>
          </cell>
          <cell r="G5086" t="str">
            <v>511</v>
          </cell>
          <cell r="H5086" t="str">
            <v>收理发室月租费</v>
          </cell>
          <cell r="I5086" t="b">
            <v>0</v>
          </cell>
          <cell r="J5086">
            <v>1520</v>
          </cell>
          <cell r="K5086">
            <v>0</v>
          </cell>
          <cell r="L5086">
            <v>0</v>
          </cell>
        </row>
        <row r="5087">
          <cell r="A5087" t="str">
            <v>09</v>
          </cell>
          <cell r="B5087" t="str">
            <v>03</v>
          </cell>
          <cell r="C5087" t="str">
            <v>09</v>
          </cell>
          <cell r="D5087" t="str">
            <v>1</v>
          </cell>
          <cell r="E5087" t="str">
            <v>0002</v>
          </cell>
          <cell r="F5087" t="str">
            <v>0004</v>
          </cell>
          <cell r="G5087" t="str">
            <v>511</v>
          </cell>
          <cell r="H5087" t="str">
            <v>收废铁款</v>
          </cell>
          <cell r="I5087" t="b">
            <v>0</v>
          </cell>
          <cell r="J5087">
            <v>6923.08</v>
          </cell>
          <cell r="K5087">
            <v>0</v>
          </cell>
          <cell r="L5087">
            <v>0</v>
          </cell>
        </row>
        <row r="5088">
          <cell r="A5088" t="str">
            <v>09</v>
          </cell>
          <cell r="B5088" t="str">
            <v>28</v>
          </cell>
          <cell r="C5088" t="str">
            <v>09</v>
          </cell>
          <cell r="D5088" t="str">
            <v>5</v>
          </cell>
          <cell r="E5088" t="str">
            <v>0023</v>
          </cell>
          <cell r="F5088" t="str">
            <v>0003</v>
          </cell>
          <cell r="G5088" t="str">
            <v>511</v>
          </cell>
          <cell r="H5088" t="str">
            <v>转韩城.宝鸡分公司8月份耗材料款</v>
          </cell>
          <cell r="I5088" t="b">
            <v>0</v>
          </cell>
          <cell r="J5088">
            <v>556627.75</v>
          </cell>
          <cell r="K5088">
            <v>0</v>
          </cell>
          <cell r="L5088">
            <v>0</v>
          </cell>
        </row>
        <row r="5089">
          <cell r="A5089" t="str">
            <v>09</v>
          </cell>
          <cell r="B5089" t="str">
            <v>28</v>
          </cell>
          <cell r="C5089" t="str">
            <v>09</v>
          </cell>
          <cell r="D5089" t="str">
            <v>5</v>
          </cell>
          <cell r="E5089" t="str">
            <v>0024</v>
          </cell>
          <cell r="F5089" t="str">
            <v>0007</v>
          </cell>
          <cell r="G5089" t="str">
            <v>511</v>
          </cell>
          <cell r="H5089" t="str">
            <v>转本月各分公司耗材料</v>
          </cell>
          <cell r="I5089" t="b">
            <v>0</v>
          </cell>
          <cell r="J5089">
            <v>1424469.45</v>
          </cell>
          <cell r="K5089">
            <v>0</v>
          </cell>
          <cell r="L5089">
            <v>0</v>
          </cell>
        </row>
        <row r="5090">
          <cell r="A5090" t="str">
            <v>09</v>
          </cell>
          <cell r="B5090" t="str">
            <v>28</v>
          </cell>
          <cell r="C5090" t="str">
            <v>09</v>
          </cell>
          <cell r="D5090" t="str">
            <v>5</v>
          </cell>
          <cell r="E5090" t="str">
            <v>0025</v>
          </cell>
          <cell r="F5090" t="str">
            <v>0001</v>
          </cell>
          <cell r="G5090" t="str">
            <v>511</v>
          </cell>
          <cell r="H5090" t="str">
            <v>结转本月业务收入</v>
          </cell>
          <cell r="I5090" t="b">
            <v>1</v>
          </cell>
          <cell r="J5090">
            <v>1989540.28</v>
          </cell>
          <cell r="K5090">
            <v>0</v>
          </cell>
          <cell r="L5090">
            <v>0</v>
          </cell>
        </row>
        <row r="5091">
          <cell r="A5091" t="str">
            <v>10</v>
          </cell>
          <cell r="B5091" t="str">
            <v>04</v>
          </cell>
          <cell r="C5091" t="str">
            <v>10</v>
          </cell>
          <cell r="D5091" t="str">
            <v>1</v>
          </cell>
          <cell r="E5091" t="str">
            <v>0002</v>
          </cell>
          <cell r="F5091" t="str">
            <v>0002</v>
          </cell>
          <cell r="G5091" t="str">
            <v>511</v>
          </cell>
          <cell r="H5091" t="str">
            <v>收理发室月租费</v>
          </cell>
          <cell r="I5091" t="b">
            <v>0</v>
          </cell>
          <cell r="J5091">
            <v>1520</v>
          </cell>
          <cell r="K5091">
            <v>0</v>
          </cell>
          <cell r="L5091">
            <v>0</v>
          </cell>
        </row>
        <row r="5092">
          <cell r="A5092" t="str">
            <v>10</v>
          </cell>
          <cell r="B5092" t="str">
            <v>04</v>
          </cell>
          <cell r="C5092" t="str">
            <v>10</v>
          </cell>
          <cell r="D5092" t="str">
            <v>1</v>
          </cell>
          <cell r="E5092" t="str">
            <v>0002</v>
          </cell>
          <cell r="F5092" t="str">
            <v>0004</v>
          </cell>
          <cell r="G5092" t="str">
            <v>511</v>
          </cell>
          <cell r="H5092" t="str">
            <v>收果渣款.旧桶款</v>
          </cell>
          <cell r="I5092" t="b">
            <v>0</v>
          </cell>
          <cell r="J5092">
            <v>46782.91</v>
          </cell>
          <cell r="K5092">
            <v>0</v>
          </cell>
          <cell r="L5092">
            <v>0</v>
          </cell>
        </row>
        <row r="5093">
          <cell r="A5093" t="str">
            <v>10</v>
          </cell>
          <cell r="B5093" t="str">
            <v>20</v>
          </cell>
          <cell r="C5093" t="str">
            <v>10</v>
          </cell>
          <cell r="D5093" t="str">
            <v>1</v>
          </cell>
          <cell r="E5093" t="str">
            <v>0006</v>
          </cell>
          <cell r="F5093" t="str">
            <v>0002</v>
          </cell>
          <cell r="G5093" t="str">
            <v>511</v>
          </cell>
          <cell r="H5093" t="str">
            <v>收编织袋.果渣款</v>
          </cell>
          <cell r="I5093" t="b">
            <v>0</v>
          </cell>
          <cell r="J5093">
            <v>39744.75</v>
          </cell>
          <cell r="K5093">
            <v>0</v>
          </cell>
          <cell r="L5093">
            <v>0</v>
          </cell>
        </row>
        <row r="5094">
          <cell r="A5094" t="str">
            <v>10</v>
          </cell>
          <cell r="B5094" t="str">
            <v>24</v>
          </cell>
          <cell r="C5094" t="str">
            <v>10</v>
          </cell>
          <cell r="D5094" t="str">
            <v>5</v>
          </cell>
          <cell r="E5094" t="str">
            <v>0003</v>
          </cell>
          <cell r="F5094" t="str">
            <v>0002</v>
          </cell>
          <cell r="G5094" t="str">
            <v>511</v>
          </cell>
          <cell r="H5094" t="str">
            <v>转滕州分公司9月份用材料</v>
          </cell>
          <cell r="I5094" t="b">
            <v>0</v>
          </cell>
          <cell r="J5094">
            <v>249846.7</v>
          </cell>
          <cell r="K5094">
            <v>0</v>
          </cell>
          <cell r="L5094">
            <v>0</v>
          </cell>
        </row>
        <row r="5095">
          <cell r="A5095" t="str">
            <v>10</v>
          </cell>
          <cell r="B5095" t="str">
            <v>26</v>
          </cell>
          <cell r="C5095" t="str">
            <v>10</v>
          </cell>
          <cell r="D5095" t="str">
            <v>5</v>
          </cell>
          <cell r="E5095" t="str">
            <v>0014</v>
          </cell>
          <cell r="F5095" t="str">
            <v>0007</v>
          </cell>
          <cell r="G5095" t="str">
            <v>511</v>
          </cell>
          <cell r="H5095" t="str">
            <v>转各分公司本月耗材料</v>
          </cell>
          <cell r="I5095" t="b">
            <v>0</v>
          </cell>
          <cell r="J5095">
            <v>932633.45</v>
          </cell>
          <cell r="K5095">
            <v>0</v>
          </cell>
          <cell r="L5095">
            <v>0</v>
          </cell>
        </row>
        <row r="5096">
          <cell r="A5096" t="str">
            <v>10</v>
          </cell>
          <cell r="B5096" t="str">
            <v>28</v>
          </cell>
          <cell r="C5096" t="str">
            <v>10</v>
          </cell>
          <cell r="D5096" t="str">
            <v>5</v>
          </cell>
          <cell r="E5096" t="str">
            <v>0026</v>
          </cell>
          <cell r="F5096" t="str">
            <v>0001</v>
          </cell>
          <cell r="G5096" t="str">
            <v>511</v>
          </cell>
          <cell r="H5096" t="str">
            <v>结转本月业务收入</v>
          </cell>
          <cell r="I5096" t="b">
            <v>1</v>
          </cell>
          <cell r="J5096">
            <v>1270527.81</v>
          </cell>
          <cell r="K5096">
            <v>0</v>
          </cell>
          <cell r="L5096">
            <v>0</v>
          </cell>
        </row>
        <row r="5097">
          <cell r="A5097" t="str">
            <v>11</v>
          </cell>
          <cell r="B5097" t="str">
            <v>16</v>
          </cell>
          <cell r="C5097" t="str">
            <v>11</v>
          </cell>
          <cell r="D5097" t="str">
            <v>1</v>
          </cell>
          <cell r="E5097" t="str">
            <v>0002</v>
          </cell>
          <cell r="F5097" t="str">
            <v>0002</v>
          </cell>
          <cell r="G5097" t="str">
            <v>511</v>
          </cell>
          <cell r="H5097" t="str">
            <v>收材料款</v>
          </cell>
          <cell r="I5097" t="b">
            <v>0</v>
          </cell>
          <cell r="J5097">
            <v>1448.16</v>
          </cell>
          <cell r="K5097">
            <v>0</v>
          </cell>
          <cell r="L5097">
            <v>0</v>
          </cell>
        </row>
        <row r="5098">
          <cell r="A5098" t="str">
            <v>11</v>
          </cell>
          <cell r="B5098" t="str">
            <v>18</v>
          </cell>
          <cell r="C5098" t="str">
            <v>11</v>
          </cell>
          <cell r="D5098" t="str">
            <v>5</v>
          </cell>
          <cell r="E5098" t="str">
            <v>0016</v>
          </cell>
          <cell r="F5098" t="str">
            <v>0002</v>
          </cell>
          <cell r="G5098" t="str">
            <v>511</v>
          </cell>
          <cell r="H5098" t="str">
            <v>转订正99年10月1-4#凭证错制</v>
          </cell>
          <cell r="I5098" t="b">
            <v>0</v>
          </cell>
          <cell r="J5098">
            <v>119.66</v>
          </cell>
          <cell r="K5098">
            <v>0</v>
          </cell>
          <cell r="L5098">
            <v>0</v>
          </cell>
        </row>
        <row r="5099">
          <cell r="A5099" t="str">
            <v>11</v>
          </cell>
          <cell r="B5099" t="str">
            <v>29</v>
          </cell>
          <cell r="C5099" t="str">
            <v>11</v>
          </cell>
          <cell r="D5099" t="str">
            <v>5</v>
          </cell>
          <cell r="E5099" t="str">
            <v>0022</v>
          </cell>
          <cell r="F5099" t="str">
            <v>0009</v>
          </cell>
          <cell r="G5099" t="str">
            <v>511</v>
          </cell>
          <cell r="H5099" t="str">
            <v>转11月份各分公司耗材料</v>
          </cell>
          <cell r="I5099" t="b">
            <v>0</v>
          </cell>
          <cell r="J5099">
            <v>1388433.52</v>
          </cell>
          <cell r="K5099">
            <v>0</v>
          </cell>
          <cell r="L5099">
            <v>0</v>
          </cell>
        </row>
        <row r="5100">
          <cell r="A5100" t="str">
            <v>11</v>
          </cell>
          <cell r="B5100" t="str">
            <v>30</v>
          </cell>
          <cell r="C5100" t="str">
            <v>11</v>
          </cell>
          <cell r="D5100" t="str">
            <v>5</v>
          </cell>
          <cell r="E5100" t="str">
            <v>0033</v>
          </cell>
          <cell r="F5100" t="str">
            <v>0001</v>
          </cell>
          <cell r="G5100" t="str">
            <v>511</v>
          </cell>
          <cell r="H5100" t="str">
            <v>结转本月业务收入</v>
          </cell>
          <cell r="I5100" t="b">
            <v>1</v>
          </cell>
          <cell r="J5100">
            <v>1390001.34</v>
          </cell>
          <cell r="K5100">
            <v>0</v>
          </cell>
          <cell r="L5100">
            <v>0</v>
          </cell>
        </row>
        <row r="5101">
          <cell r="A5101" t="str">
            <v>12</v>
          </cell>
          <cell r="B5101" t="str">
            <v>01</v>
          </cell>
          <cell r="C5101" t="str">
            <v>12</v>
          </cell>
          <cell r="D5101" t="str">
            <v>1</v>
          </cell>
          <cell r="E5101" t="str">
            <v>0001</v>
          </cell>
          <cell r="F5101" t="str">
            <v>0002</v>
          </cell>
          <cell r="G5101" t="str">
            <v>511</v>
          </cell>
          <cell r="H5101" t="str">
            <v>销果渣</v>
          </cell>
          <cell r="I5101" t="b">
            <v>0</v>
          </cell>
          <cell r="J5101">
            <v>19870.09</v>
          </cell>
          <cell r="K5101">
            <v>0</v>
          </cell>
          <cell r="L5101">
            <v>0</v>
          </cell>
        </row>
        <row r="5102">
          <cell r="A5102" t="str">
            <v>12</v>
          </cell>
          <cell r="B5102" t="str">
            <v>20</v>
          </cell>
          <cell r="C5102" t="str">
            <v>12</v>
          </cell>
          <cell r="D5102" t="str">
            <v>1</v>
          </cell>
          <cell r="E5102" t="str">
            <v>0005</v>
          </cell>
          <cell r="F5102" t="str">
            <v>0002</v>
          </cell>
          <cell r="G5102" t="str">
            <v>511</v>
          </cell>
          <cell r="H5102" t="str">
            <v>收理发室月租费</v>
          </cell>
          <cell r="I5102" t="b">
            <v>0</v>
          </cell>
          <cell r="J5102">
            <v>1520</v>
          </cell>
          <cell r="K5102">
            <v>0</v>
          </cell>
          <cell r="L5102">
            <v>0</v>
          </cell>
        </row>
        <row r="5103">
          <cell r="A5103" t="str">
            <v>12</v>
          </cell>
          <cell r="B5103" t="str">
            <v>20</v>
          </cell>
          <cell r="C5103" t="str">
            <v>12</v>
          </cell>
          <cell r="D5103" t="str">
            <v>1</v>
          </cell>
          <cell r="E5103" t="str">
            <v>0005</v>
          </cell>
          <cell r="F5103" t="str">
            <v>0004</v>
          </cell>
          <cell r="G5103" t="str">
            <v>511</v>
          </cell>
          <cell r="H5103" t="str">
            <v>收旧铁桶款</v>
          </cell>
          <cell r="I5103" t="b">
            <v>0</v>
          </cell>
          <cell r="J5103">
            <v>4645.3</v>
          </cell>
          <cell r="K5103">
            <v>0</v>
          </cell>
          <cell r="L5103">
            <v>0</v>
          </cell>
        </row>
        <row r="5104">
          <cell r="A5104" t="str">
            <v>12</v>
          </cell>
          <cell r="B5104" t="str">
            <v>28</v>
          </cell>
          <cell r="C5104" t="str">
            <v>12</v>
          </cell>
          <cell r="D5104" t="str">
            <v>5</v>
          </cell>
          <cell r="E5104" t="str">
            <v>0042</v>
          </cell>
          <cell r="F5104" t="str">
            <v>0004</v>
          </cell>
          <cell r="G5104" t="str">
            <v>511</v>
          </cell>
          <cell r="H5104" t="str">
            <v>转各厂耗水电款</v>
          </cell>
          <cell r="I5104" t="b">
            <v>0</v>
          </cell>
          <cell r="J5104">
            <v>2364858.33</v>
          </cell>
          <cell r="K5104">
            <v>0</v>
          </cell>
          <cell r="L5104">
            <v>0</v>
          </cell>
        </row>
        <row r="5105">
          <cell r="A5105" t="str">
            <v>12</v>
          </cell>
          <cell r="B5105" t="str">
            <v>28</v>
          </cell>
          <cell r="C5105" t="str">
            <v>12</v>
          </cell>
          <cell r="D5105" t="str">
            <v>5</v>
          </cell>
          <cell r="E5105" t="str">
            <v>0043</v>
          </cell>
          <cell r="F5105" t="str">
            <v>0005</v>
          </cell>
          <cell r="G5105" t="str">
            <v>511</v>
          </cell>
          <cell r="H5105" t="str">
            <v>转各厂本月耗材料</v>
          </cell>
          <cell r="I5105" t="b">
            <v>0</v>
          </cell>
          <cell r="J5105">
            <v>794078.56</v>
          </cell>
          <cell r="K5105">
            <v>0</v>
          </cell>
          <cell r="L5105">
            <v>0</v>
          </cell>
        </row>
        <row r="5106">
          <cell r="A5106" t="str">
            <v>12</v>
          </cell>
          <cell r="B5106" t="str">
            <v>29</v>
          </cell>
          <cell r="C5106" t="str">
            <v>12</v>
          </cell>
          <cell r="D5106" t="str">
            <v>5</v>
          </cell>
          <cell r="E5106" t="str">
            <v>0084</v>
          </cell>
          <cell r="F5106" t="str">
            <v>0001</v>
          </cell>
          <cell r="G5106" t="str">
            <v>511</v>
          </cell>
          <cell r="H5106" t="str">
            <v>结转本月业务收入</v>
          </cell>
          <cell r="I5106" t="b">
            <v>1</v>
          </cell>
          <cell r="J5106">
            <v>3184972.28</v>
          </cell>
          <cell r="K5106">
            <v>0</v>
          </cell>
          <cell r="L5106">
            <v>0</v>
          </cell>
        </row>
        <row r="5107">
          <cell r="A5107" t="str">
            <v>02</v>
          </cell>
          <cell r="B5107" t="str">
            <v>29</v>
          </cell>
          <cell r="C5107" t="str">
            <v>02</v>
          </cell>
          <cell r="D5107" t="str">
            <v>5</v>
          </cell>
          <cell r="E5107" t="str">
            <v>0045</v>
          </cell>
          <cell r="F5107" t="str">
            <v>0003</v>
          </cell>
          <cell r="G5107" t="str">
            <v>512</v>
          </cell>
          <cell r="H5107" t="str">
            <v>结转本月业务支出成本</v>
          </cell>
          <cell r="I5107" t="b">
            <v>1</v>
          </cell>
          <cell r="J5107">
            <v>781758.45</v>
          </cell>
          <cell r="K5107">
            <v>0</v>
          </cell>
          <cell r="L5107">
            <v>0</v>
          </cell>
        </row>
        <row r="5108">
          <cell r="A5108" t="str">
            <v>02</v>
          </cell>
          <cell r="B5108" t="str">
            <v>29</v>
          </cell>
          <cell r="C5108" t="str">
            <v>02</v>
          </cell>
          <cell r="D5108" t="str">
            <v>5</v>
          </cell>
          <cell r="E5108" t="str">
            <v>0045</v>
          </cell>
          <cell r="F5108" t="str">
            <v>0006</v>
          </cell>
          <cell r="G5108" t="str">
            <v>512</v>
          </cell>
          <cell r="H5108" t="str">
            <v>结转本月业务支出</v>
          </cell>
          <cell r="I5108" t="b">
            <v>0</v>
          </cell>
          <cell r="J5108">
            <v>781758.45</v>
          </cell>
          <cell r="K5108">
            <v>0</v>
          </cell>
          <cell r="L5108">
            <v>0</v>
          </cell>
        </row>
        <row r="5109">
          <cell r="A5109" t="str">
            <v>03</v>
          </cell>
          <cell r="B5109" t="str">
            <v>28</v>
          </cell>
          <cell r="C5109" t="str">
            <v>03</v>
          </cell>
          <cell r="D5109" t="str">
            <v>5</v>
          </cell>
          <cell r="E5109" t="str">
            <v>0018</v>
          </cell>
          <cell r="F5109" t="str">
            <v>0003</v>
          </cell>
          <cell r="G5109" t="str">
            <v>512</v>
          </cell>
          <cell r="H5109" t="str">
            <v>结转本月业务支出成本</v>
          </cell>
          <cell r="I5109" t="b">
            <v>1</v>
          </cell>
          <cell r="J5109">
            <v>162</v>
          </cell>
          <cell r="K5109">
            <v>0</v>
          </cell>
          <cell r="L5109">
            <v>0</v>
          </cell>
        </row>
        <row r="5110">
          <cell r="A5110" t="str">
            <v>03</v>
          </cell>
          <cell r="B5110" t="str">
            <v>28</v>
          </cell>
          <cell r="C5110" t="str">
            <v>03</v>
          </cell>
          <cell r="D5110" t="str">
            <v>5</v>
          </cell>
          <cell r="E5110" t="str">
            <v>0018</v>
          </cell>
          <cell r="F5110" t="str">
            <v>0006</v>
          </cell>
          <cell r="G5110" t="str">
            <v>512</v>
          </cell>
          <cell r="H5110" t="str">
            <v>结转本月业务支出</v>
          </cell>
          <cell r="I5110" t="b">
            <v>0</v>
          </cell>
          <cell r="J5110">
            <v>162</v>
          </cell>
          <cell r="K5110">
            <v>0</v>
          </cell>
          <cell r="L5110">
            <v>0</v>
          </cell>
        </row>
        <row r="5111">
          <cell r="A5111" t="str">
            <v>04</v>
          </cell>
          <cell r="B5111" t="str">
            <v>25</v>
          </cell>
          <cell r="C5111" t="str">
            <v>04</v>
          </cell>
          <cell r="D5111" t="str">
            <v>5</v>
          </cell>
          <cell r="E5111" t="str">
            <v>0023</v>
          </cell>
          <cell r="F5111" t="str">
            <v>0003</v>
          </cell>
          <cell r="G5111" t="str">
            <v>512</v>
          </cell>
          <cell r="H5111" t="str">
            <v>结转本月业务支出成本</v>
          </cell>
          <cell r="I5111" t="b">
            <v>1</v>
          </cell>
          <cell r="J5111">
            <v>1030152.15</v>
          </cell>
          <cell r="K5111">
            <v>0</v>
          </cell>
          <cell r="L5111">
            <v>0</v>
          </cell>
        </row>
        <row r="5112">
          <cell r="A5112" t="str">
            <v>04</v>
          </cell>
          <cell r="B5112" t="str">
            <v>25</v>
          </cell>
          <cell r="C5112" t="str">
            <v>04</v>
          </cell>
          <cell r="D5112" t="str">
            <v>5</v>
          </cell>
          <cell r="E5112" t="str">
            <v>0023</v>
          </cell>
          <cell r="F5112" t="str">
            <v>0006</v>
          </cell>
          <cell r="G5112" t="str">
            <v>512</v>
          </cell>
          <cell r="H5112" t="str">
            <v>结转本月业务支出</v>
          </cell>
          <cell r="I5112" t="b">
            <v>0</v>
          </cell>
          <cell r="J5112">
            <v>1030152.15</v>
          </cell>
          <cell r="K5112">
            <v>0</v>
          </cell>
          <cell r="L5112">
            <v>0</v>
          </cell>
        </row>
        <row r="5113">
          <cell r="A5113" t="str">
            <v>05</v>
          </cell>
          <cell r="B5113" t="str">
            <v>29</v>
          </cell>
          <cell r="C5113" t="str">
            <v>05</v>
          </cell>
          <cell r="D5113" t="str">
            <v>5</v>
          </cell>
          <cell r="E5113" t="str">
            <v>0033</v>
          </cell>
          <cell r="F5113" t="str">
            <v>0003</v>
          </cell>
          <cell r="G5113" t="str">
            <v>512</v>
          </cell>
          <cell r="H5113" t="str">
            <v>结转本月业务支出成本</v>
          </cell>
          <cell r="I5113" t="b">
            <v>1</v>
          </cell>
          <cell r="J5113">
            <v>100860.42</v>
          </cell>
          <cell r="K5113">
            <v>0</v>
          </cell>
          <cell r="L5113">
            <v>0</v>
          </cell>
        </row>
        <row r="5114">
          <cell r="A5114" t="str">
            <v>05</v>
          </cell>
          <cell r="B5114" t="str">
            <v>29</v>
          </cell>
          <cell r="C5114" t="str">
            <v>05</v>
          </cell>
          <cell r="D5114" t="str">
            <v>5</v>
          </cell>
          <cell r="E5114" t="str">
            <v>0033</v>
          </cell>
          <cell r="F5114" t="str">
            <v>0006</v>
          </cell>
          <cell r="G5114" t="str">
            <v>512</v>
          </cell>
          <cell r="H5114" t="str">
            <v>结转本月业务支出</v>
          </cell>
          <cell r="I5114" t="b">
            <v>0</v>
          </cell>
          <cell r="J5114">
            <v>100860.42</v>
          </cell>
          <cell r="K5114">
            <v>0</v>
          </cell>
          <cell r="L5114">
            <v>0</v>
          </cell>
        </row>
        <row r="5115">
          <cell r="A5115" t="str">
            <v>07</v>
          </cell>
          <cell r="B5115" t="str">
            <v>28</v>
          </cell>
          <cell r="C5115" t="str">
            <v>07</v>
          </cell>
          <cell r="D5115" t="str">
            <v>5</v>
          </cell>
          <cell r="E5115" t="str">
            <v>0038</v>
          </cell>
          <cell r="F5115" t="str">
            <v>0003</v>
          </cell>
          <cell r="G5115" t="str">
            <v>512</v>
          </cell>
          <cell r="H5115" t="str">
            <v>结转本月业务支出成本</v>
          </cell>
          <cell r="I5115" t="b">
            <v>1</v>
          </cell>
          <cell r="J5115">
            <v>252053.04</v>
          </cell>
          <cell r="K5115">
            <v>0</v>
          </cell>
          <cell r="L5115">
            <v>0</v>
          </cell>
        </row>
        <row r="5116">
          <cell r="A5116" t="str">
            <v>07</v>
          </cell>
          <cell r="B5116" t="str">
            <v>28</v>
          </cell>
          <cell r="C5116" t="str">
            <v>07</v>
          </cell>
          <cell r="D5116" t="str">
            <v>5</v>
          </cell>
          <cell r="E5116" t="str">
            <v>0038</v>
          </cell>
          <cell r="F5116" t="str">
            <v>0006</v>
          </cell>
          <cell r="G5116" t="str">
            <v>512</v>
          </cell>
          <cell r="H5116" t="str">
            <v>结转本月业务支出</v>
          </cell>
          <cell r="I5116" t="b">
            <v>0</v>
          </cell>
          <cell r="J5116">
            <v>252053.04</v>
          </cell>
          <cell r="K5116">
            <v>0</v>
          </cell>
          <cell r="L5116">
            <v>0</v>
          </cell>
        </row>
        <row r="5117">
          <cell r="A5117" t="str">
            <v>08</v>
          </cell>
          <cell r="B5117" t="str">
            <v>28</v>
          </cell>
          <cell r="C5117" t="str">
            <v>08</v>
          </cell>
          <cell r="D5117" t="str">
            <v>5</v>
          </cell>
          <cell r="E5117" t="str">
            <v>0030</v>
          </cell>
          <cell r="F5117" t="str">
            <v>0003</v>
          </cell>
          <cell r="G5117" t="str">
            <v>512</v>
          </cell>
          <cell r="H5117" t="str">
            <v>结转本月业务支出成本</v>
          </cell>
          <cell r="I5117" t="b">
            <v>1</v>
          </cell>
          <cell r="J5117">
            <v>856606.9</v>
          </cell>
          <cell r="K5117">
            <v>0</v>
          </cell>
          <cell r="L5117">
            <v>0</v>
          </cell>
        </row>
        <row r="5118">
          <cell r="A5118" t="str">
            <v>08</v>
          </cell>
          <cell r="B5118" t="str">
            <v>28</v>
          </cell>
          <cell r="C5118" t="str">
            <v>08</v>
          </cell>
          <cell r="D5118" t="str">
            <v>5</v>
          </cell>
          <cell r="E5118" t="str">
            <v>0030</v>
          </cell>
          <cell r="F5118" t="str">
            <v>0006</v>
          </cell>
          <cell r="G5118" t="str">
            <v>512</v>
          </cell>
          <cell r="H5118" t="str">
            <v>结转本月业务支出</v>
          </cell>
          <cell r="I5118" t="b">
            <v>0</v>
          </cell>
          <cell r="J5118">
            <v>856606.9</v>
          </cell>
          <cell r="K5118">
            <v>0</v>
          </cell>
          <cell r="L5118">
            <v>0</v>
          </cell>
        </row>
        <row r="5119">
          <cell r="A5119" t="str">
            <v>09</v>
          </cell>
          <cell r="B5119" t="str">
            <v>28</v>
          </cell>
          <cell r="C5119" t="str">
            <v>09</v>
          </cell>
          <cell r="D5119" t="str">
            <v>5</v>
          </cell>
          <cell r="E5119" t="str">
            <v>0025</v>
          </cell>
          <cell r="F5119" t="str">
            <v>0003</v>
          </cell>
          <cell r="G5119" t="str">
            <v>512</v>
          </cell>
          <cell r="H5119" t="str">
            <v>结转本月业务支出成本</v>
          </cell>
          <cell r="I5119" t="b">
            <v>1</v>
          </cell>
          <cell r="J5119">
            <v>1981097.2</v>
          </cell>
          <cell r="K5119">
            <v>0</v>
          </cell>
          <cell r="L5119">
            <v>0</v>
          </cell>
        </row>
        <row r="5120">
          <cell r="A5120" t="str">
            <v>09</v>
          </cell>
          <cell r="B5120" t="str">
            <v>28</v>
          </cell>
          <cell r="C5120" t="str">
            <v>09</v>
          </cell>
          <cell r="D5120" t="str">
            <v>5</v>
          </cell>
          <cell r="E5120" t="str">
            <v>0025</v>
          </cell>
          <cell r="F5120" t="str">
            <v>0006</v>
          </cell>
          <cell r="G5120" t="str">
            <v>512</v>
          </cell>
          <cell r="H5120" t="str">
            <v>结转本月业务支出</v>
          </cell>
          <cell r="I5120" t="b">
            <v>0</v>
          </cell>
          <cell r="J5120">
            <v>1981097.2</v>
          </cell>
          <cell r="K5120">
            <v>0</v>
          </cell>
          <cell r="L5120">
            <v>0</v>
          </cell>
        </row>
        <row r="5121">
          <cell r="A5121" t="str">
            <v>10</v>
          </cell>
          <cell r="B5121" t="str">
            <v>28</v>
          </cell>
          <cell r="C5121" t="str">
            <v>10</v>
          </cell>
          <cell r="D5121" t="str">
            <v>5</v>
          </cell>
          <cell r="E5121" t="str">
            <v>0026</v>
          </cell>
          <cell r="F5121" t="str">
            <v>0003</v>
          </cell>
          <cell r="G5121" t="str">
            <v>512</v>
          </cell>
          <cell r="H5121" t="str">
            <v>结转本月业务支出成本</v>
          </cell>
          <cell r="I5121" t="b">
            <v>1</v>
          </cell>
          <cell r="J5121">
            <v>1182620.1499999999</v>
          </cell>
          <cell r="K5121">
            <v>0</v>
          </cell>
          <cell r="L5121">
            <v>0</v>
          </cell>
        </row>
        <row r="5122">
          <cell r="A5122" t="str">
            <v>10</v>
          </cell>
          <cell r="B5122" t="str">
            <v>28</v>
          </cell>
          <cell r="C5122" t="str">
            <v>10</v>
          </cell>
          <cell r="D5122" t="str">
            <v>5</v>
          </cell>
          <cell r="E5122" t="str">
            <v>0026</v>
          </cell>
          <cell r="F5122" t="str">
            <v>0006</v>
          </cell>
          <cell r="G5122" t="str">
            <v>512</v>
          </cell>
          <cell r="H5122" t="str">
            <v>结转本月业务支出</v>
          </cell>
          <cell r="I5122" t="b">
            <v>0</v>
          </cell>
          <cell r="J5122">
            <v>1182620.1499999999</v>
          </cell>
          <cell r="K5122">
            <v>0</v>
          </cell>
          <cell r="L5122">
            <v>0</v>
          </cell>
        </row>
        <row r="5123">
          <cell r="A5123" t="str">
            <v>11</v>
          </cell>
          <cell r="B5123" t="str">
            <v>30</v>
          </cell>
          <cell r="C5123" t="str">
            <v>11</v>
          </cell>
          <cell r="D5123" t="str">
            <v>5</v>
          </cell>
          <cell r="E5123" t="str">
            <v>0033</v>
          </cell>
          <cell r="F5123" t="str">
            <v>0003</v>
          </cell>
          <cell r="G5123" t="str">
            <v>512</v>
          </cell>
          <cell r="H5123" t="str">
            <v>结转本月业务支出成本</v>
          </cell>
          <cell r="I5123" t="b">
            <v>1</v>
          </cell>
          <cell r="J5123">
            <v>1388433.52</v>
          </cell>
          <cell r="K5123">
            <v>0</v>
          </cell>
          <cell r="L5123">
            <v>0</v>
          </cell>
        </row>
        <row r="5124">
          <cell r="A5124" t="str">
            <v>11</v>
          </cell>
          <cell r="B5124" t="str">
            <v>30</v>
          </cell>
          <cell r="C5124" t="str">
            <v>11</v>
          </cell>
          <cell r="D5124" t="str">
            <v>5</v>
          </cell>
          <cell r="E5124" t="str">
            <v>0033</v>
          </cell>
          <cell r="F5124" t="str">
            <v>0006</v>
          </cell>
          <cell r="G5124" t="str">
            <v>512</v>
          </cell>
          <cell r="H5124" t="str">
            <v>结转本月业务支出</v>
          </cell>
          <cell r="I5124" t="b">
            <v>0</v>
          </cell>
          <cell r="J5124">
            <v>1388433.52</v>
          </cell>
          <cell r="K5124">
            <v>0</v>
          </cell>
          <cell r="L5124">
            <v>0</v>
          </cell>
        </row>
        <row r="5125">
          <cell r="A5125" t="str">
            <v>12</v>
          </cell>
          <cell r="B5125" t="str">
            <v>29</v>
          </cell>
          <cell r="C5125" t="str">
            <v>12</v>
          </cell>
          <cell r="D5125" t="str">
            <v>5</v>
          </cell>
          <cell r="E5125" t="str">
            <v>0084</v>
          </cell>
          <cell r="F5125" t="str">
            <v>0003</v>
          </cell>
          <cell r="G5125" t="str">
            <v>512</v>
          </cell>
          <cell r="H5125" t="str">
            <v>结转本月业务支出成本</v>
          </cell>
          <cell r="I5125" t="b">
            <v>1</v>
          </cell>
          <cell r="J5125">
            <v>2182116.89</v>
          </cell>
          <cell r="K5125">
            <v>0</v>
          </cell>
          <cell r="L5125">
            <v>0</v>
          </cell>
        </row>
        <row r="5126">
          <cell r="A5126" t="str">
            <v>12</v>
          </cell>
          <cell r="B5126" t="str">
            <v>29</v>
          </cell>
          <cell r="C5126" t="str">
            <v>12</v>
          </cell>
          <cell r="D5126" t="str">
            <v>5</v>
          </cell>
          <cell r="E5126" t="str">
            <v>0084</v>
          </cell>
          <cell r="F5126" t="str">
            <v>0007</v>
          </cell>
          <cell r="G5126" t="str">
            <v>512</v>
          </cell>
          <cell r="H5126" t="str">
            <v>结转本月业务支出成本</v>
          </cell>
          <cell r="I5126" t="b">
            <v>0</v>
          </cell>
          <cell r="J5126">
            <v>2182116.89</v>
          </cell>
          <cell r="K5126">
            <v>0</v>
          </cell>
          <cell r="L5126">
            <v>0</v>
          </cell>
        </row>
        <row r="5127">
          <cell r="A5127" t="str">
            <v>02</v>
          </cell>
          <cell r="B5127" t="str">
            <v>10</v>
          </cell>
          <cell r="C5127" t="str">
            <v>02</v>
          </cell>
          <cell r="D5127" t="str">
            <v>2</v>
          </cell>
          <cell r="E5127" t="str">
            <v>0024</v>
          </cell>
          <cell r="F5127" t="str">
            <v>0001</v>
          </cell>
          <cell r="G5127" t="str">
            <v>52101</v>
          </cell>
          <cell r="H5127" t="str">
            <v>付临时工工资等</v>
          </cell>
          <cell r="I5127" t="b">
            <v>1</v>
          </cell>
          <cell r="J5127">
            <v>30695.200000000001</v>
          </cell>
          <cell r="K5127">
            <v>0</v>
          </cell>
          <cell r="L5127">
            <v>0</v>
          </cell>
        </row>
        <row r="5128">
          <cell r="A5128" t="str">
            <v>02</v>
          </cell>
          <cell r="B5128" t="str">
            <v>19</v>
          </cell>
          <cell r="C5128" t="str">
            <v>02</v>
          </cell>
          <cell r="D5128" t="str">
            <v>2</v>
          </cell>
          <cell r="E5128" t="str">
            <v>0032</v>
          </cell>
          <cell r="F5128" t="str">
            <v>0001</v>
          </cell>
          <cell r="G5128" t="str">
            <v>52101</v>
          </cell>
          <cell r="H5128" t="str">
            <v>付临时工工人工资</v>
          </cell>
          <cell r="I5128" t="b">
            <v>1</v>
          </cell>
          <cell r="J5128">
            <v>50065.45</v>
          </cell>
          <cell r="K5128">
            <v>0</v>
          </cell>
          <cell r="L5128">
            <v>0</v>
          </cell>
        </row>
        <row r="5129">
          <cell r="A5129" t="str">
            <v>02</v>
          </cell>
          <cell r="B5129" t="str">
            <v>14</v>
          </cell>
          <cell r="C5129" t="str">
            <v>02</v>
          </cell>
          <cell r="D5129" t="str">
            <v>4</v>
          </cell>
          <cell r="E5129" t="str">
            <v>0015</v>
          </cell>
          <cell r="F5129" t="str">
            <v>0005</v>
          </cell>
          <cell r="G5129" t="str">
            <v>52101</v>
          </cell>
          <cell r="H5129" t="str">
            <v>付1月份遗属补助费</v>
          </cell>
          <cell r="I5129" t="b">
            <v>1</v>
          </cell>
          <cell r="J5129">
            <v>401.43</v>
          </cell>
          <cell r="K5129">
            <v>0</v>
          </cell>
          <cell r="L5129">
            <v>0</v>
          </cell>
        </row>
        <row r="5130">
          <cell r="A5130" t="str">
            <v>02</v>
          </cell>
          <cell r="B5130" t="str">
            <v>18</v>
          </cell>
          <cell r="C5130" t="str">
            <v>02</v>
          </cell>
          <cell r="D5130" t="str">
            <v>4</v>
          </cell>
          <cell r="E5130" t="str">
            <v>0022</v>
          </cell>
          <cell r="F5130" t="str">
            <v>0006</v>
          </cell>
          <cell r="G5130" t="str">
            <v>52101</v>
          </cell>
          <cell r="H5130" t="str">
            <v>付本月遗属补助费</v>
          </cell>
          <cell r="I5130" t="b">
            <v>1</v>
          </cell>
          <cell r="J5130">
            <v>407.77</v>
          </cell>
          <cell r="K5130">
            <v>0</v>
          </cell>
          <cell r="L5130">
            <v>0</v>
          </cell>
        </row>
        <row r="5131">
          <cell r="A5131" t="str">
            <v>02</v>
          </cell>
          <cell r="B5131" t="str">
            <v>20</v>
          </cell>
          <cell r="C5131" t="str">
            <v>02</v>
          </cell>
          <cell r="D5131" t="str">
            <v>5</v>
          </cell>
          <cell r="E5131" t="str">
            <v>0001</v>
          </cell>
          <cell r="F5131" t="str">
            <v>0001</v>
          </cell>
          <cell r="G5131" t="str">
            <v>52101</v>
          </cell>
          <cell r="H5131" t="str">
            <v>转99年12月份管理部门工人工资</v>
          </cell>
          <cell r="I5131" t="b">
            <v>1</v>
          </cell>
          <cell r="J5131">
            <v>35923</v>
          </cell>
          <cell r="K5131">
            <v>0</v>
          </cell>
          <cell r="L5131">
            <v>0</v>
          </cell>
        </row>
        <row r="5132">
          <cell r="A5132" t="str">
            <v>02</v>
          </cell>
          <cell r="B5132" t="str">
            <v>20</v>
          </cell>
          <cell r="C5132" t="str">
            <v>02</v>
          </cell>
          <cell r="D5132" t="str">
            <v>5</v>
          </cell>
          <cell r="E5132" t="str">
            <v>0003</v>
          </cell>
          <cell r="F5132" t="str">
            <v>0001</v>
          </cell>
          <cell r="G5132" t="str">
            <v>52101</v>
          </cell>
          <cell r="H5132" t="str">
            <v>转1月份管理部门工人工资</v>
          </cell>
          <cell r="I5132" t="b">
            <v>1</v>
          </cell>
          <cell r="J5132">
            <v>31155</v>
          </cell>
          <cell r="K5132">
            <v>0</v>
          </cell>
          <cell r="L5132">
            <v>0</v>
          </cell>
        </row>
        <row r="5133">
          <cell r="A5133" t="str">
            <v>02</v>
          </cell>
          <cell r="B5133" t="str">
            <v>29</v>
          </cell>
          <cell r="C5133" t="str">
            <v>02</v>
          </cell>
          <cell r="D5133" t="str">
            <v>5</v>
          </cell>
          <cell r="E5133" t="str">
            <v>0058</v>
          </cell>
          <cell r="F5133" t="str">
            <v>0002</v>
          </cell>
          <cell r="G5133" t="str">
            <v>52101</v>
          </cell>
          <cell r="H5133" t="str">
            <v>结转本月管理费用</v>
          </cell>
          <cell r="I5133" t="b">
            <v>0</v>
          </cell>
          <cell r="J5133">
            <v>148647.85</v>
          </cell>
          <cell r="K5133">
            <v>0</v>
          </cell>
          <cell r="L5133">
            <v>0</v>
          </cell>
        </row>
        <row r="5134">
          <cell r="A5134" t="str">
            <v>03</v>
          </cell>
          <cell r="B5134" t="str">
            <v>20</v>
          </cell>
          <cell r="C5134" t="str">
            <v>03</v>
          </cell>
          <cell r="D5134" t="str">
            <v>2</v>
          </cell>
          <cell r="E5134" t="str">
            <v>0019</v>
          </cell>
          <cell r="F5134" t="str">
            <v>0001</v>
          </cell>
          <cell r="G5134" t="str">
            <v>52101</v>
          </cell>
          <cell r="H5134" t="str">
            <v>付临时工工资</v>
          </cell>
          <cell r="I5134" t="b">
            <v>1</v>
          </cell>
          <cell r="J5134">
            <v>19857.48</v>
          </cell>
          <cell r="K5134">
            <v>0</v>
          </cell>
          <cell r="L5134">
            <v>0</v>
          </cell>
        </row>
        <row r="5135">
          <cell r="A5135" t="str">
            <v>03</v>
          </cell>
          <cell r="B5135" t="str">
            <v>20</v>
          </cell>
          <cell r="C5135" t="str">
            <v>03</v>
          </cell>
          <cell r="D5135" t="str">
            <v>4</v>
          </cell>
          <cell r="E5135" t="str">
            <v>0028</v>
          </cell>
          <cell r="F5135" t="str">
            <v>0005</v>
          </cell>
          <cell r="G5135" t="str">
            <v>52101</v>
          </cell>
          <cell r="H5135" t="str">
            <v>付本月遗属补助</v>
          </cell>
          <cell r="I5135" t="b">
            <v>1</v>
          </cell>
          <cell r="J5135">
            <v>350</v>
          </cell>
          <cell r="K5135">
            <v>0</v>
          </cell>
          <cell r="L5135">
            <v>0</v>
          </cell>
        </row>
        <row r="5136">
          <cell r="A5136" t="str">
            <v>03</v>
          </cell>
          <cell r="B5136" t="str">
            <v>27</v>
          </cell>
          <cell r="C5136" t="str">
            <v>03</v>
          </cell>
          <cell r="D5136" t="str">
            <v>5</v>
          </cell>
          <cell r="E5136" t="str">
            <v>0011</v>
          </cell>
          <cell r="F5136" t="str">
            <v>0001</v>
          </cell>
          <cell r="G5136" t="str">
            <v>52101</v>
          </cell>
          <cell r="H5136" t="str">
            <v>转工人工资</v>
          </cell>
          <cell r="I5136" t="b">
            <v>1</v>
          </cell>
          <cell r="J5136">
            <v>28211</v>
          </cell>
          <cell r="K5136">
            <v>0</v>
          </cell>
          <cell r="L5136">
            <v>0</v>
          </cell>
        </row>
        <row r="5137">
          <cell r="A5137" t="str">
            <v>03</v>
          </cell>
          <cell r="B5137" t="str">
            <v>27</v>
          </cell>
          <cell r="C5137" t="str">
            <v>03</v>
          </cell>
          <cell r="D5137" t="str">
            <v>5</v>
          </cell>
          <cell r="E5137" t="str">
            <v>0013</v>
          </cell>
          <cell r="F5137" t="str">
            <v>0001</v>
          </cell>
          <cell r="G5137" t="str">
            <v>52101</v>
          </cell>
          <cell r="H5137" t="str">
            <v>转本月管理部门工人工资</v>
          </cell>
          <cell r="I5137" t="b">
            <v>1</v>
          </cell>
          <cell r="J5137">
            <v>27566.63</v>
          </cell>
          <cell r="K5137">
            <v>0</v>
          </cell>
          <cell r="L5137">
            <v>0</v>
          </cell>
        </row>
        <row r="5138">
          <cell r="A5138" t="str">
            <v>03</v>
          </cell>
          <cell r="B5138" t="str">
            <v>30</v>
          </cell>
          <cell r="C5138" t="str">
            <v>03</v>
          </cell>
          <cell r="D5138" t="str">
            <v>5</v>
          </cell>
          <cell r="E5138" t="str">
            <v>0032</v>
          </cell>
          <cell r="F5138" t="str">
            <v>0002</v>
          </cell>
          <cell r="G5138" t="str">
            <v>52101</v>
          </cell>
          <cell r="H5138" t="str">
            <v>结转本月管理费用</v>
          </cell>
          <cell r="I5138" t="b">
            <v>0</v>
          </cell>
          <cell r="J5138">
            <v>75985.11</v>
          </cell>
          <cell r="K5138">
            <v>0</v>
          </cell>
          <cell r="L5138">
            <v>0</v>
          </cell>
        </row>
        <row r="5139">
          <cell r="A5139" t="str">
            <v>04</v>
          </cell>
          <cell r="B5139" t="str">
            <v>19</v>
          </cell>
          <cell r="C5139" t="str">
            <v>04</v>
          </cell>
          <cell r="D5139" t="str">
            <v>4</v>
          </cell>
          <cell r="E5139" t="str">
            <v>0022</v>
          </cell>
          <cell r="F5139" t="str">
            <v>0005</v>
          </cell>
          <cell r="G5139" t="str">
            <v>52101</v>
          </cell>
          <cell r="H5139" t="str">
            <v>付本月遗属补助费</v>
          </cell>
          <cell r="I5139" t="b">
            <v>1</v>
          </cell>
          <cell r="J5139">
            <v>313.05</v>
          </cell>
          <cell r="K5139">
            <v>0</v>
          </cell>
          <cell r="L5139">
            <v>0</v>
          </cell>
        </row>
        <row r="5140">
          <cell r="A5140" t="str">
            <v>04</v>
          </cell>
          <cell r="B5140" t="str">
            <v>24</v>
          </cell>
          <cell r="C5140" t="str">
            <v>04</v>
          </cell>
          <cell r="D5140" t="str">
            <v>5</v>
          </cell>
          <cell r="E5140" t="str">
            <v>0014</v>
          </cell>
          <cell r="F5140" t="str">
            <v>0001</v>
          </cell>
          <cell r="G5140" t="str">
            <v>52101</v>
          </cell>
          <cell r="H5140" t="str">
            <v>转本月管理部门工人工资</v>
          </cell>
          <cell r="I5140" t="b">
            <v>1</v>
          </cell>
          <cell r="J5140">
            <v>28108</v>
          </cell>
          <cell r="K5140">
            <v>0</v>
          </cell>
          <cell r="L5140">
            <v>0</v>
          </cell>
        </row>
        <row r="5141">
          <cell r="A5141" t="str">
            <v>04</v>
          </cell>
          <cell r="B5141" t="str">
            <v>29</v>
          </cell>
          <cell r="C5141" t="str">
            <v>04</v>
          </cell>
          <cell r="D5141" t="str">
            <v>5</v>
          </cell>
          <cell r="E5141" t="str">
            <v>0038</v>
          </cell>
          <cell r="F5141" t="str">
            <v>0002</v>
          </cell>
          <cell r="G5141" t="str">
            <v>52101</v>
          </cell>
          <cell r="H5141" t="str">
            <v>结转本月管理费用</v>
          </cell>
          <cell r="I5141" t="b">
            <v>0</v>
          </cell>
          <cell r="J5141">
            <v>28421.05</v>
          </cell>
          <cell r="K5141">
            <v>0</v>
          </cell>
          <cell r="L5141">
            <v>0</v>
          </cell>
        </row>
        <row r="5142">
          <cell r="A5142" t="str">
            <v>05</v>
          </cell>
          <cell r="B5142" t="str">
            <v>20</v>
          </cell>
          <cell r="C5142" t="str">
            <v>05</v>
          </cell>
          <cell r="D5142" t="str">
            <v>2</v>
          </cell>
          <cell r="E5142" t="str">
            <v>0015</v>
          </cell>
          <cell r="F5142" t="str">
            <v>0001</v>
          </cell>
          <cell r="G5142" t="str">
            <v>52101</v>
          </cell>
          <cell r="H5142" t="str">
            <v>付临时工工资</v>
          </cell>
          <cell r="I5142" t="b">
            <v>1</v>
          </cell>
          <cell r="J5142">
            <v>36478.35</v>
          </cell>
          <cell r="K5142">
            <v>0</v>
          </cell>
          <cell r="L5142">
            <v>0</v>
          </cell>
        </row>
        <row r="5143">
          <cell r="A5143" t="str">
            <v>05</v>
          </cell>
          <cell r="B5143" t="str">
            <v>25</v>
          </cell>
          <cell r="C5143" t="str">
            <v>05</v>
          </cell>
          <cell r="D5143" t="str">
            <v>4</v>
          </cell>
          <cell r="E5143" t="str">
            <v>0027</v>
          </cell>
          <cell r="F5143" t="str">
            <v>0005</v>
          </cell>
          <cell r="G5143" t="str">
            <v>52101</v>
          </cell>
          <cell r="H5143" t="str">
            <v>付本月遗属补助费</v>
          </cell>
          <cell r="I5143" t="b">
            <v>1</v>
          </cell>
          <cell r="J5143">
            <v>340.83</v>
          </cell>
          <cell r="K5143">
            <v>0</v>
          </cell>
          <cell r="L5143">
            <v>0</v>
          </cell>
        </row>
        <row r="5144">
          <cell r="A5144" t="str">
            <v>05</v>
          </cell>
          <cell r="B5144" t="str">
            <v>02</v>
          </cell>
          <cell r="C5144" t="str">
            <v>05</v>
          </cell>
          <cell r="D5144" t="str">
            <v>5</v>
          </cell>
          <cell r="E5144" t="str">
            <v>0001</v>
          </cell>
          <cell r="F5144" t="str">
            <v>0001</v>
          </cell>
          <cell r="G5144" t="str">
            <v>52101</v>
          </cell>
          <cell r="H5144" t="str">
            <v>转本月管理部门工人工资</v>
          </cell>
          <cell r="I5144" t="b">
            <v>1</v>
          </cell>
          <cell r="J5144">
            <v>107334.1</v>
          </cell>
          <cell r="K5144">
            <v>0</v>
          </cell>
          <cell r="L5144">
            <v>0</v>
          </cell>
        </row>
        <row r="5145">
          <cell r="A5145" t="str">
            <v>05</v>
          </cell>
          <cell r="B5145" t="str">
            <v>31</v>
          </cell>
          <cell r="C5145" t="str">
            <v>05</v>
          </cell>
          <cell r="D5145" t="str">
            <v>5</v>
          </cell>
          <cell r="E5145" t="str">
            <v>0039</v>
          </cell>
          <cell r="F5145" t="str">
            <v>0002</v>
          </cell>
          <cell r="G5145" t="str">
            <v>52101</v>
          </cell>
          <cell r="H5145" t="str">
            <v>结转本月管理费用</v>
          </cell>
          <cell r="I5145" t="b">
            <v>0</v>
          </cell>
          <cell r="J5145">
            <v>144153.28</v>
          </cell>
          <cell r="K5145">
            <v>0</v>
          </cell>
          <cell r="L5145">
            <v>0</v>
          </cell>
        </row>
        <row r="5146">
          <cell r="A5146" t="str">
            <v>06</v>
          </cell>
          <cell r="B5146" t="str">
            <v>08</v>
          </cell>
          <cell r="C5146" t="str">
            <v>06</v>
          </cell>
          <cell r="D5146" t="str">
            <v>2</v>
          </cell>
          <cell r="E5146" t="str">
            <v>0008</v>
          </cell>
          <cell r="F5146" t="str">
            <v>0003</v>
          </cell>
          <cell r="G5146" t="str">
            <v>52101</v>
          </cell>
          <cell r="H5146" t="str">
            <v>补铲车班司机油价差额.工资</v>
          </cell>
          <cell r="I5146" t="b">
            <v>1</v>
          </cell>
          <cell r="J5146">
            <v>2611.71</v>
          </cell>
          <cell r="K5146">
            <v>0</v>
          </cell>
          <cell r="L5146">
            <v>0</v>
          </cell>
        </row>
        <row r="5147">
          <cell r="A5147" t="str">
            <v>06</v>
          </cell>
          <cell r="B5147" t="str">
            <v>20</v>
          </cell>
          <cell r="C5147" t="str">
            <v>06</v>
          </cell>
          <cell r="D5147" t="str">
            <v>4</v>
          </cell>
          <cell r="E5147" t="str">
            <v>0013</v>
          </cell>
          <cell r="F5147" t="str">
            <v>0005</v>
          </cell>
          <cell r="G5147" t="str">
            <v>52101</v>
          </cell>
          <cell r="H5147" t="str">
            <v>付本月退休人员.遗属补助费</v>
          </cell>
          <cell r="I5147" t="b">
            <v>1</v>
          </cell>
          <cell r="J5147">
            <v>2837.63</v>
          </cell>
          <cell r="K5147">
            <v>0</v>
          </cell>
          <cell r="L5147">
            <v>0</v>
          </cell>
        </row>
        <row r="5148">
          <cell r="A5148" t="str">
            <v>06</v>
          </cell>
          <cell r="B5148" t="str">
            <v>20</v>
          </cell>
          <cell r="C5148" t="str">
            <v>06</v>
          </cell>
          <cell r="D5148" t="str">
            <v>5</v>
          </cell>
          <cell r="E5148" t="str">
            <v>0007</v>
          </cell>
          <cell r="F5148" t="str">
            <v>0001</v>
          </cell>
          <cell r="G5148" t="str">
            <v>52101</v>
          </cell>
          <cell r="H5148" t="str">
            <v>转本月管理部门工人工资</v>
          </cell>
          <cell r="I5148" t="b">
            <v>1</v>
          </cell>
          <cell r="J5148">
            <v>41699.4</v>
          </cell>
          <cell r="K5148">
            <v>0</v>
          </cell>
          <cell r="L5148">
            <v>0</v>
          </cell>
        </row>
        <row r="5149">
          <cell r="A5149" t="str">
            <v>06</v>
          </cell>
          <cell r="B5149" t="str">
            <v>25</v>
          </cell>
          <cell r="C5149" t="str">
            <v>06</v>
          </cell>
          <cell r="D5149" t="str">
            <v>5</v>
          </cell>
          <cell r="E5149" t="str">
            <v>0028</v>
          </cell>
          <cell r="F5149" t="str">
            <v>0002</v>
          </cell>
          <cell r="G5149" t="str">
            <v>52101</v>
          </cell>
          <cell r="H5149" t="str">
            <v>结转本月管理费用</v>
          </cell>
          <cell r="I5149" t="b">
            <v>0</v>
          </cell>
          <cell r="J5149">
            <v>47148.74</v>
          </cell>
          <cell r="K5149">
            <v>0</v>
          </cell>
          <cell r="L5149">
            <v>0</v>
          </cell>
        </row>
        <row r="5150">
          <cell r="A5150" t="str">
            <v>07</v>
          </cell>
          <cell r="B5150" t="str">
            <v>17</v>
          </cell>
          <cell r="C5150" t="str">
            <v>07</v>
          </cell>
          <cell r="D5150" t="str">
            <v>2</v>
          </cell>
          <cell r="E5150" t="str">
            <v>0012</v>
          </cell>
          <cell r="F5150" t="str">
            <v>0001</v>
          </cell>
          <cell r="G5150" t="str">
            <v>52101</v>
          </cell>
          <cell r="H5150" t="str">
            <v>付临时工工资</v>
          </cell>
          <cell r="I5150" t="b">
            <v>1</v>
          </cell>
          <cell r="J5150">
            <v>33697.599999999999</v>
          </cell>
          <cell r="K5150">
            <v>0</v>
          </cell>
          <cell r="L5150">
            <v>0</v>
          </cell>
        </row>
        <row r="5151">
          <cell r="A5151" t="str">
            <v>07</v>
          </cell>
          <cell r="B5151" t="str">
            <v>12</v>
          </cell>
          <cell r="C5151" t="str">
            <v>07</v>
          </cell>
          <cell r="D5151" t="str">
            <v>4</v>
          </cell>
          <cell r="E5151" t="str">
            <v>0009</v>
          </cell>
          <cell r="F5151" t="str">
            <v>0004</v>
          </cell>
          <cell r="G5151" t="str">
            <v>52101</v>
          </cell>
          <cell r="H5151" t="str">
            <v>付临时工工资</v>
          </cell>
          <cell r="I5151" t="b">
            <v>1</v>
          </cell>
          <cell r="J5151">
            <v>2645.68</v>
          </cell>
          <cell r="K5151">
            <v>0</v>
          </cell>
          <cell r="L5151">
            <v>0</v>
          </cell>
        </row>
        <row r="5152">
          <cell r="A5152" t="str">
            <v>07</v>
          </cell>
          <cell r="B5152" t="str">
            <v>12</v>
          </cell>
          <cell r="C5152" t="str">
            <v>07</v>
          </cell>
          <cell r="D5152" t="str">
            <v>5</v>
          </cell>
          <cell r="E5152" t="str">
            <v>0001</v>
          </cell>
          <cell r="F5152" t="str">
            <v>0001</v>
          </cell>
          <cell r="G5152" t="str">
            <v>52101</v>
          </cell>
          <cell r="H5152" t="str">
            <v>转本月管理部门工人工资</v>
          </cell>
          <cell r="I5152" t="b">
            <v>1</v>
          </cell>
          <cell r="J5152">
            <v>17362</v>
          </cell>
          <cell r="K5152">
            <v>0</v>
          </cell>
          <cell r="L5152">
            <v>0</v>
          </cell>
        </row>
        <row r="5153">
          <cell r="A5153" t="str">
            <v>07</v>
          </cell>
          <cell r="B5153" t="str">
            <v>29</v>
          </cell>
          <cell r="C5153" t="str">
            <v>07</v>
          </cell>
          <cell r="D5153" t="str">
            <v>5</v>
          </cell>
          <cell r="E5153" t="str">
            <v>0044</v>
          </cell>
          <cell r="F5153" t="str">
            <v>0002</v>
          </cell>
          <cell r="G5153" t="str">
            <v>52101</v>
          </cell>
          <cell r="H5153" t="str">
            <v>结转本月管理费用</v>
          </cell>
          <cell r="I5153" t="b">
            <v>0</v>
          </cell>
          <cell r="J5153">
            <v>53705.279999999999</v>
          </cell>
          <cell r="K5153">
            <v>0</v>
          </cell>
          <cell r="L5153">
            <v>0</v>
          </cell>
        </row>
        <row r="5154">
          <cell r="A5154" t="str">
            <v>08</v>
          </cell>
          <cell r="B5154" t="str">
            <v>15</v>
          </cell>
          <cell r="C5154" t="str">
            <v>08</v>
          </cell>
          <cell r="D5154" t="str">
            <v>2</v>
          </cell>
          <cell r="E5154" t="str">
            <v>0016</v>
          </cell>
          <cell r="F5154" t="str">
            <v>0001</v>
          </cell>
          <cell r="G5154" t="str">
            <v>52101</v>
          </cell>
          <cell r="H5154" t="str">
            <v>付司机补助.临时工工资等</v>
          </cell>
          <cell r="I5154" t="b">
            <v>1</v>
          </cell>
          <cell r="J5154">
            <v>8286.7000000000007</v>
          </cell>
          <cell r="K5154">
            <v>0</v>
          </cell>
          <cell r="L5154">
            <v>0</v>
          </cell>
        </row>
        <row r="5155">
          <cell r="A5155" t="str">
            <v>08</v>
          </cell>
          <cell r="B5155" t="str">
            <v>08</v>
          </cell>
          <cell r="C5155" t="str">
            <v>08</v>
          </cell>
          <cell r="D5155" t="str">
            <v>5</v>
          </cell>
          <cell r="E5155" t="str">
            <v>0001</v>
          </cell>
          <cell r="F5155" t="str">
            <v>0001</v>
          </cell>
          <cell r="G5155" t="str">
            <v>52101</v>
          </cell>
          <cell r="H5155" t="str">
            <v>转本月管理部门工人工资</v>
          </cell>
          <cell r="I5155" t="b">
            <v>1</v>
          </cell>
          <cell r="J5155">
            <v>35843.1</v>
          </cell>
          <cell r="K5155">
            <v>0</v>
          </cell>
          <cell r="L5155">
            <v>0</v>
          </cell>
        </row>
        <row r="5156">
          <cell r="A5156" t="str">
            <v>08</v>
          </cell>
          <cell r="B5156" t="str">
            <v>31</v>
          </cell>
          <cell r="C5156" t="str">
            <v>08</v>
          </cell>
          <cell r="D5156" t="str">
            <v>5</v>
          </cell>
          <cell r="E5156" t="str">
            <v>0035</v>
          </cell>
          <cell r="F5156" t="str">
            <v>0002</v>
          </cell>
          <cell r="G5156" t="str">
            <v>52101</v>
          </cell>
          <cell r="H5156" t="str">
            <v>结转本月管理费用</v>
          </cell>
          <cell r="I5156" t="b">
            <v>0</v>
          </cell>
          <cell r="J5156">
            <v>44129.8</v>
          </cell>
          <cell r="K5156">
            <v>0</v>
          </cell>
          <cell r="L5156">
            <v>0</v>
          </cell>
        </row>
        <row r="5157">
          <cell r="A5157" t="str">
            <v>09</v>
          </cell>
          <cell r="B5157" t="str">
            <v>05</v>
          </cell>
          <cell r="C5157" t="str">
            <v>09</v>
          </cell>
          <cell r="D5157" t="str">
            <v>1</v>
          </cell>
          <cell r="E5157" t="str">
            <v>0003</v>
          </cell>
          <cell r="F5157" t="str">
            <v>0003</v>
          </cell>
          <cell r="G5157" t="str">
            <v>52101</v>
          </cell>
          <cell r="H5157" t="str">
            <v>收回潘丛英工资</v>
          </cell>
          <cell r="I5157" t="b">
            <v>1</v>
          </cell>
          <cell r="J5157">
            <v>-251</v>
          </cell>
          <cell r="K5157">
            <v>0</v>
          </cell>
          <cell r="L5157">
            <v>0</v>
          </cell>
        </row>
        <row r="5158">
          <cell r="A5158" t="str">
            <v>09</v>
          </cell>
          <cell r="B5158" t="str">
            <v>20</v>
          </cell>
          <cell r="C5158" t="str">
            <v>09</v>
          </cell>
          <cell r="D5158" t="str">
            <v>2</v>
          </cell>
          <cell r="E5158" t="str">
            <v>0017</v>
          </cell>
          <cell r="F5158" t="str">
            <v>0001</v>
          </cell>
          <cell r="G5158" t="str">
            <v>52101</v>
          </cell>
          <cell r="H5158" t="str">
            <v>付临时工工资等</v>
          </cell>
          <cell r="I5158" t="b">
            <v>1</v>
          </cell>
          <cell r="J5158">
            <v>60789.09</v>
          </cell>
          <cell r="K5158">
            <v>0</v>
          </cell>
          <cell r="L5158">
            <v>0</v>
          </cell>
        </row>
        <row r="5159">
          <cell r="A5159" t="str">
            <v>09</v>
          </cell>
          <cell r="B5159" t="str">
            <v>06</v>
          </cell>
          <cell r="C5159" t="str">
            <v>09</v>
          </cell>
          <cell r="D5159" t="str">
            <v>5</v>
          </cell>
          <cell r="E5159" t="str">
            <v>0001</v>
          </cell>
          <cell r="F5159" t="str">
            <v>0001</v>
          </cell>
          <cell r="G5159" t="str">
            <v>52101</v>
          </cell>
          <cell r="H5159" t="str">
            <v>转本月管理部门工人工资</v>
          </cell>
          <cell r="I5159" t="b">
            <v>1</v>
          </cell>
          <cell r="J5159">
            <v>54985.3</v>
          </cell>
          <cell r="K5159">
            <v>0</v>
          </cell>
          <cell r="L5159">
            <v>0</v>
          </cell>
        </row>
        <row r="5160">
          <cell r="A5160" t="str">
            <v>09</v>
          </cell>
          <cell r="B5160" t="str">
            <v>30</v>
          </cell>
          <cell r="C5160" t="str">
            <v>09</v>
          </cell>
          <cell r="D5160" t="str">
            <v>5</v>
          </cell>
          <cell r="E5160" t="str">
            <v>0040</v>
          </cell>
          <cell r="F5160" t="str">
            <v>0002</v>
          </cell>
          <cell r="G5160" t="str">
            <v>52101</v>
          </cell>
          <cell r="H5160" t="str">
            <v>结转本月管理费用</v>
          </cell>
          <cell r="I5160" t="b">
            <v>0</v>
          </cell>
          <cell r="J5160">
            <v>115523.39</v>
          </cell>
          <cell r="K5160">
            <v>0</v>
          </cell>
          <cell r="L5160">
            <v>0</v>
          </cell>
        </row>
        <row r="5161">
          <cell r="A5161" t="str">
            <v>10</v>
          </cell>
          <cell r="B5161" t="str">
            <v>12</v>
          </cell>
          <cell r="C5161" t="str">
            <v>10</v>
          </cell>
          <cell r="D5161" t="str">
            <v>2</v>
          </cell>
          <cell r="E5161" t="str">
            <v>0011</v>
          </cell>
          <cell r="F5161" t="str">
            <v>0001</v>
          </cell>
          <cell r="G5161" t="str">
            <v>52101</v>
          </cell>
          <cell r="H5161" t="str">
            <v>付临时工工资</v>
          </cell>
          <cell r="I5161" t="b">
            <v>1</v>
          </cell>
          <cell r="J5161">
            <v>82263.72</v>
          </cell>
          <cell r="K5161">
            <v>0</v>
          </cell>
          <cell r="L5161">
            <v>0</v>
          </cell>
        </row>
        <row r="5162">
          <cell r="A5162" t="str">
            <v>10</v>
          </cell>
          <cell r="B5162" t="str">
            <v>24</v>
          </cell>
          <cell r="C5162" t="str">
            <v>10</v>
          </cell>
          <cell r="D5162" t="str">
            <v>5</v>
          </cell>
          <cell r="E5162" t="str">
            <v>0012</v>
          </cell>
          <cell r="F5162" t="str">
            <v>0001</v>
          </cell>
          <cell r="G5162" t="str">
            <v>52101</v>
          </cell>
          <cell r="H5162" t="str">
            <v>转本月管理部门工人工资</v>
          </cell>
          <cell r="I5162" t="b">
            <v>1</v>
          </cell>
          <cell r="J5162">
            <v>58255.19</v>
          </cell>
          <cell r="K5162">
            <v>0</v>
          </cell>
          <cell r="L5162">
            <v>0</v>
          </cell>
        </row>
        <row r="5163">
          <cell r="A5163" t="str">
            <v>10</v>
          </cell>
          <cell r="B5163" t="str">
            <v>30</v>
          </cell>
          <cell r="C5163" t="str">
            <v>10</v>
          </cell>
          <cell r="D5163" t="str">
            <v>5</v>
          </cell>
          <cell r="E5163" t="str">
            <v>0034</v>
          </cell>
          <cell r="F5163" t="str">
            <v>0002</v>
          </cell>
          <cell r="G5163" t="str">
            <v>52101</v>
          </cell>
          <cell r="H5163" t="str">
            <v>结转本月管理费用</v>
          </cell>
          <cell r="I5163" t="b">
            <v>0</v>
          </cell>
          <cell r="J5163">
            <v>140518.91</v>
          </cell>
          <cell r="K5163">
            <v>0</v>
          </cell>
          <cell r="L5163">
            <v>0</v>
          </cell>
        </row>
        <row r="5164">
          <cell r="A5164" t="str">
            <v>11</v>
          </cell>
          <cell r="B5164" t="str">
            <v>25</v>
          </cell>
          <cell r="C5164" t="str">
            <v>11</v>
          </cell>
          <cell r="D5164" t="str">
            <v>2</v>
          </cell>
          <cell r="E5164" t="str">
            <v>0027</v>
          </cell>
          <cell r="F5164" t="str">
            <v>0001</v>
          </cell>
          <cell r="G5164" t="str">
            <v>52101</v>
          </cell>
          <cell r="H5164" t="str">
            <v>付临时工工资</v>
          </cell>
          <cell r="I5164" t="b">
            <v>1</v>
          </cell>
          <cell r="J5164">
            <v>27845.96</v>
          </cell>
          <cell r="K5164">
            <v>0</v>
          </cell>
          <cell r="L5164">
            <v>0</v>
          </cell>
        </row>
        <row r="5165">
          <cell r="A5165" t="str">
            <v>11</v>
          </cell>
          <cell r="B5165" t="str">
            <v>18</v>
          </cell>
          <cell r="C5165" t="str">
            <v>11</v>
          </cell>
          <cell r="D5165" t="str">
            <v>5</v>
          </cell>
          <cell r="E5165" t="str">
            <v>0014</v>
          </cell>
          <cell r="F5165" t="str">
            <v>0001</v>
          </cell>
          <cell r="G5165" t="str">
            <v>52101</v>
          </cell>
          <cell r="H5165" t="str">
            <v>转本月工人工资</v>
          </cell>
          <cell r="I5165" t="b">
            <v>1</v>
          </cell>
          <cell r="J5165">
            <v>58608.51</v>
          </cell>
          <cell r="K5165">
            <v>0</v>
          </cell>
          <cell r="L5165">
            <v>0</v>
          </cell>
        </row>
        <row r="5166">
          <cell r="A5166" t="str">
            <v>11</v>
          </cell>
          <cell r="B5166" t="str">
            <v>30</v>
          </cell>
          <cell r="C5166" t="str">
            <v>11</v>
          </cell>
          <cell r="D5166" t="str">
            <v>5</v>
          </cell>
          <cell r="E5166" t="str">
            <v>0037</v>
          </cell>
          <cell r="F5166" t="str">
            <v>0002</v>
          </cell>
          <cell r="G5166" t="str">
            <v>52101</v>
          </cell>
          <cell r="H5166" t="str">
            <v>结转本月管理费用</v>
          </cell>
          <cell r="I5166" t="b">
            <v>0</v>
          </cell>
          <cell r="J5166">
            <v>86454.47</v>
          </cell>
          <cell r="K5166">
            <v>0</v>
          </cell>
          <cell r="L5166">
            <v>0</v>
          </cell>
        </row>
        <row r="5167">
          <cell r="A5167" t="str">
            <v>12</v>
          </cell>
          <cell r="B5167" t="str">
            <v>10</v>
          </cell>
          <cell r="C5167" t="str">
            <v>12</v>
          </cell>
          <cell r="D5167" t="str">
            <v>2</v>
          </cell>
          <cell r="E5167" t="str">
            <v>0012</v>
          </cell>
          <cell r="F5167" t="str">
            <v>0001</v>
          </cell>
          <cell r="G5167" t="str">
            <v>52101</v>
          </cell>
          <cell r="H5167" t="str">
            <v>付司机补助.临时工工资等</v>
          </cell>
          <cell r="I5167" t="b">
            <v>1</v>
          </cell>
          <cell r="J5167">
            <v>17606.3</v>
          </cell>
          <cell r="K5167">
            <v>0</v>
          </cell>
          <cell r="L5167">
            <v>0</v>
          </cell>
        </row>
        <row r="5168">
          <cell r="A5168" t="str">
            <v>12</v>
          </cell>
          <cell r="B5168" t="str">
            <v>08</v>
          </cell>
          <cell r="C5168" t="str">
            <v>12</v>
          </cell>
          <cell r="D5168" t="str">
            <v>5</v>
          </cell>
          <cell r="E5168" t="str">
            <v>0001</v>
          </cell>
          <cell r="F5168" t="str">
            <v>0001</v>
          </cell>
          <cell r="G5168" t="str">
            <v>52101</v>
          </cell>
          <cell r="H5168" t="str">
            <v>转管理部门工人工资</v>
          </cell>
          <cell r="I5168" t="b">
            <v>1</v>
          </cell>
          <cell r="J5168">
            <v>58916.25</v>
          </cell>
          <cell r="K5168">
            <v>0</v>
          </cell>
          <cell r="L5168">
            <v>0</v>
          </cell>
        </row>
        <row r="5169">
          <cell r="A5169" t="str">
            <v>12</v>
          </cell>
          <cell r="B5169" t="str">
            <v>27</v>
          </cell>
          <cell r="C5169" t="str">
            <v>12</v>
          </cell>
          <cell r="D5169" t="str">
            <v>5</v>
          </cell>
          <cell r="E5169" t="str">
            <v>0040</v>
          </cell>
          <cell r="F5169" t="str">
            <v>0003</v>
          </cell>
          <cell r="G5169" t="str">
            <v>52101</v>
          </cell>
          <cell r="H5169" t="str">
            <v>转分公司代扣多发工资</v>
          </cell>
          <cell r="I5169" t="b">
            <v>1</v>
          </cell>
          <cell r="J5169">
            <v>-10</v>
          </cell>
          <cell r="K5169">
            <v>0</v>
          </cell>
          <cell r="L5169">
            <v>0</v>
          </cell>
        </row>
        <row r="5170">
          <cell r="A5170" t="str">
            <v>12</v>
          </cell>
          <cell r="B5170" t="str">
            <v>30</v>
          </cell>
          <cell r="C5170" t="str">
            <v>12</v>
          </cell>
          <cell r="D5170" t="str">
            <v>5</v>
          </cell>
          <cell r="E5170" t="str">
            <v>0089</v>
          </cell>
          <cell r="F5170" t="str">
            <v>0001</v>
          </cell>
          <cell r="G5170" t="str">
            <v>52101</v>
          </cell>
          <cell r="H5170" t="str">
            <v>转工人工资</v>
          </cell>
          <cell r="I5170" t="b">
            <v>1</v>
          </cell>
          <cell r="J5170">
            <v>38861.5</v>
          </cell>
          <cell r="K5170">
            <v>0</v>
          </cell>
          <cell r="L5170">
            <v>0</v>
          </cell>
        </row>
        <row r="5171">
          <cell r="A5171" t="str">
            <v>12</v>
          </cell>
          <cell r="B5171" t="str">
            <v>31</v>
          </cell>
          <cell r="C5171" t="str">
            <v>12</v>
          </cell>
          <cell r="D5171" t="str">
            <v>5</v>
          </cell>
          <cell r="E5171" t="str">
            <v>0099</v>
          </cell>
          <cell r="F5171" t="str">
            <v>0001</v>
          </cell>
          <cell r="G5171" t="str">
            <v>52101</v>
          </cell>
          <cell r="H5171" t="str">
            <v>转预提2000年效益工资及综合奖</v>
          </cell>
          <cell r="I5171" t="b">
            <v>1</v>
          </cell>
          <cell r="J5171">
            <v>1110000</v>
          </cell>
          <cell r="K5171">
            <v>0</v>
          </cell>
          <cell r="L5171">
            <v>0</v>
          </cell>
        </row>
        <row r="5172">
          <cell r="A5172" t="str">
            <v>12</v>
          </cell>
          <cell r="B5172" t="str">
            <v>31</v>
          </cell>
          <cell r="C5172" t="str">
            <v>12</v>
          </cell>
          <cell r="D5172" t="str">
            <v>5</v>
          </cell>
          <cell r="E5172" t="str">
            <v>0103</v>
          </cell>
          <cell r="F5172" t="str">
            <v>0002</v>
          </cell>
          <cell r="G5172" t="str">
            <v>52101</v>
          </cell>
          <cell r="H5172" t="str">
            <v>结转本月管理费用</v>
          </cell>
          <cell r="I5172" t="b">
            <v>0</v>
          </cell>
          <cell r="J5172">
            <v>1225374.05</v>
          </cell>
          <cell r="K5172">
            <v>0</v>
          </cell>
          <cell r="L5172">
            <v>0</v>
          </cell>
        </row>
        <row r="5173">
          <cell r="A5173" t="str">
            <v>02</v>
          </cell>
          <cell r="B5173" t="str">
            <v>20</v>
          </cell>
          <cell r="C5173" t="str">
            <v>02</v>
          </cell>
          <cell r="D5173" t="str">
            <v>5</v>
          </cell>
          <cell r="E5173" t="str">
            <v>0002</v>
          </cell>
          <cell r="F5173" t="str">
            <v>0001</v>
          </cell>
          <cell r="G5173" t="str">
            <v>52102</v>
          </cell>
          <cell r="H5173" t="str">
            <v>计提99年12月份管理部门福利费</v>
          </cell>
          <cell r="I5173" t="b">
            <v>1</v>
          </cell>
          <cell r="J5173">
            <v>5828.26</v>
          </cell>
          <cell r="K5173">
            <v>0</v>
          </cell>
          <cell r="L5173">
            <v>0</v>
          </cell>
        </row>
        <row r="5174">
          <cell r="A5174" t="str">
            <v>02</v>
          </cell>
          <cell r="B5174" t="str">
            <v>20</v>
          </cell>
          <cell r="C5174" t="str">
            <v>02</v>
          </cell>
          <cell r="D5174" t="str">
            <v>5</v>
          </cell>
          <cell r="E5174" t="str">
            <v>0004</v>
          </cell>
          <cell r="F5174" t="str">
            <v>0001</v>
          </cell>
          <cell r="G5174" t="str">
            <v>52102</v>
          </cell>
          <cell r="H5174" t="str">
            <v>计提1月份管理部门职工福利费</v>
          </cell>
          <cell r="I5174" t="b">
            <v>1</v>
          </cell>
          <cell r="J5174">
            <v>5063.24</v>
          </cell>
          <cell r="K5174">
            <v>0</v>
          </cell>
          <cell r="L5174">
            <v>0</v>
          </cell>
        </row>
        <row r="5175">
          <cell r="A5175" t="str">
            <v>02</v>
          </cell>
          <cell r="B5175" t="str">
            <v>29</v>
          </cell>
          <cell r="C5175" t="str">
            <v>02</v>
          </cell>
          <cell r="D5175" t="str">
            <v>5</v>
          </cell>
          <cell r="E5175" t="str">
            <v>0058</v>
          </cell>
          <cell r="F5175" t="str">
            <v>0003</v>
          </cell>
          <cell r="G5175" t="str">
            <v>52102</v>
          </cell>
          <cell r="H5175" t="str">
            <v>结转本月管理费用</v>
          </cell>
          <cell r="I5175" t="b">
            <v>0</v>
          </cell>
          <cell r="J5175">
            <v>10891.5</v>
          </cell>
          <cell r="K5175">
            <v>0</v>
          </cell>
          <cell r="L5175">
            <v>0</v>
          </cell>
        </row>
        <row r="5176">
          <cell r="A5176" t="str">
            <v>03</v>
          </cell>
          <cell r="B5176" t="str">
            <v>27</v>
          </cell>
          <cell r="C5176" t="str">
            <v>03</v>
          </cell>
          <cell r="D5176" t="str">
            <v>5</v>
          </cell>
          <cell r="E5176" t="str">
            <v>0012</v>
          </cell>
          <cell r="F5176" t="str">
            <v>0001</v>
          </cell>
          <cell r="G5176" t="str">
            <v>52102</v>
          </cell>
          <cell r="H5176" t="str">
            <v>计提福利费</v>
          </cell>
          <cell r="I5176" t="b">
            <v>1</v>
          </cell>
          <cell r="J5176">
            <v>3949.54</v>
          </cell>
          <cell r="K5176">
            <v>0</v>
          </cell>
          <cell r="L5176">
            <v>0</v>
          </cell>
        </row>
        <row r="5177">
          <cell r="A5177" t="str">
            <v>03</v>
          </cell>
          <cell r="B5177" t="str">
            <v>27</v>
          </cell>
          <cell r="C5177" t="str">
            <v>03</v>
          </cell>
          <cell r="D5177" t="str">
            <v>5</v>
          </cell>
          <cell r="E5177" t="str">
            <v>0014</v>
          </cell>
          <cell r="F5177" t="str">
            <v>0001</v>
          </cell>
          <cell r="G5177" t="str">
            <v>52102</v>
          </cell>
          <cell r="H5177" t="str">
            <v>计提本月管理部门福利费</v>
          </cell>
          <cell r="I5177" t="b">
            <v>1</v>
          </cell>
          <cell r="J5177">
            <v>4492.83</v>
          </cell>
          <cell r="K5177">
            <v>0</v>
          </cell>
          <cell r="L5177">
            <v>0</v>
          </cell>
        </row>
        <row r="5178">
          <cell r="A5178" t="str">
            <v>03</v>
          </cell>
          <cell r="B5178" t="str">
            <v>30</v>
          </cell>
          <cell r="C5178" t="str">
            <v>03</v>
          </cell>
          <cell r="D5178" t="str">
            <v>5</v>
          </cell>
          <cell r="E5178" t="str">
            <v>0032</v>
          </cell>
          <cell r="F5178" t="str">
            <v>0003</v>
          </cell>
          <cell r="G5178" t="str">
            <v>52102</v>
          </cell>
          <cell r="H5178" t="str">
            <v>结转本月管理费用</v>
          </cell>
          <cell r="I5178" t="b">
            <v>0</v>
          </cell>
          <cell r="J5178">
            <v>8442.3700000000008</v>
          </cell>
          <cell r="K5178">
            <v>0</v>
          </cell>
          <cell r="L5178">
            <v>0</v>
          </cell>
        </row>
        <row r="5179">
          <cell r="A5179" t="str">
            <v>04</v>
          </cell>
          <cell r="B5179" t="str">
            <v>24</v>
          </cell>
          <cell r="C5179" t="str">
            <v>04</v>
          </cell>
          <cell r="D5179" t="str">
            <v>5</v>
          </cell>
          <cell r="E5179" t="str">
            <v>0015</v>
          </cell>
          <cell r="F5179" t="str">
            <v>0001</v>
          </cell>
          <cell r="G5179" t="str">
            <v>52102</v>
          </cell>
          <cell r="H5179" t="str">
            <v>计提本月管理部门职工福利费</v>
          </cell>
          <cell r="I5179" t="b">
            <v>1</v>
          </cell>
          <cell r="J5179">
            <v>4631.4799999999996</v>
          </cell>
          <cell r="K5179">
            <v>0</v>
          </cell>
          <cell r="L5179">
            <v>0</v>
          </cell>
        </row>
        <row r="5180">
          <cell r="A5180" t="str">
            <v>04</v>
          </cell>
          <cell r="B5180" t="str">
            <v>29</v>
          </cell>
          <cell r="C5180" t="str">
            <v>04</v>
          </cell>
          <cell r="D5180" t="str">
            <v>5</v>
          </cell>
          <cell r="E5180" t="str">
            <v>0038</v>
          </cell>
          <cell r="F5180" t="str">
            <v>0003</v>
          </cell>
          <cell r="G5180" t="str">
            <v>52102</v>
          </cell>
          <cell r="H5180" t="str">
            <v>结转本月管理费用</v>
          </cell>
          <cell r="I5180" t="b">
            <v>0</v>
          </cell>
          <cell r="J5180">
            <v>4631.4799999999996</v>
          </cell>
          <cell r="K5180">
            <v>0</v>
          </cell>
          <cell r="L5180">
            <v>0</v>
          </cell>
        </row>
        <row r="5181">
          <cell r="A5181" t="str">
            <v>05</v>
          </cell>
          <cell r="B5181" t="str">
            <v>25</v>
          </cell>
          <cell r="C5181" t="str">
            <v>05</v>
          </cell>
          <cell r="D5181" t="str">
            <v>5</v>
          </cell>
          <cell r="E5181" t="str">
            <v>0002</v>
          </cell>
          <cell r="F5181" t="str">
            <v>0001</v>
          </cell>
          <cell r="G5181" t="str">
            <v>52102</v>
          </cell>
          <cell r="H5181" t="str">
            <v>计提本月管理部门职工福利费</v>
          </cell>
          <cell r="I5181" t="b">
            <v>1</v>
          </cell>
          <cell r="J5181">
            <v>15600.35</v>
          </cell>
          <cell r="K5181">
            <v>0</v>
          </cell>
          <cell r="L5181">
            <v>0</v>
          </cell>
        </row>
        <row r="5182">
          <cell r="A5182" t="str">
            <v>05</v>
          </cell>
          <cell r="B5182" t="str">
            <v>31</v>
          </cell>
          <cell r="C5182" t="str">
            <v>05</v>
          </cell>
          <cell r="D5182" t="str">
            <v>5</v>
          </cell>
          <cell r="E5182" t="str">
            <v>0039</v>
          </cell>
          <cell r="F5182" t="str">
            <v>0003</v>
          </cell>
          <cell r="G5182" t="str">
            <v>52102</v>
          </cell>
          <cell r="H5182" t="str">
            <v>结转本月管理费用</v>
          </cell>
          <cell r="I5182" t="b">
            <v>0</v>
          </cell>
          <cell r="J5182">
            <v>15600.35</v>
          </cell>
          <cell r="K5182">
            <v>0</v>
          </cell>
          <cell r="L5182">
            <v>0</v>
          </cell>
        </row>
        <row r="5183">
          <cell r="A5183" t="str">
            <v>06</v>
          </cell>
          <cell r="B5183" t="str">
            <v>20</v>
          </cell>
          <cell r="C5183" t="str">
            <v>06</v>
          </cell>
          <cell r="D5183" t="str">
            <v>5</v>
          </cell>
          <cell r="E5183" t="str">
            <v>0008</v>
          </cell>
          <cell r="F5183" t="str">
            <v>0001</v>
          </cell>
          <cell r="G5183" t="str">
            <v>52102</v>
          </cell>
          <cell r="H5183" t="str">
            <v>计提本月管理部门职工福利费</v>
          </cell>
          <cell r="I5183" t="b">
            <v>1</v>
          </cell>
          <cell r="J5183">
            <v>6609.04</v>
          </cell>
          <cell r="K5183">
            <v>0</v>
          </cell>
          <cell r="L5183">
            <v>0</v>
          </cell>
        </row>
        <row r="5184">
          <cell r="A5184" t="str">
            <v>06</v>
          </cell>
          <cell r="B5184" t="str">
            <v>25</v>
          </cell>
          <cell r="C5184" t="str">
            <v>06</v>
          </cell>
          <cell r="D5184" t="str">
            <v>5</v>
          </cell>
          <cell r="E5184" t="str">
            <v>0028</v>
          </cell>
          <cell r="F5184" t="str">
            <v>0003</v>
          </cell>
          <cell r="G5184" t="str">
            <v>52102</v>
          </cell>
          <cell r="H5184" t="str">
            <v>结转本月管理费用</v>
          </cell>
          <cell r="I5184" t="b">
            <v>0</v>
          </cell>
          <cell r="J5184">
            <v>6609.04</v>
          </cell>
          <cell r="K5184">
            <v>0</v>
          </cell>
          <cell r="L5184">
            <v>0</v>
          </cell>
        </row>
        <row r="5185">
          <cell r="A5185" t="str">
            <v>07</v>
          </cell>
          <cell r="B5185" t="str">
            <v>12</v>
          </cell>
          <cell r="C5185" t="str">
            <v>07</v>
          </cell>
          <cell r="D5185" t="str">
            <v>5</v>
          </cell>
          <cell r="E5185" t="str">
            <v>0002</v>
          </cell>
          <cell r="F5185" t="str">
            <v>0001</v>
          </cell>
          <cell r="G5185" t="str">
            <v>52102</v>
          </cell>
          <cell r="H5185" t="str">
            <v>计提管理部门职工福利费</v>
          </cell>
          <cell r="I5185" t="b">
            <v>1</v>
          </cell>
          <cell r="J5185">
            <v>6047.66</v>
          </cell>
          <cell r="K5185">
            <v>0</v>
          </cell>
          <cell r="L5185">
            <v>0</v>
          </cell>
        </row>
        <row r="5186">
          <cell r="A5186" t="str">
            <v>07</v>
          </cell>
          <cell r="B5186" t="str">
            <v>29</v>
          </cell>
          <cell r="C5186" t="str">
            <v>07</v>
          </cell>
          <cell r="D5186" t="str">
            <v>5</v>
          </cell>
          <cell r="E5186" t="str">
            <v>0044</v>
          </cell>
          <cell r="F5186" t="str">
            <v>0003</v>
          </cell>
          <cell r="G5186" t="str">
            <v>52102</v>
          </cell>
          <cell r="H5186" t="str">
            <v>结转本月管理费用</v>
          </cell>
          <cell r="I5186" t="b">
            <v>0</v>
          </cell>
          <cell r="J5186">
            <v>6047.66</v>
          </cell>
          <cell r="K5186">
            <v>0</v>
          </cell>
          <cell r="L5186">
            <v>0</v>
          </cell>
        </row>
        <row r="5187">
          <cell r="A5187" t="str">
            <v>08</v>
          </cell>
          <cell r="B5187" t="str">
            <v>08</v>
          </cell>
          <cell r="C5187" t="str">
            <v>08</v>
          </cell>
          <cell r="D5187" t="str">
            <v>5</v>
          </cell>
          <cell r="E5187" t="str">
            <v>0002</v>
          </cell>
          <cell r="F5187" t="str">
            <v>0001</v>
          </cell>
          <cell r="G5187" t="str">
            <v>52102</v>
          </cell>
          <cell r="H5187" t="str">
            <v>计提本月管理部门福利费</v>
          </cell>
          <cell r="I5187" t="b">
            <v>1</v>
          </cell>
          <cell r="J5187">
            <v>5281.93</v>
          </cell>
          <cell r="K5187">
            <v>0</v>
          </cell>
          <cell r="L5187">
            <v>0</v>
          </cell>
        </row>
        <row r="5188">
          <cell r="A5188" t="str">
            <v>08</v>
          </cell>
          <cell r="B5188" t="str">
            <v>31</v>
          </cell>
          <cell r="C5188" t="str">
            <v>08</v>
          </cell>
          <cell r="D5188" t="str">
            <v>5</v>
          </cell>
          <cell r="E5188" t="str">
            <v>0035</v>
          </cell>
          <cell r="F5188" t="str">
            <v>0003</v>
          </cell>
          <cell r="G5188" t="str">
            <v>52102</v>
          </cell>
          <cell r="H5188" t="str">
            <v>结转本月管理费用</v>
          </cell>
          <cell r="I5188" t="b">
            <v>0</v>
          </cell>
          <cell r="J5188">
            <v>5281.93</v>
          </cell>
          <cell r="K5188">
            <v>0</v>
          </cell>
          <cell r="L5188">
            <v>0</v>
          </cell>
        </row>
        <row r="5189">
          <cell r="A5189" t="str">
            <v>09</v>
          </cell>
          <cell r="B5189" t="str">
            <v>06</v>
          </cell>
          <cell r="C5189" t="str">
            <v>09</v>
          </cell>
          <cell r="D5189" t="str">
            <v>5</v>
          </cell>
          <cell r="E5189" t="str">
            <v>0002</v>
          </cell>
          <cell r="F5189" t="str">
            <v>0001</v>
          </cell>
          <cell r="G5189" t="str">
            <v>52102</v>
          </cell>
          <cell r="H5189" t="str">
            <v>计提本月职工福利费</v>
          </cell>
          <cell r="I5189" t="b">
            <v>1</v>
          </cell>
          <cell r="J5189">
            <v>8326.26</v>
          </cell>
          <cell r="K5189">
            <v>0</v>
          </cell>
          <cell r="L5189">
            <v>0</v>
          </cell>
        </row>
        <row r="5190">
          <cell r="A5190" t="str">
            <v>09</v>
          </cell>
          <cell r="B5190" t="str">
            <v>30</v>
          </cell>
          <cell r="C5190" t="str">
            <v>09</v>
          </cell>
          <cell r="D5190" t="str">
            <v>5</v>
          </cell>
          <cell r="E5190" t="str">
            <v>0040</v>
          </cell>
          <cell r="F5190" t="str">
            <v>0003</v>
          </cell>
          <cell r="G5190" t="str">
            <v>52102</v>
          </cell>
          <cell r="H5190" t="str">
            <v>结转本月管理费用</v>
          </cell>
          <cell r="I5190" t="b">
            <v>0</v>
          </cell>
          <cell r="J5190">
            <v>8326.26</v>
          </cell>
          <cell r="K5190">
            <v>0</v>
          </cell>
          <cell r="L5190">
            <v>0</v>
          </cell>
        </row>
        <row r="5191">
          <cell r="A5191" t="str">
            <v>10</v>
          </cell>
          <cell r="B5191" t="str">
            <v>24</v>
          </cell>
          <cell r="C5191" t="str">
            <v>10</v>
          </cell>
          <cell r="D5191" t="str">
            <v>5</v>
          </cell>
          <cell r="E5191" t="str">
            <v>0013</v>
          </cell>
          <cell r="F5191" t="str">
            <v>0001</v>
          </cell>
          <cell r="G5191" t="str">
            <v>52102</v>
          </cell>
          <cell r="H5191" t="str">
            <v>提取本月职工福利费</v>
          </cell>
          <cell r="I5191" t="b">
            <v>1</v>
          </cell>
          <cell r="J5191">
            <v>8802</v>
          </cell>
          <cell r="K5191">
            <v>0</v>
          </cell>
          <cell r="L5191">
            <v>0</v>
          </cell>
        </row>
        <row r="5192">
          <cell r="A5192" t="str">
            <v>10</v>
          </cell>
          <cell r="B5192" t="str">
            <v>30</v>
          </cell>
          <cell r="C5192" t="str">
            <v>10</v>
          </cell>
          <cell r="D5192" t="str">
            <v>5</v>
          </cell>
          <cell r="E5192" t="str">
            <v>0034</v>
          </cell>
          <cell r="F5192" t="str">
            <v>0003</v>
          </cell>
          <cell r="G5192" t="str">
            <v>52102</v>
          </cell>
          <cell r="H5192" t="str">
            <v>结转本月管理费用</v>
          </cell>
          <cell r="I5192" t="b">
            <v>0</v>
          </cell>
          <cell r="J5192">
            <v>8802</v>
          </cell>
          <cell r="K5192">
            <v>0</v>
          </cell>
          <cell r="L5192">
            <v>0</v>
          </cell>
        </row>
        <row r="5193">
          <cell r="A5193" t="str">
            <v>11</v>
          </cell>
          <cell r="B5193" t="str">
            <v>18</v>
          </cell>
          <cell r="C5193" t="str">
            <v>11</v>
          </cell>
          <cell r="D5193" t="str">
            <v>5</v>
          </cell>
          <cell r="E5193" t="str">
            <v>0015</v>
          </cell>
          <cell r="F5193" t="str">
            <v>0001</v>
          </cell>
          <cell r="G5193" t="str">
            <v>52102</v>
          </cell>
          <cell r="H5193" t="str">
            <v>提取本月福利费</v>
          </cell>
          <cell r="I5193" t="b">
            <v>1</v>
          </cell>
          <cell r="J5193">
            <v>8823.2900000000009</v>
          </cell>
          <cell r="K5193">
            <v>0</v>
          </cell>
          <cell r="L5193">
            <v>0</v>
          </cell>
        </row>
        <row r="5194">
          <cell r="A5194" t="str">
            <v>11</v>
          </cell>
          <cell r="B5194" t="str">
            <v>30</v>
          </cell>
          <cell r="C5194" t="str">
            <v>11</v>
          </cell>
          <cell r="D5194" t="str">
            <v>5</v>
          </cell>
          <cell r="E5194" t="str">
            <v>0037</v>
          </cell>
          <cell r="F5194" t="str">
            <v>0003</v>
          </cell>
          <cell r="G5194" t="str">
            <v>52102</v>
          </cell>
          <cell r="H5194" t="str">
            <v>结转本月管理费用</v>
          </cell>
          <cell r="I5194" t="b">
            <v>0</v>
          </cell>
          <cell r="J5194">
            <v>8823.2900000000009</v>
          </cell>
          <cell r="K5194">
            <v>0</v>
          </cell>
          <cell r="L5194">
            <v>0</v>
          </cell>
        </row>
        <row r="5195">
          <cell r="A5195" t="str">
            <v>12</v>
          </cell>
          <cell r="B5195" t="str">
            <v>08</v>
          </cell>
          <cell r="C5195" t="str">
            <v>12</v>
          </cell>
          <cell r="D5195" t="str">
            <v>5</v>
          </cell>
          <cell r="E5195" t="str">
            <v>0002</v>
          </cell>
          <cell r="F5195" t="str">
            <v>0001</v>
          </cell>
          <cell r="G5195" t="str">
            <v>52102</v>
          </cell>
          <cell r="H5195" t="str">
            <v>提取职工福利费</v>
          </cell>
          <cell r="I5195" t="b">
            <v>1</v>
          </cell>
          <cell r="J5195">
            <v>8946.4599999999991</v>
          </cell>
          <cell r="K5195">
            <v>0</v>
          </cell>
          <cell r="L5195">
            <v>0</v>
          </cell>
        </row>
        <row r="5196">
          <cell r="A5196" t="str">
            <v>12</v>
          </cell>
          <cell r="B5196" t="str">
            <v>30</v>
          </cell>
          <cell r="C5196" t="str">
            <v>12</v>
          </cell>
          <cell r="D5196" t="str">
            <v>5</v>
          </cell>
          <cell r="E5196" t="str">
            <v>0090</v>
          </cell>
          <cell r="F5196" t="str">
            <v>0001</v>
          </cell>
          <cell r="G5196" t="str">
            <v>52102</v>
          </cell>
          <cell r="H5196" t="str">
            <v>提取职工福利费</v>
          </cell>
          <cell r="I5196" t="b">
            <v>1</v>
          </cell>
          <cell r="J5196">
            <v>5742.59</v>
          </cell>
          <cell r="K5196">
            <v>0</v>
          </cell>
          <cell r="L5196">
            <v>0</v>
          </cell>
        </row>
        <row r="5197">
          <cell r="A5197" t="str">
            <v>12</v>
          </cell>
          <cell r="B5197" t="str">
            <v>31</v>
          </cell>
          <cell r="C5197" t="str">
            <v>12</v>
          </cell>
          <cell r="D5197" t="str">
            <v>5</v>
          </cell>
          <cell r="E5197" t="str">
            <v>0103</v>
          </cell>
          <cell r="F5197" t="str">
            <v>0003</v>
          </cell>
          <cell r="G5197" t="str">
            <v>52102</v>
          </cell>
          <cell r="H5197" t="str">
            <v>结转本月管理费用</v>
          </cell>
          <cell r="I5197" t="b">
            <v>0</v>
          </cell>
          <cell r="J5197">
            <v>14689.05</v>
          </cell>
          <cell r="K5197">
            <v>0</v>
          </cell>
          <cell r="L5197">
            <v>0</v>
          </cell>
        </row>
        <row r="5198">
          <cell r="A5198" t="str">
            <v>02</v>
          </cell>
          <cell r="B5198" t="str">
            <v>01</v>
          </cell>
          <cell r="C5198" t="str">
            <v>02</v>
          </cell>
          <cell r="D5198" t="str">
            <v>2</v>
          </cell>
          <cell r="E5198" t="str">
            <v>0004</v>
          </cell>
          <cell r="F5198" t="str">
            <v>0002</v>
          </cell>
          <cell r="G5198" t="str">
            <v>52103</v>
          </cell>
          <cell r="H5198" t="str">
            <v>付差旅费</v>
          </cell>
          <cell r="I5198" t="b">
            <v>1</v>
          </cell>
          <cell r="J5198">
            <v>427.6</v>
          </cell>
          <cell r="K5198">
            <v>0</v>
          </cell>
          <cell r="L5198">
            <v>0</v>
          </cell>
        </row>
        <row r="5199">
          <cell r="A5199" t="str">
            <v>02</v>
          </cell>
          <cell r="B5199" t="str">
            <v>06</v>
          </cell>
          <cell r="C5199" t="str">
            <v>02</v>
          </cell>
          <cell r="D5199" t="str">
            <v>2</v>
          </cell>
          <cell r="E5199" t="str">
            <v>0012</v>
          </cell>
          <cell r="F5199" t="str">
            <v>0001</v>
          </cell>
          <cell r="G5199" t="str">
            <v>52103</v>
          </cell>
          <cell r="H5199" t="str">
            <v>付差旅费</v>
          </cell>
          <cell r="I5199" t="b">
            <v>1</v>
          </cell>
          <cell r="J5199">
            <v>628</v>
          </cell>
          <cell r="K5199">
            <v>0</v>
          </cell>
          <cell r="L5199">
            <v>0</v>
          </cell>
        </row>
        <row r="5200">
          <cell r="A5200" t="str">
            <v>02</v>
          </cell>
          <cell r="B5200" t="str">
            <v>06</v>
          </cell>
          <cell r="C5200" t="str">
            <v>02</v>
          </cell>
          <cell r="D5200" t="str">
            <v>2</v>
          </cell>
          <cell r="E5200" t="str">
            <v>0013</v>
          </cell>
          <cell r="F5200" t="str">
            <v>0001</v>
          </cell>
          <cell r="G5200" t="str">
            <v>52103</v>
          </cell>
          <cell r="H5200" t="str">
            <v>付差旅费</v>
          </cell>
          <cell r="I5200" t="b">
            <v>1</v>
          </cell>
          <cell r="J5200">
            <v>1830</v>
          </cell>
          <cell r="K5200">
            <v>0</v>
          </cell>
          <cell r="L5200">
            <v>0</v>
          </cell>
        </row>
        <row r="5201">
          <cell r="A5201" t="str">
            <v>02</v>
          </cell>
          <cell r="B5201" t="str">
            <v>06</v>
          </cell>
          <cell r="C5201" t="str">
            <v>02</v>
          </cell>
          <cell r="D5201" t="str">
            <v>2</v>
          </cell>
          <cell r="E5201" t="str">
            <v>0014</v>
          </cell>
          <cell r="F5201" t="str">
            <v>0001</v>
          </cell>
          <cell r="G5201" t="str">
            <v>52103</v>
          </cell>
          <cell r="H5201" t="str">
            <v>报销差旅费</v>
          </cell>
          <cell r="I5201" t="b">
            <v>1</v>
          </cell>
          <cell r="J5201">
            <v>11830</v>
          </cell>
          <cell r="K5201">
            <v>0</v>
          </cell>
          <cell r="L5201">
            <v>0</v>
          </cell>
        </row>
        <row r="5202">
          <cell r="A5202" t="str">
            <v>02</v>
          </cell>
          <cell r="B5202" t="str">
            <v>19</v>
          </cell>
          <cell r="C5202" t="str">
            <v>02</v>
          </cell>
          <cell r="D5202" t="str">
            <v>2</v>
          </cell>
          <cell r="E5202" t="str">
            <v>0033</v>
          </cell>
          <cell r="F5202" t="str">
            <v>0003</v>
          </cell>
          <cell r="G5202" t="str">
            <v>52103</v>
          </cell>
          <cell r="H5202" t="str">
            <v>付差旅费</v>
          </cell>
          <cell r="I5202" t="b">
            <v>1</v>
          </cell>
          <cell r="J5202">
            <v>5395</v>
          </cell>
          <cell r="K5202">
            <v>0</v>
          </cell>
          <cell r="L5202">
            <v>0</v>
          </cell>
        </row>
        <row r="5203">
          <cell r="A5203" t="str">
            <v>02</v>
          </cell>
          <cell r="B5203" t="str">
            <v>12</v>
          </cell>
          <cell r="C5203" t="str">
            <v>02</v>
          </cell>
          <cell r="D5203" t="str">
            <v>4</v>
          </cell>
          <cell r="E5203" t="str">
            <v>0012</v>
          </cell>
          <cell r="F5203" t="str">
            <v>0001</v>
          </cell>
          <cell r="G5203" t="str">
            <v>52103</v>
          </cell>
          <cell r="H5203" t="str">
            <v>付住宿费</v>
          </cell>
          <cell r="I5203" t="b">
            <v>1</v>
          </cell>
          <cell r="J5203">
            <v>10358.66</v>
          </cell>
          <cell r="K5203">
            <v>0</v>
          </cell>
          <cell r="L5203">
            <v>0</v>
          </cell>
        </row>
        <row r="5204">
          <cell r="A5204" t="str">
            <v>02</v>
          </cell>
          <cell r="B5204" t="str">
            <v>23</v>
          </cell>
          <cell r="C5204" t="str">
            <v>02</v>
          </cell>
          <cell r="D5204" t="str">
            <v>5</v>
          </cell>
          <cell r="E5204" t="str">
            <v>0016</v>
          </cell>
          <cell r="F5204" t="str">
            <v>0002</v>
          </cell>
          <cell r="G5204" t="str">
            <v>52103</v>
          </cell>
          <cell r="H5204" t="str">
            <v>转报销出差补助</v>
          </cell>
          <cell r="I5204" t="b">
            <v>1</v>
          </cell>
          <cell r="J5204">
            <v>2115</v>
          </cell>
          <cell r="K5204">
            <v>0</v>
          </cell>
          <cell r="L5204">
            <v>0</v>
          </cell>
        </row>
        <row r="5205">
          <cell r="A5205" t="str">
            <v>02</v>
          </cell>
          <cell r="B5205" t="str">
            <v>29</v>
          </cell>
          <cell r="C5205" t="str">
            <v>02</v>
          </cell>
          <cell r="D5205" t="str">
            <v>5</v>
          </cell>
          <cell r="E5205" t="str">
            <v>0058</v>
          </cell>
          <cell r="F5205" t="str">
            <v>0004</v>
          </cell>
          <cell r="G5205" t="str">
            <v>52103</v>
          </cell>
          <cell r="H5205" t="str">
            <v>结转本月管理费用</v>
          </cell>
          <cell r="I5205" t="b">
            <v>0</v>
          </cell>
          <cell r="J5205">
            <v>32584.26</v>
          </cell>
          <cell r="K5205">
            <v>0</v>
          </cell>
          <cell r="L5205">
            <v>0</v>
          </cell>
        </row>
        <row r="5206">
          <cell r="A5206" t="str">
            <v>03</v>
          </cell>
          <cell r="B5206" t="str">
            <v>12</v>
          </cell>
          <cell r="C5206" t="str">
            <v>03</v>
          </cell>
          <cell r="D5206" t="str">
            <v>2</v>
          </cell>
          <cell r="E5206" t="str">
            <v>0010</v>
          </cell>
          <cell r="F5206" t="str">
            <v>0004</v>
          </cell>
          <cell r="G5206" t="str">
            <v>52103</v>
          </cell>
          <cell r="H5206" t="str">
            <v>付差旅费</v>
          </cell>
          <cell r="I5206" t="b">
            <v>1</v>
          </cell>
          <cell r="J5206">
            <v>868.2</v>
          </cell>
          <cell r="K5206">
            <v>0</v>
          </cell>
          <cell r="L5206">
            <v>0</v>
          </cell>
        </row>
        <row r="5207">
          <cell r="A5207" t="str">
            <v>03</v>
          </cell>
          <cell r="B5207" t="str">
            <v>15</v>
          </cell>
          <cell r="C5207" t="str">
            <v>03</v>
          </cell>
          <cell r="D5207" t="str">
            <v>2</v>
          </cell>
          <cell r="E5207" t="str">
            <v>0012</v>
          </cell>
          <cell r="F5207" t="str">
            <v>0003</v>
          </cell>
          <cell r="G5207" t="str">
            <v>52103</v>
          </cell>
          <cell r="H5207" t="str">
            <v>付差旅费</v>
          </cell>
          <cell r="I5207" t="b">
            <v>1</v>
          </cell>
          <cell r="J5207">
            <v>4529.6000000000004</v>
          </cell>
          <cell r="K5207">
            <v>0</v>
          </cell>
          <cell r="L5207">
            <v>0</v>
          </cell>
        </row>
        <row r="5208">
          <cell r="A5208" t="str">
            <v>03</v>
          </cell>
          <cell r="B5208" t="str">
            <v>30</v>
          </cell>
          <cell r="C5208" t="str">
            <v>03</v>
          </cell>
          <cell r="D5208" t="str">
            <v>5</v>
          </cell>
          <cell r="E5208" t="str">
            <v>0032</v>
          </cell>
          <cell r="F5208" t="str">
            <v>0004</v>
          </cell>
          <cell r="G5208" t="str">
            <v>52103</v>
          </cell>
          <cell r="H5208" t="str">
            <v>结转本月管理费用</v>
          </cell>
          <cell r="I5208" t="b">
            <v>0</v>
          </cell>
          <cell r="J5208">
            <v>5397.8</v>
          </cell>
          <cell r="K5208">
            <v>0</v>
          </cell>
          <cell r="L5208">
            <v>0</v>
          </cell>
        </row>
        <row r="5209">
          <cell r="A5209" t="str">
            <v>04</v>
          </cell>
          <cell r="B5209" t="str">
            <v>20</v>
          </cell>
          <cell r="C5209" t="str">
            <v>04</v>
          </cell>
          <cell r="D5209" t="str">
            <v>2</v>
          </cell>
          <cell r="E5209" t="str">
            <v>0009</v>
          </cell>
          <cell r="F5209" t="str">
            <v>0003</v>
          </cell>
          <cell r="G5209" t="str">
            <v>52103</v>
          </cell>
          <cell r="H5209" t="str">
            <v>付差旅费</v>
          </cell>
          <cell r="I5209" t="b">
            <v>1</v>
          </cell>
          <cell r="J5209">
            <v>4988.5</v>
          </cell>
          <cell r="K5209">
            <v>0</v>
          </cell>
          <cell r="L5209">
            <v>0</v>
          </cell>
        </row>
        <row r="5210">
          <cell r="A5210" t="str">
            <v>04</v>
          </cell>
          <cell r="B5210" t="str">
            <v>01</v>
          </cell>
          <cell r="C5210" t="str">
            <v>04</v>
          </cell>
          <cell r="D5210" t="str">
            <v>4</v>
          </cell>
          <cell r="E5210" t="str">
            <v>0001</v>
          </cell>
          <cell r="F5210" t="str">
            <v>0001</v>
          </cell>
          <cell r="G5210" t="str">
            <v>52103</v>
          </cell>
          <cell r="H5210" t="str">
            <v>付住宿费</v>
          </cell>
          <cell r="I5210" t="b">
            <v>1</v>
          </cell>
          <cell r="J5210">
            <v>2038.05</v>
          </cell>
          <cell r="K5210">
            <v>0</v>
          </cell>
          <cell r="L5210">
            <v>0</v>
          </cell>
        </row>
        <row r="5211">
          <cell r="A5211" t="str">
            <v>04</v>
          </cell>
          <cell r="B5211" t="str">
            <v>29</v>
          </cell>
          <cell r="C5211" t="str">
            <v>04</v>
          </cell>
          <cell r="D5211" t="str">
            <v>5</v>
          </cell>
          <cell r="E5211" t="str">
            <v>0038</v>
          </cell>
          <cell r="F5211" t="str">
            <v>0004</v>
          </cell>
          <cell r="G5211" t="str">
            <v>52103</v>
          </cell>
          <cell r="H5211" t="str">
            <v>结转本月管理费用</v>
          </cell>
          <cell r="I5211" t="b">
            <v>0</v>
          </cell>
          <cell r="J5211">
            <v>7026.55</v>
          </cell>
          <cell r="K5211">
            <v>0</v>
          </cell>
          <cell r="L5211">
            <v>0</v>
          </cell>
        </row>
        <row r="5212">
          <cell r="A5212" t="str">
            <v>05</v>
          </cell>
          <cell r="B5212" t="str">
            <v>24</v>
          </cell>
          <cell r="C5212" t="str">
            <v>05</v>
          </cell>
          <cell r="D5212" t="str">
            <v>2</v>
          </cell>
          <cell r="E5212" t="str">
            <v>0017</v>
          </cell>
          <cell r="F5212" t="str">
            <v>0004</v>
          </cell>
          <cell r="G5212" t="str">
            <v>52103</v>
          </cell>
          <cell r="H5212" t="str">
            <v>付差旅费</v>
          </cell>
          <cell r="I5212" t="b">
            <v>1</v>
          </cell>
          <cell r="J5212">
            <v>2034</v>
          </cell>
          <cell r="K5212">
            <v>0</v>
          </cell>
          <cell r="L5212">
            <v>0</v>
          </cell>
        </row>
        <row r="5213">
          <cell r="A5213" t="str">
            <v>05</v>
          </cell>
          <cell r="B5213" t="str">
            <v>31</v>
          </cell>
          <cell r="C5213" t="str">
            <v>05</v>
          </cell>
          <cell r="D5213" t="str">
            <v>5</v>
          </cell>
          <cell r="E5213" t="str">
            <v>0039</v>
          </cell>
          <cell r="F5213" t="str">
            <v>0004</v>
          </cell>
          <cell r="G5213" t="str">
            <v>52103</v>
          </cell>
          <cell r="H5213" t="str">
            <v>结转本月管理费用</v>
          </cell>
          <cell r="I5213" t="b">
            <v>0</v>
          </cell>
          <cell r="J5213">
            <v>2034</v>
          </cell>
          <cell r="K5213">
            <v>0</v>
          </cell>
          <cell r="L5213">
            <v>0</v>
          </cell>
        </row>
        <row r="5214">
          <cell r="A5214" t="str">
            <v>06</v>
          </cell>
          <cell r="B5214" t="str">
            <v>05</v>
          </cell>
          <cell r="C5214" t="str">
            <v>06</v>
          </cell>
          <cell r="D5214" t="str">
            <v>2</v>
          </cell>
          <cell r="E5214" t="str">
            <v>0005</v>
          </cell>
          <cell r="F5214" t="str">
            <v>0004</v>
          </cell>
          <cell r="G5214" t="str">
            <v>52103</v>
          </cell>
          <cell r="H5214" t="str">
            <v>付差旅费</v>
          </cell>
          <cell r="I5214" t="b">
            <v>1</v>
          </cell>
          <cell r="J5214">
            <v>7218</v>
          </cell>
          <cell r="K5214">
            <v>0</v>
          </cell>
          <cell r="L5214">
            <v>0</v>
          </cell>
        </row>
        <row r="5215">
          <cell r="A5215" t="str">
            <v>06</v>
          </cell>
          <cell r="B5215" t="str">
            <v>25</v>
          </cell>
          <cell r="C5215" t="str">
            <v>06</v>
          </cell>
          <cell r="D5215" t="str">
            <v>5</v>
          </cell>
          <cell r="E5215" t="str">
            <v>0028</v>
          </cell>
          <cell r="F5215" t="str">
            <v>0004</v>
          </cell>
          <cell r="G5215" t="str">
            <v>52103</v>
          </cell>
          <cell r="H5215" t="str">
            <v>结转本月管理费用</v>
          </cell>
          <cell r="I5215" t="b">
            <v>0</v>
          </cell>
          <cell r="J5215">
            <v>7218</v>
          </cell>
          <cell r="K5215">
            <v>0</v>
          </cell>
          <cell r="L5215">
            <v>0</v>
          </cell>
        </row>
        <row r="5216">
          <cell r="A5216" t="str">
            <v>07</v>
          </cell>
          <cell r="B5216" t="str">
            <v>05</v>
          </cell>
          <cell r="C5216" t="str">
            <v>07</v>
          </cell>
          <cell r="D5216" t="str">
            <v>2</v>
          </cell>
          <cell r="E5216" t="str">
            <v>0002</v>
          </cell>
          <cell r="F5216" t="str">
            <v>0001</v>
          </cell>
          <cell r="G5216" t="str">
            <v>52103</v>
          </cell>
          <cell r="H5216" t="str">
            <v>付差旅费</v>
          </cell>
          <cell r="I5216" t="b">
            <v>1</v>
          </cell>
          <cell r="J5216">
            <v>6474</v>
          </cell>
          <cell r="K5216">
            <v>0</v>
          </cell>
          <cell r="L5216">
            <v>0</v>
          </cell>
        </row>
        <row r="5217">
          <cell r="A5217" t="str">
            <v>07</v>
          </cell>
          <cell r="B5217" t="str">
            <v>29</v>
          </cell>
          <cell r="C5217" t="str">
            <v>07</v>
          </cell>
          <cell r="D5217" t="str">
            <v>5</v>
          </cell>
          <cell r="E5217" t="str">
            <v>0044</v>
          </cell>
          <cell r="F5217" t="str">
            <v>0004</v>
          </cell>
          <cell r="G5217" t="str">
            <v>52103</v>
          </cell>
          <cell r="H5217" t="str">
            <v>结转本月管理费用</v>
          </cell>
          <cell r="I5217" t="b">
            <v>0</v>
          </cell>
          <cell r="J5217">
            <v>6474</v>
          </cell>
          <cell r="K5217">
            <v>0</v>
          </cell>
          <cell r="L5217">
            <v>0</v>
          </cell>
        </row>
        <row r="5218">
          <cell r="A5218" t="str">
            <v>08</v>
          </cell>
          <cell r="B5218" t="str">
            <v>04</v>
          </cell>
          <cell r="C5218" t="str">
            <v>08</v>
          </cell>
          <cell r="D5218" t="str">
            <v>2</v>
          </cell>
          <cell r="E5218" t="str">
            <v>0005</v>
          </cell>
          <cell r="F5218" t="str">
            <v>0001</v>
          </cell>
          <cell r="G5218" t="str">
            <v>52103</v>
          </cell>
          <cell r="H5218" t="str">
            <v>付一部差旅费</v>
          </cell>
          <cell r="I5218" t="b">
            <v>1</v>
          </cell>
          <cell r="J5218">
            <v>2091</v>
          </cell>
          <cell r="K5218">
            <v>0</v>
          </cell>
          <cell r="L5218">
            <v>0</v>
          </cell>
        </row>
        <row r="5219">
          <cell r="A5219" t="str">
            <v>08</v>
          </cell>
          <cell r="B5219" t="str">
            <v>05</v>
          </cell>
          <cell r="C5219" t="str">
            <v>08</v>
          </cell>
          <cell r="D5219" t="str">
            <v>2</v>
          </cell>
          <cell r="E5219" t="str">
            <v>0008</v>
          </cell>
          <cell r="F5219" t="str">
            <v>0002</v>
          </cell>
          <cell r="G5219" t="str">
            <v>52103</v>
          </cell>
          <cell r="H5219" t="str">
            <v>付差旅费</v>
          </cell>
          <cell r="I5219" t="b">
            <v>1</v>
          </cell>
          <cell r="J5219">
            <v>1074.5</v>
          </cell>
          <cell r="K5219">
            <v>0</v>
          </cell>
          <cell r="L5219">
            <v>0</v>
          </cell>
        </row>
        <row r="5220">
          <cell r="A5220" t="str">
            <v>08</v>
          </cell>
          <cell r="B5220" t="str">
            <v>19</v>
          </cell>
          <cell r="C5220" t="str">
            <v>08</v>
          </cell>
          <cell r="D5220" t="str">
            <v>2</v>
          </cell>
          <cell r="E5220" t="str">
            <v>0019</v>
          </cell>
          <cell r="F5220" t="str">
            <v>0003</v>
          </cell>
          <cell r="G5220" t="str">
            <v>52103</v>
          </cell>
          <cell r="H5220" t="str">
            <v>付差旅费</v>
          </cell>
          <cell r="I5220" t="b">
            <v>1</v>
          </cell>
          <cell r="J5220">
            <v>80</v>
          </cell>
          <cell r="K5220">
            <v>0</v>
          </cell>
          <cell r="L5220">
            <v>0</v>
          </cell>
        </row>
        <row r="5221">
          <cell r="A5221" t="str">
            <v>08</v>
          </cell>
          <cell r="B5221" t="str">
            <v>19</v>
          </cell>
          <cell r="C5221" t="str">
            <v>08</v>
          </cell>
          <cell r="D5221" t="str">
            <v>2</v>
          </cell>
          <cell r="E5221" t="str">
            <v>0020</v>
          </cell>
          <cell r="F5221" t="str">
            <v>0001</v>
          </cell>
          <cell r="G5221" t="str">
            <v>52103</v>
          </cell>
          <cell r="H5221" t="str">
            <v>付差旅费</v>
          </cell>
          <cell r="I5221" t="b">
            <v>1</v>
          </cell>
          <cell r="J5221">
            <v>4316</v>
          </cell>
          <cell r="K5221">
            <v>0</v>
          </cell>
          <cell r="L5221">
            <v>0</v>
          </cell>
        </row>
        <row r="5222">
          <cell r="A5222" t="str">
            <v>08</v>
          </cell>
          <cell r="B5222" t="str">
            <v>04</v>
          </cell>
          <cell r="C5222" t="str">
            <v>08</v>
          </cell>
          <cell r="D5222" t="str">
            <v>4</v>
          </cell>
          <cell r="E5222" t="str">
            <v>0006</v>
          </cell>
          <cell r="F5222" t="str">
            <v>0001</v>
          </cell>
          <cell r="G5222" t="str">
            <v>52103</v>
          </cell>
          <cell r="H5222" t="str">
            <v>付房费</v>
          </cell>
          <cell r="I5222" t="b">
            <v>1</v>
          </cell>
          <cell r="J5222">
            <v>3329.33</v>
          </cell>
          <cell r="K5222">
            <v>0</v>
          </cell>
          <cell r="L5222">
            <v>0</v>
          </cell>
        </row>
        <row r="5223">
          <cell r="A5223" t="str">
            <v>08</v>
          </cell>
          <cell r="B5223" t="str">
            <v>31</v>
          </cell>
          <cell r="C5223" t="str">
            <v>08</v>
          </cell>
          <cell r="D5223" t="str">
            <v>5</v>
          </cell>
          <cell r="E5223" t="str">
            <v>0035</v>
          </cell>
          <cell r="F5223" t="str">
            <v>0004</v>
          </cell>
          <cell r="G5223" t="str">
            <v>52103</v>
          </cell>
          <cell r="H5223" t="str">
            <v>结转本月管理费用</v>
          </cell>
          <cell r="I5223" t="b">
            <v>0</v>
          </cell>
          <cell r="J5223">
            <v>10890.83</v>
          </cell>
          <cell r="K5223">
            <v>0</v>
          </cell>
          <cell r="L5223">
            <v>0</v>
          </cell>
        </row>
        <row r="5224">
          <cell r="A5224" t="str">
            <v>09</v>
          </cell>
          <cell r="B5224" t="str">
            <v>15</v>
          </cell>
          <cell r="C5224" t="str">
            <v>09</v>
          </cell>
          <cell r="D5224" t="str">
            <v>2</v>
          </cell>
          <cell r="E5224" t="str">
            <v>0011</v>
          </cell>
          <cell r="F5224" t="str">
            <v>0001</v>
          </cell>
          <cell r="G5224" t="str">
            <v>52103</v>
          </cell>
          <cell r="H5224" t="str">
            <v>付差旅费</v>
          </cell>
          <cell r="I5224" t="b">
            <v>1</v>
          </cell>
          <cell r="J5224">
            <v>6635</v>
          </cell>
          <cell r="K5224">
            <v>0</v>
          </cell>
          <cell r="L5224">
            <v>0</v>
          </cell>
        </row>
        <row r="5225">
          <cell r="A5225" t="str">
            <v>09</v>
          </cell>
          <cell r="B5225" t="str">
            <v>18</v>
          </cell>
          <cell r="C5225" t="str">
            <v>09</v>
          </cell>
          <cell r="D5225" t="str">
            <v>2</v>
          </cell>
          <cell r="E5225" t="str">
            <v>0012</v>
          </cell>
          <cell r="F5225" t="str">
            <v>0001</v>
          </cell>
          <cell r="G5225" t="str">
            <v>52103</v>
          </cell>
          <cell r="H5225" t="str">
            <v>付差旅费</v>
          </cell>
          <cell r="I5225" t="b">
            <v>1</v>
          </cell>
          <cell r="J5225">
            <v>4940</v>
          </cell>
          <cell r="K5225">
            <v>0</v>
          </cell>
          <cell r="L5225">
            <v>0</v>
          </cell>
        </row>
        <row r="5226">
          <cell r="A5226" t="str">
            <v>09</v>
          </cell>
          <cell r="B5226" t="str">
            <v>03</v>
          </cell>
          <cell r="C5226" t="str">
            <v>09</v>
          </cell>
          <cell r="D5226" t="str">
            <v>4</v>
          </cell>
          <cell r="E5226" t="str">
            <v>0004</v>
          </cell>
          <cell r="F5226" t="str">
            <v>0003</v>
          </cell>
          <cell r="G5226" t="str">
            <v>52103</v>
          </cell>
          <cell r="H5226" t="str">
            <v>付差旅费</v>
          </cell>
          <cell r="I5226" t="b">
            <v>1</v>
          </cell>
          <cell r="J5226">
            <v>5345</v>
          </cell>
          <cell r="K5226">
            <v>0</v>
          </cell>
          <cell r="L5226">
            <v>0</v>
          </cell>
        </row>
        <row r="5227">
          <cell r="A5227" t="str">
            <v>09</v>
          </cell>
          <cell r="B5227" t="str">
            <v>30</v>
          </cell>
          <cell r="C5227" t="str">
            <v>09</v>
          </cell>
          <cell r="D5227" t="str">
            <v>5</v>
          </cell>
          <cell r="E5227" t="str">
            <v>0040</v>
          </cell>
          <cell r="F5227" t="str">
            <v>0004</v>
          </cell>
          <cell r="G5227" t="str">
            <v>52103</v>
          </cell>
          <cell r="H5227" t="str">
            <v>结转本月管理费用</v>
          </cell>
          <cell r="I5227" t="b">
            <v>0</v>
          </cell>
          <cell r="J5227">
            <v>16920</v>
          </cell>
          <cell r="K5227">
            <v>0</v>
          </cell>
          <cell r="L5227">
            <v>0</v>
          </cell>
        </row>
        <row r="5228">
          <cell r="A5228" t="str">
            <v>10</v>
          </cell>
          <cell r="B5228" t="str">
            <v>10</v>
          </cell>
          <cell r="C5228" t="str">
            <v>10</v>
          </cell>
          <cell r="D5228" t="str">
            <v>2</v>
          </cell>
          <cell r="E5228" t="str">
            <v>0008</v>
          </cell>
          <cell r="F5228" t="str">
            <v>0001</v>
          </cell>
          <cell r="G5228" t="str">
            <v>52103</v>
          </cell>
          <cell r="H5228" t="str">
            <v>付差旅费</v>
          </cell>
          <cell r="I5228" t="b">
            <v>1</v>
          </cell>
          <cell r="J5228">
            <v>3454</v>
          </cell>
          <cell r="K5228">
            <v>0</v>
          </cell>
          <cell r="L5228">
            <v>0</v>
          </cell>
        </row>
        <row r="5229">
          <cell r="A5229" t="str">
            <v>10</v>
          </cell>
          <cell r="B5229" t="str">
            <v>21</v>
          </cell>
          <cell r="C5229" t="str">
            <v>10</v>
          </cell>
          <cell r="D5229" t="str">
            <v>2</v>
          </cell>
          <cell r="E5229" t="str">
            <v>0017</v>
          </cell>
          <cell r="F5229" t="str">
            <v>0002</v>
          </cell>
          <cell r="G5229" t="str">
            <v>52103</v>
          </cell>
          <cell r="H5229" t="str">
            <v>付差旅费</v>
          </cell>
          <cell r="I5229" t="b">
            <v>1</v>
          </cell>
          <cell r="J5229">
            <v>4932</v>
          </cell>
          <cell r="K5229">
            <v>0</v>
          </cell>
          <cell r="L5229">
            <v>0</v>
          </cell>
        </row>
        <row r="5230">
          <cell r="A5230" t="str">
            <v>10</v>
          </cell>
          <cell r="B5230" t="str">
            <v>03</v>
          </cell>
          <cell r="C5230" t="str">
            <v>10</v>
          </cell>
          <cell r="D5230" t="str">
            <v>4</v>
          </cell>
          <cell r="E5230" t="str">
            <v>0005</v>
          </cell>
          <cell r="F5230" t="str">
            <v>0002</v>
          </cell>
          <cell r="G5230" t="str">
            <v>52103</v>
          </cell>
          <cell r="H5230" t="str">
            <v>付房费</v>
          </cell>
          <cell r="I5230" t="b">
            <v>1</v>
          </cell>
          <cell r="J5230">
            <v>56338.6</v>
          </cell>
          <cell r="K5230">
            <v>0</v>
          </cell>
          <cell r="L5230">
            <v>0</v>
          </cell>
        </row>
        <row r="5231">
          <cell r="A5231" t="str">
            <v>10</v>
          </cell>
          <cell r="B5231" t="str">
            <v>10</v>
          </cell>
          <cell r="C5231" t="str">
            <v>10</v>
          </cell>
          <cell r="D5231" t="str">
            <v>4</v>
          </cell>
          <cell r="E5231" t="str">
            <v>0012</v>
          </cell>
          <cell r="F5231" t="str">
            <v>0001</v>
          </cell>
          <cell r="G5231" t="str">
            <v>52103</v>
          </cell>
          <cell r="H5231" t="str">
            <v>付差旅费</v>
          </cell>
          <cell r="I5231" t="b">
            <v>1</v>
          </cell>
          <cell r="J5231">
            <v>1353.16</v>
          </cell>
          <cell r="K5231">
            <v>0</v>
          </cell>
          <cell r="L5231">
            <v>0</v>
          </cell>
        </row>
        <row r="5232">
          <cell r="A5232" t="str">
            <v>10</v>
          </cell>
          <cell r="B5232" t="str">
            <v>24</v>
          </cell>
          <cell r="C5232" t="str">
            <v>10</v>
          </cell>
          <cell r="D5232" t="str">
            <v>5</v>
          </cell>
          <cell r="E5232" t="str">
            <v>0001</v>
          </cell>
          <cell r="F5232" t="str">
            <v>0002</v>
          </cell>
          <cell r="G5232" t="str">
            <v>52103</v>
          </cell>
          <cell r="H5232" t="str">
            <v>转报销差旅费</v>
          </cell>
          <cell r="I5232" t="b">
            <v>1</v>
          </cell>
          <cell r="J5232">
            <v>2493.5</v>
          </cell>
          <cell r="K5232">
            <v>0</v>
          </cell>
          <cell r="L5232">
            <v>0</v>
          </cell>
        </row>
        <row r="5233">
          <cell r="A5233" t="str">
            <v>10</v>
          </cell>
          <cell r="B5233" t="str">
            <v>24</v>
          </cell>
          <cell r="C5233" t="str">
            <v>10</v>
          </cell>
          <cell r="D5233" t="str">
            <v>5</v>
          </cell>
          <cell r="E5233" t="str">
            <v>0002</v>
          </cell>
          <cell r="F5233" t="str">
            <v>0001</v>
          </cell>
          <cell r="G5233" t="str">
            <v>52103</v>
          </cell>
          <cell r="H5233" t="str">
            <v>转报销差旅费</v>
          </cell>
          <cell r="I5233" t="b">
            <v>1</v>
          </cell>
          <cell r="J5233">
            <v>2739.2</v>
          </cell>
          <cell r="K5233">
            <v>0</v>
          </cell>
          <cell r="L5233">
            <v>0</v>
          </cell>
        </row>
        <row r="5234">
          <cell r="A5234" t="str">
            <v>10</v>
          </cell>
          <cell r="B5234" t="str">
            <v>30</v>
          </cell>
          <cell r="C5234" t="str">
            <v>10</v>
          </cell>
          <cell r="D5234" t="str">
            <v>5</v>
          </cell>
          <cell r="E5234" t="str">
            <v>0034</v>
          </cell>
          <cell r="F5234" t="str">
            <v>0004</v>
          </cell>
          <cell r="G5234" t="str">
            <v>52103</v>
          </cell>
          <cell r="H5234" t="str">
            <v>结转本月管理费用</v>
          </cell>
          <cell r="I5234" t="b">
            <v>0</v>
          </cell>
          <cell r="J5234">
            <v>71310.460000000006</v>
          </cell>
          <cell r="K5234">
            <v>0</v>
          </cell>
          <cell r="L5234">
            <v>0</v>
          </cell>
        </row>
        <row r="5235">
          <cell r="A5235" t="str">
            <v>11</v>
          </cell>
          <cell r="B5235" t="str">
            <v>10</v>
          </cell>
          <cell r="C5235" t="str">
            <v>11</v>
          </cell>
          <cell r="D5235" t="str">
            <v>2</v>
          </cell>
          <cell r="E5235" t="str">
            <v>0014</v>
          </cell>
          <cell r="F5235" t="str">
            <v>0001</v>
          </cell>
          <cell r="G5235" t="str">
            <v>52103</v>
          </cell>
          <cell r="H5235" t="str">
            <v>付差旅费</v>
          </cell>
          <cell r="I5235" t="b">
            <v>1</v>
          </cell>
          <cell r="J5235">
            <v>3223.3</v>
          </cell>
          <cell r="K5235">
            <v>0</v>
          </cell>
          <cell r="L5235">
            <v>0</v>
          </cell>
        </row>
        <row r="5236">
          <cell r="A5236" t="str">
            <v>11</v>
          </cell>
          <cell r="B5236" t="str">
            <v>12</v>
          </cell>
          <cell r="C5236" t="str">
            <v>11</v>
          </cell>
          <cell r="D5236" t="str">
            <v>2</v>
          </cell>
          <cell r="E5236" t="str">
            <v>0015</v>
          </cell>
          <cell r="F5236" t="str">
            <v>0001</v>
          </cell>
          <cell r="G5236" t="str">
            <v>52103</v>
          </cell>
          <cell r="H5236" t="str">
            <v>付差旅费</v>
          </cell>
          <cell r="I5236" t="b">
            <v>1</v>
          </cell>
          <cell r="J5236">
            <v>4419</v>
          </cell>
          <cell r="K5236">
            <v>0</v>
          </cell>
          <cell r="L5236">
            <v>0</v>
          </cell>
        </row>
        <row r="5237">
          <cell r="A5237" t="str">
            <v>11</v>
          </cell>
          <cell r="B5237" t="str">
            <v>15</v>
          </cell>
          <cell r="C5237" t="str">
            <v>11</v>
          </cell>
          <cell r="D5237" t="str">
            <v>2</v>
          </cell>
          <cell r="E5237" t="str">
            <v>0016</v>
          </cell>
          <cell r="F5237" t="str">
            <v>0001</v>
          </cell>
          <cell r="G5237" t="str">
            <v>52103</v>
          </cell>
          <cell r="H5237" t="str">
            <v>付于江等人差旅费</v>
          </cell>
          <cell r="I5237" t="b">
            <v>1</v>
          </cell>
          <cell r="J5237">
            <v>5782.5</v>
          </cell>
          <cell r="K5237">
            <v>0</v>
          </cell>
          <cell r="L5237">
            <v>0</v>
          </cell>
        </row>
        <row r="5238">
          <cell r="A5238" t="str">
            <v>11</v>
          </cell>
          <cell r="B5238" t="str">
            <v>15</v>
          </cell>
          <cell r="C5238" t="str">
            <v>11</v>
          </cell>
          <cell r="D5238" t="str">
            <v>2</v>
          </cell>
          <cell r="E5238" t="str">
            <v>0020</v>
          </cell>
          <cell r="F5238" t="str">
            <v>0001</v>
          </cell>
          <cell r="G5238" t="str">
            <v>52103</v>
          </cell>
          <cell r="H5238" t="str">
            <v>付差旅费</v>
          </cell>
          <cell r="I5238" t="b">
            <v>1</v>
          </cell>
          <cell r="J5238">
            <v>17980.39</v>
          </cell>
          <cell r="K5238">
            <v>0</v>
          </cell>
          <cell r="L5238">
            <v>0</v>
          </cell>
        </row>
        <row r="5239">
          <cell r="A5239" t="str">
            <v>11</v>
          </cell>
          <cell r="B5239" t="str">
            <v>03</v>
          </cell>
          <cell r="C5239" t="str">
            <v>11</v>
          </cell>
          <cell r="D5239" t="str">
            <v>4</v>
          </cell>
          <cell r="E5239" t="str">
            <v>0004</v>
          </cell>
          <cell r="F5239" t="str">
            <v>0004</v>
          </cell>
          <cell r="G5239" t="str">
            <v>52103</v>
          </cell>
          <cell r="H5239" t="str">
            <v>付机票款</v>
          </cell>
          <cell r="I5239" t="b">
            <v>1</v>
          </cell>
          <cell r="J5239">
            <v>54600</v>
          </cell>
          <cell r="K5239">
            <v>0</v>
          </cell>
          <cell r="L5239">
            <v>0</v>
          </cell>
        </row>
        <row r="5240">
          <cell r="A5240" t="str">
            <v>11</v>
          </cell>
          <cell r="B5240" t="str">
            <v>30</v>
          </cell>
          <cell r="C5240" t="str">
            <v>11</v>
          </cell>
          <cell r="D5240" t="str">
            <v>5</v>
          </cell>
          <cell r="E5240" t="str">
            <v>0037</v>
          </cell>
          <cell r="F5240" t="str">
            <v>0004</v>
          </cell>
          <cell r="G5240" t="str">
            <v>52103</v>
          </cell>
          <cell r="H5240" t="str">
            <v>结转本月管理费用</v>
          </cell>
          <cell r="I5240" t="b">
            <v>0</v>
          </cell>
          <cell r="J5240">
            <v>86005.19</v>
          </cell>
          <cell r="K5240">
            <v>0</v>
          </cell>
          <cell r="L5240">
            <v>0</v>
          </cell>
        </row>
        <row r="5241">
          <cell r="A5241" t="str">
            <v>12</v>
          </cell>
          <cell r="B5241" t="str">
            <v>08</v>
          </cell>
          <cell r="C5241" t="str">
            <v>12</v>
          </cell>
          <cell r="D5241" t="str">
            <v>2</v>
          </cell>
          <cell r="E5241" t="str">
            <v>0007</v>
          </cell>
          <cell r="F5241" t="str">
            <v>0001</v>
          </cell>
          <cell r="G5241" t="str">
            <v>52103</v>
          </cell>
          <cell r="H5241" t="str">
            <v>付差旅费</v>
          </cell>
          <cell r="I5241" t="b">
            <v>1</v>
          </cell>
          <cell r="J5241">
            <v>5382.3</v>
          </cell>
          <cell r="K5241">
            <v>0</v>
          </cell>
          <cell r="L5241">
            <v>0</v>
          </cell>
        </row>
        <row r="5242">
          <cell r="A5242" t="str">
            <v>12</v>
          </cell>
          <cell r="B5242" t="str">
            <v>22</v>
          </cell>
          <cell r="C5242" t="str">
            <v>12</v>
          </cell>
          <cell r="D5242" t="str">
            <v>2</v>
          </cell>
          <cell r="E5242" t="str">
            <v>0027</v>
          </cell>
          <cell r="F5242" t="str">
            <v>0003</v>
          </cell>
          <cell r="G5242" t="str">
            <v>52103</v>
          </cell>
          <cell r="H5242" t="str">
            <v>付车费</v>
          </cell>
          <cell r="I5242" t="b">
            <v>1</v>
          </cell>
          <cell r="J5242">
            <v>80</v>
          </cell>
          <cell r="K5242">
            <v>0</v>
          </cell>
          <cell r="L5242">
            <v>0</v>
          </cell>
        </row>
        <row r="5243">
          <cell r="A5243" t="str">
            <v>12</v>
          </cell>
          <cell r="B5243" t="str">
            <v>10</v>
          </cell>
          <cell r="C5243" t="str">
            <v>12</v>
          </cell>
          <cell r="D5243" t="str">
            <v>4</v>
          </cell>
          <cell r="E5243" t="str">
            <v>0020</v>
          </cell>
          <cell r="F5243" t="str">
            <v>0001</v>
          </cell>
          <cell r="G5243" t="str">
            <v>52103</v>
          </cell>
          <cell r="H5243" t="str">
            <v>付差旅费</v>
          </cell>
          <cell r="I5243" t="b">
            <v>1</v>
          </cell>
          <cell r="J5243">
            <v>6765.7</v>
          </cell>
          <cell r="K5243">
            <v>0</v>
          </cell>
          <cell r="L5243">
            <v>0</v>
          </cell>
        </row>
        <row r="5244">
          <cell r="A5244" t="str">
            <v>12</v>
          </cell>
          <cell r="B5244" t="str">
            <v>20</v>
          </cell>
          <cell r="C5244" t="str">
            <v>12</v>
          </cell>
          <cell r="D5244" t="str">
            <v>5</v>
          </cell>
          <cell r="E5244" t="str">
            <v>0008</v>
          </cell>
          <cell r="F5244" t="str">
            <v>0001</v>
          </cell>
          <cell r="G5244" t="str">
            <v>52103</v>
          </cell>
          <cell r="H5244" t="str">
            <v>转报销差旅费</v>
          </cell>
          <cell r="I5244" t="b">
            <v>1</v>
          </cell>
          <cell r="J5244">
            <v>710.5</v>
          </cell>
          <cell r="K5244">
            <v>0</v>
          </cell>
          <cell r="L5244">
            <v>0</v>
          </cell>
        </row>
        <row r="5245">
          <cell r="A5245" t="str">
            <v>12</v>
          </cell>
          <cell r="B5245" t="str">
            <v>22</v>
          </cell>
          <cell r="C5245" t="str">
            <v>12</v>
          </cell>
          <cell r="D5245" t="str">
            <v>5</v>
          </cell>
          <cell r="E5245" t="str">
            <v>0020</v>
          </cell>
          <cell r="F5245" t="str">
            <v>0004</v>
          </cell>
          <cell r="G5245" t="str">
            <v>52103</v>
          </cell>
          <cell r="H5245" t="str">
            <v>转报销差旅费</v>
          </cell>
          <cell r="I5245" t="b">
            <v>1</v>
          </cell>
          <cell r="J5245">
            <v>589.5</v>
          </cell>
          <cell r="K5245">
            <v>0</v>
          </cell>
          <cell r="L5245">
            <v>0</v>
          </cell>
        </row>
        <row r="5246">
          <cell r="A5246" t="str">
            <v>12</v>
          </cell>
          <cell r="B5246" t="str">
            <v>26</v>
          </cell>
          <cell r="C5246" t="str">
            <v>12</v>
          </cell>
          <cell r="D5246" t="str">
            <v>5</v>
          </cell>
          <cell r="E5246" t="str">
            <v>0032</v>
          </cell>
          <cell r="F5246" t="str">
            <v>0001</v>
          </cell>
          <cell r="G5246" t="str">
            <v>52103</v>
          </cell>
          <cell r="H5246" t="str">
            <v>转订出10月4-5#凭证上市费用</v>
          </cell>
          <cell r="I5246" t="b">
            <v>1</v>
          </cell>
          <cell r="J5246">
            <v>-56338.6</v>
          </cell>
          <cell r="K5246">
            <v>0</v>
          </cell>
          <cell r="L5246">
            <v>0</v>
          </cell>
        </row>
        <row r="5247">
          <cell r="A5247" t="str">
            <v>12</v>
          </cell>
          <cell r="B5247" t="str">
            <v>31</v>
          </cell>
          <cell r="C5247" t="str">
            <v>12</v>
          </cell>
          <cell r="D5247" t="str">
            <v>5</v>
          </cell>
          <cell r="E5247" t="str">
            <v>0103</v>
          </cell>
          <cell r="F5247" t="str">
            <v>0004</v>
          </cell>
          <cell r="G5247" t="str">
            <v>52103</v>
          </cell>
          <cell r="H5247" t="str">
            <v>结转本月管理费用</v>
          </cell>
          <cell r="I5247" t="b">
            <v>0</v>
          </cell>
          <cell r="J5247">
            <v>-42810.6</v>
          </cell>
          <cell r="K5247">
            <v>0</v>
          </cell>
          <cell r="L5247">
            <v>0</v>
          </cell>
        </row>
        <row r="5248">
          <cell r="A5248" t="str">
            <v>02</v>
          </cell>
          <cell r="B5248" t="str">
            <v>19</v>
          </cell>
          <cell r="C5248" t="str">
            <v>02</v>
          </cell>
          <cell r="D5248" t="str">
            <v>2</v>
          </cell>
          <cell r="E5248" t="str">
            <v>0031</v>
          </cell>
          <cell r="F5248" t="str">
            <v>0001</v>
          </cell>
          <cell r="G5248" t="str">
            <v>52104</v>
          </cell>
          <cell r="H5248" t="str">
            <v>购办公用品</v>
          </cell>
          <cell r="I5248" t="b">
            <v>1</v>
          </cell>
          <cell r="J5248">
            <v>5027</v>
          </cell>
          <cell r="K5248">
            <v>0</v>
          </cell>
          <cell r="L5248">
            <v>0</v>
          </cell>
        </row>
        <row r="5249">
          <cell r="A5249" t="str">
            <v>02</v>
          </cell>
          <cell r="B5249" t="str">
            <v>21</v>
          </cell>
          <cell r="C5249" t="str">
            <v>02</v>
          </cell>
          <cell r="D5249" t="str">
            <v>4</v>
          </cell>
          <cell r="E5249" t="str">
            <v>0032</v>
          </cell>
          <cell r="F5249" t="str">
            <v>0005</v>
          </cell>
          <cell r="G5249" t="str">
            <v>52104</v>
          </cell>
          <cell r="H5249" t="str">
            <v>付办公费</v>
          </cell>
          <cell r="I5249" t="b">
            <v>1</v>
          </cell>
          <cell r="J5249">
            <v>18140</v>
          </cell>
          <cell r="K5249">
            <v>0</v>
          </cell>
          <cell r="L5249">
            <v>0</v>
          </cell>
        </row>
        <row r="5250">
          <cell r="A5250" t="str">
            <v>02</v>
          </cell>
          <cell r="B5250" t="str">
            <v>29</v>
          </cell>
          <cell r="C5250" t="str">
            <v>02</v>
          </cell>
          <cell r="D5250" t="str">
            <v>5</v>
          </cell>
          <cell r="E5250" t="str">
            <v>0058</v>
          </cell>
          <cell r="F5250" t="str">
            <v>0005</v>
          </cell>
          <cell r="G5250" t="str">
            <v>52104</v>
          </cell>
          <cell r="H5250" t="str">
            <v>结转本月管理费用</v>
          </cell>
          <cell r="I5250" t="b">
            <v>0</v>
          </cell>
          <cell r="J5250">
            <v>23167</v>
          </cell>
          <cell r="K5250">
            <v>0</v>
          </cell>
          <cell r="L5250">
            <v>0</v>
          </cell>
        </row>
        <row r="5251">
          <cell r="A5251" t="str">
            <v>03</v>
          </cell>
          <cell r="B5251" t="str">
            <v>12</v>
          </cell>
          <cell r="C5251" t="str">
            <v>03</v>
          </cell>
          <cell r="D5251" t="str">
            <v>2</v>
          </cell>
          <cell r="E5251" t="str">
            <v>0010</v>
          </cell>
          <cell r="F5251" t="str">
            <v>0001</v>
          </cell>
          <cell r="G5251" t="str">
            <v>52104</v>
          </cell>
          <cell r="H5251" t="str">
            <v>付办公费</v>
          </cell>
          <cell r="I5251" t="b">
            <v>1</v>
          </cell>
          <cell r="J5251">
            <v>7360.8</v>
          </cell>
          <cell r="K5251">
            <v>0</v>
          </cell>
          <cell r="L5251">
            <v>0</v>
          </cell>
        </row>
        <row r="5252">
          <cell r="A5252" t="str">
            <v>03</v>
          </cell>
          <cell r="B5252" t="str">
            <v>30</v>
          </cell>
          <cell r="C5252" t="str">
            <v>03</v>
          </cell>
          <cell r="D5252" t="str">
            <v>5</v>
          </cell>
          <cell r="E5252" t="str">
            <v>0032</v>
          </cell>
          <cell r="F5252" t="str">
            <v>0005</v>
          </cell>
          <cell r="G5252" t="str">
            <v>52104</v>
          </cell>
          <cell r="H5252" t="str">
            <v>结转本月管理费用</v>
          </cell>
          <cell r="I5252" t="b">
            <v>0</v>
          </cell>
          <cell r="J5252">
            <v>7360.8</v>
          </cell>
          <cell r="K5252">
            <v>0</v>
          </cell>
          <cell r="L5252">
            <v>0</v>
          </cell>
        </row>
        <row r="5253">
          <cell r="A5253" t="str">
            <v>04</v>
          </cell>
          <cell r="B5253" t="str">
            <v>20</v>
          </cell>
          <cell r="C5253" t="str">
            <v>04</v>
          </cell>
          <cell r="D5253" t="str">
            <v>2</v>
          </cell>
          <cell r="E5253" t="str">
            <v>0009</v>
          </cell>
          <cell r="F5253" t="str">
            <v>0001</v>
          </cell>
          <cell r="G5253" t="str">
            <v>52104</v>
          </cell>
          <cell r="H5253" t="str">
            <v>付办公费</v>
          </cell>
          <cell r="I5253" t="b">
            <v>1</v>
          </cell>
          <cell r="J5253">
            <v>1896.6</v>
          </cell>
          <cell r="K5253">
            <v>0</v>
          </cell>
          <cell r="L5253">
            <v>0</v>
          </cell>
        </row>
        <row r="5254">
          <cell r="A5254" t="str">
            <v>04</v>
          </cell>
          <cell r="B5254" t="str">
            <v>29</v>
          </cell>
          <cell r="C5254" t="str">
            <v>04</v>
          </cell>
          <cell r="D5254" t="str">
            <v>5</v>
          </cell>
          <cell r="E5254" t="str">
            <v>0038</v>
          </cell>
          <cell r="F5254" t="str">
            <v>0005</v>
          </cell>
          <cell r="G5254" t="str">
            <v>52104</v>
          </cell>
          <cell r="H5254" t="str">
            <v>结转本月管理费用</v>
          </cell>
          <cell r="I5254" t="b">
            <v>0</v>
          </cell>
          <cell r="J5254">
            <v>1896.6</v>
          </cell>
          <cell r="K5254">
            <v>0</v>
          </cell>
          <cell r="L5254">
            <v>0</v>
          </cell>
        </row>
        <row r="5255">
          <cell r="A5255" t="str">
            <v>05</v>
          </cell>
          <cell r="B5255" t="str">
            <v>24</v>
          </cell>
          <cell r="C5255" t="str">
            <v>05</v>
          </cell>
          <cell r="D5255" t="str">
            <v>2</v>
          </cell>
          <cell r="E5255" t="str">
            <v>0017</v>
          </cell>
          <cell r="F5255" t="str">
            <v>0001</v>
          </cell>
          <cell r="G5255" t="str">
            <v>52104</v>
          </cell>
          <cell r="H5255" t="str">
            <v>付办公费</v>
          </cell>
          <cell r="I5255" t="b">
            <v>1</v>
          </cell>
          <cell r="J5255">
            <v>1433</v>
          </cell>
          <cell r="K5255">
            <v>0</v>
          </cell>
          <cell r="L5255">
            <v>0</v>
          </cell>
        </row>
        <row r="5256">
          <cell r="A5256" t="str">
            <v>05</v>
          </cell>
          <cell r="B5256" t="str">
            <v>24</v>
          </cell>
          <cell r="C5256" t="str">
            <v>05</v>
          </cell>
          <cell r="D5256" t="str">
            <v>2</v>
          </cell>
          <cell r="E5256" t="str">
            <v>0018</v>
          </cell>
          <cell r="F5256" t="str">
            <v>0002</v>
          </cell>
          <cell r="G5256" t="str">
            <v>52104</v>
          </cell>
          <cell r="H5256" t="str">
            <v>付办公费</v>
          </cell>
          <cell r="I5256" t="b">
            <v>1</v>
          </cell>
          <cell r="J5256">
            <v>2902.74</v>
          </cell>
          <cell r="K5256">
            <v>0</v>
          </cell>
          <cell r="L5256">
            <v>0</v>
          </cell>
        </row>
        <row r="5257">
          <cell r="A5257" t="str">
            <v>05</v>
          </cell>
          <cell r="B5257" t="str">
            <v>31</v>
          </cell>
          <cell r="C5257" t="str">
            <v>05</v>
          </cell>
          <cell r="D5257" t="str">
            <v>5</v>
          </cell>
          <cell r="E5257" t="str">
            <v>0039</v>
          </cell>
          <cell r="F5257" t="str">
            <v>0005</v>
          </cell>
          <cell r="G5257" t="str">
            <v>52104</v>
          </cell>
          <cell r="H5257" t="str">
            <v>结转本月管理费用</v>
          </cell>
          <cell r="I5257" t="b">
            <v>0</v>
          </cell>
          <cell r="J5257">
            <v>4335.74</v>
          </cell>
          <cell r="K5257">
            <v>0</v>
          </cell>
          <cell r="L5257">
            <v>0</v>
          </cell>
        </row>
        <row r="5258">
          <cell r="A5258" t="str">
            <v>07</v>
          </cell>
          <cell r="B5258" t="str">
            <v>20</v>
          </cell>
          <cell r="C5258" t="str">
            <v>07</v>
          </cell>
          <cell r="D5258" t="str">
            <v>2</v>
          </cell>
          <cell r="E5258" t="str">
            <v>0016</v>
          </cell>
          <cell r="F5258" t="str">
            <v>0002</v>
          </cell>
          <cell r="G5258" t="str">
            <v>52104</v>
          </cell>
          <cell r="H5258" t="str">
            <v>付办公费</v>
          </cell>
          <cell r="I5258" t="b">
            <v>1</v>
          </cell>
          <cell r="J5258">
            <v>7502</v>
          </cell>
          <cell r="K5258">
            <v>0</v>
          </cell>
          <cell r="L5258">
            <v>0</v>
          </cell>
        </row>
        <row r="5259">
          <cell r="A5259" t="str">
            <v>07</v>
          </cell>
          <cell r="B5259" t="str">
            <v>29</v>
          </cell>
          <cell r="C5259" t="str">
            <v>07</v>
          </cell>
          <cell r="D5259" t="str">
            <v>5</v>
          </cell>
          <cell r="E5259" t="str">
            <v>0044</v>
          </cell>
          <cell r="F5259" t="str">
            <v>0005</v>
          </cell>
          <cell r="G5259" t="str">
            <v>52104</v>
          </cell>
          <cell r="H5259" t="str">
            <v>结转本月管理费用</v>
          </cell>
          <cell r="I5259" t="b">
            <v>0</v>
          </cell>
          <cell r="J5259">
            <v>7502</v>
          </cell>
          <cell r="K5259">
            <v>0</v>
          </cell>
          <cell r="L5259">
            <v>0</v>
          </cell>
        </row>
        <row r="5260">
          <cell r="A5260" t="str">
            <v>08</v>
          </cell>
          <cell r="B5260" t="str">
            <v>05</v>
          </cell>
          <cell r="C5260" t="str">
            <v>08</v>
          </cell>
          <cell r="D5260" t="str">
            <v>2</v>
          </cell>
          <cell r="E5260" t="str">
            <v>0012</v>
          </cell>
          <cell r="F5260" t="str">
            <v>0001</v>
          </cell>
          <cell r="G5260" t="str">
            <v>52104</v>
          </cell>
          <cell r="H5260" t="str">
            <v>购办公用品</v>
          </cell>
          <cell r="I5260" t="b">
            <v>1</v>
          </cell>
          <cell r="J5260">
            <v>90</v>
          </cell>
          <cell r="K5260">
            <v>0</v>
          </cell>
          <cell r="L5260">
            <v>0</v>
          </cell>
        </row>
        <row r="5261">
          <cell r="A5261" t="str">
            <v>08</v>
          </cell>
          <cell r="B5261" t="str">
            <v>31</v>
          </cell>
          <cell r="C5261" t="str">
            <v>08</v>
          </cell>
          <cell r="D5261" t="str">
            <v>5</v>
          </cell>
          <cell r="E5261" t="str">
            <v>0035</v>
          </cell>
          <cell r="F5261" t="str">
            <v>0005</v>
          </cell>
          <cell r="G5261" t="str">
            <v>52104</v>
          </cell>
          <cell r="H5261" t="str">
            <v>结转本月管理费用</v>
          </cell>
          <cell r="I5261" t="b">
            <v>0</v>
          </cell>
          <cell r="J5261">
            <v>90</v>
          </cell>
          <cell r="K5261">
            <v>0</v>
          </cell>
          <cell r="L5261">
            <v>0</v>
          </cell>
        </row>
        <row r="5262">
          <cell r="A5262" t="str">
            <v>09</v>
          </cell>
          <cell r="B5262" t="str">
            <v>05</v>
          </cell>
          <cell r="C5262" t="str">
            <v>09</v>
          </cell>
          <cell r="D5262" t="str">
            <v>2</v>
          </cell>
          <cell r="E5262" t="str">
            <v>0004</v>
          </cell>
          <cell r="F5262" t="str">
            <v>0001</v>
          </cell>
          <cell r="G5262" t="str">
            <v>52104</v>
          </cell>
          <cell r="H5262" t="str">
            <v>付办公费</v>
          </cell>
          <cell r="I5262" t="b">
            <v>1</v>
          </cell>
          <cell r="J5262">
            <v>3216.3</v>
          </cell>
          <cell r="K5262">
            <v>0</v>
          </cell>
          <cell r="L5262">
            <v>0</v>
          </cell>
        </row>
        <row r="5263">
          <cell r="A5263" t="str">
            <v>09</v>
          </cell>
          <cell r="B5263" t="str">
            <v>30</v>
          </cell>
          <cell r="C5263" t="str">
            <v>09</v>
          </cell>
          <cell r="D5263" t="str">
            <v>5</v>
          </cell>
          <cell r="E5263" t="str">
            <v>0040</v>
          </cell>
          <cell r="F5263" t="str">
            <v>0005</v>
          </cell>
          <cell r="G5263" t="str">
            <v>52104</v>
          </cell>
          <cell r="H5263" t="str">
            <v>结转本月管理费用</v>
          </cell>
          <cell r="I5263" t="b">
            <v>0</v>
          </cell>
          <cell r="J5263">
            <v>3216.3</v>
          </cell>
          <cell r="K5263">
            <v>0</v>
          </cell>
          <cell r="L5263">
            <v>0</v>
          </cell>
        </row>
        <row r="5264">
          <cell r="A5264" t="str">
            <v>11</v>
          </cell>
          <cell r="B5264" t="str">
            <v>03</v>
          </cell>
          <cell r="C5264" t="str">
            <v>11</v>
          </cell>
          <cell r="D5264" t="str">
            <v>2</v>
          </cell>
          <cell r="E5264" t="str">
            <v>0003</v>
          </cell>
          <cell r="F5264" t="str">
            <v>0003</v>
          </cell>
          <cell r="G5264" t="str">
            <v>52104</v>
          </cell>
          <cell r="H5264" t="str">
            <v>付报刊费</v>
          </cell>
          <cell r="I5264" t="b">
            <v>1</v>
          </cell>
          <cell r="J5264">
            <v>2352.6</v>
          </cell>
          <cell r="K5264">
            <v>0</v>
          </cell>
          <cell r="L5264">
            <v>0</v>
          </cell>
        </row>
        <row r="5265">
          <cell r="A5265" t="str">
            <v>11</v>
          </cell>
          <cell r="B5265" t="str">
            <v>18</v>
          </cell>
          <cell r="C5265" t="str">
            <v>11</v>
          </cell>
          <cell r="D5265" t="str">
            <v>2</v>
          </cell>
          <cell r="E5265" t="str">
            <v>0022</v>
          </cell>
          <cell r="F5265" t="str">
            <v>0001</v>
          </cell>
          <cell r="G5265" t="str">
            <v>52104</v>
          </cell>
          <cell r="H5265" t="str">
            <v>购图书</v>
          </cell>
          <cell r="I5265" t="b">
            <v>1</v>
          </cell>
          <cell r="J5265">
            <v>2075.0500000000002</v>
          </cell>
          <cell r="K5265">
            <v>0</v>
          </cell>
          <cell r="L5265">
            <v>0</v>
          </cell>
        </row>
        <row r="5266">
          <cell r="A5266" t="str">
            <v>11</v>
          </cell>
          <cell r="B5266" t="str">
            <v>30</v>
          </cell>
          <cell r="C5266" t="str">
            <v>11</v>
          </cell>
          <cell r="D5266" t="str">
            <v>5</v>
          </cell>
          <cell r="E5266" t="str">
            <v>0037</v>
          </cell>
          <cell r="F5266" t="str">
            <v>0005</v>
          </cell>
          <cell r="G5266" t="str">
            <v>52104</v>
          </cell>
          <cell r="H5266" t="str">
            <v>结转本月管理费用</v>
          </cell>
          <cell r="I5266" t="b">
            <v>0</v>
          </cell>
          <cell r="J5266">
            <v>4427.6499999999996</v>
          </cell>
          <cell r="K5266">
            <v>0</v>
          </cell>
          <cell r="L5266">
            <v>0</v>
          </cell>
        </row>
        <row r="5267">
          <cell r="A5267" t="str">
            <v>12</v>
          </cell>
          <cell r="B5267" t="str">
            <v>10</v>
          </cell>
          <cell r="C5267" t="str">
            <v>12</v>
          </cell>
          <cell r="D5267" t="str">
            <v>2</v>
          </cell>
          <cell r="E5267" t="str">
            <v>0009</v>
          </cell>
          <cell r="F5267" t="str">
            <v>0001</v>
          </cell>
          <cell r="G5267" t="str">
            <v>52104</v>
          </cell>
          <cell r="H5267" t="str">
            <v>付办公费</v>
          </cell>
          <cell r="I5267" t="b">
            <v>1</v>
          </cell>
          <cell r="J5267">
            <v>6912.7</v>
          </cell>
          <cell r="K5267">
            <v>0</v>
          </cell>
          <cell r="L5267">
            <v>0</v>
          </cell>
        </row>
        <row r="5268">
          <cell r="A5268" t="str">
            <v>12</v>
          </cell>
          <cell r="B5268" t="str">
            <v>22</v>
          </cell>
          <cell r="C5268" t="str">
            <v>12</v>
          </cell>
          <cell r="D5268" t="str">
            <v>2</v>
          </cell>
          <cell r="E5268" t="str">
            <v>0027</v>
          </cell>
          <cell r="F5268" t="str">
            <v>0001</v>
          </cell>
          <cell r="G5268" t="str">
            <v>52104</v>
          </cell>
          <cell r="H5268" t="str">
            <v>付办公费</v>
          </cell>
          <cell r="I5268" t="b">
            <v>1</v>
          </cell>
          <cell r="J5268">
            <v>18</v>
          </cell>
          <cell r="K5268">
            <v>0</v>
          </cell>
          <cell r="L5268">
            <v>0</v>
          </cell>
        </row>
        <row r="5269">
          <cell r="A5269" t="str">
            <v>12</v>
          </cell>
          <cell r="B5269" t="str">
            <v>15</v>
          </cell>
          <cell r="C5269" t="str">
            <v>12</v>
          </cell>
          <cell r="D5269" t="str">
            <v>4</v>
          </cell>
          <cell r="E5269" t="str">
            <v>0024</v>
          </cell>
          <cell r="F5269" t="str">
            <v>0001</v>
          </cell>
          <cell r="G5269" t="str">
            <v>52104</v>
          </cell>
          <cell r="H5269" t="str">
            <v>订报纸</v>
          </cell>
          <cell r="I5269" t="b">
            <v>1</v>
          </cell>
          <cell r="J5269">
            <v>14094.92</v>
          </cell>
          <cell r="K5269">
            <v>0</v>
          </cell>
          <cell r="L5269">
            <v>0</v>
          </cell>
        </row>
        <row r="5270">
          <cell r="A5270" t="str">
            <v>12</v>
          </cell>
          <cell r="B5270" t="str">
            <v>20</v>
          </cell>
          <cell r="C5270" t="str">
            <v>12</v>
          </cell>
          <cell r="D5270" t="str">
            <v>5</v>
          </cell>
          <cell r="E5270" t="str">
            <v>0007</v>
          </cell>
          <cell r="F5270" t="str">
            <v>0001</v>
          </cell>
          <cell r="G5270" t="str">
            <v>52104</v>
          </cell>
          <cell r="H5270" t="str">
            <v>转购电话</v>
          </cell>
          <cell r="I5270" t="b">
            <v>1</v>
          </cell>
          <cell r="J5270">
            <v>340</v>
          </cell>
          <cell r="K5270">
            <v>0</v>
          </cell>
          <cell r="L5270">
            <v>0</v>
          </cell>
        </row>
        <row r="5271">
          <cell r="A5271" t="str">
            <v>12</v>
          </cell>
          <cell r="B5271" t="str">
            <v>31</v>
          </cell>
          <cell r="C5271" t="str">
            <v>12</v>
          </cell>
          <cell r="D5271" t="str">
            <v>5</v>
          </cell>
          <cell r="E5271" t="str">
            <v>0103</v>
          </cell>
          <cell r="F5271" t="str">
            <v>0005</v>
          </cell>
          <cell r="G5271" t="str">
            <v>52104</v>
          </cell>
          <cell r="H5271" t="str">
            <v>结转本月管理费用</v>
          </cell>
          <cell r="I5271" t="b">
            <v>0</v>
          </cell>
          <cell r="J5271">
            <v>21365.62</v>
          </cell>
          <cell r="K5271">
            <v>0</v>
          </cell>
          <cell r="L5271">
            <v>0</v>
          </cell>
        </row>
        <row r="5272">
          <cell r="A5272" t="str">
            <v>02</v>
          </cell>
          <cell r="B5272" t="str">
            <v>26</v>
          </cell>
          <cell r="C5272" t="str">
            <v>02</v>
          </cell>
          <cell r="D5272" t="str">
            <v>5</v>
          </cell>
          <cell r="E5272" t="str">
            <v>0021</v>
          </cell>
          <cell r="F5272" t="str">
            <v>0001</v>
          </cell>
          <cell r="G5272" t="str">
            <v>52105</v>
          </cell>
          <cell r="H5272" t="str">
            <v>转计提本月管理部门折旧费</v>
          </cell>
          <cell r="I5272" t="b">
            <v>1</v>
          </cell>
          <cell r="J5272">
            <v>54230.79</v>
          </cell>
          <cell r="K5272">
            <v>0</v>
          </cell>
          <cell r="L5272">
            <v>0</v>
          </cell>
        </row>
        <row r="5273">
          <cell r="A5273" t="str">
            <v>02</v>
          </cell>
          <cell r="B5273" t="str">
            <v>26</v>
          </cell>
          <cell r="C5273" t="str">
            <v>02</v>
          </cell>
          <cell r="D5273" t="str">
            <v>5</v>
          </cell>
          <cell r="E5273" t="str">
            <v>0021</v>
          </cell>
          <cell r="F5273" t="str">
            <v>0007</v>
          </cell>
          <cell r="G5273" t="str">
            <v>52105</v>
          </cell>
          <cell r="H5273" t="str">
            <v>转计提本月招待所折旧费</v>
          </cell>
          <cell r="I5273" t="b">
            <v>1</v>
          </cell>
          <cell r="J5273">
            <v>1658.15</v>
          </cell>
          <cell r="K5273">
            <v>0</v>
          </cell>
          <cell r="L5273">
            <v>0</v>
          </cell>
        </row>
        <row r="5274">
          <cell r="A5274" t="str">
            <v>02</v>
          </cell>
          <cell r="B5274" t="str">
            <v>29</v>
          </cell>
          <cell r="C5274" t="str">
            <v>02</v>
          </cell>
          <cell r="D5274" t="str">
            <v>5</v>
          </cell>
          <cell r="E5274" t="str">
            <v>0058</v>
          </cell>
          <cell r="F5274" t="str">
            <v>0006</v>
          </cell>
          <cell r="G5274" t="str">
            <v>52105</v>
          </cell>
          <cell r="H5274" t="str">
            <v>结转本月管理费用</v>
          </cell>
          <cell r="I5274" t="b">
            <v>0</v>
          </cell>
          <cell r="J5274">
            <v>55888.94</v>
          </cell>
          <cell r="K5274">
            <v>0</v>
          </cell>
          <cell r="L5274">
            <v>0</v>
          </cell>
        </row>
        <row r="5275">
          <cell r="A5275" t="str">
            <v>03</v>
          </cell>
          <cell r="B5275" t="str">
            <v>27</v>
          </cell>
          <cell r="C5275" t="str">
            <v>03</v>
          </cell>
          <cell r="D5275" t="str">
            <v>5</v>
          </cell>
          <cell r="E5275" t="str">
            <v>0004</v>
          </cell>
          <cell r="F5275" t="str">
            <v>0001</v>
          </cell>
          <cell r="G5275" t="str">
            <v>52105</v>
          </cell>
          <cell r="H5275" t="str">
            <v>转计提1.3月管理部门折旧费</v>
          </cell>
          <cell r="I5275" t="b">
            <v>1</v>
          </cell>
          <cell r="J5275">
            <v>108461.58</v>
          </cell>
          <cell r="K5275">
            <v>0</v>
          </cell>
          <cell r="L5275">
            <v>0</v>
          </cell>
        </row>
        <row r="5276">
          <cell r="A5276" t="str">
            <v>03</v>
          </cell>
          <cell r="B5276" t="str">
            <v>27</v>
          </cell>
          <cell r="C5276" t="str">
            <v>03</v>
          </cell>
          <cell r="D5276" t="str">
            <v>5</v>
          </cell>
          <cell r="E5276" t="str">
            <v>0004</v>
          </cell>
          <cell r="F5276" t="str">
            <v>0007</v>
          </cell>
          <cell r="G5276" t="str">
            <v>52105</v>
          </cell>
          <cell r="H5276" t="str">
            <v>转计提1.3月招待所折旧费</v>
          </cell>
          <cell r="I5276" t="b">
            <v>1</v>
          </cell>
          <cell r="J5276">
            <v>3316.3</v>
          </cell>
          <cell r="K5276">
            <v>0</v>
          </cell>
          <cell r="L5276">
            <v>0</v>
          </cell>
        </row>
        <row r="5277">
          <cell r="A5277" t="str">
            <v>03</v>
          </cell>
          <cell r="B5277" t="str">
            <v>30</v>
          </cell>
          <cell r="C5277" t="str">
            <v>03</v>
          </cell>
          <cell r="D5277" t="str">
            <v>5</v>
          </cell>
          <cell r="E5277" t="str">
            <v>0032</v>
          </cell>
          <cell r="F5277" t="str">
            <v>0006</v>
          </cell>
          <cell r="G5277" t="str">
            <v>52105</v>
          </cell>
          <cell r="H5277" t="str">
            <v>结转本月管理费用</v>
          </cell>
          <cell r="I5277" t="b">
            <v>0</v>
          </cell>
          <cell r="J5277">
            <v>111777.88</v>
          </cell>
          <cell r="K5277">
            <v>0</v>
          </cell>
          <cell r="L5277">
            <v>0</v>
          </cell>
        </row>
        <row r="5278">
          <cell r="A5278" t="str">
            <v>04</v>
          </cell>
          <cell r="B5278" t="str">
            <v>20</v>
          </cell>
          <cell r="C5278" t="str">
            <v>04</v>
          </cell>
          <cell r="D5278" t="str">
            <v>5</v>
          </cell>
          <cell r="E5278" t="str">
            <v>0001</v>
          </cell>
          <cell r="F5278" t="str">
            <v>0001</v>
          </cell>
          <cell r="G5278" t="str">
            <v>52105</v>
          </cell>
          <cell r="H5278" t="str">
            <v>转计提4月管理部门折旧费</v>
          </cell>
          <cell r="I5278" t="b">
            <v>1</v>
          </cell>
          <cell r="J5278">
            <v>54230.79</v>
          </cell>
          <cell r="K5278">
            <v>0</v>
          </cell>
          <cell r="L5278">
            <v>0</v>
          </cell>
        </row>
        <row r="5279">
          <cell r="A5279" t="str">
            <v>04</v>
          </cell>
          <cell r="B5279" t="str">
            <v>20</v>
          </cell>
          <cell r="C5279" t="str">
            <v>04</v>
          </cell>
          <cell r="D5279" t="str">
            <v>5</v>
          </cell>
          <cell r="E5279" t="str">
            <v>0001</v>
          </cell>
          <cell r="F5279" t="str">
            <v>0007</v>
          </cell>
          <cell r="G5279" t="str">
            <v>52105</v>
          </cell>
          <cell r="H5279" t="str">
            <v>转计提4月招待所折旧费</v>
          </cell>
          <cell r="I5279" t="b">
            <v>1</v>
          </cell>
          <cell r="J5279">
            <v>1658.15</v>
          </cell>
          <cell r="K5279">
            <v>0</v>
          </cell>
          <cell r="L5279">
            <v>0</v>
          </cell>
        </row>
        <row r="5280">
          <cell r="A5280" t="str">
            <v>04</v>
          </cell>
          <cell r="B5280" t="str">
            <v>29</v>
          </cell>
          <cell r="C5280" t="str">
            <v>04</v>
          </cell>
          <cell r="D5280" t="str">
            <v>5</v>
          </cell>
          <cell r="E5280" t="str">
            <v>0038</v>
          </cell>
          <cell r="F5280" t="str">
            <v>0006</v>
          </cell>
          <cell r="G5280" t="str">
            <v>52105</v>
          </cell>
          <cell r="H5280" t="str">
            <v>结转本月管理费用</v>
          </cell>
          <cell r="I5280" t="b">
            <v>0</v>
          </cell>
          <cell r="J5280">
            <v>55888.94</v>
          </cell>
          <cell r="K5280">
            <v>0</v>
          </cell>
          <cell r="L5280">
            <v>0</v>
          </cell>
        </row>
        <row r="5281">
          <cell r="A5281" t="str">
            <v>05</v>
          </cell>
          <cell r="B5281" t="str">
            <v>25</v>
          </cell>
          <cell r="C5281" t="str">
            <v>05</v>
          </cell>
          <cell r="D5281" t="str">
            <v>5</v>
          </cell>
          <cell r="E5281" t="str">
            <v>0011</v>
          </cell>
          <cell r="F5281" t="str">
            <v>0001</v>
          </cell>
          <cell r="G5281" t="str">
            <v>52105</v>
          </cell>
          <cell r="H5281" t="str">
            <v>转计提本月管理部门折旧费</v>
          </cell>
          <cell r="I5281" t="b">
            <v>1</v>
          </cell>
          <cell r="J5281">
            <v>54230.79</v>
          </cell>
          <cell r="K5281">
            <v>0</v>
          </cell>
          <cell r="L5281">
            <v>0</v>
          </cell>
        </row>
        <row r="5282">
          <cell r="A5282" t="str">
            <v>05</v>
          </cell>
          <cell r="B5282" t="str">
            <v>25</v>
          </cell>
          <cell r="C5282" t="str">
            <v>05</v>
          </cell>
          <cell r="D5282" t="str">
            <v>5</v>
          </cell>
          <cell r="E5282" t="str">
            <v>0011</v>
          </cell>
          <cell r="F5282" t="str">
            <v>0007</v>
          </cell>
          <cell r="G5282" t="str">
            <v>52105</v>
          </cell>
          <cell r="H5282" t="str">
            <v>转计提本月招待所折旧费</v>
          </cell>
          <cell r="I5282" t="b">
            <v>1</v>
          </cell>
          <cell r="J5282">
            <v>1658.15</v>
          </cell>
          <cell r="K5282">
            <v>0</v>
          </cell>
          <cell r="L5282">
            <v>0</v>
          </cell>
        </row>
        <row r="5283">
          <cell r="A5283" t="str">
            <v>05</v>
          </cell>
          <cell r="B5283" t="str">
            <v>31</v>
          </cell>
          <cell r="C5283" t="str">
            <v>05</v>
          </cell>
          <cell r="D5283" t="str">
            <v>5</v>
          </cell>
          <cell r="E5283" t="str">
            <v>0039</v>
          </cell>
          <cell r="F5283" t="str">
            <v>0006</v>
          </cell>
          <cell r="G5283" t="str">
            <v>52105</v>
          </cell>
          <cell r="H5283" t="str">
            <v>结转本月管理费用</v>
          </cell>
          <cell r="I5283" t="b">
            <v>0</v>
          </cell>
          <cell r="J5283">
            <v>55888.94</v>
          </cell>
          <cell r="K5283">
            <v>0</v>
          </cell>
          <cell r="L5283">
            <v>0</v>
          </cell>
        </row>
        <row r="5284">
          <cell r="A5284" t="str">
            <v>06</v>
          </cell>
          <cell r="B5284" t="str">
            <v>16</v>
          </cell>
          <cell r="C5284" t="str">
            <v>06</v>
          </cell>
          <cell r="D5284" t="str">
            <v>5</v>
          </cell>
          <cell r="E5284" t="str">
            <v>0005</v>
          </cell>
          <cell r="F5284" t="str">
            <v>0001</v>
          </cell>
          <cell r="G5284" t="str">
            <v>52105</v>
          </cell>
          <cell r="H5284" t="str">
            <v>转计提本月管理部门折旧费</v>
          </cell>
          <cell r="I5284" t="b">
            <v>1</v>
          </cell>
          <cell r="J5284">
            <v>54230.79</v>
          </cell>
          <cell r="K5284">
            <v>0</v>
          </cell>
          <cell r="L5284">
            <v>0</v>
          </cell>
        </row>
        <row r="5285">
          <cell r="A5285" t="str">
            <v>06</v>
          </cell>
          <cell r="B5285" t="str">
            <v>16</v>
          </cell>
          <cell r="C5285" t="str">
            <v>06</v>
          </cell>
          <cell r="D5285" t="str">
            <v>5</v>
          </cell>
          <cell r="E5285" t="str">
            <v>0005</v>
          </cell>
          <cell r="F5285" t="str">
            <v>0007</v>
          </cell>
          <cell r="G5285" t="str">
            <v>52105</v>
          </cell>
          <cell r="H5285" t="str">
            <v>转计提本月招待所折旧费</v>
          </cell>
          <cell r="I5285" t="b">
            <v>1</v>
          </cell>
          <cell r="J5285">
            <v>1658.15</v>
          </cell>
          <cell r="K5285">
            <v>0</v>
          </cell>
          <cell r="L5285">
            <v>0</v>
          </cell>
        </row>
        <row r="5286">
          <cell r="A5286" t="str">
            <v>06</v>
          </cell>
          <cell r="B5286" t="str">
            <v>25</v>
          </cell>
          <cell r="C5286" t="str">
            <v>06</v>
          </cell>
          <cell r="D5286" t="str">
            <v>5</v>
          </cell>
          <cell r="E5286" t="str">
            <v>0028</v>
          </cell>
          <cell r="F5286" t="str">
            <v>0005</v>
          </cell>
          <cell r="G5286" t="str">
            <v>52105</v>
          </cell>
          <cell r="H5286" t="str">
            <v>结转本月管理费用</v>
          </cell>
          <cell r="I5286" t="b">
            <v>0</v>
          </cell>
          <cell r="J5286">
            <v>55888.94</v>
          </cell>
          <cell r="K5286">
            <v>0</v>
          </cell>
          <cell r="L5286">
            <v>0</v>
          </cell>
        </row>
        <row r="5287">
          <cell r="A5287" t="str">
            <v>07</v>
          </cell>
          <cell r="B5287" t="str">
            <v>24</v>
          </cell>
          <cell r="C5287" t="str">
            <v>07</v>
          </cell>
          <cell r="D5287" t="str">
            <v>5</v>
          </cell>
          <cell r="E5287" t="str">
            <v>0009</v>
          </cell>
          <cell r="F5287" t="str">
            <v>0001</v>
          </cell>
          <cell r="G5287" t="str">
            <v>52105</v>
          </cell>
          <cell r="H5287" t="str">
            <v>转计提本月管理部门折旧费</v>
          </cell>
          <cell r="I5287" t="b">
            <v>1</v>
          </cell>
          <cell r="J5287">
            <v>54230.79</v>
          </cell>
          <cell r="K5287">
            <v>0</v>
          </cell>
          <cell r="L5287">
            <v>0</v>
          </cell>
        </row>
        <row r="5288">
          <cell r="A5288" t="str">
            <v>07</v>
          </cell>
          <cell r="B5288" t="str">
            <v>24</v>
          </cell>
          <cell r="C5288" t="str">
            <v>07</v>
          </cell>
          <cell r="D5288" t="str">
            <v>5</v>
          </cell>
          <cell r="E5288" t="str">
            <v>0009</v>
          </cell>
          <cell r="F5288" t="str">
            <v>0007</v>
          </cell>
          <cell r="G5288" t="str">
            <v>52105</v>
          </cell>
          <cell r="H5288" t="str">
            <v>转计提本月招待所折旧费</v>
          </cell>
          <cell r="I5288" t="b">
            <v>1</v>
          </cell>
          <cell r="J5288">
            <v>1658.15</v>
          </cell>
          <cell r="K5288">
            <v>0</v>
          </cell>
          <cell r="L5288">
            <v>0</v>
          </cell>
        </row>
        <row r="5289">
          <cell r="A5289" t="str">
            <v>07</v>
          </cell>
          <cell r="B5289" t="str">
            <v>29</v>
          </cell>
          <cell r="C5289" t="str">
            <v>07</v>
          </cell>
          <cell r="D5289" t="str">
            <v>5</v>
          </cell>
          <cell r="E5289" t="str">
            <v>0044</v>
          </cell>
          <cell r="F5289" t="str">
            <v>0006</v>
          </cell>
          <cell r="G5289" t="str">
            <v>52105</v>
          </cell>
          <cell r="H5289" t="str">
            <v>结转本月管理费用</v>
          </cell>
          <cell r="I5289" t="b">
            <v>0</v>
          </cell>
          <cell r="J5289">
            <v>55888.94</v>
          </cell>
          <cell r="K5289">
            <v>0</v>
          </cell>
          <cell r="L5289">
            <v>0</v>
          </cell>
        </row>
        <row r="5290">
          <cell r="A5290" t="str">
            <v>08</v>
          </cell>
          <cell r="B5290" t="str">
            <v>27</v>
          </cell>
          <cell r="C5290" t="str">
            <v>08</v>
          </cell>
          <cell r="D5290" t="str">
            <v>5</v>
          </cell>
          <cell r="E5290" t="str">
            <v>0015</v>
          </cell>
          <cell r="F5290" t="str">
            <v>0001</v>
          </cell>
          <cell r="G5290" t="str">
            <v>52105</v>
          </cell>
          <cell r="H5290" t="str">
            <v>转补提00年7月份少提折旧</v>
          </cell>
          <cell r="I5290" t="b">
            <v>1</v>
          </cell>
          <cell r="J5290">
            <v>16760.919999999998</v>
          </cell>
          <cell r="K5290">
            <v>0</v>
          </cell>
          <cell r="L5290">
            <v>0</v>
          </cell>
        </row>
        <row r="5291">
          <cell r="A5291" t="str">
            <v>08</v>
          </cell>
          <cell r="B5291" t="str">
            <v>27</v>
          </cell>
          <cell r="C5291" t="str">
            <v>08</v>
          </cell>
          <cell r="D5291" t="str">
            <v>5</v>
          </cell>
          <cell r="E5291" t="str">
            <v>0015</v>
          </cell>
          <cell r="F5291" t="str">
            <v>0002</v>
          </cell>
          <cell r="G5291" t="str">
            <v>52105</v>
          </cell>
          <cell r="H5291" t="str">
            <v>转计提本月折旧费</v>
          </cell>
          <cell r="I5291" t="b">
            <v>1</v>
          </cell>
          <cell r="J5291">
            <v>98951.2</v>
          </cell>
          <cell r="K5291">
            <v>0</v>
          </cell>
          <cell r="L5291">
            <v>0</v>
          </cell>
        </row>
        <row r="5292">
          <cell r="A5292" t="str">
            <v>08</v>
          </cell>
          <cell r="B5292" t="str">
            <v>31</v>
          </cell>
          <cell r="C5292" t="str">
            <v>08</v>
          </cell>
          <cell r="D5292" t="str">
            <v>5</v>
          </cell>
          <cell r="E5292" t="str">
            <v>0035</v>
          </cell>
          <cell r="F5292" t="str">
            <v>0006</v>
          </cell>
          <cell r="G5292" t="str">
            <v>52105</v>
          </cell>
          <cell r="H5292" t="str">
            <v>结转本月管理费用</v>
          </cell>
          <cell r="I5292" t="b">
            <v>0</v>
          </cell>
          <cell r="J5292">
            <v>115712.12</v>
          </cell>
          <cell r="K5292">
            <v>0</v>
          </cell>
          <cell r="L5292">
            <v>0</v>
          </cell>
        </row>
        <row r="5293">
          <cell r="A5293" t="str">
            <v>09</v>
          </cell>
          <cell r="B5293" t="str">
            <v>25</v>
          </cell>
          <cell r="C5293" t="str">
            <v>09</v>
          </cell>
          <cell r="D5293" t="str">
            <v>5</v>
          </cell>
          <cell r="E5293" t="str">
            <v>0019</v>
          </cell>
          <cell r="F5293" t="str">
            <v>0001</v>
          </cell>
          <cell r="G5293" t="str">
            <v>52105</v>
          </cell>
          <cell r="H5293" t="str">
            <v>转计提本月折旧费</v>
          </cell>
          <cell r="I5293" t="b">
            <v>1</v>
          </cell>
          <cell r="J5293">
            <v>98951.2</v>
          </cell>
          <cell r="K5293">
            <v>0</v>
          </cell>
          <cell r="L5293">
            <v>0</v>
          </cell>
        </row>
        <row r="5294">
          <cell r="A5294" t="str">
            <v>09</v>
          </cell>
          <cell r="B5294" t="str">
            <v>30</v>
          </cell>
          <cell r="C5294" t="str">
            <v>09</v>
          </cell>
          <cell r="D5294" t="str">
            <v>5</v>
          </cell>
          <cell r="E5294" t="str">
            <v>0040</v>
          </cell>
          <cell r="F5294" t="str">
            <v>0006</v>
          </cell>
          <cell r="G5294" t="str">
            <v>52105</v>
          </cell>
          <cell r="H5294" t="str">
            <v>结转本月管理费用</v>
          </cell>
          <cell r="I5294" t="b">
            <v>0</v>
          </cell>
          <cell r="J5294">
            <v>98951.2</v>
          </cell>
          <cell r="K5294">
            <v>0</v>
          </cell>
          <cell r="L5294">
            <v>0</v>
          </cell>
        </row>
        <row r="5295">
          <cell r="A5295" t="str">
            <v>10</v>
          </cell>
          <cell r="B5295" t="str">
            <v>24</v>
          </cell>
          <cell r="C5295" t="str">
            <v>10</v>
          </cell>
          <cell r="D5295" t="str">
            <v>5</v>
          </cell>
          <cell r="E5295" t="str">
            <v>0010</v>
          </cell>
          <cell r="F5295" t="str">
            <v>0001</v>
          </cell>
          <cell r="G5295" t="str">
            <v>52105</v>
          </cell>
          <cell r="H5295" t="str">
            <v>转计提本月折旧费</v>
          </cell>
          <cell r="I5295" t="b">
            <v>1</v>
          </cell>
          <cell r="J5295">
            <v>98724.11</v>
          </cell>
          <cell r="K5295">
            <v>0</v>
          </cell>
          <cell r="L5295">
            <v>0</v>
          </cell>
        </row>
        <row r="5296">
          <cell r="A5296" t="str">
            <v>10</v>
          </cell>
          <cell r="B5296" t="str">
            <v>30</v>
          </cell>
          <cell r="C5296" t="str">
            <v>10</v>
          </cell>
          <cell r="D5296" t="str">
            <v>5</v>
          </cell>
          <cell r="E5296" t="str">
            <v>0034</v>
          </cell>
          <cell r="F5296" t="str">
            <v>0005</v>
          </cell>
          <cell r="G5296" t="str">
            <v>52105</v>
          </cell>
          <cell r="H5296" t="str">
            <v>结转本月管理费用</v>
          </cell>
          <cell r="I5296" t="b">
            <v>0</v>
          </cell>
          <cell r="J5296">
            <v>98724.11</v>
          </cell>
          <cell r="K5296">
            <v>0</v>
          </cell>
          <cell r="L5296">
            <v>0</v>
          </cell>
        </row>
        <row r="5297">
          <cell r="A5297" t="str">
            <v>11</v>
          </cell>
          <cell r="B5297" t="str">
            <v>29</v>
          </cell>
          <cell r="C5297" t="str">
            <v>11</v>
          </cell>
          <cell r="D5297" t="str">
            <v>5</v>
          </cell>
          <cell r="E5297" t="str">
            <v>0024</v>
          </cell>
          <cell r="F5297" t="str">
            <v>0001</v>
          </cell>
          <cell r="G5297" t="str">
            <v>52105</v>
          </cell>
          <cell r="H5297" t="str">
            <v>转计提本月折旧费</v>
          </cell>
          <cell r="I5297" t="b">
            <v>1</v>
          </cell>
          <cell r="J5297">
            <v>98724.11</v>
          </cell>
          <cell r="K5297">
            <v>0</v>
          </cell>
          <cell r="L5297">
            <v>0</v>
          </cell>
        </row>
        <row r="5298">
          <cell r="A5298" t="str">
            <v>11</v>
          </cell>
          <cell r="B5298" t="str">
            <v>30</v>
          </cell>
          <cell r="C5298" t="str">
            <v>11</v>
          </cell>
          <cell r="D5298" t="str">
            <v>5</v>
          </cell>
          <cell r="E5298" t="str">
            <v>0037</v>
          </cell>
          <cell r="F5298" t="str">
            <v>0006</v>
          </cell>
          <cell r="G5298" t="str">
            <v>52105</v>
          </cell>
          <cell r="H5298" t="str">
            <v>结转本月管理费用</v>
          </cell>
          <cell r="I5298" t="b">
            <v>0</v>
          </cell>
          <cell r="J5298">
            <v>98724.11</v>
          </cell>
          <cell r="K5298">
            <v>0</v>
          </cell>
          <cell r="L5298">
            <v>0</v>
          </cell>
        </row>
        <row r="5299">
          <cell r="A5299" t="str">
            <v>12</v>
          </cell>
          <cell r="B5299" t="str">
            <v>25</v>
          </cell>
          <cell r="C5299" t="str">
            <v>12</v>
          </cell>
          <cell r="D5299" t="str">
            <v>5</v>
          </cell>
          <cell r="E5299" t="str">
            <v>0027</v>
          </cell>
          <cell r="F5299" t="str">
            <v>0001</v>
          </cell>
          <cell r="G5299" t="str">
            <v>52105</v>
          </cell>
          <cell r="H5299" t="str">
            <v>转计提本月折旧费</v>
          </cell>
          <cell r="I5299" t="b">
            <v>1</v>
          </cell>
          <cell r="J5299">
            <v>98786.99</v>
          </cell>
          <cell r="K5299">
            <v>0</v>
          </cell>
          <cell r="L5299">
            <v>0</v>
          </cell>
        </row>
        <row r="5300">
          <cell r="A5300" t="str">
            <v>12</v>
          </cell>
          <cell r="B5300" t="str">
            <v>31</v>
          </cell>
          <cell r="C5300" t="str">
            <v>12</v>
          </cell>
          <cell r="D5300" t="str">
            <v>5</v>
          </cell>
          <cell r="E5300" t="str">
            <v>0103</v>
          </cell>
          <cell r="F5300" t="str">
            <v>0006</v>
          </cell>
          <cell r="G5300" t="str">
            <v>52105</v>
          </cell>
          <cell r="H5300" t="str">
            <v>结转本月管理费用</v>
          </cell>
          <cell r="I5300" t="b">
            <v>0</v>
          </cell>
          <cell r="J5300">
            <v>98786.99</v>
          </cell>
          <cell r="K5300">
            <v>0</v>
          </cell>
          <cell r="L5300">
            <v>0</v>
          </cell>
        </row>
        <row r="5301">
          <cell r="A5301" t="str">
            <v>02</v>
          </cell>
          <cell r="B5301" t="str">
            <v>01</v>
          </cell>
          <cell r="C5301" t="str">
            <v>02</v>
          </cell>
          <cell r="D5301" t="str">
            <v>2</v>
          </cell>
          <cell r="E5301" t="str">
            <v>0004</v>
          </cell>
          <cell r="F5301" t="str">
            <v>0001</v>
          </cell>
          <cell r="G5301" t="str">
            <v>52106</v>
          </cell>
          <cell r="H5301" t="str">
            <v>付维修费</v>
          </cell>
          <cell r="I5301" t="b">
            <v>1</v>
          </cell>
          <cell r="J5301">
            <v>5953.1</v>
          </cell>
          <cell r="K5301">
            <v>0</v>
          </cell>
          <cell r="L5301">
            <v>0</v>
          </cell>
        </row>
        <row r="5302">
          <cell r="A5302" t="str">
            <v>02</v>
          </cell>
          <cell r="B5302" t="str">
            <v>08</v>
          </cell>
          <cell r="C5302" t="str">
            <v>02</v>
          </cell>
          <cell r="D5302" t="str">
            <v>4</v>
          </cell>
          <cell r="E5302" t="str">
            <v>0008</v>
          </cell>
          <cell r="F5302" t="str">
            <v>0001</v>
          </cell>
          <cell r="G5302" t="str">
            <v>52106</v>
          </cell>
          <cell r="H5302" t="str">
            <v>付工程款</v>
          </cell>
          <cell r="I5302" t="b">
            <v>1</v>
          </cell>
          <cell r="J5302">
            <v>25087.47</v>
          </cell>
          <cell r="K5302">
            <v>0</v>
          </cell>
          <cell r="L5302">
            <v>0</v>
          </cell>
        </row>
        <row r="5303">
          <cell r="A5303" t="str">
            <v>02</v>
          </cell>
          <cell r="B5303" t="str">
            <v>29</v>
          </cell>
          <cell r="C5303" t="str">
            <v>02</v>
          </cell>
          <cell r="D5303" t="str">
            <v>5</v>
          </cell>
          <cell r="E5303" t="str">
            <v>0058</v>
          </cell>
          <cell r="F5303" t="str">
            <v>0007</v>
          </cell>
          <cell r="G5303" t="str">
            <v>52106</v>
          </cell>
          <cell r="H5303" t="str">
            <v>结转本月管理费用</v>
          </cell>
          <cell r="I5303" t="b">
            <v>0</v>
          </cell>
          <cell r="J5303">
            <v>31040.57</v>
          </cell>
          <cell r="K5303">
            <v>0</v>
          </cell>
          <cell r="L5303">
            <v>0</v>
          </cell>
        </row>
        <row r="5304">
          <cell r="A5304" t="str">
            <v>03</v>
          </cell>
          <cell r="B5304" t="str">
            <v>12</v>
          </cell>
          <cell r="C5304" t="str">
            <v>03</v>
          </cell>
          <cell r="D5304" t="str">
            <v>2</v>
          </cell>
          <cell r="E5304" t="str">
            <v>0011</v>
          </cell>
          <cell r="F5304" t="str">
            <v>0001</v>
          </cell>
          <cell r="G5304" t="str">
            <v>52106</v>
          </cell>
          <cell r="H5304" t="str">
            <v>付修理费</v>
          </cell>
          <cell r="I5304" t="b">
            <v>1</v>
          </cell>
          <cell r="J5304">
            <v>820</v>
          </cell>
          <cell r="K5304">
            <v>0</v>
          </cell>
          <cell r="L5304">
            <v>0</v>
          </cell>
        </row>
        <row r="5305">
          <cell r="A5305" t="str">
            <v>03</v>
          </cell>
          <cell r="B5305" t="str">
            <v>30</v>
          </cell>
          <cell r="C5305" t="str">
            <v>03</v>
          </cell>
          <cell r="D5305" t="str">
            <v>5</v>
          </cell>
          <cell r="E5305" t="str">
            <v>0032</v>
          </cell>
          <cell r="F5305" t="str">
            <v>0007</v>
          </cell>
          <cell r="G5305" t="str">
            <v>52106</v>
          </cell>
          <cell r="H5305" t="str">
            <v>结转本月管理费用</v>
          </cell>
          <cell r="I5305" t="b">
            <v>0</v>
          </cell>
          <cell r="J5305">
            <v>820</v>
          </cell>
          <cell r="K5305">
            <v>0</v>
          </cell>
          <cell r="L5305">
            <v>0</v>
          </cell>
        </row>
        <row r="5306">
          <cell r="A5306" t="str">
            <v>06</v>
          </cell>
          <cell r="B5306" t="str">
            <v>20</v>
          </cell>
          <cell r="C5306" t="str">
            <v>06</v>
          </cell>
          <cell r="D5306" t="str">
            <v>4</v>
          </cell>
          <cell r="E5306" t="str">
            <v>0009</v>
          </cell>
          <cell r="F5306" t="str">
            <v>0001</v>
          </cell>
          <cell r="G5306" t="str">
            <v>52106</v>
          </cell>
          <cell r="H5306" t="str">
            <v>车库顶加门</v>
          </cell>
          <cell r="I5306" t="b">
            <v>1</v>
          </cell>
          <cell r="J5306">
            <v>56803.6</v>
          </cell>
          <cell r="K5306">
            <v>0</v>
          </cell>
          <cell r="L5306">
            <v>0</v>
          </cell>
        </row>
        <row r="5307">
          <cell r="A5307" t="str">
            <v>06</v>
          </cell>
          <cell r="B5307" t="str">
            <v>25</v>
          </cell>
          <cell r="C5307" t="str">
            <v>06</v>
          </cell>
          <cell r="D5307" t="str">
            <v>5</v>
          </cell>
          <cell r="E5307" t="str">
            <v>0028</v>
          </cell>
          <cell r="F5307" t="str">
            <v>0006</v>
          </cell>
          <cell r="G5307" t="str">
            <v>52106</v>
          </cell>
          <cell r="H5307" t="str">
            <v>结转本月管理费用</v>
          </cell>
          <cell r="I5307" t="b">
            <v>0</v>
          </cell>
          <cell r="J5307">
            <v>56803.6</v>
          </cell>
          <cell r="K5307">
            <v>0</v>
          </cell>
          <cell r="L5307">
            <v>0</v>
          </cell>
        </row>
        <row r="5308">
          <cell r="A5308" t="str">
            <v>10</v>
          </cell>
          <cell r="B5308" t="str">
            <v>12</v>
          </cell>
          <cell r="C5308" t="str">
            <v>10</v>
          </cell>
          <cell r="D5308" t="str">
            <v>2</v>
          </cell>
          <cell r="E5308" t="str">
            <v>0013</v>
          </cell>
          <cell r="F5308" t="str">
            <v>0002</v>
          </cell>
          <cell r="G5308" t="str">
            <v>52106</v>
          </cell>
          <cell r="H5308" t="str">
            <v>付修理费</v>
          </cell>
          <cell r="I5308" t="b">
            <v>1</v>
          </cell>
          <cell r="J5308">
            <v>705</v>
          </cell>
          <cell r="K5308">
            <v>0</v>
          </cell>
          <cell r="L5308">
            <v>0</v>
          </cell>
        </row>
        <row r="5309">
          <cell r="A5309" t="str">
            <v>10</v>
          </cell>
          <cell r="B5309" t="str">
            <v>30</v>
          </cell>
          <cell r="C5309" t="str">
            <v>10</v>
          </cell>
          <cell r="D5309" t="str">
            <v>5</v>
          </cell>
          <cell r="E5309" t="str">
            <v>0034</v>
          </cell>
          <cell r="F5309" t="str">
            <v>0006</v>
          </cell>
          <cell r="G5309" t="str">
            <v>52106</v>
          </cell>
          <cell r="H5309" t="str">
            <v>结转本月管理费用</v>
          </cell>
          <cell r="I5309" t="b">
            <v>0</v>
          </cell>
          <cell r="J5309">
            <v>705</v>
          </cell>
          <cell r="K5309">
            <v>0</v>
          </cell>
          <cell r="L5309">
            <v>0</v>
          </cell>
        </row>
        <row r="5310">
          <cell r="A5310" t="str">
            <v>11</v>
          </cell>
          <cell r="B5310" t="str">
            <v>03</v>
          </cell>
          <cell r="C5310" t="str">
            <v>11</v>
          </cell>
          <cell r="D5310" t="str">
            <v>2</v>
          </cell>
          <cell r="E5310" t="str">
            <v>0003</v>
          </cell>
          <cell r="F5310" t="str">
            <v>0001</v>
          </cell>
          <cell r="G5310" t="str">
            <v>52106</v>
          </cell>
          <cell r="H5310" t="str">
            <v>付维修费</v>
          </cell>
          <cell r="I5310" t="b">
            <v>1</v>
          </cell>
          <cell r="J5310">
            <v>710</v>
          </cell>
          <cell r="K5310">
            <v>0</v>
          </cell>
          <cell r="L5310">
            <v>0</v>
          </cell>
        </row>
        <row r="5311">
          <cell r="A5311" t="str">
            <v>11</v>
          </cell>
          <cell r="B5311" t="str">
            <v>30</v>
          </cell>
          <cell r="C5311" t="str">
            <v>11</v>
          </cell>
          <cell r="D5311" t="str">
            <v>5</v>
          </cell>
          <cell r="E5311" t="str">
            <v>0037</v>
          </cell>
          <cell r="F5311" t="str">
            <v>0007</v>
          </cell>
          <cell r="G5311" t="str">
            <v>52106</v>
          </cell>
          <cell r="H5311" t="str">
            <v>结转本月管理费用</v>
          </cell>
          <cell r="I5311" t="b">
            <v>0</v>
          </cell>
          <cell r="J5311">
            <v>710</v>
          </cell>
          <cell r="K5311">
            <v>0</v>
          </cell>
          <cell r="L5311">
            <v>0</v>
          </cell>
        </row>
        <row r="5312">
          <cell r="A5312" t="str">
            <v>02</v>
          </cell>
          <cell r="B5312" t="str">
            <v>22</v>
          </cell>
          <cell r="C5312" t="str">
            <v>02</v>
          </cell>
          <cell r="D5312" t="str">
            <v>5</v>
          </cell>
          <cell r="E5312" t="str">
            <v>0008</v>
          </cell>
          <cell r="F5312" t="str">
            <v>0001</v>
          </cell>
          <cell r="G5312" t="str">
            <v>52107</v>
          </cell>
          <cell r="H5312" t="str">
            <v>转调正98年8月5-25芮城材料</v>
          </cell>
          <cell r="I5312" t="b">
            <v>1</v>
          </cell>
          <cell r="J5312">
            <v>20.8</v>
          </cell>
          <cell r="K5312">
            <v>0</v>
          </cell>
          <cell r="L5312">
            <v>0</v>
          </cell>
        </row>
        <row r="5313">
          <cell r="A5313" t="str">
            <v>02</v>
          </cell>
          <cell r="B5313" t="str">
            <v>26</v>
          </cell>
          <cell r="C5313" t="str">
            <v>02</v>
          </cell>
          <cell r="D5313" t="str">
            <v>5</v>
          </cell>
          <cell r="E5313" t="str">
            <v>0019</v>
          </cell>
          <cell r="F5313" t="str">
            <v>0015</v>
          </cell>
          <cell r="G5313" t="str">
            <v>52107</v>
          </cell>
          <cell r="H5313" t="str">
            <v>转1-2月份管理部门耗材料款</v>
          </cell>
          <cell r="I5313" t="b">
            <v>1</v>
          </cell>
          <cell r="J5313">
            <v>2721.12</v>
          </cell>
          <cell r="K5313">
            <v>0</v>
          </cell>
          <cell r="L5313">
            <v>0</v>
          </cell>
        </row>
        <row r="5314">
          <cell r="A5314" t="str">
            <v>02</v>
          </cell>
          <cell r="B5314" t="str">
            <v>29</v>
          </cell>
          <cell r="C5314" t="str">
            <v>02</v>
          </cell>
          <cell r="D5314" t="str">
            <v>5</v>
          </cell>
          <cell r="E5314" t="str">
            <v>0058</v>
          </cell>
          <cell r="F5314" t="str">
            <v>0008</v>
          </cell>
          <cell r="G5314" t="str">
            <v>52107</v>
          </cell>
          <cell r="H5314" t="str">
            <v>结转本月管理费用</v>
          </cell>
          <cell r="I5314" t="b">
            <v>0</v>
          </cell>
          <cell r="J5314">
            <v>2741.92</v>
          </cell>
          <cell r="K5314">
            <v>0</v>
          </cell>
          <cell r="L5314">
            <v>0</v>
          </cell>
        </row>
        <row r="5315">
          <cell r="A5315" t="str">
            <v>04</v>
          </cell>
          <cell r="B5315" t="str">
            <v>20</v>
          </cell>
          <cell r="C5315" t="str">
            <v>04</v>
          </cell>
          <cell r="D5315" t="str">
            <v>5</v>
          </cell>
          <cell r="E5315" t="str">
            <v>0010</v>
          </cell>
          <cell r="F5315" t="str">
            <v>0013</v>
          </cell>
          <cell r="G5315" t="str">
            <v>52107</v>
          </cell>
          <cell r="H5315" t="str">
            <v>转3月份管理部门耗材料款</v>
          </cell>
          <cell r="I5315" t="b">
            <v>1</v>
          </cell>
          <cell r="J5315">
            <v>5444.58</v>
          </cell>
          <cell r="K5315">
            <v>0</v>
          </cell>
          <cell r="L5315">
            <v>0</v>
          </cell>
        </row>
        <row r="5316">
          <cell r="A5316" t="str">
            <v>04</v>
          </cell>
          <cell r="B5316" t="str">
            <v>29</v>
          </cell>
          <cell r="C5316" t="str">
            <v>04</v>
          </cell>
          <cell r="D5316" t="str">
            <v>5</v>
          </cell>
          <cell r="E5316" t="str">
            <v>0038</v>
          </cell>
          <cell r="F5316" t="str">
            <v>0007</v>
          </cell>
          <cell r="G5316" t="str">
            <v>52107</v>
          </cell>
          <cell r="H5316" t="str">
            <v>结转本月管理费用</v>
          </cell>
          <cell r="I5316" t="b">
            <v>0</v>
          </cell>
          <cell r="J5316">
            <v>5444.58</v>
          </cell>
          <cell r="K5316">
            <v>0</v>
          </cell>
          <cell r="L5316">
            <v>0</v>
          </cell>
        </row>
        <row r="5317">
          <cell r="A5317" t="str">
            <v>05</v>
          </cell>
          <cell r="B5317" t="str">
            <v>26</v>
          </cell>
          <cell r="C5317" t="str">
            <v>05</v>
          </cell>
          <cell r="D5317" t="str">
            <v>5</v>
          </cell>
          <cell r="E5317" t="str">
            <v>0015</v>
          </cell>
          <cell r="F5317" t="str">
            <v>0012</v>
          </cell>
          <cell r="G5317" t="str">
            <v>52107</v>
          </cell>
          <cell r="H5317" t="str">
            <v>转5月份管理部门耗材料款</v>
          </cell>
          <cell r="I5317" t="b">
            <v>1</v>
          </cell>
          <cell r="J5317">
            <v>4104.4399999999996</v>
          </cell>
          <cell r="K5317">
            <v>0</v>
          </cell>
          <cell r="L5317">
            <v>0</v>
          </cell>
        </row>
        <row r="5318">
          <cell r="A5318" t="str">
            <v>05</v>
          </cell>
          <cell r="B5318" t="str">
            <v>31</v>
          </cell>
          <cell r="C5318" t="str">
            <v>05</v>
          </cell>
          <cell r="D5318" t="str">
            <v>5</v>
          </cell>
          <cell r="E5318" t="str">
            <v>0039</v>
          </cell>
          <cell r="F5318" t="str">
            <v>0007</v>
          </cell>
          <cell r="G5318" t="str">
            <v>52107</v>
          </cell>
          <cell r="H5318" t="str">
            <v>结转本月管理费用</v>
          </cell>
          <cell r="I5318" t="b">
            <v>0</v>
          </cell>
          <cell r="J5318">
            <v>4104.4399999999996</v>
          </cell>
          <cell r="K5318">
            <v>0</v>
          </cell>
          <cell r="L5318">
            <v>0</v>
          </cell>
        </row>
        <row r="5319">
          <cell r="A5319" t="str">
            <v>07</v>
          </cell>
          <cell r="B5319" t="str">
            <v>27</v>
          </cell>
          <cell r="C5319" t="str">
            <v>07</v>
          </cell>
          <cell r="D5319" t="str">
            <v>5</v>
          </cell>
          <cell r="E5319" t="str">
            <v>0028</v>
          </cell>
          <cell r="F5319" t="str">
            <v>0012</v>
          </cell>
          <cell r="G5319" t="str">
            <v>52107</v>
          </cell>
          <cell r="H5319" t="str">
            <v>转5月份管理部门耗材料款</v>
          </cell>
          <cell r="I5319" t="b">
            <v>1</v>
          </cell>
          <cell r="J5319">
            <v>4277.46</v>
          </cell>
          <cell r="K5319">
            <v>0</v>
          </cell>
          <cell r="L5319">
            <v>0</v>
          </cell>
        </row>
        <row r="5320">
          <cell r="A5320" t="str">
            <v>07</v>
          </cell>
          <cell r="B5320" t="str">
            <v>29</v>
          </cell>
          <cell r="C5320" t="str">
            <v>07</v>
          </cell>
          <cell r="D5320" t="str">
            <v>5</v>
          </cell>
          <cell r="E5320" t="str">
            <v>0044</v>
          </cell>
          <cell r="F5320" t="str">
            <v>0007</v>
          </cell>
          <cell r="G5320" t="str">
            <v>52107</v>
          </cell>
          <cell r="H5320" t="str">
            <v>结转本月管理费用</v>
          </cell>
          <cell r="I5320" t="b">
            <v>0</v>
          </cell>
          <cell r="J5320">
            <v>4277.46</v>
          </cell>
          <cell r="K5320">
            <v>0</v>
          </cell>
          <cell r="L5320">
            <v>0</v>
          </cell>
        </row>
        <row r="5321">
          <cell r="A5321" t="str">
            <v>08</v>
          </cell>
          <cell r="B5321" t="str">
            <v>06</v>
          </cell>
          <cell r="C5321" t="str">
            <v>08</v>
          </cell>
          <cell r="D5321" t="str">
            <v>4</v>
          </cell>
          <cell r="E5321" t="str">
            <v>0010</v>
          </cell>
          <cell r="F5321" t="str">
            <v>0001</v>
          </cell>
          <cell r="G5321" t="str">
            <v>52107</v>
          </cell>
          <cell r="H5321" t="str">
            <v>购轮胎.柴油</v>
          </cell>
          <cell r="I5321" t="b">
            <v>1</v>
          </cell>
          <cell r="J5321">
            <v>19059.830000000002</v>
          </cell>
          <cell r="K5321">
            <v>0</v>
          </cell>
          <cell r="L5321">
            <v>0</v>
          </cell>
        </row>
        <row r="5322">
          <cell r="A5322" t="str">
            <v>08</v>
          </cell>
          <cell r="B5322" t="str">
            <v>27</v>
          </cell>
          <cell r="C5322" t="str">
            <v>08</v>
          </cell>
          <cell r="D5322" t="str">
            <v>5</v>
          </cell>
          <cell r="E5322" t="str">
            <v>0017</v>
          </cell>
          <cell r="F5322" t="str">
            <v>0002</v>
          </cell>
          <cell r="G5322" t="str">
            <v>52107</v>
          </cell>
          <cell r="H5322" t="str">
            <v>转本月管理部门耗材料</v>
          </cell>
          <cell r="I5322" t="b">
            <v>1</v>
          </cell>
          <cell r="J5322">
            <v>5971.26</v>
          </cell>
          <cell r="K5322">
            <v>0</v>
          </cell>
          <cell r="L5322">
            <v>0</v>
          </cell>
        </row>
        <row r="5323">
          <cell r="A5323" t="str">
            <v>08</v>
          </cell>
          <cell r="B5323" t="str">
            <v>31</v>
          </cell>
          <cell r="C5323" t="str">
            <v>08</v>
          </cell>
          <cell r="D5323" t="str">
            <v>5</v>
          </cell>
          <cell r="E5323" t="str">
            <v>0035</v>
          </cell>
          <cell r="F5323" t="str">
            <v>0007</v>
          </cell>
          <cell r="G5323" t="str">
            <v>52107</v>
          </cell>
          <cell r="H5323" t="str">
            <v>结转本月管理费用</v>
          </cell>
          <cell r="I5323" t="b">
            <v>0</v>
          </cell>
          <cell r="J5323">
            <v>25031.09</v>
          </cell>
          <cell r="K5323">
            <v>0</v>
          </cell>
          <cell r="L5323">
            <v>0</v>
          </cell>
        </row>
        <row r="5324">
          <cell r="A5324" t="str">
            <v>09</v>
          </cell>
          <cell r="B5324" t="str">
            <v>25</v>
          </cell>
          <cell r="C5324" t="str">
            <v>09</v>
          </cell>
          <cell r="D5324" t="str">
            <v>5</v>
          </cell>
          <cell r="E5324" t="str">
            <v>0016</v>
          </cell>
          <cell r="F5324" t="str">
            <v>0002</v>
          </cell>
          <cell r="G5324" t="str">
            <v>52107</v>
          </cell>
          <cell r="H5324" t="str">
            <v>转本月管理部门耗材料</v>
          </cell>
          <cell r="I5324" t="b">
            <v>1</v>
          </cell>
          <cell r="J5324">
            <v>1237.3800000000001</v>
          </cell>
          <cell r="K5324">
            <v>0</v>
          </cell>
          <cell r="L5324">
            <v>0</v>
          </cell>
        </row>
        <row r="5325">
          <cell r="A5325" t="str">
            <v>09</v>
          </cell>
          <cell r="B5325" t="str">
            <v>30</v>
          </cell>
          <cell r="C5325" t="str">
            <v>09</v>
          </cell>
          <cell r="D5325" t="str">
            <v>5</v>
          </cell>
          <cell r="E5325" t="str">
            <v>0040</v>
          </cell>
          <cell r="F5325" t="str">
            <v>0007</v>
          </cell>
          <cell r="G5325" t="str">
            <v>52107</v>
          </cell>
          <cell r="H5325" t="str">
            <v>结转本月管理费用</v>
          </cell>
          <cell r="I5325" t="b">
            <v>0</v>
          </cell>
          <cell r="J5325">
            <v>1237.3800000000001</v>
          </cell>
          <cell r="K5325">
            <v>0</v>
          </cell>
          <cell r="L5325">
            <v>0</v>
          </cell>
        </row>
        <row r="5326">
          <cell r="A5326" t="str">
            <v>10</v>
          </cell>
          <cell r="B5326" t="str">
            <v>12</v>
          </cell>
          <cell r="C5326" t="str">
            <v>10</v>
          </cell>
          <cell r="D5326" t="str">
            <v>2</v>
          </cell>
          <cell r="E5326" t="str">
            <v>0013</v>
          </cell>
          <cell r="F5326" t="str">
            <v>0003</v>
          </cell>
          <cell r="G5326" t="str">
            <v>52107</v>
          </cell>
          <cell r="H5326" t="str">
            <v>付物料消耗款</v>
          </cell>
          <cell r="I5326" t="b">
            <v>1</v>
          </cell>
          <cell r="J5326">
            <v>3013.8</v>
          </cell>
          <cell r="K5326">
            <v>0</v>
          </cell>
          <cell r="L5326">
            <v>0</v>
          </cell>
        </row>
        <row r="5327">
          <cell r="A5327" t="str">
            <v>10</v>
          </cell>
          <cell r="B5327" t="str">
            <v>24</v>
          </cell>
          <cell r="C5327" t="str">
            <v>10</v>
          </cell>
          <cell r="D5327" t="str">
            <v>5</v>
          </cell>
          <cell r="E5327" t="str">
            <v>0008</v>
          </cell>
          <cell r="F5327" t="str">
            <v>0001</v>
          </cell>
          <cell r="G5327" t="str">
            <v>52107</v>
          </cell>
          <cell r="H5327" t="str">
            <v>转本月管理部门耗材料</v>
          </cell>
          <cell r="I5327" t="b">
            <v>1</v>
          </cell>
          <cell r="J5327">
            <v>2353.29</v>
          </cell>
          <cell r="K5327">
            <v>0</v>
          </cell>
          <cell r="L5327">
            <v>0</v>
          </cell>
        </row>
        <row r="5328">
          <cell r="A5328" t="str">
            <v>10</v>
          </cell>
          <cell r="B5328" t="str">
            <v>30</v>
          </cell>
          <cell r="C5328" t="str">
            <v>10</v>
          </cell>
          <cell r="D5328" t="str">
            <v>5</v>
          </cell>
          <cell r="E5328" t="str">
            <v>0034</v>
          </cell>
          <cell r="F5328" t="str">
            <v>0007</v>
          </cell>
          <cell r="G5328" t="str">
            <v>52107</v>
          </cell>
          <cell r="H5328" t="str">
            <v>结转本月管理费用</v>
          </cell>
          <cell r="I5328" t="b">
            <v>0</v>
          </cell>
          <cell r="J5328">
            <v>5367.09</v>
          </cell>
          <cell r="K5328">
            <v>0</v>
          </cell>
          <cell r="L5328">
            <v>0</v>
          </cell>
        </row>
        <row r="5329">
          <cell r="A5329" t="str">
            <v>11</v>
          </cell>
          <cell r="B5329" t="str">
            <v>26</v>
          </cell>
          <cell r="C5329" t="str">
            <v>11</v>
          </cell>
          <cell r="D5329" t="str">
            <v>5</v>
          </cell>
          <cell r="E5329" t="str">
            <v>0021</v>
          </cell>
          <cell r="F5329" t="str">
            <v>0002</v>
          </cell>
          <cell r="G5329" t="str">
            <v>52107</v>
          </cell>
          <cell r="H5329" t="str">
            <v>转本月管理部门耗材料</v>
          </cell>
          <cell r="I5329" t="b">
            <v>1</v>
          </cell>
          <cell r="J5329">
            <v>2374.48</v>
          </cell>
          <cell r="K5329">
            <v>0</v>
          </cell>
          <cell r="L5329">
            <v>0</v>
          </cell>
        </row>
        <row r="5330">
          <cell r="A5330" t="str">
            <v>11</v>
          </cell>
          <cell r="B5330" t="str">
            <v>30</v>
          </cell>
          <cell r="C5330" t="str">
            <v>11</v>
          </cell>
          <cell r="D5330" t="str">
            <v>5</v>
          </cell>
          <cell r="E5330" t="str">
            <v>0037</v>
          </cell>
          <cell r="F5330" t="str">
            <v>0008</v>
          </cell>
          <cell r="G5330" t="str">
            <v>52107</v>
          </cell>
          <cell r="H5330" t="str">
            <v>结转本月管理费用</v>
          </cell>
          <cell r="I5330" t="b">
            <v>0</v>
          </cell>
          <cell r="J5330">
            <v>2374.48</v>
          </cell>
          <cell r="K5330">
            <v>0</v>
          </cell>
          <cell r="L5330">
            <v>0</v>
          </cell>
        </row>
        <row r="5331">
          <cell r="A5331" t="str">
            <v>12</v>
          </cell>
          <cell r="B5331" t="str">
            <v>10</v>
          </cell>
          <cell r="C5331" t="str">
            <v>12</v>
          </cell>
          <cell r="D5331" t="str">
            <v>2</v>
          </cell>
          <cell r="E5331" t="str">
            <v>0011</v>
          </cell>
          <cell r="F5331" t="str">
            <v>0002</v>
          </cell>
          <cell r="G5331" t="str">
            <v>52107</v>
          </cell>
          <cell r="H5331" t="str">
            <v>付油款.垃圾箱款</v>
          </cell>
          <cell r="I5331" t="b">
            <v>1</v>
          </cell>
          <cell r="J5331">
            <v>5912.83</v>
          </cell>
          <cell r="K5331">
            <v>0</v>
          </cell>
          <cell r="L5331">
            <v>0</v>
          </cell>
        </row>
        <row r="5332">
          <cell r="A5332" t="str">
            <v>12</v>
          </cell>
          <cell r="B5332" t="str">
            <v>27</v>
          </cell>
          <cell r="C5332" t="str">
            <v>12</v>
          </cell>
          <cell r="D5332" t="str">
            <v>5</v>
          </cell>
          <cell r="E5332" t="str">
            <v>0039</v>
          </cell>
          <cell r="F5332" t="str">
            <v>0001</v>
          </cell>
          <cell r="G5332" t="str">
            <v>52107</v>
          </cell>
          <cell r="H5332" t="str">
            <v>转本月管理部门耗材料</v>
          </cell>
          <cell r="I5332" t="b">
            <v>1</v>
          </cell>
          <cell r="J5332">
            <v>3190.84</v>
          </cell>
          <cell r="K5332">
            <v>0</v>
          </cell>
          <cell r="L5332">
            <v>0</v>
          </cell>
        </row>
        <row r="5333">
          <cell r="A5333" t="str">
            <v>12</v>
          </cell>
          <cell r="B5333" t="str">
            <v>31</v>
          </cell>
          <cell r="C5333" t="str">
            <v>12</v>
          </cell>
          <cell r="D5333" t="str">
            <v>5</v>
          </cell>
          <cell r="E5333" t="str">
            <v>0103</v>
          </cell>
          <cell r="F5333" t="str">
            <v>0007</v>
          </cell>
          <cell r="G5333" t="str">
            <v>52107</v>
          </cell>
          <cell r="H5333" t="str">
            <v>结转本月管理费用</v>
          </cell>
          <cell r="I5333" t="b">
            <v>0</v>
          </cell>
          <cell r="J5333">
            <v>9103.67</v>
          </cell>
          <cell r="K5333">
            <v>0</v>
          </cell>
          <cell r="L5333">
            <v>0</v>
          </cell>
        </row>
        <row r="5334">
          <cell r="A5334" t="str">
            <v>02</v>
          </cell>
          <cell r="B5334" t="str">
            <v>20</v>
          </cell>
          <cell r="C5334" t="str">
            <v>02</v>
          </cell>
          <cell r="D5334" t="str">
            <v>5</v>
          </cell>
          <cell r="E5334" t="str">
            <v>0002</v>
          </cell>
          <cell r="F5334" t="str">
            <v>0004</v>
          </cell>
          <cell r="G5334" t="str">
            <v>52108</v>
          </cell>
          <cell r="H5334" t="str">
            <v>计提99年12月份管理部门工会经费</v>
          </cell>
          <cell r="I5334" t="b">
            <v>1</v>
          </cell>
          <cell r="J5334">
            <v>832.61</v>
          </cell>
          <cell r="K5334">
            <v>0</v>
          </cell>
          <cell r="L5334">
            <v>0</v>
          </cell>
        </row>
        <row r="5335">
          <cell r="A5335" t="str">
            <v>02</v>
          </cell>
          <cell r="B5335" t="str">
            <v>20</v>
          </cell>
          <cell r="C5335" t="str">
            <v>02</v>
          </cell>
          <cell r="D5335" t="str">
            <v>5</v>
          </cell>
          <cell r="E5335" t="str">
            <v>0004</v>
          </cell>
          <cell r="F5335" t="str">
            <v>0004</v>
          </cell>
          <cell r="G5335" t="str">
            <v>52108</v>
          </cell>
          <cell r="H5335" t="str">
            <v>计提1月份管理部门工会经费</v>
          </cell>
          <cell r="I5335" t="b">
            <v>1</v>
          </cell>
          <cell r="J5335">
            <v>723.32</v>
          </cell>
          <cell r="K5335">
            <v>0</v>
          </cell>
          <cell r="L5335">
            <v>0</v>
          </cell>
        </row>
        <row r="5336">
          <cell r="A5336" t="str">
            <v>02</v>
          </cell>
          <cell r="B5336" t="str">
            <v>29</v>
          </cell>
          <cell r="C5336" t="str">
            <v>02</v>
          </cell>
          <cell r="D5336" t="str">
            <v>5</v>
          </cell>
          <cell r="E5336" t="str">
            <v>0058</v>
          </cell>
          <cell r="F5336" t="str">
            <v>0009</v>
          </cell>
          <cell r="G5336" t="str">
            <v>52108</v>
          </cell>
          <cell r="H5336" t="str">
            <v>结转本月管理费用</v>
          </cell>
          <cell r="I5336" t="b">
            <v>0</v>
          </cell>
          <cell r="J5336">
            <v>1555.93</v>
          </cell>
          <cell r="K5336">
            <v>0</v>
          </cell>
          <cell r="L5336">
            <v>0</v>
          </cell>
        </row>
        <row r="5337">
          <cell r="A5337" t="str">
            <v>03</v>
          </cell>
          <cell r="B5337" t="str">
            <v>27</v>
          </cell>
          <cell r="C5337" t="str">
            <v>03</v>
          </cell>
          <cell r="D5337" t="str">
            <v>5</v>
          </cell>
          <cell r="E5337" t="str">
            <v>0012</v>
          </cell>
          <cell r="F5337" t="str">
            <v>0003</v>
          </cell>
          <cell r="G5337" t="str">
            <v>52108</v>
          </cell>
          <cell r="H5337" t="str">
            <v>计提工会经费</v>
          </cell>
          <cell r="I5337" t="b">
            <v>1</v>
          </cell>
          <cell r="J5337">
            <v>564.22</v>
          </cell>
          <cell r="K5337">
            <v>0</v>
          </cell>
          <cell r="L5337">
            <v>0</v>
          </cell>
        </row>
        <row r="5338">
          <cell r="A5338" t="str">
            <v>03</v>
          </cell>
          <cell r="B5338" t="str">
            <v>27</v>
          </cell>
          <cell r="C5338" t="str">
            <v>03</v>
          </cell>
          <cell r="D5338" t="str">
            <v>5</v>
          </cell>
          <cell r="E5338" t="str">
            <v>0014</v>
          </cell>
          <cell r="F5338" t="str">
            <v>0004</v>
          </cell>
          <cell r="G5338" t="str">
            <v>52108</v>
          </cell>
          <cell r="H5338" t="str">
            <v>计提本月管理部门工会经费</v>
          </cell>
          <cell r="I5338" t="b">
            <v>1</v>
          </cell>
          <cell r="J5338">
            <v>641.83000000000004</v>
          </cell>
          <cell r="K5338">
            <v>0</v>
          </cell>
          <cell r="L5338">
            <v>0</v>
          </cell>
        </row>
        <row r="5339">
          <cell r="A5339" t="str">
            <v>03</v>
          </cell>
          <cell r="B5339" t="str">
            <v>30</v>
          </cell>
          <cell r="C5339" t="str">
            <v>03</v>
          </cell>
          <cell r="D5339" t="str">
            <v>5</v>
          </cell>
          <cell r="E5339" t="str">
            <v>0032</v>
          </cell>
          <cell r="F5339" t="str">
            <v>0008</v>
          </cell>
          <cell r="G5339" t="str">
            <v>52108</v>
          </cell>
          <cell r="H5339" t="str">
            <v>结转本月管理费用</v>
          </cell>
          <cell r="I5339" t="b">
            <v>0</v>
          </cell>
          <cell r="J5339">
            <v>1206.05</v>
          </cell>
          <cell r="K5339">
            <v>0</v>
          </cell>
          <cell r="L5339">
            <v>0</v>
          </cell>
        </row>
        <row r="5340">
          <cell r="A5340" t="str">
            <v>04</v>
          </cell>
          <cell r="B5340" t="str">
            <v>24</v>
          </cell>
          <cell r="C5340" t="str">
            <v>04</v>
          </cell>
          <cell r="D5340" t="str">
            <v>5</v>
          </cell>
          <cell r="E5340" t="str">
            <v>0015</v>
          </cell>
          <cell r="F5340" t="str">
            <v>0004</v>
          </cell>
          <cell r="G5340" t="str">
            <v>52108</v>
          </cell>
          <cell r="H5340" t="str">
            <v>计提本月管理部门工会经费</v>
          </cell>
          <cell r="I5340" t="b">
            <v>1</v>
          </cell>
          <cell r="J5340">
            <v>661.64</v>
          </cell>
          <cell r="K5340">
            <v>0</v>
          </cell>
          <cell r="L5340">
            <v>0</v>
          </cell>
        </row>
        <row r="5341">
          <cell r="A5341" t="str">
            <v>04</v>
          </cell>
          <cell r="B5341" t="str">
            <v>29</v>
          </cell>
          <cell r="C5341" t="str">
            <v>04</v>
          </cell>
          <cell r="D5341" t="str">
            <v>5</v>
          </cell>
          <cell r="E5341" t="str">
            <v>0038</v>
          </cell>
          <cell r="F5341" t="str">
            <v>0008</v>
          </cell>
          <cell r="G5341" t="str">
            <v>52108</v>
          </cell>
          <cell r="H5341" t="str">
            <v>结转本月管理费用</v>
          </cell>
          <cell r="I5341" t="b">
            <v>0</v>
          </cell>
          <cell r="J5341">
            <v>661.64</v>
          </cell>
          <cell r="K5341">
            <v>0</v>
          </cell>
          <cell r="L5341">
            <v>0</v>
          </cell>
        </row>
        <row r="5342">
          <cell r="A5342" t="str">
            <v>05</v>
          </cell>
          <cell r="B5342" t="str">
            <v>25</v>
          </cell>
          <cell r="C5342" t="str">
            <v>05</v>
          </cell>
          <cell r="D5342" t="str">
            <v>5</v>
          </cell>
          <cell r="E5342" t="str">
            <v>0002</v>
          </cell>
          <cell r="F5342" t="str">
            <v>0004</v>
          </cell>
          <cell r="G5342" t="str">
            <v>52108</v>
          </cell>
          <cell r="H5342" t="str">
            <v>计提本月管理部门工会经费</v>
          </cell>
          <cell r="I5342" t="b">
            <v>1</v>
          </cell>
          <cell r="J5342">
            <v>2228.62</v>
          </cell>
          <cell r="K5342">
            <v>0</v>
          </cell>
          <cell r="L5342">
            <v>0</v>
          </cell>
        </row>
        <row r="5343">
          <cell r="A5343" t="str">
            <v>05</v>
          </cell>
          <cell r="B5343" t="str">
            <v>31</v>
          </cell>
          <cell r="C5343" t="str">
            <v>05</v>
          </cell>
          <cell r="D5343" t="str">
            <v>5</v>
          </cell>
          <cell r="E5343" t="str">
            <v>0039</v>
          </cell>
          <cell r="F5343" t="str">
            <v>0008</v>
          </cell>
          <cell r="G5343" t="str">
            <v>52108</v>
          </cell>
          <cell r="H5343" t="str">
            <v>结转本月管理费用</v>
          </cell>
          <cell r="I5343" t="b">
            <v>0</v>
          </cell>
          <cell r="J5343">
            <v>2228.62</v>
          </cell>
          <cell r="K5343">
            <v>0</v>
          </cell>
          <cell r="L5343">
            <v>0</v>
          </cell>
        </row>
        <row r="5344">
          <cell r="A5344" t="str">
            <v>06</v>
          </cell>
          <cell r="B5344" t="str">
            <v>20</v>
          </cell>
          <cell r="C5344" t="str">
            <v>06</v>
          </cell>
          <cell r="D5344" t="str">
            <v>5</v>
          </cell>
          <cell r="E5344" t="str">
            <v>0008</v>
          </cell>
          <cell r="F5344" t="str">
            <v>0004</v>
          </cell>
          <cell r="G5344" t="str">
            <v>52108</v>
          </cell>
          <cell r="H5344" t="str">
            <v>计提本月管理部门工会经费</v>
          </cell>
          <cell r="I5344" t="b">
            <v>1</v>
          </cell>
          <cell r="J5344">
            <v>944.15</v>
          </cell>
          <cell r="K5344">
            <v>0</v>
          </cell>
          <cell r="L5344">
            <v>0</v>
          </cell>
        </row>
        <row r="5345">
          <cell r="A5345" t="str">
            <v>06</v>
          </cell>
          <cell r="B5345" t="str">
            <v>25</v>
          </cell>
          <cell r="C5345" t="str">
            <v>06</v>
          </cell>
          <cell r="D5345" t="str">
            <v>5</v>
          </cell>
          <cell r="E5345" t="str">
            <v>0028</v>
          </cell>
          <cell r="F5345" t="str">
            <v>0007</v>
          </cell>
          <cell r="G5345" t="str">
            <v>52108</v>
          </cell>
          <cell r="H5345" t="str">
            <v>结转本月管理费用</v>
          </cell>
          <cell r="I5345" t="b">
            <v>0</v>
          </cell>
          <cell r="J5345">
            <v>944.15</v>
          </cell>
          <cell r="K5345">
            <v>0</v>
          </cell>
          <cell r="L5345">
            <v>0</v>
          </cell>
        </row>
        <row r="5346">
          <cell r="A5346" t="str">
            <v>07</v>
          </cell>
          <cell r="B5346" t="str">
            <v>12</v>
          </cell>
          <cell r="C5346" t="str">
            <v>07</v>
          </cell>
          <cell r="D5346" t="str">
            <v>5</v>
          </cell>
          <cell r="E5346" t="str">
            <v>0002</v>
          </cell>
          <cell r="F5346" t="str">
            <v>0004</v>
          </cell>
          <cell r="G5346" t="str">
            <v>52108</v>
          </cell>
          <cell r="H5346" t="str">
            <v>计提管理部门工会经费</v>
          </cell>
          <cell r="I5346" t="b">
            <v>1</v>
          </cell>
          <cell r="J5346">
            <v>863.95</v>
          </cell>
          <cell r="K5346">
            <v>0</v>
          </cell>
          <cell r="L5346">
            <v>0</v>
          </cell>
        </row>
        <row r="5347">
          <cell r="A5347" t="str">
            <v>07</v>
          </cell>
          <cell r="B5347" t="str">
            <v>29</v>
          </cell>
          <cell r="C5347" t="str">
            <v>07</v>
          </cell>
          <cell r="D5347" t="str">
            <v>5</v>
          </cell>
          <cell r="E5347" t="str">
            <v>0044</v>
          </cell>
          <cell r="F5347" t="str">
            <v>0008</v>
          </cell>
          <cell r="G5347" t="str">
            <v>52108</v>
          </cell>
          <cell r="H5347" t="str">
            <v>结转本月管理费用</v>
          </cell>
          <cell r="I5347" t="b">
            <v>0</v>
          </cell>
          <cell r="J5347">
            <v>863.95</v>
          </cell>
          <cell r="K5347">
            <v>0</v>
          </cell>
          <cell r="L5347">
            <v>0</v>
          </cell>
        </row>
        <row r="5348">
          <cell r="A5348" t="str">
            <v>08</v>
          </cell>
          <cell r="B5348" t="str">
            <v>08</v>
          </cell>
          <cell r="C5348" t="str">
            <v>08</v>
          </cell>
          <cell r="D5348" t="str">
            <v>5</v>
          </cell>
          <cell r="E5348" t="str">
            <v>0002</v>
          </cell>
          <cell r="F5348" t="str">
            <v>0003</v>
          </cell>
          <cell r="G5348" t="str">
            <v>52108</v>
          </cell>
          <cell r="H5348" t="str">
            <v>计提本月管理部门工会经费</v>
          </cell>
          <cell r="I5348" t="b">
            <v>1</v>
          </cell>
          <cell r="J5348">
            <v>754.56</v>
          </cell>
          <cell r="K5348">
            <v>0</v>
          </cell>
          <cell r="L5348">
            <v>0</v>
          </cell>
        </row>
        <row r="5349">
          <cell r="A5349" t="str">
            <v>08</v>
          </cell>
          <cell r="B5349" t="str">
            <v>31</v>
          </cell>
          <cell r="C5349" t="str">
            <v>08</v>
          </cell>
          <cell r="D5349" t="str">
            <v>5</v>
          </cell>
          <cell r="E5349" t="str">
            <v>0035</v>
          </cell>
          <cell r="F5349" t="str">
            <v>0008</v>
          </cell>
          <cell r="G5349" t="str">
            <v>52108</v>
          </cell>
          <cell r="H5349" t="str">
            <v>结转本月管理费用</v>
          </cell>
          <cell r="I5349" t="b">
            <v>0</v>
          </cell>
          <cell r="J5349">
            <v>754.56</v>
          </cell>
          <cell r="K5349">
            <v>0</v>
          </cell>
          <cell r="L5349">
            <v>0</v>
          </cell>
        </row>
        <row r="5350">
          <cell r="A5350" t="str">
            <v>09</v>
          </cell>
          <cell r="B5350" t="str">
            <v>06</v>
          </cell>
          <cell r="C5350" t="str">
            <v>09</v>
          </cell>
          <cell r="D5350" t="str">
            <v>5</v>
          </cell>
          <cell r="E5350" t="str">
            <v>0002</v>
          </cell>
          <cell r="F5350" t="str">
            <v>0003</v>
          </cell>
          <cell r="G5350" t="str">
            <v>52108</v>
          </cell>
          <cell r="H5350" t="str">
            <v>计提本月工会经费</v>
          </cell>
          <cell r="I5350" t="b">
            <v>1</v>
          </cell>
          <cell r="J5350">
            <v>1189.47</v>
          </cell>
          <cell r="K5350">
            <v>0</v>
          </cell>
          <cell r="L5350">
            <v>0</v>
          </cell>
        </row>
        <row r="5351">
          <cell r="A5351" t="str">
            <v>09</v>
          </cell>
          <cell r="B5351" t="str">
            <v>30</v>
          </cell>
          <cell r="C5351" t="str">
            <v>09</v>
          </cell>
          <cell r="D5351" t="str">
            <v>5</v>
          </cell>
          <cell r="E5351" t="str">
            <v>0040</v>
          </cell>
          <cell r="F5351" t="str">
            <v>0008</v>
          </cell>
          <cell r="G5351" t="str">
            <v>52108</v>
          </cell>
          <cell r="H5351" t="str">
            <v>结转本月管理费用</v>
          </cell>
          <cell r="I5351" t="b">
            <v>0</v>
          </cell>
          <cell r="J5351">
            <v>1189.47</v>
          </cell>
          <cell r="K5351">
            <v>0</v>
          </cell>
          <cell r="L5351">
            <v>0</v>
          </cell>
        </row>
        <row r="5352">
          <cell r="A5352" t="str">
            <v>10</v>
          </cell>
          <cell r="B5352" t="str">
            <v>24</v>
          </cell>
          <cell r="C5352" t="str">
            <v>10</v>
          </cell>
          <cell r="D5352" t="str">
            <v>5</v>
          </cell>
          <cell r="E5352" t="str">
            <v>0013</v>
          </cell>
          <cell r="F5352" t="str">
            <v>0003</v>
          </cell>
          <cell r="G5352" t="str">
            <v>52108</v>
          </cell>
          <cell r="H5352" t="str">
            <v>提取本月工会经费</v>
          </cell>
          <cell r="I5352" t="b">
            <v>1</v>
          </cell>
          <cell r="J5352">
            <v>1257.42</v>
          </cell>
          <cell r="K5352">
            <v>0</v>
          </cell>
          <cell r="L5352">
            <v>0</v>
          </cell>
        </row>
        <row r="5353">
          <cell r="A5353" t="str">
            <v>10</v>
          </cell>
          <cell r="B5353" t="str">
            <v>30</v>
          </cell>
          <cell r="C5353" t="str">
            <v>10</v>
          </cell>
          <cell r="D5353" t="str">
            <v>5</v>
          </cell>
          <cell r="E5353" t="str">
            <v>0034</v>
          </cell>
          <cell r="F5353" t="str">
            <v>0008</v>
          </cell>
          <cell r="G5353" t="str">
            <v>52108</v>
          </cell>
          <cell r="H5353" t="str">
            <v>结转本月管理费用</v>
          </cell>
          <cell r="I5353" t="b">
            <v>0</v>
          </cell>
          <cell r="J5353">
            <v>1257.42</v>
          </cell>
          <cell r="K5353">
            <v>0</v>
          </cell>
          <cell r="L5353">
            <v>0</v>
          </cell>
        </row>
        <row r="5354">
          <cell r="A5354" t="str">
            <v>11</v>
          </cell>
          <cell r="B5354" t="str">
            <v>18</v>
          </cell>
          <cell r="C5354" t="str">
            <v>11</v>
          </cell>
          <cell r="D5354" t="str">
            <v>5</v>
          </cell>
          <cell r="E5354" t="str">
            <v>0015</v>
          </cell>
          <cell r="F5354" t="str">
            <v>0003</v>
          </cell>
          <cell r="G5354" t="str">
            <v>52108</v>
          </cell>
          <cell r="H5354" t="str">
            <v>提取本月工会经费</v>
          </cell>
          <cell r="I5354" t="b">
            <v>1</v>
          </cell>
          <cell r="J5354">
            <v>1260.47</v>
          </cell>
          <cell r="K5354">
            <v>0</v>
          </cell>
          <cell r="L5354">
            <v>0</v>
          </cell>
        </row>
        <row r="5355">
          <cell r="A5355" t="str">
            <v>11</v>
          </cell>
          <cell r="B5355" t="str">
            <v>30</v>
          </cell>
          <cell r="C5355" t="str">
            <v>11</v>
          </cell>
          <cell r="D5355" t="str">
            <v>5</v>
          </cell>
          <cell r="E5355" t="str">
            <v>0037</v>
          </cell>
          <cell r="F5355" t="str">
            <v>0009</v>
          </cell>
          <cell r="G5355" t="str">
            <v>52108</v>
          </cell>
          <cell r="H5355" t="str">
            <v>结转本月管理费用</v>
          </cell>
          <cell r="I5355" t="b">
            <v>0</v>
          </cell>
          <cell r="J5355">
            <v>1260.47</v>
          </cell>
          <cell r="K5355">
            <v>0</v>
          </cell>
          <cell r="L5355">
            <v>0</v>
          </cell>
        </row>
        <row r="5356">
          <cell r="A5356" t="str">
            <v>12</v>
          </cell>
          <cell r="B5356" t="str">
            <v>08</v>
          </cell>
          <cell r="C5356" t="str">
            <v>12</v>
          </cell>
          <cell r="D5356" t="str">
            <v>5</v>
          </cell>
          <cell r="E5356" t="str">
            <v>0002</v>
          </cell>
          <cell r="F5356" t="str">
            <v>0003</v>
          </cell>
          <cell r="G5356" t="str">
            <v>52108</v>
          </cell>
          <cell r="H5356" t="str">
            <v>提取工会经费</v>
          </cell>
          <cell r="I5356" t="b">
            <v>1</v>
          </cell>
          <cell r="J5356">
            <v>1278.07</v>
          </cell>
          <cell r="K5356">
            <v>0</v>
          </cell>
          <cell r="L5356">
            <v>0</v>
          </cell>
        </row>
        <row r="5357">
          <cell r="A5357" t="str">
            <v>12</v>
          </cell>
          <cell r="B5357" t="str">
            <v>30</v>
          </cell>
          <cell r="C5357" t="str">
            <v>12</v>
          </cell>
          <cell r="D5357" t="str">
            <v>5</v>
          </cell>
          <cell r="E5357" t="str">
            <v>0090</v>
          </cell>
          <cell r="F5357" t="str">
            <v>0003</v>
          </cell>
          <cell r="G5357" t="str">
            <v>52108</v>
          </cell>
          <cell r="H5357" t="str">
            <v>提取工会经费</v>
          </cell>
          <cell r="I5357" t="b">
            <v>1</v>
          </cell>
          <cell r="J5357">
            <v>820.37</v>
          </cell>
          <cell r="K5357">
            <v>0</v>
          </cell>
          <cell r="L5357">
            <v>0</v>
          </cell>
        </row>
        <row r="5358">
          <cell r="A5358" t="str">
            <v>12</v>
          </cell>
          <cell r="B5358" t="str">
            <v>31</v>
          </cell>
          <cell r="C5358" t="str">
            <v>12</v>
          </cell>
          <cell r="D5358" t="str">
            <v>5</v>
          </cell>
          <cell r="E5358" t="str">
            <v>0103</v>
          </cell>
          <cell r="F5358" t="str">
            <v>0008</v>
          </cell>
          <cell r="G5358" t="str">
            <v>52108</v>
          </cell>
          <cell r="H5358" t="str">
            <v>结转本月管理费用</v>
          </cell>
          <cell r="I5358" t="b">
            <v>0</v>
          </cell>
          <cell r="J5358">
            <v>2098.44</v>
          </cell>
          <cell r="K5358">
            <v>0</v>
          </cell>
          <cell r="L5358">
            <v>0</v>
          </cell>
        </row>
        <row r="5359">
          <cell r="A5359" t="str">
            <v>02</v>
          </cell>
          <cell r="B5359" t="str">
            <v>20</v>
          </cell>
          <cell r="C5359" t="str">
            <v>02</v>
          </cell>
          <cell r="D5359" t="str">
            <v>5</v>
          </cell>
          <cell r="E5359" t="str">
            <v>0002</v>
          </cell>
          <cell r="F5359" t="str">
            <v>0007</v>
          </cell>
          <cell r="G5359" t="str">
            <v>52109</v>
          </cell>
          <cell r="H5359" t="str">
            <v>计提99年12月份管理部门职教费</v>
          </cell>
          <cell r="I5359" t="b">
            <v>1</v>
          </cell>
          <cell r="J5359">
            <v>624.46</v>
          </cell>
          <cell r="K5359">
            <v>0</v>
          </cell>
          <cell r="L5359">
            <v>0</v>
          </cell>
        </row>
        <row r="5360">
          <cell r="A5360" t="str">
            <v>02</v>
          </cell>
          <cell r="B5360" t="str">
            <v>20</v>
          </cell>
          <cell r="C5360" t="str">
            <v>02</v>
          </cell>
          <cell r="D5360" t="str">
            <v>5</v>
          </cell>
          <cell r="E5360" t="str">
            <v>0004</v>
          </cell>
          <cell r="F5360" t="str">
            <v>0007</v>
          </cell>
          <cell r="G5360" t="str">
            <v>52109</v>
          </cell>
          <cell r="H5360" t="str">
            <v>计提1月份管理部门职教费</v>
          </cell>
          <cell r="I5360" t="b">
            <v>1</v>
          </cell>
          <cell r="J5360">
            <v>542.49</v>
          </cell>
          <cell r="K5360">
            <v>0</v>
          </cell>
          <cell r="L5360">
            <v>0</v>
          </cell>
        </row>
        <row r="5361">
          <cell r="A5361" t="str">
            <v>02</v>
          </cell>
          <cell r="B5361" t="str">
            <v>29</v>
          </cell>
          <cell r="C5361" t="str">
            <v>02</v>
          </cell>
          <cell r="D5361" t="str">
            <v>5</v>
          </cell>
          <cell r="E5361" t="str">
            <v>0058</v>
          </cell>
          <cell r="F5361" t="str">
            <v>0010</v>
          </cell>
          <cell r="G5361" t="str">
            <v>52109</v>
          </cell>
          <cell r="H5361" t="str">
            <v>结转本月管理费用</v>
          </cell>
          <cell r="I5361" t="b">
            <v>0</v>
          </cell>
          <cell r="J5361">
            <v>1166.95</v>
          </cell>
          <cell r="K5361">
            <v>0</v>
          </cell>
          <cell r="L5361">
            <v>0</v>
          </cell>
        </row>
        <row r="5362">
          <cell r="A5362" t="str">
            <v>03</v>
          </cell>
          <cell r="B5362" t="str">
            <v>13</v>
          </cell>
          <cell r="C5362" t="str">
            <v>03</v>
          </cell>
          <cell r="D5362" t="str">
            <v>4</v>
          </cell>
          <cell r="E5362" t="str">
            <v>0016</v>
          </cell>
          <cell r="F5362" t="str">
            <v>0001</v>
          </cell>
          <cell r="G5362" t="str">
            <v>52109</v>
          </cell>
          <cell r="H5362" t="str">
            <v>付教育附加费</v>
          </cell>
          <cell r="I5362" t="b">
            <v>1</v>
          </cell>
          <cell r="J5362">
            <v>13000</v>
          </cell>
          <cell r="K5362">
            <v>0</v>
          </cell>
          <cell r="L5362">
            <v>0</v>
          </cell>
        </row>
        <row r="5363">
          <cell r="A5363" t="str">
            <v>03</v>
          </cell>
          <cell r="B5363" t="str">
            <v>27</v>
          </cell>
          <cell r="C5363" t="str">
            <v>03</v>
          </cell>
          <cell r="D5363" t="str">
            <v>5</v>
          </cell>
          <cell r="E5363" t="str">
            <v>0012</v>
          </cell>
          <cell r="F5363" t="str">
            <v>0005</v>
          </cell>
          <cell r="G5363" t="str">
            <v>52109</v>
          </cell>
          <cell r="H5363" t="str">
            <v>计提职教费</v>
          </cell>
          <cell r="I5363" t="b">
            <v>1</v>
          </cell>
          <cell r="J5363">
            <v>423.17</v>
          </cell>
          <cell r="K5363">
            <v>0</v>
          </cell>
          <cell r="L5363">
            <v>0</v>
          </cell>
        </row>
        <row r="5364">
          <cell r="A5364" t="str">
            <v>03</v>
          </cell>
          <cell r="B5364" t="str">
            <v>27</v>
          </cell>
          <cell r="C5364" t="str">
            <v>03</v>
          </cell>
          <cell r="D5364" t="str">
            <v>5</v>
          </cell>
          <cell r="E5364" t="str">
            <v>0014</v>
          </cell>
          <cell r="F5364" t="str">
            <v>0007</v>
          </cell>
          <cell r="G5364" t="str">
            <v>52109</v>
          </cell>
          <cell r="H5364" t="str">
            <v>计提本月管理部门职教费</v>
          </cell>
          <cell r="I5364" t="b">
            <v>1</v>
          </cell>
          <cell r="J5364">
            <v>481.38</v>
          </cell>
          <cell r="K5364">
            <v>0</v>
          </cell>
          <cell r="L5364">
            <v>0</v>
          </cell>
        </row>
        <row r="5365">
          <cell r="A5365" t="str">
            <v>03</v>
          </cell>
          <cell r="B5365" t="str">
            <v>30</v>
          </cell>
          <cell r="C5365" t="str">
            <v>03</v>
          </cell>
          <cell r="D5365" t="str">
            <v>5</v>
          </cell>
          <cell r="E5365" t="str">
            <v>0032</v>
          </cell>
          <cell r="F5365" t="str">
            <v>0009</v>
          </cell>
          <cell r="G5365" t="str">
            <v>52109</v>
          </cell>
          <cell r="H5365" t="str">
            <v>结转本月管理费用</v>
          </cell>
          <cell r="I5365" t="b">
            <v>0</v>
          </cell>
          <cell r="J5365">
            <v>13904.55</v>
          </cell>
          <cell r="K5365">
            <v>0</v>
          </cell>
          <cell r="L5365">
            <v>0</v>
          </cell>
        </row>
        <row r="5366">
          <cell r="A5366" t="str">
            <v>04</v>
          </cell>
          <cell r="B5366" t="str">
            <v>24</v>
          </cell>
          <cell r="C5366" t="str">
            <v>04</v>
          </cell>
          <cell r="D5366" t="str">
            <v>5</v>
          </cell>
          <cell r="E5366" t="str">
            <v>0015</v>
          </cell>
          <cell r="F5366" t="str">
            <v>0007</v>
          </cell>
          <cell r="G5366" t="str">
            <v>52109</v>
          </cell>
          <cell r="H5366" t="str">
            <v>计提本月管理部门职教费</v>
          </cell>
          <cell r="I5366" t="b">
            <v>1</v>
          </cell>
          <cell r="J5366">
            <v>496.23</v>
          </cell>
          <cell r="K5366">
            <v>0</v>
          </cell>
          <cell r="L5366">
            <v>0</v>
          </cell>
        </row>
        <row r="5367">
          <cell r="A5367" t="str">
            <v>04</v>
          </cell>
          <cell r="B5367" t="str">
            <v>29</v>
          </cell>
          <cell r="C5367" t="str">
            <v>04</v>
          </cell>
          <cell r="D5367" t="str">
            <v>5</v>
          </cell>
          <cell r="E5367" t="str">
            <v>0038</v>
          </cell>
          <cell r="F5367" t="str">
            <v>0009</v>
          </cell>
          <cell r="G5367" t="str">
            <v>52109</v>
          </cell>
          <cell r="H5367" t="str">
            <v>结转本月管理费用</v>
          </cell>
          <cell r="I5367" t="b">
            <v>0</v>
          </cell>
          <cell r="J5367">
            <v>496.23</v>
          </cell>
          <cell r="K5367">
            <v>0</v>
          </cell>
          <cell r="L5367">
            <v>0</v>
          </cell>
        </row>
        <row r="5368">
          <cell r="A5368" t="str">
            <v>05</v>
          </cell>
          <cell r="B5368" t="str">
            <v>25</v>
          </cell>
          <cell r="C5368" t="str">
            <v>05</v>
          </cell>
          <cell r="D5368" t="str">
            <v>5</v>
          </cell>
          <cell r="E5368" t="str">
            <v>0002</v>
          </cell>
          <cell r="F5368" t="str">
            <v>0007</v>
          </cell>
          <cell r="G5368" t="str">
            <v>52109</v>
          </cell>
          <cell r="H5368" t="str">
            <v>计提本月管理部门职教费</v>
          </cell>
          <cell r="I5368" t="b">
            <v>1</v>
          </cell>
          <cell r="J5368">
            <v>1671.48</v>
          </cell>
          <cell r="K5368">
            <v>0</v>
          </cell>
          <cell r="L5368">
            <v>0</v>
          </cell>
        </row>
        <row r="5369">
          <cell r="A5369" t="str">
            <v>05</v>
          </cell>
          <cell r="B5369" t="str">
            <v>31</v>
          </cell>
          <cell r="C5369" t="str">
            <v>05</v>
          </cell>
          <cell r="D5369" t="str">
            <v>5</v>
          </cell>
          <cell r="E5369" t="str">
            <v>0039</v>
          </cell>
          <cell r="F5369" t="str">
            <v>0009</v>
          </cell>
          <cell r="G5369" t="str">
            <v>52109</v>
          </cell>
          <cell r="H5369" t="str">
            <v>结转本月管理费用</v>
          </cell>
          <cell r="I5369" t="b">
            <v>0</v>
          </cell>
          <cell r="J5369">
            <v>1671.48</v>
          </cell>
          <cell r="K5369">
            <v>0</v>
          </cell>
          <cell r="L5369">
            <v>0</v>
          </cell>
        </row>
        <row r="5370">
          <cell r="A5370" t="str">
            <v>06</v>
          </cell>
          <cell r="B5370" t="str">
            <v>20</v>
          </cell>
          <cell r="C5370" t="str">
            <v>06</v>
          </cell>
          <cell r="D5370" t="str">
            <v>5</v>
          </cell>
          <cell r="E5370" t="str">
            <v>0008</v>
          </cell>
          <cell r="F5370" t="str">
            <v>0007</v>
          </cell>
          <cell r="G5370" t="str">
            <v>52109</v>
          </cell>
          <cell r="H5370" t="str">
            <v>计提本月管理部门职教费</v>
          </cell>
          <cell r="I5370" t="b">
            <v>1</v>
          </cell>
          <cell r="J5370">
            <v>708.11</v>
          </cell>
          <cell r="K5370">
            <v>0</v>
          </cell>
          <cell r="L5370">
            <v>0</v>
          </cell>
        </row>
        <row r="5371">
          <cell r="A5371" t="str">
            <v>06</v>
          </cell>
          <cell r="B5371" t="str">
            <v>25</v>
          </cell>
          <cell r="C5371" t="str">
            <v>06</v>
          </cell>
          <cell r="D5371" t="str">
            <v>5</v>
          </cell>
          <cell r="E5371" t="str">
            <v>0028</v>
          </cell>
          <cell r="F5371" t="str">
            <v>0008</v>
          </cell>
          <cell r="G5371" t="str">
            <v>52109</v>
          </cell>
          <cell r="H5371" t="str">
            <v>结转本月管理费用</v>
          </cell>
          <cell r="I5371" t="b">
            <v>0</v>
          </cell>
          <cell r="J5371">
            <v>708.11</v>
          </cell>
          <cell r="K5371">
            <v>0</v>
          </cell>
          <cell r="L5371">
            <v>0</v>
          </cell>
        </row>
        <row r="5372">
          <cell r="A5372" t="str">
            <v>07</v>
          </cell>
          <cell r="B5372" t="str">
            <v>12</v>
          </cell>
          <cell r="C5372" t="str">
            <v>07</v>
          </cell>
          <cell r="D5372" t="str">
            <v>5</v>
          </cell>
          <cell r="E5372" t="str">
            <v>0002</v>
          </cell>
          <cell r="F5372" t="str">
            <v>0007</v>
          </cell>
          <cell r="G5372" t="str">
            <v>52109</v>
          </cell>
          <cell r="H5372" t="str">
            <v>计提管理部门职教费</v>
          </cell>
          <cell r="I5372" t="b">
            <v>1</v>
          </cell>
          <cell r="J5372">
            <v>647.96</v>
          </cell>
          <cell r="K5372">
            <v>0</v>
          </cell>
          <cell r="L5372">
            <v>0</v>
          </cell>
        </row>
        <row r="5373">
          <cell r="A5373" t="str">
            <v>07</v>
          </cell>
          <cell r="B5373" t="str">
            <v>29</v>
          </cell>
          <cell r="C5373" t="str">
            <v>07</v>
          </cell>
          <cell r="D5373" t="str">
            <v>5</v>
          </cell>
          <cell r="E5373" t="str">
            <v>0044</v>
          </cell>
          <cell r="F5373" t="str">
            <v>0009</v>
          </cell>
          <cell r="G5373" t="str">
            <v>52109</v>
          </cell>
          <cell r="H5373" t="str">
            <v>结转本月管理费用</v>
          </cell>
          <cell r="I5373" t="b">
            <v>0</v>
          </cell>
          <cell r="J5373">
            <v>647.96</v>
          </cell>
          <cell r="K5373">
            <v>0</v>
          </cell>
          <cell r="L5373">
            <v>0</v>
          </cell>
        </row>
        <row r="5374">
          <cell r="A5374" t="str">
            <v>08</v>
          </cell>
          <cell r="B5374" t="str">
            <v>08</v>
          </cell>
          <cell r="C5374" t="str">
            <v>08</v>
          </cell>
          <cell r="D5374" t="str">
            <v>5</v>
          </cell>
          <cell r="E5374" t="str">
            <v>0002</v>
          </cell>
          <cell r="F5374" t="str">
            <v>0005</v>
          </cell>
          <cell r="G5374" t="str">
            <v>52109</v>
          </cell>
          <cell r="H5374" t="str">
            <v>计提本月管理部门职教费</v>
          </cell>
          <cell r="I5374" t="b">
            <v>1</v>
          </cell>
          <cell r="J5374">
            <v>565.92999999999995</v>
          </cell>
          <cell r="K5374">
            <v>0</v>
          </cell>
          <cell r="L5374">
            <v>0</v>
          </cell>
        </row>
        <row r="5375">
          <cell r="A5375" t="str">
            <v>08</v>
          </cell>
          <cell r="B5375" t="str">
            <v>31</v>
          </cell>
          <cell r="C5375" t="str">
            <v>08</v>
          </cell>
          <cell r="D5375" t="str">
            <v>5</v>
          </cell>
          <cell r="E5375" t="str">
            <v>0035</v>
          </cell>
          <cell r="F5375" t="str">
            <v>0009</v>
          </cell>
          <cell r="G5375" t="str">
            <v>52109</v>
          </cell>
          <cell r="H5375" t="str">
            <v>结转本月管理费用</v>
          </cell>
          <cell r="I5375" t="b">
            <v>0</v>
          </cell>
          <cell r="J5375">
            <v>565.92999999999995</v>
          </cell>
          <cell r="K5375">
            <v>0</v>
          </cell>
          <cell r="L5375">
            <v>0</v>
          </cell>
        </row>
        <row r="5376">
          <cell r="A5376" t="str">
            <v>09</v>
          </cell>
          <cell r="B5376" t="str">
            <v>06</v>
          </cell>
          <cell r="C5376" t="str">
            <v>09</v>
          </cell>
          <cell r="D5376" t="str">
            <v>5</v>
          </cell>
          <cell r="E5376" t="str">
            <v>0002</v>
          </cell>
          <cell r="F5376" t="str">
            <v>0005</v>
          </cell>
          <cell r="G5376" t="str">
            <v>52109</v>
          </cell>
          <cell r="H5376" t="str">
            <v>计提本月职教费</v>
          </cell>
          <cell r="I5376" t="b">
            <v>1</v>
          </cell>
          <cell r="J5376">
            <v>892.1</v>
          </cell>
          <cell r="K5376">
            <v>0</v>
          </cell>
          <cell r="L5376">
            <v>0</v>
          </cell>
        </row>
        <row r="5377">
          <cell r="A5377" t="str">
            <v>09</v>
          </cell>
          <cell r="B5377" t="str">
            <v>30</v>
          </cell>
          <cell r="C5377" t="str">
            <v>09</v>
          </cell>
          <cell r="D5377" t="str">
            <v>5</v>
          </cell>
          <cell r="E5377" t="str">
            <v>0040</v>
          </cell>
          <cell r="F5377" t="str">
            <v>0009</v>
          </cell>
          <cell r="G5377" t="str">
            <v>52109</v>
          </cell>
          <cell r="H5377" t="str">
            <v>结转本月管理费用</v>
          </cell>
          <cell r="I5377" t="b">
            <v>0</v>
          </cell>
          <cell r="J5377">
            <v>892.1</v>
          </cell>
          <cell r="K5377">
            <v>0</v>
          </cell>
          <cell r="L5377">
            <v>0</v>
          </cell>
        </row>
        <row r="5378">
          <cell r="A5378" t="str">
            <v>10</v>
          </cell>
          <cell r="B5378" t="str">
            <v>24</v>
          </cell>
          <cell r="C5378" t="str">
            <v>10</v>
          </cell>
          <cell r="D5378" t="str">
            <v>5</v>
          </cell>
          <cell r="E5378" t="str">
            <v>0013</v>
          </cell>
          <cell r="F5378" t="str">
            <v>0005</v>
          </cell>
          <cell r="G5378" t="str">
            <v>52109</v>
          </cell>
          <cell r="H5378" t="str">
            <v>提取本月职教费</v>
          </cell>
          <cell r="I5378" t="b">
            <v>1</v>
          </cell>
          <cell r="J5378">
            <v>943.07</v>
          </cell>
          <cell r="K5378">
            <v>0</v>
          </cell>
          <cell r="L5378">
            <v>0</v>
          </cell>
        </row>
        <row r="5379">
          <cell r="A5379" t="str">
            <v>10</v>
          </cell>
          <cell r="B5379" t="str">
            <v>30</v>
          </cell>
          <cell r="C5379" t="str">
            <v>10</v>
          </cell>
          <cell r="D5379" t="str">
            <v>5</v>
          </cell>
          <cell r="E5379" t="str">
            <v>0034</v>
          </cell>
          <cell r="F5379" t="str">
            <v>0009</v>
          </cell>
          <cell r="G5379" t="str">
            <v>52109</v>
          </cell>
          <cell r="H5379" t="str">
            <v>结转本月管理费用</v>
          </cell>
          <cell r="I5379" t="b">
            <v>0</v>
          </cell>
          <cell r="J5379">
            <v>943.07</v>
          </cell>
          <cell r="K5379">
            <v>0</v>
          </cell>
          <cell r="L5379">
            <v>0</v>
          </cell>
        </row>
        <row r="5380">
          <cell r="A5380" t="str">
            <v>11</v>
          </cell>
          <cell r="B5380" t="str">
            <v>18</v>
          </cell>
          <cell r="C5380" t="str">
            <v>11</v>
          </cell>
          <cell r="D5380" t="str">
            <v>5</v>
          </cell>
          <cell r="E5380" t="str">
            <v>0015</v>
          </cell>
          <cell r="F5380" t="str">
            <v>0005</v>
          </cell>
          <cell r="G5380" t="str">
            <v>52109</v>
          </cell>
          <cell r="H5380" t="str">
            <v>提取本月职工教育经费</v>
          </cell>
          <cell r="I5380" t="b">
            <v>1</v>
          </cell>
          <cell r="J5380">
            <v>945.35</v>
          </cell>
          <cell r="K5380">
            <v>0</v>
          </cell>
          <cell r="L5380">
            <v>0</v>
          </cell>
        </row>
        <row r="5381">
          <cell r="A5381" t="str">
            <v>11</v>
          </cell>
          <cell r="B5381" t="str">
            <v>30</v>
          </cell>
          <cell r="C5381" t="str">
            <v>11</v>
          </cell>
          <cell r="D5381" t="str">
            <v>5</v>
          </cell>
          <cell r="E5381" t="str">
            <v>0037</v>
          </cell>
          <cell r="F5381" t="str">
            <v>0010</v>
          </cell>
          <cell r="G5381" t="str">
            <v>52109</v>
          </cell>
          <cell r="H5381" t="str">
            <v>结转本月管理费用</v>
          </cell>
          <cell r="I5381" t="b">
            <v>0</v>
          </cell>
          <cell r="J5381">
            <v>945.35</v>
          </cell>
          <cell r="K5381">
            <v>0</v>
          </cell>
          <cell r="L5381">
            <v>0</v>
          </cell>
        </row>
        <row r="5382">
          <cell r="A5382" t="str">
            <v>12</v>
          </cell>
          <cell r="B5382" t="str">
            <v>08</v>
          </cell>
          <cell r="C5382" t="str">
            <v>12</v>
          </cell>
          <cell r="D5382" t="str">
            <v>5</v>
          </cell>
          <cell r="E5382" t="str">
            <v>0002</v>
          </cell>
          <cell r="F5382" t="str">
            <v>0005</v>
          </cell>
          <cell r="G5382" t="str">
            <v>52109</v>
          </cell>
          <cell r="H5382" t="str">
            <v>提取职工教育经费</v>
          </cell>
          <cell r="I5382" t="b">
            <v>1</v>
          </cell>
          <cell r="J5382">
            <v>958.54</v>
          </cell>
          <cell r="K5382">
            <v>0</v>
          </cell>
          <cell r="L5382">
            <v>0</v>
          </cell>
        </row>
        <row r="5383">
          <cell r="A5383" t="str">
            <v>12</v>
          </cell>
          <cell r="B5383" t="str">
            <v>30</v>
          </cell>
          <cell r="C5383" t="str">
            <v>12</v>
          </cell>
          <cell r="D5383" t="str">
            <v>5</v>
          </cell>
          <cell r="E5383" t="str">
            <v>0090</v>
          </cell>
          <cell r="F5383" t="str">
            <v>0005</v>
          </cell>
          <cell r="G5383" t="str">
            <v>52109</v>
          </cell>
          <cell r="H5383" t="str">
            <v>提取职教费</v>
          </cell>
          <cell r="I5383" t="b">
            <v>1</v>
          </cell>
          <cell r="J5383">
            <v>615.28</v>
          </cell>
          <cell r="K5383">
            <v>0</v>
          </cell>
          <cell r="L5383">
            <v>0</v>
          </cell>
        </row>
        <row r="5384">
          <cell r="A5384" t="str">
            <v>12</v>
          </cell>
          <cell r="B5384" t="str">
            <v>31</v>
          </cell>
          <cell r="C5384" t="str">
            <v>12</v>
          </cell>
          <cell r="D5384" t="str">
            <v>5</v>
          </cell>
          <cell r="E5384" t="str">
            <v>0103</v>
          </cell>
          <cell r="F5384" t="str">
            <v>0009</v>
          </cell>
          <cell r="G5384" t="str">
            <v>52109</v>
          </cell>
          <cell r="H5384" t="str">
            <v>结转本月管理费用</v>
          </cell>
          <cell r="I5384" t="b">
            <v>0</v>
          </cell>
          <cell r="J5384">
            <v>1573.82</v>
          </cell>
          <cell r="K5384">
            <v>0</v>
          </cell>
          <cell r="L5384">
            <v>0</v>
          </cell>
        </row>
        <row r="5385">
          <cell r="A5385" t="str">
            <v>02</v>
          </cell>
          <cell r="B5385" t="str">
            <v>05</v>
          </cell>
          <cell r="C5385" t="str">
            <v>02</v>
          </cell>
          <cell r="D5385" t="str">
            <v>1</v>
          </cell>
          <cell r="E5385" t="str">
            <v>0005</v>
          </cell>
          <cell r="F5385" t="str">
            <v>0003</v>
          </cell>
          <cell r="G5385" t="str">
            <v>52110</v>
          </cell>
          <cell r="H5385" t="str">
            <v>收劳动保险费</v>
          </cell>
          <cell r="I5385" t="b">
            <v>1</v>
          </cell>
          <cell r="J5385">
            <v>-835.2</v>
          </cell>
          <cell r="K5385">
            <v>0</v>
          </cell>
          <cell r="L5385">
            <v>0</v>
          </cell>
        </row>
        <row r="5386">
          <cell r="A5386" t="str">
            <v>02</v>
          </cell>
          <cell r="B5386" t="str">
            <v>14</v>
          </cell>
          <cell r="C5386" t="str">
            <v>02</v>
          </cell>
          <cell r="D5386" t="str">
            <v>4</v>
          </cell>
          <cell r="E5386" t="str">
            <v>0015</v>
          </cell>
          <cell r="F5386" t="str">
            <v>0007</v>
          </cell>
          <cell r="G5386" t="str">
            <v>52110</v>
          </cell>
          <cell r="H5386" t="str">
            <v>代扣1月份劳动保险费</v>
          </cell>
          <cell r="I5386" t="b">
            <v>1</v>
          </cell>
          <cell r="J5386">
            <v>-1215.2</v>
          </cell>
          <cell r="K5386">
            <v>0</v>
          </cell>
          <cell r="L5386">
            <v>0</v>
          </cell>
        </row>
        <row r="5387">
          <cell r="A5387" t="str">
            <v>02</v>
          </cell>
          <cell r="B5387" t="str">
            <v>18</v>
          </cell>
          <cell r="C5387" t="str">
            <v>02</v>
          </cell>
          <cell r="D5387" t="str">
            <v>4</v>
          </cell>
          <cell r="E5387" t="str">
            <v>0022</v>
          </cell>
          <cell r="F5387" t="str">
            <v>0008</v>
          </cell>
          <cell r="G5387" t="str">
            <v>52110</v>
          </cell>
          <cell r="H5387" t="str">
            <v>代扣99年12月份劳动保险费</v>
          </cell>
          <cell r="I5387" t="b">
            <v>1</v>
          </cell>
          <cell r="J5387">
            <v>-1169.8</v>
          </cell>
          <cell r="K5387">
            <v>0</v>
          </cell>
          <cell r="L5387">
            <v>0</v>
          </cell>
        </row>
        <row r="5388">
          <cell r="A5388" t="str">
            <v>02</v>
          </cell>
          <cell r="B5388" t="str">
            <v>28</v>
          </cell>
          <cell r="C5388" t="str">
            <v>02</v>
          </cell>
          <cell r="D5388" t="str">
            <v>5</v>
          </cell>
          <cell r="E5388" t="str">
            <v>0025</v>
          </cell>
          <cell r="F5388" t="str">
            <v>0003</v>
          </cell>
          <cell r="G5388" t="str">
            <v>52110</v>
          </cell>
          <cell r="H5388" t="str">
            <v>转分公司代扣劳动保险费</v>
          </cell>
          <cell r="I5388" t="b">
            <v>1</v>
          </cell>
          <cell r="J5388">
            <v>-1805.6</v>
          </cell>
          <cell r="K5388">
            <v>0</v>
          </cell>
          <cell r="L5388">
            <v>0</v>
          </cell>
        </row>
        <row r="5389">
          <cell r="A5389" t="str">
            <v>02</v>
          </cell>
          <cell r="B5389" t="str">
            <v>28</v>
          </cell>
          <cell r="C5389" t="str">
            <v>02</v>
          </cell>
          <cell r="D5389" t="str">
            <v>5</v>
          </cell>
          <cell r="E5389" t="str">
            <v>0026</v>
          </cell>
          <cell r="F5389" t="str">
            <v>0002</v>
          </cell>
          <cell r="G5389" t="str">
            <v>52110</v>
          </cell>
          <cell r="H5389" t="str">
            <v>转各厂代扣劳动保险费</v>
          </cell>
          <cell r="I5389" t="b">
            <v>1</v>
          </cell>
          <cell r="J5389">
            <v>-2134.9</v>
          </cell>
          <cell r="K5389">
            <v>0</v>
          </cell>
          <cell r="L5389">
            <v>0</v>
          </cell>
        </row>
        <row r="5390">
          <cell r="A5390" t="str">
            <v>02</v>
          </cell>
          <cell r="B5390" t="str">
            <v>29</v>
          </cell>
          <cell r="C5390" t="str">
            <v>02</v>
          </cell>
          <cell r="D5390" t="str">
            <v>5</v>
          </cell>
          <cell r="E5390" t="str">
            <v>0058</v>
          </cell>
          <cell r="F5390" t="str">
            <v>0011</v>
          </cell>
          <cell r="G5390" t="str">
            <v>52110</v>
          </cell>
          <cell r="H5390" t="str">
            <v>结转本月管理费用</v>
          </cell>
          <cell r="I5390" t="b">
            <v>0</v>
          </cell>
          <cell r="J5390">
            <v>-7160.7</v>
          </cell>
          <cell r="K5390">
            <v>0</v>
          </cell>
          <cell r="L5390">
            <v>0</v>
          </cell>
        </row>
        <row r="5391">
          <cell r="A5391" t="str">
            <v>03</v>
          </cell>
          <cell r="B5391" t="str">
            <v>21</v>
          </cell>
          <cell r="C5391" t="str">
            <v>03</v>
          </cell>
          <cell r="D5391" t="str">
            <v>1</v>
          </cell>
          <cell r="E5391" t="str">
            <v>0003</v>
          </cell>
          <cell r="F5391" t="str">
            <v>0002</v>
          </cell>
          <cell r="G5391" t="str">
            <v>52110</v>
          </cell>
          <cell r="H5391" t="str">
            <v>收崔春新养老保险</v>
          </cell>
          <cell r="I5391" t="b">
            <v>1</v>
          </cell>
          <cell r="J5391">
            <v>-50</v>
          </cell>
          <cell r="K5391">
            <v>0</v>
          </cell>
          <cell r="L5391">
            <v>0</v>
          </cell>
        </row>
        <row r="5392">
          <cell r="A5392" t="str">
            <v>03</v>
          </cell>
          <cell r="B5392" t="str">
            <v>25</v>
          </cell>
          <cell r="C5392" t="str">
            <v>03</v>
          </cell>
          <cell r="D5392" t="str">
            <v>2</v>
          </cell>
          <cell r="E5392" t="str">
            <v>0026</v>
          </cell>
          <cell r="F5392" t="str">
            <v>0006</v>
          </cell>
          <cell r="G5392" t="str">
            <v>52110</v>
          </cell>
          <cell r="H5392" t="str">
            <v>代扣劳动保险费</v>
          </cell>
          <cell r="I5392" t="b">
            <v>1</v>
          </cell>
          <cell r="J5392">
            <v>-111.7</v>
          </cell>
          <cell r="K5392">
            <v>0</v>
          </cell>
          <cell r="L5392">
            <v>0</v>
          </cell>
        </row>
        <row r="5393">
          <cell r="A5393" t="str">
            <v>03</v>
          </cell>
          <cell r="B5393" t="str">
            <v>02</v>
          </cell>
          <cell r="C5393" t="str">
            <v>03</v>
          </cell>
          <cell r="D5393" t="str">
            <v>3</v>
          </cell>
          <cell r="E5393" t="str">
            <v>0003</v>
          </cell>
          <cell r="F5393" t="str">
            <v>0004</v>
          </cell>
          <cell r="G5393" t="str">
            <v>52110</v>
          </cell>
          <cell r="H5393" t="str">
            <v>收多交养老金</v>
          </cell>
          <cell r="I5393" t="b">
            <v>1</v>
          </cell>
          <cell r="J5393">
            <v>-2096.4</v>
          </cell>
          <cell r="K5393">
            <v>0</v>
          </cell>
          <cell r="L5393">
            <v>0</v>
          </cell>
        </row>
        <row r="5394">
          <cell r="A5394" t="str">
            <v>03</v>
          </cell>
          <cell r="B5394" t="str">
            <v>02</v>
          </cell>
          <cell r="C5394" t="str">
            <v>03</v>
          </cell>
          <cell r="D5394" t="str">
            <v>4</v>
          </cell>
          <cell r="E5394" t="str">
            <v>0005</v>
          </cell>
          <cell r="F5394" t="str">
            <v>0002</v>
          </cell>
          <cell r="G5394" t="str">
            <v>52110</v>
          </cell>
          <cell r="H5394" t="str">
            <v>付养老保险金</v>
          </cell>
          <cell r="I5394" t="b">
            <v>1</v>
          </cell>
          <cell r="J5394">
            <v>136945.5</v>
          </cell>
          <cell r="K5394">
            <v>0</v>
          </cell>
          <cell r="L5394">
            <v>0</v>
          </cell>
        </row>
        <row r="5395">
          <cell r="A5395" t="str">
            <v>03</v>
          </cell>
          <cell r="B5395" t="str">
            <v>20</v>
          </cell>
          <cell r="C5395" t="str">
            <v>03</v>
          </cell>
          <cell r="D5395" t="str">
            <v>4</v>
          </cell>
          <cell r="E5395" t="str">
            <v>0028</v>
          </cell>
          <cell r="F5395" t="str">
            <v>0007</v>
          </cell>
          <cell r="G5395" t="str">
            <v>52110</v>
          </cell>
          <cell r="H5395" t="str">
            <v>代扣本月劳动保险费</v>
          </cell>
          <cell r="I5395" t="b">
            <v>1</v>
          </cell>
          <cell r="J5395">
            <v>-1399.6</v>
          </cell>
          <cell r="K5395">
            <v>0</v>
          </cell>
          <cell r="L5395">
            <v>0</v>
          </cell>
        </row>
        <row r="5396">
          <cell r="A5396" t="str">
            <v>03</v>
          </cell>
          <cell r="B5396" t="str">
            <v>30</v>
          </cell>
          <cell r="C5396" t="str">
            <v>03</v>
          </cell>
          <cell r="D5396" t="str">
            <v>5</v>
          </cell>
          <cell r="E5396" t="str">
            <v>0032</v>
          </cell>
          <cell r="F5396" t="str">
            <v>0010</v>
          </cell>
          <cell r="G5396" t="str">
            <v>52110</v>
          </cell>
          <cell r="H5396" t="str">
            <v>结转本月管理费用</v>
          </cell>
          <cell r="I5396" t="b">
            <v>0</v>
          </cell>
          <cell r="J5396">
            <v>133287.79999999999</v>
          </cell>
          <cell r="K5396">
            <v>0</v>
          </cell>
          <cell r="L5396">
            <v>0</v>
          </cell>
        </row>
        <row r="5397">
          <cell r="A5397" t="str">
            <v>04</v>
          </cell>
          <cell r="B5397" t="str">
            <v>15</v>
          </cell>
          <cell r="C5397" t="str">
            <v>04</v>
          </cell>
          <cell r="D5397" t="str">
            <v>4</v>
          </cell>
          <cell r="E5397" t="str">
            <v>0013</v>
          </cell>
          <cell r="F5397" t="str">
            <v>0001</v>
          </cell>
          <cell r="G5397" t="str">
            <v>52110</v>
          </cell>
          <cell r="H5397" t="str">
            <v>付本月劳动保险费</v>
          </cell>
          <cell r="I5397" t="b">
            <v>1</v>
          </cell>
          <cell r="J5397">
            <v>48324</v>
          </cell>
          <cell r="K5397">
            <v>0</v>
          </cell>
          <cell r="L5397">
            <v>0</v>
          </cell>
        </row>
        <row r="5398">
          <cell r="A5398" t="str">
            <v>04</v>
          </cell>
          <cell r="B5398" t="str">
            <v>19</v>
          </cell>
          <cell r="C5398" t="str">
            <v>04</v>
          </cell>
          <cell r="D5398" t="str">
            <v>4</v>
          </cell>
          <cell r="E5398" t="str">
            <v>0022</v>
          </cell>
          <cell r="F5398" t="str">
            <v>0008</v>
          </cell>
          <cell r="G5398" t="str">
            <v>52110</v>
          </cell>
          <cell r="H5398" t="str">
            <v>代扣本月劳动保险费</v>
          </cell>
          <cell r="I5398" t="b">
            <v>1</v>
          </cell>
          <cell r="J5398">
            <v>-1403</v>
          </cell>
          <cell r="K5398">
            <v>0</v>
          </cell>
          <cell r="L5398">
            <v>0</v>
          </cell>
        </row>
        <row r="5399">
          <cell r="A5399" t="str">
            <v>04</v>
          </cell>
          <cell r="B5399" t="str">
            <v>29</v>
          </cell>
          <cell r="C5399" t="str">
            <v>04</v>
          </cell>
          <cell r="D5399" t="str">
            <v>5</v>
          </cell>
          <cell r="E5399" t="str">
            <v>0038</v>
          </cell>
          <cell r="F5399" t="str">
            <v>0010</v>
          </cell>
          <cell r="G5399" t="str">
            <v>52110</v>
          </cell>
          <cell r="H5399" t="str">
            <v>结转本月管理费用</v>
          </cell>
          <cell r="I5399" t="b">
            <v>0</v>
          </cell>
          <cell r="J5399">
            <v>46921</v>
          </cell>
          <cell r="K5399">
            <v>0</v>
          </cell>
          <cell r="L5399">
            <v>0</v>
          </cell>
        </row>
        <row r="5400">
          <cell r="A5400" t="str">
            <v>05</v>
          </cell>
          <cell r="B5400" t="str">
            <v>20</v>
          </cell>
          <cell r="C5400" t="str">
            <v>05</v>
          </cell>
          <cell r="D5400" t="str">
            <v>2</v>
          </cell>
          <cell r="E5400" t="str">
            <v>0012</v>
          </cell>
          <cell r="F5400" t="str">
            <v>0001</v>
          </cell>
          <cell r="G5400" t="str">
            <v>52110</v>
          </cell>
          <cell r="H5400" t="str">
            <v>付养老金</v>
          </cell>
          <cell r="I5400" t="b">
            <v>1</v>
          </cell>
          <cell r="J5400">
            <v>2052</v>
          </cell>
          <cell r="K5400">
            <v>0</v>
          </cell>
          <cell r="L5400">
            <v>0</v>
          </cell>
        </row>
        <row r="5401">
          <cell r="A5401" t="str">
            <v>05</v>
          </cell>
          <cell r="B5401" t="str">
            <v>01</v>
          </cell>
          <cell r="C5401" t="str">
            <v>05</v>
          </cell>
          <cell r="D5401" t="str">
            <v>3</v>
          </cell>
          <cell r="E5401" t="str">
            <v>0001</v>
          </cell>
          <cell r="F5401" t="str">
            <v>0002</v>
          </cell>
          <cell r="G5401" t="str">
            <v>52110</v>
          </cell>
          <cell r="H5401" t="str">
            <v>收生育费.产假工资</v>
          </cell>
          <cell r="I5401" t="b">
            <v>1</v>
          </cell>
          <cell r="J5401">
            <v>-11495</v>
          </cell>
          <cell r="K5401">
            <v>0</v>
          </cell>
          <cell r="L5401">
            <v>0</v>
          </cell>
        </row>
        <row r="5402">
          <cell r="A5402" t="str">
            <v>05</v>
          </cell>
          <cell r="B5402" t="str">
            <v>11</v>
          </cell>
          <cell r="C5402" t="str">
            <v>05</v>
          </cell>
          <cell r="D5402" t="str">
            <v>4</v>
          </cell>
          <cell r="E5402" t="str">
            <v>0003</v>
          </cell>
          <cell r="F5402" t="str">
            <v>0001</v>
          </cell>
          <cell r="G5402" t="str">
            <v>52110</v>
          </cell>
          <cell r="H5402" t="str">
            <v>付待业金</v>
          </cell>
          <cell r="I5402" t="b">
            <v>1</v>
          </cell>
          <cell r="J5402">
            <v>50000</v>
          </cell>
          <cell r="K5402">
            <v>0</v>
          </cell>
          <cell r="L5402">
            <v>0</v>
          </cell>
        </row>
        <row r="5403">
          <cell r="A5403" t="str">
            <v>05</v>
          </cell>
          <cell r="B5403" t="str">
            <v>24</v>
          </cell>
          <cell r="C5403" t="str">
            <v>05</v>
          </cell>
          <cell r="D5403" t="str">
            <v>4</v>
          </cell>
          <cell r="E5403" t="str">
            <v>0025</v>
          </cell>
          <cell r="F5403" t="str">
            <v>0002</v>
          </cell>
          <cell r="G5403" t="str">
            <v>52110</v>
          </cell>
          <cell r="H5403" t="str">
            <v>付劳动保险费</v>
          </cell>
          <cell r="I5403" t="b">
            <v>1</v>
          </cell>
          <cell r="J5403">
            <v>92080.2</v>
          </cell>
          <cell r="K5403">
            <v>0</v>
          </cell>
          <cell r="L5403">
            <v>0</v>
          </cell>
        </row>
        <row r="5404">
          <cell r="A5404" t="str">
            <v>05</v>
          </cell>
          <cell r="B5404" t="str">
            <v>25</v>
          </cell>
          <cell r="C5404" t="str">
            <v>05</v>
          </cell>
          <cell r="D5404" t="str">
            <v>4</v>
          </cell>
          <cell r="E5404" t="str">
            <v>0027</v>
          </cell>
          <cell r="F5404" t="str">
            <v>0007</v>
          </cell>
          <cell r="G5404" t="str">
            <v>52110</v>
          </cell>
          <cell r="H5404" t="str">
            <v>付本月劳动保险费</v>
          </cell>
          <cell r="I5404" t="b">
            <v>1</v>
          </cell>
          <cell r="J5404">
            <v>-1403</v>
          </cell>
          <cell r="K5404">
            <v>0</v>
          </cell>
          <cell r="L5404">
            <v>0</v>
          </cell>
        </row>
        <row r="5405">
          <cell r="A5405" t="str">
            <v>05</v>
          </cell>
          <cell r="B5405" t="str">
            <v>25</v>
          </cell>
          <cell r="C5405" t="str">
            <v>05</v>
          </cell>
          <cell r="D5405" t="str">
            <v>5</v>
          </cell>
          <cell r="E5405" t="str">
            <v>0012</v>
          </cell>
          <cell r="F5405" t="str">
            <v>0003</v>
          </cell>
          <cell r="G5405" t="str">
            <v>52110</v>
          </cell>
          <cell r="H5405" t="str">
            <v>转各厂代扣3月份劳动保险费</v>
          </cell>
          <cell r="I5405" t="b">
            <v>1</v>
          </cell>
          <cell r="J5405">
            <v>-1570.4</v>
          </cell>
          <cell r="K5405">
            <v>0</v>
          </cell>
          <cell r="L5405">
            <v>0</v>
          </cell>
        </row>
        <row r="5406">
          <cell r="A5406" t="str">
            <v>05</v>
          </cell>
          <cell r="B5406" t="str">
            <v>25</v>
          </cell>
          <cell r="C5406" t="str">
            <v>05</v>
          </cell>
          <cell r="D5406" t="str">
            <v>5</v>
          </cell>
          <cell r="E5406" t="str">
            <v>0013</v>
          </cell>
          <cell r="F5406" t="str">
            <v>0002</v>
          </cell>
          <cell r="G5406" t="str">
            <v>52110</v>
          </cell>
          <cell r="H5406" t="str">
            <v>转各厂代扣4月份劳动保险费</v>
          </cell>
          <cell r="I5406" t="b">
            <v>1</v>
          </cell>
          <cell r="J5406">
            <v>-1540.7</v>
          </cell>
          <cell r="K5406">
            <v>0</v>
          </cell>
          <cell r="L5406">
            <v>0</v>
          </cell>
        </row>
        <row r="5407">
          <cell r="A5407" t="str">
            <v>05</v>
          </cell>
          <cell r="B5407" t="str">
            <v>25</v>
          </cell>
          <cell r="C5407" t="str">
            <v>05</v>
          </cell>
          <cell r="D5407" t="str">
            <v>5</v>
          </cell>
          <cell r="E5407" t="str">
            <v>0014</v>
          </cell>
          <cell r="F5407" t="str">
            <v>0002</v>
          </cell>
          <cell r="G5407" t="str">
            <v>52110</v>
          </cell>
          <cell r="H5407" t="str">
            <v>转代扣5月份劳动保险费</v>
          </cell>
          <cell r="I5407" t="b">
            <v>1</v>
          </cell>
          <cell r="J5407">
            <v>-1269.3</v>
          </cell>
          <cell r="K5407">
            <v>0</v>
          </cell>
          <cell r="L5407">
            <v>0</v>
          </cell>
        </row>
        <row r="5408">
          <cell r="A5408" t="str">
            <v>05</v>
          </cell>
          <cell r="B5408" t="str">
            <v>31</v>
          </cell>
          <cell r="C5408" t="str">
            <v>05</v>
          </cell>
          <cell r="D5408" t="str">
            <v>5</v>
          </cell>
          <cell r="E5408" t="str">
            <v>0039</v>
          </cell>
          <cell r="F5408" t="str">
            <v>0010</v>
          </cell>
          <cell r="G5408" t="str">
            <v>52110</v>
          </cell>
          <cell r="H5408" t="str">
            <v>结转本月管理费用</v>
          </cell>
          <cell r="I5408" t="b">
            <v>0</v>
          </cell>
          <cell r="J5408">
            <v>126853.8</v>
          </cell>
          <cell r="K5408">
            <v>0</v>
          </cell>
          <cell r="L5408">
            <v>0</v>
          </cell>
        </row>
        <row r="5409">
          <cell r="A5409" t="str">
            <v>06</v>
          </cell>
          <cell r="B5409" t="str">
            <v>20</v>
          </cell>
          <cell r="C5409" t="str">
            <v>06</v>
          </cell>
          <cell r="D5409" t="str">
            <v>4</v>
          </cell>
          <cell r="E5409" t="str">
            <v>0011</v>
          </cell>
          <cell r="F5409" t="str">
            <v>0003</v>
          </cell>
          <cell r="G5409" t="str">
            <v>52110</v>
          </cell>
          <cell r="H5409" t="str">
            <v>付劳动保险费</v>
          </cell>
          <cell r="I5409" t="b">
            <v>1</v>
          </cell>
          <cell r="J5409">
            <v>65673.179999999993</v>
          </cell>
          <cell r="K5409">
            <v>0</v>
          </cell>
          <cell r="L5409">
            <v>0</v>
          </cell>
        </row>
        <row r="5410">
          <cell r="A5410" t="str">
            <v>06</v>
          </cell>
          <cell r="B5410" t="str">
            <v>20</v>
          </cell>
          <cell r="C5410" t="str">
            <v>06</v>
          </cell>
          <cell r="D5410" t="str">
            <v>4</v>
          </cell>
          <cell r="E5410" t="str">
            <v>0013</v>
          </cell>
          <cell r="F5410" t="str">
            <v>0008</v>
          </cell>
          <cell r="G5410" t="str">
            <v>52110</v>
          </cell>
          <cell r="H5410" t="str">
            <v>代扣劳动保险费</v>
          </cell>
          <cell r="I5410" t="b">
            <v>1</v>
          </cell>
          <cell r="J5410">
            <v>-1392.9</v>
          </cell>
          <cell r="K5410">
            <v>0</v>
          </cell>
          <cell r="L5410">
            <v>0</v>
          </cell>
        </row>
        <row r="5411">
          <cell r="A5411" t="str">
            <v>06</v>
          </cell>
          <cell r="B5411" t="str">
            <v>23</v>
          </cell>
          <cell r="C5411" t="str">
            <v>06</v>
          </cell>
          <cell r="D5411" t="str">
            <v>5</v>
          </cell>
          <cell r="E5411" t="str">
            <v>0011</v>
          </cell>
          <cell r="F5411" t="str">
            <v>0002</v>
          </cell>
          <cell r="G5411" t="str">
            <v>52110</v>
          </cell>
          <cell r="H5411" t="str">
            <v>转代扣6月份劳动保险费</v>
          </cell>
          <cell r="I5411" t="b">
            <v>1</v>
          </cell>
          <cell r="J5411">
            <v>-1227.0999999999999</v>
          </cell>
          <cell r="K5411">
            <v>0</v>
          </cell>
          <cell r="L5411">
            <v>0</v>
          </cell>
        </row>
        <row r="5412">
          <cell r="A5412" t="str">
            <v>06</v>
          </cell>
          <cell r="B5412" t="str">
            <v>25</v>
          </cell>
          <cell r="C5412" t="str">
            <v>06</v>
          </cell>
          <cell r="D5412" t="str">
            <v>5</v>
          </cell>
          <cell r="E5412" t="str">
            <v>0028</v>
          </cell>
          <cell r="F5412" t="str">
            <v>0009</v>
          </cell>
          <cell r="G5412" t="str">
            <v>52110</v>
          </cell>
          <cell r="H5412" t="str">
            <v>结转本月管理费用</v>
          </cell>
          <cell r="I5412" t="b">
            <v>0</v>
          </cell>
          <cell r="J5412">
            <v>63053.18</v>
          </cell>
          <cell r="K5412">
            <v>0</v>
          </cell>
          <cell r="L5412">
            <v>0</v>
          </cell>
        </row>
        <row r="5413">
          <cell r="A5413" t="str">
            <v>07</v>
          </cell>
          <cell r="B5413" t="str">
            <v>07</v>
          </cell>
          <cell r="C5413" t="str">
            <v>07</v>
          </cell>
          <cell r="D5413" t="str">
            <v>4</v>
          </cell>
          <cell r="E5413" t="str">
            <v>0005</v>
          </cell>
          <cell r="F5413" t="str">
            <v>0003</v>
          </cell>
          <cell r="G5413" t="str">
            <v>52110</v>
          </cell>
          <cell r="H5413" t="str">
            <v>付劳动保险费</v>
          </cell>
          <cell r="I5413" t="b">
            <v>1</v>
          </cell>
          <cell r="J5413">
            <v>48254.400000000001</v>
          </cell>
          <cell r="K5413">
            <v>0</v>
          </cell>
          <cell r="L5413">
            <v>0</v>
          </cell>
        </row>
        <row r="5414">
          <cell r="A5414" t="str">
            <v>07</v>
          </cell>
          <cell r="B5414" t="str">
            <v>12</v>
          </cell>
          <cell r="C5414" t="str">
            <v>07</v>
          </cell>
          <cell r="D5414" t="str">
            <v>4</v>
          </cell>
          <cell r="E5414" t="str">
            <v>0009</v>
          </cell>
          <cell r="F5414" t="str">
            <v>0007</v>
          </cell>
          <cell r="G5414" t="str">
            <v>52110</v>
          </cell>
          <cell r="H5414" t="str">
            <v>代扣劳动保险费</v>
          </cell>
          <cell r="I5414" t="b">
            <v>1</v>
          </cell>
          <cell r="J5414">
            <v>-1377</v>
          </cell>
          <cell r="K5414">
            <v>0</v>
          </cell>
          <cell r="L5414">
            <v>0</v>
          </cell>
        </row>
        <row r="5415">
          <cell r="A5415" t="str">
            <v>07</v>
          </cell>
          <cell r="B5415" t="str">
            <v>24</v>
          </cell>
          <cell r="C5415" t="str">
            <v>07</v>
          </cell>
          <cell r="D5415" t="str">
            <v>5</v>
          </cell>
          <cell r="E5415" t="str">
            <v>0010</v>
          </cell>
          <cell r="F5415" t="str">
            <v>0002</v>
          </cell>
          <cell r="G5415" t="str">
            <v>52110</v>
          </cell>
          <cell r="H5415" t="str">
            <v>转代扣7月份劳动保险费</v>
          </cell>
          <cell r="I5415" t="b">
            <v>1</v>
          </cell>
          <cell r="J5415">
            <v>-1183.5</v>
          </cell>
          <cell r="K5415">
            <v>0</v>
          </cell>
          <cell r="L5415">
            <v>0</v>
          </cell>
        </row>
        <row r="5416">
          <cell r="A5416" t="str">
            <v>07</v>
          </cell>
          <cell r="B5416" t="str">
            <v>29</v>
          </cell>
          <cell r="C5416" t="str">
            <v>07</v>
          </cell>
          <cell r="D5416" t="str">
            <v>5</v>
          </cell>
          <cell r="E5416" t="str">
            <v>0044</v>
          </cell>
          <cell r="F5416" t="str">
            <v>0010</v>
          </cell>
          <cell r="G5416" t="str">
            <v>52110</v>
          </cell>
          <cell r="H5416" t="str">
            <v>结转本月管理费用</v>
          </cell>
          <cell r="I5416" t="b">
            <v>0</v>
          </cell>
          <cell r="J5416">
            <v>45693.9</v>
          </cell>
          <cell r="K5416">
            <v>0</v>
          </cell>
          <cell r="L5416">
            <v>0</v>
          </cell>
        </row>
        <row r="5417">
          <cell r="A5417" t="str">
            <v>08</v>
          </cell>
          <cell r="B5417" t="str">
            <v>15</v>
          </cell>
          <cell r="C5417" t="str">
            <v>08</v>
          </cell>
          <cell r="D5417" t="str">
            <v>3</v>
          </cell>
          <cell r="E5417" t="str">
            <v>0006</v>
          </cell>
          <cell r="F5417" t="str">
            <v>0002</v>
          </cell>
          <cell r="G5417" t="str">
            <v>52110</v>
          </cell>
          <cell r="H5417" t="str">
            <v>收产假工资.生育费.药费</v>
          </cell>
          <cell r="I5417" t="b">
            <v>1</v>
          </cell>
          <cell r="J5417">
            <v>-20939.43</v>
          </cell>
          <cell r="K5417">
            <v>0</v>
          </cell>
          <cell r="L5417">
            <v>0</v>
          </cell>
        </row>
        <row r="5418">
          <cell r="A5418" t="str">
            <v>08</v>
          </cell>
          <cell r="B5418" t="str">
            <v>08</v>
          </cell>
          <cell r="C5418" t="str">
            <v>08</v>
          </cell>
          <cell r="D5418" t="str">
            <v>4</v>
          </cell>
          <cell r="E5418" t="str">
            <v>0015</v>
          </cell>
          <cell r="F5418" t="str">
            <v>0005</v>
          </cell>
          <cell r="G5418" t="str">
            <v>52110</v>
          </cell>
          <cell r="H5418" t="str">
            <v>代扣劳动保险费</v>
          </cell>
          <cell r="I5418" t="b">
            <v>1</v>
          </cell>
          <cell r="J5418">
            <v>-517.4</v>
          </cell>
          <cell r="K5418">
            <v>0</v>
          </cell>
          <cell r="L5418">
            <v>0</v>
          </cell>
        </row>
        <row r="5419">
          <cell r="A5419" t="str">
            <v>08</v>
          </cell>
          <cell r="B5419" t="str">
            <v>15</v>
          </cell>
          <cell r="C5419" t="str">
            <v>08</v>
          </cell>
          <cell r="D5419" t="str">
            <v>4</v>
          </cell>
          <cell r="E5419" t="str">
            <v>0019</v>
          </cell>
          <cell r="F5419" t="str">
            <v>0003</v>
          </cell>
          <cell r="G5419" t="str">
            <v>52110</v>
          </cell>
          <cell r="H5419" t="str">
            <v>付劳动保险费</v>
          </cell>
          <cell r="I5419" t="b">
            <v>1</v>
          </cell>
          <cell r="J5419">
            <v>48069.599999999999</v>
          </cell>
          <cell r="K5419">
            <v>0</v>
          </cell>
          <cell r="L5419">
            <v>0</v>
          </cell>
        </row>
        <row r="5420">
          <cell r="A5420" t="str">
            <v>08</v>
          </cell>
          <cell r="B5420" t="str">
            <v>24</v>
          </cell>
          <cell r="C5420" t="str">
            <v>08</v>
          </cell>
          <cell r="D5420" t="str">
            <v>5</v>
          </cell>
          <cell r="E5420" t="str">
            <v>0010</v>
          </cell>
          <cell r="F5420" t="str">
            <v>0002</v>
          </cell>
          <cell r="G5420" t="str">
            <v>52110</v>
          </cell>
          <cell r="H5420" t="str">
            <v>转代扣本月劳动保险费</v>
          </cell>
          <cell r="I5420" t="b">
            <v>1</v>
          </cell>
          <cell r="J5420">
            <v>-1915.7</v>
          </cell>
          <cell r="K5420">
            <v>0</v>
          </cell>
          <cell r="L5420">
            <v>0</v>
          </cell>
        </row>
        <row r="5421">
          <cell r="A5421" t="str">
            <v>08</v>
          </cell>
          <cell r="B5421" t="str">
            <v>31</v>
          </cell>
          <cell r="C5421" t="str">
            <v>08</v>
          </cell>
          <cell r="D5421" t="str">
            <v>5</v>
          </cell>
          <cell r="E5421" t="str">
            <v>0035</v>
          </cell>
          <cell r="F5421" t="str">
            <v>0010</v>
          </cell>
          <cell r="G5421" t="str">
            <v>52110</v>
          </cell>
          <cell r="H5421" t="str">
            <v>结转本月管理费用</v>
          </cell>
          <cell r="I5421" t="b">
            <v>0</v>
          </cell>
          <cell r="J5421">
            <v>24697.07</v>
          </cell>
          <cell r="K5421">
            <v>0</v>
          </cell>
          <cell r="L5421">
            <v>0</v>
          </cell>
        </row>
        <row r="5422">
          <cell r="A5422" t="str">
            <v>09</v>
          </cell>
          <cell r="B5422" t="str">
            <v>05</v>
          </cell>
          <cell r="C5422" t="str">
            <v>09</v>
          </cell>
          <cell r="D5422" t="str">
            <v>2</v>
          </cell>
          <cell r="E5422" t="str">
            <v>0004</v>
          </cell>
          <cell r="F5422" t="str">
            <v>0003</v>
          </cell>
          <cell r="G5422" t="str">
            <v>52110</v>
          </cell>
          <cell r="H5422" t="str">
            <v>付药费</v>
          </cell>
          <cell r="I5422" t="b">
            <v>1</v>
          </cell>
          <cell r="J5422">
            <v>1416</v>
          </cell>
          <cell r="K5422">
            <v>0</v>
          </cell>
          <cell r="L5422">
            <v>0</v>
          </cell>
        </row>
        <row r="5423">
          <cell r="A5423" t="str">
            <v>09</v>
          </cell>
          <cell r="B5423" t="str">
            <v>06</v>
          </cell>
          <cell r="C5423" t="str">
            <v>09</v>
          </cell>
          <cell r="D5423" t="str">
            <v>4</v>
          </cell>
          <cell r="E5423" t="str">
            <v>0010</v>
          </cell>
          <cell r="F5423" t="str">
            <v>0006</v>
          </cell>
          <cell r="G5423" t="str">
            <v>52110</v>
          </cell>
          <cell r="H5423" t="str">
            <v>代扣本月劳动保险费</v>
          </cell>
          <cell r="I5423" t="b">
            <v>1</v>
          </cell>
          <cell r="J5423">
            <v>-479.2</v>
          </cell>
          <cell r="K5423">
            <v>0</v>
          </cell>
          <cell r="L5423">
            <v>0</v>
          </cell>
        </row>
        <row r="5424">
          <cell r="A5424" t="str">
            <v>09</v>
          </cell>
          <cell r="B5424" t="str">
            <v>18</v>
          </cell>
          <cell r="C5424" t="str">
            <v>09</v>
          </cell>
          <cell r="D5424" t="str">
            <v>4</v>
          </cell>
          <cell r="E5424" t="str">
            <v>0021</v>
          </cell>
          <cell r="F5424" t="str">
            <v>0002</v>
          </cell>
          <cell r="G5424" t="str">
            <v>52110</v>
          </cell>
          <cell r="H5424" t="str">
            <v>付劳动保险费</v>
          </cell>
          <cell r="I5424" t="b">
            <v>1</v>
          </cell>
          <cell r="J5424">
            <v>47978.400000000001</v>
          </cell>
          <cell r="K5424">
            <v>0</v>
          </cell>
          <cell r="L5424">
            <v>0</v>
          </cell>
        </row>
        <row r="5425">
          <cell r="A5425" t="str">
            <v>09</v>
          </cell>
          <cell r="B5425" t="str">
            <v>25</v>
          </cell>
          <cell r="C5425" t="str">
            <v>09</v>
          </cell>
          <cell r="D5425" t="str">
            <v>5</v>
          </cell>
          <cell r="E5425" t="str">
            <v>0017</v>
          </cell>
          <cell r="F5425" t="str">
            <v>0002</v>
          </cell>
          <cell r="G5425" t="str">
            <v>52110</v>
          </cell>
          <cell r="H5425" t="str">
            <v>转代扣本月劳动保险费</v>
          </cell>
          <cell r="I5425" t="b">
            <v>1</v>
          </cell>
          <cell r="J5425">
            <v>-1771.9</v>
          </cell>
          <cell r="K5425">
            <v>0</v>
          </cell>
          <cell r="L5425">
            <v>0</v>
          </cell>
        </row>
        <row r="5426">
          <cell r="A5426" t="str">
            <v>09</v>
          </cell>
          <cell r="B5426" t="str">
            <v>30</v>
          </cell>
          <cell r="C5426" t="str">
            <v>09</v>
          </cell>
          <cell r="D5426" t="str">
            <v>5</v>
          </cell>
          <cell r="E5426" t="str">
            <v>0040</v>
          </cell>
          <cell r="F5426" t="str">
            <v>0010</v>
          </cell>
          <cell r="G5426" t="str">
            <v>52110</v>
          </cell>
          <cell r="H5426" t="str">
            <v>结转本月管理费用</v>
          </cell>
          <cell r="I5426" t="b">
            <v>0</v>
          </cell>
          <cell r="J5426">
            <v>47143.3</v>
          </cell>
          <cell r="K5426">
            <v>0</v>
          </cell>
          <cell r="L5426">
            <v>0</v>
          </cell>
        </row>
        <row r="5427">
          <cell r="A5427" t="str">
            <v>10</v>
          </cell>
          <cell r="B5427" t="str">
            <v>01</v>
          </cell>
          <cell r="C5427" t="str">
            <v>10</v>
          </cell>
          <cell r="D5427" t="str">
            <v>1</v>
          </cell>
          <cell r="E5427" t="str">
            <v>0001</v>
          </cell>
          <cell r="F5427" t="str">
            <v>0002</v>
          </cell>
          <cell r="G5427" t="str">
            <v>52110</v>
          </cell>
          <cell r="H5427" t="str">
            <v>收离休医疗费.劳动保险费</v>
          </cell>
          <cell r="I5427" t="b">
            <v>1</v>
          </cell>
          <cell r="J5427">
            <v>-1323.2</v>
          </cell>
          <cell r="K5427">
            <v>0</v>
          </cell>
          <cell r="L5427">
            <v>0</v>
          </cell>
        </row>
        <row r="5428">
          <cell r="A5428" t="str">
            <v>10</v>
          </cell>
          <cell r="B5428" t="str">
            <v>08</v>
          </cell>
          <cell r="C5428" t="str">
            <v>10</v>
          </cell>
          <cell r="D5428" t="str">
            <v>2</v>
          </cell>
          <cell r="E5428" t="str">
            <v>0007</v>
          </cell>
          <cell r="F5428" t="str">
            <v>0001</v>
          </cell>
          <cell r="G5428" t="str">
            <v>52110</v>
          </cell>
          <cell r="H5428" t="str">
            <v>付邵立诚医疗费</v>
          </cell>
          <cell r="I5428" t="b">
            <v>1</v>
          </cell>
          <cell r="J5428">
            <v>228.8</v>
          </cell>
          <cell r="K5428">
            <v>0</v>
          </cell>
          <cell r="L5428">
            <v>0</v>
          </cell>
        </row>
        <row r="5429">
          <cell r="A5429" t="str">
            <v>10</v>
          </cell>
          <cell r="B5429" t="str">
            <v>10</v>
          </cell>
          <cell r="C5429" t="str">
            <v>10</v>
          </cell>
          <cell r="D5429" t="str">
            <v>4</v>
          </cell>
          <cell r="E5429" t="str">
            <v>0011</v>
          </cell>
          <cell r="F5429" t="str">
            <v>0002</v>
          </cell>
          <cell r="G5429" t="str">
            <v>52110</v>
          </cell>
          <cell r="H5429" t="str">
            <v>付待业金.劳动保险费</v>
          </cell>
          <cell r="I5429" t="b">
            <v>1</v>
          </cell>
          <cell r="J5429">
            <v>106578.4</v>
          </cell>
          <cell r="K5429">
            <v>0</v>
          </cell>
          <cell r="L5429">
            <v>0</v>
          </cell>
        </row>
        <row r="5430">
          <cell r="A5430" t="str">
            <v>10</v>
          </cell>
          <cell r="B5430" t="str">
            <v>22</v>
          </cell>
          <cell r="C5430" t="str">
            <v>10</v>
          </cell>
          <cell r="D5430" t="str">
            <v>4</v>
          </cell>
          <cell r="E5430" t="str">
            <v>0025</v>
          </cell>
          <cell r="F5430" t="str">
            <v>0006</v>
          </cell>
          <cell r="G5430" t="str">
            <v>52110</v>
          </cell>
          <cell r="H5430" t="str">
            <v>代扣劳动保险费</v>
          </cell>
          <cell r="I5430" t="b">
            <v>1</v>
          </cell>
          <cell r="J5430">
            <v>-464</v>
          </cell>
          <cell r="K5430">
            <v>0</v>
          </cell>
          <cell r="L5430">
            <v>0</v>
          </cell>
        </row>
        <row r="5431">
          <cell r="A5431" t="str">
            <v>10</v>
          </cell>
          <cell r="B5431" t="str">
            <v>26</v>
          </cell>
          <cell r="C5431" t="str">
            <v>10</v>
          </cell>
          <cell r="D5431" t="str">
            <v>5</v>
          </cell>
          <cell r="E5431" t="str">
            <v>0016</v>
          </cell>
          <cell r="F5431" t="str">
            <v>0001</v>
          </cell>
          <cell r="G5431" t="str">
            <v>52110</v>
          </cell>
          <cell r="H5431" t="str">
            <v>转代扣本月劳动保险费</v>
          </cell>
          <cell r="I5431" t="b">
            <v>1</v>
          </cell>
          <cell r="J5431">
            <v>-1659.3</v>
          </cell>
          <cell r="K5431">
            <v>0</v>
          </cell>
          <cell r="L5431">
            <v>0</v>
          </cell>
        </row>
        <row r="5432">
          <cell r="A5432" t="str">
            <v>10</v>
          </cell>
          <cell r="B5432" t="str">
            <v>30</v>
          </cell>
          <cell r="C5432" t="str">
            <v>10</v>
          </cell>
          <cell r="D5432" t="str">
            <v>5</v>
          </cell>
          <cell r="E5432" t="str">
            <v>0034</v>
          </cell>
          <cell r="F5432" t="str">
            <v>0010</v>
          </cell>
          <cell r="G5432" t="str">
            <v>52110</v>
          </cell>
          <cell r="H5432" t="str">
            <v>结转本月管理费用</v>
          </cell>
          <cell r="I5432" t="b">
            <v>0</v>
          </cell>
          <cell r="J5432">
            <v>103360.7</v>
          </cell>
          <cell r="K5432">
            <v>0</v>
          </cell>
          <cell r="L5432">
            <v>0</v>
          </cell>
        </row>
        <row r="5433">
          <cell r="A5433" t="str">
            <v>11</v>
          </cell>
          <cell r="B5433" t="str">
            <v>15</v>
          </cell>
          <cell r="C5433" t="str">
            <v>11</v>
          </cell>
          <cell r="D5433" t="str">
            <v>4</v>
          </cell>
          <cell r="E5433" t="str">
            <v>0027</v>
          </cell>
          <cell r="F5433" t="str">
            <v>0007</v>
          </cell>
          <cell r="G5433" t="str">
            <v>52110</v>
          </cell>
          <cell r="H5433" t="str">
            <v>代扣劳动保险费</v>
          </cell>
          <cell r="I5433" t="b">
            <v>1</v>
          </cell>
          <cell r="J5433">
            <v>-464.8</v>
          </cell>
          <cell r="K5433">
            <v>0</v>
          </cell>
          <cell r="L5433">
            <v>0</v>
          </cell>
        </row>
        <row r="5434">
          <cell r="A5434" t="str">
            <v>11</v>
          </cell>
          <cell r="B5434" t="str">
            <v>20</v>
          </cell>
          <cell r="C5434" t="str">
            <v>11</v>
          </cell>
          <cell r="D5434" t="str">
            <v>4</v>
          </cell>
          <cell r="E5434" t="str">
            <v>0032</v>
          </cell>
          <cell r="F5434" t="str">
            <v>0001</v>
          </cell>
          <cell r="G5434" t="str">
            <v>52110</v>
          </cell>
          <cell r="H5434" t="str">
            <v>付劳动保险费</v>
          </cell>
          <cell r="I5434" t="b">
            <v>1</v>
          </cell>
          <cell r="J5434">
            <v>47978.400000000001</v>
          </cell>
          <cell r="K5434">
            <v>0</v>
          </cell>
          <cell r="L5434">
            <v>0</v>
          </cell>
        </row>
        <row r="5435">
          <cell r="A5435" t="str">
            <v>11</v>
          </cell>
          <cell r="B5435" t="str">
            <v>18</v>
          </cell>
          <cell r="C5435" t="str">
            <v>11</v>
          </cell>
          <cell r="D5435" t="str">
            <v>5</v>
          </cell>
          <cell r="E5435" t="str">
            <v>0018</v>
          </cell>
          <cell r="F5435" t="str">
            <v>0001</v>
          </cell>
          <cell r="G5435" t="str">
            <v>52110</v>
          </cell>
          <cell r="H5435" t="str">
            <v>转代扣本月劳动保险费</v>
          </cell>
          <cell r="I5435" t="b">
            <v>1</v>
          </cell>
          <cell r="J5435">
            <v>-1651.5</v>
          </cell>
          <cell r="K5435">
            <v>0</v>
          </cell>
          <cell r="L5435">
            <v>0</v>
          </cell>
        </row>
        <row r="5436">
          <cell r="A5436" t="str">
            <v>11</v>
          </cell>
          <cell r="B5436" t="str">
            <v>30</v>
          </cell>
          <cell r="C5436" t="str">
            <v>11</v>
          </cell>
          <cell r="D5436" t="str">
            <v>5</v>
          </cell>
          <cell r="E5436" t="str">
            <v>0037</v>
          </cell>
          <cell r="F5436" t="str">
            <v>0011</v>
          </cell>
          <cell r="G5436" t="str">
            <v>52110</v>
          </cell>
          <cell r="H5436" t="str">
            <v>结转本月管理费用</v>
          </cell>
          <cell r="I5436" t="b">
            <v>0</v>
          </cell>
          <cell r="J5436">
            <v>45862.1</v>
          </cell>
          <cell r="K5436">
            <v>0</v>
          </cell>
          <cell r="L5436">
            <v>0</v>
          </cell>
        </row>
        <row r="5437">
          <cell r="A5437" t="str">
            <v>12</v>
          </cell>
          <cell r="B5437" t="str">
            <v>15</v>
          </cell>
          <cell r="C5437" t="str">
            <v>12</v>
          </cell>
          <cell r="D5437" t="str">
            <v>1</v>
          </cell>
          <cell r="E5437" t="str">
            <v>0004</v>
          </cell>
          <cell r="F5437" t="str">
            <v>0002</v>
          </cell>
          <cell r="G5437" t="str">
            <v>52110</v>
          </cell>
          <cell r="H5437" t="str">
            <v>收医药费</v>
          </cell>
          <cell r="I5437" t="b">
            <v>1</v>
          </cell>
          <cell r="J5437">
            <v>-196.7</v>
          </cell>
          <cell r="K5437">
            <v>0</v>
          </cell>
          <cell r="L5437">
            <v>0</v>
          </cell>
        </row>
        <row r="5438">
          <cell r="A5438" t="str">
            <v>12</v>
          </cell>
          <cell r="B5438" t="str">
            <v>10</v>
          </cell>
          <cell r="C5438" t="str">
            <v>12</v>
          </cell>
          <cell r="D5438" t="str">
            <v>2</v>
          </cell>
          <cell r="E5438" t="str">
            <v>0011</v>
          </cell>
          <cell r="F5438" t="str">
            <v>0001</v>
          </cell>
          <cell r="G5438" t="str">
            <v>52110</v>
          </cell>
          <cell r="H5438" t="str">
            <v>付潘婵公伤医疗费</v>
          </cell>
          <cell r="I5438" t="b">
            <v>1</v>
          </cell>
          <cell r="J5438">
            <v>10412.040000000001</v>
          </cell>
          <cell r="K5438">
            <v>0</v>
          </cell>
          <cell r="L5438">
            <v>0</v>
          </cell>
        </row>
        <row r="5439">
          <cell r="A5439" t="str">
            <v>12</v>
          </cell>
          <cell r="B5439" t="str">
            <v>22</v>
          </cell>
          <cell r="C5439" t="str">
            <v>12</v>
          </cell>
          <cell r="D5439" t="str">
            <v>2</v>
          </cell>
          <cell r="E5439" t="str">
            <v>0028</v>
          </cell>
          <cell r="F5439" t="str">
            <v>0002</v>
          </cell>
          <cell r="G5439" t="str">
            <v>52110</v>
          </cell>
          <cell r="H5439" t="str">
            <v>付药费</v>
          </cell>
          <cell r="I5439" t="b">
            <v>1</v>
          </cell>
          <cell r="J5439">
            <v>196.7</v>
          </cell>
          <cell r="K5439">
            <v>0</v>
          </cell>
          <cell r="L5439">
            <v>0</v>
          </cell>
        </row>
        <row r="5440">
          <cell r="A5440" t="str">
            <v>12</v>
          </cell>
          <cell r="B5440" t="str">
            <v>08</v>
          </cell>
          <cell r="C5440" t="str">
            <v>12</v>
          </cell>
          <cell r="D5440" t="str">
            <v>4</v>
          </cell>
          <cell r="E5440" t="str">
            <v>0010</v>
          </cell>
          <cell r="F5440" t="str">
            <v>0006</v>
          </cell>
          <cell r="G5440" t="str">
            <v>52110</v>
          </cell>
          <cell r="H5440" t="str">
            <v>代扣劳动保险费</v>
          </cell>
          <cell r="I5440" t="b">
            <v>1</v>
          </cell>
          <cell r="J5440">
            <v>-464.8</v>
          </cell>
          <cell r="K5440">
            <v>0</v>
          </cell>
          <cell r="L5440">
            <v>0</v>
          </cell>
        </row>
        <row r="5441">
          <cell r="A5441" t="str">
            <v>12</v>
          </cell>
          <cell r="B5441" t="str">
            <v>15</v>
          </cell>
          <cell r="C5441" t="str">
            <v>12</v>
          </cell>
          <cell r="D5441" t="str">
            <v>4</v>
          </cell>
          <cell r="E5441" t="str">
            <v>0024</v>
          </cell>
          <cell r="F5441" t="str">
            <v>0003</v>
          </cell>
          <cell r="G5441" t="str">
            <v>52110</v>
          </cell>
          <cell r="H5441" t="str">
            <v>付劳动保险费</v>
          </cell>
          <cell r="I5441" t="b">
            <v>1</v>
          </cell>
          <cell r="J5441">
            <v>54428.800000000003</v>
          </cell>
          <cell r="K5441">
            <v>0</v>
          </cell>
          <cell r="L5441">
            <v>0</v>
          </cell>
        </row>
        <row r="5442">
          <cell r="A5442" t="str">
            <v>12</v>
          </cell>
          <cell r="B5442" t="str">
            <v>20</v>
          </cell>
          <cell r="C5442" t="str">
            <v>12</v>
          </cell>
          <cell r="D5442" t="str">
            <v>5</v>
          </cell>
          <cell r="E5442" t="str">
            <v>0017</v>
          </cell>
          <cell r="F5442" t="str">
            <v>0001</v>
          </cell>
          <cell r="G5442" t="str">
            <v>52110</v>
          </cell>
          <cell r="H5442" t="str">
            <v>转代扣本月劳动保险费</v>
          </cell>
          <cell r="I5442" t="b">
            <v>1</v>
          </cell>
          <cell r="J5442">
            <v>-1651.4</v>
          </cell>
          <cell r="K5442">
            <v>0</v>
          </cell>
          <cell r="L5442">
            <v>0</v>
          </cell>
        </row>
        <row r="5443">
          <cell r="A5443" t="str">
            <v>12</v>
          </cell>
          <cell r="B5443" t="str">
            <v>27</v>
          </cell>
          <cell r="C5443" t="str">
            <v>12</v>
          </cell>
          <cell r="D5443" t="str">
            <v>5</v>
          </cell>
          <cell r="E5443" t="str">
            <v>0040</v>
          </cell>
          <cell r="F5443" t="str">
            <v>0001</v>
          </cell>
          <cell r="G5443" t="str">
            <v>52110</v>
          </cell>
          <cell r="H5443" t="str">
            <v>转分公司代扣劳动保险费</v>
          </cell>
          <cell r="I5443" t="b">
            <v>1</v>
          </cell>
          <cell r="J5443">
            <v>-1553.3</v>
          </cell>
          <cell r="K5443">
            <v>0</v>
          </cell>
          <cell r="L5443">
            <v>0</v>
          </cell>
        </row>
        <row r="5444">
          <cell r="A5444" t="str">
            <v>12</v>
          </cell>
          <cell r="B5444" t="str">
            <v>30</v>
          </cell>
          <cell r="C5444" t="str">
            <v>12</v>
          </cell>
          <cell r="D5444" t="str">
            <v>5</v>
          </cell>
          <cell r="E5444" t="str">
            <v>0088</v>
          </cell>
          <cell r="F5444" t="str">
            <v>0005</v>
          </cell>
          <cell r="G5444" t="str">
            <v>52110</v>
          </cell>
          <cell r="H5444" t="str">
            <v>转代扣劳动保险费</v>
          </cell>
          <cell r="I5444" t="b">
            <v>1</v>
          </cell>
          <cell r="J5444">
            <v>-505.6</v>
          </cell>
          <cell r="K5444">
            <v>0</v>
          </cell>
          <cell r="L5444">
            <v>0</v>
          </cell>
        </row>
        <row r="5445">
          <cell r="A5445" t="str">
            <v>12</v>
          </cell>
          <cell r="B5445" t="str">
            <v>31</v>
          </cell>
          <cell r="C5445" t="str">
            <v>12</v>
          </cell>
          <cell r="D5445" t="str">
            <v>5</v>
          </cell>
          <cell r="E5445" t="str">
            <v>0097</v>
          </cell>
          <cell r="F5445" t="str">
            <v>0002</v>
          </cell>
          <cell r="G5445" t="str">
            <v>52110</v>
          </cell>
          <cell r="H5445" t="str">
            <v>转代扣劳动保险费等</v>
          </cell>
          <cell r="I5445" t="b">
            <v>1</v>
          </cell>
          <cell r="J5445">
            <v>-1692.2</v>
          </cell>
          <cell r="K5445">
            <v>0</v>
          </cell>
          <cell r="L5445">
            <v>0</v>
          </cell>
        </row>
        <row r="5446">
          <cell r="A5446" t="str">
            <v>12</v>
          </cell>
          <cell r="B5446" t="str">
            <v>31</v>
          </cell>
          <cell r="C5446" t="str">
            <v>12</v>
          </cell>
          <cell r="D5446" t="str">
            <v>5</v>
          </cell>
          <cell r="E5446" t="str">
            <v>0103</v>
          </cell>
          <cell r="F5446" t="str">
            <v>0010</v>
          </cell>
          <cell r="G5446" t="str">
            <v>52110</v>
          </cell>
          <cell r="H5446" t="str">
            <v>结转本月管理费用</v>
          </cell>
          <cell r="I5446" t="b">
            <v>0</v>
          </cell>
          <cell r="J5446">
            <v>58973.54</v>
          </cell>
          <cell r="K5446">
            <v>0</v>
          </cell>
          <cell r="L5446">
            <v>0</v>
          </cell>
        </row>
        <row r="5447">
          <cell r="A5447" t="str">
            <v>02</v>
          </cell>
          <cell r="B5447" t="str">
            <v>21</v>
          </cell>
          <cell r="C5447" t="str">
            <v>02</v>
          </cell>
          <cell r="D5447" t="str">
            <v>4</v>
          </cell>
          <cell r="E5447" t="str">
            <v>0032</v>
          </cell>
          <cell r="F5447" t="str">
            <v>0001</v>
          </cell>
          <cell r="G5447" t="str">
            <v>52111</v>
          </cell>
          <cell r="H5447" t="str">
            <v>付失业保险金</v>
          </cell>
          <cell r="I5447" t="b">
            <v>1</v>
          </cell>
          <cell r="J5447">
            <v>77550</v>
          </cell>
          <cell r="K5447">
            <v>0</v>
          </cell>
          <cell r="L5447">
            <v>0</v>
          </cell>
        </row>
        <row r="5448">
          <cell r="A5448" t="str">
            <v>02</v>
          </cell>
          <cell r="B5448" t="str">
            <v>29</v>
          </cell>
          <cell r="C5448" t="str">
            <v>02</v>
          </cell>
          <cell r="D5448" t="str">
            <v>5</v>
          </cell>
          <cell r="E5448" t="str">
            <v>0058</v>
          </cell>
          <cell r="F5448" t="str">
            <v>0012</v>
          </cell>
          <cell r="G5448" t="str">
            <v>52111</v>
          </cell>
          <cell r="H5448" t="str">
            <v>结转本月管理费用</v>
          </cell>
          <cell r="I5448" t="b">
            <v>0</v>
          </cell>
          <cell r="J5448">
            <v>77550</v>
          </cell>
          <cell r="K5448">
            <v>0</v>
          </cell>
          <cell r="L5448">
            <v>0</v>
          </cell>
        </row>
        <row r="5449">
          <cell r="A5449" t="str">
            <v>02</v>
          </cell>
          <cell r="B5449" t="str">
            <v>21</v>
          </cell>
          <cell r="C5449" t="str">
            <v>02</v>
          </cell>
          <cell r="D5449" t="str">
            <v>4</v>
          </cell>
          <cell r="E5449" t="str">
            <v>0032</v>
          </cell>
          <cell r="F5449" t="str">
            <v>0003</v>
          </cell>
          <cell r="G5449" t="str">
            <v>52112</v>
          </cell>
          <cell r="H5449" t="str">
            <v>付排污费</v>
          </cell>
          <cell r="I5449" t="b">
            <v>1</v>
          </cell>
          <cell r="J5449">
            <v>36574</v>
          </cell>
          <cell r="K5449">
            <v>0</v>
          </cell>
          <cell r="L5449">
            <v>0</v>
          </cell>
        </row>
        <row r="5450">
          <cell r="A5450" t="str">
            <v>02</v>
          </cell>
          <cell r="B5450" t="str">
            <v>29</v>
          </cell>
          <cell r="C5450" t="str">
            <v>02</v>
          </cell>
          <cell r="D5450" t="str">
            <v>5</v>
          </cell>
          <cell r="E5450" t="str">
            <v>0058</v>
          </cell>
          <cell r="F5450" t="str">
            <v>0013</v>
          </cell>
          <cell r="G5450" t="str">
            <v>52112</v>
          </cell>
          <cell r="H5450" t="str">
            <v>结转本月管理费用</v>
          </cell>
          <cell r="I5450" t="b">
            <v>0</v>
          </cell>
          <cell r="J5450">
            <v>36574</v>
          </cell>
          <cell r="K5450">
            <v>0</v>
          </cell>
          <cell r="L5450">
            <v>0</v>
          </cell>
        </row>
        <row r="5451">
          <cell r="A5451" t="str">
            <v>03</v>
          </cell>
          <cell r="B5451" t="str">
            <v>02</v>
          </cell>
          <cell r="C5451" t="str">
            <v>03</v>
          </cell>
          <cell r="D5451" t="str">
            <v>4</v>
          </cell>
          <cell r="E5451" t="str">
            <v>0005</v>
          </cell>
          <cell r="F5451" t="str">
            <v>0001</v>
          </cell>
          <cell r="G5451" t="str">
            <v>52112</v>
          </cell>
          <cell r="H5451" t="str">
            <v>付排污费</v>
          </cell>
          <cell r="I5451" t="b">
            <v>1</v>
          </cell>
          <cell r="J5451">
            <v>11531</v>
          </cell>
          <cell r="K5451">
            <v>0</v>
          </cell>
          <cell r="L5451">
            <v>0</v>
          </cell>
        </row>
        <row r="5452">
          <cell r="A5452" t="str">
            <v>03</v>
          </cell>
          <cell r="B5452" t="str">
            <v>30</v>
          </cell>
          <cell r="C5452" t="str">
            <v>03</v>
          </cell>
          <cell r="D5452" t="str">
            <v>5</v>
          </cell>
          <cell r="E5452" t="str">
            <v>0032</v>
          </cell>
          <cell r="F5452" t="str">
            <v>0011</v>
          </cell>
          <cell r="G5452" t="str">
            <v>52112</v>
          </cell>
          <cell r="H5452" t="str">
            <v>结转本月管理费用</v>
          </cell>
          <cell r="I5452" t="b">
            <v>0</v>
          </cell>
          <cell r="J5452">
            <v>11531</v>
          </cell>
          <cell r="K5452">
            <v>0</v>
          </cell>
          <cell r="L5452">
            <v>0</v>
          </cell>
        </row>
        <row r="5453">
          <cell r="A5453" t="str">
            <v>04</v>
          </cell>
          <cell r="B5453" t="str">
            <v>15</v>
          </cell>
          <cell r="C5453" t="str">
            <v>04</v>
          </cell>
          <cell r="D5453" t="str">
            <v>4</v>
          </cell>
          <cell r="E5453" t="str">
            <v>0013</v>
          </cell>
          <cell r="F5453" t="str">
            <v>0002</v>
          </cell>
          <cell r="G5453" t="str">
            <v>52112</v>
          </cell>
          <cell r="H5453" t="str">
            <v>付本月排污费</v>
          </cell>
          <cell r="I5453" t="b">
            <v>1</v>
          </cell>
          <cell r="J5453">
            <v>4905</v>
          </cell>
          <cell r="K5453">
            <v>0</v>
          </cell>
          <cell r="L5453">
            <v>0</v>
          </cell>
        </row>
        <row r="5454">
          <cell r="A5454" t="str">
            <v>04</v>
          </cell>
          <cell r="B5454" t="str">
            <v>29</v>
          </cell>
          <cell r="C5454" t="str">
            <v>04</v>
          </cell>
          <cell r="D5454" t="str">
            <v>5</v>
          </cell>
          <cell r="E5454" t="str">
            <v>0038</v>
          </cell>
          <cell r="F5454" t="str">
            <v>0011</v>
          </cell>
          <cell r="G5454" t="str">
            <v>52112</v>
          </cell>
          <cell r="H5454" t="str">
            <v>结转本月管理费用</v>
          </cell>
          <cell r="I5454" t="b">
            <v>0</v>
          </cell>
          <cell r="J5454">
            <v>4905</v>
          </cell>
          <cell r="K5454">
            <v>0</v>
          </cell>
          <cell r="L5454">
            <v>0</v>
          </cell>
        </row>
        <row r="5455">
          <cell r="A5455" t="str">
            <v>05</v>
          </cell>
          <cell r="B5455" t="str">
            <v>11</v>
          </cell>
          <cell r="C5455" t="str">
            <v>05</v>
          </cell>
          <cell r="D5455" t="str">
            <v>4</v>
          </cell>
          <cell r="E5455" t="str">
            <v>0003</v>
          </cell>
          <cell r="F5455" t="str">
            <v>0003</v>
          </cell>
          <cell r="G5455" t="str">
            <v>52112</v>
          </cell>
          <cell r="H5455" t="str">
            <v>付排污费</v>
          </cell>
          <cell r="I5455" t="b">
            <v>1</v>
          </cell>
          <cell r="J5455">
            <v>23062</v>
          </cell>
          <cell r="K5455">
            <v>0</v>
          </cell>
          <cell r="L5455">
            <v>0</v>
          </cell>
        </row>
        <row r="5456">
          <cell r="A5456" t="str">
            <v>05</v>
          </cell>
          <cell r="B5456" t="str">
            <v>31</v>
          </cell>
          <cell r="C5456" t="str">
            <v>05</v>
          </cell>
          <cell r="D5456" t="str">
            <v>5</v>
          </cell>
          <cell r="E5456" t="str">
            <v>0039</v>
          </cell>
          <cell r="F5456" t="str">
            <v>0011</v>
          </cell>
          <cell r="G5456" t="str">
            <v>52112</v>
          </cell>
          <cell r="H5456" t="str">
            <v>结转本月管理费用</v>
          </cell>
          <cell r="I5456" t="b">
            <v>0</v>
          </cell>
          <cell r="J5456">
            <v>23062</v>
          </cell>
          <cell r="K5456">
            <v>0</v>
          </cell>
          <cell r="L5456">
            <v>0</v>
          </cell>
        </row>
        <row r="5457">
          <cell r="A5457" t="str">
            <v>06</v>
          </cell>
          <cell r="B5457" t="str">
            <v>20</v>
          </cell>
          <cell r="C5457" t="str">
            <v>06</v>
          </cell>
          <cell r="D5457" t="str">
            <v>4</v>
          </cell>
          <cell r="E5457" t="str">
            <v>0011</v>
          </cell>
          <cell r="F5457" t="str">
            <v>0002</v>
          </cell>
          <cell r="G5457" t="str">
            <v>52112</v>
          </cell>
          <cell r="H5457" t="str">
            <v>付排污费</v>
          </cell>
          <cell r="I5457" t="b">
            <v>1</v>
          </cell>
          <cell r="J5457">
            <v>11531</v>
          </cell>
          <cell r="K5457">
            <v>0</v>
          </cell>
          <cell r="L5457">
            <v>0</v>
          </cell>
        </row>
        <row r="5458">
          <cell r="A5458" t="str">
            <v>06</v>
          </cell>
          <cell r="B5458" t="str">
            <v>25</v>
          </cell>
          <cell r="C5458" t="str">
            <v>06</v>
          </cell>
          <cell r="D5458" t="str">
            <v>5</v>
          </cell>
          <cell r="E5458" t="str">
            <v>0028</v>
          </cell>
          <cell r="F5458" t="str">
            <v>0010</v>
          </cell>
          <cell r="G5458" t="str">
            <v>52112</v>
          </cell>
          <cell r="H5458" t="str">
            <v>结转本月管理费用</v>
          </cell>
          <cell r="I5458" t="b">
            <v>0</v>
          </cell>
          <cell r="J5458">
            <v>11531</v>
          </cell>
          <cell r="K5458">
            <v>0</v>
          </cell>
          <cell r="L5458">
            <v>0</v>
          </cell>
        </row>
        <row r="5459">
          <cell r="A5459" t="str">
            <v>07</v>
          </cell>
          <cell r="B5459" t="str">
            <v>07</v>
          </cell>
          <cell r="C5459" t="str">
            <v>07</v>
          </cell>
          <cell r="D5459" t="str">
            <v>4</v>
          </cell>
          <cell r="E5459" t="str">
            <v>0005</v>
          </cell>
          <cell r="F5459" t="str">
            <v>0002</v>
          </cell>
          <cell r="G5459" t="str">
            <v>52112</v>
          </cell>
          <cell r="H5459" t="str">
            <v>付排污费</v>
          </cell>
          <cell r="I5459" t="b">
            <v>1</v>
          </cell>
          <cell r="J5459">
            <v>16436</v>
          </cell>
          <cell r="K5459">
            <v>0</v>
          </cell>
          <cell r="L5459">
            <v>0</v>
          </cell>
        </row>
        <row r="5460">
          <cell r="A5460" t="str">
            <v>07</v>
          </cell>
          <cell r="B5460" t="str">
            <v>29</v>
          </cell>
          <cell r="C5460" t="str">
            <v>07</v>
          </cell>
          <cell r="D5460" t="str">
            <v>5</v>
          </cell>
          <cell r="E5460" t="str">
            <v>0044</v>
          </cell>
          <cell r="F5460" t="str">
            <v>0011</v>
          </cell>
          <cell r="G5460" t="str">
            <v>52112</v>
          </cell>
          <cell r="H5460" t="str">
            <v>结转本月管理费用</v>
          </cell>
          <cell r="I5460" t="b">
            <v>0</v>
          </cell>
          <cell r="J5460">
            <v>16436</v>
          </cell>
          <cell r="K5460">
            <v>0</v>
          </cell>
          <cell r="L5460">
            <v>0</v>
          </cell>
        </row>
        <row r="5461">
          <cell r="A5461" t="str">
            <v>08</v>
          </cell>
          <cell r="B5461" t="str">
            <v>15</v>
          </cell>
          <cell r="C5461" t="str">
            <v>08</v>
          </cell>
          <cell r="D5461" t="str">
            <v>4</v>
          </cell>
          <cell r="E5461" t="str">
            <v>0019</v>
          </cell>
          <cell r="F5461" t="str">
            <v>0002</v>
          </cell>
          <cell r="G5461" t="str">
            <v>52112</v>
          </cell>
          <cell r="H5461" t="str">
            <v>付排污费</v>
          </cell>
          <cell r="I5461" t="b">
            <v>1</v>
          </cell>
          <cell r="J5461">
            <v>11531</v>
          </cell>
          <cell r="K5461">
            <v>0</v>
          </cell>
          <cell r="L5461">
            <v>0</v>
          </cell>
        </row>
        <row r="5462">
          <cell r="A5462" t="str">
            <v>08</v>
          </cell>
          <cell r="B5462" t="str">
            <v>31</v>
          </cell>
          <cell r="C5462" t="str">
            <v>08</v>
          </cell>
          <cell r="D5462" t="str">
            <v>5</v>
          </cell>
          <cell r="E5462" t="str">
            <v>0035</v>
          </cell>
          <cell r="F5462" t="str">
            <v>0011</v>
          </cell>
          <cell r="G5462" t="str">
            <v>52112</v>
          </cell>
          <cell r="H5462" t="str">
            <v>结转本月管理费用</v>
          </cell>
          <cell r="I5462" t="b">
            <v>0</v>
          </cell>
          <cell r="J5462">
            <v>11531</v>
          </cell>
          <cell r="K5462">
            <v>0</v>
          </cell>
          <cell r="L5462">
            <v>0</v>
          </cell>
        </row>
        <row r="5463">
          <cell r="A5463" t="str">
            <v>09</v>
          </cell>
          <cell r="B5463" t="str">
            <v>18</v>
          </cell>
          <cell r="C5463" t="str">
            <v>09</v>
          </cell>
          <cell r="D5463" t="str">
            <v>4</v>
          </cell>
          <cell r="E5463" t="str">
            <v>0021</v>
          </cell>
          <cell r="F5463" t="str">
            <v>0001</v>
          </cell>
          <cell r="G5463" t="str">
            <v>52112</v>
          </cell>
          <cell r="H5463" t="str">
            <v>付排污费</v>
          </cell>
          <cell r="I5463" t="b">
            <v>1</v>
          </cell>
          <cell r="J5463">
            <v>11531</v>
          </cell>
          <cell r="K5463">
            <v>0</v>
          </cell>
          <cell r="L5463">
            <v>0</v>
          </cell>
        </row>
        <row r="5464">
          <cell r="A5464" t="str">
            <v>09</v>
          </cell>
          <cell r="B5464" t="str">
            <v>30</v>
          </cell>
          <cell r="C5464" t="str">
            <v>09</v>
          </cell>
          <cell r="D5464" t="str">
            <v>5</v>
          </cell>
          <cell r="E5464" t="str">
            <v>0040</v>
          </cell>
          <cell r="F5464" t="str">
            <v>0011</v>
          </cell>
          <cell r="G5464" t="str">
            <v>52112</v>
          </cell>
          <cell r="H5464" t="str">
            <v>结转本月管理费用</v>
          </cell>
          <cell r="I5464" t="b">
            <v>0</v>
          </cell>
          <cell r="J5464">
            <v>11531</v>
          </cell>
          <cell r="K5464">
            <v>0</v>
          </cell>
          <cell r="L5464">
            <v>0</v>
          </cell>
        </row>
        <row r="5465">
          <cell r="A5465" t="str">
            <v>10</v>
          </cell>
          <cell r="B5465" t="str">
            <v>10</v>
          </cell>
          <cell r="C5465" t="str">
            <v>10</v>
          </cell>
          <cell r="D5465" t="str">
            <v>4</v>
          </cell>
          <cell r="E5465" t="str">
            <v>0011</v>
          </cell>
          <cell r="F5465" t="str">
            <v>0001</v>
          </cell>
          <cell r="G5465" t="str">
            <v>52112</v>
          </cell>
          <cell r="H5465" t="str">
            <v>付排污费</v>
          </cell>
          <cell r="I5465" t="b">
            <v>1</v>
          </cell>
          <cell r="J5465">
            <v>16436</v>
          </cell>
          <cell r="K5465">
            <v>0</v>
          </cell>
          <cell r="L5465">
            <v>0</v>
          </cell>
        </row>
        <row r="5466">
          <cell r="A5466" t="str">
            <v>10</v>
          </cell>
          <cell r="B5466" t="str">
            <v>30</v>
          </cell>
          <cell r="C5466" t="str">
            <v>10</v>
          </cell>
          <cell r="D5466" t="str">
            <v>5</v>
          </cell>
          <cell r="E5466" t="str">
            <v>0034</v>
          </cell>
          <cell r="F5466" t="str">
            <v>0011</v>
          </cell>
          <cell r="G5466" t="str">
            <v>52112</v>
          </cell>
          <cell r="H5466" t="str">
            <v>结转本月管理费用</v>
          </cell>
          <cell r="I5466" t="b">
            <v>0</v>
          </cell>
          <cell r="J5466">
            <v>16436</v>
          </cell>
          <cell r="K5466">
            <v>0</v>
          </cell>
          <cell r="L5466">
            <v>0</v>
          </cell>
        </row>
        <row r="5467">
          <cell r="A5467" t="str">
            <v>11</v>
          </cell>
          <cell r="B5467" t="str">
            <v>03</v>
          </cell>
          <cell r="C5467" t="str">
            <v>11</v>
          </cell>
          <cell r="D5467" t="str">
            <v>4</v>
          </cell>
          <cell r="E5467" t="str">
            <v>0004</v>
          </cell>
          <cell r="F5467" t="str">
            <v>0002</v>
          </cell>
          <cell r="G5467" t="str">
            <v>52112</v>
          </cell>
          <cell r="H5467" t="str">
            <v>付排污费</v>
          </cell>
          <cell r="I5467" t="b">
            <v>1</v>
          </cell>
          <cell r="J5467">
            <v>11531</v>
          </cell>
          <cell r="K5467">
            <v>0</v>
          </cell>
          <cell r="L5467">
            <v>0</v>
          </cell>
        </row>
        <row r="5468">
          <cell r="A5468" t="str">
            <v>11</v>
          </cell>
          <cell r="B5468" t="str">
            <v>30</v>
          </cell>
          <cell r="C5468" t="str">
            <v>11</v>
          </cell>
          <cell r="D5468" t="str">
            <v>5</v>
          </cell>
          <cell r="E5468" t="str">
            <v>0037</v>
          </cell>
          <cell r="F5468" t="str">
            <v>0012</v>
          </cell>
          <cell r="G5468" t="str">
            <v>52112</v>
          </cell>
          <cell r="H5468" t="str">
            <v>结转本月管理费用</v>
          </cell>
          <cell r="I5468" t="b">
            <v>0</v>
          </cell>
          <cell r="J5468">
            <v>11531</v>
          </cell>
          <cell r="K5468">
            <v>0</v>
          </cell>
          <cell r="L5468">
            <v>0</v>
          </cell>
        </row>
        <row r="5469">
          <cell r="A5469" t="str">
            <v>12</v>
          </cell>
          <cell r="B5469" t="str">
            <v>15</v>
          </cell>
          <cell r="C5469" t="str">
            <v>12</v>
          </cell>
          <cell r="D5469" t="str">
            <v>4</v>
          </cell>
          <cell r="E5469" t="str">
            <v>0024</v>
          </cell>
          <cell r="F5469" t="str">
            <v>0002</v>
          </cell>
          <cell r="G5469" t="str">
            <v>52112</v>
          </cell>
          <cell r="H5469" t="str">
            <v>付排污费</v>
          </cell>
          <cell r="I5469" t="b">
            <v>1</v>
          </cell>
          <cell r="J5469">
            <v>11531</v>
          </cell>
          <cell r="K5469">
            <v>0</v>
          </cell>
          <cell r="L5469">
            <v>0</v>
          </cell>
        </row>
        <row r="5470">
          <cell r="A5470" t="str">
            <v>12</v>
          </cell>
          <cell r="B5470" t="str">
            <v>31</v>
          </cell>
          <cell r="C5470" t="str">
            <v>12</v>
          </cell>
          <cell r="D5470" t="str">
            <v>5</v>
          </cell>
          <cell r="E5470" t="str">
            <v>0103</v>
          </cell>
          <cell r="F5470" t="str">
            <v>0011</v>
          </cell>
          <cell r="G5470" t="str">
            <v>52112</v>
          </cell>
          <cell r="H5470" t="str">
            <v>结转本月管理费用</v>
          </cell>
          <cell r="I5470" t="b">
            <v>0</v>
          </cell>
          <cell r="J5470">
            <v>11531</v>
          </cell>
          <cell r="K5470">
            <v>0</v>
          </cell>
          <cell r="L5470">
            <v>0</v>
          </cell>
        </row>
        <row r="5471">
          <cell r="A5471" t="str">
            <v>03</v>
          </cell>
          <cell r="B5471" t="str">
            <v>30</v>
          </cell>
          <cell r="C5471" t="str">
            <v>03</v>
          </cell>
          <cell r="D5471" t="str">
            <v>5</v>
          </cell>
          <cell r="E5471" t="str">
            <v>0026</v>
          </cell>
          <cell r="F5471" t="str">
            <v>0001</v>
          </cell>
          <cell r="G5471" t="str">
            <v>52113</v>
          </cell>
          <cell r="H5471" t="str">
            <v>转计提1季度应提房产及土地税</v>
          </cell>
          <cell r="I5471" t="b">
            <v>1</v>
          </cell>
          <cell r="J5471">
            <v>56317.73</v>
          </cell>
          <cell r="K5471">
            <v>0</v>
          </cell>
          <cell r="L5471">
            <v>0</v>
          </cell>
        </row>
        <row r="5472">
          <cell r="A5472" t="str">
            <v>03</v>
          </cell>
          <cell r="B5472" t="str">
            <v>30</v>
          </cell>
          <cell r="C5472" t="str">
            <v>03</v>
          </cell>
          <cell r="D5472" t="str">
            <v>5</v>
          </cell>
          <cell r="E5472" t="str">
            <v>0032</v>
          </cell>
          <cell r="F5472" t="str">
            <v>0012</v>
          </cell>
          <cell r="G5472" t="str">
            <v>52113</v>
          </cell>
          <cell r="H5472" t="str">
            <v>结转本月管理费用</v>
          </cell>
          <cell r="I5472" t="b">
            <v>0</v>
          </cell>
          <cell r="J5472">
            <v>56317.73</v>
          </cell>
          <cell r="K5472">
            <v>0</v>
          </cell>
          <cell r="L5472">
            <v>0</v>
          </cell>
        </row>
        <row r="5473">
          <cell r="A5473" t="str">
            <v>04</v>
          </cell>
          <cell r="B5473" t="str">
            <v>25</v>
          </cell>
          <cell r="C5473" t="str">
            <v>04</v>
          </cell>
          <cell r="D5473" t="str">
            <v>5</v>
          </cell>
          <cell r="E5473" t="str">
            <v>0022</v>
          </cell>
          <cell r="F5473" t="str">
            <v>0001</v>
          </cell>
          <cell r="G5473" t="str">
            <v>52113</v>
          </cell>
          <cell r="H5473" t="str">
            <v>转计提4月份房产税</v>
          </cell>
          <cell r="I5473" t="b">
            <v>1</v>
          </cell>
          <cell r="J5473">
            <v>12079</v>
          </cell>
          <cell r="K5473">
            <v>0</v>
          </cell>
          <cell r="L5473">
            <v>0</v>
          </cell>
        </row>
        <row r="5474">
          <cell r="A5474" t="str">
            <v>04</v>
          </cell>
          <cell r="B5474" t="str">
            <v>25</v>
          </cell>
          <cell r="C5474" t="str">
            <v>04</v>
          </cell>
          <cell r="D5474" t="str">
            <v>5</v>
          </cell>
          <cell r="E5474" t="str">
            <v>0022</v>
          </cell>
          <cell r="F5474" t="str">
            <v>0007</v>
          </cell>
          <cell r="G5474" t="str">
            <v>52113</v>
          </cell>
          <cell r="H5474" t="str">
            <v>转补提99年应交土地使用税</v>
          </cell>
          <cell r="I5474" t="b">
            <v>1</v>
          </cell>
          <cell r="J5474">
            <v>12737.41</v>
          </cell>
          <cell r="K5474">
            <v>0</v>
          </cell>
          <cell r="L5474">
            <v>0</v>
          </cell>
        </row>
        <row r="5475">
          <cell r="A5475" t="str">
            <v>04</v>
          </cell>
          <cell r="B5475" t="str">
            <v>25</v>
          </cell>
          <cell r="C5475" t="str">
            <v>04</v>
          </cell>
          <cell r="D5475" t="str">
            <v>5</v>
          </cell>
          <cell r="E5475" t="str">
            <v>0022</v>
          </cell>
          <cell r="F5475" t="str">
            <v>0011</v>
          </cell>
          <cell r="G5475" t="str">
            <v>52113</v>
          </cell>
          <cell r="H5475" t="str">
            <v>转补提99年应交印花税</v>
          </cell>
          <cell r="I5475" t="b">
            <v>1</v>
          </cell>
          <cell r="J5475">
            <v>4753.6099999999997</v>
          </cell>
          <cell r="K5475">
            <v>0</v>
          </cell>
          <cell r="L5475">
            <v>0</v>
          </cell>
        </row>
        <row r="5476">
          <cell r="A5476" t="str">
            <v>04</v>
          </cell>
          <cell r="B5476" t="str">
            <v>29</v>
          </cell>
          <cell r="C5476" t="str">
            <v>04</v>
          </cell>
          <cell r="D5476" t="str">
            <v>5</v>
          </cell>
          <cell r="E5476" t="str">
            <v>0038</v>
          </cell>
          <cell r="F5476" t="str">
            <v>0012</v>
          </cell>
          <cell r="G5476" t="str">
            <v>52113</v>
          </cell>
          <cell r="H5476" t="str">
            <v>结转本月管理费用</v>
          </cell>
          <cell r="I5476" t="b">
            <v>0</v>
          </cell>
          <cell r="J5476">
            <v>29570.02</v>
          </cell>
          <cell r="K5476">
            <v>0</v>
          </cell>
          <cell r="L5476">
            <v>0</v>
          </cell>
        </row>
        <row r="5477">
          <cell r="A5477" t="str">
            <v>05</v>
          </cell>
          <cell r="B5477" t="str">
            <v>29</v>
          </cell>
          <cell r="C5477" t="str">
            <v>05</v>
          </cell>
          <cell r="D5477" t="str">
            <v>5</v>
          </cell>
          <cell r="E5477" t="str">
            <v>0031</v>
          </cell>
          <cell r="F5477" t="str">
            <v>0001</v>
          </cell>
          <cell r="G5477" t="str">
            <v>52113</v>
          </cell>
          <cell r="H5477" t="str">
            <v>转计提5月份房产税</v>
          </cell>
          <cell r="I5477" t="b">
            <v>1</v>
          </cell>
          <cell r="J5477">
            <v>12079</v>
          </cell>
          <cell r="K5477">
            <v>0</v>
          </cell>
          <cell r="L5477">
            <v>0</v>
          </cell>
        </row>
        <row r="5478">
          <cell r="A5478" t="str">
            <v>05</v>
          </cell>
          <cell r="B5478" t="str">
            <v>31</v>
          </cell>
          <cell r="C5478" t="str">
            <v>05</v>
          </cell>
          <cell r="D5478" t="str">
            <v>5</v>
          </cell>
          <cell r="E5478" t="str">
            <v>0039</v>
          </cell>
          <cell r="F5478" t="str">
            <v>0012</v>
          </cell>
          <cell r="G5478" t="str">
            <v>52113</v>
          </cell>
          <cell r="H5478" t="str">
            <v>结转本月管理费用</v>
          </cell>
          <cell r="I5478" t="b">
            <v>0</v>
          </cell>
          <cell r="J5478">
            <v>12079</v>
          </cell>
          <cell r="K5478">
            <v>0</v>
          </cell>
          <cell r="L5478">
            <v>0</v>
          </cell>
        </row>
        <row r="5479">
          <cell r="A5479" t="str">
            <v>06</v>
          </cell>
          <cell r="B5479" t="str">
            <v>25</v>
          </cell>
          <cell r="C5479" t="str">
            <v>06</v>
          </cell>
          <cell r="D5479" t="str">
            <v>5</v>
          </cell>
          <cell r="E5479" t="str">
            <v>0022</v>
          </cell>
          <cell r="F5479" t="str">
            <v>0001</v>
          </cell>
          <cell r="G5479" t="str">
            <v>52113</v>
          </cell>
          <cell r="H5479" t="str">
            <v>转计提2季度土地税及6月房产税</v>
          </cell>
          <cell r="I5479" t="b">
            <v>1</v>
          </cell>
          <cell r="J5479">
            <v>32159.73</v>
          </cell>
          <cell r="K5479">
            <v>0</v>
          </cell>
          <cell r="L5479">
            <v>0</v>
          </cell>
        </row>
        <row r="5480">
          <cell r="A5480" t="str">
            <v>06</v>
          </cell>
          <cell r="B5480" t="str">
            <v>25</v>
          </cell>
          <cell r="C5480" t="str">
            <v>06</v>
          </cell>
          <cell r="D5480" t="str">
            <v>5</v>
          </cell>
          <cell r="E5480" t="str">
            <v>0028</v>
          </cell>
          <cell r="F5480" t="str">
            <v>0011</v>
          </cell>
          <cell r="G5480" t="str">
            <v>52113</v>
          </cell>
          <cell r="H5480" t="str">
            <v>结转本月管理费用</v>
          </cell>
          <cell r="I5480" t="b">
            <v>0</v>
          </cell>
          <cell r="J5480">
            <v>32159.73</v>
          </cell>
          <cell r="K5480">
            <v>0</v>
          </cell>
          <cell r="L5480">
            <v>0</v>
          </cell>
        </row>
        <row r="5481">
          <cell r="A5481" t="str">
            <v>07</v>
          </cell>
          <cell r="B5481" t="str">
            <v>28</v>
          </cell>
          <cell r="C5481" t="str">
            <v>07</v>
          </cell>
          <cell r="D5481" t="str">
            <v>5</v>
          </cell>
          <cell r="E5481" t="str">
            <v>0039</v>
          </cell>
          <cell r="F5481" t="str">
            <v>0001</v>
          </cell>
          <cell r="G5481" t="str">
            <v>52113</v>
          </cell>
          <cell r="H5481" t="str">
            <v>转计提7月份房产税</v>
          </cell>
          <cell r="I5481" t="b">
            <v>1</v>
          </cell>
          <cell r="J5481">
            <v>12079</v>
          </cell>
          <cell r="K5481">
            <v>0</v>
          </cell>
          <cell r="L5481">
            <v>0</v>
          </cell>
        </row>
        <row r="5482">
          <cell r="A5482" t="str">
            <v>07</v>
          </cell>
          <cell r="B5482" t="str">
            <v>29</v>
          </cell>
          <cell r="C5482" t="str">
            <v>07</v>
          </cell>
          <cell r="D5482" t="str">
            <v>5</v>
          </cell>
          <cell r="E5482" t="str">
            <v>0044</v>
          </cell>
          <cell r="F5482" t="str">
            <v>0012</v>
          </cell>
          <cell r="G5482" t="str">
            <v>52113</v>
          </cell>
          <cell r="H5482" t="str">
            <v>结转本月管理费用</v>
          </cell>
          <cell r="I5482" t="b">
            <v>0</v>
          </cell>
          <cell r="J5482">
            <v>12079</v>
          </cell>
          <cell r="K5482">
            <v>0</v>
          </cell>
          <cell r="L5482">
            <v>0</v>
          </cell>
        </row>
        <row r="5483">
          <cell r="A5483" t="str">
            <v>08</v>
          </cell>
          <cell r="B5483" t="str">
            <v>28</v>
          </cell>
          <cell r="C5483" t="str">
            <v>08</v>
          </cell>
          <cell r="D5483" t="str">
            <v>5</v>
          </cell>
          <cell r="E5483" t="str">
            <v>0028</v>
          </cell>
          <cell r="F5483" t="str">
            <v>0001</v>
          </cell>
          <cell r="G5483" t="str">
            <v>52113</v>
          </cell>
          <cell r="H5483" t="str">
            <v>转计提8月份房产税</v>
          </cell>
          <cell r="I5483" t="b">
            <v>1</v>
          </cell>
          <cell r="J5483">
            <v>12079</v>
          </cell>
          <cell r="K5483">
            <v>0</v>
          </cell>
          <cell r="L5483">
            <v>0</v>
          </cell>
        </row>
        <row r="5484">
          <cell r="A5484" t="str">
            <v>08</v>
          </cell>
          <cell r="B5484" t="str">
            <v>31</v>
          </cell>
          <cell r="C5484" t="str">
            <v>08</v>
          </cell>
          <cell r="D5484" t="str">
            <v>5</v>
          </cell>
          <cell r="E5484" t="str">
            <v>0035</v>
          </cell>
          <cell r="F5484" t="str">
            <v>0012</v>
          </cell>
          <cell r="G5484" t="str">
            <v>52113</v>
          </cell>
          <cell r="H5484" t="str">
            <v>结转本月管理费用</v>
          </cell>
          <cell r="I5484" t="b">
            <v>0</v>
          </cell>
          <cell r="J5484">
            <v>12079</v>
          </cell>
          <cell r="K5484">
            <v>0</v>
          </cell>
          <cell r="L5484">
            <v>0</v>
          </cell>
        </row>
        <row r="5485">
          <cell r="A5485" t="str">
            <v>09</v>
          </cell>
          <cell r="B5485" t="str">
            <v>25</v>
          </cell>
          <cell r="C5485" t="str">
            <v>09</v>
          </cell>
          <cell r="D5485" t="str">
            <v>5</v>
          </cell>
          <cell r="E5485" t="str">
            <v>0018</v>
          </cell>
          <cell r="F5485" t="str">
            <v>0001</v>
          </cell>
          <cell r="G5485" t="str">
            <v>52113</v>
          </cell>
          <cell r="H5485" t="str">
            <v>转计提3季度土地税及9月房产税</v>
          </cell>
          <cell r="I5485" t="b">
            <v>1</v>
          </cell>
          <cell r="J5485">
            <v>32159.73</v>
          </cell>
          <cell r="K5485">
            <v>0</v>
          </cell>
          <cell r="L5485">
            <v>0</v>
          </cell>
        </row>
        <row r="5486">
          <cell r="A5486" t="str">
            <v>09</v>
          </cell>
          <cell r="B5486" t="str">
            <v>30</v>
          </cell>
          <cell r="C5486" t="str">
            <v>09</v>
          </cell>
          <cell r="D5486" t="str">
            <v>5</v>
          </cell>
          <cell r="E5486" t="str">
            <v>0040</v>
          </cell>
          <cell r="F5486" t="str">
            <v>0012</v>
          </cell>
          <cell r="G5486" t="str">
            <v>52113</v>
          </cell>
          <cell r="H5486" t="str">
            <v>结转本月管理费用</v>
          </cell>
          <cell r="I5486" t="b">
            <v>0</v>
          </cell>
          <cell r="J5486">
            <v>32159.73</v>
          </cell>
          <cell r="K5486">
            <v>0</v>
          </cell>
          <cell r="L5486">
            <v>0</v>
          </cell>
        </row>
        <row r="5487">
          <cell r="A5487" t="str">
            <v>10</v>
          </cell>
          <cell r="B5487" t="str">
            <v>24</v>
          </cell>
          <cell r="C5487" t="str">
            <v>10</v>
          </cell>
          <cell r="D5487" t="str">
            <v>5</v>
          </cell>
          <cell r="E5487" t="str">
            <v>0009</v>
          </cell>
          <cell r="F5487" t="str">
            <v>0001</v>
          </cell>
          <cell r="G5487" t="str">
            <v>52113</v>
          </cell>
          <cell r="H5487" t="str">
            <v>转计提10月房产税</v>
          </cell>
          <cell r="I5487" t="b">
            <v>1</v>
          </cell>
          <cell r="J5487">
            <v>12079</v>
          </cell>
          <cell r="K5487">
            <v>0</v>
          </cell>
          <cell r="L5487">
            <v>0</v>
          </cell>
        </row>
        <row r="5488">
          <cell r="A5488" t="str">
            <v>10</v>
          </cell>
          <cell r="B5488" t="str">
            <v>30</v>
          </cell>
          <cell r="C5488" t="str">
            <v>10</v>
          </cell>
          <cell r="D5488" t="str">
            <v>5</v>
          </cell>
          <cell r="E5488" t="str">
            <v>0034</v>
          </cell>
          <cell r="F5488" t="str">
            <v>0012</v>
          </cell>
          <cell r="G5488" t="str">
            <v>52113</v>
          </cell>
          <cell r="H5488" t="str">
            <v>结转本月管理费用</v>
          </cell>
          <cell r="I5488" t="b">
            <v>0</v>
          </cell>
          <cell r="J5488">
            <v>12079</v>
          </cell>
          <cell r="K5488">
            <v>0</v>
          </cell>
          <cell r="L5488">
            <v>0</v>
          </cell>
        </row>
        <row r="5489">
          <cell r="A5489" t="str">
            <v>12</v>
          </cell>
          <cell r="B5489" t="str">
            <v>22</v>
          </cell>
          <cell r="C5489" t="str">
            <v>12</v>
          </cell>
          <cell r="D5489" t="str">
            <v>5</v>
          </cell>
          <cell r="E5489" t="str">
            <v>0021</v>
          </cell>
          <cell r="F5489" t="str">
            <v>0001</v>
          </cell>
          <cell r="G5489" t="str">
            <v>52113</v>
          </cell>
          <cell r="H5489" t="str">
            <v>转计提4季度土地税及11.12房产税</v>
          </cell>
          <cell r="I5489" t="b">
            <v>1</v>
          </cell>
          <cell r="J5489">
            <v>44238.73</v>
          </cell>
          <cell r="K5489">
            <v>0</v>
          </cell>
          <cell r="L5489">
            <v>0</v>
          </cell>
        </row>
        <row r="5490">
          <cell r="A5490" t="str">
            <v>12</v>
          </cell>
          <cell r="B5490" t="str">
            <v>30</v>
          </cell>
          <cell r="C5490" t="str">
            <v>12</v>
          </cell>
          <cell r="D5490" t="str">
            <v>5</v>
          </cell>
          <cell r="E5490" t="str">
            <v>0087</v>
          </cell>
          <cell r="F5490" t="str">
            <v>0001</v>
          </cell>
          <cell r="G5490" t="str">
            <v>52113</v>
          </cell>
          <cell r="H5490" t="str">
            <v>转计提1-12月份印花税</v>
          </cell>
          <cell r="I5490" t="b">
            <v>1</v>
          </cell>
          <cell r="J5490">
            <v>22287.52</v>
          </cell>
          <cell r="K5490">
            <v>0</v>
          </cell>
          <cell r="L5490">
            <v>0</v>
          </cell>
        </row>
        <row r="5491">
          <cell r="A5491" t="str">
            <v>12</v>
          </cell>
          <cell r="B5491" t="str">
            <v>31</v>
          </cell>
          <cell r="C5491" t="str">
            <v>12</v>
          </cell>
          <cell r="D5491" t="str">
            <v>5</v>
          </cell>
          <cell r="E5491" t="str">
            <v>0103</v>
          </cell>
          <cell r="F5491" t="str">
            <v>0012</v>
          </cell>
          <cell r="G5491" t="str">
            <v>52113</v>
          </cell>
          <cell r="H5491" t="str">
            <v>结转本月管理费用</v>
          </cell>
          <cell r="I5491" t="b">
            <v>0</v>
          </cell>
          <cell r="J5491">
            <v>66526.25</v>
          </cell>
          <cell r="K5491">
            <v>0</v>
          </cell>
          <cell r="L5491">
            <v>0</v>
          </cell>
        </row>
        <row r="5492">
          <cell r="A5492" t="str">
            <v>02</v>
          </cell>
          <cell r="B5492" t="str">
            <v>06</v>
          </cell>
          <cell r="C5492" t="str">
            <v>02</v>
          </cell>
          <cell r="D5492" t="str">
            <v>2</v>
          </cell>
          <cell r="E5492" t="str">
            <v>0015</v>
          </cell>
          <cell r="F5492" t="str">
            <v>0001</v>
          </cell>
          <cell r="G5492" t="str">
            <v>52114</v>
          </cell>
          <cell r="H5492" t="str">
            <v>付招待费</v>
          </cell>
          <cell r="I5492" t="b">
            <v>1</v>
          </cell>
          <cell r="J5492">
            <v>12630.7</v>
          </cell>
          <cell r="K5492">
            <v>0</v>
          </cell>
          <cell r="L5492">
            <v>0</v>
          </cell>
        </row>
        <row r="5493">
          <cell r="A5493" t="str">
            <v>02</v>
          </cell>
          <cell r="B5493" t="str">
            <v>08</v>
          </cell>
          <cell r="C5493" t="str">
            <v>02</v>
          </cell>
          <cell r="D5493" t="str">
            <v>2</v>
          </cell>
          <cell r="E5493" t="str">
            <v>0020</v>
          </cell>
          <cell r="F5493" t="str">
            <v>0001</v>
          </cell>
          <cell r="G5493" t="str">
            <v>52114</v>
          </cell>
          <cell r="H5493" t="str">
            <v>付招待费</v>
          </cell>
          <cell r="I5493" t="b">
            <v>1</v>
          </cell>
          <cell r="J5493">
            <v>9061.7999999999993</v>
          </cell>
          <cell r="K5493">
            <v>0</v>
          </cell>
          <cell r="L5493">
            <v>0</v>
          </cell>
        </row>
        <row r="5494">
          <cell r="A5494" t="str">
            <v>02</v>
          </cell>
          <cell r="B5494" t="str">
            <v>19</v>
          </cell>
          <cell r="C5494" t="str">
            <v>02</v>
          </cell>
          <cell r="D5494" t="str">
            <v>2</v>
          </cell>
          <cell r="E5494" t="str">
            <v>0033</v>
          </cell>
          <cell r="F5494" t="str">
            <v>0001</v>
          </cell>
          <cell r="G5494" t="str">
            <v>52114</v>
          </cell>
          <cell r="H5494" t="str">
            <v>付招待费</v>
          </cell>
          <cell r="I5494" t="b">
            <v>1</v>
          </cell>
          <cell r="J5494">
            <v>27969</v>
          </cell>
          <cell r="K5494">
            <v>0</v>
          </cell>
          <cell r="L5494">
            <v>0</v>
          </cell>
        </row>
        <row r="5495">
          <cell r="A5495" t="str">
            <v>02</v>
          </cell>
          <cell r="B5495" t="str">
            <v>12</v>
          </cell>
          <cell r="C5495" t="str">
            <v>02</v>
          </cell>
          <cell r="D5495" t="str">
            <v>4</v>
          </cell>
          <cell r="E5495" t="str">
            <v>0012</v>
          </cell>
          <cell r="F5495" t="str">
            <v>0002</v>
          </cell>
          <cell r="G5495" t="str">
            <v>52114</v>
          </cell>
          <cell r="H5495" t="str">
            <v>付饭费</v>
          </cell>
          <cell r="I5495" t="b">
            <v>1</v>
          </cell>
          <cell r="J5495">
            <v>494</v>
          </cell>
          <cell r="K5495">
            <v>0</v>
          </cell>
          <cell r="L5495">
            <v>0</v>
          </cell>
        </row>
        <row r="5496">
          <cell r="A5496" t="str">
            <v>02</v>
          </cell>
          <cell r="B5496" t="str">
            <v>25</v>
          </cell>
          <cell r="C5496" t="str">
            <v>02</v>
          </cell>
          <cell r="D5496" t="str">
            <v>5</v>
          </cell>
          <cell r="E5496" t="str">
            <v>0018</v>
          </cell>
          <cell r="F5496" t="str">
            <v>0008</v>
          </cell>
          <cell r="G5496" t="str">
            <v>52114</v>
          </cell>
          <cell r="H5496" t="str">
            <v>转12月份管理部门餐费</v>
          </cell>
          <cell r="I5496" t="b">
            <v>1</v>
          </cell>
          <cell r="J5496">
            <v>11047</v>
          </cell>
          <cell r="K5496">
            <v>0</v>
          </cell>
          <cell r="L5496">
            <v>0</v>
          </cell>
        </row>
        <row r="5497">
          <cell r="A5497" t="str">
            <v>02</v>
          </cell>
          <cell r="B5497" t="str">
            <v>29</v>
          </cell>
          <cell r="C5497" t="str">
            <v>02</v>
          </cell>
          <cell r="D5497" t="str">
            <v>5</v>
          </cell>
          <cell r="E5497" t="str">
            <v>0058</v>
          </cell>
          <cell r="F5497" t="str">
            <v>0014</v>
          </cell>
          <cell r="G5497" t="str">
            <v>52114</v>
          </cell>
          <cell r="H5497" t="str">
            <v>结转本月管理费用</v>
          </cell>
          <cell r="I5497" t="b">
            <v>0</v>
          </cell>
          <cell r="J5497">
            <v>61202.5</v>
          </cell>
          <cell r="K5497">
            <v>0</v>
          </cell>
          <cell r="L5497">
            <v>0</v>
          </cell>
        </row>
        <row r="5498">
          <cell r="A5498" t="str">
            <v>03</v>
          </cell>
          <cell r="B5498" t="str">
            <v>12</v>
          </cell>
          <cell r="C5498" t="str">
            <v>03</v>
          </cell>
          <cell r="D5498" t="str">
            <v>2</v>
          </cell>
          <cell r="E5498" t="str">
            <v>0010</v>
          </cell>
          <cell r="F5498" t="str">
            <v>0003</v>
          </cell>
          <cell r="G5498" t="str">
            <v>52114</v>
          </cell>
          <cell r="H5498" t="str">
            <v>付招待费</v>
          </cell>
          <cell r="I5498" t="b">
            <v>1</v>
          </cell>
          <cell r="J5498">
            <v>8332.5</v>
          </cell>
          <cell r="K5498">
            <v>0</v>
          </cell>
          <cell r="L5498">
            <v>0</v>
          </cell>
        </row>
        <row r="5499">
          <cell r="A5499" t="str">
            <v>03</v>
          </cell>
          <cell r="B5499" t="str">
            <v>15</v>
          </cell>
          <cell r="C5499" t="str">
            <v>03</v>
          </cell>
          <cell r="D5499" t="str">
            <v>2</v>
          </cell>
          <cell r="E5499" t="str">
            <v>0012</v>
          </cell>
          <cell r="F5499" t="str">
            <v>0001</v>
          </cell>
          <cell r="G5499" t="str">
            <v>52114</v>
          </cell>
          <cell r="H5499" t="str">
            <v>付招待费</v>
          </cell>
          <cell r="I5499" t="b">
            <v>1</v>
          </cell>
          <cell r="J5499">
            <v>3726</v>
          </cell>
          <cell r="K5499">
            <v>0</v>
          </cell>
          <cell r="L5499">
            <v>0</v>
          </cell>
        </row>
        <row r="5500">
          <cell r="A5500" t="str">
            <v>03</v>
          </cell>
          <cell r="B5500" t="str">
            <v>27</v>
          </cell>
          <cell r="C5500" t="str">
            <v>03</v>
          </cell>
          <cell r="D5500" t="str">
            <v>5</v>
          </cell>
          <cell r="E5500" t="str">
            <v>0005</v>
          </cell>
          <cell r="F5500" t="str">
            <v>0013</v>
          </cell>
          <cell r="G5500" t="str">
            <v>52114</v>
          </cell>
          <cell r="H5500" t="str">
            <v>转1-2月份管理部门餐费</v>
          </cell>
          <cell r="I5500" t="b">
            <v>1</v>
          </cell>
          <cell r="J5500">
            <v>18613.900000000001</v>
          </cell>
          <cell r="K5500">
            <v>0</v>
          </cell>
          <cell r="L5500">
            <v>0</v>
          </cell>
        </row>
        <row r="5501">
          <cell r="A5501" t="str">
            <v>03</v>
          </cell>
          <cell r="B5501" t="str">
            <v>30</v>
          </cell>
          <cell r="C5501" t="str">
            <v>03</v>
          </cell>
          <cell r="D5501" t="str">
            <v>5</v>
          </cell>
          <cell r="E5501" t="str">
            <v>0032</v>
          </cell>
          <cell r="F5501" t="str">
            <v>0013</v>
          </cell>
          <cell r="G5501" t="str">
            <v>52114</v>
          </cell>
          <cell r="H5501" t="str">
            <v>结转本月管理费用</v>
          </cell>
          <cell r="I5501" t="b">
            <v>0</v>
          </cell>
          <cell r="J5501">
            <v>30672.400000000001</v>
          </cell>
          <cell r="K5501">
            <v>0</v>
          </cell>
          <cell r="L5501">
            <v>0</v>
          </cell>
        </row>
        <row r="5502">
          <cell r="A5502" t="str">
            <v>04</v>
          </cell>
          <cell r="B5502" t="str">
            <v>20</v>
          </cell>
          <cell r="C5502" t="str">
            <v>04</v>
          </cell>
          <cell r="D5502" t="str">
            <v>2</v>
          </cell>
          <cell r="E5502" t="str">
            <v>0010</v>
          </cell>
          <cell r="F5502" t="str">
            <v>0002</v>
          </cell>
          <cell r="G5502" t="str">
            <v>52114</v>
          </cell>
          <cell r="H5502" t="str">
            <v>付招待费</v>
          </cell>
          <cell r="I5502" t="b">
            <v>1</v>
          </cell>
          <cell r="J5502">
            <v>5720.5</v>
          </cell>
          <cell r="K5502">
            <v>0</v>
          </cell>
          <cell r="L5502">
            <v>0</v>
          </cell>
        </row>
        <row r="5503">
          <cell r="A5503" t="str">
            <v>04</v>
          </cell>
          <cell r="B5503" t="str">
            <v>01</v>
          </cell>
          <cell r="C5503" t="str">
            <v>04</v>
          </cell>
          <cell r="D5503" t="str">
            <v>4</v>
          </cell>
          <cell r="E5503" t="str">
            <v>0001</v>
          </cell>
          <cell r="F5503" t="str">
            <v>0002</v>
          </cell>
          <cell r="G5503" t="str">
            <v>52114</v>
          </cell>
          <cell r="H5503" t="str">
            <v>付餐费</v>
          </cell>
          <cell r="I5503" t="b">
            <v>1</v>
          </cell>
          <cell r="J5503">
            <v>1677</v>
          </cell>
          <cell r="K5503">
            <v>0</v>
          </cell>
          <cell r="L5503">
            <v>0</v>
          </cell>
        </row>
        <row r="5504">
          <cell r="A5504" t="str">
            <v>04</v>
          </cell>
          <cell r="B5504" t="str">
            <v>29</v>
          </cell>
          <cell r="C5504" t="str">
            <v>04</v>
          </cell>
          <cell r="D5504" t="str">
            <v>5</v>
          </cell>
          <cell r="E5504" t="str">
            <v>0038</v>
          </cell>
          <cell r="F5504" t="str">
            <v>0013</v>
          </cell>
          <cell r="G5504" t="str">
            <v>52114</v>
          </cell>
          <cell r="H5504" t="str">
            <v>结转本月管理费用</v>
          </cell>
          <cell r="I5504" t="b">
            <v>0</v>
          </cell>
          <cell r="J5504">
            <v>7397.5</v>
          </cell>
          <cell r="K5504">
            <v>0</v>
          </cell>
          <cell r="L5504">
            <v>0</v>
          </cell>
        </row>
        <row r="5505">
          <cell r="A5505" t="str">
            <v>05</v>
          </cell>
          <cell r="B5505" t="str">
            <v>24</v>
          </cell>
          <cell r="C5505" t="str">
            <v>05</v>
          </cell>
          <cell r="D5505" t="str">
            <v>2</v>
          </cell>
          <cell r="E5505" t="str">
            <v>0017</v>
          </cell>
          <cell r="F5505" t="str">
            <v>0003</v>
          </cell>
          <cell r="G5505" t="str">
            <v>52114</v>
          </cell>
          <cell r="H5505" t="str">
            <v>付招待费</v>
          </cell>
          <cell r="I5505" t="b">
            <v>1</v>
          </cell>
          <cell r="J5505">
            <v>3501</v>
          </cell>
          <cell r="K5505">
            <v>0</v>
          </cell>
          <cell r="L5505">
            <v>0</v>
          </cell>
        </row>
        <row r="5506">
          <cell r="A5506" t="str">
            <v>05</v>
          </cell>
          <cell r="B5506" t="str">
            <v>24</v>
          </cell>
          <cell r="C5506" t="str">
            <v>05</v>
          </cell>
          <cell r="D5506" t="str">
            <v>2</v>
          </cell>
          <cell r="E5506" t="str">
            <v>0018</v>
          </cell>
          <cell r="F5506" t="str">
            <v>0003</v>
          </cell>
          <cell r="G5506" t="str">
            <v>52114</v>
          </cell>
          <cell r="H5506" t="str">
            <v>付招待费</v>
          </cell>
          <cell r="I5506" t="b">
            <v>1</v>
          </cell>
          <cell r="J5506">
            <v>5214</v>
          </cell>
          <cell r="K5506">
            <v>0</v>
          </cell>
          <cell r="L5506">
            <v>0</v>
          </cell>
        </row>
        <row r="5507">
          <cell r="A5507" t="str">
            <v>05</v>
          </cell>
          <cell r="B5507" t="str">
            <v>25</v>
          </cell>
          <cell r="C5507" t="str">
            <v>05</v>
          </cell>
          <cell r="D5507" t="str">
            <v>5</v>
          </cell>
          <cell r="E5507" t="str">
            <v>0010</v>
          </cell>
          <cell r="F5507" t="str">
            <v>0011</v>
          </cell>
          <cell r="G5507" t="str">
            <v>52114</v>
          </cell>
          <cell r="H5507" t="str">
            <v>转3.4月管理部门餐费</v>
          </cell>
          <cell r="I5507" t="b">
            <v>1</v>
          </cell>
          <cell r="J5507">
            <v>12481.2</v>
          </cell>
          <cell r="K5507">
            <v>0</v>
          </cell>
          <cell r="L5507">
            <v>0</v>
          </cell>
        </row>
        <row r="5508">
          <cell r="A5508" t="str">
            <v>05</v>
          </cell>
          <cell r="B5508" t="str">
            <v>31</v>
          </cell>
          <cell r="C5508" t="str">
            <v>05</v>
          </cell>
          <cell r="D5508" t="str">
            <v>5</v>
          </cell>
          <cell r="E5508" t="str">
            <v>0039</v>
          </cell>
          <cell r="F5508" t="str">
            <v>0013</v>
          </cell>
          <cell r="G5508" t="str">
            <v>52114</v>
          </cell>
          <cell r="H5508" t="str">
            <v>结转本月管理费用</v>
          </cell>
          <cell r="I5508" t="b">
            <v>0</v>
          </cell>
          <cell r="J5508">
            <v>21196.2</v>
          </cell>
          <cell r="K5508">
            <v>0</v>
          </cell>
          <cell r="L5508">
            <v>0</v>
          </cell>
        </row>
        <row r="5509">
          <cell r="A5509" t="str">
            <v>06</v>
          </cell>
          <cell r="B5509" t="str">
            <v>05</v>
          </cell>
          <cell r="C5509" t="str">
            <v>06</v>
          </cell>
          <cell r="D5509" t="str">
            <v>2</v>
          </cell>
          <cell r="E5509" t="str">
            <v>0005</v>
          </cell>
          <cell r="F5509" t="str">
            <v>0002</v>
          </cell>
          <cell r="G5509" t="str">
            <v>52114</v>
          </cell>
          <cell r="H5509" t="str">
            <v>付招待费</v>
          </cell>
          <cell r="I5509" t="b">
            <v>1</v>
          </cell>
          <cell r="J5509">
            <v>2059</v>
          </cell>
          <cell r="K5509">
            <v>0</v>
          </cell>
          <cell r="L5509">
            <v>0</v>
          </cell>
        </row>
        <row r="5510">
          <cell r="A5510" t="str">
            <v>06</v>
          </cell>
          <cell r="B5510" t="str">
            <v>20</v>
          </cell>
          <cell r="C5510" t="str">
            <v>06</v>
          </cell>
          <cell r="D5510" t="str">
            <v>5</v>
          </cell>
          <cell r="E5510" t="str">
            <v>0009</v>
          </cell>
          <cell r="F5510" t="str">
            <v>0008</v>
          </cell>
          <cell r="G5510" t="str">
            <v>52114</v>
          </cell>
          <cell r="H5510" t="str">
            <v>转5-6月份餐费</v>
          </cell>
          <cell r="I5510" t="b">
            <v>1</v>
          </cell>
          <cell r="J5510">
            <v>14777.3</v>
          </cell>
          <cell r="K5510">
            <v>0</v>
          </cell>
          <cell r="L5510">
            <v>0</v>
          </cell>
        </row>
        <row r="5511">
          <cell r="A5511" t="str">
            <v>06</v>
          </cell>
          <cell r="B5511" t="str">
            <v>25</v>
          </cell>
          <cell r="C5511" t="str">
            <v>06</v>
          </cell>
          <cell r="D5511" t="str">
            <v>5</v>
          </cell>
          <cell r="E5511" t="str">
            <v>0028</v>
          </cell>
          <cell r="F5511" t="str">
            <v>0012</v>
          </cell>
          <cell r="G5511" t="str">
            <v>52114</v>
          </cell>
          <cell r="H5511" t="str">
            <v>结转本月管理费用</v>
          </cell>
          <cell r="I5511" t="b">
            <v>0</v>
          </cell>
          <cell r="J5511">
            <v>16836.3</v>
          </cell>
          <cell r="K5511">
            <v>0</v>
          </cell>
          <cell r="L5511">
            <v>0</v>
          </cell>
        </row>
        <row r="5512">
          <cell r="A5512" t="str">
            <v>07</v>
          </cell>
          <cell r="B5512" t="str">
            <v>05</v>
          </cell>
          <cell r="C5512" t="str">
            <v>07</v>
          </cell>
          <cell r="D5512" t="str">
            <v>2</v>
          </cell>
          <cell r="E5512" t="str">
            <v>0003</v>
          </cell>
          <cell r="F5512" t="str">
            <v>0003</v>
          </cell>
          <cell r="G5512" t="str">
            <v>52114</v>
          </cell>
          <cell r="H5512" t="str">
            <v>付业务招待费</v>
          </cell>
          <cell r="I5512" t="b">
            <v>1</v>
          </cell>
          <cell r="J5512">
            <v>1837</v>
          </cell>
          <cell r="K5512">
            <v>0</v>
          </cell>
          <cell r="L5512">
            <v>0</v>
          </cell>
        </row>
        <row r="5513">
          <cell r="A5513" t="str">
            <v>07</v>
          </cell>
          <cell r="B5513" t="str">
            <v>20</v>
          </cell>
          <cell r="C5513" t="str">
            <v>07</v>
          </cell>
          <cell r="D5513" t="str">
            <v>2</v>
          </cell>
          <cell r="E5513" t="str">
            <v>0016</v>
          </cell>
          <cell r="F5513" t="str">
            <v>0003</v>
          </cell>
          <cell r="G5513" t="str">
            <v>52114</v>
          </cell>
          <cell r="H5513" t="str">
            <v>付招待费</v>
          </cell>
          <cell r="I5513" t="b">
            <v>1</v>
          </cell>
          <cell r="J5513">
            <v>2700</v>
          </cell>
          <cell r="K5513">
            <v>0</v>
          </cell>
          <cell r="L5513">
            <v>0</v>
          </cell>
        </row>
        <row r="5514">
          <cell r="A5514" t="str">
            <v>07</v>
          </cell>
          <cell r="B5514" t="str">
            <v>16</v>
          </cell>
          <cell r="C5514" t="str">
            <v>07</v>
          </cell>
          <cell r="D5514" t="str">
            <v>4</v>
          </cell>
          <cell r="E5514" t="str">
            <v>0015</v>
          </cell>
          <cell r="F5514" t="str">
            <v>0001</v>
          </cell>
          <cell r="G5514" t="str">
            <v>52114</v>
          </cell>
          <cell r="H5514" t="str">
            <v>付餐费</v>
          </cell>
          <cell r="I5514" t="b">
            <v>1</v>
          </cell>
          <cell r="J5514">
            <v>1245</v>
          </cell>
          <cell r="K5514">
            <v>0</v>
          </cell>
          <cell r="L5514">
            <v>0</v>
          </cell>
        </row>
        <row r="5515">
          <cell r="A5515" t="str">
            <v>07</v>
          </cell>
          <cell r="B5515" t="str">
            <v>29</v>
          </cell>
          <cell r="C5515" t="str">
            <v>07</v>
          </cell>
          <cell r="D5515" t="str">
            <v>5</v>
          </cell>
          <cell r="E5515" t="str">
            <v>0044</v>
          </cell>
          <cell r="F5515" t="str">
            <v>0013</v>
          </cell>
          <cell r="G5515" t="str">
            <v>52114</v>
          </cell>
          <cell r="H5515" t="str">
            <v>结转本月管理费用</v>
          </cell>
          <cell r="I5515" t="b">
            <v>0</v>
          </cell>
          <cell r="J5515">
            <v>5782</v>
          </cell>
          <cell r="K5515">
            <v>0</v>
          </cell>
          <cell r="L5515">
            <v>0</v>
          </cell>
        </row>
        <row r="5516">
          <cell r="A5516" t="str">
            <v>08</v>
          </cell>
          <cell r="B5516" t="str">
            <v>05</v>
          </cell>
          <cell r="C5516" t="str">
            <v>08</v>
          </cell>
          <cell r="D5516" t="str">
            <v>2</v>
          </cell>
          <cell r="E5516" t="str">
            <v>0011</v>
          </cell>
          <cell r="F5516" t="str">
            <v>0001</v>
          </cell>
          <cell r="G5516" t="str">
            <v>52114</v>
          </cell>
          <cell r="H5516" t="str">
            <v>付一部招待费</v>
          </cell>
          <cell r="I5516" t="b">
            <v>1</v>
          </cell>
          <cell r="J5516">
            <v>2261.8000000000002</v>
          </cell>
          <cell r="K5516">
            <v>0</v>
          </cell>
          <cell r="L5516">
            <v>0</v>
          </cell>
        </row>
        <row r="5517">
          <cell r="A5517" t="str">
            <v>08</v>
          </cell>
          <cell r="B5517" t="str">
            <v>05</v>
          </cell>
          <cell r="C5517" t="str">
            <v>08</v>
          </cell>
          <cell r="D5517" t="str">
            <v>2</v>
          </cell>
          <cell r="E5517" t="str">
            <v>0012</v>
          </cell>
          <cell r="F5517" t="str">
            <v>0003</v>
          </cell>
          <cell r="G5517" t="str">
            <v>52114</v>
          </cell>
          <cell r="H5517" t="str">
            <v>付业务招待费</v>
          </cell>
          <cell r="I5517" t="b">
            <v>1</v>
          </cell>
          <cell r="J5517">
            <v>8470</v>
          </cell>
          <cell r="K5517">
            <v>0</v>
          </cell>
          <cell r="L5517">
            <v>0</v>
          </cell>
        </row>
        <row r="5518">
          <cell r="A5518" t="str">
            <v>08</v>
          </cell>
          <cell r="B5518" t="str">
            <v>19</v>
          </cell>
          <cell r="C5518" t="str">
            <v>08</v>
          </cell>
          <cell r="D5518" t="str">
            <v>2</v>
          </cell>
          <cell r="E5518" t="str">
            <v>0019</v>
          </cell>
          <cell r="F5518" t="str">
            <v>0002</v>
          </cell>
          <cell r="G5518" t="str">
            <v>52114</v>
          </cell>
          <cell r="H5518" t="str">
            <v>付招待费</v>
          </cell>
          <cell r="I5518" t="b">
            <v>1</v>
          </cell>
          <cell r="J5518">
            <v>1008.2</v>
          </cell>
          <cell r="K5518">
            <v>0</v>
          </cell>
          <cell r="L5518">
            <v>0</v>
          </cell>
        </row>
        <row r="5519">
          <cell r="A5519" t="str">
            <v>08</v>
          </cell>
          <cell r="B5519" t="str">
            <v>19</v>
          </cell>
          <cell r="C5519" t="str">
            <v>08</v>
          </cell>
          <cell r="D5519" t="str">
            <v>2</v>
          </cell>
          <cell r="E5519" t="str">
            <v>0020</v>
          </cell>
          <cell r="F5519" t="str">
            <v>0002</v>
          </cell>
          <cell r="G5519" t="str">
            <v>52114</v>
          </cell>
          <cell r="H5519" t="str">
            <v>付招待费</v>
          </cell>
          <cell r="I5519" t="b">
            <v>1</v>
          </cell>
          <cell r="J5519">
            <v>3619</v>
          </cell>
          <cell r="K5519">
            <v>0</v>
          </cell>
          <cell r="L5519">
            <v>0</v>
          </cell>
        </row>
        <row r="5520">
          <cell r="A5520" t="str">
            <v>08</v>
          </cell>
          <cell r="B5520" t="str">
            <v>31</v>
          </cell>
          <cell r="C5520" t="str">
            <v>08</v>
          </cell>
          <cell r="D5520" t="str">
            <v>5</v>
          </cell>
          <cell r="E5520" t="str">
            <v>0035</v>
          </cell>
          <cell r="F5520" t="str">
            <v>0013</v>
          </cell>
          <cell r="G5520" t="str">
            <v>52114</v>
          </cell>
          <cell r="H5520" t="str">
            <v>结转本月管理费用</v>
          </cell>
          <cell r="I5520" t="b">
            <v>0</v>
          </cell>
          <cell r="J5520">
            <v>15359</v>
          </cell>
          <cell r="K5520">
            <v>0</v>
          </cell>
          <cell r="L5520">
            <v>0</v>
          </cell>
        </row>
        <row r="5521">
          <cell r="A5521" t="str">
            <v>09</v>
          </cell>
          <cell r="B5521" t="str">
            <v>15</v>
          </cell>
          <cell r="C5521" t="str">
            <v>09</v>
          </cell>
          <cell r="D5521" t="str">
            <v>2</v>
          </cell>
          <cell r="E5521" t="str">
            <v>0010</v>
          </cell>
          <cell r="F5521" t="str">
            <v>0001</v>
          </cell>
          <cell r="G5521" t="str">
            <v>52114</v>
          </cell>
          <cell r="H5521" t="str">
            <v>付招待费</v>
          </cell>
          <cell r="I5521" t="b">
            <v>1</v>
          </cell>
          <cell r="J5521">
            <v>9973.6</v>
          </cell>
          <cell r="K5521">
            <v>0</v>
          </cell>
          <cell r="L5521">
            <v>0</v>
          </cell>
        </row>
        <row r="5522">
          <cell r="A5522" t="str">
            <v>09</v>
          </cell>
          <cell r="B5522" t="str">
            <v>03</v>
          </cell>
          <cell r="C5522" t="str">
            <v>09</v>
          </cell>
          <cell r="D5522" t="str">
            <v>4</v>
          </cell>
          <cell r="E5522" t="str">
            <v>0004</v>
          </cell>
          <cell r="F5522" t="str">
            <v>0002</v>
          </cell>
          <cell r="G5522" t="str">
            <v>52114</v>
          </cell>
          <cell r="H5522" t="str">
            <v>付招待费</v>
          </cell>
          <cell r="I5522" t="b">
            <v>1</v>
          </cell>
          <cell r="J5522">
            <v>963</v>
          </cell>
          <cell r="K5522">
            <v>0</v>
          </cell>
          <cell r="L5522">
            <v>0</v>
          </cell>
        </row>
        <row r="5523">
          <cell r="A5523" t="str">
            <v>09</v>
          </cell>
          <cell r="B5523" t="str">
            <v>18</v>
          </cell>
          <cell r="C5523" t="str">
            <v>09</v>
          </cell>
          <cell r="D5523" t="str">
            <v>5</v>
          </cell>
          <cell r="E5523" t="str">
            <v>0005</v>
          </cell>
          <cell r="F5523" t="str">
            <v>0001</v>
          </cell>
          <cell r="G5523" t="str">
            <v>52114</v>
          </cell>
          <cell r="H5523" t="str">
            <v>转7-8月份餐费</v>
          </cell>
          <cell r="I5523" t="b">
            <v>1</v>
          </cell>
          <cell r="J5523">
            <v>28120.5</v>
          </cell>
          <cell r="K5523">
            <v>0</v>
          </cell>
          <cell r="L5523">
            <v>0</v>
          </cell>
        </row>
        <row r="5524">
          <cell r="A5524" t="str">
            <v>09</v>
          </cell>
          <cell r="B5524" t="str">
            <v>30</v>
          </cell>
          <cell r="C5524" t="str">
            <v>09</v>
          </cell>
          <cell r="D5524" t="str">
            <v>5</v>
          </cell>
          <cell r="E5524" t="str">
            <v>0040</v>
          </cell>
          <cell r="F5524" t="str">
            <v>0013</v>
          </cell>
          <cell r="G5524" t="str">
            <v>52114</v>
          </cell>
          <cell r="H5524" t="str">
            <v>结转本月管理费用</v>
          </cell>
          <cell r="I5524" t="b">
            <v>0</v>
          </cell>
          <cell r="J5524">
            <v>39057.1</v>
          </cell>
          <cell r="K5524">
            <v>0</v>
          </cell>
          <cell r="L5524">
            <v>0</v>
          </cell>
        </row>
        <row r="5525">
          <cell r="A5525" t="str">
            <v>10</v>
          </cell>
          <cell r="B5525" t="str">
            <v>05</v>
          </cell>
          <cell r="C5525" t="str">
            <v>10</v>
          </cell>
          <cell r="D5525" t="str">
            <v>2</v>
          </cell>
          <cell r="E5525" t="str">
            <v>0006</v>
          </cell>
          <cell r="F5525" t="str">
            <v>0001</v>
          </cell>
          <cell r="G5525" t="str">
            <v>52114</v>
          </cell>
          <cell r="H5525" t="str">
            <v>付招待费</v>
          </cell>
          <cell r="I5525" t="b">
            <v>1</v>
          </cell>
          <cell r="J5525">
            <v>4288.3999999999996</v>
          </cell>
          <cell r="K5525">
            <v>0</v>
          </cell>
          <cell r="L5525">
            <v>0</v>
          </cell>
        </row>
        <row r="5526">
          <cell r="A5526" t="str">
            <v>10</v>
          </cell>
          <cell r="B5526" t="str">
            <v>21</v>
          </cell>
          <cell r="C5526" t="str">
            <v>10</v>
          </cell>
          <cell r="D5526" t="str">
            <v>2</v>
          </cell>
          <cell r="E5526" t="str">
            <v>0017</v>
          </cell>
          <cell r="F5526" t="str">
            <v>0001</v>
          </cell>
          <cell r="G5526" t="str">
            <v>52114</v>
          </cell>
          <cell r="H5526" t="str">
            <v>付招待费</v>
          </cell>
          <cell r="I5526" t="b">
            <v>1</v>
          </cell>
          <cell r="J5526">
            <v>6130</v>
          </cell>
          <cell r="K5526">
            <v>0</v>
          </cell>
          <cell r="L5526">
            <v>0</v>
          </cell>
        </row>
        <row r="5527">
          <cell r="A5527" t="str">
            <v>10</v>
          </cell>
          <cell r="B5527" t="str">
            <v>03</v>
          </cell>
          <cell r="C5527" t="str">
            <v>10</v>
          </cell>
          <cell r="D5527" t="str">
            <v>4</v>
          </cell>
          <cell r="E5527" t="str">
            <v>0005</v>
          </cell>
          <cell r="F5527" t="str">
            <v>0001</v>
          </cell>
          <cell r="G5527" t="str">
            <v>52114</v>
          </cell>
          <cell r="H5527" t="str">
            <v>付招待费</v>
          </cell>
          <cell r="I5527" t="b">
            <v>1</v>
          </cell>
          <cell r="J5527">
            <v>5176.8</v>
          </cell>
          <cell r="K5527">
            <v>0</v>
          </cell>
          <cell r="L5527">
            <v>0</v>
          </cell>
        </row>
        <row r="5528">
          <cell r="A5528" t="str">
            <v>10</v>
          </cell>
          <cell r="B5528" t="str">
            <v>10</v>
          </cell>
          <cell r="C5528" t="str">
            <v>10</v>
          </cell>
          <cell r="D5528" t="str">
            <v>4</v>
          </cell>
          <cell r="E5528" t="str">
            <v>0012</v>
          </cell>
          <cell r="F5528" t="str">
            <v>0002</v>
          </cell>
          <cell r="G5528" t="str">
            <v>52114</v>
          </cell>
          <cell r="H5528" t="str">
            <v>付招待费</v>
          </cell>
          <cell r="I5528" t="b">
            <v>1</v>
          </cell>
          <cell r="J5528">
            <v>2595</v>
          </cell>
          <cell r="K5528">
            <v>0</v>
          </cell>
          <cell r="L5528">
            <v>0</v>
          </cell>
        </row>
        <row r="5529">
          <cell r="A5529" t="str">
            <v>10</v>
          </cell>
          <cell r="B5529" t="str">
            <v>10</v>
          </cell>
          <cell r="C5529" t="str">
            <v>10</v>
          </cell>
          <cell r="D5529" t="str">
            <v>4</v>
          </cell>
          <cell r="E5529" t="str">
            <v>0012</v>
          </cell>
          <cell r="F5529" t="str">
            <v>0004</v>
          </cell>
          <cell r="G5529" t="str">
            <v>52114</v>
          </cell>
          <cell r="H5529" t="str">
            <v>付招待费</v>
          </cell>
          <cell r="I5529" t="b">
            <v>1</v>
          </cell>
          <cell r="J5529">
            <v>1537</v>
          </cell>
          <cell r="K5529">
            <v>0</v>
          </cell>
          <cell r="L5529">
            <v>0</v>
          </cell>
        </row>
        <row r="5530">
          <cell r="A5530" t="str">
            <v>10</v>
          </cell>
          <cell r="B5530" t="str">
            <v>30</v>
          </cell>
          <cell r="C5530" t="str">
            <v>10</v>
          </cell>
          <cell r="D5530" t="str">
            <v>5</v>
          </cell>
          <cell r="E5530" t="str">
            <v>0034</v>
          </cell>
          <cell r="F5530" t="str">
            <v>0013</v>
          </cell>
          <cell r="G5530" t="str">
            <v>52114</v>
          </cell>
          <cell r="H5530" t="str">
            <v>结转本月管理费用</v>
          </cell>
          <cell r="I5530" t="b">
            <v>0</v>
          </cell>
          <cell r="J5530">
            <v>19727.2</v>
          </cell>
          <cell r="K5530">
            <v>0</v>
          </cell>
          <cell r="L5530">
            <v>0</v>
          </cell>
        </row>
        <row r="5531">
          <cell r="A5531" t="str">
            <v>11</v>
          </cell>
          <cell r="B5531" t="str">
            <v>07</v>
          </cell>
          <cell r="C5531" t="str">
            <v>11</v>
          </cell>
          <cell r="D5531" t="str">
            <v>2</v>
          </cell>
          <cell r="E5531" t="str">
            <v>0009</v>
          </cell>
          <cell r="F5531" t="str">
            <v>0001</v>
          </cell>
          <cell r="G5531" t="str">
            <v>52114</v>
          </cell>
          <cell r="H5531" t="str">
            <v>付招待费</v>
          </cell>
          <cell r="I5531" t="b">
            <v>1</v>
          </cell>
          <cell r="J5531">
            <v>6402</v>
          </cell>
          <cell r="K5531">
            <v>0</v>
          </cell>
          <cell r="L5531">
            <v>0</v>
          </cell>
        </row>
        <row r="5532">
          <cell r="A5532" t="str">
            <v>11</v>
          </cell>
          <cell r="B5532" t="str">
            <v>15</v>
          </cell>
          <cell r="C5532" t="str">
            <v>11</v>
          </cell>
          <cell r="D5532" t="str">
            <v>2</v>
          </cell>
          <cell r="E5532" t="str">
            <v>0020</v>
          </cell>
          <cell r="F5532" t="str">
            <v>0002</v>
          </cell>
          <cell r="G5532" t="str">
            <v>52114</v>
          </cell>
          <cell r="H5532" t="str">
            <v>付招待费</v>
          </cell>
          <cell r="I5532" t="b">
            <v>1</v>
          </cell>
          <cell r="J5532">
            <v>4074.69</v>
          </cell>
          <cell r="K5532">
            <v>0</v>
          </cell>
          <cell r="L5532">
            <v>0</v>
          </cell>
        </row>
        <row r="5533">
          <cell r="A5533" t="str">
            <v>11</v>
          </cell>
          <cell r="B5533" t="str">
            <v>18</v>
          </cell>
          <cell r="C5533" t="str">
            <v>11</v>
          </cell>
          <cell r="D5533" t="str">
            <v>2</v>
          </cell>
          <cell r="E5533" t="str">
            <v>0022</v>
          </cell>
          <cell r="F5533" t="str">
            <v>0003</v>
          </cell>
          <cell r="G5533" t="str">
            <v>52114</v>
          </cell>
          <cell r="H5533" t="str">
            <v>付招待费</v>
          </cell>
          <cell r="I5533" t="b">
            <v>1</v>
          </cell>
          <cell r="J5533">
            <v>4529.2</v>
          </cell>
          <cell r="K5533">
            <v>0</v>
          </cell>
          <cell r="L5533">
            <v>0</v>
          </cell>
        </row>
        <row r="5534">
          <cell r="A5534" t="str">
            <v>11</v>
          </cell>
          <cell r="B5534" t="str">
            <v>16</v>
          </cell>
          <cell r="C5534" t="str">
            <v>11</v>
          </cell>
          <cell r="D5534" t="str">
            <v>5</v>
          </cell>
          <cell r="E5534" t="str">
            <v>0005</v>
          </cell>
          <cell r="F5534" t="str">
            <v>0001</v>
          </cell>
          <cell r="G5534" t="str">
            <v>52114</v>
          </cell>
          <cell r="H5534" t="str">
            <v>转9-10月份招待费</v>
          </cell>
          <cell r="I5534" t="b">
            <v>1</v>
          </cell>
          <cell r="J5534">
            <v>31097.35</v>
          </cell>
          <cell r="K5534">
            <v>0</v>
          </cell>
          <cell r="L5534">
            <v>0</v>
          </cell>
        </row>
        <row r="5535">
          <cell r="A5535" t="str">
            <v>11</v>
          </cell>
          <cell r="B5535" t="str">
            <v>16</v>
          </cell>
          <cell r="C5535" t="str">
            <v>11</v>
          </cell>
          <cell r="D5535" t="str">
            <v>5</v>
          </cell>
          <cell r="E5535" t="str">
            <v>0012</v>
          </cell>
          <cell r="F5535" t="str">
            <v>0002</v>
          </cell>
          <cell r="G5535" t="str">
            <v>52114</v>
          </cell>
          <cell r="H5535" t="str">
            <v>转报销招待费</v>
          </cell>
          <cell r="I5535" t="b">
            <v>1</v>
          </cell>
          <cell r="J5535">
            <v>908</v>
          </cell>
          <cell r="K5535">
            <v>0</v>
          </cell>
          <cell r="L5535">
            <v>0</v>
          </cell>
        </row>
        <row r="5536">
          <cell r="A5536" t="str">
            <v>11</v>
          </cell>
          <cell r="B5536" t="str">
            <v>30</v>
          </cell>
          <cell r="C5536" t="str">
            <v>11</v>
          </cell>
          <cell r="D5536" t="str">
            <v>5</v>
          </cell>
          <cell r="E5536" t="str">
            <v>0037</v>
          </cell>
          <cell r="F5536" t="str">
            <v>0013</v>
          </cell>
          <cell r="G5536" t="str">
            <v>52114</v>
          </cell>
          <cell r="H5536" t="str">
            <v>结转本月管理费用</v>
          </cell>
          <cell r="I5536" t="b">
            <v>0</v>
          </cell>
          <cell r="J5536">
            <v>47011.24</v>
          </cell>
          <cell r="K5536">
            <v>0</v>
          </cell>
          <cell r="L5536">
            <v>0</v>
          </cell>
        </row>
        <row r="5537">
          <cell r="A5537" t="str">
            <v>12</v>
          </cell>
          <cell r="B5537" t="str">
            <v>05</v>
          </cell>
          <cell r="C5537" t="str">
            <v>12</v>
          </cell>
          <cell r="D5537" t="str">
            <v>2</v>
          </cell>
          <cell r="E5537" t="str">
            <v>0006</v>
          </cell>
          <cell r="F5537" t="str">
            <v>0001</v>
          </cell>
          <cell r="G5537" t="str">
            <v>52114</v>
          </cell>
          <cell r="H5537" t="str">
            <v>付招待费</v>
          </cell>
          <cell r="I5537" t="b">
            <v>1</v>
          </cell>
          <cell r="J5537">
            <v>11236.7</v>
          </cell>
          <cell r="K5537">
            <v>0</v>
          </cell>
          <cell r="L5537">
            <v>0</v>
          </cell>
        </row>
        <row r="5538">
          <cell r="A5538" t="str">
            <v>12</v>
          </cell>
          <cell r="B5538" t="str">
            <v>22</v>
          </cell>
          <cell r="C5538" t="str">
            <v>12</v>
          </cell>
          <cell r="D5538" t="str">
            <v>2</v>
          </cell>
          <cell r="E5538" t="str">
            <v>0027</v>
          </cell>
          <cell r="F5538" t="str">
            <v>0002</v>
          </cell>
          <cell r="G5538" t="str">
            <v>52114</v>
          </cell>
          <cell r="H5538" t="str">
            <v>付招待费</v>
          </cell>
          <cell r="I5538" t="b">
            <v>1</v>
          </cell>
          <cell r="J5538">
            <v>670</v>
          </cell>
          <cell r="K5538">
            <v>0</v>
          </cell>
          <cell r="L5538">
            <v>0</v>
          </cell>
        </row>
        <row r="5539">
          <cell r="A5539" t="str">
            <v>12</v>
          </cell>
          <cell r="B5539" t="str">
            <v>10</v>
          </cell>
          <cell r="C5539" t="str">
            <v>12</v>
          </cell>
          <cell r="D5539" t="str">
            <v>4</v>
          </cell>
          <cell r="E5539" t="str">
            <v>0020</v>
          </cell>
          <cell r="F5539" t="str">
            <v>0002</v>
          </cell>
          <cell r="G5539" t="str">
            <v>52114</v>
          </cell>
          <cell r="H5539" t="str">
            <v>付招待费</v>
          </cell>
          <cell r="I5539" t="b">
            <v>1</v>
          </cell>
          <cell r="J5539">
            <v>4755.8999999999996</v>
          </cell>
          <cell r="K5539">
            <v>0</v>
          </cell>
          <cell r="L5539">
            <v>0</v>
          </cell>
        </row>
        <row r="5540">
          <cell r="A5540" t="str">
            <v>12</v>
          </cell>
          <cell r="B5540" t="str">
            <v>22</v>
          </cell>
          <cell r="C5540" t="str">
            <v>12</v>
          </cell>
          <cell r="D5540" t="str">
            <v>5</v>
          </cell>
          <cell r="E5540" t="str">
            <v>0020</v>
          </cell>
          <cell r="F5540" t="str">
            <v>0003</v>
          </cell>
          <cell r="G5540" t="str">
            <v>52114</v>
          </cell>
          <cell r="H5540" t="str">
            <v>转报销招待费</v>
          </cell>
          <cell r="I5540" t="b">
            <v>1</v>
          </cell>
          <cell r="J5540">
            <v>1735.3</v>
          </cell>
          <cell r="K5540">
            <v>0</v>
          </cell>
          <cell r="L5540">
            <v>0</v>
          </cell>
        </row>
        <row r="5541">
          <cell r="A5541" t="str">
            <v>12</v>
          </cell>
          <cell r="B5541" t="str">
            <v>26</v>
          </cell>
          <cell r="C5541" t="str">
            <v>12</v>
          </cell>
          <cell r="D5541" t="str">
            <v>5</v>
          </cell>
          <cell r="E5541" t="str">
            <v>0032</v>
          </cell>
          <cell r="F5541" t="str">
            <v>0002</v>
          </cell>
          <cell r="G5541" t="str">
            <v>52114</v>
          </cell>
          <cell r="H5541" t="str">
            <v>转订出10月4-5#凭证上市费用</v>
          </cell>
          <cell r="I5541" t="b">
            <v>1</v>
          </cell>
          <cell r="J5541">
            <v>-5176.8</v>
          </cell>
          <cell r="K5541">
            <v>0</v>
          </cell>
          <cell r="L5541">
            <v>0</v>
          </cell>
        </row>
        <row r="5542">
          <cell r="A5542" t="str">
            <v>12</v>
          </cell>
          <cell r="B5542" t="str">
            <v>28</v>
          </cell>
          <cell r="C5542" t="str">
            <v>12</v>
          </cell>
          <cell r="D5542" t="str">
            <v>5</v>
          </cell>
          <cell r="E5542" t="str">
            <v>0041</v>
          </cell>
          <cell r="F5542" t="str">
            <v>0001</v>
          </cell>
          <cell r="G5542" t="str">
            <v>52114</v>
          </cell>
          <cell r="H5542" t="str">
            <v>转11-12月份餐费</v>
          </cell>
          <cell r="I5542" t="b">
            <v>1</v>
          </cell>
          <cell r="J5542">
            <v>21980.9</v>
          </cell>
          <cell r="K5542">
            <v>0</v>
          </cell>
          <cell r="L5542">
            <v>0</v>
          </cell>
        </row>
        <row r="5543">
          <cell r="A5543" t="str">
            <v>12</v>
          </cell>
          <cell r="B5543" t="str">
            <v>31</v>
          </cell>
          <cell r="C5543" t="str">
            <v>12</v>
          </cell>
          <cell r="D5543" t="str">
            <v>5</v>
          </cell>
          <cell r="E5543" t="str">
            <v>0103</v>
          </cell>
          <cell r="F5543" t="str">
            <v>0013</v>
          </cell>
          <cell r="G5543" t="str">
            <v>52114</v>
          </cell>
          <cell r="H5543" t="str">
            <v>结转本月管理费用</v>
          </cell>
          <cell r="I5543" t="b">
            <v>0</v>
          </cell>
          <cell r="J5543">
            <v>35202</v>
          </cell>
          <cell r="K5543">
            <v>0</v>
          </cell>
          <cell r="L5543">
            <v>0</v>
          </cell>
        </row>
        <row r="5544">
          <cell r="A5544" t="str">
            <v>10</v>
          </cell>
          <cell r="B5544" t="str">
            <v>01</v>
          </cell>
          <cell r="C5544" t="str">
            <v>10</v>
          </cell>
          <cell r="D5544" t="str">
            <v>2</v>
          </cell>
          <cell r="E5544" t="str">
            <v>0001</v>
          </cell>
          <cell r="F5544" t="str">
            <v>0001</v>
          </cell>
          <cell r="G5544" t="str">
            <v>52115</v>
          </cell>
          <cell r="H5544" t="str">
            <v>付吊车费</v>
          </cell>
          <cell r="I5544" t="b">
            <v>1</v>
          </cell>
          <cell r="J5544">
            <v>400</v>
          </cell>
          <cell r="K5544">
            <v>0</v>
          </cell>
          <cell r="L5544">
            <v>0</v>
          </cell>
        </row>
        <row r="5545">
          <cell r="A5545" t="str">
            <v>10</v>
          </cell>
          <cell r="B5545" t="str">
            <v>30</v>
          </cell>
          <cell r="C5545" t="str">
            <v>10</v>
          </cell>
          <cell r="D5545" t="str">
            <v>5</v>
          </cell>
          <cell r="E5545" t="str">
            <v>0034</v>
          </cell>
          <cell r="F5545" t="str">
            <v>0014</v>
          </cell>
          <cell r="G5545" t="str">
            <v>52115</v>
          </cell>
          <cell r="H5545" t="str">
            <v>结转本月管理费用</v>
          </cell>
          <cell r="I5545" t="b">
            <v>0</v>
          </cell>
          <cell r="J5545">
            <v>400</v>
          </cell>
          <cell r="K5545">
            <v>0</v>
          </cell>
          <cell r="L5545">
            <v>0</v>
          </cell>
        </row>
        <row r="5546">
          <cell r="A5546" t="str">
            <v>11</v>
          </cell>
          <cell r="B5546" t="str">
            <v>25</v>
          </cell>
          <cell r="C5546" t="str">
            <v>11</v>
          </cell>
          <cell r="D5546" t="str">
            <v>2</v>
          </cell>
          <cell r="E5546" t="str">
            <v>0026</v>
          </cell>
          <cell r="F5546" t="str">
            <v>0001</v>
          </cell>
          <cell r="G5546" t="str">
            <v>52115</v>
          </cell>
          <cell r="H5546" t="str">
            <v>付运费</v>
          </cell>
          <cell r="I5546" t="b">
            <v>1</v>
          </cell>
          <cell r="J5546">
            <v>32190.73</v>
          </cell>
          <cell r="K5546">
            <v>0</v>
          </cell>
          <cell r="L5546">
            <v>0</v>
          </cell>
        </row>
        <row r="5547">
          <cell r="A5547" t="str">
            <v>11</v>
          </cell>
          <cell r="B5547" t="str">
            <v>30</v>
          </cell>
          <cell r="C5547" t="str">
            <v>11</v>
          </cell>
          <cell r="D5547" t="str">
            <v>5</v>
          </cell>
          <cell r="E5547" t="str">
            <v>0037</v>
          </cell>
          <cell r="F5547" t="str">
            <v>0014</v>
          </cell>
          <cell r="G5547" t="str">
            <v>52115</v>
          </cell>
          <cell r="H5547" t="str">
            <v>结转本月管理费用</v>
          </cell>
          <cell r="I5547" t="b">
            <v>0</v>
          </cell>
          <cell r="J5547">
            <v>32190.73</v>
          </cell>
          <cell r="K5547">
            <v>0</v>
          </cell>
          <cell r="L5547">
            <v>0</v>
          </cell>
        </row>
        <row r="5548">
          <cell r="A5548" t="str">
            <v>12</v>
          </cell>
          <cell r="B5548" t="str">
            <v>12</v>
          </cell>
          <cell r="C5548" t="str">
            <v>12</v>
          </cell>
          <cell r="D5548" t="str">
            <v>2</v>
          </cell>
          <cell r="E5548" t="str">
            <v>0013</v>
          </cell>
          <cell r="F5548" t="str">
            <v>0001</v>
          </cell>
          <cell r="G5548" t="str">
            <v>52115</v>
          </cell>
          <cell r="H5548" t="str">
            <v>付装卸班等人员工资</v>
          </cell>
          <cell r="I5548" t="b">
            <v>1</v>
          </cell>
          <cell r="J5548">
            <v>52241</v>
          </cell>
          <cell r="K5548">
            <v>0</v>
          </cell>
          <cell r="L5548">
            <v>0</v>
          </cell>
        </row>
        <row r="5549">
          <cell r="A5549" t="str">
            <v>12</v>
          </cell>
          <cell r="B5549" t="str">
            <v>14</v>
          </cell>
          <cell r="C5549" t="str">
            <v>12</v>
          </cell>
          <cell r="D5549" t="str">
            <v>2</v>
          </cell>
          <cell r="E5549" t="str">
            <v>0015</v>
          </cell>
          <cell r="F5549" t="str">
            <v>0001</v>
          </cell>
          <cell r="G5549" t="str">
            <v>52115</v>
          </cell>
          <cell r="H5549" t="str">
            <v>付运费</v>
          </cell>
          <cell r="I5549" t="b">
            <v>1</v>
          </cell>
          <cell r="J5549">
            <v>950</v>
          </cell>
          <cell r="K5549">
            <v>0</v>
          </cell>
          <cell r="L5549">
            <v>0</v>
          </cell>
        </row>
        <row r="5550">
          <cell r="A5550" t="str">
            <v>12</v>
          </cell>
          <cell r="B5550" t="str">
            <v>19</v>
          </cell>
          <cell r="C5550" t="str">
            <v>12</v>
          </cell>
          <cell r="D5550" t="str">
            <v>4</v>
          </cell>
          <cell r="E5550" t="str">
            <v>0026</v>
          </cell>
          <cell r="F5550" t="str">
            <v>0001</v>
          </cell>
          <cell r="G5550" t="str">
            <v>52115</v>
          </cell>
          <cell r="H5550" t="str">
            <v>付吊车费</v>
          </cell>
          <cell r="I5550" t="b">
            <v>1</v>
          </cell>
          <cell r="J5550">
            <v>3150</v>
          </cell>
          <cell r="K5550">
            <v>0</v>
          </cell>
          <cell r="L5550">
            <v>0</v>
          </cell>
        </row>
        <row r="5551">
          <cell r="A5551" t="str">
            <v>12</v>
          </cell>
          <cell r="B5551" t="str">
            <v>31</v>
          </cell>
          <cell r="C5551" t="str">
            <v>12</v>
          </cell>
          <cell r="D5551" t="str">
            <v>5</v>
          </cell>
          <cell r="E5551" t="str">
            <v>0103</v>
          </cell>
          <cell r="F5551" t="str">
            <v>0014</v>
          </cell>
          <cell r="G5551" t="str">
            <v>52115</v>
          </cell>
          <cell r="H5551" t="str">
            <v>结转本月管理费用</v>
          </cell>
          <cell r="I5551" t="b">
            <v>0</v>
          </cell>
          <cell r="J5551">
            <v>56341</v>
          </cell>
          <cell r="K5551">
            <v>0</v>
          </cell>
          <cell r="L5551">
            <v>0</v>
          </cell>
        </row>
        <row r="5552">
          <cell r="A5552" t="str">
            <v>02</v>
          </cell>
          <cell r="B5552" t="str">
            <v>05</v>
          </cell>
          <cell r="C5552" t="str">
            <v>02</v>
          </cell>
          <cell r="D5552" t="str">
            <v>1</v>
          </cell>
          <cell r="E5552" t="str">
            <v>0005</v>
          </cell>
          <cell r="F5552" t="str">
            <v>0002</v>
          </cell>
          <cell r="G5552" t="str">
            <v>52116</v>
          </cell>
          <cell r="H5552" t="str">
            <v>收电费</v>
          </cell>
          <cell r="I5552" t="b">
            <v>1</v>
          </cell>
          <cell r="J5552">
            <v>-480</v>
          </cell>
          <cell r="K5552">
            <v>0</v>
          </cell>
          <cell r="L5552">
            <v>0</v>
          </cell>
        </row>
        <row r="5553">
          <cell r="A5553" t="str">
            <v>02</v>
          </cell>
          <cell r="B5553" t="str">
            <v>18</v>
          </cell>
          <cell r="C5553" t="str">
            <v>02</v>
          </cell>
          <cell r="D5553" t="str">
            <v>4</v>
          </cell>
          <cell r="E5553" t="str">
            <v>0022</v>
          </cell>
          <cell r="F5553" t="str">
            <v>0009</v>
          </cell>
          <cell r="G5553" t="str">
            <v>52116</v>
          </cell>
          <cell r="H5553" t="str">
            <v>代扣99年12月份水电费</v>
          </cell>
          <cell r="I5553" t="b">
            <v>1</v>
          </cell>
          <cell r="J5553">
            <v>-1763</v>
          </cell>
          <cell r="K5553">
            <v>0</v>
          </cell>
          <cell r="L5553">
            <v>0</v>
          </cell>
        </row>
        <row r="5554">
          <cell r="A5554" t="str">
            <v>02</v>
          </cell>
          <cell r="B5554" t="str">
            <v>28</v>
          </cell>
          <cell r="C5554" t="str">
            <v>02</v>
          </cell>
          <cell r="D5554" t="str">
            <v>5</v>
          </cell>
          <cell r="E5554" t="str">
            <v>0025</v>
          </cell>
          <cell r="F5554" t="str">
            <v>0002</v>
          </cell>
          <cell r="G5554" t="str">
            <v>52116</v>
          </cell>
          <cell r="H5554" t="str">
            <v>转分公司代扣水电费</v>
          </cell>
          <cell r="I5554" t="b">
            <v>1</v>
          </cell>
          <cell r="J5554">
            <v>-1558.8</v>
          </cell>
          <cell r="K5554">
            <v>0</v>
          </cell>
          <cell r="L5554">
            <v>0</v>
          </cell>
        </row>
        <row r="5555">
          <cell r="A5555" t="str">
            <v>02</v>
          </cell>
          <cell r="B5555" t="str">
            <v>28</v>
          </cell>
          <cell r="C5555" t="str">
            <v>02</v>
          </cell>
          <cell r="D5555" t="str">
            <v>5</v>
          </cell>
          <cell r="E5555" t="str">
            <v>0026</v>
          </cell>
          <cell r="F5555" t="str">
            <v>0003</v>
          </cell>
          <cell r="G5555" t="str">
            <v>52116</v>
          </cell>
          <cell r="H5555" t="str">
            <v>转各厂代扣水电费</v>
          </cell>
          <cell r="I5555" t="b">
            <v>1</v>
          </cell>
          <cell r="J5555">
            <v>-3435.66</v>
          </cell>
          <cell r="K5555">
            <v>0</v>
          </cell>
          <cell r="L5555">
            <v>0</v>
          </cell>
        </row>
        <row r="5556">
          <cell r="A5556" t="str">
            <v>02</v>
          </cell>
          <cell r="B5556" t="str">
            <v>29</v>
          </cell>
          <cell r="C5556" t="str">
            <v>02</v>
          </cell>
          <cell r="D5556" t="str">
            <v>5</v>
          </cell>
          <cell r="E5556" t="str">
            <v>0058</v>
          </cell>
          <cell r="F5556" t="str">
            <v>0015</v>
          </cell>
          <cell r="G5556" t="str">
            <v>52116</v>
          </cell>
          <cell r="H5556" t="str">
            <v>结转本月管理费用</v>
          </cell>
          <cell r="I5556" t="b">
            <v>0</v>
          </cell>
          <cell r="J5556">
            <v>-7237.46</v>
          </cell>
          <cell r="K5556">
            <v>0</v>
          </cell>
          <cell r="L5556">
            <v>0</v>
          </cell>
        </row>
        <row r="5557">
          <cell r="A5557" t="str">
            <v>03</v>
          </cell>
          <cell r="B5557" t="str">
            <v>25</v>
          </cell>
          <cell r="C5557" t="str">
            <v>03</v>
          </cell>
          <cell r="D5557" t="str">
            <v>2</v>
          </cell>
          <cell r="E5557" t="str">
            <v>0026</v>
          </cell>
          <cell r="F5557" t="str">
            <v>0007</v>
          </cell>
          <cell r="G5557" t="str">
            <v>52116</v>
          </cell>
          <cell r="H5557" t="str">
            <v>代扣水电费</v>
          </cell>
          <cell r="I5557" t="b">
            <v>1</v>
          </cell>
          <cell r="J5557">
            <v>-235.1</v>
          </cell>
          <cell r="K5557">
            <v>0</v>
          </cell>
          <cell r="L5557">
            <v>0</v>
          </cell>
        </row>
        <row r="5558">
          <cell r="A5558" t="str">
            <v>03</v>
          </cell>
          <cell r="B5558" t="str">
            <v>20</v>
          </cell>
          <cell r="C5558" t="str">
            <v>03</v>
          </cell>
          <cell r="D5558" t="str">
            <v>4</v>
          </cell>
          <cell r="E5558" t="str">
            <v>0028</v>
          </cell>
          <cell r="F5558" t="str">
            <v>0008</v>
          </cell>
          <cell r="G5558" t="str">
            <v>52116</v>
          </cell>
          <cell r="H5558" t="str">
            <v>代扣本月水电费</v>
          </cell>
          <cell r="I5558" t="b">
            <v>1</v>
          </cell>
          <cell r="J5558">
            <v>-4790.6000000000004</v>
          </cell>
          <cell r="K5558">
            <v>0</v>
          </cell>
          <cell r="L5558">
            <v>0</v>
          </cell>
        </row>
        <row r="5559">
          <cell r="A5559" t="str">
            <v>03</v>
          </cell>
          <cell r="B5559" t="str">
            <v>30</v>
          </cell>
          <cell r="C5559" t="str">
            <v>03</v>
          </cell>
          <cell r="D5559" t="str">
            <v>5</v>
          </cell>
          <cell r="E5559" t="str">
            <v>0032</v>
          </cell>
          <cell r="F5559" t="str">
            <v>0014</v>
          </cell>
          <cell r="G5559" t="str">
            <v>52116</v>
          </cell>
          <cell r="H5559" t="str">
            <v>结转本月管理费用</v>
          </cell>
          <cell r="I5559" t="b">
            <v>0</v>
          </cell>
          <cell r="J5559">
            <v>-5025.7</v>
          </cell>
          <cell r="K5559">
            <v>0</v>
          </cell>
          <cell r="L5559">
            <v>0</v>
          </cell>
        </row>
        <row r="5560">
          <cell r="A5560" t="str">
            <v>04</v>
          </cell>
          <cell r="B5560" t="str">
            <v>19</v>
          </cell>
          <cell r="C5560" t="str">
            <v>04</v>
          </cell>
          <cell r="D5560" t="str">
            <v>4</v>
          </cell>
          <cell r="E5560" t="str">
            <v>0022</v>
          </cell>
          <cell r="F5560" t="str">
            <v>0009</v>
          </cell>
          <cell r="G5560" t="str">
            <v>52116</v>
          </cell>
          <cell r="H5560" t="str">
            <v>代扣本月水电费</v>
          </cell>
          <cell r="I5560" t="b">
            <v>1</v>
          </cell>
          <cell r="J5560">
            <v>-1998.9</v>
          </cell>
          <cell r="K5560">
            <v>0</v>
          </cell>
          <cell r="L5560">
            <v>0</v>
          </cell>
        </row>
        <row r="5561">
          <cell r="A5561" t="str">
            <v>04</v>
          </cell>
          <cell r="B5561" t="str">
            <v>29</v>
          </cell>
          <cell r="C5561" t="str">
            <v>04</v>
          </cell>
          <cell r="D5561" t="str">
            <v>5</v>
          </cell>
          <cell r="E5561" t="str">
            <v>0038</v>
          </cell>
          <cell r="F5561" t="str">
            <v>0014</v>
          </cell>
          <cell r="G5561" t="str">
            <v>52116</v>
          </cell>
          <cell r="H5561" t="str">
            <v>结转本月管理费用</v>
          </cell>
          <cell r="I5561" t="b">
            <v>0</v>
          </cell>
          <cell r="J5561">
            <v>-1998.9</v>
          </cell>
          <cell r="K5561">
            <v>0</v>
          </cell>
          <cell r="L5561">
            <v>0</v>
          </cell>
        </row>
        <row r="5562">
          <cell r="A5562" t="str">
            <v>05</v>
          </cell>
          <cell r="B5562" t="str">
            <v>25</v>
          </cell>
          <cell r="C5562" t="str">
            <v>05</v>
          </cell>
          <cell r="D5562" t="str">
            <v>4</v>
          </cell>
          <cell r="E5562" t="str">
            <v>0027</v>
          </cell>
          <cell r="F5562" t="str">
            <v>0008</v>
          </cell>
          <cell r="G5562" t="str">
            <v>52116</v>
          </cell>
          <cell r="H5562" t="str">
            <v>付本月水电费</v>
          </cell>
          <cell r="I5562" t="b">
            <v>1</v>
          </cell>
          <cell r="J5562">
            <v>-1861.5</v>
          </cell>
          <cell r="K5562">
            <v>0</v>
          </cell>
          <cell r="L5562">
            <v>0</v>
          </cell>
        </row>
        <row r="5563">
          <cell r="A5563" t="str">
            <v>05</v>
          </cell>
          <cell r="B5563" t="str">
            <v>25</v>
          </cell>
          <cell r="C5563" t="str">
            <v>05</v>
          </cell>
          <cell r="D5563" t="str">
            <v>5</v>
          </cell>
          <cell r="E5563" t="str">
            <v>0012</v>
          </cell>
          <cell r="F5563" t="str">
            <v>0002</v>
          </cell>
          <cell r="G5563" t="str">
            <v>52116</v>
          </cell>
          <cell r="H5563" t="str">
            <v>转各厂代扣3月份水电费</v>
          </cell>
          <cell r="I5563" t="b">
            <v>1</v>
          </cell>
          <cell r="J5563">
            <v>-2789.64</v>
          </cell>
          <cell r="K5563">
            <v>0</v>
          </cell>
          <cell r="L5563">
            <v>0</v>
          </cell>
        </row>
        <row r="5564">
          <cell r="A5564" t="str">
            <v>05</v>
          </cell>
          <cell r="B5564" t="str">
            <v>25</v>
          </cell>
          <cell r="C5564" t="str">
            <v>05</v>
          </cell>
          <cell r="D5564" t="str">
            <v>5</v>
          </cell>
          <cell r="E5564" t="str">
            <v>0013</v>
          </cell>
          <cell r="F5564" t="str">
            <v>0003</v>
          </cell>
          <cell r="G5564" t="str">
            <v>52116</v>
          </cell>
          <cell r="H5564" t="str">
            <v>转各厂代扣4月份水电费</v>
          </cell>
          <cell r="I5564" t="b">
            <v>1</v>
          </cell>
          <cell r="J5564">
            <v>-2106.38</v>
          </cell>
          <cell r="K5564">
            <v>0</v>
          </cell>
          <cell r="L5564">
            <v>0</v>
          </cell>
        </row>
        <row r="5565">
          <cell r="A5565" t="str">
            <v>05</v>
          </cell>
          <cell r="B5565" t="str">
            <v>25</v>
          </cell>
          <cell r="C5565" t="str">
            <v>05</v>
          </cell>
          <cell r="D5565" t="str">
            <v>5</v>
          </cell>
          <cell r="E5565" t="str">
            <v>0014</v>
          </cell>
          <cell r="F5565" t="str">
            <v>0004</v>
          </cell>
          <cell r="G5565" t="str">
            <v>52116</v>
          </cell>
          <cell r="H5565" t="str">
            <v>转代扣5月份水电费</v>
          </cell>
          <cell r="I5565" t="b">
            <v>1</v>
          </cell>
          <cell r="J5565">
            <v>-1856.08</v>
          </cell>
          <cell r="K5565">
            <v>0</v>
          </cell>
          <cell r="L5565">
            <v>0</v>
          </cell>
        </row>
        <row r="5566">
          <cell r="A5566" t="str">
            <v>05</v>
          </cell>
          <cell r="B5566" t="str">
            <v>31</v>
          </cell>
          <cell r="C5566" t="str">
            <v>05</v>
          </cell>
          <cell r="D5566" t="str">
            <v>5</v>
          </cell>
          <cell r="E5566" t="str">
            <v>0039</v>
          </cell>
          <cell r="F5566" t="str">
            <v>0014</v>
          </cell>
          <cell r="G5566" t="str">
            <v>52116</v>
          </cell>
          <cell r="H5566" t="str">
            <v>结转本月管理费用</v>
          </cell>
          <cell r="I5566" t="b">
            <v>0</v>
          </cell>
          <cell r="J5566">
            <v>-8613.6</v>
          </cell>
          <cell r="K5566">
            <v>0</v>
          </cell>
          <cell r="L5566">
            <v>0</v>
          </cell>
        </row>
        <row r="5567">
          <cell r="A5567" t="str">
            <v>06</v>
          </cell>
          <cell r="B5567" t="str">
            <v>01</v>
          </cell>
          <cell r="C5567" t="str">
            <v>06</v>
          </cell>
          <cell r="D5567" t="str">
            <v>1</v>
          </cell>
          <cell r="E5567" t="str">
            <v>0001</v>
          </cell>
          <cell r="F5567" t="str">
            <v>0004</v>
          </cell>
          <cell r="G5567" t="str">
            <v>52116</v>
          </cell>
          <cell r="H5567" t="str">
            <v>收99年水电费</v>
          </cell>
          <cell r="I5567" t="b">
            <v>1</v>
          </cell>
          <cell r="J5567">
            <v>-10203.5</v>
          </cell>
          <cell r="K5567">
            <v>0</v>
          </cell>
          <cell r="L5567">
            <v>0</v>
          </cell>
        </row>
        <row r="5568">
          <cell r="A5568" t="str">
            <v>06</v>
          </cell>
          <cell r="B5568" t="str">
            <v>20</v>
          </cell>
          <cell r="C5568" t="str">
            <v>06</v>
          </cell>
          <cell r="D5568" t="str">
            <v>4</v>
          </cell>
          <cell r="E5568" t="str">
            <v>0013</v>
          </cell>
          <cell r="F5568" t="str">
            <v>0009</v>
          </cell>
          <cell r="G5568" t="str">
            <v>52116</v>
          </cell>
          <cell r="H5568" t="str">
            <v>代扣水电费</v>
          </cell>
          <cell r="I5568" t="b">
            <v>1</v>
          </cell>
          <cell r="J5568">
            <v>-2182.1999999999998</v>
          </cell>
          <cell r="K5568">
            <v>0</v>
          </cell>
          <cell r="L5568">
            <v>0</v>
          </cell>
        </row>
        <row r="5569">
          <cell r="A5569" t="str">
            <v>06</v>
          </cell>
          <cell r="B5569" t="str">
            <v>23</v>
          </cell>
          <cell r="C5569" t="str">
            <v>06</v>
          </cell>
          <cell r="D5569" t="str">
            <v>5</v>
          </cell>
          <cell r="E5569" t="str">
            <v>0011</v>
          </cell>
          <cell r="F5569" t="str">
            <v>0004</v>
          </cell>
          <cell r="G5569" t="str">
            <v>52116</v>
          </cell>
          <cell r="H5569" t="str">
            <v>转代扣6月份水电费</v>
          </cell>
          <cell r="I5569" t="b">
            <v>1</v>
          </cell>
          <cell r="J5569">
            <v>-2344.38</v>
          </cell>
          <cell r="K5569">
            <v>0</v>
          </cell>
          <cell r="L5569">
            <v>0</v>
          </cell>
        </row>
        <row r="5570">
          <cell r="A5570" t="str">
            <v>06</v>
          </cell>
          <cell r="B5570" t="str">
            <v>25</v>
          </cell>
          <cell r="C5570" t="str">
            <v>06</v>
          </cell>
          <cell r="D5570" t="str">
            <v>5</v>
          </cell>
          <cell r="E5570" t="str">
            <v>0028</v>
          </cell>
          <cell r="F5570" t="str">
            <v>0013</v>
          </cell>
          <cell r="G5570" t="str">
            <v>52116</v>
          </cell>
          <cell r="H5570" t="str">
            <v>结转本月管理费用</v>
          </cell>
          <cell r="I5570" t="b">
            <v>0</v>
          </cell>
          <cell r="J5570">
            <v>-14730.08</v>
          </cell>
          <cell r="K5570">
            <v>0</v>
          </cell>
          <cell r="L5570">
            <v>0</v>
          </cell>
        </row>
        <row r="5571">
          <cell r="A5571" t="str">
            <v>07</v>
          </cell>
          <cell r="B5571" t="str">
            <v>12</v>
          </cell>
          <cell r="C5571" t="str">
            <v>07</v>
          </cell>
          <cell r="D5571" t="str">
            <v>4</v>
          </cell>
          <cell r="E5571" t="str">
            <v>0009</v>
          </cell>
          <cell r="F5571" t="str">
            <v>0008</v>
          </cell>
          <cell r="G5571" t="str">
            <v>52116</v>
          </cell>
          <cell r="H5571" t="str">
            <v>代扣水电费</v>
          </cell>
          <cell r="I5571" t="b">
            <v>1</v>
          </cell>
          <cell r="J5571">
            <v>-2047.8</v>
          </cell>
          <cell r="K5571">
            <v>0</v>
          </cell>
          <cell r="L5571">
            <v>0</v>
          </cell>
        </row>
        <row r="5572">
          <cell r="A5572" t="str">
            <v>07</v>
          </cell>
          <cell r="B5572" t="str">
            <v>24</v>
          </cell>
          <cell r="C5572" t="str">
            <v>07</v>
          </cell>
          <cell r="D5572" t="str">
            <v>5</v>
          </cell>
          <cell r="E5572" t="str">
            <v>0010</v>
          </cell>
          <cell r="F5572" t="str">
            <v>0004</v>
          </cell>
          <cell r="G5572" t="str">
            <v>52116</v>
          </cell>
          <cell r="H5572" t="str">
            <v>转代扣6月份水电费</v>
          </cell>
          <cell r="I5572" t="b">
            <v>1</v>
          </cell>
          <cell r="J5572">
            <v>-2203.8000000000002</v>
          </cell>
          <cell r="K5572">
            <v>0</v>
          </cell>
          <cell r="L5572">
            <v>0</v>
          </cell>
        </row>
        <row r="5573">
          <cell r="A5573" t="str">
            <v>07</v>
          </cell>
          <cell r="B5573" t="str">
            <v>29</v>
          </cell>
          <cell r="C5573" t="str">
            <v>07</v>
          </cell>
          <cell r="D5573" t="str">
            <v>5</v>
          </cell>
          <cell r="E5573" t="str">
            <v>0044</v>
          </cell>
          <cell r="F5573" t="str">
            <v>0014</v>
          </cell>
          <cell r="G5573" t="str">
            <v>52116</v>
          </cell>
          <cell r="H5573" t="str">
            <v>结转本月管理费用</v>
          </cell>
          <cell r="I5573" t="b">
            <v>0</v>
          </cell>
          <cell r="J5573">
            <v>-4251.6000000000004</v>
          </cell>
          <cell r="K5573">
            <v>0</v>
          </cell>
          <cell r="L5573">
            <v>0</v>
          </cell>
        </row>
        <row r="5574">
          <cell r="A5574" t="str">
            <v>08</v>
          </cell>
          <cell r="B5574" t="str">
            <v>08</v>
          </cell>
          <cell r="C5574" t="str">
            <v>08</v>
          </cell>
          <cell r="D5574" t="str">
            <v>4</v>
          </cell>
          <cell r="E5574" t="str">
            <v>0015</v>
          </cell>
          <cell r="F5574" t="str">
            <v>0006</v>
          </cell>
          <cell r="G5574" t="str">
            <v>52116</v>
          </cell>
          <cell r="H5574" t="str">
            <v>代扣水电费</v>
          </cell>
          <cell r="I5574" t="b">
            <v>1</v>
          </cell>
          <cell r="J5574">
            <v>-759.2</v>
          </cell>
          <cell r="K5574">
            <v>0</v>
          </cell>
          <cell r="L5574">
            <v>0</v>
          </cell>
        </row>
        <row r="5575">
          <cell r="A5575" t="str">
            <v>08</v>
          </cell>
          <cell r="B5575" t="str">
            <v>24</v>
          </cell>
          <cell r="C5575" t="str">
            <v>08</v>
          </cell>
          <cell r="D5575" t="str">
            <v>5</v>
          </cell>
          <cell r="E5575" t="str">
            <v>0010</v>
          </cell>
          <cell r="F5575" t="str">
            <v>0004</v>
          </cell>
          <cell r="G5575" t="str">
            <v>52116</v>
          </cell>
          <cell r="H5575" t="str">
            <v>转代扣本月水电费</v>
          </cell>
          <cell r="I5575" t="b">
            <v>1</v>
          </cell>
          <cell r="J5575">
            <v>-3597.26</v>
          </cell>
          <cell r="K5575">
            <v>0</v>
          </cell>
          <cell r="L5575">
            <v>0</v>
          </cell>
        </row>
        <row r="5576">
          <cell r="A5576" t="str">
            <v>08</v>
          </cell>
          <cell r="B5576" t="str">
            <v>31</v>
          </cell>
          <cell r="C5576" t="str">
            <v>08</v>
          </cell>
          <cell r="D5576" t="str">
            <v>5</v>
          </cell>
          <cell r="E5576" t="str">
            <v>0035</v>
          </cell>
          <cell r="F5576" t="str">
            <v>0014</v>
          </cell>
          <cell r="G5576" t="str">
            <v>52116</v>
          </cell>
          <cell r="H5576" t="str">
            <v>结转本月管理费用</v>
          </cell>
          <cell r="I5576" t="b">
            <v>0</v>
          </cell>
          <cell r="J5576">
            <v>-4356.46</v>
          </cell>
          <cell r="K5576">
            <v>0</v>
          </cell>
          <cell r="L5576">
            <v>0</v>
          </cell>
        </row>
        <row r="5577">
          <cell r="A5577" t="str">
            <v>09</v>
          </cell>
          <cell r="B5577" t="str">
            <v>06</v>
          </cell>
          <cell r="C5577" t="str">
            <v>09</v>
          </cell>
          <cell r="D5577" t="str">
            <v>4</v>
          </cell>
          <cell r="E5577" t="str">
            <v>0010</v>
          </cell>
          <cell r="F5577" t="str">
            <v>0007</v>
          </cell>
          <cell r="G5577" t="str">
            <v>52116</v>
          </cell>
          <cell r="H5577" t="str">
            <v>代扣本月水电费</v>
          </cell>
          <cell r="I5577" t="b">
            <v>1</v>
          </cell>
          <cell r="J5577">
            <v>-926.7</v>
          </cell>
          <cell r="K5577">
            <v>0</v>
          </cell>
          <cell r="L5577">
            <v>0</v>
          </cell>
        </row>
        <row r="5578">
          <cell r="A5578" t="str">
            <v>09</v>
          </cell>
          <cell r="B5578" t="str">
            <v>25</v>
          </cell>
          <cell r="C5578" t="str">
            <v>09</v>
          </cell>
          <cell r="D5578" t="str">
            <v>5</v>
          </cell>
          <cell r="E5578" t="str">
            <v>0017</v>
          </cell>
          <cell r="F5578" t="str">
            <v>0004</v>
          </cell>
          <cell r="G5578" t="str">
            <v>52116</v>
          </cell>
          <cell r="H5578" t="str">
            <v>转代扣本月水电费</v>
          </cell>
          <cell r="I5578" t="b">
            <v>1</v>
          </cell>
          <cell r="J5578">
            <v>-3500.04</v>
          </cell>
          <cell r="K5578">
            <v>0</v>
          </cell>
          <cell r="L5578">
            <v>0</v>
          </cell>
        </row>
        <row r="5579">
          <cell r="A5579" t="str">
            <v>09</v>
          </cell>
          <cell r="B5579" t="str">
            <v>30</v>
          </cell>
          <cell r="C5579" t="str">
            <v>09</v>
          </cell>
          <cell r="D5579" t="str">
            <v>5</v>
          </cell>
          <cell r="E5579" t="str">
            <v>0040</v>
          </cell>
          <cell r="F5579" t="str">
            <v>0014</v>
          </cell>
          <cell r="G5579" t="str">
            <v>52116</v>
          </cell>
          <cell r="H5579" t="str">
            <v>结转本月管理费用</v>
          </cell>
          <cell r="I5579" t="b">
            <v>0</v>
          </cell>
          <cell r="J5579">
            <v>-4426.74</v>
          </cell>
          <cell r="K5579">
            <v>0</v>
          </cell>
          <cell r="L5579">
            <v>0</v>
          </cell>
        </row>
        <row r="5580">
          <cell r="A5580" t="str">
            <v>10</v>
          </cell>
          <cell r="B5580" t="str">
            <v>22</v>
          </cell>
          <cell r="C5580" t="str">
            <v>10</v>
          </cell>
          <cell r="D5580" t="str">
            <v>4</v>
          </cell>
          <cell r="E5580" t="str">
            <v>0025</v>
          </cell>
          <cell r="F5580" t="str">
            <v>0007</v>
          </cell>
          <cell r="G5580" t="str">
            <v>52116</v>
          </cell>
          <cell r="H5580" t="str">
            <v>代扣水电费</v>
          </cell>
          <cell r="I5580" t="b">
            <v>1</v>
          </cell>
          <cell r="J5580">
            <v>-764.9</v>
          </cell>
          <cell r="K5580">
            <v>0</v>
          </cell>
          <cell r="L5580">
            <v>0</v>
          </cell>
        </row>
        <row r="5581">
          <cell r="A5581" t="str">
            <v>10</v>
          </cell>
          <cell r="B5581" t="str">
            <v>26</v>
          </cell>
          <cell r="C5581" t="str">
            <v>10</v>
          </cell>
          <cell r="D5581" t="str">
            <v>5</v>
          </cell>
          <cell r="E5581" t="str">
            <v>0016</v>
          </cell>
          <cell r="F5581" t="str">
            <v>0003</v>
          </cell>
          <cell r="G5581" t="str">
            <v>52116</v>
          </cell>
          <cell r="H5581" t="str">
            <v>转代扣本月水电费</v>
          </cell>
          <cell r="I5581" t="b">
            <v>1</v>
          </cell>
          <cell r="J5581">
            <v>-2898.54</v>
          </cell>
          <cell r="K5581">
            <v>0</v>
          </cell>
          <cell r="L5581">
            <v>0</v>
          </cell>
        </row>
        <row r="5582">
          <cell r="A5582" t="str">
            <v>10</v>
          </cell>
          <cell r="B5582" t="str">
            <v>30</v>
          </cell>
          <cell r="C5582" t="str">
            <v>10</v>
          </cell>
          <cell r="D5582" t="str">
            <v>5</v>
          </cell>
          <cell r="E5582" t="str">
            <v>0034</v>
          </cell>
          <cell r="F5582" t="str">
            <v>0015</v>
          </cell>
          <cell r="G5582" t="str">
            <v>52116</v>
          </cell>
          <cell r="H5582" t="str">
            <v>结转本月管理费用</v>
          </cell>
          <cell r="I5582" t="b">
            <v>0</v>
          </cell>
          <cell r="J5582">
            <v>-3663.44</v>
          </cell>
          <cell r="K5582">
            <v>0</v>
          </cell>
          <cell r="L5582">
            <v>0</v>
          </cell>
        </row>
        <row r="5583">
          <cell r="A5583" t="str">
            <v>11</v>
          </cell>
          <cell r="B5583" t="str">
            <v>15</v>
          </cell>
          <cell r="C5583" t="str">
            <v>11</v>
          </cell>
          <cell r="D5583" t="str">
            <v>4</v>
          </cell>
          <cell r="E5583" t="str">
            <v>0027</v>
          </cell>
          <cell r="F5583" t="str">
            <v>0008</v>
          </cell>
          <cell r="G5583" t="str">
            <v>52116</v>
          </cell>
          <cell r="H5583" t="str">
            <v>代扣水电费</v>
          </cell>
          <cell r="I5583" t="b">
            <v>1</v>
          </cell>
          <cell r="J5583">
            <v>-689.4</v>
          </cell>
          <cell r="K5583">
            <v>0</v>
          </cell>
          <cell r="L5583">
            <v>0</v>
          </cell>
        </row>
        <row r="5584">
          <cell r="A5584" t="str">
            <v>11</v>
          </cell>
          <cell r="B5584" t="str">
            <v>23</v>
          </cell>
          <cell r="C5584" t="str">
            <v>11</v>
          </cell>
          <cell r="D5584" t="str">
            <v>4</v>
          </cell>
          <cell r="E5584" t="str">
            <v>0037</v>
          </cell>
          <cell r="F5584" t="str">
            <v>0003</v>
          </cell>
          <cell r="G5584" t="str">
            <v>52116</v>
          </cell>
          <cell r="H5584" t="str">
            <v>付家属院水电费</v>
          </cell>
          <cell r="I5584" t="b">
            <v>1</v>
          </cell>
          <cell r="J5584">
            <v>10687.93</v>
          </cell>
          <cell r="K5584">
            <v>0</v>
          </cell>
          <cell r="L5584">
            <v>0</v>
          </cell>
        </row>
        <row r="5585">
          <cell r="A5585" t="str">
            <v>11</v>
          </cell>
          <cell r="B5585" t="str">
            <v>18</v>
          </cell>
          <cell r="C5585" t="str">
            <v>11</v>
          </cell>
          <cell r="D5585" t="str">
            <v>5</v>
          </cell>
          <cell r="E5585" t="str">
            <v>0018</v>
          </cell>
          <cell r="F5585" t="str">
            <v>0003</v>
          </cell>
          <cell r="G5585" t="str">
            <v>52116</v>
          </cell>
          <cell r="H5585" t="str">
            <v>转代扣本月水电费</v>
          </cell>
          <cell r="I5585" t="b">
            <v>1</v>
          </cell>
          <cell r="J5585">
            <v>-2628.26</v>
          </cell>
          <cell r="K5585">
            <v>0</v>
          </cell>
          <cell r="L5585">
            <v>0</v>
          </cell>
        </row>
        <row r="5586">
          <cell r="A5586" t="str">
            <v>11</v>
          </cell>
          <cell r="B5586" t="str">
            <v>30</v>
          </cell>
          <cell r="C5586" t="str">
            <v>11</v>
          </cell>
          <cell r="D5586" t="str">
            <v>5</v>
          </cell>
          <cell r="E5586" t="str">
            <v>0037</v>
          </cell>
          <cell r="F5586" t="str">
            <v>0015</v>
          </cell>
          <cell r="G5586" t="str">
            <v>52116</v>
          </cell>
          <cell r="H5586" t="str">
            <v>结转本月管理费用</v>
          </cell>
          <cell r="I5586" t="b">
            <v>0</v>
          </cell>
          <cell r="J5586">
            <v>7370.27</v>
          </cell>
          <cell r="K5586">
            <v>0</v>
          </cell>
          <cell r="L5586">
            <v>0</v>
          </cell>
        </row>
        <row r="5587">
          <cell r="A5587" t="str">
            <v>12</v>
          </cell>
          <cell r="B5587" t="str">
            <v>15</v>
          </cell>
          <cell r="C5587" t="str">
            <v>12</v>
          </cell>
          <cell r="D5587" t="str">
            <v>1</v>
          </cell>
          <cell r="E5587" t="str">
            <v>0004</v>
          </cell>
          <cell r="F5587" t="str">
            <v>0003</v>
          </cell>
          <cell r="G5587" t="str">
            <v>52116</v>
          </cell>
          <cell r="H5587" t="str">
            <v>收水电费</v>
          </cell>
          <cell r="I5587" t="b">
            <v>1</v>
          </cell>
          <cell r="J5587">
            <v>-4669.5600000000004</v>
          </cell>
          <cell r="K5587">
            <v>0</v>
          </cell>
          <cell r="L5587">
            <v>0</v>
          </cell>
        </row>
        <row r="5588">
          <cell r="A5588" t="str">
            <v>12</v>
          </cell>
          <cell r="B5588" t="str">
            <v>08</v>
          </cell>
          <cell r="C5588" t="str">
            <v>12</v>
          </cell>
          <cell r="D5588" t="str">
            <v>4</v>
          </cell>
          <cell r="E5588" t="str">
            <v>0010</v>
          </cell>
          <cell r="F5588" t="str">
            <v>0007</v>
          </cell>
          <cell r="G5588" t="str">
            <v>52116</v>
          </cell>
          <cell r="H5588" t="str">
            <v>代扣水电费</v>
          </cell>
          <cell r="I5588" t="b">
            <v>1</v>
          </cell>
          <cell r="J5588">
            <v>-634.5</v>
          </cell>
          <cell r="K5588">
            <v>0</v>
          </cell>
          <cell r="L5588">
            <v>0</v>
          </cell>
        </row>
        <row r="5589">
          <cell r="A5589" t="str">
            <v>12</v>
          </cell>
          <cell r="B5589" t="str">
            <v>20</v>
          </cell>
          <cell r="C5589" t="str">
            <v>12</v>
          </cell>
          <cell r="D5589" t="str">
            <v>4</v>
          </cell>
          <cell r="E5589" t="str">
            <v>0037</v>
          </cell>
          <cell r="F5589" t="str">
            <v>0001</v>
          </cell>
          <cell r="G5589" t="str">
            <v>52116</v>
          </cell>
          <cell r="H5589" t="str">
            <v>付家属用电</v>
          </cell>
          <cell r="I5589" t="b">
            <v>1</v>
          </cell>
          <cell r="J5589">
            <v>4306.1400000000003</v>
          </cell>
          <cell r="K5589">
            <v>0</v>
          </cell>
          <cell r="L5589">
            <v>0</v>
          </cell>
        </row>
        <row r="5590">
          <cell r="A5590" t="str">
            <v>12</v>
          </cell>
          <cell r="B5590" t="str">
            <v>23</v>
          </cell>
          <cell r="C5590" t="str">
            <v>12</v>
          </cell>
          <cell r="D5590" t="str">
            <v>4</v>
          </cell>
          <cell r="E5590" t="str">
            <v>0053</v>
          </cell>
          <cell r="F5590" t="str">
            <v>0001</v>
          </cell>
          <cell r="G5590" t="str">
            <v>52116</v>
          </cell>
          <cell r="H5590" t="str">
            <v>付居民用电</v>
          </cell>
          <cell r="I5590" t="b">
            <v>1</v>
          </cell>
          <cell r="J5590">
            <v>13659.75</v>
          </cell>
          <cell r="K5590">
            <v>0</v>
          </cell>
          <cell r="L5590">
            <v>0</v>
          </cell>
        </row>
        <row r="5591">
          <cell r="A5591" t="str">
            <v>12</v>
          </cell>
          <cell r="B5591" t="str">
            <v>08</v>
          </cell>
          <cell r="C5591" t="str">
            <v>12</v>
          </cell>
          <cell r="D5591" t="str">
            <v>5</v>
          </cell>
          <cell r="E5591" t="str">
            <v>0003</v>
          </cell>
          <cell r="F5591" t="str">
            <v>0001</v>
          </cell>
          <cell r="G5591" t="str">
            <v>52116</v>
          </cell>
          <cell r="H5591" t="str">
            <v>调户</v>
          </cell>
          <cell r="I5591" t="b">
            <v>1</v>
          </cell>
          <cell r="J5591">
            <v>34997.550000000003</v>
          </cell>
          <cell r="K5591">
            <v>0</v>
          </cell>
          <cell r="L5591">
            <v>0</v>
          </cell>
        </row>
        <row r="5592">
          <cell r="A5592" t="str">
            <v>12</v>
          </cell>
          <cell r="B5592" t="str">
            <v>20</v>
          </cell>
          <cell r="C5592" t="str">
            <v>12</v>
          </cell>
          <cell r="D5592" t="str">
            <v>5</v>
          </cell>
          <cell r="E5592" t="str">
            <v>0017</v>
          </cell>
          <cell r="F5592" t="str">
            <v>0003</v>
          </cell>
          <cell r="G5592" t="str">
            <v>52116</v>
          </cell>
          <cell r="H5592" t="str">
            <v>转代扣本月水电费</v>
          </cell>
          <cell r="I5592" t="b">
            <v>1</v>
          </cell>
          <cell r="J5592">
            <v>-2692.4</v>
          </cell>
          <cell r="K5592">
            <v>0</v>
          </cell>
          <cell r="L5592">
            <v>0</v>
          </cell>
        </row>
        <row r="5593">
          <cell r="A5593" t="str">
            <v>12</v>
          </cell>
          <cell r="B5593" t="str">
            <v>30</v>
          </cell>
          <cell r="C5593" t="str">
            <v>12</v>
          </cell>
          <cell r="D5593" t="str">
            <v>5</v>
          </cell>
          <cell r="E5593" t="str">
            <v>0088</v>
          </cell>
          <cell r="F5593" t="str">
            <v>0006</v>
          </cell>
          <cell r="G5593" t="str">
            <v>52116</v>
          </cell>
          <cell r="H5593" t="str">
            <v>转代扣水电费</v>
          </cell>
          <cell r="I5593" t="b">
            <v>1</v>
          </cell>
          <cell r="J5593">
            <v>-807.1</v>
          </cell>
          <cell r="K5593">
            <v>0</v>
          </cell>
          <cell r="L5593">
            <v>0</v>
          </cell>
        </row>
        <row r="5594">
          <cell r="A5594" t="str">
            <v>12</v>
          </cell>
          <cell r="B5594" t="str">
            <v>31</v>
          </cell>
          <cell r="C5594" t="str">
            <v>12</v>
          </cell>
          <cell r="D5594" t="str">
            <v>5</v>
          </cell>
          <cell r="E5594" t="str">
            <v>0097</v>
          </cell>
          <cell r="F5594" t="str">
            <v>0003</v>
          </cell>
          <cell r="G5594" t="str">
            <v>52116</v>
          </cell>
          <cell r="H5594" t="str">
            <v>转代扣水电费</v>
          </cell>
          <cell r="I5594" t="b">
            <v>1</v>
          </cell>
          <cell r="J5594">
            <v>-3099.48</v>
          </cell>
          <cell r="K5594">
            <v>0</v>
          </cell>
          <cell r="L5594">
            <v>0</v>
          </cell>
        </row>
        <row r="5595">
          <cell r="A5595" t="str">
            <v>12</v>
          </cell>
          <cell r="B5595" t="str">
            <v>31</v>
          </cell>
          <cell r="C5595" t="str">
            <v>12</v>
          </cell>
          <cell r="D5595" t="str">
            <v>5</v>
          </cell>
          <cell r="E5595" t="str">
            <v>0103</v>
          </cell>
          <cell r="F5595" t="str">
            <v>0015</v>
          </cell>
          <cell r="G5595" t="str">
            <v>52116</v>
          </cell>
          <cell r="H5595" t="str">
            <v>结转本月管理费用</v>
          </cell>
          <cell r="I5595" t="b">
            <v>0</v>
          </cell>
          <cell r="J5595">
            <v>41060.400000000001</v>
          </cell>
          <cell r="K5595">
            <v>0</v>
          </cell>
          <cell r="L5595">
            <v>0</v>
          </cell>
        </row>
        <row r="5596">
          <cell r="A5596" t="str">
            <v>02</v>
          </cell>
          <cell r="B5596" t="str">
            <v>07</v>
          </cell>
          <cell r="C5596" t="str">
            <v>02</v>
          </cell>
          <cell r="D5596" t="str">
            <v>2</v>
          </cell>
          <cell r="E5596" t="str">
            <v>0016</v>
          </cell>
          <cell r="F5596" t="str">
            <v>0001</v>
          </cell>
          <cell r="G5596" t="str">
            <v>52117</v>
          </cell>
          <cell r="H5596" t="str">
            <v>付电话费</v>
          </cell>
          <cell r="I5596" t="b">
            <v>1</v>
          </cell>
          <cell r="J5596">
            <v>11484</v>
          </cell>
          <cell r="K5596">
            <v>0</v>
          </cell>
          <cell r="L5596">
            <v>0</v>
          </cell>
        </row>
        <row r="5597">
          <cell r="A5597" t="str">
            <v>02</v>
          </cell>
          <cell r="B5597" t="str">
            <v>19</v>
          </cell>
          <cell r="C5597" t="str">
            <v>02</v>
          </cell>
          <cell r="D5597" t="str">
            <v>2</v>
          </cell>
          <cell r="E5597" t="str">
            <v>0033</v>
          </cell>
          <cell r="F5597" t="str">
            <v>0002</v>
          </cell>
          <cell r="G5597" t="str">
            <v>52117</v>
          </cell>
          <cell r="H5597" t="str">
            <v>付电话费</v>
          </cell>
          <cell r="I5597" t="b">
            <v>1</v>
          </cell>
          <cell r="J5597">
            <v>2248.5300000000002</v>
          </cell>
          <cell r="K5597">
            <v>0</v>
          </cell>
          <cell r="L5597">
            <v>0</v>
          </cell>
        </row>
        <row r="5598">
          <cell r="A5598" t="str">
            <v>02</v>
          </cell>
          <cell r="B5598" t="str">
            <v>21</v>
          </cell>
          <cell r="C5598" t="str">
            <v>02</v>
          </cell>
          <cell r="D5598" t="str">
            <v>4</v>
          </cell>
          <cell r="E5598" t="str">
            <v>0032</v>
          </cell>
          <cell r="F5598" t="str">
            <v>0004</v>
          </cell>
          <cell r="G5598" t="str">
            <v>52117</v>
          </cell>
          <cell r="H5598" t="str">
            <v>付电话费</v>
          </cell>
          <cell r="I5598" t="b">
            <v>1</v>
          </cell>
          <cell r="J5598">
            <v>19298</v>
          </cell>
          <cell r="K5598">
            <v>0</v>
          </cell>
          <cell r="L5598">
            <v>0</v>
          </cell>
        </row>
        <row r="5599">
          <cell r="A5599" t="str">
            <v>02</v>
          </cell>
          <cell r="B5599" t="str">
            <v>29</v>
          </cell>
          <cell r="C5599" t="str">
            <v>02</v>
          </cell>
          <cell r="D5599" t="str">
            <v>5</v>
          </cell>
          <cell r="E5599" t="str">
            <v>0058</v>
          </cell>
          <cell r="F5599" t="str">
            <v>0016</v>
          </cell>
          <cell r="G5599" t="str">
            <v>52117</v>
          </cell>
          <cell r="H5599" t="str">
            <v>结转本月管理费用</v>
          </cell>
          <cell r="I5599" t="b">
            <v>0</v>
          </cell>
          <cell r="J5599">
            <v>33030.53</v>
          </cell>
          <cell r="K5599">
            <v>0</v>
          </cell>
          <cell r="L5599">
            <v>0</v>
          </cell>
        </row>
        <row r="5600">
          <cell r="A5600" t="str">
            <v>03</v>
          </cell>
          <cell r="B5600" t="str">
            <v>12</v>
          </cell>
          <cell r="C5600" t="str">
            <v>03</v>
          </cell>
          <cell r="D5600" t="str">
            <v>2</v>
          </cell>
          <cell r="E5600" t="str">
            <v>0011</v>
          </cell>
          <cell r="F5600" t="str">
            <v>0002</v>
          </cell>
          <cell r="G5600" t="str">
            <v>52117</v>
          </cell>
          <cell r="H5600" t="str">
            <v>付电话费</v>
          </cell>
          <cell r="I5600" t="b">
            <v>1</v>
          </cell>
          <cell r="J5600">
            <v>9895</v>
          </cell>
          <cell r="K5600">
            <v>0</v>
          </cell>
          <cell r="L5600">
            <v>0</v>
          </cell>
        </row>
        <row r="5601">
          <cell r="A5601" t="str">
            <v>03</v>
          </cell>
          <cell r="B5601" t="str">
            <v>14</v>
          </cell>
          <cell r="C5601" t="str">
            <v>03</v>
          </cell>
          <cell r="D5601" t="str">
            <v>4</v>
          </cell>
          <cell r="E5601" t="str">
            <v>0019</v>
          </cell>
          <cell r="F5601" t="str">
            <v>0001</v>
          </cell>
          <cell r="G5601" t="str">
            <v>52117</v>
          </cell>
          <cell r="H5601" t="str">
            <v>付电话费</v>
          </cell>
          <cell r="I5601" t="b">
            <v>1</v>
          </cell>
          <cell r="J5601">
            <v>7760</v>
          </cell>
          <cell r="K5601">
            <v>0</v>
          </cell>
          <cell r="L5601">
            <v>0</v>
          </cell>
        </row>
        <row r="5602">
          <cell r="A5602" t="str">
            <v>03</v>
          </cell>
          <cell r="B5602" t="str">
            <v>30</v>
          </cell>
          <cell r="C5602" t="str">
            <v>03</v>
          </cell>
          <cell r="D5602" t="str">
            <v>5</v>
          </cell>
          <cell r="E5602" t="str">
            <v>0032</v>
          </cell>
          <cell r="F5602" t="str">
            <v>0015</v>
          </cell>
          <cell r="G5602" t="str">
            <v>52117</v>
          </cell>
          <cell r="H5602" t="str">
            <v>结转本月管理费用</v>
          </cell>
          <cell r="I5602" t="b">
            <v>0</v>
          </cell>
          <cell r="J5602">
            <v>17655</v>
          </cell>
          <cell r="K5602">
            <v>0</v>
          </cell>
          <cell r="L5602">
            <v>0</v>
          </cell>
        </row>
        <row r="5603">
          <cell r="A5603" t="str">
            <v>04</v>
          </cell>
          <cell r="B5603" t="str">
            <v>20</v>
          </cell>
          <cell r="C5603" t="str">
            <v>04</v>
          </cell>
          <cell r="D5603" t="str">
            <v>2</v>
          </cell>
          <cell r="E5603" t="str">
            <v>0009</v>
          </cell>
          <cell r="F5603" t="str">
            <v>0002</v>
          </cell>
          <cell r="G5603" t="str">
            <v>52117</v>
          </cell>
          <cell r="H5603" t="str">
            <v>付电话费</v>
          </cell>
          <cell r="I5603" t="b">
            <v>1</v>
          </cell>
          <cell r="J5603">
            <v>1142</v>
          </cell>
          <cell r="K5603">
            <v>0</v>
          </cell>
          <cell r="L5603">
            <v>0</v>
          </cell>
        </row>
        <row r="5604">
          <cell r="A5604" t="str">
            <v>04</v>
          </cell>
          <cell r="B5604" t="str">
            <v>15</v>
          </cell>
          <cell r="C5604" t="str">
            <v>04</v>
          </cell>
          <cell r="D5604" t="str">
            <v>4</v>
          </cell>
          <cell r="E5604" t="str">
            <v>0013</v>
          </cell>
          <cell r="F5604" t="str">
            <v>0004</v>
          </cell>
          <cell r="G5604" t="str">
            <v>52117</v>
          </cell>
          <cell r="H5604" t="str">
            <v>付电话费</v>
          </cell>
          <cell r="I5604" t="b">
            <v>1</v>
          </cell>
          <cell r="J5604">
            <v>8885</v>
          </cell>
          <cell r="K5604">
            <v>0</v>
          </cell>
          <cell r="L5604">
            <v>0</v>
          </cell>
        </row>
        <row r="5605">
          <cell r="A5605" t="str">
            <v>04</v>
          </cell>
          <cell r="B5605" t="str">
            <v>29</v>
          </cell>
          <cell r="C5605" t="str">
            <v>04</v>
          </cell>
          <cell r="D5605" t="str">
            <v>5</v>
          </cell>
          <cell r="E5605" t="str">
            <v>0038</v>
          </cell>
          <cell r="F5605" t="str">
            <v>0015</v>
          </cell>
          <cell r="G5605" t="str">
            <v>52117</v>
          </cell>
          <cell r="H5605" t="str">
            <v>结转本月管理费用</v>
          </cell>
          <cell r="I5605" t="b">
            <v>0</v>
          </cell>
          <cell r="J5605">
            <v>10027</v>
          </cell>
          <cell r="K5605">
            <v>0</v>
          </cell>
          <cell r="L5605">
            <v>0</v>
          </cell>
        </row>
        <row r="5606">
          <cell r="A5606" t="str">
            <v>05</v>
          </cell>
          <cell r="B5606" t="str">
            <v>20</v>
          </cell>
          <cell r="C5606" t="str">
            <v>05</v>
          </cell>
          <cell r="D5606" t="str">
            <v>2</v>
          </cell>
          <cell r="E5606" t="str">
            <v>0012</v>
          </cell>
          <cell r="F5606" t="str">
            <v>0002</v>
          </cell>
          <cell r="G5606" t="str">
            <v>52117</v>
          </cell>
          <cell r="H5606" t="str">
            <v>付电话费</v>
          </cell>
          <cell r="I5606" t="b">
            <v>1</v>
          </cell>
          <cell r="J5606">
            <v>30562</v>
          </cell>
          <cell r="K5606">
            <v>0</v>
          </cell>
          <cell r="L5606">
            <v>0</v>
          </cell>
        </row>
        <row r="5607">
          <cell r="A5607" t="str">
            <v>05</v>
          </cell>
          <cell r="B5607" t="str">
            <v>11</v>
          </cell>
          <cell r="C5607" t="str">
            <v>05</v>
          </cell>
          <cell r="D5607" t="str">
            <v>4</v>
          </cell>
          <cell r="E5607" t="str">
            <v>0003</v>
          </cell>
          <cell r="F5607" t="str">
            <v>0004</v>
          </cell>
          <cell r="G5607" t="str">
            <v>52117</v>
          </cell>
          <cell r="H5607" t="str">
            <v>付电话费</v>
          </cell>
          <cell r="I5607" t="b">
            <v>1</v>
          </cell>
          <cell r="J5607">
            <v>8899</v>
          </cell>
          <cell r="K5607">
            <v>0</v>
          </cell>
          <cell r="L5607">
            <v>0</v>
          </cell>
        </row>
        <row r="5608">
          <cell r="A5608" t="str">
            <v>05</v>
          </cell>
          <cell r="B5608" t="str">
            <v>31</v>
          </cell>
          <cell r="C5608" t="str">
            <v>05</v>
          </cell>
          <cell r="D5608" t="str">
            <v>5</v>
          </cell>
          <cell r="E5608" t="str">
            <v>0039</v>
          </cell>
          <cell r="F5608" t="str">
            <v>0015</v>
          </cell>
          <cell r="G5608" t="str">
            <v>52117</v>
          </cell>
          <cell r="H5608" t="str">
            <v>结转本月管理费用</v>
          </cell>
          <cell r="I5608" t="b">
            <v>0</v>
          </cell>
          <cell r="J5608">
            <v>39461</v>
          </cell>
          <cell r="K5608">
            <v>0</v>
          </cell>
          <cell r="L5608">
            <v>0</v>
          </cell>
        </row>
        <row r="5609">
          <cell r="A5609" t="str">
            <v>06</v>
          </cell>
          <cell r="B5609" t="str">
            <v>05</v>
          </cell>
          <cell r="C5609" t="str">
            <v>06</v>
          </cell>
          <cell r="D5609" t="str">
            <v>2</v>
          </cell>
          <cell r="E5609" t="str">
            <v>0005</v>
          </cell>
          <cell r="F5609" t="str">
            <v>0003</v>
          </cell>
          <cell r="G5609" t="str">
            <v>52117</v>
          </cell>
          <cell r="H5609" t="str">
            <v>付电话费</v>
          </cell>
          <cell r="I5609" t="b">
            <v>1</v>
          </cell>
          <cell r="J5609">
            <v>7181</v>
          </cell>
          <cell r="K5609">
            <v>0</v>
          </cell>
          <cell r="L5609">
            <v>0</v>
          </cell>
        </row>
        <row r="5610">
          <cell r="A5610" t="str">
            <v>06</v>
          </cell>
          <cell r="B5610" t="str">
            <v>20</v>
          </cell>
          <cell r="C5610" t="str">
            <v>06</v>
          </cell>
          <cell r="D5610" t="str">
            <v>4</v>
          </cell>
          <cell r="E5610" t="str">
            <v>0011</v>
          </cell>
          <cell r="F5610" t="str">
            <v>0001</v>
          </cell>
          <cell r="G5610" t="str">
            <v>52117</v>
          </cell>
          <cell r="H5610" t="str">
            <v>付电话费</v>
          </cell>
          <cell r="I5610" t="b">
            <v>1</v>
          </cell>
          <cell r="J5610">
            <v>7259</v>
          </cell>
          <cell r="K5610">
            <v>0</v>
          </cell>
          <cell r="L5610">
            <v>0</v>
          </cell>
        </row>
        <row r="5611">
          <cell r="A5611" t="str">
            <v>06</v>
          </cell>
          <cell r="B5611" t="str">
            <v>25</v>
          </cell>
          <cell r="C5611" t="str">
            <v>06</v>
          </cell>
          <cell r="D5611" t="str">
            <v>5</v>
          </cell>
          <cell r="E5611" t="str">
            <v>0028</v>
          </cell>
          <cell r="F5611" t="str">
            <v>0014</v>
          </cell>
          <cell r="G5611" t="str">
            <v>52117</v>
          </cell>
          <cell r="H5611" t="str">
            <v>结转本月管理费用</v>
          </cell>
          <cell r="I5611" t="b">
            <v>0</v>
          </cell>
          <cell r="J5611">
            <v>14440</v>
          </cell>
          <cell r="K5611">
            <v>0</v>
          </cell>
          <cell r="L5611">
            <v>0</v>
          </cell>
        </row>
        <row r="5612">
          <cell r="A5612" t="str">
            <v>07</v>
          </cell>
          <cell r="B5612" t="str">
            <v>05</v>
          </cell>
          <cell r="C5612" t="str">
            <v>07</v>
          </cell>
          <cell r="D5612" t="str">
            <v>2</v>
          </cell>
          <cell r="E5612" t="str">
            <v>0003</v>
          </cell>
          <cell r="F5612" t="str">
            <v>0002</v>
          </cell>
          <cell r="G5612" t="str">
            <v>52117</v>
          </cell>
          <cell r="H5612" t="str">
            <v>付电话费</v>
          </cell>
          <cell r="I5612" t="b">
            <v>1</v>
          </cell>
          <cell r="J5612">
            <v>1520</v>
          </cell>
          <cell r="K5612">
            <v>0</v>
          </cell>
          <cell r="L5612">
            <v>0</v>
          </cell>
        </row>
        <row r="5613">
          <cell r="A5613" t="str">
            <v>07</v>
          </cell>
          <cell r="B5613" t="str">
            <v>20</v>
          </cell>
          <cell r="C5613" t="str">
            <v>07</v>
          </cell>
          <cell r="D5613" t="str">
            <v>2</v>
          </cell>
          <cell r="E5613" t="str">
            <v>0016</v>
          </cell>
          <cell r="F5613" t="str">
            <v>0001</v>
          </cell>
          <cell r="G5613" t="str">
            <v>52117</v>
          </cell>
          <cell r="H5613" t="str">
            <v>付电话费</v>
          </cell>
          <cell r="I5613" t="b">
            <v>1</v>
          </cell>
          <cell r="J5613">
            <v>298</v>
          </cell>
          <cell r="K5613">
            <v>0</v>
          </cell>
          <cell r="L5613">
            <v>0</v>
          </cell>
        </row>
        <row r="5614">
          <cell r="A5614" t="str">
            <v>07</v>
          </cell>
          <cell r="B5614" t="str">
            <v>07</v>
          </cell>
          <cell r="C5614" t="str">
            <v>07</v>
          </cell>
          <cell r="D5614" t="str">
            <v>4</v>
          </cell>
          <cell r="E5614" t="str">
            <v>0005</v>
          </cell>
          <cell r="F5614" t="str">
            <v>0001</v>
          </cell>
          <cell r="G5614" t="str">
            <v>52117</v>
          </cell>
          <cell r="H5614" t="str">
            <v>付电话费</v>
          </cell>
          <cell r="I5614" t="b">
            <v>1</v>
          </cell>
          <cell r="J5614">
            <v>8521</v>
          </cell>
          <cell r="K5614">
            <v>0</v>
          </cell>
          <cell r="L5614">
            <v>0</v>
          </cell>
        </row>
        <row r="5615">
          <cell r="A5615" t="str">
            <v>07</v>
          </cell>
          <cell r="B5615" t="str">
            <v>29</v>
          </cell>
          <cell r="C5615" t="str">
            <v>07</v>
          </cell>
          <cell r="D5615" t="str">
            <v>5</v>
          </cell>
          <cell r="E5615" t="str">
            <v>0044</v>
          </cell>
          <cell r="F5615" t="str">
            <v>0015</v>
          </cell>
          <cell r="G5615" t="str">
            <v>52117</v>
          </cell>
          <cell r="H5615" t="str">
            <v>结转本月管理费用</v>
          </cell>
          <cell r="I5615" t="b">
            <v>0</v>
          </cell>
          <cell r="J5615">
            <v>10339</v>
          </cell>
          <cell r="K5615">
            <v>0</v>
          </cell>
          <cell r="L5615">
            <v>0</v>
          </cell>
        </row>
        <row r="5616">
          <cell r="A5616" t="str">
            <v>08</v>
          </cell>
          <cell r="B5616" t="str">
            <v>05</v>
          </cell>
          <cell r="C5616" t="str">
            <v>08</v>
          </cell>
          <cell r="D5616" t="str">
            <v>2</v>
          </cell>
          <cell r="E5616" t="str">
            <v>0008</v>
          </cell>
          <cell r="F5616" t="str">
            <v>0001</v>
          </cell>
          <cell r="G5616" t="str">
            <v>52117</v>
          </cell>
          <cell r="H5616" t="str">
            <v>付电话费</v>
          </cell>
          <cell r="I5616" t="b">
            <v>1</v>
          </cell>
          <cell r="J5616">
            <v>181</v>
          </cell>
          <cell r="K5616">
            <v>0</v>
          </cell>
          <cell r="L5616">
            <v>0</v>
          </cell>
        </row>
        <row r="5617">
          <cell r="A5617" t="str">
            <v>08</v>
          </cell>
          <cell r="B5617" t="str">
            <v>05</v>
          </cell>
          <cell r="C5617" t="str">
            <v>08</v>
          </cell>
          <cell r="D5617" t="str">
            <v>4</v>
          </cell>
          <cell r="E5617" t="str">
            <v>0008</v>
          </cell>
          <cell r="F5617" t="str">
            <v>0001</v>
          </cell>
          <cell r="G5617" t="str">
            <v>52117</v>
          </cell>
          <cell r="H5617" t="str">
            <v>付电话费</v>
          </cell>
          <cell r="I5617" t="b">
            <v>1</v>
          </cell>
          <cell r="J5617">
            <v>9015</v>
          </cell>
          <cell r="K5617">
            <v>0</v>
          </cell>
          <cell r="L5617">
            <v>0</v>
          </cell>
        </row>
        <row r="5618">
          <cell r="A5618" t="str">
            <v>08</v>
          </cell>
          <cell r="B5618" t="str">
            <v>31</v>
          </cell>
          <cell r="C5618" t="str">
            <v>08</v>
          </cell>
          <cell r="D5618" t="str">
            <v>5</v>
          </cell>
          <cell r="E5618" t="str">
            <v>0035</v>
          </cell>
          <cell r="F5618" t="str">
            <v>0015</v>
          </cell>
          <cell r="G5618" t="str">
            <v>52117</v>
          </cell>
          <cell r="H5618" t="str">
            <v>结转本月管理费用</v>
          </cell>
          <cell r="I5618" t="b">
            <v>0</v>
          </cell>
          <cell r="J5618">
            <v>9196</v>
          </cell>
          <cell r="K5618">
            <v>0</v>
          </cell>
          <cell r="L5618">
            <v>0</v>
          </cell>
        </row>
        <row r="5619">
          <cell r="A5619" t="str">
            <v>09</v>
          </cell>
          <cell r="B5619" t="str">
            <v>03</v>
          </cell>
          <cell r="C5619" t="str">
            <v>09</v>
          </cell>
          <cell r="D5619" t="str">
            <v>4</v>
          </cell>
          <cell r="E5619" t="str">
            <v>0004</v>
          </cell>
          <cell r="F5619" t="str">
            <v>0001</v>
          </cell>
          <cell r="G5619" t="str">
            <v>52117</v>
          </cell>
          <cell r="H5619" t="str">
            <v>付电话费</v>
          </cell>
          <cell r="I5619" t="b">
            <v>1</v>
          </cell>
          <cell r="J5619">
            <v>10228</v>
          </cell>
          <cell r="K5619">
            <v>0</v>
          </cell>
          <cell r="L5619">
            <v>0</v>
          </cell>
        </row>
        <row r="5620">
          <cell r="A5620" t="str">
            <v>09</v>
          </cell>
          <cell r="B5620" t="str">
            <v>30</v>
          </cell>
          <cell r="C5620" t="str">
            <v>09</v>
          </cell>
          <cell r="D5620" t="str">
            <v>5</v>
          </cell>
          <cell r="E5620" t="str">
            <v>0040</v>
          </cell>
          <cell r="F5620" t="str">
            <v>0015</v>
          </cell>
          <cell r="G5620" t="str">
            <v>52117</v>
          </cell>
          <cell r="H5620" t="str">
            <v>结转本月管理费用</v>
          </cell>
          <cell r="I5620" t="b">
            <v>0</v>
          </cell>
          <cell r="J5620">
            <v>10228</v>
          </cell>
          <cell r="K5620">
            <v>0</v>
          </cell>
          <cell r="L5620">
            <v>0</v>
          </cell>
        </row>
        <row r="5621">
          <cell r="A5621" t="str">
            <v>10</v>
          </cell>
          <cell r="B5621" t="str">
            <v>05</v>
          </cell>
          <cell r="C5621" t="str">
            <v>10</v>
          </cell>
          <cell r="D5621" t="str">
            <v>2</v>
          </cell>
          <cell r="E5621" t="str">
            <v>0005</v>
          </cell>
          <cell r="F5621" t="str">
            <v>0001</v>
          </cell>
          <cell r="G5621" t="str">
            <v>52117</v>
          </cell>
          <cell r="H5621" t="str">
            <v>付电话费</v>
          </cell>
          <cell r="I5621" t="b">
            <v>1</v>
          </cell>
          <cell r="J5621">
            <v>12359</v>
          </cell>
          <cell r="K5621">
            <v>0</v>
          </cell>
          <cell r="L5621">
            <v>0</v>
          </cell>
        </row>
        <row r="5622">
          <cell r="A5622" t="str">
            <v>10</v>
          </cell>
          <cell r="B5622" t="str">
            <v>05</v>
          </cell>
          <cell r="C5622" t="str">
            <v>10</v>
          </cell>
          <cell r="D5622" t="str">
            <v>4</v>
          </cell>
          <cell r="E5622" t="str">
            <v>0007</v>
          </cell>
          <cell r="F5622" t="str">
            <v>0002</v>
          </cell>
          <cell r="G5622" t="str">
            <v>52117</v>
          </cell>
          <cell r="H5622" t="str">
            <v>付电话费</v>
          </cell>
          <cell r="I5622" t="b">
            <v>1</v>
          </cell>
          <cell r="J5622">
            <v>10656</v>
          </cell>
          <cell r="K5622">
            <v>0</v>
          </cell>
          <cell r="L5622">
            <v>0</v>
          </cell>
        </row>
        <row r="5623">
          <cell r="A5623" t="str">
            <v>10</v>
          </cell>
          <cell r="B5623" t="str">
            <v>30</v>
          </cell>
          <cell r="C5623" t="str">
            <v>10</v>
          </cell>
          <cell r="D5623" t="str">
            <v>5</v>
          </cell>
          <cell r="E5623" t="str">
            <v>0034</v>
          </cell>
          <cell r="F5623" t="str">
            <v>0016</v>
          </cell>
          <cell r="G5623" t="str">
            <v>52117</v>
          </cell>
          <cell r="H5623" t="str">
            <v>结转本月管理费用</v>
          </cell>
          <cell r="I5623" t="b">
            <v>0</v>
          </cell>
          <cell r="J5623">
            <v>23015</v>
          </cell>
          <cell r="K5623">
            <v>0</v>
          </cell>
          <cell r="L5623">
            <v>0</v>
          </cell>
        </row>
        <row r="5624">
          <cell r="A5624" t="str">
            <v>11</v>
          </cell>
          <cell r="B5624" t="str">
            <v>10</v>
          </cell>
          <cell r="C5624" t="str">
            <v>11</v>
          </cell>
          <cell r="D5624" t="str">
            <v>2</v>
          </cell>
          <cell r="E5624" t="str">
            <v>0012</v>
          </cell>
          <cell r="F5624" t="str">
            <v>0001</v>
          </cell>
          <cell r="G5624" t="str">
            <v>52117</v>
          </cell>
          <cell r="H5624" t="str">
            <v>付电话费</v>
          </cell>
          <cell r="I5624" t="b">
            <v>1</v>
          </cell>
          <cell r="J5624">
            <v>6932</v>
          </cell>
          <cell r="K5624">
            <v>0</v>
          </cell>
          <cell r="L5624">
            <v>0</v>
          </cell>
        </row>
        <row r="5625">
          <cell r="A5625" t="str">
            <v>11</v>
          </cell>
          <cell r="B5625" t="str">
            <v>03</v>
          </cell>
          <cell r="C5625" t="str">
            <v>11</v>
          </cell>
          <cell r="D5625" t="str">
            <v>4</v>
          </cell>
          <cell r="E5625" t="str">
            <v>0004</v>
          </cell>
          <cell r="F5625" t="str">
            <v>0003</v>
          </cell>
          <cell r="G5625" t="str">
            <v>52117</v>
          </cell>
          <cell r="H5625" t="str">
            <v>付电话费</v>
          </cell>
          <cell r="I5625" t="b">
            <v>1</v>
          </cell>
          <cell r="J5625">
            <v>9430</v>
          </cell>
          <cell r="K5625">
            <v>0</v>
          </cell>
          <cell r="L5625">
            <v>0</v>
          </cell>
        </row>
        <row r="5626">
          <cell r="A5626" t="str">
            <v>11</v>
          </cell>
          <cell r="B5626" t="str">
            <v>30</v>
          </cell>
          <cell r="C5626" t="str">
            <v>11</v>
          </cell>
          <cell r="D5626" t="str">
            <v>5</v>
          </cell>
          <cell r="E5626" t="str">
            <v>0037</v>
          </cell>
          <cell r="F5626" t="str">
            <v>0016</v>
          </cell>
          <cell r="G5626" t="str">
            <v>52117</v>
          </cell>
          <cell r="H5626" t="str">
            <v>结转本月管理费用</v>
          </cell>
          <cell r="I5626" t="b">
            <v>0</v>
          </cell>
          <cell r="J5626">
            <v>16362</v>
          </cell>
          <cell r="K5626">
            <v>0</v>
          </cell>
          <cell r="L5626">
            <v>0</v>
          </cell>
        </row>
        <row r="5627">
          <cell r="A5627" t="str">
            <v>12</v>
          </cell>
          <cell r="B5627" t="str">
            <v>08</v>
          </cell>
          <cell r="C5627" t="str">
            <v>12</v>
          </cell>
          <cell r="D5627" t="str">
            <v>4</v>
          </cell>
          <cell r="E5627" t="str">
            <v>0012</v>
          </cell>
          <cell r="F5627" t="str">
            <v>0002</v>
          </cell>
          <cell r="G5627" t="str">
            <v>52117</v>
          </cell>
          <cell r="H5627" t="str">
            <v>付电话费</v>
          </cell>
          <cell r="I5627" t="b">
            <v>1</v>
          </cell>
          <cell r="J5627">
            <v>11428</v>
          </cell>
          <cell r="K5627">
            <v>0</v>
          </cell>
          <cell r="L5627">
            <v>0</v>
          </cell>
        </row>
        <row r="5628">
          <cell r="A5628" t="str">
            <v>12</v>
          </cell>
          <cell r="B5628" t="str">
            <v>20</v>
          </cell>
          <cell r="C5628" t="str">
            <v>12</v>
          </cell>
          <cell r="D5628" t="str">
            <v>5</v>
          </cell>
          <cell r="E5628" t="str">
            <v>0008</v>
          </cell>
          <cell r="F5628" t="str">
            <v>0003</v>
          </cell>
          <cell r="G5628" t="str">
            <v>52117</v>
          </cell>
          <cell r="H5628" t="str">
            <v>转报销电话费</v>
          </cell>
          <cell r="I5628" t="b">
            <v>1</v>
          </cell>
          <cell r="J5628">
            <v>23.2</v>
          </cell>
          <cell r="K5628">
            <v>0</v>
          </cell>
          <cell r="L5628">
            <v>0</v>
          </cell>
        </row>
        <row r="5629">
          <cell r="A5629" t="str">
            <v>12</v>
          </cell>
          <cell r="B5629" t="str">
            <v>31</v>
          </cell>
          <cell r="C5629" t="str">
            <v>12</v>
          </cell>
          <cell r="D5629" t="str">
            <v>5</v>
          </cell>
          <cell r="E5629" t="str">
            <v>0103</v>
          </cell>
          <cell r="F5629" t="str">
            <v>0016</v>
          </cell>
          <cell r="G5629" t="str">
            <v>52117</v>
          </cell>
          <cell r="H5629" t="str">
            <v>结转本月管理费用</v>
          </cell>
          <cell r="I5629" t="b">
            <v>0</v>
          </cell>
          <cell r="J5629">
            <v>11451.2</v>
          </cell>
          <cell r="K5629">
            <v>0</v>
          </cell>
          <cell r="L5629">
            <v>0</v>
          </cell>
        </row>
        <row r="5630">
          <cell r="A5630" t="str">
            <v>02</v>
          </cell>
          <cell r="B5630" t="str">
            <v>26</v>
          </cell>
          <cell r="C5630" t="str">
            <v>02</v>
          </cell>
          <cell r="D5630" t="str">
            <v>5</v>
          </cell>
          <cell r="E5630" t="str">
            <v>0020</v>
          </cell>
          <cell r="F5630" t="str">
            <v>0009</v>
          </cell>
          <cell r="G5630" t="str">
            <v>52118</v>
          </cell>
          <cell r="H5630" t="str">
            <v>转管理部门耗电款</v>
          </cell>
          <cell r="I5630" t="b">
            <v>1</v>
          </cell>
          <cell r="J5630">
            <v>11230.8</v>
          </cell>
          <cell r="K5630">
            <v>0</v>
          </cell>
          <cell r="L5630">
            <v>0</v>
          </cell>
        </row>
        <row r="5631">
          <cell r="A5631" t="str">
            <v>02</v>
          </cell>
          <cell r="B5631" t="str">
            <v>29</v>
          </cell>
          <cell r="C5631" t="str">
            <v>02</v>
          </cell>
          <cell r="D5631" t="str">
            <v>5</v>
          </cell>
          <cell r="E5631" t="str">
            <v>0058</v>
          </cell>
          <cell r="F5631" t="str">
            <v>0017</v>
          </cell>
          <cell r="G5631" t="str">
            <v>52118</v>
          </cell>
          <cell r="H5631" t="str">
            <v>结转本月管理费用</v>
          </cell>
          <cell r="I5631" t="b">
            <v>0</v>
          </cell>
          <cell r="J5631">
            <v>11230.8</v>
          </cell>
          <cell r="K5631">
            <v>0</v>
          </cell>
          <cell r="L5631">
            <v>0</v>
          </cell>
        </row>
        <row r="5632">
          <cell r="A5632" t="str">
            <v>04</v>
          </cell>
          <cell r="B5632" t="str">
            <v>20</v>
          </cell>
          <cell r="C5632" t="str">
            <v>04</v>
          </cell>
          <cell r="D5632" t="str">
            <v>5</v>
          </cell>
          <cell r="E5632" t="str">
            <v>0011</v>
          </cell>
          <cell r="F5632" t="str">
            <v>0007</v>
          </cell>
          <cell r="G5632" t="str">
            <v>52118</v>
          </cell>
          <cell r="H5632" t="str">
            <v>转管理部门耗电款</v>
          </cell>
          <cell r="I5632" t="b">
            <v>1</v>
          </cell>
          <cell r="J5632">
            <v>12216</v>
          </cell>
          <cell r="K5632">
            <v>0</v>
          </cell>
          <cell r="L5632">
            <v>0</v>
          </cell>
        </row>
        <row r="5633">
          <cell r="A5633" t="str">
            <v>04</v>
          </cell>
          <cell r="B5633" t="str">
            <v>29</v>
          </cell>
          <cell r="C5633" t="str">
            <v>04</v>
          </cell>
          <cell r="D5633" t="str">
            <v>5</v>
          </cell>
          <cell r="E5633" t="str">
            <v>0038</v>
          </cell>
          <cell r="F5633" t="str">
            <v>0016</v>
          </cell>
          <cell r="G5633" t="str">
            <v>52118</v>
          </cell>
          <cell r="H5633" t="str">
            <v>结转本月管理费用</v>
          </cell>
          <cell r="I5633" t="b">
            <v>0</v>
          </cell>
          <cell r="J5633">
            <v>12216</v>
          </cell>
          <cell r="K5633">
            <v>0</v>
          </cell>
          <cell r="L5633">
            <v>0</v>
          </cell>
        </row>
        <row r="5634">
          <cell r="A5634" t="str">
            <v>05</v>
          </cell>
          <cell r="B5634" t="str">
            <v>25</v>
          </cell>
          <cell r="C5634" t="str">
            <v>05</v>
          </cell>
          <cell r="D5634" t="str">
            <v>5</v>
          </cell>
          <cell r="E5634" t="str">
            <v>0003</v>
          </cell>
          <cell r="F5634" t="str">
            <v>0009</v>
          </cell>
          <cell r="G5634" t="str">
            <v>52118</v>
          </cell>
          <cell r="H5634" t="str">
            <v>转管理部门耗电款</v>
          </cell>
          <cell r="I5634" t="b">
            <v>1</v>
          </cell>
          <cell r="J5634">
            <v>8151.6</v>
          </cell>
          <cell r="K5634">
            <v>0</v>
          </cell>
          <cell r="L5634">
            <v>0</v>
          </cell>
        </row>
        <row r="5635">
          <cell r="A5635" t="str">
            <v>05</v>
          </cell>
          <cell r="B5635" t="str">
            <v>31</v>
          </cell>
          <cell r="C5635" t="str">
            <v>05</v>
          </cell>
          <cell r="D5635" t="str">
            <v>5</v>
          </cell>
          <cell r="E5635" t="str">
            <v>0039</v>
          </cell>
          <cell r="F5635" t="str">
            <v>0016</v>
          </cell>
          <cell r="G5635" t="str">
            <v>52118</v>
          </cell>
          <cell r="H5635" t="str">
            <v>结转本月管理费用</v>
          </cell>
          <cell r="I5635" t="b">
            <v>0</v>
          </cell>
          <cell r="J5635">
            <v>8151.6</v>
          </cell>
          <cell r="K5635">
            <v>0</v>
          </cell>
          <cell r="L5635">
            <v>0</v>
          </cell>
        </row>
        <row r="5636">
          <cell r="A5636" t="str">
            <v>08</v>
          </cell>
          <cell r="B5636" t="str">
            <v>27</v>
          </cell>
          <cell r="C5636" t="str">
            <v>08</v>
          </cell>
          <cell r="D5636" t="str">
            <v>5</v>
          </cell>
          <cell r="E5636" t="str">
            <v>0024</v>
          </cell>
          <cell r="F5636" t="str">
            <v>0001</v>
          </cell>
          <cell r="G5636" t="str">
            <v>52118</v>
          </cell>
          <cell r="H5636" t="str">
            <v>转预提本月管理部门耗水电款</v>
          </cell>
          <cell r="I5636" t="b">
            <v>1</v>
          </cell>
          <cell r="J5636">
            <v>14805.9</v>
          </cell>
          <cell r="K5636">
            <v>0</v>
          </cell>
          <cell r="L5636">
            <v>0</v>
          </cell>
        </row>
        <row r="5637">
          <cell r="A5637" t="str">
            <v>08</v>
          </cell>
          <cell r="B5637" t="str">
            <v>31</v>
          </cell>
          <cell r="C5637" t="str">
            <v>08</v>
          </cell>
          <cell r="D5637" t="str">
            <v>5</v>
          </cell>
          <cell r="E5637" t="str">
            <v>0035</v>
          </cell>
          <cell r="F5637" t="str">
            <v>0016</v>
          </cell>
          <cell r="G5637" t="str">
            <v>52118</v>
          </cell>
          <cell r="H5637" t="str">
            <v>结转本月管理费用</v>
          </cell>
          <cell r="I5637" t="b">
            <v>0</v>
          </cell>
          <cell r="J5637">
            <v>14805.9</v>
          </cell>
          <cell r="K5637">
            <v>0</v>
          </cell>
          <cell r="L5637">
            <v>0</v>
          </cell>
        </row>
        <row r="5638">
          <cell r="A5638" t="str">
            <v>09</v>
          </cell>
          <cell r="B5638" t="str">
            <v>28</v>
          </cell>
          <cell r="C5638" t="str">
            <v>09</v>
          </cell>
          <cell r="D5638" t="str">
            <v>5</v>
          </cell>
          <cell r="E5638" t="str">
            <v>0022</v>
          </cell>
          <cell r="F5638" t="str">
            <v>0001</v>
          </cell>
          <cell r="G5638" t="str">
            <v>52118</v>
          </cell>
          <cell r="H5638" t="str">
            <v>转本月管理部门耗水电款</v>
          </cell>
          <cell r="I5638" t="b">
            <v>1</v>
          </cell>
          <cell r="J5638">
            <v>18195.46</v>
          </cell>
          <cell r="K5638">
            <v>0</v>
          </cell>
          <cell r="L5638">
            <v>0</v>
          </cell>
        </row>
        <row r="5639">
          <cell r="A5639" t="str">
            <v>09</v>
          </cell>
          <cell r="B5639" t="str">
            <v>30</v>
          </cell>
          <cell r="C5639" t="str">
            <v>09</v>
          </cell>
          <cell r="D5639" t="str">
            <v>5</v>
          </cell>
          <cell r="E5639" t="str">
            <v>0040</v>
          </cell>
          <cell r="F5639" t="str">
            <v>0016</v>
          </cell>
          <cell r="G5639" t="str">
            <v>52118</v>
          </cell>
          <cell r="H5639" t="str">
            <v>结转本月管理费用</v>
          </cell>
          <cell r="I5639" t="b">
            <v>0</v>
          </cell>
          <cell r="J5639">
            <v>18195.46</v>
          </cell>
          <cell r="K5639">
            <v>0</v>
          </cell>
          <cell r="L5639">
            <v>0</v>
          </cell>
        </row>
        <row r="5640">
          <cell r="A5640" t="str">
            <v>10</v>
          </cell>
          <cell r="B5640" t="str">
            <v>26</v>
          </cell>
          <cell r="C5640" t="str">
            <v>10</v>
          </cell>
          <cell r="D5640" t="str">
            <v>5</v>
          </cell>
          <cell r="E5640" t="str">
            <v>0020</v>
          </cell>
          <cell r="F5640" t="str">
            <v>0001</v>
          </cell>
          <cell r="G5640" t="str">
            <v>52118</v>
          </cell>
          <cell r="H5640" t="str">
            <v>转本月管理部门耗水电款</v>
          </cell>
          <cell r="I5640" t="b">
            <v>1</v>
          </cell>
          <cell r="J5640">
            <v>15218.49</v>
          </cell>
          <cell r="K5640">
            <v>0</v>
          </cell>
          <cell r="L5640">
            <v>0</v>
          </cell>
        </row>
        <row r="5641">
          <cell r="A5641" t="str">
            <v>10</v>
          </cell>
          <cell r="B5641" t="str">
            <v>30</v>
          </cell>
          <cell r="C5641" t="str">
            <v>10</v>
          </cell>
          <cell r="D5641" t="str">
            <v>5</v>
          </cell>
          <cell r="E5641" t="str">
            <v>0034</v>
          </cell>
          <cell r="F5641" t="str">
            <v>0017</v>
          </cell>
          <cell r="G5641" t="str">
            <v>52118</v>
          </cell>
          <cell r="H5641" t="str">
            <v>结转本月管理费用</v>
          </cell>
          <cell r="I5641" t="b">
            <v>0</v>
          </cell>
          <cell r="J5641">
            <v>15218.49</v>
          </cell>
          <cell r="K5641">
            <v>0</v>
          </cell>
          <cell r="L5641">
            <v>0</v>
          </cell>
        </row>
        <row r="5642">
          <cell r="A5642" t="str">
            <v>11</v>
          </cell>
          <cell r="B5642" t="str">
            <v>29</v>
          </cell>
          <cell r="C5642" t="str">
            <v>11</v>
          </cell>
          <cell r="D5642" t="str">
            <v>5</v>
          </cell>
          <cell r="E5642" t="str">
            <v>0023</v>
          </cell>
          <cell r="F5642" t="str">
            <v>0001</v>
          </cell>
          <cell r="G5642" t="str">
            <v>52118</v>
          </cell>
          <cell r="H5642" t="str">
            <v>转本月管理部门耗水电款</v>
          </cell>
          <cell r="I5642" t="b">
            <v>1</v>
          </cell>
          <cell r="J5642">
            <v>18583.38</v>
          </cell>
          <cell r="K5642">
            <v>0</v>
          </cell>
          <cell r="L5642">
            <v>0</v>
          </cell>
        </row>
        <row r="5643">
          <cell r="A5643" t="str">
            <v>11</v>
          </cell>
          <cell r="B5643" t="str">
            <v>29</v>
          </cell>
          <cell r="C5643" t="str">
            <v>11</v>
          </cell>
          <cell r="D5643" t="str">
            <v>5</v>
          </cell>
          <cell r="E5643" t="str">
            <v>0023</v>
          </cell>
          <cell r="F5643" t="str">
            <v>0003</v>
          </cell>
          <cell r="G5643" t="str">
            <v>52118</v>
          </cell>
          <cell r="H5643" t="str">
            <v>转6-11月机房耗水电款</v>
          </cell>
          <cell r="I5643" t="b">
            <v>1</v>
          </cell>
          <cell r="J5643">
            <v>126963.02</v>
          </cell>
          <cell r="K5643">
            <v>0</v>
          </cell>
          <cell r="L5643">
            <v>0</v>
          </cell>
        </row>
        <row r="5644">
          <cell r="A5644" t="str">
            <v>11</v>
          </cell>
          <cell r="B5644" t="str">
            <v>30</v>
          </cell>
          <cell r="C5644" t="str">
            <v>11</v>
          </cell>
          <cell r="D5644" t="str">
            <v>5</v>
          </cell>
          <cell r="E5644" t="str">
            <v>0037</v>
          </cell>
          <cell r="F5644" t="str">
            <v>0017</v>
          </cell>
          <cell r="G5644" t="str">
            <v>52118</v>
          </cell>
          <cell r="H5644" t="str">
            <v>结转本月管理费用</v>
          </cell>
          <cell r="I5644" t="b">
            <v>0</v>
          </cell>
          <cell r="J5644">
            <v>145546.4</v>
          </cell>
          <cell r="K5644">
            <v>0</v>
          </cell>
          <cell r="L5644">
            <v>0</v>
          </cell>
        </row>
        <row r="5645">
          <cell r="A5645" t="str">
            <v>12</v>
          </cell>
          <cell r="B5645" t="str">
            <v>26</v>
          </cell>
          <cell r="C5645" t="str">
            <v>12</v>
          </cell>
          <cell r="D5645" t="str">
            <v>5</v>
          </cell>
          <cell r="E5645" t="str">
            <v>0031</v>
          </cell>
          <cell r="F5645" t="str">
            <v>0001</v>
          </cell>
          <cell r="G5645" t="str">
            <v>52118</v>
          </cell>
          <cell r="H5645" t="str">
            <v>转本月管理部门耗水电款</v>
          </cell>
          <cell r="I5645" t="b">
            <v>1</v>
          </cell>
          <cell r="J5645">
            <v>22335.27</v>
          </cell>
          <cell r="K5645">
            <v>0</v>
          </cell>
          <cell r="L5645">
            <v>0</v>
          </cell>
        </row>
        <row r="5646">
          <cell r="A5646" t="str">
            <v>12</v>
          </cell>
          <cell r="B5646" t="str">
            <v>26</v>
          </cell>
          <cell r="C5646" t="str">
            <v>12</v>
          </cell>
          <cell r="D5646" t="str">
            <v>5</v>
          </cell>
          <cell r="E5646" t="str">
            <v>0031</v>
          </cell>
          <cell r="F5646" t="str">
            <v>0003</v>
          </cell>
          <cell r="G5646" t="str">
            <v>52118</v>
          </cell>
          <cell r="H5646" t="str">
            <v>转12月机房耗水电款</v>
          </cell>
          <cell r="I5646" t="b">
            <v>1</v>
          </cell>
          <cell r="J5646">
            <v>19879.52</v>
          </cell>
          <cell r="K5646">
            <v>0</v>
          </cell>
          <cell r="L5646">
            <v>0</v>
          </cell>
        </row>
        <row r="5647">
          <cell r="A5647" t="str">
            <v>12</v>
          </cell>
          <cell r="B5647" t="str">
            <v>31</v>
          </cell>
          <cell r="C5647" t="str">
            <v>12</v>
          </cell>
          <cell r="D5647" t="str">
            <v>5</v>
          </cell>
          <cell r="E5647" t="str">
            <v>0103</v>
          </cell>
          <cell r="F5647" t="str">
            <v>0017</v>
          </cell>
          <cell r="G5647" t="str">
            <v>52118</v>
          </cell>
          <cell r="H5647" t="str">
            <v>结转本月管理费用</v>
          </cell>
          <cell r="I5647" t="b">
            <v>0</v>
          </cell>
          <cell r="J5647">
            <v>42214.79</v>
          </cell>
          <cell r="K5647">
            <v>0</v>
          </cell>
          <cell r="L5647">
            <v>0</v>
          </cell>
        </row>
        <row r="5648">
          <cell r="A5648" t="str">
            <v>02</v>
          </cell>
          <cell r="B5648" t="str">
            <v>28</v>
          </cell>
          <cell r="C5648" t="str">
            <v>02</v>
          </cell>
          <cell r="D5648" t="str">
            <v>5</v>
          </cell>
          <cell r="E5648" t="str">
            <v>0041</v>
          </cell>
          <cell r="F5648" t="str">
            <v>0004</v>
          </cell>
          <cell r="G5648" t="str">
            <v>52120</v>
          </cell>
          <cell r="H5648" t="str">
            <v>转本月共同管理费用</v>
          </cell>
          <cell r="I5648" t="b">
            <v>1</v>
          </cell>
          <cell r="J5648">
            <v>-430018.94</v>
          </cell>
          <cell r="K5648">
            <v>0</v>
          </cell>
          <cell r="L5648">
            <v>0</v>
          </cell>
        </row>
        <row r="5649">
          <cell r="A5649" t="str">
            <v>02</v>
          </cell>
          <cell r="B5649" t="str">
            <v>29</v>
          </cell>
          <cell r="C5649" t="str">
            <v>02</v>
          </cell>
          <cell r="D5649" t="str">
            <v>5</v>
          </cell>
          <cell r="E5649" t="str">
            <v>0058</v>
          </cell>
          <cell r="F5649" t="str">
            <v>0018</v>
          </cell>
          <cell r="G5649" t="str">
            <v>52120</v>
          </cell>
          <cell r="H5649" t="str">
            <v>结转本月管理费用</v>
          </cell>
          <cell r="I5649" t="b">
            <v>0</v>
          </cell>
          <cell r="J5649">
            <v>-430018.94</v>
          </cell>
          <cell r="K5649">
            <v>0</v>
          </cell>
          <cell r="L5649">
            <v>0</v>
          </cell>
        </row>
        <row r="5650">
          <cell r="A5650" t="str">
            <v>03</v>
          </cell>
          <cell r="B5650" t="str">
            <v>30</v>
          </cell>
          <cell r="C5650" t="str">
            <v>03</v>
          </cell>
          <cell r="D5650" t="str">
            <v>5</v>
          </cell>
          <cell r="E5650" t="str">
            <v>0024</v>
          </cell>
          <cell r="F5650" t="str">
            <v>0003</v>
          </cell>
          <cell r="G5650" t="str">
            <v>52120</v>
          </cell>
          <cell r="H5650" t="str">
            <v>转本月共同管理费用</v>
          </cell>
          <cell r="I5650" t="b">
            <v>1</v>
          </cell>
          <cell r="J5650">
            <v>-355101.92</v>
          </cell>
          <cell r="K5650">
            <v>0</v>
          </cell>
          <cell r="L5650">
            <v>0</v>
          </cell>
        </row>
        <row r="5651">
          <cell r="A5651" t="str">
            <v>03</v>
          </cell>
          <cell r="B5651" t="str">
            <v>30</v>
          </cell>
          <cell r="C5651" t="str">
            <v>03</v>
          </cell>
          <cell r="D5651" t="str">
            <v>5</v>
          </cell>
          <cell r="E5651" t="str">
            <v>0032</v>
          </cell>
          <cell r="F5651" t="str">
            <v>0016</v>
          </cell>
          <cell r="G5651" t="str">
            <v>52120</v>
          </cell>
          <cell r="H5651" t="str">
            <v>结转本月管理费用</v>
          </cell>
          <cell r="I5651" t="b">
            <v>0</v>
          </cell>
          <cell r="J5651">
            <v>-355101.92</v>
          </cell>
          <cell r="K5651">
            <v>0</v>
          </cell>
          <cell r="L5651">
            <v>0</v>
          </cell>
        </row>
        <row r="5652">
          <cell r="A5652" t="str">
            <v>04</v>
          </cell>
          <cell r="B5652" t="str">
            <v>25</v>
          </cell>
          <cell r="C5652" t="str">
            <v>04</v>
          </cell>
          <cell r="D5652" t="str">
            <v>5</v>
          </cell>
          <cell r="E5652" t="str">
            <v>0020</v>
          </cell>
          <cell r="F5652" t="str">
            <v>0003</v>
          </cell>
          <cell r="G5652" t="str">
            <v>52120</v>
          </cell>
          <cell r="H5652" t="str">
            <v>转本月共同管理费用</v>
          </cell>
          <cell r="I5652" t="b">
            <v>1</v>
          </cell>
          <cell r="J5652">
            <v>-332248.82</v>
          </cell>
          <cell r="K5652">
            <v>0</v>
          </cell>
          <cell r="L5652">
            <v>0</v>
          </cell>
        </row>
        <row r="5653">
          <cell r="A5653" t="str">
            <v>04</v>
          </cell>
          <cell r="B5653" t="str">
            <v>29</v>
          </cell>
          <cell r="C5653" t="str">
            <v>04</v>
          </cell>
          <cell r="D5653" t="str">
            <v>5</v>
          </cell>
          <cell r="E5653" t="str">
            <v>0038</v>
          </cell>
          <cell r="F5653" t="str">
            <v>0017</v>
          </cell>
          <cell r="G5653" t="str">
            <v>52120</v>
          </cell>
          <cell r="H5653" t="str">
            <v>结转本月管理费用</v>
          </cell>
          <cell r="I5653" t="b">
            <v>0</v>
          </cell>
          <cell r="J5653">
            <v>-332248.82</v>
          </cell>
          <cell r="K5653">
            <v>0</v>
          </cell>
          <cell r="L5653">
            <v>0</v>
          </cell>
        </row>
        <row r="5654">
          <cell r="A5654" t="str">
            <v>05</v>
          </cell>
          <cell r="B5654" t="str">
            <v>27</v>
          </cell>
          <cell r="C5654" t="str">
            <v>05</v>
          </cell>
          <cell r="D5654" t="str">
            <v>5</v>
          </cell>
          <cell r="E5654" t="str">
            <v>0029</v>
          </cell>
          <cell r="F5654" t="str">
            <v>0003</v>
          </cell>
          <cell r="G5654" t="str">
            <v>52120</v>
          </cell>
          <cell r="H5654" t="str">
            <v>转本月共同管理费用</v>
          </cell>
          <cell r="I5654" t="b">
            <v>1</v>
          </cell>
          <cell r="J5654">
            <v>-350535.77</v>
          </cell>
          <cell r="K5654">
            <v>0</v>
          </cell>
          <cell r="L5654">
            <v>0</v>
          </cell>
        </row>
        <row r="5655">
          <cell r="A5655" t="str">
            <v>05</v>
          </cell>
          <cell r="B5655" t="str">
            <v>31</v>
          </cell>
          <cell r="C5655" t="str">
            <v>05</v>
          </cell>
          <cell r="D5655" t="str">
            <v>5</v>
          </cell>
          <cell r="E5655" t="str">
            <v>0039</v>
          </cell>
          <cell r="F5655" t="str">
            <v>0017</v>
          </cell>
          <cell r="G5655" t="str">
            <v>52120</v>
          </cell>
          <cell r="H5655" t="str">
            <v>结转本月管理费用</v>
          </cell>
          <cell r="I5655" t="b">
            <v>0</v>
          </cell>
          <cell r="J5655">
            <v>-350535.77</v>
          </cell>
          <cell r="K5655">
            <v>0</v>
          </cell>
          <cell r="L5655">
            <v>0</v>
          </cell>
        </row>
        <row r="5656">
          <cell r="A5656" t="str">
            <v>06</v>
          </cell>
          <cell r="B5656" t="str">
            <v>23</v>
          </cell>
          <cell r="C5656" t="str">
            <v>06</v>
          </cell>
          <cell r="D5656" t="str">
            <v>5</v>
          </cell>
          <cell r="E5656" t="str">
            <v>0020</v>
          </cell>
          <cell r="F5656" t="str">
            <v>0003</v>
          </cell>
          <cell r="G5656" t="str">
            <v>52120</v>
          </cell>
          <cell r="H5656" t="str">
            <v>转本月共同管理费用</v>
          </cell>
          <cell r="I5656" t="b">
            <v>1</v>
          </cell>
          <cell r="J5656">
            <v>-100229.84</v>
          </cell>
          <cell r="K5656">
            <v>0</v>
          </cell>
          <cell r="L5656">
            <v>0</v>
          </cell>
        </row>
        <row r="5657">
          <cell r="A5657" t="str">
            <v>06</v>
          </cell>
          <cell r="B5657" t="str">
            <v>25</v>
          </cell>
          <cell r="C5657" t="str">
            <v>06</v>
          </cell>
          <cell r="D5657" t="str">
            <v>5</v>
          </cell>
          <cell r="E5657" t="str">
            <v>0028</v>
          </cell>
          <cell r="F5657" t="str">
            <v>0015</v>
          </cell>
          <cell r="G5657" t="str">
            <v>52120</v>
          </cell>
          <cell r="H5657" t="str">
            <v>结转本月管理费用</v>
          </cell>
          <cell r="I5657" t="b">
            <v>0</v>
          </cell>
          <cell r="J5657">
            <v>-100229.84</v>
          </cell>
          <cell r="K5657">
            <v>0</v>
          </cell>
          <cell r="L5657">
            <v>0</v>
          </cell>
        </row>
        <row r="5658">
          <cell r="A5658" t="str">
            <v>07</v>
          </cell>
          <cell r="B5658" t="str">
            <v>27</v>
          </cell>
          <cell r="C5658" t="str">
            <v>07</v>
          </cell>
          <cell r="D5658" t="str">
            <v>5</v>
          </cell>
          <cell r="E5658" t="str">
            <v>0034</v>
          </cell>
          <cell r="F5658" t="str">
            <v>0003</v>
          </cell>
          <cell r="G5658" t="str">
            <v>52120</v>
          </cell>
          <cell r="H5658" t="str">
            <v>转本月共同管理费用</v>
          </cell>
          <cell r="I5658" t="b">
            <v>1</v>
          </cell>
          <cell r="J5658">
            <v>-172119.05</v>
          </cell>
          <cell r="K5658">
            <v>0</v>
          </cell>
          <cell r="L5658">
            <v>0</v>
          </cell>
        </row>
        <row r="5659">
          <cell r="A5659" t="str">
            <v>07</v>
          </cell>
          <cell r="B5659" t="str">
            <v>29</v>
          </cell>
          <cell r="C5659" t="str">
            <v>07</v>
          </cell>
          <cell r="D5659" t="str">
            <v>5</v>
          </cell>
          <cell r="E5659" t="str">
            <v>0044</v>
          </cell>
          <cell r="F5659" t="str">
            <v>0016</v>
          </cell>
          <cell r="G5659" t="str">
            <v>52120</v>
          </cell>
          <cell r="H5659" t="str">
            <v>结转本月管理费用</v>
          </cell>
          <cell r="I5659" t="b">
            <v>0</v>
          </cell>
          <cell r="J5659">
            <v>-172119.05</v>
          </cell>
          <cell r="K5659">
            <v>0</v>
          </cell>
          <cell r="L5659">
            <v>0</v>
          </cell>
        </row>
        <row r="5660">
          <cell r="A5660" t="str">
            <v>08</v>
          </cell>
          <cell r="B5660" t="str">
            <v>31</v>
          </cell>
          <cell r="C5660" t="str">
            <v>08</v>
          </cell>
          <cell r="D5660" t="str">
            <v>5</v>
          </cell>
          <cell r="E5660" t="str">
            <v>0031</v>
          </cell>
          <cell r="F5660" t="str">
            <v>0003</v>
          </cell>
          <cell r="G5660" t="str">
            <v>52120</v>
          </cell>
          <cell r="H5660" t="str">
            <v>转本月共同管理费用</v>
          </cell>
          <cell r="I5660" t="b">
            <v>1</v>
          </cell>
          <cell r="J5660">
            <v>-612471.56000000006</v>
          </cell>
          <cell r="K5660">
            <v>0</v>
          </cell>
          <cell r="L5660">
            <v>0</v>
          </cell>
        </row>
        <row r="5661">
          <cell r="A5661" t="str">
            <v>08</v>
          </cell>
          <cell r="B5661" t="str">
            <v>31</v>
          </cell>
          <cell r="C5661" t="str">
            <v>08</v>
          </cell>
          <cell r="D5661" t="str">
            <v>5</v>
          </cell>
          <cell r="E5661" t="str">
            <v>0035</v>
          </cell>
          <cell r="F5661" t="str">
            <v>0017</v>
          </cell>
          <cell r="G5661" t="str">
            <v>52120</v>
          </cell>
          <cell r="H5661" t="str">
            <v>结转本月管理费用</v>
          </cell>
          <cell r="I5661" t="b">
            <v>0</v>
          </cell>
          <cell r="J5661">
            <v>-612471.56000000006</v>
          </cell>
          <cell r="K5661">
            <v>0</v>
          </cell>
          <cell r="L5661">
            <v>0</v>
          </cell>
        </row>
        <row r="5662">
          <cell r="A5662" t="str">
            <v>09</v>
          </cell>
          <cell r="B5662" t="str">
            <v>30</v>
          </cell>
          <cell r="C5662" t="str">
            <v>09</v>
          </cell>
          <cell r="D5662" t="str">
            <v>5</v>
          </cell>
          <cell r="E5662" t="str">
            <v>0034</v>
          </cell>
          <cell r="F5662" t="str">
            <v>0003</v>
          </cell>
          <cell r="G5662" t="str">
            <v>52120</v>
          </cell>
          <cell r="H5662" t="str">
            <v>转本月共同管理费用</v>
          </cell>
          <cell r="I5662" t="b">
            <v>1</v>
          </cell>
          <cell r="J5662">
            <v>-97260.25</v>
          </cell>
          <cell r="K5662">
            <v>0</v>
          </cell>
          <cell r="L5662">
            <v>0</v>
          </cell>
        </row>
        <row r="5663">
          <cell r="A5663" t="str">
            <v>09</v>
          </cell>
          <cell r="B5663" t="str">
            <v>30</v>
          </cell>
          <cell r="C5663" t="str">
            <v>09</v>
          </cell>
          <cell r="D5663" t="str">
            <v>5</v>
          </cell>
          <cell r="E5663" t="str">
            <v>0040</v>
          </cell>
          <cell r="F5663" t="str">
            <v>0017</v>
          </cell>
          <cell r="G5663" t="str">
            <v>52120</v>
          </cell>
          <cell r="H5663" t="str">
            <v>结转本月管理费用</v>
          </cell>
          <cell r="I5663" t="b">
            <v>0</v>
          </cell>
          <cell r="J5663">
            <v>-97260.25</v>
          </cell>
          <cell r="K5663">
            <v>0</v>
          </cell>
          <cell r="L5663">
            <v>0</v>
          </cell>
        </row>
        <row r="5664">
          <cell r="A5664" t="str">
            <v>10</v>
          </cell>
          <cell r="B5664" t="str">
            <v>28</v>
          </cell>
          <cell r="C5664" t="str">
            <v>10</v>
          </cell>
          <cell r="D5664" t="str">
            <v>5</v>
          </cell>
          <cell r="E5664" t="str">
            <v>0029</v>
          </cell>
          <cell r="F5664" t="str">
            <v>0003</v>
          </cell>
          <cell r="G5664" t="str">
            <v>52120</v>
          </cell>
          <cell r="H5664" t="str">
            <v>转本月共同管理费用</v>
          </cell>
          <cell r="I5664" t="b">
            <v>1</v>
          </cell>
          <cell r="J5664">
            <v>-166412.51999999999</v>
          </cell>
          <cell r="K5664">
            <v>0</v>
          </cell>
          <cell r="L5664">
            <v>0</v>
          </cell>
        </row>
        <row r="5665">
          <cell r="A5665" t="str">
            <v>10</v>
          </cell>
          <cell r="B5665" t="str">
            <v>30</v>
          </cell>
          <cell r="C5665" t="str">
            <v>10</v>
          </cell>
          <cell r="D5665" t="str">
            <v>5</v>
          </cell>
          <cell r="E5665" t="str">
            <v>0034</v>
          </cell>
          <cell r="F5665" t="str">
            <v>0018</v>
          </cell>
          <cell r="G5665" t="str">
            <v>52120</v>
          </cell>
          <cell r="H5665" t="str">
            <v>结转本月管理费用</v>
          </cell>
          <cell r="I5665" t="b">
            <v>0</v>
          </cell>
          <cell r="J5665">
            <v>-166412.51999999999</v>
          </cell>
          <cell r="K5665">
            <v>0</v>
          </cell>
          <cell r="L5665">
            <v>0</v>
          </cell>
        </row>
        <row r="5666">
          <cell r="A5666" t="str">
            <v>11</v>
          </cell>
          <cell r="B5666" t="str">
            <v>29</v>
          </cell>
          <cell r="C5666" t="str">
            <v>11</v>
          </cell>
          <cell r="D5666" t="str">
            <v>5</v>
          </cell>
          <cell r="E5666" t="str">
            <v>0025</v>
          </cell>
          <cell r="F5666" t="str">
            <v>0003</v>
          </cell>
          <cell r="G5666" t="str">
            <v>52120</v>
          </cell>
          <cell r="H5666" t="str">
            <v>转本月共同管理费用</v>
          </cell>
          <cell r="I5666" t="b">
            <v>1</v>
          </cell>
          <cell r="J5666">
            <v>-134531.70000000001</v>
          </cell>
          <cell r="K5666">
            <v>0</v>
          </cell>
          <cell r="L5666">
            <v>0</v>
          </cell>
        </row>
        <row r="5667">
          <cell r="A5667" t="str">
            <v>11</v>
          </cell>
          <cell r="B5667" t="str">
            <v>30</v>
          </cell>
          <cell r="C5667" t="str">
            <v>11</v>
          </cell>
          <cell r="D5667" t="str">
            <v>5</v>
          </cell>
          <cell r="E5667" t="str">
            <v>0037</v>
          </cell>
          <cell r="F5667" t="str">
            <v>0018</v>
          </cell>
          <cell r="G5667" t="str">
            <v>52120</v>
          </cell>
          <cell r="H5667" t="str">
            <v>结转本月管理费用</v>
          </cell>
          <cell r="I5667" t="b">
            <v>0</v>
          </cell>
          <cell r="J5667">
            <v>-134531.70000000001</v>
          </cell>
          <cell r="K5667">
            <v>0</v>
          </cell>
          <cell r="L5667">
            <v>0</v>
          </cell>
        </row>
        <row r="5668">
          <cell r="A5668" t="str">
            <v>12</v>
          </cell>
          <cell r="B5668" t="str">
            <v>31</v>
          </cell>
          <cell r="C5668" t="str">
            <v>12</v>
          </cell>
          <cell r="D5668" t="str">
            <v>5</v>
          </cell>
          <cell r="E5668" t="str">
            <v>0093</v>
          </cell>
          <cell r="F5668" t="str">
            <v>0003</v>
          </cell>
          <cell r="G5668" t="str">
            <v>52120</v>
          </cell>
          <cell r="H5668" t="str">
            <v>转本月共同管理费用</v>
          </cell>
          <cell r="I5668" t="b">
            <v>1</v>
          </cell>
          <cell r="J5668">
            <v>-164761.63</v>
          </cell>
          <cell r="K5668">
            <v>0</v>
          </cell>
          <cell r="L5668">
            <v>0</v>
          </cell>
        </row>
        <row r="5669">
          <cell r="A5669" t="str">
            <v>12</v>
          </cell>
          <cell r="B5669" t="str">
            <v>31</v>
          </cell>
          <cell r="C5669" t="str">
            <v>12</v>
          </cell>
          <cell r="D5669" t="str">
            <v>5</v>
          </cell>
          <cell r="E5669" t="str">
            <v>0103</v>
          </cell>
          <cell r="F5669" t="str">
            <v>0018</v>
          </cell>
          <cell r="G5669" t="str">
            <v>52120</v>
          </cell>
          <cell r="H5669" t="str">
            <v>结转本月管理费用</v>
          </cell>
          <cell r="I5669" t="b">
            <v>0</v>
          </cell>
          <cell r="J5669">
            <v>-164761.63</v>
          </cell>
          <cell r="K5669">
            <v>0</v>
          </cell>
          <cell r="L5669">
            <v>0</v>
          </cell>
        </row>
        <row r="5670">
          <cell r="A5670" t="str">
            <v>02</v>
          </cell>
          <cell r="B5670" t="str">
            <v>28</v>
          </cell>
          <cell r="C5670" t="str">
            <v>02</v>
          </cell>
          <cell r="D5670" t="str">
            <v>5</v>
          </cell>
          <cell r="E5670" t="str">
            <v>0041</v>
          </cell>
          <cell r="F5670" t="str">
            <v>0005</v>
          </cell>
          <cell r="G5670" t="str">
            <v>52123</v>
          </cell>
          <cell r="H5670" t="str">
            <v>转本月共同管理费用</v>
          </cell>
          <cell r="I5670" t="b">
            <v>1</v>
          </cell>
          <cell r="J5670">
            <v>-145317.16</v>
          </cell>
          <cell r="K5670">
            <v>0</v>
          </cell>
          <cell r="L5670">
            <v>0</v>
          </cell>
        </row>
        <row r="5671">
          <cell r="A5671" t="str">
            <v>02</v>
          </cell>
          <cell r="B5671" t="str">
            <v>29</v>
          </cell>
          <cell r="C5671" t="str">
            <v>02</v>
          </cell>
          <cell r="D5671" t="str">
            <v>5</v>
          </cell>
          <cell r="E5671" t="str">
            <v>0058</v>
          </cell>
          <cell r="F5671" t="str">
            <v>0020</v>
          </cell>
          <cell r="G5671" t="str">
            <v>52123</v>
          </cell>
          <cell r="H5671" t="str">
            <v>结转本月管理费用</v>
          </cell>
          <cell r="I5671" t="b">
            <v>0</v>
          </cell>
          <cell r="J5671">
            <v>-145317.16</v>
          </cell>
          <cell r="K5671">
            <v>0</v>
          </cell>
          <cell r="L5671">
            <v>0</v>
          </cell>
        </row>
        <row r="5672">
          <cell r="A5672" t="str">
            <v>03</v>
          </cell>
          <cell r="B5672" t="str">
            <v>30</v>
          </cell>
          <cell r="C5672" t="str">
            <v>03</v>
          </cell>
          <cell r="D5672" t="str">
            <v>5</v>
          </cell>
          <cell r="E5672" t="str">
            <v>0024</v>
          </cell>
          <cell r="F5672" t="str">
            <v>0004</v>
          </cell>
          <cell r="G5672" t="str">
            <v>52123</v>
          </cell>
          <cell r="H5672" t="str">
            <v>转本月共同管理费用</v>
          </cell>
          <cell r="I5672" t="b">
            <v>1</v>
          </cell>
          <cell r="J5672">
            <v>-116293.16</v>
          </cell>
          <cell r="K5672">
            <v>0</v>
          </cell>
          <cell r="L5672">
            <v>0</v>
          </cell>
        </row>
        <row r="5673">
          <cell r="A5673" t="str">
            <v>03</v>
          </cell>
          <cell r="B5673" t="str">
            <v>30</v>
          </cell>
          <cell r="C5673" t="str">
            <v>03</v>
          </cell>
          <cell r="D5673" t="str">
            <v>5</v>
          </cell>
          <cell r="E5673" t="str">
            <v>0032</v>
          </cell>
          <cell r="F5673" t="str">
            <v>0018</v>
          </cell>
          <cell r="G5673" t="str">
            <v>52123</v>
          </cell>
          <cell r="H5673" t="str">
            <v>结转本月管理费用</v>
          </cell>
          <cell r="I5673" t="b">
            <v>0</v>
          </cell>
          <cell r="J5673">
            <v>-116293.16</v>
          </cell>
          <cell r="K5673">
            <v>0</v>
          </cell>
          <cell r="L5673">
            <v>0</v>
          </cell>
        </row>
        <row r="5674">
          <cell r="A5674" t="str">
            <v>04</v>
          </cell>
          <cell r="B5674" t="str">
            <v>25</v>
          </cell>
          <cell r="C5674" t="str">
            <v>04</v>
          </cell>
          <cell r="D5674" t="str">
            <v>5</v>
          </cell>
          <cell r="E5674" t="str">
            <v>0020</v>
          </cell>
          <cell r="F5674" t="str">
            <v>0004</v>
          </cell>
          <cell r="G5674" t="str">
            <v>52123</v>
          </cell>
          <cell r="H5674" t="str">
            <v>转本月共同管理费用</v>
          </cell>
          <cell r="I5674" t="b">
            <v>1</v>
          </cell>
          <cell r="J5674">
            <v>-108808.95</v>
          </cell>
          <cell r="K5674">
            <v>0</v>
          </cell>
          <cell r="L5674">
            <v>0</v>
          </cell>
        </row>
        <row r="5675">
          <cell r="A5675" t="str">
            <v>04</v>
          </cell>
          <cell r="B5675" t="str">
            <v>29</v>
          </cell>
          <cell r="C5675" t="str">
            <v>04</v>
          </cell>
          <cell r="D5675" t="str">
            <v>5</v>
          </cell>
          <cell r="E5675" t="str">
            <v>0038</v>
          </cell>
          <cell r="F5675" t="str">
            <v>0019</v>
          </cell>
          <cell r="G5675" t="str">
            <v>52123</v>
          </cell>
          <cell r="H5675" t="str">
            <v>结转本月管理费用</v>
          </cell>
          <cell r="I5675" t="b">
            <v>0</v>
          </cell>
          <cell r="J5675">
            <v>-108808.95</v>
          </cell>
          <cell r="K5675">
            <v>0</v>
          </cell>
          <cell r="L5675">
            <v>0</v>
          </cell>
        </row>
        <row r="5676">
          <cell r="A5676" t="str">
            <v>05</v>
          </cell>
          <cell r="B5676" t="str">
            <v>27</v>
          </cell>
          <cell r="C5676" t="str">
            <v>05</v>
          </cell>
          <cell r="D5676" t="str">
            <v>5</v>
          </cell>
          <cell r="E5676" t="str">
            <v>0029</v>
          </cell>
          <cell r="F5676" t="str">
            <v>0004</v>
          </cell>
          <cell r="G5676" t="str">
            <v>52123</v>
          </cell>
          <cell r="H5676" t="str">
            <v>转本月共同管理费用</v>
          </cell>
          <cell r="I5676" t="b">
            <v>1</v>
          </cell>
          <cell r="J5676">
            <v>-113688.56</v>
          </cell>
          <cell r="K5676">
            <v>0</v>
          </cell>
          <cell r="L5676">
            <v>0</v>
          </cell>
        </row>
        <row r="5677">
          <cell r="A5677" t="str">
            <v>05</v>
          </cell>
          <cell r="B5677" t="str">
            <v>31</v>
          </cell>
          <cell r="C5677" t="str">
            <v>05</v>
          </cell>
          <cell r="D5677" t="str">
            <v>5</v>
          </cell>
          <cell r="E5677" t="str">
            <v>0039</v>
          </cell>
          <cell r="F5677" t="str">
            <v>0019</v>
          </cell>
          <cell r="G5677" t="str">
            <v>52123</v>
          </cell>
          <cell r="H5677" t="str">
            <v>结转本月管理费用</v>
          </cell>
          <cell r="I5677" t="b">
            <v>0</v>
          </cell>
          <cell r="J5677">
            <v>-113688.56</v>
          </cell>
          <cell r="K5677">
            <v>0</v>
          </cell>
          <cell r="L5677">
            <v>0</v>
          </cell>
        </row>
        <row r="5678">
          <cell r="A5678" t="str">
            <v>06</v>
          </cell>
          <cell r="B5678" t="str">
            <v>23</v>
          </cell>
          <cell r="C5678" t="str">
            <v>06</v>
          </cell>
          <cell r="D5678" t="str">
            <v>5</v>
          </cell>
          <cell r="E5678" t="str">
            <v>0020</v>
          </cell>
          <cell r="F5678" t="str">
            <v>0004</v>
          </cell>
          <cell r="G5678" t="str">
            <v>52123</v>
          </cell>
          <cell r="H5678" t="str">
            <v>转本月共同管理费用</v>
          </cell>
          <cell r="I5678" t="b">
            <v>1</v>
          </cell>
          <cell r="J5678">
            <v>-32507.33</v>
          </cell>
          <cell r="K5678">
            <v>0</v>
          </cell>
          <cell r="L5678">
            <v>0</v>
          </cell>
        </row>
        <row r="5679">
          <cell r="A5679" t="str">
            <v>06</v>
          </cell>
          <cell r="B5679" t="str">
            <v>25</v>
          </cell>
          <cell r="C5679" t="str">
            <v>06</v>
          </cell>
          <cell r="D5679" t="str">
            <v>5</v>
          </cell>
          <cell r="E5679" t="str">
            <v>0028</v>
          </cell>
          <cell r="F5679" t="str">
            <v>0017</v>
          </cell>
          <cell r="G5679" t="str">
            <v>52123</v>
          </cell>
          <cell r="H5679" t="str">
            <v>结转本月管理费用</v>
          </cell>
          <cell r="I5679" t="b">
            <v>0</v>
          </cell>
          <cell r="J5679">
            <v>-32507.33</v>
          </cell>
          <cell r="K5679">
            <v>0</v>
          </cell>
          <cell r="L5679">
            <v>0</v>
          </cell>
        </row>
        <row r="5680">
          <cell r="A5680" t="str">
            <v>07</v>
          </cell>
          <cell r="B5680" t="str">
            <v>27</v>
          </cell>
          <cell r="C5680" t="str">
            <v>07</v>
          </cell>
          <cell r="D5680" t="str">
            <v>5</v>
          </cell>
          <cell r="E5680" t="str">
            <v>0034</v>
          </cell>
          <cell r="F5680" t="str">
            <v>0004</v>
          </cell>
          <cell r="G5680" t="str">
            <v>52123</v>
          </cell>
          <cell r="H5680" t="str">
            <v>转本月共同管理费用</v>
          </cell>
          <cell r="I5680" t="b">
            <v>1</v>
          </cell>
          <cell r="J5680">
            <v>-55823</v>
          </cell>
          <cell r="K5680">
            <v>0</v>
          </cell>
          <cell r="L5680">
            <v>0</v>
          </cell>
        </row>
        <row r="5681">
          <cell r="A5681" t="str">
            <v>07</v>
          </cell>
          <cell r="B5681" t="str">
            <v>29</v>
          </cell>
          <cell r="C5681" t="str">
            <v>07</v>
          </cell>
          <cell r="D5681" t="str">
            <v>5</v>
          </cell>
          <cell r="E5681" t="str">
            <v>0044</v>
          </cell>
          <cell r="F5681" t="str">
            <v>0018</v>
          </cell>
          <cell r="G5681" t="str">
            <v>52123</v>
          </cell>
          <cell r="H5681" t="str">
            <v>结转本月管理费用</v>
          </cell>
          <cell r="I5681" t="b">
            <v>0</v>
          </cell>
          <cell r="J5681">
            <v>-55823</v>
          </cell>
          <cell r="K5681">
            <v>0</v>
          </cell>
          <cell r="L5681">
            <v>0</v>
          </cell>
        </row>
        <row r="5682">
          <cell r="A5682" t="str">
            <v>08</v>
          </cell>
          <cell r="B5682" t="str">
            <v>31</v>
          </cell>
          <cell r="C5682" t="str">
            <v>08</v>
          </cell>
          <cell r="D5682" t="str">
            <v>5</v>
          </cell>
          <cell r="E5682" t="str">
            <v>0031</v>
          </cell>
          <cell r="F5682" t="str">
            <v>0004</v>
          </cell>
          <cell r="G5682" t="str">
            <v>52123</v>
          </cell>
          <cell r="H5682" t="str">
            <v>转本月共同管理费用</v>
          </cell>
          <cell r="I5682" t="b">
            <v>1</v>
          </cell>
          <cell r="J5682">
            <v>-198641.61</v>
          </cell>
          <cell r="K5682">
            <v>0</v>
          </cell>
          <cell r="L5682">
            <v>0</v>
          </cell>
        </row>
        <row r="5683">
          <cell r="A5683" t="str">
            <v>08</v>
          </cell>
          <cell r="B5683" t="str">
            <v>31</v>
          </cell>
          <cell r="C5683" t="str">
            <v>08</v>
          </cell>
          <cell r="D5683" t="str">
            <v>5</v>
          </cell>
          <cell r="E5683" t="str">
            <v>0035</v>
          </cell>
          <cell r="F5683" t="str">
            <v>0019</v>
          </cell>
          <cell r="G5683" t="str">
            <v>52123</v>
          </cell>
          <cell r="H5683" t="str">
            <v>结转本月管理费用</v>
          </cell>
          <cell r="I5683" t="b">
            <v>0</v>
          </cell>
          <cell r="J5683">
            <v>-198641.61</v>
          </cell>
          <cell r="K5683">
            <v>0</v>
          </cell>
          <cell r="L5683">
            <v>0</v>
          </cell>
        </row>
        <row r="5684">
          <cell r="A5684" t="str">
            <v>09</v>
          </cell>
          <cell r="B5684" t="str">
            <v>30</v>
          </cell>
          <cell r="C5684" t="str">
            <v>09</v>
          </cell>
          <cell r="D5684" t="str">
            <v>5</v>
          </cell>
          <cell r="E5684" t="str">
            <v>0034</v>
          </cell>
          <cell r="F5684" t="str">
            <v>0004</v>
          </cell>
          <cell r="G5684" t="str">
            <v>52123</v>
          </cell>
          <cell r="H5684" t="str">
            <v>转本月共同管理费用</v>
          </cell>
          <cell r="I5684" t="b">
            <v>1</v>
          </cell>
          <cell r="J5684">
            <v>-40172.69</v>
          </cell>
          <cell r="K5684">
            <v>0</v>
          </cell>
          <cell r="L5684">
            <v>0</v>
          </cell>
        </row>
        <row r="5685">
          <cell r="A5685" t="str">
            <v>09</v>
          </cell>
          <cell r="B5685" t="str">
            <v>30</v>
          </cell>
          <cell r="C5685" t="str">
            <v>09</v>
          </cell>
          <cell r="D5685" t="str">
            <v>5</v>
          </cell>
          <cell r="E5685" t="str">
            <v>0040</v>
          </cell>
          <cell r="F5685" t="str">
            <v>0019</v>
          </cell>
          <cell r="G5685" t="str">
            <v>52123</v>
          </cell>
          <cell r="H5685" t="str">
            <v>结转本月管理费用</v>
          </cell>
          <cell r="I5685" t="b">
            <v>0</v>
          </cell>
          <cell r="J5685">
            <v>-40172.69</v>
          </cell>
          <cell r="K5685">
            <v>0</v>
          </cell>
          <cell r="L5685">
            <v>0</v>
          </cell>
        </row>
        <row r="5686">
          <cell r="A5686" t="str">
            <v>10</v>
          </cell>
          <cell r="B5686" t="str">
            <v>28</v>
          </cell>
          <cell r="C5686" t="str">
            <v>10</v>
          </cell>
          <cell r="D5686" t="str">
            <v>5</v>
          </cell>
          <cell r="E5686" t="str">
            <v>0029</v>
          </cell>
          <cell r="F5686" t="str">
            <v>0004</v>
          </cell>
          <cell r="G5686" t="str">
            <v>52123</v>
          </cell>
          <cell r="H5686" t="str">
            <v>转本月共同管理费用</v>
          </cell>
          <cell r="I5686" t="b">
            <v>1</v>
          </cell>
          <cell r="J5686">
            <v>-60191.78</v>
          </cell>
          <cell r="K5686">
            <v>0</v>
          </cell>
          <cell r="L5686">
            <v>0</v>
          </cell>
        </row>
        <row r="5687">
          <cell r="A5687" t="str">
            <v>10</v>
          </cell>
          <cell r="B5687" t="str">
            <v>30</v>
          </cell>
          <cell r="C5687" t="str">
            <v>10</v>
          </cell>
          <cell r="D5687" t="str">
            <v>5</v>
          </cell>
          <cell r="E5687" t="str">
            <v>0034</v>
          </cell>
          <cell r="F5687" t="str">
            <v>0020</v>
          </cell>
          <cell r="G5687" t="str">
            <v>52123</v>
          </cell>
          <cell r="H5687" t="str">
            <v>结转本月管理费用</v>
          </cell>
          <cell r="I5687" t="b">
            <v>0</v>
          </cell>
          <cell r="J5687">
            <v>-60191.78</v>
          </cell>
          <cell r="K5687">
            <v>0</v>
          </cell>
          <cell r="L5687">
            <v>0</v>
          </cell>
        </row>
        <row r="5688">
          <cell r="A5688" t="str">
            <v>11</v>
          </cell>
          <cell r="B5688" t="str">
            <v>29</v>
          </cell>
          <cell r="C5688" t="str">
            <v>11</v>
          </cell>
          <cell r="D5688" t="str">
            <v>5</v>
          </cell>
          <cell r="E5688" t="str">
            <v>0025</v>
          </cell>
          <cell r="F5688" t="str">
            <v>0004</v>
          </cell>
          <cell r="G5688" t="str">
            <v>52123</v>
          </cell>
          <cell r="H5688" t="str">
            <v>转本月共同管理费用</v>
          </cell>
          <cell r="I5688" t="b">
            <v>1</v>
          </cell>
          <cell r="J5688">
            <v>-28652.52</v>
          </cell>
          <cell r="K5688">
            <v>0</v>
          </cell>
          <cell r="L5688">
            <v>0</v>
          </cell>
        </row>
        <row r="5689">
          <cell r="A5689" t="str">
            <v>11</v>
          </cell>
          <cell r="B5689" t="str">
            <v>30</v>
          </cell>
          <cell r="C5689" t="str">
            <v>11</v>
          </cell>
          <cell r="D5689" t="str">
            <v>5</v>
          </cell>
          <cell r="E5689" t="str">
            <v>0037</v>
          </cell>
          <cell r="F5689" t="str">
            <v>0020</v>
          </cell>
          <cell r="G5689" t="str">
            <v>52123</v>
          </cell>
          <cell r="H5689" t="str">
            <v>结转本月管理费用</v>
          </cell>
          <cell r="I5689" t="b">
            <v>0</v>
          </cell>
          <cell r="J5689">
            <v>-28652.52</v>
          </cell>
          <cell r="K5689">
            <v>0</v>
          </cell>
          <cell r="L5689">
            <v>0</v>
          </cell>
        </row>
        <row r="5690">
          <cell r="A5690" t="str">
            <v>12</v>
          </cell>
          <cell r="B5690" t="str">
            <v>31</v>
          </cell>
          <cell r="C5690" t="str">
            <v>12</v>
          </cell>
          <cell r="D5690" t="str">
            <v>5</v>
          </cell>
          <cell r="E5690" t="str">
            <v>0093</v>
          </cell>
          <cell r="F5690" t="str">
            <v>0004</v>
          </cell>
          <cell r="G5690" t="str">
            <v>52123</v>
          </cell>
          <cell r="H5690" t="str">
            <v>转本月共同管理费用</v>
          </cell>
          <cell r="I5690" t="b">
            <v>1</v>
          </cell>
          <cell r="J5690">
            <v>-60933.42</v>
          </cell>
          <cell r="K5690">
            <v>0</v>
          </cell>
          <cell r="L5690">
            <v>0</v>
          </cell>
        </row>
        <row r="5691">
          <cell r="A5691" t="str">
            <v>12</v>
          </cell>
          <cell r="B5691" t="str">
            <v>31</v>
          </cell>
          <cell r="C5691" t="str">
            <v>12</v>
          </cell>
          <cell r="D5691" t="str">
            <v>5</v>
          </cell>
          <cell r="E5691" t="str">
            <v>0103</v>
          </cell>
          <cell r="F5691" t="str">
            <v>0020</v>
          </cell>
          <cell r="G5691" t="str">
            <v>52123</v>
          </cell>
          <cell r="H5691" t="str">
            <v>结转本月管理费用</v>
          </cell>
          <cell r="I5691" t="b">
            <v>0</v>
          </cell>
          <cell r="J5691">
            <v>-60933.42</v>
          </cell>
          <cell r="K5691">
            <v>0</v>
          </cell>
          <cell r="L5691">
            <v>0</v>
          </cell>
        </row>
        <row r="5692">
          <cell r="A5692" t="str">
            <v>02</v>
          </cell>
          <cell r="B5692" t="str">
            <v>02</v>
          </cell>
          <cell r="C5692" t="str">
            <v>02</v>
          </cell>
          <cell r="D5692" t="str">
            <v>2</v>
          </cell>
          <cell r="E5692" t="str">
            <v>0008</v>
          </cell>
          <cell r="F5692" t="str">
            <v>0001</v>
          </cell>
          <cell r="G5692" t="str">
            <v>52199</v>
          </cell>
          <cell r="H5692" t="str">
            <v>购彩旗.扩片等</v>
          </cell>
          <cell r="I5692" t="b">
            <v>1</v>
          </cell>
          <cell r="J5692">
            <v>12756.17</v>
          </cell>
          <cell r="K5692">
            <v>0</v>
          </cell>
          <cell r="L5692">
            <v>0</v>
          </cell>
        </row>
        <row r="5693">
          <cell r="A5693" t="str">
            <v>02</v>
          </cell>
          <cell r="B5693" t="str">
            <v>19</v>
          </cell>
          <cell r="C5693" t="str">
            <v>02</v>
          </cell>
          <cell r="D5693" t="str">
            <v>2</v>
          </cell>
          <cell r="E5693" t="str">
            <v>0031</v>
          </cell>
          <cell r="F5693" t="str">
            <v>0002</v>
          </cell>
          <cell r="G5693" t="str">
            <v>52199</v>
          </cell>
          <cell r="H5693" t="str">
            <v>付修路款等</v>
          </cell>
          <cell r="I5693" t="b">
            <v>1</v>
          </cell>
          <cell r="J5693">
            <v>27529.43</v>
          </cell>
          <cell r="K5693">
            <v>0</v>
          </cell>
          <cell r="L5693">
            <v>0</v>
          </cell>
        </row>
        <row r="5694">
          <cell r="A5694" t="str">
            <v>02</v>
          </cell>
          <cell r="B5694" t="str">
            <v>14</v>
          </cell>
          <cell r="C5694" t="str">
            <v>02</v>
          </cell>
          <cell r="D5694" t="str">
            <v>4</v>
          </cell>
          <cell r="E5694" t="str">
            <v>0015</v>
          </cell>
          <cell r="F5694" t="str">
            <v>0006</v>
          </cell>
          <cell r="G5694" t="str">
            <v>52199</v>
          </cell>
          <cell r="H5694" t="str">
            <v>代扣1月份教育附加费</v>
          </cell>
          <cell r="I5694" t="b">
            <v>1</v>
          </cell>
          <cell r="J5694">
            <v>-763.1</v>
          </cell>
          <cell r="K5694">
            <v>0</v>
          </cell>
          <cell r="L5694">
            <v>0</v>
          </cell>
        </row>
        <row r="5695">
          <cell r="A5695" t="str">
            <v>02</v>
          </cell>
          <cell r="B5695" t="str">
            <v>18</v>
          </cell>
          <cell r="C5695" t="str">
            <v>02</v>
          </cell>
          <cell r="D5695" t="str">
            <v>4</v>
          </cell>
          <cell r="E5695" t="str">
            <v>0022</v>
          </cell>
          <cell r="F5695" t="str">
            <v>0007</v>
          </cell>
          <cell r="G5695" t="str">
            <v>52199</v>
          </cell>
          <cell r="H5695" t="str">
            <v>代扣99年12月份教育附加.收视费</v>
          </cell>
          <cell r="I5695" t="b">
            <v>1</v>
          </cell>
          <cell r="J5695">
            <v>-1642.5</v>
          </cell>
          <cell r="K5695">
            <v>0</v>
          </cell>
          <cell r="L5695">
            <v>0</v>
          </cell>
        </row>
        <row r="5696">
          <cell r="A5696" t="str">
            <v>02</v>
          </cell>
          <cell r="B5696" t="str">
            <v>20</v>
          </cell>
          <cell r="C5696" t="str">
            <v>02</v>
          </cell>
          <cell r="D5696" t="str">
            <v>4</v>
          </cell>
          <cell r="E5696" t="str">
            <v>0031</v>
          </cell>
          <cell r="F5696" t="str">
            <v>0001</v>
          </cell>
          <cell r="G5696" t="str">
            <v>52199</v>
          </cell>
          <cell r="H5696" t="str">
            <v>付评审费</v>
          </cell>
          <cell r="I5696" t="b">
            <v>1</v>
          </cell>
          <cell r="J5696">
            <v>78400</v>
          </cell>
          <cell r="K5696">
            <v>0</v>
          </cell>
          <cell r="L5696">
            <v>0</v>
          </cell>
        </row>
        <row r="5697">
          <cell r="A5697" t="str">
            <v>02</v>
          </cell>
          <cell r="B5697" t="str">
            <v>21</v>
          </cell>
          <cell r="C5697" t="str">
            <v>02</v>
          </cell>
          <cell r="D5697" t="str">
            <v>4</v>
          </cell>
          <cell r="E5697" t="str">
            <v>0032</v>
          </cell>
          <cell r="F5697" t="str">
            <v>0002</v>
          </cell>
          <cell r="G5697" t="str">
            <v>52199</v>
          </cell>
          <cell r="H5697" t="str">
            <v>购支票等</v>
          </cell>
          <cell r="I5697" t="b">
            <v>1</v>
          </cell>
          <cell r="J5697">
            <v>2497</v>
          </cell>
          <cell r="K5697">
            <v>0</v>
          </cell>
          <cell r="L5697">
            <v>0</v>
          </cell>
        </row>
        <row r="5698">
          <cell r="A5698" t="str">
            <v>02</v>
          </cell>
          <cell r="B5698" t="str">
            <v>28</v>
          </cell>
          <cell r="C5698" t="str">
            <v>02</v>
          </cell>
          <cell r="D5698" t="str">
            <v>5</v>
          </cell>
          <cell r="E5698" t="str">
            <v>0025</v>
          </cell>
          <cell r="F5698" t="str">
            <v>0001</v>
          </cell>
          <cell r="G5698" t="str">
            <v>52199</v>
          </cell>
          <cell r="H5698" t="str">
            <v>转分公司代扣教育费附加及收视费</v>
          </cell>
          <cell r="I5698" t="b">
            <v>1</v>
          </cell>
          <cell r="J5698">
            <v>-3725</v>
          </cell>
          <cell r="K5698">
            <v>0</v>
          </cell>
          <cell r="L5698">
            <v>0</v>
          </cell>
        </row>
        <row r="5699">
          <cell r="A5699" t="str">
            <v>02</v>
          </cell>
          <cell r="B5699" t="str">
            <v>28</v>
          </cell>
          <cell r="C5699" t="str">
            <v>02</v>
          </cell>
          <cell r="D5699" t="str">
            <v>5</v>
          </cell>
          <cell r="E5699" t="str">
            <v>0026</v>
          </cell>
          <cell r="F5699" t="str">
            <v>0001</v>
          </cell>
          <cell r="G5699" t="str">
            <v>52199</v>
          </cell>
          <cell r="H5699" t="str">
            <v>转各厂代扣教育附加费及收视费</v>
          </cell>
          <cell r="I5699" t="b">
            <v>1</v>
          </cell>
          <cell r="J5699">
            <v>-3443.7</v>
          </cell>
          <cell r="K5699">
            <v>0</v>
          </cell>
          <cell r="L5699">
            <v>0</v>
          </cell>
        </row>
        <row r="5700">
          <cell r="A5700" t="str">
            <v>02</v>
          </cell>
          <cell r="B5700" t="str">
            <v>29</v>
          </cell>
          <cell r="C5700" t="str">
            <v>02</v>
          </cell>
          <cell r="D5700" t="str">
            <v>5</v>
          </cell>
          <cell r="E5700" t="str">
            <v>0058</v>
          </cell>
          <cell r="F5700" t="str">
            <v>0019</v>
          </cell>
          <cell r="G5700" t="str">
            <v>52199</v>
          </cell>
          <cell r="H5700" t="str">
            <v>结转本月管理费用</v>
          </cell>
          <cell r="I5700" t="b">
            <v>0</v>
          </cell>
          <cell r="J5700">
            <v>111608.3</v>
          </cell>
          <cell r="K5700">
            <v>0</v>
          </cell>
          <cell r="L5700">
            <v>0</v>
          </cell>
        </row>
        <row r="5701">
          <cell r="A5701" t="str">
            <v>03</v>
          </cell>
          <cell r="B5701" t="str">
            <v>12</v>
          </cell>
          <cell r="C5701" t="str">
            <v>03</v>
          </cell>
          <cell r="D5701" t="str">
            <v>2</v>
          </cell>
          <cell r="E5701" t="str">
            <v>0010</v>
          </cell>
          <cell r="F5701" t="str">
            <v>0002</v>
          </cell>
          <cell r="G5701" t="str">
            <v>52199</v>
          </cell>
          <cell r="H5701" t="str">
            <v>付胶卷.扩片等款</v>
          </cell>
          <cell r="I5701" t="b">
            <v>1</v>
          </cell>
          <cell r="J5701">
            <v>8869</v>
          </cell>
          <cell r="K5701">
            <v>0</v>
          </cell>
          <cell r="L5701">
            <v>0</v>
          </cell>
        </row>
        <row r="5702">
          <cell r="A5702" t="str">
            <v>03</v>
          </cell>
          <cell r="B5702" t="str">
            <v>15</v>
          </cell>
          <cell r="C5702" t="str">
            <v>03</v>
          </cell>
          <cell r="D5702" t="str">
            <v>2</v>
          </cell>
          <cell r="E5702" t="str">
            <v>0012</v>
          </cell>
          <cell r="F5702" t="str">
            <v>0002</v>
          </cell>
          <cell r="G5702" t="str">
            <v>52199</v>
          </cell>
          <cell r="H5702" t="str">
            <v>付绿化费.工会经费.解困资金等</v>
          </cell>
          <cell r="I5702" t="b">
            <v>1</v>
          </cell>
          <cell r="J5702">
            <v>34264.019999999997</v>
          </cell>
          <cell r="K5702">
            <v>0</v>
          </cell>
          <cell r="L5702">
            <v>0</v>
          </cell>
        </row>
        <row r="5703">
          <cell r="A5703" t="str">
            <v>03</v>
          </cell>
          <cell r="B5703" t="str">
            <v>24</v>
          </cell>
          <cell r="C5703" t="str">
            <v>03</v>
          </cell>
          <cell r="D5703" t="str">
            <v>2</v>
          </cell>
          <cell r="E5703" t="str">
            <v>0021</v>
          </cell>
          <cell r="F5703" t="str">
            <v>0002</v>
          </cell>
          <cell r="G5703" t="str">
            <v>52199</v>
          </cell>
          <cell r="H5703" t="str">
            <v>付摩拖车保费</v>
          </cell>
          <cell r="I5703" t="b">
            <v>1</v>
          </cell>
          <cell r="J5703">
            <v>410</v>
          </cell>
          <cell r="K5703">
            <v>0</v>
          </cell>
          <cell r="L5703">
            <v>0</v>
          </cell>
        </row>
        <row r="5704">
          <cell r="A5704" t="str">
            <v>03</v>
          </cell>
          <cell r="B5704" t="str">
            <v>25</v>
          </cell>
          <cell r="C5704" t="str">
            <v>03</v>
          </cell>
          <cell r="D5704" t="str">
            <v>2</v>
          </cell>
          <cell r="E5704" t="str">
            <v>0026</v>
          </cell>
          <cell r="F5704" t="str">
            <v>0005</v>
          </cell>
          <cell r="G5704" t="str">
            <v>52199</v>
          </cell>
          <cell r="H5704" t="str">
            <v>代扣教育附加费</v>
          </cell>
          <cell r="I5704" t="b">
            <v>1</v>
          </cell>
          <cell r="J5704">
            <v>-66.8</v>
          </cell>
          <cell r="K5704">
            <v>0</v>
          </cell>
          <cell r="L5704">
            <v>0</v>
          </cell>
        </row>
        <row r="5705">
          <cell r="A5705" t="str">
            <v>03</v>
          </cell>
          <cell r="B5705" t="str">
            <v>25</v>
          </cell>
          <cell r="C5705" t="str">
            <v>03</v>
          </cell>
          <cell r="D5705" t="str">
            <v>2</v>
          </cell>
          <cell r="E5705" t="str">
            <v>0026</v>
          </cell>
          <cell r="F5705" t="str">
            <v>0008</v>
          </cell>
          <cell r="G5705" t="str">
            <v>52199</v>
          </cell>
          <cell r="H5705" t="str">
            <v>代扣收视费</v>
          </cell>
          <cell r="I5705" t="b">
            <v>1</v>
          </cell>
          <cell r="J5705">
            <v>-85</v>
          </cell>
          <cell r="K5705">
            <v>0</v>
          </cell>
          <cell r="L5705">
            <v>0</v>
          </cell>
        </row>
        <row r="5706">
          <cell r="A5706" t="str">
            <v>03</v>
          </cell>
          <cell r="B5706" t="str">
            <v>01</v>
          </cell>
          <cell r="C5706" t="str">
            <v>03</v>
          </cell>
          <cell r="D5706" t="str">
            <v>4</v>
          </cell>
          <cell r="E5706" t="str">
            <v>0002</v>
          </cell>
          <cell r="F5706" t="str">
            <v>0001</v>
          </cell>
          <cell r="G5706" t="str">
            <v>52199</v>
          </cell>
          <cell r="H5706" t="str">
            <v>付卡费</v>
          </cell>
          <cell r="I5706" t="b">
            <v>1</v>
          </cell>
          <cell r="J5706">
            <v>200</v>
          </cell>
          <cell r="K5706">
            <v>0</v>
          </cell>
          <cell r="L5706">
            <v>0</v>
          </cell>
        </row>
        <row r="5707">
          <cell r="A5707" t="str">
            <v>03</v>
          </cell>
          <cell r="B5707" t="str">
            <v>20</v>
          </cell>
          <cell r="C5707" t="str">
            <v>03</v>
          </cell>
          <cell r="D5707" t="str">
            <v>4</v>
          </cell>
          <cell r="E5707" t="str">
            <v>0028</v>
          </cell>
          <cell r="F5707" t="str">
            <v>0006</v>
          </cell>
          <cell r="G5707" t="str">
            <v>52199</v>
          </cell>
          <cell r="H5707" t="str">
            <v>代扣本月教育附加费</v>
          </cell>
          <cell r="I5707" t="b">
            <v>1</v>
          </cell>
          <cell r="J5707">
            <v>-844.7</v>
          </cell>
          <cell r="K5707">
            <v>0</v>
          </cell>
          <cell r="L5707">
            <v>0</v>
          </cell>
        </row>
        <row r="5708">
          <cell r="A5708" t="str">
            <v>03</v>
          </cell>
          <cell r="B5708" t="str">
            <v>20</v>
          </cell>
          <cell r="C5708" t="str">
            <v>03</v>
          </cell>
          <cell r="D5708" t="str">
            <v>4</v>
          </cell>
          <cell r="E5708" t="str">
            <v>0028</v>
          </cell>
          <cell r="F5708" t="str">
            <v>0009</v>
          </cell>
          <cell r="G5708" t="str">
            <v>52199</v>
          </cell>
          <cell r="H5708" t="str">
            <v>代扣本月收视费</v>
          </cell>
          <cell r="I5708" t="b">
            <v>1</v>
          </cell>
          <cell r="J5708">
            <v>-1820.5</v>
          </cell>
          <cell r="K5708">
            <v>0</v>
          </cell>
          <cell r="L5708">
            <v>0</v>
          </cell>
        </row>
        <row r="5709">
          <cell r="A5709" t="str">
            <v>03</v>
          </cell>
          <cell r="B5709" t="str">
            <v>27</v>
          </cell>
          <cell r="C5709" t="str">
            <v>03</v>
          </cell>
          <cell r="D5709" t="str">
            <v>5</v>
          </cell>
          <cell r="E5709" t="str">
            <v>0005</v>
          </cell>
          <cell r="F5709" t="str">
            <v>0001</v>
          </cell>
          <cell r="G5709" t="str">
            <v>52199</v>
          </cell>
          <cell r="H5709" t="str">
            <v>转1-2月份招待所物资款</v>
          </cell>
          <cell r="I5709" t="b">
            <v>1</v>
          </cell>
          <cell r="J5709">
            <v>17454</v>
          </cell>
          <cell r="K5709">
            <v>0</v>
          </cell>
          <cell r="L5709">
            <v>0</v>
          </cell>
        </row>
        <row r="5710">
          <cell r="A5710" t="str">
            <v>03</v>
          </cell>
          <cell r="B5710" t="str">
            <v>30</v>
          </cell>
          <cell r="C5710" t="str">
            <v>03</v>
          </cell>
          <cell r="D5710" t="str">
            <v>5</v>
          </cell>
          <cell r="E5710" t="str">
            <v>0032</v>
          </cell>
          <cell r="F5710" t="str">
            <v>0017</v>
          </cell>
          <cell r="G5710" t="str">
            <v>52199</v>
          </cell>
          <cell r="H5710" t="str">
            <v>结转本月管理费用</v>
          </cell>
          <cell r="I5710" t="b">
            <v>0</v>
          </cell>
          <cell r="J5710">
            <v>58380.02</v>
          </cell>
          <cell r="K5710">
            <v>0</v>
          </cell>
          <cell r="L5710">
            <v>0</v>
          </cell>
        </row>
        <row r="5711">
          <cell r="A5711" t="str">
            <v>04</v>
          </cell>
          <cell r="B5711" t="str">
            <v>01</v>
          </cell>
          <cell r="C5711" t="str">
            <v>04</v>
          </cell>
          <cell r="D5711" t="str">
            <v>1</v>
          </cell>
          <cell r="E5711" t="str">
            <v>0001</v>
          </cell>
          <cell r="F5711" t="str">
            <v>0002</v>
          </cell>
          <cell r="G5711" t="str">
            <v>52199</v>
          </cell>
          <cell r="H5711" t="str">
            <v>收回邵立成2000年1-2月份医疗费</v>
          </cell>
          <cell r="I5711" t="b">
            <v>1</v>
          </cell>
          <cell r="J5711">
            <v>-79.599999999999994</v>
          </cell>
          <cell r="K5711">
            <v>0</v>
          </cell>
          <cell r="L5711">
            <v>0</v>
          </cell>
        </row>
        <row r="5712">
          <cell r="A5712" t="str">
            <v>04</v>
          </cell>
          <cell r="B5712" t="str">
            <v>20</v>
          </cell>
          <cell r="C5712" t="str">
            <v>04</v>
          </cell>
          <cell r="D5712" t="str">
            <v>2</v>
          </cell>
          <cell r="E5712" t="str">
            <v>0010</v>
          </cell>
          <cell r="F5712" t="str">
            <v>0001</v>
          </cell>
          <cell r="G5712" t="str">
            <v>52199</v>
          </cell>
          <cell r="H5712" t="str">
            <v>购胶卷.扩片等</v>
          </cell>
          <cell r="I5712" t="b">
            <v>1</v>
          </cell>
          <cell r="J5712">
            <v>5494.8</v>
          </cell>
          <cell r="K5712">
            <v>0</v>
          </cell>
          <cell r="L5712">
            <v>0</v>
          </cell>
        </row>
        <row r="5713">
          <cell r="A5713" t="str">
            <v>04</v>
          </cell>
          <cell r="B5713" t="str">
            <v>12</v>
          </cell>
          <cell r="C5713" t="str">
            <v>04</v>
          </cell>
          <cell r="D5713" t="str">
            <v>4</v>
          </cell>
          <cell r="E5713" t="str">
            <v>0011</v>
          </cell>
          <cell r="F5713" t="str">
            <v>0001</v>
          </cell>
          <cell r="G5713" t="str">
            <v>52199</v>
          </cell>
          <cell r="H5713" t="str">
            <v>付新车间规划费.附加费</v>
          </cell>
          <cell r="I5713" t="b">
            <v>1</v>
          </cell>
          <cell r="J5713">
            <v>86428.5</v>
          </cell>
          <cell r="K5713">
            <v>0</v>
          </cell>
          <cell r="L5713">
            <v>0</v>
          </cell>
        </row>
        <row r="5714">
          <cell r="A5714" t="str">
            <v>04</v>
          </cell>
          <cell r="B5714" t="str">
            <v>12</v>
          </cell>
          <cell r="C5714" t="str">
            <v>04</v>
          </cell>
          <cell r="D5714" t="str">
            <v>4</v>
          </cell>
          <cell r="E5714" t="str">
            <v>0011</v>
          </cell>
          <cell r="F5714" t="str">
            <v>0002</v>
          </cell>
          <cell r="G5714" t="str">
            <v>52199</v>
          </cell>
          <cell r="H5714" t="str">
            <v>付收视费.董事务费.会费</v>
          </cell>
          <cell r="I5714" t="b">
            <v>1</v>
          </cell>
          <cell r="J5714">
            <v>118254</v>
          </cell>
          <cell r="K5714">
            <v>0</v>
          </cell>
          <cell r="L5714">
            <v>0</v>
          </cell>
        </row>
        <row r="5715">
          <cell r="A5715" t="str">
            <v>04</v>
          </cell>
          <cell r="B5715" t="str">
            <v>15</v>
          </cell>
          <cell r="C5715" t="str">
            <v>04</v>
          </cell>
          <cell r="D5715" t="str">
            <v>4</v>
          </cell>
          <cell r="E5715" t="str">
            <v>0013</v>
          </cell>
          <cell r="F5715" t="str">
            <v>0003</v>
          </cell>
          <cell r="G5715" t="str">
            <v>52199</v>
          </cell>
          <cell r="H5715" t="str">
            <v>付税务代理费</v>
          </cell>
          <cell r="I5715" t="b">
            <v>1</v>
          </cell>
          <cell r="J5715">
            <v>30000</v>
          </cell>
          <cell r="K5715">
            <v>0</v>
          </cell>
          <cell r="L5715">
            <v>0</v>
          </cell>
        </row>
        <row r="5716">
          <cell r="A5716" t="str">
            <v>04</v>
          </cell>
          <cell r="B5716" t="str">
            <v>19</v>
          </cell>
          <cell r="C5716" t="str">
            <v>04</v>
          </cell>
          <cell r="D5716" t="str">
            <v>4</v>
          </cell>
          <cell r="E5716" t="str">
            <v>0022</v>
          </cell>
          <cell r="F5716" t="str">
            <v>0006</v>
          </cell>
          <cell r="G5716" t="str">
            <v>52199</v>
          </cell>
          <cell r="H5716" t="str">
            <v>代扣合同制.合同工管理费</v>
          </cell>
          <cell r="I5716" t="b">
            <v>1</v>
          </cell>
          <cell r="J5716">
            <v>-5110</v>
          </cell>
          <cell r="K5716">
            <v>0</v>
          </cell>
          <cell r="L5716">
            <v>0</v>
          </cell>
        </row>
        <row r="5717">
          <cell r="A5717" t="str">
            <v>04</v>
          </cell>
          <cell r="B5717" t="str">
            <v>19</v>
          </cell>
          <cell r="C5717" t="str">
            <v>04</v>
          </cell>
          <cell r="D5717" t="str">
            <v>4</v>
          </cell>
          <cell r="E5717" t="str">
            <v>0022</v>
          </cell>
          <cell r="F5717" t="str">
            <v>0007</v>
          </cell>
          <cell r="G5717" t="str">
            <v>52199</v>
          </cell>
          <cell r="H5717" t="str">
            <v>代扣本月教育附加费</v>
          </cell>
          <cell r="I5717" t="b">
            <v>1</v>
          </cell>
          <cell r="J5717">
            <v>-844.6</v>
          </cell>
          <cell r="K5717">
            <v>0</v>
          </cell>
          <cell r="L5717">
            <v>0</v>
          </cell>
        </row>
        <row r="5718">
          <cell r="A5718" t="str">
            <v>04</v>
          </cell>
          <cell r="B5718" t="str">
            <v>19</v>
          </cell>
          <cell r="C5718" t="str">
            <v>04</v>
          </cell>
          <cell r="D5718" t="str">
            <v>4</v>
          </cell>
          <cell r="E5718" t="str">
            <v>0022</v>
          </cell>
          <cell r="F5718" t="str">
            <v>0010</v>
          </cell>
          <cell r="G5718" t="str">
            <v>52199</v>
          </cell>
          <cell r="H5718" t="str">
            <v>代扣本月收视费</v>
          </cell>
          <cell r="I5718" t="b">
            <v>1</v>
          </cell>
          <cell r="J5718">
            <v>-1020</v>
          </cell>
          <cell r="K5718">
            <v>0</v>
          </cell>
          <cell r="L5718">
            <v>0</v>
          </cell>
        </row>
        <row r="5719">
          <cell r="A5719" t="str">
            <v>04</v>
          </cell>
          <cell r="B5719" t="str">
            <v>20</v>
          </cell>
          <cell r="C5719" t="str">
            <v>04</v>
          </cell>
          <cell r="D5719" t="str">
            <v>5</v>
          </cell>
          <cell r="E5719" t="str">
            <v>0009</v>
          </cell>
          <cell r="F5719" t="str">
            <v>0001</v>
          </cell>
          <cell r="G5719" t="str">
            <v>52199</v>
          </cell>
          <cell r="H5719" t="str">
            <v>转技术服务费</v>
          </cell>
          <cell r="I5719" t="b">
            <v>1</v>
          </cell>
          <cell r="J5719">
            <v>24000</v>
          </cell>
          <cell r="K5719">
            <v>0</v>
          </cell>
          <cell r="L5719">
            <v>0</v>
          </cell>
        </row>
        <row r="5720">
          <cell r="A5720" t="str">
            <v>04</v>
          </cell>
          <cell r="B5720" t="str">
            <v>29</v>
          </cell>
          <cell r="C5720" t="str">
            <v>04</v>
          </cell>
          <cell r="D5720" t="str">
            <v>5</v>
          </cell>
          <cell r="E5720" t="str">
            <v>0038</v>
          </cell>
          <cell r="F5720" t="str">
            <v>0018</v>
          </cell>
          <cell r="G5720" t="str">
            <v>52199</v>
          </cell>
          <cell r="H5720" t="str">
            <v>结转本月管理费用</v>
          </cell>
          <cell r="I5720" t="b">
            <v>0</v>
          </cell>
          <cell r="J5720">
            <v>257123.1</v>
          </cell>
          <cell r="K5720">
            <v>0</v>
          </cell>
          <cell r="L5720">
            <v>0</v>
          </cell>
        </row>
        <row r="5721">
          <cell r="A5721" t="str">
            <v>05</v>
          </cell>
          <cell r="B5721" t="str">
            <v>24</v>
          </cell>
          <cell r="C5721" t="str">
            <v>05</v>
          </cell>
          <cell r="D5721" t="str">
            <v>2</v>
          </cell>
          <cell r="E5721" t="str">
            <v>0017</v>
          </cell>
          <cell r="F5721" t="str">
            <v>0002</v>
          </cell>
          <cell r="G5721" t="str">
            <v>52199</v>
          </cell>
          <cell r="H5721" t="str">
            <v>付会务费等</v>
          </cell>
          <cell r="I5721" t="b">
            <v>1</v>
          </cell>
          <cell r="J5721">
            <v>7980</v>
          </cell>
          <cell r="K5721">
            <v>0</v>
          </cell>
          <cell r="L5721">
            <v>0</v>
          </cell>
        </row>
        <row r="5722">
          <cell r="A5722" t="str">
            <v>05</v>
          </cell>
          <cell r="B5722" t="str">
            <v>24</v>
          </cell>
          <cell r="C5722" t="str">
            <v>05</v>
          </cell>
          <cell r="D5722" t="str">
            <v>2</v>
          </cell>
          <cell r="E5722" t="str">
            <v>0018</v>
          </cell>
          <cell r="F5722" t="str">
            <v>0001</v>
          </cell>
          <cell r="G5722" t="str">
            <v>52199</v>
          </cell>
          <cell r="H5722" t="str">
            <v>购胶卷.扩片等</v>
          </cell>
          <cell r="I5722" t="b">
            <v>1</v>
          </cell>
          <cell r="J5722">
            <v>4315</v>
          </cell>
          <cell r="K5722">
            <v>0</v>
          </cell>
          <cell r="L5722">
            <v>0</v>
          </cell>
        </row>
        <row r="5723">
          <cell r="A5723" t="str">
            <v>05</v>
          </cell>
          <cell r="B5723" t="str">
            <v>24</v>
          </cell>
          <cell r="C5723" t="str">
            <v>05</v>
          </cell>
          <cell r="D5723" t="str">
            <v>4</v>
          </cell>
          <cell r="E5723" t="str">
            <v>0025</v>
          </cell>
          <cell r="F5723" t="str">
            <v>0001</v>
          </cell>
          <cell r="G5723" t="str">
            <v>52199</v>
          </cell>
          <cell r="H5723" t="str">
            <v>付会务费.职工教育基金.管理费等</v>
          </cell>
          <cell r="I5723" t="b">
            <v>1</v>
          </cell>
          <cell r="J5723">
            <v>25119.279999999999</v>
          </cell>
          <cell r="K5723">
            <v>0</v>
          </cell>
          <cell r="L5723">
            <v>0</v>
          </cell>
        </row>
        <row r="5724">
          <cell r="A5724" t="str">
            <v>05</v>
          </cell>
          <cell r="B5724" t="str">
            <v>25</v>
          </cell>
          <cell r="C5724" t="str">
            <v>05</v>
          </cell>
          <cell r="D5724" t="str">
            <v>4</v>
          </cell>
          <cell r="E5724" t="str">
            <v>0027</v>
          </cell>
          <cell r="F5724" t="str">
            <v>0006</v>
          </cell>
          <cell r="G5724" t="str">
            <v>52199</v>
          </cell>
          <cell r="H5724" t="str">
            <v>付本月教育附加费</v>
          </cell>
          <cell r="I5724" t="b">
            <v>1</v>
          </cell>
          <cell r="J5724">
            <v>-834.6</v>
          </cell>
          <cell r="K5724">
            <v>0</v>
          </cell>
          <cell r="L5724">
            <v>0</v>
          </cell>
        </row>
        <row r="5725">
          <cell r="A5725" t="str">
            <v>05</v>
          </cell>
          <cell r="B5725" t="str">
            <v>25</v>
          </cell>
          <cell r="C5725" t="str">
            <v>05</v>
          </cell>
          <cell r="D5725" t="str">
            <v>4</v>
          </cell>
          <cell r="E5725" t="str">
            <v>0027</v>
          </cell>
          <cell r="F5725" t="str">
            <v>0009</v>
          </cell>
          <cell r="G5725" t="str">
            <v>52199</v>
          </cell>
          <cell r="H5725" t="str">
            <v>付本月收视费</v>
          </cell>
          <cell r="I5725" t="b">
            <v>1</v>
          </cell>
          <cell r="J5725">
            <v>-867</v>
          </cell>
          <cell r="K5725">
            <v>0</v>
          </cell>
          <cell r="L5725">
            <v>0</v>
          </cell>
        </row>
        <row r="5726">
          <cell r="A5726" t="str">
            <v>05</v>
          </cell>
          <cell r="B5726" t="str">
            <v>25</v>
          </cell>
          <cell r="C5726" t="str">
            <v>05</v>
          </cell>
          <cell r="D5726" t="str">
            <v>5</v>
          </cell>
          <cell r="E5726" t="str">
            <v>0012</v>
          </cell>
          <cell r="F5726" t="str">
            <v>0001</v>
          </cell>
          <cell r="G5726" t="str">
            <v>52199</v>
          </cell>
          <cell r="H5726" t="str">
            <v>转各厂代扣3月教育附加及收视费</v>
          </cell>
          <cell r="I5726" t="b">
            <v>1</v>
          </cell>
          <cell r="J5726">
            <v>-2163.4</v>
          </cell>
          <cell r="K5726">
            <v>0</v>
          </cell>
          <cell r="L5726">
            <v>0</v>
          </cell>
        </row>
        <row r="5727">
          <cell r="A5727" t="str">
            <v>05</v>
          </cell>
          <cell r="B5727" t="str">
            <v>25</v>
          </cell>
          <cell r="C5727" t="str">
            <v>05</v>
          </cell>
          <cell r="D5727" t="str">
            <v>5</v>
          </cell>
          <cell r="E5727" t="str">
            <v>0013</v>
          </cell>
          <cell r="F5727" t="str">
            <v>0001</v>
          </cell>
          <cell r="G5727" t="str">
            <v>52199</v>
          </cell>
          <cell r="H5727" t="str">
            <v>转各厂代扣4月份附加费及收视费</v>
          </cell>
          <cell r="I5727" t="b">
            <v>1</v>
          </cell>
          <cell r="J5727">
            <v>-2207.1</v>
          </cell>
          <cell r="K5727">
            <v>0</v>
          </cell>
          <cell r="L5727">
            <v>0</v>
          </cell>
        </row>
        <row r="5728">
          <cell r="A5728" t="str">
            <v>05</v>
          </cell>
          <cell r="B5728" t="str">
            <v>25</v>
          </cell>
          <cell r="C5728" t="str">
            <v>05</v>
          </cell>
          <cell r="D5728" t="str">
            <v>5</v>
          </cell>
          <cell r="E5728" t="str">
            <v>0013</v>
          </cell>
          <cell r="F5728" t="str">
            <v>0004</v>
          </cell>
          <cell r="G5728" t="str">
            <v>52199</v>
          </cell>
          <cell r="H5728" t="str">
            <v>转各厂代扣4月份合同工等管理费</v>
          </cell>
          <cell r="I5728" t="b">
            <v>1</v>
          </cell>
          <cell r="J5728">
            <v>-5039.6000000000004</v>
          </cell>
          <cell r="K5728">
            <v>0</v>
          </cell>
          <cell r="L5728">
            <v>0</v>
          </cell>
        </row>
        <row r="5729">
          <cell r="A5729" t="str">
            <v>05</v>
          </cell>
          <cell r="B5729" t="str">
            <v>25</v>
          </cell>
          <cell r="C5729" t="str">
            <v>05</v>
          </cell>
          <cell r="D5729" t="str">
            <v>5</v>
          </cell>
          <cell r="E5729" t="str">
            <v>0014</v>
          </cell>
          <cell r="F5729" t="str">
            <v>0001</v>
          </cell>
          <cell r="G5729" t="str">
            <v>52199</v>
          </cell>
          <cell r="H5729" t="str">
            <v>转代扣5月份教育附加费</v>
          </cell>
          <cell r="I5729" t="b">
            <v>1</v>
          </cell>
          <cell r="J5729">
            <v>-1176.5999999999999</v>
          </cell>
          <cell r="K5729">
            <v>0</v>
          </cell>
          <cell r="L5729">
            <v>0</v>
          </cell>
        </row>
        <row r="5730">
          <cell r="A5730" t="str">
            <v>05</v>
          </cell>
          <cell r="B5730" t="str">
            <v>25</v>
          </cell>
          <cell r="C5730" t="str">
            <v>05</v>
          </cell>
          <cell r="D5730" t="str">
            <v>5</v>
          </cell>
          <cell r="E5730" t="str">
            <v>0014</v>
          </cell>
          <cell r="F5730" t="str">
            <v>0003</v>
          </cell>
          <cell r="G5730" t="str">
            <v>52199</v>
          </cell>
          <cell r="H5730" t="str">
            <v>转代扣5月份收视费</v>
          </cell>
          <cell r="I5730" t="b">
            <v>1</v>
          </cell>
          <cell r="J5730">
            <v>-1029.5</v>
          </cell>
          <cell r="K5730">
            <v>0</v>
          </cell>
          <cell r="L5730">
            <v>0</v>
          </cell>
        </row>
        <row r="5731">
          <cell r="A5731" t="str">
            <v>05</v>
          </cell>
          <cell r="B5731" t="str">
            <v>31</v>
          </cell>
          <cell r="C5731" t="str">
            <v>05</v>
          </cell>
          <cell r="D5731" t="str">
            <v>5</v>
          </cell>
          <cell r="E5731" t="str">
            <v>0039</v>
          </cell>
          <cell r="F5731" t="str">
            <v>0018</v>
          </cell>
          <cell r="G5731" t="str">
            <v>52199</v>
          </cell>
          <cell r="H5731" t="str">
            <v>结转本月管理费用</v>
          </cell>
          <cell r="I5731" t="b">
            <v>0</v>
          </cell>
          <cell r="J5731">
            <v>24096.48</v>
          </cell>
          <cell r="K5731">
            <v>0</v>
          </cell>
          <cell r="L5731">
            <v>0</v>
          </cell>
        </row>
        <row r="5732">
          <cell r="A5732" t="str">
            <v>06</v>
          </cell>
          <cell r="B5732" t="str">
            <v>01</v>
          </cell>
          <cell r="C5732" t="str">
            <v>06</v>
          </cell>
          <cell r="D5732" t="str">
            <v>2</v>
          </cell>
          <cell r="E5732" t="str">
            <v>0001</v>
          </cell>
          <cell r="F5732" t="str">
            <v>0004</v>
          </cell>
          <cell r="G5732" t="str">
            <v>52199</v>
          </cell>
          <cell r="H5732" t="str">
            <v>购传呼一个</v>
          </cell>
          <cell r="I5732" t="b">
            <v>1</v>
          </cell>
          <cell r="J5732">
            <v>238</v>
          </cell>
          <cell r="K5732">
            <v>0</v>
          </cell>
          <cell r="L5732">
            <v>0</v>
          </cell>
        </row>
        <row r="5733">
          <cell r="A5733" t="str">
            <v>06</v>
          </cell>
          <cell r="B5733" t="str">
            <v>05</v>
          </cell>
          <cell r="C5733" t="str">
            <v>06</v>
          </cell>
          <cell r="D5733" t="str">
            <v>2</v>
          </cell>
          <cell r="E5733" t="str">
            <v>0005</v>
          </cell>
          <cell r="F5733" t="str">
            <v>0001</v>
          </cell>
          <cell r="G5733" t="str">
            <v>52199</v>
          </cell>
          <cell r="H5733" t="str">
            <v>购花.花盆.胶卷.扩片等</v>
          </cell>
          <cell r="I5733" t="b">
            <v>1</v>
          </cell>
          <cell r="J5733">
            <v>9019.4</v>
          </cell>
          <cell r="K5733">
            <v>0</v>
          </cell>
          <cell r="L5733">
            <v>0</v>
          </cell>
        </row>
        <row r="5734">
          <cell r="A5734" t="str">
            <v>06</v>
          </cell>
          <cell r="B5734" t="str">
            <v>15</v>
          </cell>
          <cell r="C5734" t="str">
            <v>06</v>
          </cell>
          <cell r="D5734" t="str">
            <v>2</v>
          </cell>
          <cell r="E5734" t="str">
            <v>0013</v>
          </cell>
          <cell r="F5734" t="str">
            <v>0001</v>
          </cell>
          <cell r="G5734" t="str">
            <v>52199</v>
          </cell>
          <cell r="H5734" t="str">
            <v>付费用USD99.82*8.2649</v>
          </cell>
          <cell r="I5734" t="b">
            <v>1</v>
          </cell>
          <cell r="J5734">
            <v>825</v>
          </cell>
          <cell r="K5734">
            <v>0</v>
          </cell>
          <cell r="L5734">
            <v>0</v>
          </cell>
        </row>
        <row r="5735">
          <cell r="A5735" t="str">
            <v>06</v>
          </cell>
          <cell r="B5735" t="str">
            <v>20</v>
          </cell>
          <cell r="C5735" t="str">
            <v>06</v>
          </cell>
          <cell r="D5735" t="str">
            <v>4</v>
          </cell>
          <cell r="E5735" t="str">
            <v>0013</v>
          </cell>
          <cell r="F5735" t="str">
            <v>0007</v>
          </cell>
          <cell r="G5735" t="str">
            <v>52199</v>
          </cell>
          <cell r="H5735" t="str">
            <v>代扣教育附加费</v>
          </cell>
          <cell r="I5735" t="b">
            <v>1</v>
          </cell>
          <cell r="J5735">
            <v>-849.9</v>
          </cell>
          <cell r="K5735">
            <v>0</v>
          </cell>
          <cell r="L5735">
            <v>0</v>
          </cell>
        </row>
        <row r="5736">
          <cell r="A5736" t="str">
            <v>06</v>
          </cell>
          <cell r="B5736" t="str">
            <v>20</v>
          </cell>
          <cell r="C5736" t="str">
            <v>06</v>
          </cell>
          <cell r="D5736" t="str">
            <v>4</v>
          </cell>
          <cell r="E5736" t="str">
            <v>0013</v>
          </cell>
          <cell r="F5736" t="str">
            <v>0010</v>
          </cell>
          <cell r="G5736" t="str">
            <v>52199</v>
          </cell>
          <cell r="H5736" t="str">
            <v>代扣收视费</v>
          </cell>
          <cell r="I5736" t="b">
            <v>1</v>
          </cell>
          <cell r="J5736">
            <v>-1020</v>
          </cell>
          <cell r="K5736">
            <v>0</v>
          </cell>
          <cell r="L5736">
            <v>0</v>
          </cell>
        </row>
        <row r="5737">
          <cell r="A5737" t="str">
            <v>06</v>
          </cell>
          <cell r="B5737" t="str">
            <v>16</v>
          </cell>
          <cell r="C5737" t="str">
            <v>06</v>
          </cell>
          <cell r="D5737" t="str">
            <v>5</v>
          </cell>
          <cell r="E5737" t="str">
            <v>0004</v>
          </cell>
          <cell r="F5737" t="str">
            <v>0002</v>
          </cell>
          <cell r="G5737" t="str">
            <v>52199</v>
          </cell>
          <cell r="H5737" t="str">
            <v>转收贴息款</v>
          </cell>
          <cell r="I5737" t="b">
            <v>1</v>
          </cell>
          <cell r="J5737">
            <v>-188739.81</v>
          </cell>
          <cell r="K5737">
            <v>0</v>
          </cell>
          <cell r="L5737">
            <v>0</v>
          </cell>
        </row>
        <row r="5738">
          <cell r="A5738" t="str">
            <v>06</v>
          </cell>
          <cell r="B5738" t="str">
            <v>16</v>
          </cell>
          <cell r="C5738" t="str">
            <v>06</v>
          </cell>
          <cell r="D5738" t="str">
            <v>5</v>
          </cell>
          <cell r="E5738" t="str">
            <v>0004</v>
          </cell>
          <cell r="F5738" t="str">
            <v>0003</v>
          </cell>
          <cell r="G5738" t="str">
            <v>52199</v>
          </cell>
          <cell r="H5738" t="str">
            <v>转付场地使用费</v>
          </cell>
          <cell r="I5738" t="b">
            <v>1</v>
          </cell>
          <cell r="J5738">
            <v>48640</v>
          </cell>
          <cell r="K5738">
            <v>0</v>
          </cell>
          <cell r="L5738">
            <v>0</v>
          </cell>
        </row>
        <row r="5739">
          <cell r="A5739" t="str">
            <v>06</v>
          </cell>
          <cell r="B5739" t="str">
            <v>20</v>
          </cell>
          <cell r="C5739" t="str">
            <v>06</v>
          </cell>
          <cell r="D5739" t="str">
            <v>5</v>
          </cell>
          <cell r="E5739" t="str">
            <v>0009</v>
          </cell>
          <cell r="F5739" t="str">
            <v>0010</v>
          </cell>
          <cell r="G5739" t="str">
            <v>52199</v>
          </cell>
          <cell r="H5739" t="str">
            <v>转5-6月份货款</v>
          </cell>
          <cell r="I5739" t="b">
            <v>1</v>
          </cell>
          <cell r="J5739">
            <v>414</v>
          </cell>
          <cell r="K5739">
            <v>0</v>
          </cell>
          <cell r="L5739">
            <v>0</v>
          </cell>
        </row>
        <row r="5740">
          <cell r="A5740" t="str">
            <v>06</v>
          </cell>
          <cell r="B5740" t="str">
            <v>23</v>
          </cell>
          <cell r="C5740" t="str">
            <v>06</v>
          </cell>
          <cell r="D5740" t="str">
            <v>5</v>
          </cell>
          <cell r="E5740" t="str">
            <v>0011</v>
          </cell>
          <cell r="F5740" t="str">
            <v>0001</v>
          </cell>
          <cell r="G5740" t="str">
            <v>52199</v>
          </cell>
          <cell r="H5740" t="str">
            <v>转代扣6月份教育附加费</v>
          </cell>
          <cell r="I5740" t="b">
            <v>1</v>
          </cell>
          <cell r="J5740">
            <v>-1229</v>
          </cell>
          <cell r="K5740">
            <v>0</v>
          </cell>
          <cell r="L5740">
            <v>0</v>
          </cell>
        </row>
        <row r="5741">
          <cell r="A5741" t="str">
            <v>06</v>
          </cell>
          <cell r="B5741" t="str">
            <v>23</v>
          </cell>
          <cell r="C5741" t="str">
            <v>06</v>
          </cell>
          <cell r="D5741" t="str">
            <v>5</v>
          </cell>
          <cell r="E5741" t="str">
            <v>0011</v>
          </cell>
          <cell r="F5741" t="str">
            <v>0003</v>
          </cell>
          <cell r="G5741" t="str">
            <v>52199</v>
          </cell>
          <cell r="H5741" t="str">
            <v>转代扣6月份收视费</v>
          </cell>
          <cell r="I5741" t="b">
            <v>1</v>
          </cell>
          <cell r="J5741">
            <v>-1011.5</v>
          </cell>
          <cell r="K5741">
            <v>0</v>
          </cell>
          <cell r="L5741">
            <v>0</v>
          </cell>
        </row>
        <row r="5742">
          <cell r="A5742" t="str">
            <v>06</v>
          </cell>
          <cell r="B5742" t="str">
            <v>25</v>
          </cell>
          <cell r="C5742" t="str">
            <v>06</v>
          </cell>
          <cell r="D5742" t="str">
            <v>5</v>
          </cell>
          <cell r="E5742" t="str">
            <v>0028</v>
          </cell>
          <cell r="F5742" t="str">
            <v>0016</v>
          </cell>
          <cell r="G5742" t="str">
            <v>52199</v>
          </cell>
          <cell r="H5742" t="str">
            <v>结转本月管理费用</v>
          </cell>
          <cell r="I5742" t="b">
            <v>0</v>
          </cell>
          <cell r="J5742">
            <v>-133713.81</v>
          </cell>
          <cell r="K5742">
            <v>0</v>
          </cell>
          <cell r="L5742">
            <v>0</v>
          </cell>
        </row>
        <row r="5743">
          <cell r="A5743" t="str">
            <v>07</v>
          </cell>
          <cell r="B5743" t="str">
            <v>01</v>
          </cell>
          <cell r="C5743" t="str">
            <v>07</v>
          </cell>
          <cell r="D5743" t="str">
            <v>1</v>
          </cell>
          <cell r="E5743" t="str">
            <v>0001</v>
          </cell>
          <cell r="F5743" t="str">
            <v>0002</v>
          </cell>
          <cell r="G5743" t="str">
            <v>52199</v>
          </cell>
          <cell r="H5743" t="str">
            <v>收报销医药费</v>
          </cell>
          <cell r="I5743" t="b">
            <v>1</v>
          </cell>
          <cell r="J5743">
            <v>-151.6</v>
          </cell>
          <cell r="K5743">
            <v>0</v>
          </cell>
          <cell r="L5743">
            <v>0</v>
          </cell>
        </row>
        <row r="5744">
          <cell r="A5744" t="str">
            <v>07</v>
          </cell>
          <cell r="B5744" t="str">
            <v>05</v>
          </cell>
          <cell r="C5744" t="str">
            <v>07</v>
          </cell>
          <cell r="D5744" t="str">
            <v>2</v>
          </cell>
          <cell r="E5744" t="str">
            <v>0003</v>
          </cell>
          <cell r="F5744" t="str">
            <v>0001</v>
          </cell>
          <cell r="G5744" t="str">
            <v>52199</v>
          </cell>
          <cell r="H5744" t="str">
            <v>付青苗费.胶卷.扩片等款</v>
          </cell>
          <cell r="I5744" t="b">
            <v>1</v>
          </cell>
          <cell r="J5744">
            <v>13932.3</v>
          </cell>
          <cell r="K5744">
            <v>0</v>
          </cell>
          <cell r="L5744">
            <v>0</v>
          </cell>
        </row>
        <row r="5745">
          <cell r="A5745" t="str">
            <v>07</v>
          </cell>
          <cell r="B5745" t="str">
            <v>20</v>
          </cell>
          <cell r="C5745" t="str">
            <v>07</v>
          </cell>
          <cell r="D5745" t="str">
            <v>2</v>
          </cell>
          <cell r="E5745" t="str">
            <v>0016</v>
          </cell>
          <cell r="F5745" t="str">
            <v>0004</v>
          </cell>
          <cell r="G5745" t="str">
            <v>52199</v>
          </cell>
          <cell r="H5745" t="str">
            <v>付门牌款等</v>
          </cell>
          <cell r="I5745" t="b">
            <v>1</v>
          </cell>
          <cell r="J5745">
            <v>2613.1</v>
          </cell>
          <cell r="K5745">
            <v>0</v>
          </cell>
          <cell r="L5745">
            <v>0</v>
          </cell>
        </row>
        <row r="5746">
          <cell r="A5746" t="str">
            <v>07</v>
          </cell>
          <cell r="B5746" t="str">
            <v>12</v>
          </cell>
          <cell r="C5746" t="str">
            <v>07</v>
          </cell>
          <cell r="D5746" t="str">
            <v>4</v>
          </cell>
          <cell r="E5746" t="str">
            <v>0009</v>
          </cell>
          <cell r="F5746" t="str">
            <v>0006</v>
          </cell>
          <cell r="G5746" t="str">
            <v>52199</v>
          </cell>
          <cell r="H5746" t="str">
            <v>代扣教育附加费</v>
          </cell>
          <cell r="I5746" t="b">
            <v>1</v>
          </cell>
          <cell r="J5746">
            <v>-839.6</v>
          </cell>
          <cell r="K5746">
            <v>0</v>
          </cell>
          <cell r="L5746">
            <v>0</v>
          </cell>
        </row>
        <row r="5747">
          <cell r="A5747" t="str">
            <v>07</v>
          </cell>
          <cell r="B5747" t="str">
            <v>12</v>
          </cell>
          <cell r="C5747" t="str">
            <v>07</v>
          </cell>
          <cell r="D5747" t="str">
            <v>4</v>
          </cell>
          <cell r="E5747" t="str">
            <v>0009</v>
          </cell>
          <cell r="F5747" t="str">
            <v>0009</v>
          </cell>
          <cell r="G5747" t="str">
            <v>52199</v>
          </cell>
          <cell r="H5747" t="str">
            <v>代扣收视费</v>
          </cell>
          <cell r="I5747" t="b">
            <v>1</v>
          </cell>
          <cell r="J5747">
            <v>-1000</v>
          </cell>
          <cell r="K5747">
            <v>0</v>
          </cell>
          <cell r="L5747">
            <v>0</v>
          </cell>
        </row>
        <row r="5748">
          <cell r="A5748" t="str">
            <v>07</v>
          </cell>
          <cell r="B5748" t="str">
            <v>15</v>
          </cell>
          <cell r="C5748" t="str">
            <v>07</v>
          </cell>
          <cell r="D5748" t="str">
            <v>4</v>
          </cell>
          <cell r="E5748" t="str">
            <v>0013</v>
          </cell>
          <cell r="F5748" t="str">
            <v>0001</v>
          </cell>
          <cell r="G5748" t="str">
            <v>52199</v>
          </cell>
          <cell r="H5748" t="str">
            <v>付4-6月份收视费</v>
          </cell>
          <cell r="I5748" t="b">
            <v>1</v>
          </cell>
          <cell r="J5748">
            <v>6156</v>
          </cell>
          <cell r="K5748">
            <v>0</v>
          </cell>
          <cell r="L5748">
            <v>0</v>
          </cell>
        </row>
        <row r="5749">
          <cell r="A5749" t="str">
            <v>07</v>
          </cell>
          <cell r="B5749" t="str">
            <v>24</v>
          </cell>
          <cell r="C5749" t="str">
            <v>07</v>
          </cell>
          <cell r="D5749" t="str">
            <v>5</v>
          </cell>
          <cell r="E5749" t="str">
            <v>0010</v>
          </cell>
          <cell r="F5749" t="str">
            <v>0001</v>
          </cell>
          <cell r="G5749" t="str">
            <v>52199</v>
          </cell>
          <cell r="H5749" t="str">
            <v>转代扣7月份教育附加费</v>
          </cell>
          <cell r="I5749" t="b">
            <v>1</v>
          </cell>
          <cell r="J5749">
            <v>-1194.7</v>
          </cell>
          <cell r="K5749">
            <v>0</v>
          </cell>
          <cell r="L5749">
            <v>0</v>
          </cell>
        </row>
        <row r="5750">
          <cell r="A5750" t="str">
            <v>07</v>
          </cell>
          <cell r="B5750" t="str">
            <v>24</v>
          </cell>
          <cell r="C5750" t="str">
            <v>07</v>
          </cell>
          <cell r="D5750" t="str">
            <v>5</v>
          </cell>
          <cell r="E5750" t="str">
            <v>0010</v>
          </cell>
          <cell r="F5750" t="str">
            <v>0003</v>
          </cell>
          <cell r="G5750" t="str">
            <v>52199</v>
          </cell>
          <cell r="H5750" t="str">
            <v>转代扣7月份收视费</v>
          </cell>
          <cell r="I5750" t="b">
            <v>1</v>
          </cell>
          <cell r="J5750">
            <v>-980</v>
          </cell>
          <cell r="K5750">
            <v>0</v>
          </cell>
          <cell r="L5750">
            <v>0</v>
          </cell>
        </row>
        <row r="5751">
          <cell r="A5751" t="str">
            <v>07</v>
          </cell>
          <cell r="B5751" t="str">
            <v>29</v>
          </cell>
          <cell r="C5751" t="str">
            <v>07</v>
          </cell>
          <cell r="D5751" t="str">
            <v>5</v>
          </cell>
          <cell r="E5751" t="str">
            <v>0044</v>
          </cell>
          <cell r="F5751" t="str">
            <v>0017</v>
          </cell>
          <cell r="G5751" t="str">
            <v>52199</v>
          </cell>
          <cell r="H5751" t="str">
            <v>结转本月管理费用</v>
          </cell>
          <cell r="I5751" t="b">
            <v>0</v>
          </cell>
          <cell r="J5751">
            <v>18535.5</v>
          </cell>
          <cell r="K5751">
            <v>0</v>
          </cell>
          <cell r="L5751">
            <v>0</v>
          </cell>
        </row>
        <row r="5752">
          <cell r="A5752" t="str">
            <v>08</v>
          </cell>
          <cell r="B5752" t="str">
            <v>05</v>
          </cell>
          <cell r="C5752" t="str">
            <v>08</v>
          </cell>
          <cell r="D5752" t="str">
            <v>2</v>
          </cell>
          <cell r="E5752" t="str">
            <v>0012</v>
          </cell>
          <cell r="F5752" t="str">
            <v>0002</v>
          </cell>
          <cell r="G5752" t="str">
            <v>52199</v>
          </cell>
          <cell r="H5752" t="str">
            <v>购胶卷.扩片等</v>
          </cell>
          <cell r="I5752" t="b">
            <v>1</v>
          </cell>
          <cell r="J5752">
            <v>3489.7</v>
          </cell>
          <cell r="K5752">
            <v>0</v>
          </cell>
          <cell r="L5752">
            <v>0</v>
          </cell>
        </row>
        <row r="5753">
          <cell r="A5753" t="str">
            <v>08</v>
          </cell>
          <cell r="B5753" t="str">
            <v>19</v>
          </cell>
          <cell r="C5753" t="str">
            <v>08</v>
          </cell>
          <cell r="D5753" t="str">
            <v>2</v>
          </cell>
          <cell r="E5753" t="str">
            <v>0019</v>
          </cell>
          <cell r="F5753" t="str">
            <v>0001</v>
          </cell>
          <cell r="G5753" t="str">
            <v>52199</v>
          </cell>
          <cell r="H5753" t="str">
            <v>购申报表等</v>
          </cell>
          <cell r="I5753" t="b">
            <v>1</v>
          </cell>
          <cell r="J5753">
            <v>2154.1</v>
          </cell>
          <cell r="K5753">
            <v>0</v>
          </cell>
          <cell r="L5753">
            <v>0</v>
          </cell>
        </row>
        <row r="5754">
          <cell r="A5754" t="str">
            <v>08</v>
          </cell>
          <cell r="B5754" t="str">
            <v>05</v>
          </cell>
          <cell r="C5754" t="str">
            <v>08</v>
          </cell>
          <cell r="D5754" t="str">
            <v>4</v>
          </cell>
          <cell r="E5754" t="str">
            <v>0008</v>
          </cell>
          <cell r="F5754" t="str">
            <v>0002</v>
          </cell>
          <cell r="G5754" t="str">
            <v>52199</v>
          </cell>
          <cell r="H5754" t="str">
            <v>付审计费.清洗费</v>
          </cell>
          <cell r="I5754" t="b">
            <v>1</v>
          </cell>
          <cell r="J5754">
            <v>85311.28</v>
          </cell>
          <cell r="K5754">
            <v>0</v>
          </cell>
          <cell r="L5754">
            <v>0</v>
          </cell>
        </row>
        <row r="5755">
          <cell r="A5755" t="str">
            <v>08</v>
          </cell>
          <cell r="B5755" t="str">
            <v>08</v>
          </cell>
          <cell r="C5755" t="str">
            <v>08</v>
          </cell>
          <cell r="D5755" t="str">
            <v>4</v>
          </cell>
          <cell r="E5755" t="str">
            <v>0015</v>
          </cell>
          <cell r="F5755" t="str">
            <v>0004</v>
          </cell>
          <cell r="G5755" t="str">
            <v>52199</v>
          </cell>
          <cell r="H5755" t="str">
            <v>代扣教育附加费</v>
          </cell>
          <cell r="I5755" t="b">
            <v>1</v>
          </cell>
          <cell r="J5755">
            <v>-368.5</v>
          </cell>
          <cell r="K5755">
            <v>0</v>
          </cell>
          <cell r="L5755">
            <v>0</v>
          </cell>
        </row>
        <row r="5756">
          <cell r="A5756" t="str">
            <v>08</v>
          </cell>
          <cell r="B5756" t="str">
            <v>08</v>
          </cell>
          <cell r="C5756" t="str">
            <v>08</v>
          </cell>
          <cell r="D5756" t="str">
            <v>4</v>
          </cell>
          <cell r="E5756" t="str">
            <v>0015</v>
          </cell>
          <cell r="F5756" t="str">
            <v>0007</v>
          </cell>
          <cell r="G5756" t="str">
            <v>52199</v>
          </cell>
          <cell r="H5756" t="str">
            <v>代扣收视费</v>
          </cell>
          <cell r="I5756" t="b">
            <v>1</v>
          </cell>
          <cell r="J5756">
            <v>-272</v>
          </cell>
          <cell r="K5756">
            <v>0</v>
          </cell>
          <cell r="L5756">
            <v>0</v>
          </cell>
        </row>
        <row r="5757">
          <cell r="A5757" t="str">
            <v>08</v>
          </cell>
          <cell r="B5757" t="str">
            <v>15</v>
          </cell>
          <cell r="C5757" t="str">
            <v>08</v>
          </cell>
          <cell r="D5757" t="str">
            <v>4</v>
          </cell>
          <cell r="E5757" t="str">
            <v>0019</v>
          </cell>
          <cell r="F5757" t="str">
            <v>0001</v>
          </cell>
          <cell r="G5757" t="str">
            <v>52199</v>
          </cell>
          <cell r="H5757" t="str">
            <v>付检测费等</v>
          </cell>
          <cell r="I5757" t="b">
            <v>1</v>
          </cell>
          <cell r="J5757">
            <v>7730</v>
          </cell>
          <cell r="K5757">
            <v>0</v>
          </cell>
          <cell r="L5757">
            <v>0</v>
          </cell>
        </row>
        <row r="5758">
          <cell r="A5758" t="str">
            <v>08</v>
          </cell>
          <cell r="B5758" t="str">
            <v>08</v>
          </cell>
          <cell r="C5758" t="str">
            <v>08</v>
          </cell>
          <cell r="D5758" t="str">
            <v>5</v>
          </cell>
          <cell r="E5758" t="str">
            <v>0003</v>
          </cell>
          <cell r="F5758" t="str">
            <v>0001</v>
          </cell>
          <cell r="G5758" t="str">
            <v>52199</v>
          </cell>
          <cell r="H5758" t="str">
            <v>转律师费</v>
          </cell>
          <cell r="I5758" t="b">
            <v>1</v>
          </cell>
          <cell r="J5758">
            <v>539500</v>
          </cell>
          <cell r="K5758">
            <v>0</v>
          </cell>
          <cell r="L5758">
            <v>0</v>
          </cell>
        </row>
        <row r="5759">
          <cell r="A5759" t="str">
            <v>08</v>
          </cell>
          <cell r="B5759" t="str">
            <v>24</v>
          </cell>
          <cell r="C5759" t="str">
            <v>08</v>
          </cell>
          <cell r="D5759" t="str">
            <v>5</v>
          </cell>
          <cell r="E5759" t="str">
            <v>0010</v>
          </cell>
          <cell r="F5759" t="str">
            <v>0001</v>
          </cell>
          <cell r="G5759" t="str">
            <v>52199</v>
          </cell>
          <cell r="H5759" t="str">
            <v>转代扣本月教育附加费及管理费</v>
          </cell>
          <cell r="I5759" t="b">
            <v>1</v>
          </cell>
          <cell r="J5759">
            <v>-1631.6</v>
          </cell>
          <cell r="K5759">
            <v>0</v>
          </cell>
          <cell r="L5759">
            <v>0</v>
          </cell>
        </row>
        <row r="5760">
          <cell r="A5760" t="str">
            <v>08</v>
          </cell>
          <cell r="B5760" t="str">
            <v>24</v>
          </cell>
          <cell r="C5760" t="str">
            <v>08</v>
          </cell>
          <cell r="D5760" t="str">
            <v>5</v>
          </cell>
          <cell r="E5760" t="str">
            <v>0010</v>
          </cell>
          <cell r="F5760" t="str">
            <v>0003</v>
          </cell>
          <cell r="G5760" t="str">
            <v>52199</v>
          </cell>
          <cell r="H5760" t="str">
            <v>转代扣本月收视费</v>
          </cell>
          <cell r="I5760" t="b">
            <v>1</v>
          </cell>
          <cell r="J5760">
            <v>-1295</v>
          </cell>
          <cell r="K5760">
            <v>0</v>
          </cell>
          <cell r="L5760">
            <v>0</v>
          </cell>
        </row>
        <row r="5761">
          <cell r="A5761" t="str">
            <v>08</v>
          </cell>
          <cell r="B5761" t="str">
            <v>31</v>
          </cell>
          <cell r="C5761" t="str">
            <v>08</v>
          </cell>
          <cell r="D5761" t="str">
            <v>5</v>
          </cell>
          <cell r="E5761" t="str">
            <v>0035</v>
          </cell>
          <cell r="F5761" t="str">
            <v>0018</v>
          </cell>
          <cell r="G5761" t="str">
            <v>52199</v>
          </cell>
          <cell r="H5761" t="str">
            <v>结转本月管理费用</v>
          </cell>
          <cell r="I5761" t="b">
            <v>0</v>
          </cell>
          <cell r="J5761">
            <v>634617.98</v>
          </cell>
          <cell r="K5761">
            <v>0</v>
          </cell>
          <cell r="L5761">
            <v>0</v>
          </cell>
        </row>
        <row r="5762">
          <cell r="A5762" t="str">
            <v>09</v>
          </cell>
          <cell r="B5762" t="str">
            <v>05</v>
          </cell>
          <cell r="C5762" t="str">
            <v>09</v>
          </cell>
          <cell r="D5762" t="str">
            <v>2</v>
          </cell>
          <cell r="E5762" t="str">
            <v>0004</v>
          </cell>
          <cell r="F5762" t="str">
            <v>0002</v>
          </cell>
          <cell r="G5762" t="str">
            <v>52199</v>
          </cell>
          <cell r="H5762" t="str">
            <v>付培训费.会务费等</v>
          </cell>
          <cell r="I5762" t="b">
            <v>1</v>
          </cell>
          <cell r="J5762">
            <v>7842.51</v>
          </cell>
          <cell r="K5762">
            <v>0</v>
          </cell>
          <cell r="L5762">
            <v>0</v>
          </cell>
        </row>
        <row r="5763">
          <cell r="A5763" t="str">
            <v>09</v>
          </cell>
          <cell r="B5763" t="str">
            <v>06</v>
          </cell>
          <cell r="C5763" t="str">
            <v>09</v>
          </cell>
          <cell r="D5763" t="str">
            <v>4</v>
          </cell>
          <cell r="E5763" t="str">
            <v>0010</v>
          </cell>
          <cell r="F5763" t="str">
            <v>0005</v>
          </cell>
          <cell r="G5763" t="str">
            <v>52199</v>
          </cell>
          <cell r="H5763" t="str">
            <v>代扣本月教育附加费</v>
          </cell>
          <cell r="I5763" t="b">
            <v>1</v>
          </cell>
          <cell r="J5763">
            <v>-330.4</v>
          </cell>
          <cell r="K5763">
            <v>0</v>
          </cell>
          <cell r="L5763">
            <v>0</v>
          </cell>
        </row>
        <row r="5764">
          <cell r="A5764" t="str">
            <v>09</v>
          </cell>
          <cell r="B5764" t="str">
            <v>06</v>
          </cell>
          <cell r="C5764" t="str">
            <v>09</v>
          </cell>
          <cell r="D5764" t="str">
            <v>4</v>
          </cell>
          <cell r="E5764" t="str">
            <v>0010</v>
          </cell>
          <cell r="F5764" t="str">
            <v>0008</v>
          </cell>
          <cell r="G5764" t="str">
            <v>52199</v>
          </cell>
          <cell r="H5764" t="str">
            <v>代扣本月收视费</v>
          </cell>
          <cell r="I5764" t="b">
            <v>1</v>
          </cell>
          <cell r="J5764">
            <v>-300</v>
          </cell>
          <cell r="K5764">
            <v>0</v>
          </cell>
          <cell r="L5764">
            <v>0</v>
          </cell>
        </row>
        <row r="5765">
          <cell r="A5765" t="str">
            <v>09</v>
          </cell>
          <cell r="B5765" t="str">
            <v>25</v>
          </cell>
          <cell r="C5765" t="str">
            <v>09</v>
          </cell>
          <cell r="D5765" t="str">
            <v>5</v>
          </cell>
          <cell r="E5765" t="str">
            <v>0017</v>
          </cell>
          <cell r="F5765" t="str">
            <v>0001</v>
          </cell>
          <cell r="G5765" t="str">
            <v>52199</v>
          </cell>
          <cell r="H5765" t="str">
            <v>转代扣本月教育附加费</v>
          </cell>
          <cell r="I5765" t="b">
            <v>1</v>
          </cell>
          <cell r="J5765">
            <v>-1368.9</v>
          </cell>
          <cell r="K5765">
            <v>0</v>
          </cell>
          <cell r="L5765">
            <v>0</v>
          </cell>
        </row>
        <row r="5766">
          <cell r="A5766" t="str">
            <v>09</v>
          </cell>
          <cell r="B5766" t="str">
            <v>25</v>
          </cell>
          <cell r="C5766" t="str">
            <v>09</v>
          </cell>
          <cell r="D5766" t="str">
            <v>5</v>
          </cell>
          <cell r="E5766" t="str">
            <v>0017</v>
          </cell>
          <cell r="F5766" t="str">
            <v>0003</v>
          </cell>
          <cell r="G5766" t="str">
            <v>52199</v>
          </cell>
          <cell r="H5766" t="str">
            <v>转代扣本月收视费</v>
          </cell>
          <cell r="I5766" t="b">
            <v>1</v>
          </cell>
          <cell r="J5766">
            <v>-1318.5</v>
          </cell>
          <cell r="K5766">
            <v>0</v>
          </cell>
          <cell r="L5766">
            <v>0</v>
          </cell>
        </row>
        <row r="5767">
          <cell r="A5767" t="str">
            <v>09</v>
          </cell>
          <cell r="B5767" t="str">
            <v>30</v>
          </cell>
          <cell r="C5767" t="str">
            <v>09</v>
          </cell>
          <cell r="D5767" t="str">
            <v>5</v>
          </cell>
          <cell r="E5767" t="str">
            <v>0040</v>
          </cell>
          <cell r="F5767" t="str">
            <v>0018</v>
          </cell>
          <cell r="G5767" t="str">
            <v>52199</v>
          </cell>
          <cell r="H5767" t="str">
            <v>结转本月管理费用</v>
          </cell>
          <cell r="I5767" t="b">
            <v>0</v>
          </cell>
          <cell r="J5767">
            <v>4524.71</v>
          </cell>
          <cell r="K5767">
            <v>0</v>
          </cell>
          <cell r="L5767">
            <v>0</v>
          </cell>
        </row>
        <row r="5768">
          <cell r="A5768" t="str">
            <v>10</v>
          </cell>
          <cell r="B5768" t="str">
            <v>13</v>
          </cell>
          <cell r="C5768" t="str">
            <v>10</v>
          </cell>
          <cell r="D5768" t="str">
            <v>1</v>
          </cell>
          <cell r="E5768" t="str">
            <v>0004</v>
          </cell>
          <cell r="F5768" t="str">
            <v>0004</v>
          </cell>
          <cell r="G5768" t="str">
            <v>52199</v>
          </cell>
          <cell r="H5768" t="str">
            <v>收木头款</v>
          </cell>
          <cell r="I5768" t="b">
            <v>1</v>
          </cell>
          <cell r="J5768">
            <v>-10</v>
          </cell>
          <cell r="K5768">
            <v>0</v>
          </cell>
          <cell r="L5768">
            <v>0</v>
          </cell>
        </row>
        <row r="5769">
          <cell r="A5769" t="str">
            <v>10</v>
          </cell>
          <cell r="B5769" t="str">
            <v>08</v>
          </cell>
          <cell r="C5769" t="str">
            <v>10</v>
          </cell>
          <cell r="D5769" t="str">
            <v>2</v>
          </cell>
          <cell r="E5769" t="str">
            <v>0007</v>
          </cell>
          <cell r="F5769" t="str">
            <v>0002</v>
          </cell>
          <cell r="G5769" t="str">
            <v>52199</v>
          </cell>
          <cell r="H5769" t="str">
            <v>付土地登记费.美术装饰款等</v>
          </cell>
          <cell r="I5769" t="b">
            <v>1</v>
          </cell>
          <cell r="J5769">
            <v>8493.2999999999993</v>
          </cell>
          <cell r="K5769">
            <v>0</v>
          </cell>
          <cell r="L5769">
            <v>0</v>
          </cell>
        </row>
        <row r="5770">
          <cell r="A5770" t="str">
            <v>10</v>
          </cell>
          <cell r="B5770" t="str">
            <v>12</v>
          </cell>
          <cell r="C5770" t="str">
            <v>10</v>
          </cell>
          <cell r="D5770" t="str">
            <v>2</v>
          </cell>
          <cell r="E5770" t="str">
            <v>0013</v>
          </cell>
          <cell r="F5770" t="str">
            <v>0001</v>
          </cell>
          <cell r="G5770" t="str">
            <v>52199</v>
          </cell>
          <cell r="H5770" t="str">
            <v>购卫生箱等</v>
          </cell>
          <cell r="I5770" t="b">
            <v>1</v>
          </cell>
          <cell r="J5770">
            <v>5077</v>
          </cell>
          <cell r="K5770">
            <v>0</v>
          </cell>
          <cell r="L5770">
            <v>0</v>
          </cell>
        </row>
        <row r="5771">
          <cell r="A5771" t="str">
            <v>10</v>
          </cell>
          <cell r="B5771" t="str">
            <v>21</v>
          </cell>
          <cell r="C5771" t="str">
            <v>10</v>
          </cell>
          <cell r="D5771" t="str">
            <v>2</v>
          </cell>
          <cell r="E5771" t="str">
            <v>0016</v>
          </cell>
          <cell r="F5771" t="str">
            <v>0001</v>
          </cell>
          <cell r="G5771" t="str">
            <v>52199</v>
          </cell>
          <cell r="H5771" t="str">
            <v>付会务费等</v>
          </cell>
          <cell r="I5771" t="b">
            <v>1</v>
          </cell>
          <cell r="J5771">
            <v>30495.599999999999</v>
          </cell>
          <cell r="K5771">
            <v>0</v>
          </cell>
          <cell r="L5771">
            <v>0</v>
          </cell>
        </row>
        <row r="5772">
          <cell r="A5772" t="str">
            <v>10</v>
          </cell>
          <cell r="B5772" t="str">
            <v>01</v>
          </cell>
          <cell r="C5772" t="str">
            <v>10</v>
          </cell>
          <cell r="D5772" t="str">
            <v>4</v>
          </cell>
          <cell r="E5772" t="str">
            <v>0003</v>
          </cell>
          <cell r="F5772" t="str">
            <v>0001</v>
          </cell>
          <cell r="G5772" t="str">
            <v>52199</v>
          </cell>
          <cell r="H5772" t="str">
            <v>付决算手续费.土地评估费.登记费</v>
          </cell>
          <cell r="I5772" t="b">
            <v>1</v>
          </cell>
          <cell r="J5772">
            <v>35551</v>
          </cell>
          <cell r="K5772">
            <v>0</v>
          </cell>
          <cell r="L5772">
            <v>0</v>
          </cell>
        </row>
        <row r="5773">
          <cell r="A5773" t="str">
            <v>10</v>
          </cell>
          <cell r="B5773" t="str">
            <v>05</v>
          </cell>
          <cell r="C5773" t="str">
            <v>10</v>
          </cell>
          <cell r="D5773" t="str">
            <v>4</v>
          </cell>
          <cell r="E5773" t="str">
            <v>0007</v>
          </cell>
          <cell r="F5773" t="str">
            <v>0001</v>
          </cell>
          <cell r="G5773" t="str">
            <v>52199</v>
          </cell>
          <cell r="H5773" t="str">
            <v>付教育附加费等</v>
          </cell>
          <cell r="I5773" t="b">
            <v>1</v>
          </cell>
          <cell r="J5773">
            <v>13730.9</v>
          </cell>
          <cell r="K5773">
            <v>0</v>
          </cell>
          <cell r="L5773">
            <v>0</v>
          </cell>
        </row>
        <row r="5774">
          <cell r="A5774" t="str">
            <v>10</v>
          </cell>
          <cell r="B5774" t="str">
            <v>22</v>
          </cell>
          <cell r="C5774" t="str">
            <v>10</v>
          </cell>
          <cell r="D5774" t="str">
            <v>4</v>
          </cell>
          <cell r="E5774" t="str">
            <v>0025</v>
          </cell>
          <cell r="F5774" t="str">
            <v>0008</v>
          </cell>
          <cell r="G5774" t="str">
            <v>52199</v>
          </cell>
          <cell r="H5774" t="str">
            <v>代扣收视费</v>
          </cell>
          <cell r="I5774" t="b">
            <v>1</v>
          </cell>
          <cell r="J5774">
            <v>-300</v>
          </cell>
          <cell r="K5774">
            <v>0</v>
          </cell>
          <cell r="L5774">
            <v>0</v>
          </cell>
        </row>
        <row r="5775">
          <cell r="A5775" t="str">
            <v>10</v>
          </cell>
          <cell r="B5775" t="str">
            <v>24</v>
          </cell>
          <cell r="C5775" t="str">
            <v>10</v>
          </cell>
          <cell r="D5775" t="str">
            <v>5</v>
          </cell>
          <cell r="E5775" t="str">
            <v>0001</v>
          </cell>
          <cell r="F5775" t="str">
            <v>0001</v>
          </cell>
          <cell r="G5775" t="str">
            <v>52199</v>
          </cell>
          <cell r="H5775" t="str">
            <v>转报销会务费及其他费用</v>
          </cell>
          <cell r="I5775" t="b">
            <v>1</v>
          </cell>
          <cell r="J5775">
            <v>1068.4000000000001</v>
          </cell>
          <cell r="K5775">
            <v>0</v>
          </cell>
          <cell r="L5775">
            <v>0</v>
          </cell>
        </row>
        <row r="5776">
          <cell r="A5776" t="str">
            <v>10</v>
          </cell>
          <cell r="B5776" t="str">
            <v>26</v>
          </cell>
          <cell r="C5776" t="str">
            <v>10</v>
          </cell>
          <cell r="D5776" t="str">
            <v>5</v>
          </cell>
          <cell r="E5776" t="str">
            <v>0016</v>
          </cell>
          <cell r="F5776" t="str">
            <v>0002</v>
          </cell>
          <cell r="G5776" t="str">
            <v>52199</v>
          </cell>
          <cell r="H5776" t="str">
            <v>转代扣本月收视费</v>
          </cell>
          <cell r="I5776" t="b">
            <v>1</v>
          </cell>
          <cell r="J5776">
            <v>-1300</v>
          </cell>
          <cell r="K5776">
            <v>0</v>
          </cell>
          <cell r="L5776">
            <v>0</v>
          </cell>
        </row>
        <row r="5777">
          <cell r="A5777" t="str">
            <v>10</v>
          </cell>
          <cell r="B5777" t="str">
            <v>30</v>
          </cell>
          <cell r="C5777" t="str">
            <v>10</v>
          </cell>
          <cell r="D5777" t="str">
            <v>5</v>
          </cell>
          <cell r="E5777" t="str">
            <v>0034</v>
          </cell>
          <cell r="F5777" t="str">
            <v>0019</v>
          </cell>
          <cell r="G5777" t="str">
            <v>52199</v>
          </cell>
          <cell r="H5777" t="str">
            <v>结转本月管理费用</v>
          </cell>
          <cell r="I5777" t="b">
            <v>0</v>
          </cell>
          <cell r="J5777">
            <v>92806.2</v>
          </cell>
          <cell r="K5777">
            <v>0</v>
          </cell>
          <cell r="L5777">
            <v>0</v>
          </cell>
        </row>
        <row r="5778">
          <cell r="A5778" t="str">
            <v>11</v>
          </cell>
          <cell r="B5778" t="str">
            <v>01</v>
          </cell>
          <cell r="C5778" t="str">
            <v>11</v>
          </cell>
          <cell r="D5778" t="str">
            <v>2</v>
          </cell>
          <cell r="E5778" t="str">
            <v>0002</v>
          </cell>
          <cell r="F5778" t="str">
            <v>0001</v>
          </cell>
          <cell r="G5778" t="str">
            <v>52199</v>
          </cell>
          <cell r="H5778" t="str">
            <v>付资产评估费</v>
          </cell>
          <cell r="I5778" t="b">
            <v>1</v>
          </cell>
          <cell r="J5778">
            <v>10000</v>
          </cell>
          <cell r="K5778">
            <v>0</v>
          </cell>
          <cell r="L5778">
            <v>0</v>
          </cell>
        </row>
        <row r="5779">
          <cell r="A5779" t="str">
            <v>11</v>
          </cell>
          <cell r="B5779" t="str">
            <v>03</v>
          </cell>
          <cell r="C5779" t="str">
            <v>11</v>
          </cell>
          <cell r="D5779" t="str">
            <v>2</v>
          </cell>
          <cell r="E5779" t="str">
            <v>0003</v>
          </cell>
          <cell r="F5779" t="str">
            <v>0002</v>
          </cell>
          <cell r="G5779" t="str">
            <v>52199</v>
          </cell>
          <cell r="H5779" t="str">
            <v>付吊车费</v>
          </cell>
          <cell r="I5779" t="b">
            <v>1</v>
          </cell>
          <cell r="J5779">
            <v>320</v>
          </cell>
          <cell r="K5779">
            <v>0</v>
          </cell>
          <cell r="L5779">
            <v>0</v>
          </cell>
        </row>
        <row r="5780">
          <cell r="A5780" t="str">
            <v>11</v>
          </cell>
          <cell r="B5780" t="str">
            <v>03</v>
          </cell>
          <cell r="C5780" t="str">
            <v>11</v>
          </cell>
          <cell r="D5780" t="str">
            <v>2</v>
          </cell>
          <cell r="E5780" t="str">
            <v>0004</v>
          </cell>
          <cell r="F5780" t="str">
            <v>0001</v>
          </cell>
          <cell r="G5780" t="str">
            <v>52199</v>
          </cell>
          <cell r="H5780" t="str">
            <v>付快递费.胶卷.扩片.电脑绘画款</v>
          </cell>
          <cell r="I5780" t="b">
            <v>1</v>
          </cell>
          <cell r="J5780">
            <v>30693.9</v>
          </cell>
          <cell r="K5780">
            <v>0</v>
          </cell>
          <cell r="L5780">
            <v>0</v>
          </cell>
        </row>
        <row r="5781">
          <cell r="A5781" t="str">
            <v>11</v>
          </cell>
          <cell r="B5781" t="str">
            <v>03</v>
          </cell>
          <cell r="C5781" t="str">
            <v>11</v>
          </cell>
          <cell r="D5781" t="str">
            <v>2</v>
          </cell>
          <cell r="E5781" t="str">
            <v>0005</v>
          </cell>
          <cell r="F5781" t="str">
            <v>0001</v>
          </cell>
          <cell r="G5781" t="str">
            <v>52199</v>
          </cell>
          <cell r="H5781" t="str">
            <v>付培训费等</v>
          </cell>
          <cell r="I5781" t="b">
            <v>1</v>
          </cell>
          <cell r="J5781">
            <v>6206</v>
          </cell>
          <cell r="K5781">
            <v>0</v>
          </cell>
          <cell r="L5781">
            <v>0</v>
          </cell>
        </row>
        <row r="5782">
          <cell r="A5782" t="str">
            <v>11</v>
          </cell>
          <cell r="B5782" t="str">
            <v>18</v>
          </cell>
          <cell r="C5782" t="str">
            <v>11</v>
          </cell>
          <cell r="D5782" t="str">
            <v>2</v>
          </cell>
          <cell r="E5782" t="str">
            <v>0022</v>
          </cell>
          <cell r="F5782" t="str">
            <v>0002</v>
          </cell>
          <cell r="G5782" t="str">
            <v>52199</v>
          </cell>
          <cell r="H5782" t="str">
            <v>付快递费</v>
          </cell>
          <cell r="I5782" t="b">
            <v>1</v>
          </cell>
          <cell r="J5782">
            <v>444.8</v>
          </cell>
          <cell r="K5782">
            <v>0</v>
          </cell>
          <cell r="L5782">
            <v>0</v>
          </cell>
        </row>
        <row r="5783">
          <cell r="A5783" t="str">
            <v>11</v>
          </cell>
          <cell r="B5783" t="str">
            <v>03</v>
          </cell>
          <cell r="C5783" t="str">
            <v>11</v>
          </cell>
          <cell r="D5783" t="str">
            <v>4</v>
          </cell>
          <cell r="E5783" t="str">
            <v>0004</v>
          </cell>
          <cell r="F5783" t="str">
            <v>0001</v>
          </cell>
          <cell r="G5783" t="str">
            <v>52199</v>
          </cell>
          <cell r="H5783" t="str">
            <v>购支票.付收视费</v>
          </cell>
          <cell r="I5783" t="b">
            <v>1</v>
          </cell>
          <cell r="J5783">
            <v>6216</v>
          </cell>
          <cell r="K5783">
            <v>0</v>
          </cell>
          <cell r="L5783">
            <v>0</v>
          </cell>
        </row>
        <row r="5784">
          <cell r="A5784" t="str">
            <v>11</v>
          </cell>
          <cell r="B5784" t="str">
            <v>15</v>
          </cell>
          <cell r="C5784" t="str">
            <v>11</v>
          </cell>
          <cell r="D5784" t="str">
            <v>4</v>
          </cell>
          <cell r="E5784" t="str">
            <v>0027</v>
          </cell>
          <cell r="F5784" t="str">
            <v>0009</v>
          </cell>
          <cell r="G5784" t="str">
            <v>52199</v>
          </cell>
          <cell r="H5784" t="str">
            <v>代扣收视费</v>
          </cell>
          <cell r="I5784" t="b">
            <v>1</v>
          </cell>
          <cell r="J5784">
            <v>-255</v>
          </cell>
          <cell r="K5784">
            <v>0</v>
          </cell>
          <cell r="L5784">
            <v>0</v>
          </cell>
        </row>
        <row r="5785">
          <cell r="A5785" t="str">
            <v>11</v>
          </cell>
          <cell r="B5785" t="str">
            <v>18</v>
          </cell>
          <cell r="C5785" t="str">
            <v>11</v>
          </cell>
          <cell r="D5785" t="str">
            <v>5</v>
          </cell>
          <cell r="E5785" t="str">
            <v>0018</v>
          </cell>
          <cell r="F5785" t="str">
            <v>0002</v>
          </cell>
          <cell r="G5785" t="str">
            <v>52199</v>
          </cell>
          <cell r="H5785" t="str">
            <v>转代扣本月收视费</v>
          </cell>
          <cell r="I5785" t="b">
            <v>1</v>
          </cell>
          <cell r="J5785">
            <v>-1115</v>
          </cell>
          <cell r="K5785">
            <v>0</v>
          </cell>
          <cell r="L5785">
            <v>0</v>
          </cell>
        </row>
        <row r="5786">
          <cell r="A5786" t="str">
            <v>11</v>
          </cell>
          <cell r="B5786" t="str">
            <v>30</v>
          </cell>
          <cell r="C5786" t="str">
            <v>11</v>
          </cell>
          <cell r="D5786" t="str">
            <v>5</v>
          </cell>
          <cell r="E5786" t="str">
            <v>0037</v>
          </cell>
          <cell r="F5786" t="str">
            <v>0019</v>
          </cell>
          <cell r="G5786" t="str">
            <v>52199</v>
          </cell>
          <cell r="H5786" t="str">
            <v>结转本月管理费用</v>
          </cell>
          <cell r="I5786" t="b">
            <v>0</v>
          </cell>
          <cell r="J5786">
            <v>52510.7</v>
          </cell>
          <cell r="K5786">
            <v>0</v>
          </cell>
          <cell r="L5786">
            <v>0</v>
          </cell>
        </row>
        <row r="5787">
          <cell r="A5787" t="str">
            <v>12</v>
          </cell>
          <cell r="B5787" t="str">
            <v>10</v>
          </cell>
          <cell r="C5787" t="str">
            <v>12</v>
          </cell>
          <cell r="D5787" t="str">
            <v>2</v>
          </cell>
          <cell r="E5787" t="str">
            <v>0010</v>
          </cell>
          <cell r="F5787" t="str">
            <v>0001</v>
          </cell>
          <cell r="G5787" t="str">
            <v>52199</v>
          </cell>
          <cell r="H5787" t="str">
            <v>付企业登记费.培训费等</v>
          </cell>
          <cell r="I5787" t="b">
            <v>1</v>
          </cell>
          <cell r="J5787">
            <v>26164.7</v>
          </cell>
          <cell r="K5787">
            <v>0</v>
          </cell>
          <cell r="L5787">
            <v>0</v>
          </cell>
        </row>
        <row r="5788">
          <cell r="A5788" t="str">
            <v>12</v>
          </cell>
          <cell r="B5788" t="str">
            <v>20</v>
          </cell>
          <cell r="C5788" t="str">
            <v>12</v>
          </cell>
          <cell r="D5788" t="str">
            <v>2</v>
          </cell>
          <cell r="E5788" t="str">
            <v>0021</v>
          </cell>
          <cell r="F5788" t="str">
            <v>0001</v>
          </cell>
          <cell r="G5788" t="str">
            <v>52199</v>
          </cell>
          <cell r="H5788" t="str">
            <v>付海运保险费</v>
          </cell>
          <cell r="I5788" t="b">
            <v>1</v>
          </cell>
          <cell r="J5788">
            <v>778</v>
          </cell>
          <cell r="K5788">
            <v>0</v>
          </cell>
          <cell r="L5788">
            <v>0</v>
          </cell>
        </row>
        <row r="5789">
          <cell r="A5789" t="str">
            <v>12</v>
          </cell>
          <cell r="B5789" t="str">
            <v>22</v>
          </cell>
          <cell r="C5789" t="str">
            <v>12</v>
          </cell>
          <cell r="D5789" t="str">
            <v>2</v>
          </cell>
          <cell r="E5789" t="str">
            <v>0026</v>
          </cell>
          <cell r="F5789" t="str">
            <v>0003</v>
          </cell>
          <cell r="G5789" t="str">
            <v>52199</v>
          </cell>
          <cell r="H5789" t="str">
            <v>付电机运费</v>
          </cell>
          <cell r="I5789" t="b">
            <v>1</v>
          </cell>
          <cell r="J5789">
            <v>823.5</v>
          </cell>
          <cell r="K5789">
            <v>0</v>
          </cell>
          <cell r="L5789">
            <v>0</v>
          </cell>
        </row>
        <row r="5790">
          <cell r="A5790" t="str">
            <v>12</v>
          </cell>
          <cell r="B5790" t="str">
            <v>08</v>
          </cell>
          <cell r="C5790" t="str">
            <v>12</v>
          </cell>
          <cell r="D5790" t="str">
            <v>4</v>
          </cell>
          <cell r="E5790" t="str">
            <v>0010</v>
          </cell>
          <cell r="F5790" t="str">
            <v>0008</v>
          </cell>
          <cell r="G5790" t="str">
            <v>52199</v>
          </cell>
          <cell r="H5790" t="str">
            <v>代扣收视费</v>
          </cell>
          <cell r="I5790" t="b">
            <v>1</v>
          </cell>
          <cell r="J5790">
            <v>-300</v>
          </cell>
          <cell r="K5790">
            <v>0</v>
          </cell>
          <cell r="L5790">
            <v>0</v>
          </cell>
        </row>
        <row r="5791">
          <cell r="A5791" t="str">
            <v>12</v>
          </cell>
          <cell r="B5791" t="str">
            <v>08</v>
          </cell>
          <cell r="C5791" t="str">
            <v>12</v>
          </cell>
          <cell r="D5791" t="str">
            <v>4</v>
          </cell>
          <cell r="E5791" t="str">
            <v>0010</v>
          </cell>
          <cell r="F5791" t="str">
            <v>0009</v>
          </cell>
          <cell r="G5791" t="str">
            <v>52199</v>
          </cell>
          <cell r="H5791" t="str">
            <v>代扣暖气费</v>
          </cell>
          <cell r="I5791" t="b">
            <v>1</v>
          </cell>
          <cell r="J5791">
            <v>-2712</v>
          </cell>
          <cell r="K5791">
            <v>0</v>
          </cell>
          <cell r="L5791">
            <v>0</v>
          </cell>
        </row>
        <row r="5792">
          <cell r="A5792" t="str">
            <v>12</v>
          </cell>
          <cell r="B5792" t="str">
            <v>08</v>
          </cell>
          <cell r="C5792" t="str">
            <v>12</v>
          </cell>
          <cell r="D5792" t="str">
            <v>4</v>
          </cell>
          <cell r="E5792" t="str">
            <v>0012</v>
          </cell>
          <cell r="F5792" t="str">
            <v>0001</v>
          </cell>
          <cell r="G5792" t="str">
            <v>52199</v>
          </cell>
          <cell r="H5792" t="str">
            <v>付收视费.工会经费.购支票</v>
          </cell>
          <cell r="I5792" t="b">
            <v>1</v>
          </cell>
          <cell r="J5792">
            <v>21090.5</v>
          </cell>
          <cell r="K5792">
            <v>0</v>
          </cell>
          <cell r="L5792">
            <v>0</v>
          </cell>
        </row>
        <row r="5793">
          <cell r="A5793" t="str">
            <v>12</v>
          </cell>
          <cell r="B5793" t="str">
            <v>20</v>
          </cell>
          <cell r="C5793" t="str">
            <v>12</v>
          </cell>
          <cell r="D5793" t="str">
            <v>4</v>
          </cell>
          <cell r="E5793" t="str">
            <v>0034</v>
          </cell>
          <cell r="F5793" t="str">
            <v>0002</v>
          </cell>
          <cell r="G5793" t="str">
            <v>52199</v>
          </cell>
          <cell r="H5793" t="str">
            <v>付会务费</v>
          </cell>
          <cell r="I5793" t="b">
            <v>1</v>
          </cell>
          <cell r="J5793">
            <v>4416.7</v>
          </cell>
          <cell r="K5793">
            <v>0</v>
          </cell>
          <cell r="L5793">
            <v>0</v>
          </cell>
        </row>
        <row r="5794">
          <cell r="A5794" t="str">
            <v>12</v>
          </cell>
          <cell r="B5794" t="str">
            <v>20</v>
          </cell>
          <cell r="C5794" t="str">
            <v>12</v>
          </cell>
          <cell r="D5794" t="str">
            <v>5</v>
          </cell>
          <cell r="E5794" t="str">
            <v>0017</v>
          </cell>
          <cell r="F5794" t="str">
            <v>0002</v>
          </cell>
          <cell r="G5794" t="str">
            <v>52199</v>
          </cell>
          <cell r="H5794" t="str">
            <v>转代扣本月收视费</v>
          </cell>
          <cell r="I5794" t="b">
            <v>1</v>
          </cell>
          <cell r="J5794">
            <v>-1414</v>
          </cell>
          <cell r="K5794">
            <v>0</v>
          </cell>
          <cell r="L5794">
            <v>0</v>
          </cell>
        </row>
        <row r="5795">
          <cell r="A5795" t="str">
            <v>12</v>
          </cell>
          <cell r="B5795" t="str">
            <v>22</v>
          </cell>
          <cell r="C5795" t="str">
            <v>12</v>
          </cell>
          <cell r="D5795" t="str">
            <v>5</v>
          </cell>
          <cell r="E5795" t="str">
            <v>0019</v>
          </cell>
          <cell r="F5795" t="str">
            <v>0001</v>
          </cell>
          <cell r="G5795" t="str">
            <v>52199</v>
          </cell>
          <cell r="H5795" t="str">
            <v>转报培训.复印费</v>
          </cell>
          <cell r="I5795" t="b">
            <v>1</v>
          </cell>
          <cell r="J5795">
            <v>506</v>
          </cell>
          <cell r="K5795">
            <v>0</v>
          </cell>
          <cell r="L5795">
            <v>0</v>
          </cell>
        </row>
        <row r="5796">
          <cell r="A5796" t="str">
            <v>12</v>
          </cell>
          <cell r="B5796" t="str">
            <v>27</v>
          </cell>
          <cell r="C5796" t="str">
            <v>12</v>
          </cell>
          <cell r="D5796" t="str">
            <v>5</v>
          </cell>
          <cell r="E5796" t="str">
            <v>0040</v>
          </cell>
          <cell r="F5796" t="str">
            <v>0002</v>
          </cell>
          <cell r="G5796" t="str">
            <v>52199</v>
          </cell>
          <cell r="H5796" t="str">
            <v>转分公司代扣教育附加</v>
          </cell>
          <cell r="I5796" t="b">
            <v>1</v>
          </cell>
          <cell r="J5796">
            <v>-1357.9</v>
          </cell>
          <cell r="K5796">
            <v>0</v>
          </cell>
          <cell r="L5796">
            <v>0</v>
          </cell>
        </row>
        <row r="5797">
          <cell r="A5797" t="str">
            <v>12</v>
          </cell>
          <cell r="B5797" t="str">
            <v>30</v>
          </cell>
          <cell r="C5797" t="str">
            <v>12</v>
          </cell>
          <cell r="D5797" t="str">
            <v>5</v>
          </cell>
          <cell r="E5797" t="str">
            <v>0088</v>
          </cell>
          <cell r="F5797" t="str">
            <v>0007</v>
          </cell>
          <cell r="G5797" t="str">
            <v>52199</v>
          </cell>
          <cell r="H5797" t="str">
            <v>转代扣收视费</v>
          </cell>
          <cell r="I5797" t="b">
            <v>1</v>
          </cell>
          <cell r="J5797">
            <v>-358.5</v>
          </cell>
          <cell r="K5797">
            <v>0</v>
          </cell>
          <cell r="L5797">
            <v>0</v>
          </cell>
        </row>
        <row r="5798">
          <cell r="A5798" t="str">
            <v>12</v>
          </cell>
          <cell r="B5798" t="str">
            <v>31</v>
          </cell>
          <cell r="C5798" t="str">
            <v>12</v>
          </cell>
          <cell r="D5798" t="str">
            <v>5</v>
          </cell>
          <cell r="E5798" t="str">
            <v>0092</v>
          </cell>
          <cell r="F5798" t="str">
            <v>0001</v>
          </cell>
          <cell r="G5798" t="str">
            <v>52199</v>
          </cell>
          <cell r="H5798" t="str">
            <v>提取2000.07-12月份住房补贴</v>
          </cell>
          <cell r="I5798" t="b">
            <v>1</v>
          </cell>
          <cell r="J5798">
            <v>19681.080000000002</v>
          </cell>
          <cell r="K5798">
            <v>0</v>
          </cell>
          <cell r="L5798">
            <v>0</v>
          </cell>
        </row>
        <row r="5799">
          <cell r="A5799" t="str">
            <v>12</v>
          </cell>
          <cell r="B5799" t="str">
            <v>31</v>
          </cell>
          <cell r="C5799" t="str">
            <v>12</v>
          </cell>
          <cell r="D5799" t="str">
            <v>5</v>
          </cell>
          <cell r="E5799" t="str">
            <v>0096</v>
          </cell>
          <cell r="F5799" t="str">
            <v>0005</v>
          </cell>
          <cell r="G5799" t="str">
            <v>52199</v>
          </cell>
          <cell r="H5799" t="str">
            <v>转户列支</v>
          </cell>
          <cell r="I5799" t="b">
            <v>1</v>
          </cell>
          <cell r="J5799">
            <v>220000</v>
          </cell>
          <cell r="K5799">
            <v>0</v>
          </cell>
          <cell r="L5799">
            <v>0</v>
          </cell>
        </row>
        <row r="5800">
          <cell r="A5800" t="str">
            <v>12</v>
          </cell>
          <cell r="B5800" t="str">
            <v>31</v>
          </cell>
          <cell r="C5800" t="str">
            <v>12</v>
          </cell>
          <cell r="D5800" t="str">
            <v>5</v>
          </cell>
          <cell r="E5800" t="str">
            <v>0097</v>
          </cell>
          <cell r="F5800" t="str">
            <v>0004</v>
          </cell>
          <cell r="G5800" t="str">
            <v>52199</v>
          </cell>
          <cell r="H5800" t="str">
            <v>转代扣收视费</v>
          </cell>
          <cell r="I5800" t="b">
            <v>1</v>
          </cell>
          <cell r="J5800">
            <v>-1723.5</v>
          </cell>
          <cell r="K5800">
            <v>0</v>
          </cell>
          <cell r="L5800">
            <v>0</v>
          </cell>
        </row>
        <row r="5801">
          <cell r="A5801" t="str">
            <v>12</v>
          </cell>
          <cell r="B5801" t="str">
            <v>31</v>
          </cell>
          <cell r="C5801" t="str">
            <v>12</v>
          </cell>
          <cell r="D5801" t="str">
            <v>5</v>
          </cell>
          <cell r="E5801" t="str">
            <v>0103</v>
          </cell>
          <cell r="F5801" t="str">
            <v>0019</v>
          </cell>
          <cell r="G5801" t="str">
            <v>52199</v>
          </cell>
          <cell r="H5801" t="str">
            <v>结转本月管理费用</v>
          </cell>
          <cell r="I5801" t="b">
            <v>0</v>
          </cell>
          <cell r="J5801">
            <v>285594.58</v>
          </cell>
          <cell r="K5801">
            <v>0</v>
          </cell>
          <cell r="L5801">
            <v>0</v>
          </cell>
        </row>
        <row r="5802">
          <cell r="A5802" t="str">
            <v>02</v>
          </cell>
          <cell r="B5802" t="str">
            <v>01</v>
          </cell>
          <cell r="C5802" t="str">
            <v>02</v>
          </cell>
          <cell r="D5802" t="str">
            <v>4</v>
          </cell>
          <cell r="E5802" t="str">
            <v>0001</v>
          </cell>
          <cell r="F5802" t="str">
            <v>0001</v>
          </cell>
          <cell r="G5802" t="str">
            <v>52201</v>
          </cell>
          <cell r="H5802" t="str">
            <v>付借款利息</v>
          </cell>
          <cell r="I5802" t="b">
            <v>1</v>
          </cell>
          <cell r="J5802">
            <v>83583.75</v>
          </cell>
          <cell r="K5802">
            <v>0</v>
          </cell>
          <cell r="L5802">
            <v>0</v>
          </cell>
        </row>
        <row r="5803">
          <cell r="A5803" t="str">
            <v>02</v>
          </cell>
          <cell r="B5803" t="str">
            <v>25</v>
          </cell>
          <cell r="C5803" t="str">
            <v>02</v>
          </cell>
          <cell r="D5803" t="str">
            <v>4</v>
          </cell>
          <cell r="E5803" t="str">
            <v>0042</v>
          </cell>
          <cell r="F5803" t="str">
            <v>0001</v>
          </cell>
          <cell r="G5803" t="str">
            <v>52201</v>
          </cell>
          <cell r="H5803" t="str">
            <v>付工行借款利息</v>
          </cell>
          <cell r="I5803" t="b">
            <v>1</v>
          </cell>
          <cell r="J5803">
            <v>83583.75</v>
          </cell>
          <cell r="K5803">
            <v>0</v>
          </cell>
          <cell r="L5803">
            <v>0</v>
          </cell>
        </row>
        <row r="5804">
          <cell r="A5804" t="str">
            <v>02</v>
          </cell>
          <cell r="B5804" t="str">
            <v>28</v>
          </cell>
          <cell r="C5804" t="str">
            <v>02</v>
          </cell>
          <cell r="D5804" t="str">
            <v>5</v>
          </cell>
          <cell r="E5804" t="str">
            <v>0032</v>
          </cell>
          <cell r="F5804" t="str">
            <v>0003</v>
          </cell>
          <cell r="G5804" t="str">
            <v>52201</v>
          </cell>
          <cell r="H5804" t="str">
            <v>转FVE9931/9932#发票中行扣息</v>
          </cell>
          <cell r="I5804" t="b">
            <v>1</v>
          </cell>
          <cell r="J5804">
            <v>2237.9</v>
          </cell>
          <cell r="K5804">
            <v>0</v>
          </cell>
          <cell r="L5804">
            <v>0</v>
          </cell>
        </row>
        <row r="5805">
          <cell r="A5805" t="str">
            <v>02</v>
          </cell>
          <cell r="B5805" t="str">
            <v>28</v>
          </cell>
          <cell r="C5805" t="str">
            <v>02</v>
          </cell>
          <cell r="D5805" t="str">
            <v>5</v>
          </cell>
          <cell r="E5805" t="str">
            <v>0034</v>
          </cell>
          <cell r="F5805" t="str">
            <v>0003</v>
          </cell>
          <cell r="G5805" t="str">
            <v>52201</v>
          </cell>
          <cell r="H5805" t="str">
            <v>转FVE9947-9951#发票中行扣息费</v>
          </cell>
          <cell r="I5805" t="b">
            <v>1</v>
          </cell>
          <cell r="J5805">
            <v>11189.41</v>
          </cell>
          <cell r="K5805">
            <v>0</v>
          </cell>
          <cell r="L5805">
            <v>0</v>
          </cell>
        </row>
        <row r="5806">
          <cell r="A5806" t="str">
            <v>02</v>
          </cell>
          <cell r="B5806" t="str">
            <v>28</v>
          </cell>
          <cell r="C5806" t="str">
            <v>02</v>
          </cell>
          <cell r="D5806" t="str">
            <v>5</v>
          </cell>
          <cell r="E5806" t="str">
            <v>0035</v>
          </cell>
          <cell r="F5806" t="str">
            <v>0003</v>
          </cell>
          <cell r="G5806" t="str">
            <v>52201</v>
          </cell>
          <cell r="H5806" t="str">
            <v>转FVE9956#发票中行扣息</v>
          </cell>
          <cell r="I5806" t="b">
            <v>1</v>
          </cell>
          <cell r="J5806">
            <v>3297.29</v>
          </cell>
          <cell r="K5806">
            <v>0</v>
          </cell>
          <cell r="L5806">
            <v>0</v>
          </cell>
        </row>
        <row r="5807">
          <cell r="A5807" t="str">
            <v>02</v>
          </cell>
          <cell r="B5807" t="str">
            <v>29</v>
          </cell>
          <cell r="C5807" t="str">
            <v>02</v>
          </cell>
          <cell r="D5807" t="str">
            <v>5</v>
          </cell>
          <cell r="E5807" t="str">
            <v>0055</v>
          </cell>
          <cell r="F5807" t="str">
            <v>0001</v>
          </cell>
          <cell r="G5807" t="str">
            <v>52201</v>
          </cell>
          <cell r="H5807" t="str">
            <v>转预提1.2月份借款利息</v>
          </cell>
          <cell r="I5807" t="b">
            <v>1</v>
          </cell>
          <cell r="J5807">
            <v>485954</v>
          </cell>
          <cell r="K5807">
            <v>0</v>
          </cell>
          <cell r="L5807">
            <v>0</v>
          </cell>
        </row>
        <row r="5808">
          <cell r="A5808" t="str">
            <v>02</v>
          </cell>
          <cell r="B5808" t="str">
            <v>29</v>
          </cell>
          <cell r="C5808" t="str">
            <v>02</v>
          </cell>
          <cell r="D5808" t="str">
            <v>5</v>
          </cell>
          <cell r="E5808" t="str">
            <v>0056</v>
          </cell>
          <cell r="F5808" t="str">
            <v>0002</v>
          </cell>
          <cell r="G5808" t="str">
            <v>52201</v>
          </cell>
          <cell r="H5808" t="str">
            <v>结转本月财务费用</v>
          </cell>
          <cell r="I5808" t="b">
            <v>0</v>
          </cell>
          <cell r="J5808">
            <v>669846.1</v>
          </cell>
          <cell r="K5808">
            <v>0</v>
          </cell>
          <cell r="L5808">
            <v>0</v>
          </cell>
        </row>
        <row r="5809">
          <cell r="A5809" t="str">
            <v>03</v>
          </cell>
          <cell r="B5809" t="str">
            <v>02</v>
          </cell>
          <cell r="C5809" t="str">
            <v>03</v>
          </cell>
          <cell r="D5809" t="str">
            <v>3</v>
          </cell>
          <cell r="E5809" t="str">
            <v>0003</v>
          </cell>
          <cell r="F5809" t="str">
            <v>0003</v>
          </cell>
          <cell r="G5809" t="str">
            <v>52201</v>
          </cell>
          <cell r="H5809" t="str">
            <v>收借款利息</v>
          </cell>
          <cell r="I5809" t="b">
            <v>1</v>
          </cell>
          <cell r="J5809">
            <v>-159991</v>
          </cell>
          <cell r="K5809">
            <v>0</v>
          </cell>
          <cell r="L5809">
            <v>0</v>
          </cell>
        </row>
        <row r="5810">
          <cell r="A5810" t="str">
            <v>03</v>
          </cell>
          <cell r="B5810" t="str">
            <v>15</v>
          </cell>
          <cell r="C5810" t="str">
            <v>03</v>
          </cell>
          <cell r="D5810" t="str">
            <v>3</v>
          </cell>
          <cell r="E5810" t="str">
            <v>0009</v>
          </cell>
          <cell r="F5810" t="str">
            <v>0002</v>
          </cell>
          <cell r="G5810" t="str">
            <v>52201</v>
          </cell>
          <cell r="H5810" t="str">
            <v>收存款利息</v>
          </cell>
          <cell r="I5810" t="b">
            <v>1</v>
          </cell>
          <cell r="J5810">
            <v>-10403.549999999999</v>
          </cell>
          <cell r="K5810">
            <v>0</v>
          </cell>
          <cell r="L5810">
            <v>0</v>
          </cell>
        </row>
        <row r="5811">
          <cell r="A5811" t="str">
            <v>03</v>
          </cell>
          <cell r="B5811" t="str">
            <v>18</v>
          </cell>
          <cell r="C5811" t="str">
            <v>03</v>
          </cell>
          <cell r="D5811" t="str">
            <v>3</v>
          </cell>
          <cell r="E5811" t="str">
            <v>0014</v>
          </cell>
          <cell r="F5811" t="str">
            <v>0002</v>
          </cell>
          <cell r="G5811" t="str">
            <v>52201</v>
          </cell>
          <cell r="H5811" t="str">
            <v>收存款利息</v>
          </cell>
          <cell r="I5811" t="b">
            <v>1</v>
          </cell>
          <cell r="J5811">
            <v>-3483.4</v>
          </cell>
          <cell r="K5811">
            <v>0</v>
          </cell>
          <cell r="L5811">
            <v>0</v>
          </cell>
        </row>
        <row r="5812">
          <cell r="A5812" t="str">
            <v>03</v>
          </cell>
          <cell r="B5812" t="str">
            <v>16</v>
          </cell>
          <cell r="C5812" t="str">
            <v>03</v>
          </cell>
          <cell r="D5812" t="str">
            <v>4</v>
          </cell>
          <cell r="E5812" t="str">
            <v>0022</v>
          </cell>
          <cell r="F5812" t="str">
            <v>0002</v>
          </cell>
          <cell r="G5812" t="str">
            <v>52201</v>
          </cell>
          <cell r="H5812" t="str">
            <v>付利息</v>
          </cell>
          <cell r="I5812" t="b">
            <v>1</v>
          </cell>
          <cell r="J5812">
            <v>265980</v>
          </cell>
          <cell r="K5812">
            <v>0</v>
          </cell>
          <cell r="L5812">
            <v>0</v>
          </cell>
        </row>
        <row r="5813">
          <cell r="A5813" t="str">
            <v>03</v>
          </cell>
          <cell r="B5813" t="str">
            <v>17</v>
          </cell>
          <cell r="C5813" t="str">
            <v>03</v>
          </cell>
          <cell r="D5813" t="str">
            <v>4</v>
          </cell>
          <cell r="E5813" t="str">
            <v>0026</v>
          </cell>
          <cell r="F5813" t="str">
            <v>0002</v>
          </cell>
          <cell r="G5813" t="str">
            <v>52201</v>
          </cell>
          <cell r="H5813" t="str">
            <v>付贷款利息</v>
          </cell>
          <cell r="I5813" t="b">
            <v>1</v>
          </cell>
          <cell r="J5813">
            <v>78137.25</v>
          </cell>
          <cell r="K5813">
            <v>0</v>
          </cell>
          <cell r="L5813">
            <v>0</v>
          </cell>
        </row>
        <row r="5814">
          <cell r="A5814" t="str">
            <v>03</v>
          </cell>
          <cell r="B5814" t="str">
            <v>28</v>
          </cell>
          <cell r="C5814" t="str">
            <v>03</v>
          </cell>
          <cell r="D5814" t="str">
            <v>5</v>
          </cell>
          <cell r="E5814" t="str">
            <v>0017</v>
          </cell>
          <cell r="F5814" t="str">
            <v>0003</v>
          </cell>
          <cell r="G5814" t="str">
            <v>52201</v>
          </cell>
          <cell r="H5814" t="str">
            <v>转FVE9966#发票中行扣息</v>
          </cell>
          <cell r="I5814" t="b">
            <v>1</v>
          </cell>
          <cell r="J5814">
            <v>1781.35</v>
          </cell>
          <cell r="K5814">
            <v>0</v>
          </cell>
          <cell r="L5814">
            <v>0</v>
          </cell>
        </row>
        <row r="5815">
          <cell r="A5815" t="str">
            <v>03</v>
          </cell>
          <cell r="B5815" t="str">
            <v>30</v>
          </cell>
          <cell r="C5815" t="str">
            <v>03</v>
          </cell>
          <cell r="D5815" t="str">
            <v>5</v>
          </cell>
          <cell r="E5815" t="str">
            <v>0030</v>
          </cell>
          <cell r="F5815" t="str">
            <v>0002</v>
          </cell>
          <cell r="G5815" t="str">
            <v>52201</v>
          </cell>
          <cell r="H5815" t="str">
            <v>结转本月财务费用</v>
          </cell>
          <cell r="I5815" t="b">
            <v>0</v>
          </cell>
          <cell r="J5815">
            <v>172020.65</v>
          </cell>
          <cell r="K5815">
            <v>0</v>
          </cell>
          <cell r="L5815">
            <v>0</v>
          </cell>
        </row>
        <row r="5816">
          <cell r="A5816" t="str">
            <v>04</v>
          </cell>
          <cell r="B5816" t="str">
            <v>26</v>
          </cell>
          <cell r="C5816" t="str">
            <v>04</v>
          </cell>
          <cell r="D5816" t="str">
            <v>5</v>
          </cell>
          <cell r="E5816" t="str">
            <v>0027</v>
          </cell>
          <cell r="F5816" t="str">
            <v>0002</v>
          </cell>
          <cell r="G5816" t="str">
            <v>52201</v>
          </cell>
          <cell r="H5816" t="str">
            <v>转FVE9981#发票中行扣息</v>
          </cell>
          <cell r="I5816" t="b">
            <v>1</v>
          </cell>
          <cell r="J5816">
            <v>124.01</v>
          </cell>
          <cell r="K5816">
            <v>0</v>
          </cell>
          <cell r="L5816">
            <v>0</v>
          </cell>
        </row>
        <row r="5817">
          <cell r="A5817" t="str">
            <v>04</v>
          </cell>
          <cell r="B5817" t="str">
            <v>29</v>
          </cell>
          <cell r="C5817" t="str">
            <v>04</v>
          </cell>
          <cell r="D5817" t="str">
            <v>5</v>
          </cell>
          <cell r="E5817" t="str">
            <v>0036</v>
          </cell>
          <cell r="F5817" t="str">
            <v>0002</v>
          </cell>
          <cell r="G5817" t="str">
            <v>52201</v>
          </cell>
          <cell r="H5817" t="str">
            <v>结转本月财务费用</v>
          </cell>
          <cell r="I5817" t="b">
            <v>0</v>
          </cell>
          <cell r="J5817">
            <v>124.01</v>
          </cell>
          <cell r="K5817">
            <v>0</v>
          </cell>
          <cell r="L5817">
            <v>0</v>
          </cell>
        </row>
        <row r="5818">
          <cell r="A5818" t="str">
            <v>05</v>
          </cell>
          <cell r="B5818" t="str">
            <v>11</v>
          </cell>
          <cell r="C5818" t="str">
            <v>05</v>
          </cell>
          <cell r="D5818" t="str">
            <v>4</v>
          </cell>
          <cell r="E5818" t="str">
            <v>0006</v>
          </cell>
          <cell r="F5818" t="str">
            <v>0001</v>
          </cell>
          <cell r="G5818" t="str">
            <v>52201</v>
          </cell>
          <cell r="H5818" t="str">
            <v>付工行利息</v>
          </cell>
          <cell r="I5818" t="b">
            <v>1</v>
          </cell>
          <cell r="J5818">
            <v>81414.75</v>
          </cell>
          <cell r="K5818">
            <v>0</v>
          </cell>
          <cell r="L5818">
            <v>0</v>
          </cell>
        </row>
        <row r="5819">
          <cell r="A5819" t="str">
            <v>05</v>
          </cell>
          <cell r="B5819" t="str">
            <v>26</v>
          </cell>
          <cell r="C5819" t="str">
            <v>05</v>
          </cell>
          <cell r="D5819" t="str">
            <v>5</v>
          </cell>
          <cell r="E5819" t="str">
            <v>0019</v>
          </cell>
          <cell r="F5819" t="str">
            <v>0002</v>
          </cell>
          <cell r="G5819" t="str">
            <v>52201</v>
          </cell>
          <cell r="H5819" t="str">
            <v>转FVE9964#发票中行扣息USD30.00</v>
          </cell>
          <cell r="I5819" t="b">
            <v>1</v>
          </cell>
          <cell r="J5819">
            <v>248.02</v>
          </cell>
          <cell r="K5819">
            <v>0</v>
          </cell>
          <cell r="L5819">
            <v>0</v>
          </cell>
        </row>
        <row r="5820">
          <cell r="A5820" t="str">
            <v>05</v>
          </cell>
          <cell r="B5820" t="str">
            <v>31</v>
          </cell>
          <cell r="C5820" t="str">
            <v>05</v>
          </cell>
          <cell r="D5820" t="str">
            <v>5</v>
          </cell>
          <cell r="E5820" t="str">
            <v>0037</v>
          </cell>
          <cell r="F5820" t="str">
            <v>0002</v>
          </cell>
          <cell r="G5820" t="str">
            <v>52201</v>
          </cell>
          <cell r="H5820" t="str">
            <v>结转本月财务费用</v>
          </cell>
          <cell r="I5820" t="b">
            <v>0</v>
          </cell>
          <cell r="J5820">
            <v>81662.77</v>
          </cell>
          <cell r="K5820">
            <v>0</v>
          </cell>
          <cell r="L5820">
            <v>0</v>
          </cell>
        </row>
        <row r="5821">
          <cell r="A5821" t="str">
            <v>06</v>
          </cell>
          <cell r="B5821" t="str">
            <v>16</v>
          </cell>
          <cell r="C5821" t="str">
            <v>06</v>
          </cell>
          <cell r="D5821" t="str">
            <v>4</v>
          </cell>
          <cell r="E5821" t="str">
            <v>0006</v>
          </cell>
          <cell r="F5821" t="str">
            <v>0001</v>
          </cell>
          <cell r="G5821" t="str">
            <v>52201</v>
          </cell>
          <cell r="H5821" t="str">
            <v>付工行借款利息</v>
          </cell>
          <cell r="I5821" t="b">
            <v>1</v>
          </cell>
          <cell r="J5821">
            <v>61717.5</v>
          </cell>
          <cell r="K5821">
            <v>0</v>
          </cell>
          <cell r="L5821">
            <v>0</v>
          </cell>
        </row>
        <row r="5822">
          <cell r="A5822" t="str">
            <v>06</v>
          </cell>
          <cell r="B5822" t="str">
            <v>25</v>
          </cell>
          <cell r="C5822" t="str">
            <v>06</v>
          </cell>
          <cell r="D5822" t="str">
            <v>5</v>
          </cell>
          <cell r="E5822" t="str">
            <v>0026</v>
          </cell>
          <cell r="F5822" t="str">
            <v>0002</v>
          </cell>
          <cell r="G5822" t="str">
            <v>52201</v>
          </cell>
          <cell r="H5822" t="str">
            <v>结转本月财务费用</v>
          </cell>
          <cell r="I5822" t="b">
            <v>0</v>
          </cell>
          <cell r="J5822">
            <v>61717.5</v>
          </cell>
          <cell r="K5822">
            <v>0</v>
          </cell>
          <cell r="L5822">
            <v>0</v>
          </cell>
        </row>
        <row r="5823">
          <cell r="A5823" t="str">
            <v>07</v>
          </cell>
          <cell r="B5823" t="str">
            <v>01</v>
          </cell>
          <cell r="C5823" t="str">
            <v>07</v>
          </cell>
          <cell r="D5823" t="str">
            <v>4</v>
          </cell>
          <cell r="E5823" t="str">
            <v>0002</v>
          </cell>
          <cell r="F5823" t="str">
            <v>0001</v>
          </cell>
          <cell r="G5823" t="str">
            <v>52201</v>
          </cell>
          <cell r="H5823" t="str">
            <v>付存款利息</v>
          </cell>
          <cell r="I5823" t="b">
            <v>1</v>
          </cell>
          <cell r="J5823">
            <v>64724.25</v>
          </cell>
          <cell r="K5823">
            <v>0</v>
          </cell>
          <cell r="L5823">
            <v>0</v>
          </cell>
        </row>
        <row r="5824">
          <cell r="A5824" t="str">
            <v>07</v>
          </cell>
          <cell r="B5824" t="str">
            <v>12</v>
          </cell>
          <cell r="C5824" t="str">
            <v>07</v>
          </cell>
          <cell r="D5824" t="str">
            <v>5</v>
          </cell>
          <cell r="E5824" t="str">
            <v>0003</v>
          </cell>
          <cell r="F5824" t="str">
            <v>0003</v>
          </cell>
          <cell r="G5824" t="str">
            <v>52201</v>
          </cell>
          <cell r="H5824" t="str">
            <v>转6.7月份委托利息</v>
          </cell>
          <cell r="I5824" t="b">
            <v>1</v>
          </cell>
          <cell r="J5824">
            <v>19401.060000000001</v>
          </cell>
          <cell r="K5824">
            <v>0</v>
          </cell>
          <cell r="L5824">
            <v>0</v>
          </cell>
        </row>
        <row r="5825">
          <cell r="A5825" t="str">
            <v>07</v>
          </cell>
          <cell r="B5825" t="str">
            <v>12</v>
          </cell>
          <cell r="C5825" t="str">
            <v>07</v>
          </cell>
          <cell r="D5825" t="str">
            <v>5</v>
          </cell>
          <cell r="E5825" t="str">
            <v>0003</v>
          </cell>
          <cell r="F5825" t="str">
            <v>0005</v>
          </cell>
          <cell r="G5825" t="str">
            <v>52201</v>
          </cell>
          <cell r="H5825" t="str">
            <v>转省计委100万第二季度利息</v>
          </cell>
          <cell r="I5825" t="b">
            <v>1</v>
          </cell>
          <cell r="J5825">
            <v>39957.08</v>
          </cell>
          <cell r="K5825">
            <v>0</v>
          </cell>
          <cell r="L5825">
            <v>0</v>
          </cell>
        </row>
        <row r="5826">
          <cell r="A5826" t="str">
            <v>07</v>
          </cell>
          <cell r="B5826" t="str">
            <v>29</v>
          </cell>
          <cell r="C5826" t="str">
            <v>07</v>
          </cell>
          <cell r="D5826" t="str">
            <v>5</v>
          </cell>
          <cell r="E5826" t="str">
            <v>0042</v>
          </cell>
          <cell r="F5826" t="str">
            <v>0002</v>
          </cell>
          <cell r="G5826" t="str">
            <v>52201</v>
          </cell>
          <cell r="H5826" t="str">
            <v>结转本月财务费用</v>
          </cell>
          <cell r="I5826" t="b">
            <v>0</v>
          </cell>
          <cell r="J5826">
            <v>124082.39</v>
          </cell>
          <cell r="K5826">
            <v>0</v>
          </cell>
          <cell r="L5826">
            <v>0</v>
          </cell>
        </row>
        <row r="5827">
          <cell r="A5827" t="str">
            <v>08</v>
          </cell>
          <cell r="B5827" t="str">
            <v>01</v>
          </cell>
          <cell r="C5827" t="str">
            <v>08</v>
          </cell>
          <cell r="D5827" t="str">
            <v>4</v>
          </cell>
          <cell r="E5827" t="str">
            <v>0001</v>
          </cell>
          <cell r="F5827" t="str">
            <v>0001</v>
          </cell>
          <cell r="G5827" t="str">
            <v>52201</v>
          </cell>
          <cell r="H5827" t="str">
            <v>付借款利息</v>
          </cell>
          <cell r="I5827" t="b">
            <v>1</v>
          </cell>
          <cell r="J5827">
            <v>63141.75</v>
          </cell>
          <cell r="K5827">
            <v>0</v>
          </cell>
          <cell r="L5827">
            <v>0</v>
          </cell>
        </row>
        <row r="5828">
          <cell r="A5828" t="str">
            <v>08</v>
          </cell>
          <cell r="B5828" t="str">
            <v>24</v>
          </cell>
          <cell r="C5828" t="str">
            <v>08</v>
          </cell>
          <cell r="D5828" t="str">
            <v>5</v>
          </cell>
          <cell r="E5828" t="str">
            <v>0013</v>
          </cell>
          <cell r="F5828" t="str">
            <v>0003</v>
          </cell>
          <cell r="G5828" t="str">
            <v>52201</v>
          </cell>
          <cell r="H5828" t="str">
            <v>转FVE99109#发票中行扣息</v>
          </cell>
          <cell r="I5828" t="b">
            <v>1</v>
          </cell>
          <cell r="J5828">
            <v>424.28</v>
          </cell>
          <cell r="K5828">
            <v>0</v>
          </cell>
          <cell r="L5828">
            <v>0</v>
          </cell>
        </row>
        <row r="5829">
          <cell r="A5829" t="str">
            <v>08</v>
          </cell>
          <cell r="B5829" t="str">
            <v>31</v>
          </cell>
          <cell r="C5829" t="str">
            <v>08</v>
          </cell>
          <cell r="D5829" t="str">
            <v>5</v>
          </cell>
          <cell r="E5829" t="str">
            <v>0033</v>
          </cell>
          <cell r="F5829" t="str">
            <v>0002</v>
          </cell>
          <cell r="G5829" t="str">
            <v>52201</v>
          </cell>
          <cell r="H5829" t="str">
            <v>结转本月财务费用</v>
          </cell>
          <cell r="I5829" t="b">
            <v>0</v>
          </cell>
          <cell r="J5829">
            <v>63566.03</v>
          </cell>
          <cell r="K5829">
            <v>0</v>
          </cell>
          <cell r="L5829">
            <v>0</v>
          </cell>
        </row>
        <row r="5830">
          <cell r="A5830" t="str">
            <v>09</v>
          </cell>
          <cell r="B5830" t="str">
            <v>06</v>
          </cell>
          <cell r="C5830" t="str">
            <v>09</v>
          </cell>
          <cell r="D5830" t="str">
            <v>4</v>
          </cell>
          <cell r="E5830" t="str">
            <v>0007</v>
          </cell>
          <cell r="F5830" t="str">
            <v>0001</v>
          </cell>
          <cell r="G5830" t="str">
            <v>52201</v>
          </cell>
          <cell r="H5830" t="str">
            <v>付借款利息</v>
          </cell>
          <cell r="I5830" t="b">
            <v>1</v>
          </cell>
          <cell r="J5830">
            <v>63774.75</v>
          </cell>
          <cell r="K5830">
            <v>0</v>
          </cell>
          <cell r="L5830">
            <v>0</v>
          </cell>
        </row>
        <row r="5831">
          <cell r="A5831" t="str">
            <v>09</v>
          </cell>
          <cell r="B5831" t="str">
            <v>20</v>
          </cell>
          <cell r="C5831" t="str">
            <v>09</v>
          </cell>
          <cell r="D5831" t="str">
            <v>4</v>
          </cell>
          <cell r="E5831" t="str">
            <v>0022</v>
          </cell>
          <cell r="F5831" t="str">
            <v>0001</v>
          </cell>
          <cell r="G5831" t="str">
            <v>52201</v>
          </cell>
          <cell r="H5831" t="str">
            <v>付借款利息</v>
          </cell>
          <cell r="I5831" t="b">
            <v>1</v>
          </cell>
          <cell r="J5831">
            <v>113774.38</v>
          </cell>
          <cell r="K5831">
            <v>0</v>
          </cell>
          <cell r="L5831">
            <v>0</v>
          </cell>
        </row>
        <row r="5832">
          <cell r="A5832" t="str">
            <v>09</v>
          </cell>
          <cell r="B5832" t="str">
            <v>30</v>
          </cell>
          <cell r="C5832" t="str">
            <v>09</v>
          </cell>
          <cell r="D5832" t="str">
            <v>5</v>
          </cell>
          <cell r="E5832" t="str">
            <v>0038</v>
          </cell>
          <cell r="F5832" t="str">
            <v>0002</v>
          </cell>
          <cell r="G5832" t="str">
            <v>52201</v>
          </cell>
          <cell r="H5832" t="str">
            <v>结转本月财务费用</v>
          </cell>
          <cell r="I5832" t="b">
            <v>0</v>
          </cell>
          <cell r="J5832">
            <v>177549.13</v>
          </cell>
          <cell r="K5832">
            <v>0</v>
          </cell>
          <cell r="L5832">
            <v>0</v>
          </cell>
        </row>
        <row r="5833">
          <cell r="A5833" t="str">
            <v>10</v>
          </cell>
          <cell r="B5833" t="str">
            <v>01</v>
          </cell>
          <cell r="C5833" t="str">
            <v>10</v>
          </cell>
          <cell r="D5833" t="str">
            <v>4</v>
          </cell>
          <cell r="E5833" t="str">
            <v>0002</v>
          </cell>
          <cell r="F5833" t="str">
            <v>0001</v>
          </cell>
          <cell r="G5833" t="str">
            <v>52201</v>
          </cell>
          <cell r="H5833" t="str">
            <v>付利息</v>
          </cell>
          <cell r="I5833" t="b">
            <v>1</v>
          </cell>
          <cell r="J5833">
            <v>63774.75</v>
          </cell>
          <cell r="K5833">
            <v>0</v>
          </cell>
          <cell r="L5833">
            <v>0</v>
          </cell>
        </row>
        <row r="5834">
          <cell r="A5834" t="str">
            <v>10</v>
          </cell>
          <cell r="B5834" t="str">
            <v>30</v>
          </cell>
          <cell r="C5834" t="str">
            <v>10</v>
          </cell>
          <cell r="D5834" t="str">
            <v>5</v>
          </cell>
          <cell r="E5834" t="str">
            <v>0032</v>
          </cell>
          <cell r="F5834" t="str">
            <v>0002</v>
          </cell>
          <cell r="G5834" t="str">
            <v>52201</v>
          </cell>
          <cell r="H5834" t="str">
            <v>结转本月财务费用</v>
          </cell>
          <cell r="I5834" t="b">
            <v>0</v>
          </cell>
          <cell r="J5834">
            <v>63774.75</v>
          </cell>
          <cell r="K5834">
            <v>0</v>
          </cell>
          <cell r="L5834">
            <v>0</v>
          </cell>
        </row>
        <row r="5835">
          <cell r="A5835" t="str">
            <v>11</v>
          </cell>
          <cell r="B5835" t="str">
            <v>02</v>
          </cell>
          <cell r="C5835" t="str">
            <v>11</v>
          </cell>
          <cell r="D5835" t="str">
            <v>4</v>
          </cell>
          <cell r="E5835" t="str">
            <v>0003</v>
          </cell>
          <cell r="F5835" t="str">
            <v>0001</v>
          </cell>
          <cell r="G5835" t="str">
            <v>52201</v>
          </cell>
          <cell r="H5835" t="str">
            <v>付工行借款利息</v>
          </cell>
          <cell r="I5835" t="b">
            <v>1</v>
          </cell>
          <cell r="J5835">
            <v>61717.5</v>
          </cell>
          <cell r="K5835">
            <v>0</v>
          </cell>
          <cell r="L5835">
            <v>0</v>
          </cell>
        </row>
        <row r="5836">
          <cell r="A5836" t="str">
            <v>11</v>
          </cell>
          <cell r="B5836" t="str">
            <v>30</v>
          </cell>
          <cell r="C5836" t="str">
            <v>11</v>
          </cell>
          <cell r="D5836" t="str">
            <v>5</v>
          </cell>
          <cell r="E5836" t="str">
            <v>0040</v>
          </cell>
          <cell r="F5836" t="str">
            <v>0002</v>
          </cell>
          <cell r="G5836" t="str">
            <v>52201</v>
          </cell>
          <cell r="H5836" t="str">
            <v>结转本月财务费用</v>
          </cell>
          <cell r="I5836" t="b">
            <v>0</v>
          </cell>
          <cell r="J5836">
            <v>61717.5</v>
          </cell>
          <cell r="K5836">
            <v>0</v>
          </cell>
          <cell r="L5836">
            <v>0</v>
          </cell>
        </row>
        <row r="5837">
          <cell r="A5837" t="str">
            <v>12</v>
          </cell>
          <cell r="B5837" t="str">
            <v>11</v>
          </cell>
          <cell r="C5837" t="str">
            <v>12</v>
          </cell>
          <cell r="D5837" t="str">
            <v>4</v>
          </cell>
          <cell r="E5837" t="str">
            <v>0022</v>
          </cell>
          <cell r="F5837" t="str">
            <v>0001</v>
          </cell>
          <cell r="G5837" t="str">
            <v>52201</v>
          </cell>
          <cell r="H5837" t="str">
            <v>付工行借款利息</v>
          </cell>
          <cell r="I5837" t="b">
            <v>1</v>
          </cell>
          <cell r="J5837">
            <v>63774.75</v>
          </cell>
          <cell r="K5837">
            <v>0</v>
          </cell>
          <cell r="L5837">
            <v>0</v>
          </cell>
        </row>
        <row r="5838">
          <cell r="A5838" t="str">
            <v>12</v>
          </cell>
          <cell r="B5838" t="str">
            <v>19</v>
          </cell>
          <cell r="C5838" t="str">
            <v>12</v>
          </cell>
          <cell r="D5838" t="str">
            <v>4</v>
          </cell>
          <cell r="E5838" t="str">
            <v>0025</v>
          </cell>
          <cell r="F5838" t="str">
            <v>0002</v>
          </cell>
          <cell r="G5838" t="str">
            <v>52201</v>
          </cell>
          <cell r="H5838" t="str">
            <v>付利息</v>
          </cell>
          <cell r="I5838" t="b">
            <v>1</v>
          </cell>
          <cell r="J5838">
            <v>162586.67000000001</v>
          </cell>
          <cell r="K5838">
            <v>0</v>
          </cell>
          <cell r="L5838">
            <v>0</v>
          </cell>
        </row>
        <row r="5839">
          <cell r="A5839" t="str">
            <v>12</v>
          </cell>
          <cell r="B5839" t="str">
            <v>25</v>
          </cell>
          <cell r="C5839" t="str">
            <v>12</v>
          </cell>
          <cell r="D5839" t="str">
            <v>4</v>
          </cell>
          <cell r="E5839" t="str">
            <v>0055</v>
          </cell>
          <cell r="F5839" t="str">
            <v>0001</v>
          </cell>
          <cell r="G5839" t="str">
            <v>52201</v>
          </cell>
          <cell r="H5839" t="str">
            <v>付借款利息</v>
          </cell>
          <cell r="I5839" t="b">
            <v>1</v>
          </cell>
          <cell r="J5839">
            <v>61729.94</v>
          </cell>
          <cell r="K5839">
            <v>0</v>
          </cell>
          <cell r="L5839">
            <v>0</v>
          </cell>
        </row>
        <row r="5840">
          <cell r="A5840" t="str">
            <v>12</v>
          </cell>
          <cell r="B5840" t="str">
            <v>31</v>
          </cell>
          <cell r="C5840" t="str">
            <v>12</v>
          </cell>
          <cell r="D5840" t="str">
            <v>5</v>
          </cell>
          <cell r="E5840" t="str">
            <v>0098</v>
          </cell>
          <cell r="F5840" t="str">
            <v>0002</v>
          </cell>
          <cell r="G5840" t="str">
            <v>52201</v>
          </cell>
          <cell r="H5840" t="str">
            <v>转出多提贷款利息</v>
          </cell>
          <cell r="I5840" t="b">
            <v>1</v>
          </cell>
          <cell r="J5840">
            <v>-1053617.6100000001</v>
          </cell>
          <cell r="K5840">
            <v>0</v>
          </cell>
          <cell r="L5840">
            <v>0</v>
          </cell>
        </row>
        <row r="5841">
          <cell r="A5841" t="str">
            <v>12</v>
          </cell>
          <cell r="B5841" t="str">
            <v>31</v>
          </cell>
          <cell r="C5841" t="str">
            <v>12</v>
          </cell>
          <cell r="D5841" t="str">
            <v>5</v>
          </cell>
          <cell r="E5841" t="str">
            <v>0098</v>
          </cell>
          <cell r="F5841" t="str">
            <v>0004</v>
          </cell>
          <cell r="G5841" t="str">
            <v>52201</v>
          </cell>
          <cell r="H5841" t="str">
            <v>转出多提职工集资利息</v>
          </cell>
          <cell r="I5841" t="b">
            <v>1</v>
          </cell>
          <cell r="J5841">
            <v>-190375.1</v>
          </cell>
          <cell r="K5841">
            <v>0</v>
          </cell>
          <cell r="L5841">
            <v>0</v>
          </cell>
        </row>
        <row r="5842">
          <cell r="A5842" t="str">
            <v>12</v>
          </cell>
          <cell r="B5842" t="str">
            <v>31</v>
          </cell>
          <cell r="C5842" t="str">
            <v>12</v>
          </cell>
          <cell r="D5842" t="str">
            <v>5</v>
          </cell>
          <cell r="E5842" t="str">
            <v>0101</v>
          </cell>
          <cell r="F5842" t="str">
            <v>0002</v>
          </cell>
          <cell r="G5842" t="str">
            <v>52201</v>
          </cell>
          <cell r="H5842" t="str">
            <v>结转本月财务费用</v>
          </cell>
          <cell r="I5842" t="b">
            <v>0</v>
          </cell>
          <cell r="J5842">
            <v>-955901.35</v>
          </cell>
          <cell r="K5842">
            <v>0</v>
          </cell>
          <cell r="L5842">
            <v>0</v>
          </cell>
        </row>
        <row r="5843">
          <cell r="A5843" t="str">
            <v>02</v>
          </cell>
          <cell r="B5843" t="str">
            <v>19</v>
          </cell>
          <cell r="C5843" t="str">
            <v>02</v>
          </cell>
          <cell r="D5843" t="str">
            <v>2</v>
          </cell>
          <cell r="E5843" t="str">
            <v>0034</v>
          </cell>
          <cell r="F5843" t="str">
            <v>0002</v>
          </cell>
          <cell r="G5843" t="str">
            <v>52202</v>
          </cell>
          <cell r="H5843" t="str">
            <v>付手续费</v>
          </cell>
          <cell r="I5843" t="b">
            <v>1</v>
          </cell>
          <cell r="J5843">
            <v>6412.03</v>
          </cell>
          <cell r="K5843">
            <v>0</v>
          </cell>
          <cell r="L5843">
            <v>0</v>
          </cell>
        </row>
        <row r="5844">
          <cell r="A5844" t="str">
            <v>02</v>
          </cell>
          <cell r="B5844" t="str">
            <v>13</v>
          </cell>
          <cell r="C5844" t="str">
            <v>02</v>
          </cell>
          <cell r="D5844" t="str">
            <v>4</v>
          </cell>
          <cell r="E5844" t="str">
            <v>0013</v>
          </cell>
          <cell r="F5844" t="str">
            <v>0001</v>
          </cell>
          <cell r="G5844" t="str">
            <v>52202</v>
          </cell>
          <cell r="H5844" t="str">
            <v>付邮电费</v>
          </cell>
          <cell r="I5844" t="b">
            <v>1</v>
          </cell>
          <cell r="J5844">
            <v>2912.3</v>
          </cell>
          <cell r="K5844">
            <v>0</v>
          </cell>
          <cell r="L5844">
            <v>0</v>
          </cell>
        </row>
        <row r="5845">
          <cell r="A5845" t="str">
            <v>02</v>
          </cell>
          <cell r="B5845" t="str">
            <v>28</v>
          </cell>
          <cell r="C5845" t="str">
            <v>02</v>
          </cell>
          <cell r="D5845" t="str">
            <v>5</v>
          </cell>
          <cell r="E5845" t="str">
            <v>0030</v>
          </cell>
          <cell r="F5845" t="str">
            <v>0002</v>
          </cell>
          <cell r="G5845" t="str">
            <v>52202</v>
          </cell>
          <cell r="H5845" t="str">
            <v>转FVE9955#发票中行扣费USD78.12</v>
          </cell>
          <cell r="I5845" t="b">
            <v>1</v>
          </cell>
          <cell r="J5845">
            <v>645.71</v>
          </cell>
          <cell r="K5845">
            <v>0</v>
          </cell>
          <cell r="L5845">
            <v>0</v>
          </cell>
        </row>
        <row r="5846">
          <cell r="A5846" t="str">
            <v>02</v>
          </cell>
          <cell r="B5846" t="str">
            <v>28</v>
          </cell>
          <cell r="C5846" t="str">
            <v>02</v>
          </cell>
          <cell r="D5846" t="str">
            <v>5</v>
          </cell>
          <cell r="E5846" t="str">
            <v>0031</v>
          </cell>
          <cell r="F5846" t="str">
            <v>0002</v>
          </cell>
          <cell r="G5846" t="str">
            <v>52202</v>
          </cell>
          <cell r="H5846" t="str">
            <v>转FVE9911.9912#发票中行扣费</v>
          </cell>
          <cell r="I5846" t="b">
            <v>1</v>
          </cell>
          <cell r="J5846">
            <v>2064.3200000000002</v>
          </cell>
          <cell r="K5846">
            <v>0</v>
          </cell>
          <cell r="L5846">
            <v>0</v>
          </cell>
        </row>
        <row r="5847">
          <cell r="A5847" t="str">
            <v>02</v>
          </cell>
          <cell r="B5847" t="str">
            <v>28</v>
          </cell>
          <cell r="C5847" t="str">
            <v>02</v>
          </cell>
          <cell r="D5847" t="str">
            <v>5</v>
          </cell>
          <cell r="E5847" t="str">
            <v>0031</v>
          </cell>
          <cell r="F5847" t="str">
            <v>0004</v>
          </cell>
          <cell r="G5847" t="str">
            <v>52202</v>
          </cell>
          <cell r="H5847" t="str">
            <v>转FVE9915/9916.9920#中行扣费</v>
          </cell>
          <cell r="I5847" t="b">
            <v>1</v>
          </cell>
          <cell r="J5847">
            <v>2543.4899999999998</v>
          </cell>
          <cell r="K5847">
            <v>0</v>
          </cell>
          <cell r="L5847">
            <v>0</v>
          </cell>
        </row>
        <row r="5848">
          <cell r="A5848" t="str">
            <v>02</v>
          </cell>
          <cell r="B5848" t="str">
            <v>28</v>
          </cell>
          <cell r="C5848" t="str">
            <v>02</v>
          </cell>
          <cell r="D5848" t="str">
            <v>5</v>
          </cell>
          <cell r="E5848" t="str">
            <v>0032</v>
          </cell>
          <cell r="F5848" t="str">
            <v>0002</v>
          </cell>
          <cell r="G5848" t="str">
            <v>52202</v>
          </cell>
          <cell r="H5848" t="str">
            <v>转FVE9931/9932#发票中行扣费</v>
          </cell>
          <cell r="I5848" t="b">
            <v>1</v>
          </cell>
          <cell r="J5848">
            <v>1550.09</v>
          </cell>
          <cell r="K5848">
            <v>0</v>
          </cell>
          <cell r="L5848">
            <v>0</v>
          </cell>
        </row>
        <row r="5849">
          <cell r="A5849" t="str">
            <v>02</v>
          </cell>
          <cell r="B5849" t="str">
            <v>28</v>
          </cell>
          <cell r="C5849" t="str">
            <v>02</v>
          </cell>
          <cell r="D5849" t="str">
            <v>5</v>
          </cell>
          <cell r="E5849" t="str">
            <v>0034</v>
          </cell>
          <cell r="F5849" t="str">
            <v>0002</v>
          </cell>
          <cell r="G5849" t="str">
            <v>52202</v>
          </cell>
          <cell r="H5849" t="str">
            <v>转FVE9947-9951#发票中行扣费</v>
          </cell>
          <cell r="I5849" t="b">
            <v>1</v>
          </cell>
          <cell r="J5849">
            <v>3663.81</v>
          </cell>
          <cell r="K5849">
            <v>0</v>
          </cell>
          <cell r="L5849">
            <v>0</v>
          </cell>
        </row>
        <row r="5850">
          <cell r="A5850" t="str">
            <v>02</v>
          </cell>
          <cell r="B5850" t="str">
            <v>28</v>
          </cell>
          <cell r="C5850" t="str">
            <v>02</v>
          </cell>
          <cell r="D5850" t="str">
            <v>5</v>
          </cell>
          <cell r="E5850" t="str">
            <v>0035</v>
          </cell>
          <cell r="F5850" t="str">
            <v>0002</v>
          </cell>
          <cell r="G5850" t="str">
            <v>52202</v>
          </cell>
          <cell r="H5850" t="str">
            <v>转FVE9956#发票中行扣费</v>
          </cell>
          <cell r="I5850" t="b">
            <v>1</v>
          </cell>
          <cell r="J5850">
            <v>3629.3</v>
          </cell>
          <cell r="K5850">
            <v>0</v>
          </cell>
          <cell r="L5850">
            <v>0</v>
          </cell>
        </row>
        <row r="5851">
          <cell r="A5851" t="str">
            <v>02</v>
          </cell>
          <cell r="B5851" t="str">
            <v>28</v>
          </cell>
          <cell r="C5851" t="str">
            <v>02</v>
          </cell>
          <cell r="D5851" t="str">
            <v>5</v>
          </cell>
          <cell r="E5851" t="str">
            <v>0036</v>
          </cell>
          <cell r="F5851" t="str">
            <v>0001</v>
          </cell>
          <cell r="G5851" t="str">
            <v>52202</v>
          </cell>
          <cell r="H5851" t="str">
            <v>转FVE9962.67#发票国外扣费</v>
          </cell>
          <cell r="I5851" t="b">
            <v>1</v>
          </cell>
          <cell r="J5851">
            <v>7138.78</v>
          </cell>
          <cell r="K5851">
            <v>0</v>
          </cell>
          <cell r="L5851">
            <v>0</v>
          </cell>
        </row>
        <row r="5852">
          <cell r="A5852" t="str">
            <v>02</v>
          </cell>
          <cell r="B5852" t="str">
            <v>28</v>
          </cell>
          <cell r="C5852" t="str">
            <v>02</v>
          </cell>
          <cell r="D5852" t="str">
            <v>5</v>
          </cell>
          <cell r="E5852" t="str">
            <v>0036</v>
          </cell>
          <cell r="F5852" t="str">
            <v>0003</v>
          </cell>
          <cell r="G5852" t="str">
            <v>52202</v>
          </cell>
          <cell r="H5852" t="str">
            <v>转FVE9965#发票中行扣费</v>
          </cell>
          <cell r="I5852" t="b">
            <v>1</v>
          </cell>
          <cell r="J5852">
            <v>908.27</v>
          </cell>
          <cell r="K5852">
            <v>0</v>
          </cell>
          <cell r="L5852">
            <v>0</v>
          </cell>
        </row>
        <row r="5853">
          <cell r="A5853" t="str">
            <v>02</v>
          </cell>
          <cell r="B5853" t="str">
            <v>28</v>
          </cell>
          <cell r="C5853" t="str">
            <v>02</v>
          </cell>
          <cell r="D5853" t="str">
            <v>5</v>
          </cell>
          <cell r="E5853" t="str">
            <v>0037</v>
          </cell>
          <cell r="F5853" t="str">
            <v>0002</v>
          </cell>
          <cell r="G5853" t="str">
            <v>52202</v>
          </cell>
          <cell r="H5853" t="str">
            <v>转FVE9942-9946#发票受益人付费</v>
          </cell>
          <cell r="I5853" t="b">
            <v>1</v>
          </cell>
          <cell r="J5853">
            <v>4669.0600000000004</v>
          </cell>
          <cell r="K5853">
            <v>0</v>
          </cell>
          <cell r="L5853">
            <v>0</v>
          </cell>
        </row>
        <row r="5854">
          <cell r="A5854" t="str">
            <v>02</v>
          </cell>
          <cell r="B5854" t="str">
            <v>28</v>
          </cell>
          <cell r="C5854" t="str">
            <v>02</v>
          </cell>
          <cell r="D5854" t="str">
            <v>5</v>
          </cell>
          <cell r="E5854" t="str">
            <v>0038</v>
          </cell>
          <cell r="F5854" t="str">
            <v>0002</v>
          </cell>
          <cell r="G5854" t="str">
            <v>52202</v>
          </cell>
          <cell r="H5854" t="str">
            <v>转FVE9952.53#发票受益人付费</v>
          </cell>
          <cell r="I5854" t="b">
            <v>1</v>
          </cell>
          <cell r="J5854">
            <v>1169.44</v>
          </cell>
          <cell r="K5854">
            <v>0</v>
          </cell>
          <cell r="L5854">
            <v>0</v>
          </cell>
        </row>
        <row r="5855">
          <cell r="A5855" t="str">
            <v>02</v>
          </cell>
          <cell r="B5855" t="str">
            <v>28</v>
          </cell>
          <cell r="C5855" t="str">
            <v>02</v>
          </cell>
          <cell r="D5855" t="str">
            <v>5</v>
          </cell>
          <cell r="E5855" t="str">
            <v>0039</v>
          </cell>
          <cell r="F5855" t="str">
            <v>0002</v>
          </cell>
          <cell r="G5855" t="str">
            <v>52202</v>
          </cell>
          <cell r="H5855" t="str">
            <v>转FVE9958#发票受益人付费</v>
          </cell>
          <cell r="I5855" t="b">
            <v>1</v>
          </cell>
          <cell r="J5855">
            <v>534.80999999999995</v>
          </cell>
          <cell r="K5855">
            <v>0</v>
          </cell>
          <cell r="L5855">
            <v>0</v>
          </cell>
        </row>
        <row r="5856">
          <cell r="A5856" t="str">
            <v>02</v>
          </cell>
          <cell r="B5856" t="str">
            <v>28</v>
          </cell>
          <cell r="C5856" t="str">
            <v>02</v>
          </cell>
          <cell r="D5856" t="str">
            <v>5</v>
          </cell>
          <cell r="E5856" t="str">
            <v>0040</v>
          </cell>
          <cell r="F5856" t="str">
            <v>0001</v>
          </cell>
          <cell r="G5856" t="str">
            <v>52202</v>
          </cell>
          <cell r="H5856" t="str">
            <v>0狥VE9960#发票受益人付费</v>
          </cell>
          <cell r="I5856" t="b">
            <v>1</v>
          </cell>
          <cell r="J5856">
            <v>753.53</v>
          </cell>
          <cell r="K5856">
            <v>0</v>
          </cell>
          <cell r="L5856">
            <v>0</v>
          </cell>
        </row>
        <row r="5857">
          <cell r="A5857" t="str">
            <v>02</v>
          </cell>
          <cell r="B5857" t="str">
            <v>29</v>
          </cell>
          <cell r="C5857" t="str">
            <v>02</v>
          </cell>
          <cell r="D5857" t="str">
            <v>5</v>
          </cell>
          <cell r="E5857" t="str">
            <v>0056</v>
          </cell>
          <cell r="F5857" t="str">
            <v>0003</v>
          </cell>
          <cell r="G5857" t="str">
            <v>52202</v>
          </cell>
          <cell r="H5857" t="str">
            <v>结转本月财务费用</v>
          </cell>
          <cell r="I5857" t="b">
            <v>0</v>
          </cell>
          <cell r="J5857">
            <v>38594.94</v>
          </cell>
          <cell r="K5857">
            <v>0</v>
          </cell>
          <cell r="L5857">
            <v>0</v>
          </cell>
        </row>
        <row r="5858">
          <cell r="A5858" t="str">
            <v>03</v>
          </cell>
          <cell r="B5858" t="str">
            <v>24</v>
          </cell>
          <cell r="C5858" t="str">
            <v>03</v>
          </cell>
          <cell r="D5858" t="str">
            <v>2</v>
          </cell>
          <cell r="E5858" t="str">
            <v>0022</v>
          </cell>
          <cell r="F5858" t="str">
            <v>0001</v>
          </cell>
          <cell r="G5858" t="str">
            <v>52202</v>
          </cell>
          <cell r="H5858" t="str">
            <v>付手续费</v>
          </cell>
          <cell r="I5858" t="b">
            <v>1</v>
          </cell>
          <cell r="J5858">
            <v>5544.73</v>
          </cell>
          <cell r="K5858">
            <v>0</v>
          </cell>
          <cell r="L5858">
            <v>0</v>
          </cell>
        </row>
        <row r="5859">
          <cell r="A5859" t="str">
            <v>03</v>
          </cell>
          <cell r="B5859" t="str">
            <v>17</v>
          </cell>
          <cell r="C5859" t="str">
            <v>03</v>
          </cell>
          <cell r="D5859" t="str">
            <v>3</v>
          </cell>
          <cell r="E5859" t="str">
            <v>0012</v>
          </cell>
          <cell r="F5859" t="str">
            <v>0004</v>
          </cell>
          <cell r="G5859" t="str">
            <v>52202</v>
          </cell>
          <cell r="H5859" t="str">
            <v>订外汇差额(FVE9954)</v>
          </cell>
          <cell r="I5859" t="b">
            <v>1</v>
          </cell>
          <cell r="J5859">
            <v>-297.58</v>
          </cell>
          <cell r="K5859">
            <v>0</v>
          </cell>
          <cell r="L5859">
            <v>0</v>
          </cell>
        </row>
        <row r="5860">
          <cell r="A5860" t="str">
            <v>03</v>
          </cell>
          <cell r="B5860" t="str">
            <v>01</v>
          </cell>
          <cell r="C5860" t="str">
            <v>03</v>
          </cell>
          <cell r="D5860" t="str">
            <v>4</v>
          </cell>
          <cell r="E5860" t="str">
            <v>0001</v>
          </cell>
          <cell r="F5860" t="str">
            <v>0001</v>
          </cell>
          <cell r="G5860" t="str">
            <v>52202</v>
          </cell>
          <cell r="H5860" t="str">
            <v>付支票手续费</v>
          </cell>
          <cell r="I5860" t="b">
            <v>1</v>
          </cell>
          <cell r="J5860">
            <v>20</v>
          </cell>
          <cell r="K5860">
            <v>0</v>
          </cell>
          <cell r="L5860">
            <v>0</v>
          </cell>
        </row>
        <row r="5861">
          <cell r="A5861" t="str">
            <v>03</v>
          </cell>
          <cell r="B5861" t="str">
            <v>02</v>
          </cell>
          <cell r="C5861" t="str">
            <v>03</v>
          </cell>
          <cell r="D5861" t="str">
            <v>4</v>
          </cell>
          <cell r="E5861" t="str">
            <v>0007</v>
          </cell>
          <cell r="F5861" t="str">
            <v>0002</v>
          </cell>
          <cell r="G5861" t="str">
            <v>52202</v>
          </cell>
          <cell r="H5861" t="str">
            <v>付支票工本费.手续费</v>
          </cell>
          <cell r="I5861" t="b">
            <v>1</v>
          </cell>
          <cell r="J5861">
            <v>40</v>
          </cell>
          <cell r="K5861">
            <v>0</v>
          </cell>
          <cell r="L5861">
            <v>0</v>
          </cell>
        </row>
        <row r="5862">
          <cell r="A5862" t="str">
            <v>03</v>
          </cell>
          <cell r="B5862" t="str">
            <v>12</v>
          </cell>
          <cell r="C5862" t="str">
            <v>03</v>
          </cell>
          <cell r="D5862" t="str">
            <v>4</v>
          </cell>
          <cell r="E5862" t="str">
            <v>0014</v>
          </cell>
          <cell r="F5862" t="str">
            <v>0001</v>
          </cell>
          <cell r="G5862" t="str">
            <v>52202</v>
          </cell>
          <cell r="H5862" t="str">
            <v>付结算手续费</v>
          </cell>
          <cell r="I5862" t="b">
            <v>1</v>
          </cell>
          <cell r="J5862">
            <v>135</v>
          </cell>
          <cell r="K5862">
            <v>0</v>
          </cell>
          <cell r="L5862">
            <v>0</v>
          </cell>
        </row>
        <row r="5863">
          <cell r="A5863" t="str">
            <v>03</v>
          </cell>
          <cell r="B5863" t="str">
            <v>27</v>
          </cell>
          <cell r="C5863" t="str">
            <v>03</v>
          </cell>
          <cell r="D5863" t="str">
            <v>5</v>
          </cell>
          <cell r="E5863" t="str">
            <v>0009</v>
          </cell>
          <cell r="F5863" t="str">
            <v>0002</v>
          </cell>
          <cell r="G5863" t="str">
            <v>52202</v>
          </cell>
          <cell r="H5863" t="str">
            <v>转手续费</v>
          </cell>
          <cell r="I5863" t="b">
            <v>1</v>
          </cell>
          <cell r="J5863">
            <v>6928.9</v>
          </cell>
          <cell r="K5863">
            <v>0</v>
          </cell>
          <cell r="L5863">
            <v>0</v>
          </cell>
        </row>
        <row r="5864">
          <cell r="A5864" t="str">
            <v>03</v>
          </cell>
          <cell r="B5864" t="str">
            <v>28</v>
          </cell>
          <cell r="C5864" t="str">
            <v>03</v>
          </cell>
          <cell r="D5864" t="str">
            <v>5</v>
          </cell>
          <cell r="E5864" t="str">
            <v>0017</v>
          </cell>
          <cell r="F5864" t="str">
            <v>0002</v>
          </cell>
          <cell r="G5864" t="str">
            <v>52202</v>
          </cell>
          <cell r="H5864" t="str">
            <v>转FVE9966#发票中行扣费</v>
          </cell>
          <cell r="I5864" t="b">
            <v>1</v>
          </cell>
          <cell r="J5864">
            <v>3283.28</v>
          </cell>
          <cell r="K5864">
            <v>0</v>
          </cell>
          <cell r="L5864">
            <v>0</v>
          </cell>
        </row>
        <row r="5865">
          <cell r="A5865" t="str">
            <v>03</v>
          </cell>
          <cell r="B5865" t="str">
            <v>28</v>
          </cell>
          <cell r="C5865" t="str">
            <v>03</v>
          </cell>
          <cell r="D5865" t="str">
            <v>5</v>
          </cell>
          <cell r="E5865" t="str">
            <v>0019</v>
          </cell>
          <cell r="F5865" t="str">
            <v>0001</v>
          </cell>
          <cell r="G5865" t="str">
            <v>52202</v>
          </cell>
          <cell r="H5865" t="str">
            <v>转FVE9963#发票受益人付费</v>
          </cell>
          <cell r="I5865" t="b">
            <v>1</v>
          </cell>
          <cell r="J5865">
            <v>1772.66</v>
          </cell>
          <cell r="K5865">
            <v>0</v>
          </cell>
          <cell r="L5865">
            <v>0</v>
          </cell>
        </row>
        <row r="5866">
          <cell r="A5866" t="str">
            <v>03</v>
          </cell>
          <cell r="B5866" t="str">
            <v>28</v>
          </cell>
          <cell r="C5866" t="str">
            <v>03</v>
          </cell>
          <cell r="D5866" t="str">
            <v>5</v>
          </cell>
          <cell r="E5866" t="str">
            <v>0020</v>
          </cell>
          <cell r="F5866" t="str">
            <v>0001</v>
          </cell>
          <cell r="G5866" t="str">
            <v>52202</v>
          </cell>
          <cell r="H5866" t="str">
            <v>转FVE9972#发票受益人付费</v>
          </cell>
          <cell r="I5866" t="b">
            <v>1</v>
          </cell>
          <cell r="J5866">
            <v>625.37</v>
          </cell>
          <cell r="K5866">
            <v>0</v>
          </cell>
          <cell r="L5866">
            <v>0</v>
          </cell>
        </row>
        <row r="5867">
          <cell r="A5867" t="str">
            <v>03</v>
          </cell>
          <cell r="B5867" t="str">
            <v>28</v>
          </cell>
          <cell r="C5867" t="str">
            <v>03</v>
          </cell>
          <cell r="D5867" t="str">
            <v>5</v>
          </cell>
          <cell r="E5867" t="str">
            <v>0022</v>
          </cell>
          <cell r="F5867" t="str">
            <v>0001</v>
          </cell>
          <cell r="G5867" t="str">
            <v>52202</v>
          </cell>
          <cell r="H5867" t="str">
            <v>转FVE9957#发票受益人付费</v>
          </cell>
          <cell r="I5867" t="b">
            <v>1</v>
          </cell>
          <cell r="J5867">
            <v>526.88</v>
          </cell>
          <cell r="K5867">
            <v>0</v>
          </cell>
          <cell r="L5867">
            <v>0</v>
          </cell>
        </row>
        <row r="5868">
          <cell r="A5868" t="str">
            <v>03</v>
          </cell>
          <cell r="B5868" t="str">
            <v>30</v>
          </cell>
          <cell r="C5868" t="str">
            <v>03</v>
          </cell>
          <cell r="D5868" t="str">
            <v>5</v>
          </cell>
          <cell r="E5868" t="str">
            <v>0030</v>
          </cell>
          <cell r="F5868" t="str">
            <v>0003</v>
          </cell>
          <cell r="G5868" t="str">
            <v>52202</v>
          </cell>
          <cell r="H5868" t="str">
            <v>结转本月财务费用</v>
          </cell>
          <cell r="I5868" t="b">
            <v>0</v>
          </cell>
          <cell r="J5868">
            <v>18579.240000000002</v>
          </cell>
          <cell r="K5868">
            <v>0</v>
          </cell>
          <cell r="L5868">
            <v>0</v>
          </cell>
        </row>
        <row r="5869">
          <cell r="A5869" t="str">
            <v>04</v>
          </cell>
          <cell r="B5869" t="str">
            <v>05</v>
          </cell>
          <cell r="C5869" t="str">
            <v>04</v>
          </cell>
          <cell r="D5869" t="str">
            <v>4</v>
          </cell>
          <cell r="E5869" t="str">
            <v>0005</v>
          </cell>
          <cell r="F5869" t="str">
            <v>0001</v>
          </cell>
          <cell r="G5869" t="str">
            <v>52202</v>
          </cell>
          <cell r="H5869" t="str">
            <v>付邮电手续费</v>
          </cell>
          <cell r="I5869" t="b">
            <v>1</v>
          </cell>
          <cell r="J5869">
            <v>1468.93</v>
          </cell>
          <cell r="K5869">
            <v>0</v>
          </cell>
          <cell r="L5869">
            <v>0</v>
          </cell>
        </row>
        <row r="5870">
          <cell r="A5870" t="str">
            <v>04</v>
          </cell>
          <cell r="B5870" t="str">
            <v>19</v>
          </cell>
          <cell r="C5870" t="str">
            <v>04</v>
          </cell>
          <cell r="D5870" t="str">
            <v>4</v>
          </cell>
          <cell r="E5870" t="str">
            <v>0019</v>
          </cell>
          <cell r="F5870" t="str">
            <v>0001</v>
          </cell>
          <cell r="G5870" t="str">
            <v>52202</v>
          </cell>
          <cell r="H5870" t="str">
            <v>付手续费USD12.56*8.2663</v>
          </cell>
          <cell r="I5870" t="b">
            <v>1</v>
          </cell>
          <cell r="J5870">
            <v>103.82</v>
          </cell>
          <cell r="K5870">
            <v>0</v>
          </cell>
          <cell r="L5870">
            <v>0</v>
          </cell>
        </row>
        <row r="5871">
          <cell r="A5871" t="str">
            <v>04</v>
          </cell>
          <cell r="B5871" t="str">
            <v>19</v>
          </cell>
          <cell r="C5871" t="str">
            <v>04</v>
          </cell>
          <cell r="D5871" t="str">
            <v>4</v>
          </cell>
          <cell r="E5871" t="str">
            <v>0021</v>
          </cell>
          <cell r="F5871" t="str">
            <v>0002</v>
          </cell>
          <cell r="G5871" t="str">
            <v>52202</v>
          </cell>
          <cell r="H5871" t="str">
            <v>付国投借款手续费</v>
          </cell>
          <cell r="I5871" t="b">
            <v>1</v>
          </cell>
          <cell r="J5871">
            <v>102933.33</v>
          </cell>
          <cell r="K5871">
            <v>0</v>
          </cell>
          <cell r="L5871">
            <v>0</v>
          </cell>
        </row>
        <row r="5872">
          <cell r="A5872" t="str">
            <v>04</v>
          </cell>
          <cell r="B5872" t="str">
            <v>20</v>
          </cell>
          <cell r="C5872" t="str">
            <v>04</v>
          </cell>
          <cell r="D5872" t="str">
            <v>4</v>
          </cell>
          <cell r="E5872" t="str">
            <v>0029</v>
          </cell>
          <cell r="F5872" t="str">
            <v>0001</v>
          </cell>
          <cell r="G5872" t="str">
            <v>52202</v>
          </cell>
          <cell r="H5872" t="str">
            <v>付手续费</v>
          </cell>
          <cell r="I5872" t="b">
            <v>1</v>
          </cell>
          <cell r="J5872">
            <v>73.2</v>
          </cell>
          <cell r="K5872">
            <v>0</v>
          </cell>
          <cell r="L5872">
            <v>0</v>
          </cell>
        </row>
        <row r="5873">
          <cell r="A5873" t="str">
            <v>04</v>
          </cell>
          <cell r="B5873" t="str">
            <v>26</v>
          </cell>
          <cell r="C5873" t="str">
            <v>04</v>
          </cell>
          <cell r="D5873" t="str">
            <v>5</v>
          </cell>
          <cell r="E5873" t="str">
            <v>0026</v>
          </cell>
          <cell r="F5873" t="str">
            <v>0002</v>
          </cell>
          <cell r="G5873" t="str">
            <v>52202</v>
          </cell>
          <cell r="H5873" t="str">
            <v>转FVE9968#发票中行扣费</v>
          </cell>
          <cell r="I5873" t="b">
            <v>1</v>
          </cell>
          <cell r="J5873">
            <v>2133.7199999999998</v>
          </cell>
          <cell r="K5873">
            <v>0</v>
          </cell>
          <cell r="L5873">
            <v>0</v>
          </cell>
        </row>
        <row r="5874">
          <cell r="A5874" t="str">
            <v>04</v>
          </cell>
          <cell r="B5874" t="str">
            <v>26</v>
          </cell>
          <cell r="C5874" t="str">
            <v>04</v>
          </cell>
          <cell r="D5874" t="str">
            <v>5</v>
          </cell>
          <cell r="E5874" t="str">
            <v>0027</v>
          </cell>
          <cell r="F5874" t="str">
            <v>0001</v>
          </cell>
          <cell r="G5874" t="str">
            <v>52202</v>
          </cell>
          <cell r="H5874" t="str">
            <v>转FVE9981#发票中行扣费</v>
          </cell>
          <cell r="I5874" t="b">
            <v>1</v>
          </cell>
          <cell r="J5874">
            <v>192.71</v>
          </cell>
          <cell r="K5874">
            <v>0</v>
          </cell>
          <cell r="L5874">
            <v>0</v>
          </cell>
        </row>
        <row r="5875">
          <cell r="A5875" t="str">
            <v>04</v>
          </cell>
          <cell r="B5875" t="str">
            <v>26</v>
          </cell>
          <cell r="C5875" t="str">
            <v>04</v>
          </cell>
          <cell r="D5875" t="str">
            <v>5</v>
          </cell>
          <cell r="E5875" t="str">
            <v>0028</v>
          </cell>
          <cell r="F5875" t="str">
            <v>0002</v>
          </cell>
          <cell r="G5875" t="str">
            <v>52202</v>
          </cell>
          <cell r="H5875" t="str">
            <v>转FVE9969#发票中行扣费</v>
          </cell>
          <cell r="I5875" t="b">
            <v>1</v>
          </cell>
          <cell r="J5875">
            <v>2105.2199999999998</v>
          </cell>
          <cell r="K5875">
            <v>0</v>
          </cell>
          <cell r="L5875">
            <v>0</v>
          </cell>
        </row>
        <row r="5876">
          <cell r="A5876" t="str">
            <v>04</v>
          </cell>
          <cell r="B5876" t="str">
            <v>29</v>
          </cell>
          <cell r="C5876" t="str">
            <v>04</v>
          </cell>
          <cell r="D5876" t="str">
            <v>5</v>
          </cell>
          <cell r="E5876" t="str">
            <v>0036</v>
          </cell>
          <cell r="F5876" t="str">
            <v>0003</v>
          </cell>
          <cell r="G5876" t="str">
            <v>52202</v>
          </cell>
          <cell r="H5876" t="str">
            <v>结转本月财务费用</v>
          </cell>
          <cell r="I5876" t="b">
            <v>0</v>
          </cell>
          <cell r="J5876">
            <v>109010.93</v>
          </cell>
          <cell r="K5876">
            <v>0</v>
          </cell>
          <cell r="L5876">
            <v>0</v>
          </cell>
        </row>
        <row r="5877">
          <cell r="A5877" t="str">
            <v>05</v>
          </cell>
          <cell r="B5877" t="str">
            <v>11</v>
          </cell>
          <cell r="C5877" t="str">
            <v>05</v>
          </cell>
          <cell r="D5877" t="str">
            <v>4</v>
          </cell>
          <cell r="E5877" t="str">
            <v>0006</v>
          </cell>
          <cell r="F5877" t="str">
            <v>0002</v>
          </cell>
          <cell r="G5877" t="str">
            <v>52202</v>
          </cell>
          <cell r="H5877" t="str">
            <v>付手续费</v>
          </cell>
          <cell r="I5877" t="b">
            <v>1</v>
          </cell>
          <cell r="J5877">
            <v>261.45</v>
          </cell>
          <cell r="K5877">
            <v>0</v>
          </cell>
          <cell r="L5877">
            <v>0</v>
          </cell>
        </row>
        <row r="5878">
          <cell r="A5878" t="str">
            <v>05</v>
          </cell>
          <cell r="B5878" t="str">
            <v>23</v>
          </cell>
          <cell r="C5878" t="str">
            <v>05</v>
          </cell>
          <cell r="D5878" t="str">
            <v>4</v>
          </cell>
          <cell r="E5878" t="str">
            <v>0020</v>
          </cell>
          <cell r="F5878" t="str">
            <v>0001</v>
          </cell>
          <cell r="G5878" t="str">
            <v>52202</v>
          </cell>
          <cell r="H5878" t="str">
            <v>付手续费</v>
          </cell>
          <cell r="I5878" t="b">
            <v>1</v>
          </cell>
          <cell r="J5878">
            <v>82.6</v>
          </cell>
          <cell r="K5878">
            <v>0</v>
          </cell>
          <cell r="L5878">
            <v>0</v>
          </cell>
        </row>
        <row r="5879">
          <cell r="A5879" t="str">
            <v>05</v>
          </cell>
          <cell r="B5879" t="str">
            <v>26</v>
          </cell>
          <cell r="C5879" t="str">
            <v>05</v>
          </cell>
          <cell r="D5879" t="str">
            <v>5</v>
          </cell>
          <cell r="E5879" t="str">
            <v>0019</v>
          </cell>
          <cell r="F5879" t="str">
            <v>0001</v>
          </cell>
          <cell r="G5879" t="str">
            <v>52202</v>
          </cell>
          <cell r="H5879" t="str">
            <v>转FVE9964#发票中行扣费</v>
          </cell>
          <cell r="I5879" t="b">
            <v>1</v>
          </cell>
          <cell r="J5879">
            <v>2933.61</v>
          </cell>
          <cell r="K5879">
            <v>0</v>
          </cell>
          <cell r="L5879">
            <v>0</v>
          </cell>
        </row>
        <row r="5880">
          <cell r="A5880" t="str">
            <v>05</v>
          </cell>
          <cell r="B5880" t="str">
            <v>26</v>
          </cell>
          <cell r="C5880" t="str">
            <v>05</v>
          </cell>
          <cell r="D5880" t="str">
            <v>5</v>
          </cell>
          <cell r="E5880" t="str">
            <v>0020</v>
          </cell>
          <cell r="F5880" t="str">
            <v>0001</v>
          </cell>
          <cell r="G5880" t="str">
            <v>52202</v>
          </cell>
          <cell r="H5880" t="str">
            <v>转FVE9986#发票受益人付费</v>
          </cell>
          <cell r="I5880" t="b">
            <v>1</v>
          </cell>
          <cell r="J5880">
            <v>2112.71</v>
          </cell>
          <cell r="K5880">
            <v>0</v>
          </cell>
          <cell r="L5880">
            <v>0</v>
          </cell>
        </row>
        <row r="5881">
          <cell r="A5881" t="str">
            <v>05</v>
          </cell>
          <cell r="B5881" t="str">
            <v>26</v>
          </cell>
          <cell r="C5881" t="str">
            <v>05</v>
          </cell>
          <cell r="D5881" t="str">
            <v>5</v>
          </cell>
          <cell r="E5881" t="str">
            <v>0021</v>
          </cell>
          <cell r="F5881" t="str">
            <v>0002</v>
          </cell>
          <cell r="G5881" t="str">
            <v>52202</v>
          </cell>
          <cell r="H5881" t="str">
            <v>转FVE9970#发票中行扣费USD73.89</v>
          </cell>
          <cell r="I5881" t="b">
            <v>1</v>
          </cell>
          <cell r="J5881">
            <v>610.79999999999995</v>
          </cell>
          <cell r="K5881">
            <v>0</v>
          </cell>
          <cell r="L5881">
            <v>0</v>
          </cell>
        </row>
        <row r="5882">
          <cell r="A5882" t="str">
            <v>05</v>
          </cell>
          <cell r="B5882" t="str">
            <v>26</v>
          </cell>
          <cell r="C5882" t="str">
            <v>05</v>
          </cell>
          <cell r="D5882" t="str">
            <v>5</v>
          </cell>
          <cell r="E5882" t="str">
            <v>0022</v>
          </cell>
          <cell r="F5882" t="str">
            <v>0001</v>
          </cell>
          <cell r="G5882" t="str">
            <v>52202</v>
          </cell>
          <cell r="H5882" t="str">
            <v>转FVE9979#发票受益人付费</v>
          </cell>
          <cell r="I5882" t="b">
            <v>1</v>
          </cell>
          <cell r="J5882">
            <v>1073.5</v>
          </cell>
          <cell r="K5882">
            <v>0</v>
          </cell>
          <cell r="L5882">
            <v>0</v>
          </cell>
        </row>
        <row r="5883">
          <cell r="A5883" t="str">
            <v>05</v>
          </cell>
          <cell r="B5883" t="str">
            <v>26</v>
          </cell>
          <cell r="C5883" t="str">
            <v>05</v>
          </cell>
          <cell r="D5883" t="str">
            <v>5</v>
          </cell>
          <cell r="E5883" t="str">
            <v>0024</v>
          </cell>
          <cell r="F5883" t="str">
            <v>0001</v>
          </cell>
          <cell r="G5883" t="str">
            <v>52202</v>
          </cell>
          <cell r="H5883" t="str">
            <v>转FVE9959#发票费用</v>
          </cell>
          <cell r="I5883" t="b">
            <v>1</v>
          </cell>
          <cell r="J5883">
            <v>949.72</v>
          </cell>
          <cell r="K5883">
            <v>0</v>
          </cell>
          <cell r="L5883">
            <v>0</v>
          </cell>
        </row>
        <row r="5884">
          <cell r="A5884" t="str">
            <v>05</v>
          </cell>
          <cell r="B5884" t="str">
            <v>26</v>
          </cell>
          <cell r="C5884" t="str">
            <v>05</v>
          </cell>
          <cell r="D5884" t="str">
            <v>5</v>
          </cell>
          <cell r="E5884" t="str">
            <v>0025</v>
          </cell>
          <cell r="F5884" t="str">
            <v>0001</v>
          </cell>
          <cell r="G5884" t="str">
            <v>52202</v>
          </cell>
          <cell r="H5884" t="str">
            <v>转FVE9964#发票费用USD175.24</v>
          </cell>
          <cell r="I5884" t="b">
            <v>1</v>
          </cell>
          <cell r="J5884">
            <v>1448.73</v>
          </cell>
          <cell r="K5884">
            <v>0</v>
          </cell>
          <cell r="L5884">
            <v>0</v>
          </cell>
        </row>
        <row r="5885">
          <cell r="A5885" t="str">
            <v>05</v>
          </cell>
          <cell r="B5885" t="str">
            <v>26</v>
          </cell>
          <cell r="C5885" t="str">
            <v>05</v>
          </cell>
          <cell r="D5885" t="str">
            <v>5</v>
          </cell>
          <cell r="E5885" t="str">
            <v>0026</v>
          </cell>
          <cell r="F5885" t="str">
            <v>0001</v>
          </cell>
          <cell r="G5885" t="str">
            <v>52202</v>
          </cell>
          <cell r="H5885" t="str">
            <v>补3月份5-9号凭证59#发票少计</v>
          </cell>
          <cell r="I5885" t="b">
            <v>1</v>
          </cell>
          <cell r="J5885">
            <v>489.14</v>
          </cell>
          <cell r="K5885">
            <v>0</v>
          </cell>
          <cell r="L5885">
            <v>0</v>
          </cell>
        </row>
        <row r="5886">
          <cell r="A5886" t="str">
            <v>05</v>
          </cell>
          <cell r="B5886" t="str">
            <v>31</v>
          </cell>
          <cell r="C5886" t="str">
            <v>05</v>
          </cell>
          <cell r="D5886" t="str">
            <v>5</v>
          </cell>
          <cell r="E5886" t="str">
            <v>0037</v>
          </cell>
          <cell r="F5886" t="str">
            <v>0003</v>
          </cell>
          <cell r="G5886" t="str">
            <v>52202</v>
          </cell>
          <cell r="H5886" t="str">
            <v>结转本月财务费用</v>
          </cell>
          <cell r="I5886" t="b">
            <v>0</v>
          </cell>
          <cell r="J5886">
            <v>9962.26</v>
          </cell>
          <cell r="K5886">
            <v>0</v>
          </cell>
          <cell r="L5886">
            <v>0</v>
          </cell>
        </row>
        <row r="5887">
          <cell r="A5887" t="str">
            <v>06</v>
          </cell>
          <cell r="B5887" t="str">
            <v>16</v>
          </cell>
          <cell r="C5887" t="str">
            <v>06</v>
          </cell>
          <cell r="D5887" t="str">
            <v>4</v>
          </cell>
          <cell r="E5887" t="str">
            <v>0006</v>
          </cell>
          <cell r="F5887" t="str">
            <v>0002</v>
          </cell>
          <cell r="G5887" t="str">
            <v>52202</v>
          </cell>
          <cell r="H5887" t="str">
            <v>付手续费</v>
          </cell>
          <cell r="I5887" t="b">
            <v>1</v>
          </cell>
          <cell r="J5887">
            <v>1328.53</v>
          </cell>
          <cell r="K5887">
            <v>0</v>
          </cell>
          <cell r="L5887">
            <v>0</v>
          </cell>
        </row>
        <row r="5888">
          <cell r="A5888" t="str">
            <v>06</v>
          </cell>
          <cell r="B5888" t="str">
            <v>23</v>
          </cell>
          <cell r="C5888" t="str">
            <v>06</v>
          </cell>
          <cell r="D5888" t="str">
            <v>5</v>
          </cell>
          <cell r="E5888" t="str">
            <v>0013</v>
          </cell>
          <cell r="F5888" t="str">
            <v>0002</v>
          </cell>
          <cell r="G5888" t="str">
            <v>52202</v>
          </cell>
          <cell r="H5888" t="str">
            <v>转FVE9987#发票中行扣费</v>
          </cell>
          <cell r="I5888" t="b">
            <v>1</v>
          </cell>
          <cell r="J5888">
            <v>1915.19</v>
          </cell>
          <cell r="K5888">
            <v>0</v>
          </cell>
          <cell r="L5888">
            <v>0</v>
          </cell>
        </row>
        <row r="5889">
          <cell r="A5889" t="str">
            <v>06</v>
          </cell>
          <cell r="B5889" t="str">
            <v>23</v>
          </cell>
          <cell r="C5889" t="str">
            <v>06</v>
          </cell>
          <cell r="D5889" t="str">
            <v>5</v>
          </cell>
          <cell r="E5889" t="str">
            <v>0015</v>
          </cell>
          <cell r="F5889" t="str">
            <v>0001</v>
          </cell>
          <cell r="G5889" t="str">
            <v>52202</v>
          </cell>
          <cell r="H5889" t="str">
            <v>转FVE9980#发票中行扣费USD31.00</v>
          </cell>
          <cell r="I5889" t="b">
            <v>1</v>
          </cell>
          <cell r="J5889">
            <v>256.2</v>
          </cell>
          <cell r="K5889">
            <v>0</v>
          </cell>
          <cell r="L5889">
            <v>0</v>
          </cell>
        </row>
        <row r="5890">
          <cell r="A5890" t="str">
            <v>06</v>
          </cell>
          <cell r="B5890" t="str">
            <v>23</v>
          </cell>
          <cell r="C5890" t="str">
            <v>06</v>
          </cell>
          <cell r="D5890" t="str">
            <v>5</v>
          </cell>
          <cell r="E5890" t="str">
            <v>0015</v>
          </cell>
          <cell r="F5890" t="str">
            <v>0002</v>
          </cell>
          <cell r="G5890" t="str">
            <v>52202</v>
          </cell>
          <cell r="H5890" t="str">
            <v>转FVE9982#发票中行扣费USD31.00</v>
          </cell>
          <cell r="I5890" t="b">
            <v>1</v>
          </cell>
          <cell r="J5890">
            <v>256.2</v>
          </cell>
          <cell r="K5890">
            <v>0</v>
          </cell>
          <cell r="L5890">
            <v>0</v>
          </cell>
        </row>
        <row r="5891">
          <cell r="A5891" t="str">
            <v>06</v>
          </cell>
          <cell r="B5891" t="str">
            <v>23</v>
          </cell>
          <cell r="C5891" t="str">
            <v>06</v>
          </cell>
          <cell r="D5891" t="str">
            <v>5</v>
          </cell>
          <cell r="E5891" t="str">
            <v>0016</v>
          </cell>
          <cell r="F5891" t="str">
            <v>0001</v>
          </cell>
          <cell r="G5891" t="str">
            <v>52202</v>
          </cell>
          <cell r="H5891" t="str">
            <v>转FVE9992#发票中行扣费USD16.00</v>
          </cell>
          <cell r="I5891" t="b">
            <v>1</v>
          </cell>
          <cell r="J5891">
            <v>132.24</v>
          </cell>
          <cell r="K5891">
            <v>0</v>
          </cell>
          <cell r="L5891">
            <v>0</v>
          </cell>
        </row>
        <row r="5892">
          <cell r="A5892" t="str">
            <v>06</v>
          </cell>
          <cell r="B5892" t="str">
            <v>23</v>
          </cell>
          <cell r="C5892" t="str">
            <v>06</v>
          </cell>
          <cell r="D5892" t="str">
            <v>5</v>
          </cell>
          <cell r="E5892" t="str">
            <v>0017</v>
          </cell>
          <cell r="F5892" t="str">
            <v>0001</v>
          </cell>
          <cell r="G5892" t="str">
            <v>52202</v>
          </cell>
          <cell r="H5892" t="str">
            <v>转FVE9989#发票中行扣费USD16.00</v>
          </cell>
          <cell r="I5892" t="b">
            <v>1</v>
          </cell>
          <cell r="J5892">
            <v>132.25</v>
          </cell>
          <cell r="K5892">
            <v>0</v>
          </cell>
          <cell r="L5892">
            <v>0</v>
          </cell>
        </row>
        <row r="5893">
          <cell r="A5893" t="str">
            <v>06</v>
          </cell>
          <cell r="B5893" t="str">
            <v>25</v>
          </cell>
          <cell r="C5893" t="str">
            <v>06</v>
          </cell>
          <cell r="D5893" t="str">
            <v>5</v>
          </cell>
          <cell r="E5893" t="str">
            <v>0026</v>
          </cell>
          <cell r="F5893" t="str">
            <v>0003</v>
          </cell>
          <cell r="G5893" t="str">
            <v>52202</v>
          </cell>
          <cell r="H5893" t="str">
            <v>结转本月财务费用</v>
          </cell>
          <cell r="I5893" t="b">
            <v>0</v>
          </cell>
          <cell r="J5893">
            <v>4020.61</v>
          </cell>
          <cell r="K5893">
            <v>0</v>
          </cell>
          <cell r="L5893">
            <v>0</v>
          </cell>
        </row>
        <row r="5894">
          <cell r="A5894" t="str">
            <v>07</v>
          </cell>
          <cell r="B5894" t="str">
            <v>12</v>
          </cell>
          <cell r="C5894" t="str">
            <v>07</v>
          </cell>
          <cell r="D5894" t="str">
            <v>4</v>
          </cell>
          <cell r="E5894" t="str">
            <v>0008</v>
          </cell>
          <cell r="F5894" t="str">
            <v>0001</v>
          </cell>
          <cell r="G5894" t="str">
            <v>52202</v>
          </cell>
          <cell r="H5894" t="str">
            <v>付手续费</v>
          </cell>
          <cell r="I5894" t="b">
            <v>1</v>
          </cell>
          <cell r="J5894">
            <v>319.60000000000002</v>
          </cell>
          <cell r="K5894">
            <v>0</v>
          </cell>
          <cell r="L5894">
            <v>0</v>
          </cell>
        </row>
        <row r="5895">
          <cell r="A5895" t="str">
            <v>07</v>
          </cell>
          <cell r="B5895" t="str">
            <v>18</v>
          </cell>
          <cell r="C5895" t="str">
            <v>07</v>
          </cell>
          <cell r="D5895" t="str">
            <v>4</v>
          </cell>
          <cell r="E5895" t="str">
            <v>0017</v>
          </cell>
          <cell r="F5895" t="str">
            <v>0001</v>
          </cell>
          <cell r="G5895" t="str">
            <v>52202</v>
          </cell>
          <cell r="H5895" t="str">
            <v>付手续费</v>
          </cell>
          <cell r="I5895" t="b">
            <v>1</v>
          </cell>
          <cell r="J5895">
            <v>48.25</v>
          </cell>
          <cell r="K5895">
            <v>0</v>
          </cell>
          <cell r="L5895">
            <v>0</v>
          </cell>
        </row>
        <row r="5896">
          <cell r="A5896" t="str">
            <v>07</v>
          </cell>
          <cell r="B5896" t="str">
            <v>26</v>
          </cell>
          <cell r="C5896" t="str">
            <v>07</v>
          </cell>
          <cell r="D5896" t="str">
            <v>5</v>
          </cell>
          <cell r="E5896" t="str">
            <v>0024</v>
          </cell>
          <cell r="F5896" t="str">
            <v>0002</v>
          </cell>
          <cell r="G5896" t="str">
            <v>52202</v>
          </cell>
          <cell r="H5896" t="str">
            <v>转FVE9991#发票中行扣费USD31.00</v>
          </cell>
          <cell r="I5896" t="b">
            <v>1</v>
          </cell>
          <cell r="J5896">
            <v>256.27999999999997</v>
          </cell>
          <cell r="K5896">
            <v>0</v>
          </cell>
          <cell r="L5896">
            <v>0</v>
          </cell>
        </row>
        <row r="5897">
          <cell r="A5897" t="str">
            <v>07</v>
          </cell>
          <cell r="B5897" t="str">
            <v>27</v>
          </cell>
          <cell r="C5897" t="str">
            <v>07</v>
          </cell>
          <cell r="D5897" t="str">
            <v>5</v>
          </cell>
          <cell r="E5897" t="str">
            <v>0032</v>
          </cell>
          <cell r="F5897" t="str">
            <v>0001</v>
          </cell>
          <cell r="G5897" t="str">
            <v>52202</v>
          </cell>
          <cell r="H5897" t="str">
            <v>转FVE9983#发票银行扣费</v>
          </cell>
          <cell r="I5897" t="b">
            <v>1</v>
          </cell>
          <cell r="J5897">
            <v>256.27999999999997</v>
          </cell>
          <cell r="K5897">
            <v>0</v>
          </cell>
          <cell r="L5897">
            <v>0</v>
          </cell>
        </row>
        <row r="5898">
          <cell r="A5898" t="str">
            <v>07</v>
          </cell>
          <cell r="B5898" t="str">
            <v>29</v>
          </cell>
          <cell r="C5898" t="str">
            <v>07</v>
          </cell>
          <cell r="D5898" t="str">
            <v>5</v>
          </cell>
          <cell r="E5898" t="str">
            <v>0042</v>
          </cell>
          <cell r="F5898" t="str">
            <v>0003</v>
          </cell>
          <cell r="G5898" t="str">
            <v>52202</v>
          </cell>
          <cell r="H5898" t="str">
            <v>结转本月财务费用</v>
          </cell>
          <cell r="I5898" t="b">
            <v>0</v>
          </cell>
          <cell r="J5898">
            <v>880.41</v>
          </cell>
          <cell r="K5898">
            <v>0</v>
          </cell>
          <cell r="L5898">
            <v>0</v>
          </cell>
        </row>
        <row r="5899">
          <cell r="A5899" t="str">
            <v>08</v>
          </cell>
          <cell r="B5899" t="str">
            <v>05</v>
          </cell>
          <cell r="C5899" t="str">
            <v>08</v>
          </cell>
          <cell r="D5899" t="str">
            <v>2</v>
          </cell>
          <cell r="E5899" t="str">
            <v>0013</v>
          </cell>
          <cell r="F5899" t="str">
            <v>0002</v>
          </cell>
          <cell r="G5899" t="str">
            <v>52202</v>
          </cell>
          <cell r="H5899" t="str">
            <v>付手续费</v>
          </cell>
          <cell r="I5899" t="b">
            <v>1</v>
          </cell>
          <cell r="J5899">
            <v>9895.33</v>
          </cell>
          <cell r="K5899">
            <v>0</v>
          </cell>
          <cell r="L5899">
            <v>0</v>
          </cell>
        </row>
        <row r="5900">
          <cell r="A5900" t="str">
            <v>08</v>
          </cell>
          <cell r="B5900" t="str">
            <v>03</v>
          </cell>
          <cell r="C5900" t="str">
            <v>08</v>
          </cell>
          <cell r="D5900" t="str">
            <v>4</v>
          </cell>
          <cell r="E5900" t="str">
            <v>0003</v>
          </cell>
          <cell r="F5900" t="str">
            <v>0001</v>
          </cell>
          <cell r="G5900" t="str">
            <v>52202</v>
          </cell>
          <cell r="H5900" t="str">
            <v>付手续费</v>
          </cell>
          <cell r="I5900" t="b">
            <v>1</v>
          </cell>
          <cell r="J5900">
            <v>516.35</v>
          </cell>
          <cell r="K5900">
            <v>0</v>
          </cell>
          <cell r="L5900">
            <v>0</v>
          </cell>
        </row>
        <row r="5901">
          <cell r="A5901" t="str">
            <v>08</v>
          </cell>
          <cell r="B5901" t="str">
            <v>18</v>
          </cell>
          <cell r="C5901" t="str">
            <v>08</v>
          </cell>
          <cell r="D5901" t="str">
            <v>4</v>
          </cell>
          <cell r="E5901" t="str">
            <v>0023</v>
          </cell>
          <cell r="F5901" t="str">
            <v>0001</v>
          </cell>
          <cell r="G5901" t="str">
            <v>52202</v>
          </cell>
          <cell r="H5901" t="str">
            <v>付手续费</v>
          </cell>
          <cell r="I5901" t="b">
            <v>1</v>
          </cell>
          <cell r="J5901">
            <v>1501.48</v>
          </cell>
          <cell r="K5901">
            <v>0</v>
          </cell>
          <cell r="L5901">
            <v>0</v>
          </cell>
        </row>
        <row r="5902">
          <cell r="A5902" t="str">
            <v>08</v>
          </cell>
          <cell r="B5902" t="str">
            <v>20</v>
          </cell>
          <cell r="C5902" t="str">
            <v>08</v>
          </cell>
          <cell r="D5902" t="str">
            <v>5</v>
          </cell>
          <cell r="E5902" t="str">
            <v>0004</v>
          </cell>
          <cell r="F5902" t="str">
            <v>0001</v>
          </cell>
          <cell r="G5902" t="str">
            <v>52202</v>
          </cell>
          <cell r="H5902" t="str">
            <v>转FVE99101#发票中行扣费USD13.0</v>
          </cell>
          <cell r="I5902" t="b">
            <v>1</v>
          </cell>
          <cell r="J5902">
            <v>107.44</v>
          </cell>
          <cell r="K5902">
            <v>0</v>
          </cell>
          <cell r="L5902">
            <v>0</v>
          </cell>
        </row>
        <row r="5903">
          <cell r="A5903" t="str">
            <v>08</v>
          </cell>
          <cell r="B5903" t="str">
            <v>20</v>
          </cell>
          <cell r="C5903" t="str">
            <v>08</v>
          </cell>
          <cell r="D5903" t="str">
            <v>5</v>
          </cell>
          <cell r="E5903" t="str">
            <v>0004</v>
          </cell>
          <cell r="F5903" t="str">
            <v>0004</v>
          </cell>
          <cell r="G5903" t="str">
            <v>52202</v>
          </cell>
          <cell r="H5903" t="str">
            <v>转FVE99104#发票中行扣费</v>
          </cell>
          <cell r="I5903" t="b">
            <v>1</v>
          </cell>
          <cell r="J5903">
            <v>149.69999999999999</v>
          </cell>
          <cell r="K5903">
            <v>0</v>
          </cell>
          <cell r="L5903">
            <v>0</v>
          </cell>
        </row>
        <row r="5904">
          <cell r="A5904" t="str">
            <v>08</v>
          </cell>
          <cell r="B5904" t="str">
            <v>20</v>
          </cell>
          <cell r="C5904" t="str">
            <v>08</v>
          </cell>
          <cell r="D5904" t="str">
            <v>5</v>
          </cell>
          <cell r="E5904" t="str">
            <v>0005</v>
          </cell>
          <cell r="F5904" t="str">
            <v>0002</v>
          </cell>
          <cell r="G5904" t="str">
            <v>52202</v>
          </cell>
          <cell r="H5904" t="str">
            <v>转FVE9994#发票中行扣费</v>
          </cell>
          <cell r="I5904" t="b">
            <v>1</v>
          </cell>
          <cell r="J5904">
            <v>256.27999999999997</v>
          </cell>
          <cell r="K5904">
            <v>0</v>
          </cell>
          <cell r="L5904">
            <v>0</v>
          </cell>
        </row>
        <row r="5905">
          <cell r="A5905" t="str">
            <v>08</v>
          </cell>
          <cell r="B5905" t="str">
            <v>24</v>
          </cell>
          <cell r="C5905" t="str">
            <v>08</v>
          </cell>
          <cell r="D5905" t="str">
            <v>5</v>
          </cell>
          <cell r="E5905" t="str">
            <v>0011</v>
          </cell>
          <cell r="F5905" t="str">
            <v>0002</v>
          </cell>
          <cell r="G5905" t="str">
            <v>52202</v>
          </cell>
          <cell r="H5905" t="str">
            <v>转FVE9996#发票中行扣费</v>
          </cell>
          <cell r="I5905" t="b">
            <v>1</v>
          </cell>
          <cell r="J5905">
            <v>256.27</v>
          </cell>
          <cell r="K5905">
            <v>0</v>
          </cell>
          <cell r="L5905">
            <v>0</v>
          </cell>
        </row>
        <row r="5906">
          <cell r="A5906" t="str">
            <v>08</v>
          </cell>
          <cell r="B5906" t="str">
            <v>24</v>
          </cell>
          <cell r="C5906" t="str">
            <v>08</v>
          </cell>
          <cell r="D5906" t="str">
            <v>5</v>
          </cell>
          <cell r="E5906" t="str">
            <v>0012</v>
          </cell>
          <cell r="F5906" t="str">
            <v>0002</v>
          </cell>
          <cell r="G5906" t="str">
            <v>52202</v>
          </cell>
          <cell r="H5906" t="str">
            <v>转FVE9976#发票中行扣费</v>
          </cell>
          <cell r="I5906" t="b">
            <v>1</v>
          </cell>
          <cell r="J5906">
            <v>256.22000000000003</v>
          </cell>
          <cell r="K5906">
            <v>0</v>
          </cell>
          <cell r="L5906">
            <v>0</v>
          </cell>
        </row>
        <row r="5907">
          <cell r="A5907" t="str">
            <v>08</v>
          </cell>
          <cell r="B5907" t="str">
            <v>24</v>
          </cell>
          <cell r="C5907" t="str">
            <v>08</v>
          </cell>
          <cell r="D5907" t="str">
            <v>5</v>
          </cell>
          <cell r="E5907" t="str">
            <v>0013</v>
          </cell>
          <cell r="F5907" t="str">
            <v>0002</v>
          </cell>
          <cell r="G5907" t="str">
            <v>52202</v>
          </cell>
          <cell r="H5907" t="str">
            <v>转FVE99109#发票中行扣费</v>
          </cell>
          <cell r="I5907" t="b">
            <v>1</v>
          </cell>
          <cell r="J5907">
            <v>1988.78</v>
          </cell>
          <cell r="K5907">
            <v>0</v>
          </cell>
          <cell r="L5907">
            <v>0</v>
          </cell>
        </row>
        <row r="5908">
          <cell r="A5908" t="str">
            <v>08</v>
          </cell>
          <cell r="B5908" t="str">
            <v>31</v>
          </cell>
          <cell r="C5908" t="str">
            <v>08</v>
          </cell>
          <cell r="D5908" t="str">
            <v>5</v>
          </cell>
          <cell r="E5908" t="str">
            <v>0033</v>
          </cell>
          <cell r="F5908" t="str">
            <v>0003</v>
          </cell>
          <cell r="G5908" t="str">
            <v>52202</v>
          </cell>
          <cell r="H5908" t="str">
            <v>结转本月财务费用</v>
          </cell>
          <cell r="I5908" t="b">
            <v>0</v>
          </cell>
          <cell r="J5908">
            <v>14927.85</v>
          </cell>
          <cell r="K5908">
            <v>0</v>
          </cell>
          <cell r="L5908">
            <v>0</v>
          </cell>
        </row>
        <row r="5909">
          <cell r="A5909" t="str">
            <v>09</v>
          </cell>
          <cell r="B5909" t="str">
            <v>04</v>
          </cell>
          <cell r="C5909" t="str">
            <v>09</v>
          </cell>
          <cell r="D5909" t="str">
            <v>4</v>
          </cell>
          <cell r="E5909" t="str">
            <v>0005</v>
          </cell>
          <cell r="F5909" t="str">
            <v>0001</v>
          </cell>
          <cell r="G5909" t="str">
            <v>52202</v>
          </cell>
          <cell r="H5909" t="str">
            <v>付手续费</v>
          </cell>
          <cell r="I5909" t="b">
            <v>1</v>
          </cell>
          <cell r="J5909">
            <v>166.25</v>
          </cell>
          <cell r="K5909">
            <v>0</v>
          </cell>
          <cell r="L5909">
            <v>0</v>
          </cell>
        </row>
        <row r="5910">
          <cell r="A5910" t="str">
            <v>09</v>
          </cell>
          <cell r="B5910" t="str">
            <v>20</v>
          </cell>
          <cell r="C5910" t="str">
            <v>09</v>
          </cell>
          <cell r="D5910" t="str">
            <v>4</v>
          </cell>
          <cell r="E5910" t="str">
            <v>0022</v>
          </cell>
          <cell r="F5910" t="str">
            <v>0002</v>
          </cell>
          <cell r="G5910" t="str">
            <v>52202</v>
          </cell>
          <cell r="H5910" t="str">
            <v>付手续费</v>
          </cell>
          <cell r="I5910" t="b">
            <v>1</v>
          </cell>
          <cell r="J5910">
            <v>476.21</v>
          </cell>
          <cell r="K5910">
            <v>0</v>
          </cell>
          <cell r="L5910">
            <v>0</v>
          </cell>
        </row>
        <row r="5911">
          <cell r="A5911" t="str">
            <v>09</v>
          </cell>
          <cell r="B5911" t="str">
            <v>28</v>
          </cell>
          <cell r="C5911" t="str">
            <v>09</v>
          </cell>
          <cell r="D5911" t="str">
            <v>5</v>
          </cell>
          <cell r="E5911" t="str">
            <v>0027</v>
          </cell>
          <cell r="F5911" t="str">
            <v>0001</v>
          </cell>
          <cell r="G5911" t="str">
            <v>52202</v>
          </cell>
          <cell r="H5911" t="str">
            <v>转FVE9984#发票中行扣费</v>
          </cell>
          <cell r="I5911" t="b">
            <v>1</v>
          </cell>
          <cell r="J5911">
            <v>256.25</v>
          </cell>
          <cell r="K5911">
            <v>0</v>
          </cell>
          <cell r="L5911">
            <v>0</v>
          </cell>
        </row>
        <row r="5912">
          <cell r="A5912" t="str">
            <v>09</v>
          </cell>
          <cell r="B5912" t="str">
            <v>28</v>
          </cell>
          <cell r="C5912" t="str">
            <v>09</v>
          </cell>
          <cell r="D5912" t="str">
            <v>5</v>
          </cell>
          <cell r="E5912" t="str">
            <v>0028</v>
          </cell>
          <cell r="F5912" t="str">
            <v>0001</v>
          </cell>
          <cell r="G5912" t="str">
            <v>52202</v>
          </cell>
          <cell r="H5912" t="str">
            <v>转FVE99102#发票中行扣费</v>
          </cell>
          <cell r="I5912" t="b">
            <v>1</v>
          </cell>
          <cell r="J5912">
            <v>256.26</v>
          </cell>
          <cell r="K5912">
            <v>0</v>
          </cell>
          <cell r="L5912">
            <v>0</v>
          </cell>
        </row>
        <row r="5913">
          <cell r="A5913" t="str">
            <v>09</v>
          </cell>
          <cell r="B5913" t="str">
            <v>30</v>
          </cell>
          <cell r="C5913" t="str">
            <v>09</v>
          </cell>
          <cell r="D5913" t="str">
            <v>5</v>
          </cell>
          <cell r="E5913" t="str">
            <v>0038</v>
          </cell>
          <cell r="F5913" t="str">
            <v>0003</v>
          </cell>
          <cell r="G5913" t="str">
            <v>52202</v>
          </cell>
          <cell r="H5913" t="str">
            <v>结转本月财务费用</v>
          </cell>
          <cell r="I5913" t="b">
            <v>0</v>
          </cell>
          <cell r="J5913">
            <v>1154.97</v>
          </cell>
          <cell r="K5913">
            <v>0</v>
          </cell>
          <cell r="L5913">
            <v>0</v>
          </cell>
        </row>
        <row r="5914">
          <cell r="A5914" t="str">
            <v>10</v>
          </cell>
          <cell r="B5914" t="str">
            <v>12</v>
          </cell>
          <cell r="C5914" t="str">
            <v>10</v>
          </cell>
          <cell r="D5914" t="str">
            <v>4</v>
          </cell>
          <cell r="E5914" t="str">
            <v>0013</v>
          </cell>
          <cell r="F5914" t="str">
            <v>0001</v>
          </cell>
          <cell r="G5914" t="str">
            <v>52202</v>
          </cell>
          <cell r="H5914" t="str">
            <v>付手续费</v>
          </cell>
          <cell r="I5914" t="b">
            <v>1</v>
          </cell>
          <cell r="J5914">
            <v>5086.62</v>
          </cell>
          <cell r="K5914">
            <v>0</v>
          </cell>
          <cell r="L5914">
            <v>0</v>
          </cell>
        </row>
        <row r="5915">
          <cell r="A5915" t="str">
            <v>10</v>
          </cell>
          <cell r="B5915" t="str">
            <v>28</v>
          </cell>
          <cell r="C5915" t="str">
            <v>10</v>
          </cell>
          <cell r="D5915" t="str">
            <v>5</v>
          </cell>
          <cell r="E5915" t="str">
            <v>0024</v>
          </cell>
          <cell r="F5915" t="str">
            <v>0001</v>
          </cell>
          <cell r="G5915" t="str">
            <v>52202</v>
          </cell>
          <cell r="H5915" t="str">
            <v>转FVE9993#发票邮电费</v>
          </cell>
          <cell r="I5915" t="b">
            <v>1</v>
          </cell>
          <cell r="J5915">
            <v>256.24</v>
          </cell>
          <cell r="K5915">
            <v>0</v>
          </cell>
          <cell r="L5915">
            <v>0</v>
          </cell>
        </row>
        <row r="5916">
          <cell r="A5916" t="str">
            <v>10</v>
          </cell>
          <cell r="B5916" t="str">
            <v>30</v>
          </cell>
          <cell r="C5916" t="str">
            <v>10</v>
          </cell>
          <cell r="D5916" t="str">
            <v>5</v>
          </cell>
          <cell r="E5916" t="str">
            <v>0032</v>
          </cell>
          <cell r="F5916" t="str">
            <v>0003</v>
          </cell>
          <cell r="G5916" t="str">
            <v>52202</v>
          </cell>
          <cell r="H5916" t="str">
            <v>结转本月财务费用</v>
          </cell>
          <cell r="I5916" t="b">
            <v>0</v>
          </cell>
          <cell r="J5916">
            <v>5342.86</v>
          </cell>
          <cell r="K5916">
            <v>0</v>
          </cell>
          <cell r="L5916">
            <v>0</v>
          </cell>
        </row>
        <row r="5917">
          <cell r="A5917" t="str">
            <v>11</v>
          </cell>
          <cell r="B5917" t="str">
            <v>02</v>
          </cell>
          <cell r="C5917" t="str">
            <v>11</v>
          </cell>
          <cell r="D5917" t="str">
            <v>4</v>
          </cell>
          <cell r="E5917" t="str">
            <v>0003</v>
          </cell>
          <cell r="F5917" t="str">
            <v>0002</v>
          </cell>
          <cell r="G5917" t="str">
            <v>52202</v>
          </cell>
          <cell r="H5917" t="str">
            <v>付结算手续费</v>
          </cell>
          <cell r="I5917" t="b">
            <v>1</v>
          </cell>
          <cell r="J5917">
            <v>555.38</v>
          </cell>
          <cell r="K5917">
            <v>0</v>
          </cell>
          <cell r="L5917">
            <v>0</v>
          </cell>
        </row>
        <row r="5918">
          <cell r="A5918" t="str">
            <v>11</v>
          </cell>
          <cell r="B5918" t="str">
            <v>15</v>
          </cell>
          <cell r="C5918" t="str">
            <v>11</v>
          </cell>
          <cell r="D5918" t="str">
            <v>4</v>
          </cell>
          <cell r="E5918" t="str">
            <v>0023</v>
          </cell>
          <cell r="F5918" t="str">
            <v>0001</v>
          </cell>
          <cell r="G5918" t="str">
            <v>52202</v>
          </cell>
          <cell r="H5918" t="str">
            <v>付手续费</v>
          </cell>
          <cell r="I5918" t="b">
            <v>1</v>
          </cell>
          <cell r="J5918">
            <v>797.83</v>
          </cell>
          <cell r="K5918">
            <v>0</v>
          </cell>
          <cell r="L5918">
            <v>0</v>
          </cell>
        </row>
        <row r="5919">
          <cell r="A5919" t="str">
            <v>11</v>
          </cell>
          <cell r="B5919" t="str">
            <v>22</v>
          </cell>
          <cell r="C5919" t="str">
            <v>11</v>
          </cell>
          <cell r="D5919" t="str">
            <v>4</v>
          </cell>
          <cell r="E5919" t="str">
            <v>0034</v>
          </cell>
          <cell r="F5919" t="str">
            <v>0001</v>
          </cell>
          <cell r="G5919" t="str">
            <v>52202</v>
          </cell>
          <cell r="H5919" t="str">
            <v>付手续费</v>
          </cell>
          <cell r="I5919" t="b">
            <v>1</v>
          </cell>
          <cell r="J5919">
            <v>158.44999999999999</v>
          </cell>
          <cell r="K5919">
            <v>0</v>
          </cell>
          <cell r="L5919">
            <v>0</v>
          </cell>
        </row>
        <row r="5920">
          <cell r="A5920" t="str">
            <v>11</v>
          </cell>
          <cell r="B5920" t="str">
            <v>23</v>
          </cell>
          <cell r="C5920" t="str">
            <v>11</v>
          </cell>
          <cell r="D5920" t="str">
            <v>4</v>
          </cell>
          <cell r="E5920" t="str">
            <v>0040</v>
          </cell>
          <cell r="F5920" t="str">
            <v>0001</v>
          </cell>
          <cell r="G5920" t="str">
            <v>52202</v>
          </cell>
          <cell r="H5920" t="str">
            <v>付手续费</v>
          </cell>
          <cell r="I5920" t="b">
            <v>1</v>
          </cell>
          <cell r="J5920">
            <v>6.85</v>
          </cell>
          <cell r="K5920">
            <v>0</v>
          </cell>
          <cell r="L5920">
            <v>0</v>
          </cell>
        </row>
        <row r="5921">
          <cell r="A5921" t="str">
            <v>11</v>
          </cell>
          <cell r="B5921" t="str">
            <v>30</v>
          </cell>
          <cell r="C5921" t="str">
            <v>11</v>
          </cell>
          <cell r="D5921" t="str">
            <v>5</v>
          </cell>
          <cell r="E5921" t="str">
            <v>0040</v>
          </cell>
          <cell r="F5921" t="str">
            <v>0003</v>
          </cell>
          <cell r="G5921" t="str">
            <v>52202</v>
          </cell>
          <cell r="H5921" t="str">
            <v>结转本月财务费用</v>
          </cell>
          <cell r="I5921" t="b">
            <v>0</v>
          </cell>
          <cell r="J5921">
            <v>1518.51</v>
          </cell>
          <cell r="K5921">
            <v>0</v>
          </cell>
          <cell r="L5921">
            <v>0</v>
          </cell>
        </row>
        <row r="5922">
          <cell r="A5922" t="str">
            <v>12</v>
          </cell>
          <cell r="B5922" t="str">
            <v>10</v>
          </cell>
          <cell r="C5922" t="str">
            <v>12</v>
          </cell>
          <cell r="D5922" t="str">
            <v>4</v>
          </cell>
          <cell r="E5922" t="str">
            <v>0018</v>
          </cell>
          <cell r="F5922" t="str">
            <v>0001</v>
          </cell>
          <cell r="G5922" t="str">
            <v>52202</v>
          </cell>
          <cell r="H5922" t="str">
            <v>付结算手续费</v>
          </cell>
          <cell r="I5922" t="b">
            <v>1</v>
          </cell>
          <cell r="J5922">
            <v>1196.01</v>
          </cell>
          <cell r="K5922">
            <v>0</v>
          </cell>
          <cell r="L5922">
            <v>0</v>
          </cell>
        </row>
        <row r="5923">
          <cell r="A5923" t="str">
            <v>12</v>
          </cell>
          <cell r="B5923" t="str">
            <v>11</v>
          </cell>
          <cell r="C5923" t="str">
            <v>12</v>
          </cell>
          <cell r="D5923" t="str">
            <v>4</v>
          </cell>
          <cell r="E5923" t="str">
            <v>0022</v>
          </cell>
          <cell r="F5923" t="str">
            <v>0002</v>
          </cell>
          <cell r="G5923" t="str">
            <v>52202</v>
          </cell>
          <cell r="H5923" t="str">
            <v>付手续费</v>
          </cell>
          <cell r="I5923" t="b">
            <v>1</v>
          </cell>
          <cell r="J5923">
            <v>13.7</v>
          </cell>
          <cell r="K5923">
            <v>0</v>
          </cell>
          <cell r="L5923">
            <v>0</v>
          </cell>
        </row>
        <row r="5924">
          <cell r="A5924" t="str">
            <v>12</v>
          </cell>
          <cell r="B5924" t="str">
            <v>19</v>
          </cell>
          <cell r="C5924" t="str">
            <v>12</v>
          </cell>
          <cell r="D5924" t="str">
            <v>4</v>
          </cell>
          <cell r="E5924" t="str">
            <v>0025</v>
          </cell>
          <cell r="F5924" t="str">
            <v>0001</v>
          </cell>
          <cell r="G5924" t="str">
            <v>52202</v>
          </cell>
          <cell r="H5924" t="str">
            <v>付手续费</v>
          </cell>
          <cell r="I5924" t="b">
            <v>1</v>
          </cell>
          <cell r="J5924">
            <v>4550</v>
          </cell>
          <cell r="K5924">
            <v>0</v>
          </cell>
          <cell r="L5924">
            <v>0</v>
          </cell>
        </row>
        <row r="5925">
          <cell r="A5925" t="str">
            <v>12</v>
          </cell>
          <cell r="B5925" t="str">
            <v>20</v>
          </cell>
          <cell r="C5925" t="str">
            <v>12</v>
          </cell>
          <cell r="D5925" t="str">
            <v>4</v>
          </cell>
          <cell r="E5925" t="str">
            <v>0043</v>
          </cell>
          <cell r="F5925" t="str">
            <v>0001</v>
          </cell>
          <cell r="G5925" t="str">
            <v>52202</v>
          </cell>
          <cell r="H5925" t="str">
            <v>付手续费</v>
          </cell>
          <cell r="I5925" t="b">
            <v>1</v>
          </cell>
          <cell r="J5925">
            <v>554.37</v>
          </cell>
          <cell r="K5925">
            <v>0</v>
          </cell>
          <cell r="L5925">
            <v>0</v>
          </cell>
        </row>
        <row r="5926">
          <cell r="A5926" t="str">
            <v>12</v>
          </cell>
          <cell r="B5926" t="str">
            <v>23</v>
          </cell>
          <cell r="C5926" t="str">
            <v>12</v>
          </cell>
          <cell r="D5926" t="str">
            <v>4</v>
          </cell>
          <cell r="E5926" t="str">
            <v>0051</v>
          </cell>
          <cell r="F5926" t="str">
            <v>0001</v>
          </cell>
          <cell r="G5926" t="str">
            <v>52202</v>
          </cell>
          <cell r="H5926" t="str">
            <v>付手续费</v>
          </cell>
          <cell r="I5926" t="b">
            <v>1</v>
          </cell>
          <cell r="J5926">
            <v>558.20000000000005</v>
          </cell>
          <cell r="K5926">
            <v>0</v>
          </cell>
          <cell r="L5926">
            <v>0</v>
          </cell>
        </row>
        <row r="5927">
          <cell r="A5927" t="str">
            <v>12</v>
          </cell>
          <cell r="B5927" t="str">
            <v>25</v>
          </cell>
          <cell r="C5927" t="str">
            <v>12</v>
          </cell>
          <cell r="D5927" t="str">
            <v>4</v>
          </cell>
          <cell r="E5927" t="str">
            <v>0055</v>
          </cell>
          <cell r="F5927" t="str">
            <v>0002</v>
          </cell>
          <cell r="G5927" t="str">
            <v>52202</v>
          </cell>
          <cell r="H5927" t="str">
            <v>付手续费</v>
          </cell>
          <cell r="I5927" t="b">
            <v>1</v>
          </cell>
          <cell r="J5927">
            <v>161.05000000000001</v>
          </cell>
          <cell r="K5927">
            <v>0</v>
          </cell>
          <cell r="L5927">
            <v>0</v>
          </cell>
        </row>
        <row r="5928">
          <cell r="A5928" t="str">
            <v>12</v>
          </cell>
          <cell r="B5928" t="str">
            <v>28</v>
          </cell>
          <cell r="C5928" t="str">
            <v>12</v>
          </cell>
          <cell r="D5928" t="str">
            <v>5</v>
          </cell>
          <cell r="E5928" t="str">
            <v>0047</v>
          </cell>
          <cell r="F5928" t="str">
            <v>0002</v>
          </cell>
          <cell r="G5928" t="str">
            <v>52202</v>
          </cell>
          <cell r="H5928" t="str">
            <v>转FVE99112#发票中行扣费</v>
          </cell>
          <cell r="I5928" t="b">
            <v>1</v>
          </cell>
          <cell r="J5928">
            <v>157.53</v>
          </cell>
          <cell r="K5928">
            <v>0</v>
          </cell>
          <cell r="L5928">
            <v>0</v>
          </cell>
        </row>
        <row r="5929">
          <cell r="A5929" t="str">
            <v>12</v>
          </cell>
          <cell r="B5929" t="str">
            <v>28</v>
          </cell>
          <cell r="C5929" t="str">
            <v>12</v>
          </cell>
          <cell r="D5929" t="str">
            <v>5</v>
          </cell>
          <cell r="E5929" t="str">
            <v>0048</v>
          </cell>
          <cell r="F5929" t="str">
            <v>0002</v>
          </cell>
          <cell r="G5929" t="str">
            <v>52202</v>
          </cell>
          <cell r="H5929" t="str">
            <v>转FVE99116#发票中行扣费</v>
          </cell>
          <cell r="I5929" t="b">
            <v>1</v>
          </cell>
          <cell r="J5929">
            <v>239.72</v>
          </cell>
          <cell r="K5929">
            <v>0</v>
          </cell>
          <cell r="L5929">
            <v>0</v>
          </cell>
        </row>
        <row r="5930">
          <cell r="A5930" t="str">
            <v>12</v>
          </cell>
          <cell r="B5930" t="str">
            <v>28</v>
          </cell>
          <cell r="C5930" t="str">
            <v>12</v>
          </cell>
          <cell r="D5930" t="str">
            <v>5</v>
          </cell>
          <cell r="E5930" t="str">
            <v>0049</v>
          </cell>
          <cell r="F5930" t="str">
            <v>0002</v>
          </cell>
          <cell r="G5930" t="str">
            <v>52202</v>
          </cell>
          <cell r="H5930" t="str">
            <v>转FVE99118#发票中行扣费</v>
          </cell>
          <cell r="I5930" t="b">
            <v>1</v>
          </cell>
          <cell r="J5930">
            <v>239.71</v>
          </cell>
          <cell r="K5930">
            <v>0</v>
          </cell>
          <cell r="L5930">
            <v>0</v>
          </cell>
        </row>
        <row r="5931">
          <cell r="A5931" t="str">
            <v>12</v>
          </cell>
          <cell r="B5931" t="str">
            <v>28</v>
          </cell>
          <cell r="C5931" t="str">
            <v>12</v>
          </cell>
          <cell r="D5931" t="str">
            <v>5</v>
          </cell>
          <cell r="E5931" t="str">
            <v>0050</v>
          </cell>
          <cell r="F5931" t="str">
            <v>0002</v>
          </cell>
          <cell r="G5931" t="str">
            <v>52202</v>
          </cell>
          <cell r="H5931" t="str">
            <v>转FVE99113#发票受益人付费</v>
          </cell>
          <cell r="I5931" t="b">
            <v>1</v>
          </cell>
          <cell r="J5931">
            <v>379.42</v>
          </cell>
          <cell r="K5931">
            <v>0</v>
          </cell>
          <cell r="L5931">
            <v>0</v>
          </cell>
        </row>
        <row r="5932">
          <cell r="A5932" t="str">
            <v>12</v>
          </cell>
          <cell r="B5932" t="str">
            <v>28</v>
          </cell>
          <cell r="C5932" t="str">
            <v>12</v>
          </cell>
          <cell r="D5932" t="str">
            <v>5</v>
          </cell>
          <cell r="E5932" t="str">
            <v>0051</v>
          </cell>
          <cell r="F5932" t="str">
            <v>0001</v>
          </cell>
          <cell r="G5932" t="str">
            <v>52202</v>
          </cell>
          <cell r="H5932" t="str">
            <v>转FVE99114#发票中行扣费</v>
          </cell>
          <cell r="I5932" t="b">
            <v>1</v>
          </cell>
          <cell r="J5932">
            <v>149.72</v>
          </cell>
          <cell r="K5932">
            <v>0</v>
          </cell>
          <cell r="L5932">
            <v>0</v>
          </cell>
        </row>
        <row r="5933">
          <cell r="A5933" t="str">
            <v>12</v>
          </cell>
          <cell r="B5933" t="str">
            <v>28</v>
          </cell>
          <cell r="C5933" t="str">
            <v>12</v>
          </cell>
          <cell r="D5933" t="str">
            <v>5</v>
          </cell>
          <cell r="E5933" t="str">
            <v>0051</v>
          </cell>
          <cell r="F5933" t="str">
            <v>0004</v>
          </cell>
          <cell r="G5933" t="str">
            <v>52202</v>
          </cell>
          <cell r="H5933" t="str">
            <v>转FVE99124#发票中行扣费</v>
          </cell>
          <cell r="I5933" t="b">
            <v>1</v>
          </cell>
          <cell r="J5933">
            <v>149.68</v>
          </cell>
          <cell r="K5933">
            <v>0</v>
          </cell>
          <cell r="L5933">
            <v>0</v>
          </cell>
        </row>
        <row r="5934">
          <cell r="A5934" t="str">
            <v>12</v>
          </cell>
          <cell r="B5934" t="str">
            <v>28</v>
          </cell>
          <cell r="C5934" t="str">
            <v>12</v>
          </cell>
          <cell r="D5934" t="str">
            <v>5</v>
          </cell>
          <cell r="E5934" t="str">
            <v>0052</v>
          </cell>
          <cell r="F5934" t="str">
            <v>0002</v>
          </cell>
          <cell r="G5934" t="str">
            <v>52202</v>
          </cell>
          <cell r="H5934" t="str">
            <v>转ZLA00002#发票中行扣费</v>
          </cell>
          <cell r="I5934" t="b">
            <v>1</v>
          </cell>
          <cell r="J5934">
            <v>239.73</v>
          </cell>
          <cell r="K5934">
            <v>0</v>
          </cell>
          <cell r="L5934">
            <v>0</v>
          </cell>
        </row>
        <row r="5935">
          <cell r="A5935" t="str">
            <v>12</v>
          </cell>
          <cell r="B5935" t="str">
            <v>28</v>
          </cell>
          <cell r="C5935" t="str">
            <v>12</v>
          </cell>
          <cell r="D5935" t="str">
            <v>5</v>
          </cell>
          <cell r="E5935" t="str">
            <v>0053</v>
          </cell>
          <cell r="F5935" t="str">
            <v>0001</v>
          </cell>
          <cell r="G5935" t="str">
            <v>52202</v>
          </cell>
          <cell r="H5935" t="str">
            <v>转ZLA00014#发票受益人付费</v>
          </cell>
          <cell r="I5935" t="b">
            <v>1</v>
          </cell>
          <cell r="J5935">
            <v>2360.7199999999998</v>
          </cell>
          <cell r="K5935">
            <v>0</v>
          </cell>
          <cell r="L5935">
            <v>0</v>
          </cell>
        </row>
        <row r="5936">
          <cell r="A5936" t="str">
            <v>12</v>
          </cell>
          <cell r="B5936" t="str">
            <v>28</v>
          </cell>
          <cell r="C5936" t="str">
            <v>12</v>
          </cell>
          <cell r="D5936" t="str">
            <v>5</v>
          </cell>
          <cell r="E5936" t="str">
            <v>0055</v>
          </cell>
          <cell r="F5936" t="str">
            <v>0001</v>
          </cell>
          <cell r="G5936" t="str">
            <v>52202</v>
          </cell>
          <cell r="H5936" t="str">
            <v>转ZLA00025#发票受益人付费</v>
          </cell>
          <cell r="I5936" t="b">
            <v>1</v>
          </cell>
          <cell r="J5936">
            <v>2233.39</v>
          </cell>
          <cell r="K5936">
            <v>0</v>
          </cell>
          <cell r="L5936">
            <v>0</v>
          </cell>
        </row>
        <row r="5937">
          <cell r="A5937" t="str">
            <v>12</v>
          </cell>
          <cell r="B5937" t="str">
            <v>28</v>
          </cell>
          <cell r="C5937" t="str">
            <v>12</v>
          </cell>
          <cell r="D5937" t="str">
            <v>5</v>
          </cell>
          <cell r="E5937" t="str">
            <v>0056</v>
          </cell>
          <cell r="F5937" t="str">
            <v>0001</v>
          </cell>
          <cell r="G5937" t="str">
            <v>52202</v>
          </cell>
          <cell r="H5937" t="str">
            <v>转ZLA00028#发票受益人付费</v>
          </cell>
          <cell r="I5937" t="b">
            <v>1</v>
          </cell>
          <cell r="J5937">
            <v>792.31</v>
          </cell>
          <cell r="K5937">
            <v>0</v>
          </cell>
          <cell r="L5937">
            <v>0</v>
          </cell>
        </row>
        <row r="5938">
          <cell r="A5938" t="str">
            <v>12</v>
          </cell>
          <cell r="B5938" t="str">
            <v>28</v>
          </cell>
          <cell r="C5938" t="str">
            <v>12</v>
          </cell>
          <cell r="D5938" t="str">
            <v>5</v>
          </cell>
          <cell r="E5938" t="str">
            <v>0057</v>
          </cell>
          <cell r="F5938" t="str">
            <v>0001</v>
          </cell>
          <cell r="G5938" t="str">
            <v>52202</v>
          </cell>
          <cell r="H5938" t="str">
            <v>转ZLA00013P#发票受益人付费</v>
          </cell>
          <cell r="I5938" t="b">
            <v>1</v>
          </cell>
          <cell r="J5938">
            <v>247.94</v>
          </cell>
          <cell r="K5938">
            <v>0</v>
          </cell>
          <cell r="L5938">
            <v>0</v>
          </cell>
        </row>
        <row r="5939">
          <cell r="A5939" t="str">
            <v>12</v>
          </cell>
          <cell r="B5939" t="str">
            <v>28</v>
          </cell>
          <cell r="C5939" t="str">
            <v>12</v>
          </cell>
          <cell r="D5939" t="str">
            <v>5</v>
          </cell>
          <cell r="E5939" t="str">
            <v>0058</v>
          </cell>
          <cell r="F5939" t="str">
            <v>0001</v>
          </cell>
          <cell r="G5939" t="str">
            <v>52202</v>
          </cell>
          <cell r="H5939" t="str">
            <v>转ZLA00011#发票受益人付费</v>
          </cell>
          <cell r="I5939" t="b">
            <v>1</v>
          </cell>
          <cell r="J5939">
            <v>932.09</v>
          </cell>
          <cell r="K5939">
            <v>0</v>
          </cell>
          <cell r="L5939">
            <v>0</v>
          </cell>
        </row>
        <row r="5940">
          <cell r="A5940" t="str">
            <v>12</v>
          </cell>
          <cell r="B5940" t="str">
            <v>28</v>
          </cell>
          <cell r="C5940" t="str">
            <v>12</v>
          </cell>
          <cell r="D5940" t="str">
            <v>5</v>
          </cell>
          <cell r="E5940" t="str">
            <v>0059</v>
          </cell>
          <cell r="F5940" t="str">
            <v>0001</v>
          </cell>
          <cell r="G5940" t="str">
            <v>52202</v>
          </cell>
          <cell r="H5940" t="str">
            <v>转ZLA00010#发票受益人付费</v>
          </cell>
          <cell r="I5940" t="b">
            <v>1</v>
          </cell>
          <cell r="J5940">
            <v>932.27</v>
          </cell>
          <cell r="K5940">
            <v>0</v>
          </cell>
          <cell r="L5940">
            <v>0</v>
          </cell>
        </row>
        <row r="5941">
          <cell r="A5941" t="str">
            <v>12</v>
          </cell>
          <cell r="B5941" t="str">
            <v>28</v>
          </cell>
          <cell r="C5941" t="str">
            <v>12</v>
          </cell>
          <cell r="D5941" t="str">
            <v>5</v>
          </cell>
          <cell r="E5941" t="str">
            <v>0061</v>
          </cell>
          <cell r="F5941" t="str">
            <v>0001</v>
          </cell>
          <cell r="G5941" t="str">
            <v>52202</v>
          </cell>
          <cell r="H5941" t="str">
            <v>转ZLA00006#发票受益人付费</v>
          </cell>
          <cell r="I5941" t="b">
            <v>1</v>
          </cell>
          <cell r="J5941">
            <v>681.33</v>
          </cell>
          <cell r="K5941">
            <v>0</v>
          </cell>
          <cell r="L5941">
            <v>0</v>
          </cell>
        </row>
        <row r="5942">
          <cell r="A5942" t="str">
            <v>12</v>
          </cell>
          <cell r="B5942" t="str">
            <v>28</v>
          </cell>
          <cell r="C5942" t="str">
            <v>12</v>
          </cell>
          <cell r="D5942" t="str">
            <v>5</v>
          </cell>
          <cell r="E5942" t="str">
            <v>0062</v>
          </cell>
          <cell r="F5942" t="str">
            <v>0001</v>
          </cell>
          <cell r="G5942" t="str">
            <v>52202</v>
          </cell>
          <cell r="H5942" t="str">
            <v>转ZLA00005#发票受益人付费</v>
          </cell>
          <cell r="I5942" t="b">
            <v>1</v>
          </cell>
          <cell r="J5942">
            <v>536.86</v>
          </cell>
          <cell r="K5942">
            <v>0</v>
          </cell>
          <cell r="L5942">
            <v>0</v>
          </cell>
        </row>
        <row r="5943">
          <cell r="A5943" t="str">
            <v>12</v>
          </cell>
          <cell r="B5943" t="str">
            <v>28</v>
          </cell>
          <cell r="C5943" t="str">
            <v>12</v>
          </cell>
          <cell r="D5943" t="str">
            <v>5</v>
          </cell>
          <cell r="E5943" t="str">
            <v>0063</v>
          </cell>
          <cell r="F5943" t="str">
            <v>0001</v>
          </cell>
          <cell r="G5943" t="str">
            <v>52202</v>
          </cell>
          <cell r="H5943" t="str">
            <v>转ZLA00003#发票受益人付费</v>
          </cell>
          <cell r="I5943" t="b">
            <v>1</v>
          </cell>
          <cell r="J5943">
            <v>999.68</v>
          </cell>
          <cell r="K5943">
            <v>0</v>
          </cell>
          <cell r="L5943">
            <v>0</v>
          </cell>
        </row>
        <row r="5944">
          <cell r="A5944" t="str">
            <v>12</v>
          </cell>
          <cell r="B5944" t="str">
            <v>28</v>
          </cell>
          <cell r="C5944" t="str">
            <v>12</v>
          </cell>
          <cell r="D5944" t="str">
            <v>5</v>
          </cell>
          <cell r="E5944" t="str">
            <v>0064</v>
          </cell>
          <cell r="F5944" t="str">
            <v>0001</v>
          </cell>
          <cell r="G5944" t="str">
            <v>52202</v>
          </cell>
          <cell r="H5944" t="str">
            <v>转ZLA00001#发票受益人付费</v>
          </cell>
          <cell r="I5944" t="b">
            <v>1</v>
          </cell>
          <cell r="J5944">
            <v>999.66</v>
          </cell>
          <cell r="K5944">
            <v>0</v>
          </cell>
          <cell r="L5944">
            <v>0</v>
          </cell>
        </row>
        <row r="5945">
          <cell r="A5945" t="str">
            <v>12</v>
          </cell>
          <cell r="B5945" t="str">
            <v>28</v>
          </cell>
          <cell r="C5945" t="str">
            <v>12</v>
          </cell>
          <cell r="D5945" t="str">
            <v>5</v>
          </cell>
          <cell r="E5945" t="str">
            <v>0065</v>
          </cell>
          <cell r="F5945" t="str">
            <v>0001</v>
          </cell>
          <cell r="G5945" t="str">
            <v>52202</v>
          </cell>
          <cell r="H5945" t="str">
            <v>转FVE99126#发票受益人付费</v>
          </cell>
          <cell r="I5945" t="b">
            <v>1</v>
          </cell>
          <cell r="J5945">
            <v>1004.81</v>
          </cell>
          <cell r="K5945">
            <v>0</v>
          </cell>
          <cell r="L5945">
            <v>0</v>
          </cell>
        </row>
        <row r="5946">
          <cell r="A5946" t="str">
            <v>12</v>
          </cell>
          <cell r="B5946" t="str">
            <v>28</v>
          </cell>
          <cell r="C5946" t="str">
            <v>12</v>
          </cell>
          <cell r="D5946" t="str">
            <v>5</v>
          </cell>
          <cell r="E5946" t="str">
            <v>0066</v>
          </cell>
          <cell r="F5946" t="str">
            <v>0001</v>
          </cell>
          <cell r="G5946" t="str">
            <v>52202</v>
          </cell>
          <cell r="H5946" t="str">
            <v>转FVE99125#发票受益人付费</v>
          </cell>
          <cell r="I5946" t="b">
            <v>1</v>
          </cell>
          <cell r="J5946">
            <v>384.86</v>
          </cell>
          <cell r="K5946">
            <v>0</v>
          </cell>
          <cell r="L5946">
            <v>0</v>
          </cell>
        </row>
        <row r="5947">
          <cell r="A5947" t="str">
            <v>12</v>
          </cell>
          <cell r="B5947" t="str">
            <v>28</v>
          </cell>
          <cell r="C5947" t="str">
            <v>12</v>
          </cell>
          <cell r="D5947" t="str">
            <v>5</v>
          </cell>
          <cell r="E5947" t="str">
            <v>0067</v>
          </cell>
          <cell r="F5947" t="str">
            <v>0001</v>
          </cell>
          <cell r="G5947" t="str">
            <v>52202</v>
          </cell>
          <cell r="H5947" t="str">
            <v>转FVE99123#发票受益人付费</v>
          </cell>
          <cell r="I5947" t="b">
            <v>1</v>
          </cell>
          <cell r="J5947">
            <v>626.42999999999995</v>
          </cell>
          <cell r="K5947">
            <v>0</v>
          </cell>
          <cell r="L5947">
            <v>0</v>
          </cell>
        </row>
        <row r="5948">
          <cell r="A5948" t="str">
            <v>12</v>
          </cell>
          <cell r="B5948" t="str">
            <v>28</v>
          </cell>
          <cell r="C5948" t="str">
            <v>12</v>
          </cell>
          <cell r="D5948" t="str">
            <v>5</v>
          </cell>
          <cell r="E5948" t="str">
            <v>0068</v>
          </cell>
          <cell r="F5948" t="str">
            <v>0001</v>
          </cell>
          <cell r="G5948" t="str">
            <v>52202</v>
          </cell>
          <cell r="H5948" t="str">
            <v>转FVE99122#发票受益人付费</v>
          </cell>
          <cell r="I5948" t="b">
            <v>1</v>
          </cell>
          <cell r="J5948">
            <v>646.77</v>
          </cell>
          <cell r="K5948">
            <v>0</v>
          </cell>
          <cell r="L5948">
            <v>0</v>
          </cell>
        </row>
        <row r="5949">
          <cell r="A5949" t="str">
            <v>12</v>
          </cell>
          <cell r="B5949" t="str">
            <v>28</v>
          </cell>
          <cell r="C5949" t="str">
            <v>12</v>
          </cell>
          <cell r="D5949" t="str">
            <v>5</v>
          </cell>
          <cell r="E5949" t="str">
            <v>0069</v>
          </cell>
          <cell r="F5949" t="str">
            <v>0001</v>
          </cell>
          <cell r="G5949" t="str">
            <v>52202</v>
          </cell>
          <cell r="H5949" t="str">
            <v>转FVE99121#发票受益人付费</v>
          </cell>
          <cell r="I5949" t="b">
            <v>1</v>
          </cell>
          <cell r="J5949">
            <v>1045.93</v>
          </cell>
          <cell r="K5949">
            <v>0</v>
          </cell>
          <cell r="L5949">
            <v>0</v>
          </cell>
        </row>
        <row r="5950">
          <cell r="A5950" t="str">
            <v>12</v>
          </cell>
          <cell r="B5950" t="str">
            <v>28</v>
          </cell>
          <cell r="C5950" t="str">
            <v>12</v>
          </cell>
          <cell r="D5950" t="str">
            <v>5</v>
          </cell>
          <cell r="E5950" t="str">
            <v>0071</v>
          </cell>
          <cell r="F5950" t="str">
            <v>0001</v>
          </cell>
          <cell r="G5950" t="str">
            <v>52202</v>
          </cell>
          <cell r="H5950" t="str">
            <v>转FVE99119#发票中行扣费</v>
          </cell>
          <cell r="I5950" t="b">
            <v>1</v>
          </cell>
          <cell r="J5950">
            <v>398.92</v>
          </cell>
          <cell r="K5950">
            <v>0</v>
          </cell>
          <cell r="L5950">
            <v>0</v>
          </cell>
        </row>
        <row r="5951">
          <cell r="A5951" t="str">
            <v>12</v>
          </cell>
          <cell r="B5951" t="str">
            <v>28</v>
          </cell>
          <cell r="C5951" t="str">
            <v>12</v>
          </cell>
          <cell r="D5951" t="str">
            <v>5</v>
          </cell>
          <cell r="E5951" t="str">
            <v>0072</v>
          </cell>
          <cell r="F5951" t="str">
            <v>0001</v>
          </cell>
          <cell r="G5951" t="str">
            <v>52202</v>
          </cell>
          <cell r="H5951" t="str">
            <v>转FVE99117#发票受益人付费</v>
          </cell>
          <cell r="I5951" t="b">
            <v>1</v>
          </cell>
          <cell r="J5951">
            <v>247.93</v>
          </cell>
          <cell r="K5951">
            <v>0</v>
          </cell>
          <cell r="L5951">
            <v>0</v>
          </cell>
        </row>
        <row r="5952">
          <cell r="A5952" t="str">
            <v>12</v>
          </cell>
          <cell r="B5952" t="str">
            <v>31</v>
          </cell>
          <cell r="C5952" t="str">
            <v>12</v>
          </cell>
          <cell r="D5952" t="str">
            <v>5</v>
          </cell>
          <cell r="E5952" t="str">
            <v>0101</v>
          </cell>
          <cell r="F5952" t="str">
            <v>0003</v>
          </cell>
          <cell r="G5952" t="str">
            <v>52202</v>
          </cell>
          <cell r="H5952" t="str">
            <v>结转本月财务费用</v>
          </cell>
          <cell r="I5952" t="b">
            <v>0</v>
          </cell>
          <cell r="J5952">
            <v>23660.74</v>
          </cell>
          <cell r="K5952">
            <v>0</v>
          </cell>
          <cell r="L5952">
            <v>0</v>
          </cell>
        </row>
        <row r="5953">
          <cell r="A5953" t="str">
            <v>02</v>
          </cell>
          <cell r="B5953" t="str">
            <v>01</v>
          </cell>
          <cell r="C5953" t="str">
            <v>02</v>
          </cell>
          <cell r="D5953" t="str">
            <v>3</v>
          </cell>
          <cell r="E5953" t="str">
            <v>0001</v>
          </cell>
          <cell r="F5953" t="str">
            <v>0004</v>
          </cell>
          <cell r="G5953" t="str">
            <v>52203</v>
          </cell>
          <cell r="H5953" t="str">
            <v>收存款利息USD66.65*8.3</v>
          </cell>
          <cell r="I5953" t="b">
            <v>1</v>
          </cell>
          <cell r="J5953">
            <v>-553.20000000000005</v>
          </cell>
          <cell r="K5953">
            <v>0</v>
          </cell>
          <cell r="L5953">
            <v>0</v>
          </cell>
        </row>
        <row r="5954">
          <cell r="A5954" t="str">
            <v>02</v>
          </cell>
          <cell r="B5954" t="str">
            <v>08</v>
          </cell>
          <cell r="C5954" t="str">
            <v>02</v>
          </cell>
          <cell r="D5954" t="str">
            <v>3</v>
          </cell>
          <cell r="E5954" t="str">
            <v>0004</v>
          </cell>
          <cell r="F5954" t="str">
            <v>0004</v>
          </cell>
          <cell r="G5954" t="str">
            <v>52203</v>
          </cell>
          <cell r="H5954" t="str">
            <v>收存款利息</v>
          </cell>
          <cell r="I5954" t="b">
            <v>1</v>
          </cell>
          <cell r="J5954">
            <v>-7619.1</v>
          </cell>
          <cell r="K5954">
            <v>0</v>
          </cell>
          <cell r="L5954">
            <v>0</v>
          </cell>
        </row>
        <row r="5955">
          <cell r="A5955" t="str">
            <v>02</v>
          </cell>
          <cell r="B5955" t="str">
            <v>08</v>
          </cell>
          <cell r="C5955" t="str">
            <v>02</v>
          </cell>
          <cell r="D5955" t="str">
            <v>3</v>
          </cell>
          <cell r="E5955" t="str">
            <v>0005</v>
          </cell>
          <cell r="F5955" t="str">
            <v>0005</v>
          </cell>
          <cell r="G5955" t="str">
            <v>52203</v>
          </cell>
          <cell r="H5955" t="str">
            <v>收存款利息</v>
          </cell>
          <cell r="I5955" t="b">
            <v>1</v>
          </cell>
          <cell r="J5955">
            <v>-12757.72</v>
          </cell>
          <cell r="K5955">
            <v>0</v>
          </cell>
          <cell r="L5955">
            <v>0</v>
          </cell>
        </row>
        <row r="5956">
          <cell r="A5956" t="str">
            <v>02</v>
          </cell>
          <cell r="B5956" t="str">
            <v>29</v>
          </cell>
          <cell r="C5956" t="str">
            <v>02</v>
          </cell>
          <cell r="D5956" t="str">
            <v>5</v>
          </cell>
          <cell r="E5956" t="str">
            <v>0056</v>
          </cell>
          <cell r="F5956" t="str">
            <v>0004</v>
          </cell>
          <cell r="G5956" t="str">
            <v>52203</v>
          </cell>
          <cell r="H5956" t="str">
            <v>结转本月财务费用</v>
          </cell>
          <cell r="I5956" t="b">
            <v>0</v>
          </cell>
          <cell r="J5956">
            <v>-20930.02</v>
          </cell>
          <cell r="K5956">
            <v>0</v>
          </cell>
          <cell r="L5956">
            <v>0</v>
          </cell>
        </row>
        <row r="5957">
          <cell r="A5957" t="str">
            <v>04</v>
          </cell>
          <cell r="B5957" t="str">
            <v>01</v>
          </cell>
          <cell r="C5957" t="str">
            <v>04</v>
          </cell>
          <cell r="D5957" t="str">
            <v>3</v>
          </cell>
          <cell r="E5957" t="str">
            <v>0001</v>
          </cell>
          <cell r="F5957" t="str">
            <v>0005</v>
          </cell>
          <cell r="G5957" t="str">
            <v>52203</v>
          </cell>
          <cell r="H5957" t="str">
            <v>收借款利息</v>
          </cell>
          <cell r="I5957" t="b">
            <v>1</v>
          </cell>
          <cell r="J5957">
            <v>-2184.1799999999998</v>
          </cell>
          <cell r="K5957">
            <v>0</v>
          </cell>
          <cell r="L5957">
            <v>0</v>
          </cell>
        </row>
        <row r="5958">
          <cell r="A5958" t="str">
            <v>04</v>
          </cell>
          <cell r="B5958" t="str">
            <v>29</v>
          </cell>
          <cell r="C5958" t="str">
            <v>04</v>
          </cell>
          <cell r="D5958" t="str">
            <v>5</v>
          </cell>
          <cell r="E5958" t="str">
            <v>0036</v>
          </cell>
          <cell r="F5958" t="str">
            <v>0004</v>
          </cell>
          <cell r="G5958" t="str">
            <v>52203</v>
          </cell>
          <cell r="H5958" t="str">
            <v>结转本月财务费用</v>
          </cell>
          <cell r="I5958" t="b">
            <v>0</v>
          </cell>
          <cell r="J5958">
            <v>-2184.1799999999998</v>
          </cell>
          <cell r="K5958">
            <v>0</v>
          </cell>
          <cell r="L5958">
            <v>0</v>
          </cell>
        </row>
        <row r="5959">
          <cell r="A5959" t="str">
            <v>07</v>
          </cell>
          <cell r="B5959" t="str">
            <v>20</v>
          </cell>
          <cell r="C5959" t="str">
            <v>07</v>
          </cell>
          <cell r="D5959" t="str">
            <v>1</v>
          </cell>
          <cell r="E5959" t="str">
            <v>0008</v>
          </cell>
          <cell r="F5959" t="str">
            <v>0002</v>
          </cell>
          <cell r="G5959" t="str">
            <v>52203</v>
          </cell>
          <cell r="H5959" t="str">
            <v>收存款利息</v>
          </cell>
          <cell r="I5959" t="b">
            <v>1</v>
          </cell>
          <cell r="J5959">
            <v>-114.4</v>
          </cell>
          <cell r="K5959">
            <v>0</v>
          </cell>
          <cell r="L5959">
            <v>0</v>
          </cell>
        </row>
        <row r="5960">
          <cell r="A5960" t="str">
            <v>07</v>
          </cell>
          <cell r="B5960" t="str">
            <v>10</v>
          </cell>
          <cell r="C5960" t="str">
            <v>07</v>
          </cell>
          <cell r="D5960" t="str">
            <v>3</v>
          </cell>
          <cell r="E5960" t="str">
            <v>0003</v>
          </cell>
          <cell r="F5960" t="str">
            <v>0005</v>
          </cell>
          <cell r="G5960" t="str">
            <v>52203</v>
          </cell>
          <cell r="H5960" t="str">
            <v>收存款利息</v>
          </cell>
          <cell r="I5960" t="b">
            <v>1</v>
          </cell>
          <cell r="J5960">
            <v>-15891.38</v>
          </cell>
          <cell r="K5960">
            <v>0</v>
          </cell>
          <cell r="L5960">
            <v>0</v>
          </cell>
        </row>
        <row r="5961">
          <cell r="A5961" t="str">
            <v>07</v>
          </cell>
          <cell r="B5961" t="str">
            <v>29</v>
          </cell>
          <cell r="C5961" t="str">
            <v>07</v>
          </cell>
          <cell r="D5961" t="str">
            <v>5</v>
          </cell>
          <cell r="E5961" t="str">
            <v>0042</v>
          </cell>
          <cell r="F5961" t="str">
            <v>0004</v>
          </cell>
          <cell r="G5961" t="str">
            <v>52203</v>
          </cell>
          <cell r="H5961" t="str">
            <v>结转本月财务费用</v>
          </cell>
          <cell r="I5961" t="b">
            <v>0</v>
          </cell>
          <cell r="J5961">
            <v>-16005.78</v>
          </cell>
          <cell r="K5961">
            <v>0</v>
          </cell>
          <cell r="L5961">
            <v>0</v>
          </cell>
        </row>
        <row r="5962">
          <cell r="A5962" t="str">
            <v>08</v>
          </cell>
          <cell r="B5962" t="str">
            <v>01</v>
          </cell>
          <cell r="C5962" t="str">
            <v>08</v>
          </cell>
          <cell r="D5962" t="str">
            <v>3</v>
          </cell>
          <cell r="E5962" t="str">
            <v>0001</v>
          </cell>
          <cell r="F5962" t="str">
            <v>0004</v>
          </cell>
          <cell r="G5962" t="str">
            <v>52203</v>
          </cell>
          <cell r="H5962" t="str">
            <v>收存款利息</v>
          </cell>
          <cell r="I5962" t="b">
            <v>1</v>
          </cell>
          <cell r="J5962">
            <v>-3527.52</v>
          </cell>
          <cell r="K5962">
            <v>0</v>
          </cell>
          <cell r="L5962">
            <v>0</v>
          </cell>
        </row>
        <row r="5963">
          <cell r="A5963" t="str">
            <v>08</v>
          </cell>
          <cell r="B5963" t="str">
            <v>18</v>
          </cell>
          <cell r="C5963" t="str">
            <v>08</v>
          </cell>
          <cell r="D5963" t="str">
            <v>3</v>
          </cell>
          <cell r="E5963" t="str">
            <v>0007</v>
          </cell>
          <cell r="F5963" t="str">
            <v>0005</v>
          </cell>
          <cell r="G5963" t="str">
            <v>52203</v>
          </cell>
          <cell r="H5963" t="str">
            <v>收存款利息</v>
          </cell>
          <cell r="I5963" t="b">
            <v>1</v>
          </cell>
          <cell r="J5963">
            <v>-10525.6</v>
          </cell>
          <cell r="K5963">
            <v>0</v>
          </cell>
          <cell r="L5963">
            <v>0</v>
          </cell>
        </row>
        <row r="5964">
          <cell r="A5964" t="str">
            <v>08</v>
          </cell>
          <cell r="B5964" t="str">
            <v>31</v>
          </cell>
          <cell r="C5964" t="str">
            <v>08</v>
          </cell>
          <cell r="D5964" t="str">
            <v>5</v>
          </cell>
          <cell r="E5964" t="str">
            <v>0033</v>
          </cell>
          <cell r="F5964" t="str">
            <v>0004</v>
          </cell>
          <cell r="G5964" t="str">
            <v>52203</v>
          </cell>
          <cell r="H5964" t="str">
            <v>结转本月财务费用</v>
          </cell>
          <cell r="I5964" t="b">
            <v>0</v>
          </cell>
          <cell r="J5964">
            <v>-14053.12</v>
          </cell>
          <cell r="K5964">
            <v>0</v>
          </cell>
          <cell r="L5964">
            <v>0</v>
          </cell>
        </row>
        <row r="5965">
          <cell r="A5965" t="str">
            <v>09</v>
          </cell>
          <cell r="B5965" t="str">
            <v>05</v>
          </cell>
          <cell r="C5965" t="str">
            <v>09</v>
          </cell>
          <cell r="D5965" t="str">
            <v>3</v>
          </cell>
          <cell r="E5965" t="str">
            <v>0002</v>
          </cell>
          <cell r="F5965" t="str">
            <v>0002</v>
          </cell>
          <cell r="G5965" t="str">
            <v>52203</v>
          </cell>
          <cell r="H5965" t="str">
            <v>收存款利息</v>
          </cell>
          <cell r="I5965" t="b">
            <v>1</v>
          </cell>
          <cell r="J5965">
            <v>-3491.8</v>
          </cell>
          <cell r="K5965">
            <v>0</v>
          </cell>
          <cell r="L5965">
            <v>0</v>
          </cell>
        </row>
        <row r="5966">
          <cell r="A5966" t="str">
            <v>09</v>
          </cell>
          <cell r="B5966" t="str">
            <v>10</v>
          </cell>
          <cell r="C5966" t="str">
            <v>09</v>
          </cell>
          <cell r="D5966" t="str">
            <v>3</v>
          </cell>
          <cell r="E5966" t="str">
            <v>0004</v>
          </cell>
          <cell r="F5966" t="str">
            <v>0003</v>
          </cell>
          <cell r="G5966" t="str">
            <v>52203</v>
          </cell>
          <cell r="H5966" t="str">
            <v>收存款利息</v>
          </cell>
          <cell r="I5966" t="b">
            <v>1</v>
          </cell>
          <cell r="J5966">
            <v>-5330.86</v>
          </cell>
          <cell r="K5966">
            <v>0</v>
          </cell>
          <cell r="L5966">
            <v>0</v>
          </cell>
        </row>
        <row r="5967">
          <cell r="A5967" t="str">
            <v>09</v>
          </cell>
          <cell r="B5967" t="str">
            <v>18</v>
          </cell>
          <cell r="C5967" t="str">
            <v>09</v>
          </cell>
          <cell r="D5967" t="str">
            <v>5</v>
          </cell>
          <cell r="E5967" t="str">
            <v>0004</v>
          </cell>
          <cell r="F5967" t="str">
            <v>0003</v>
          </cell>
          <cell r="G5967" t="str">
            <v>52203</v>
          </cell>
          <cell r="H5967" t="str">
            <v>转住房基金专户利息款</v>
          </cell>
          <cell r="I5967" t="b">
            <v>1</v>
          </cell>
          <cell r="J5967">
            <v>-41902.800000000003</v>
          </cell>
          <cell r="K5967">
            <v>0</v>
          </cell>
          <cell r="L5967">
            <v>0</v>
          </cell>
        </row>
        <row r="5968">
          <cell r="A5968" t="str">
            <v>09</v>
          </cell>
          <cell r="B5968" t="str">
            <v>30</v>
          </cell>
          <cell r="C5968" t="str">
            <v>09</v>
          </cell>
          <cell r="D5968" t="str">
            <v>5</v>
          </cell>
          <cell r="E5968" t="str">
            <v>0038</v>
          </cell>
          <cell r="F5968" t="str">
            <v>0004</v>
          </cell>
          <cell r="G5968" t="str">
            <v>52203</v>
          </cell>
          <cell r="H5968" t="str">
            <v>结转本月财务费用</v>
          </cell>
          <cell r="I5968" t="b">
            <v>0</v>
          </cell>
          <cell r="J5968">
            <v>-50725.46</v>
          </cell>
          <cell r="K5968">
            <v>0</v>
          </cell>
          <cell r="L5968">
            <v>0</v>
          </cell>
        </row>
        <row r="5969">
          <cell r="A5969" t="str">
            <v>10</v>
          </cell>
          <cell r="B5969" t="str">
            <v>13</v>
          </cell>
          <cell r="C5969" t="str">
            <v>10</v>
          </cell>
          <cell r="D5969" t="str">
            <v>1</v>
          </cell>
          <cell r="E5969" t="str">
            <v>0004</v>
          </cell>
          <cell r="F5969" t="str">
            <v>0003</v>
          </cell>
          <cell r="G5969" t="str">
            <v>52203</v>
          </cell>
          <cell r="H5969" t="str">
            <v>收存款利息</v>
          </cell>
          <cell r="I5969" t="b">
            <v>1</v>
          </cell>
          <cell r="J5969">
            <v>-578.29999999999995</v>
          </cell>
          <cell r="K5969">
            <v>0</v>
          </cell>
          <cell r="L5969">
            <v>0</v>
          </cell>
        </row>
        <row r="5970">
          <cell r="A5970" t="str">
            <v>10</v>
          </cell>
          <cell r="B5970" t="str">
            <v>10</v>
          </cell>
          <cell r="C5970" t="str">
            <v>10</v>
          </cell>
          <cell r="D5970" t="str">
            <v>3</v>
          </cell>
          <cell r="E5970" t="str">
            <v>0002</v>
          </cell>
          <cell r="F5970" t="str">
            <v>0004</v>
          </cell>
          <cell r="G5970" t="str">
            <v>52203</v>
          </cell>
          <cell r="H5970" t="str">
            <v>收存款利息</v>
          </cell>
          <cell r="I5970" t="b">
            <v>1</v>
          </cell>
          <cell r="J5970">
            <v>-3974.26</v>
          </cell>
          <cell r="K5970">
            <v>0</v>
          </cell>
          <cell r="L5970">
            <v>0</v>
          </cell>
        </row>
        <row r="5971">
          <cell r="A5971" t="str">
            <v>10</v>
          </cell>
          <cell r="B5971" t="str">
            <v>20</v>
          </cell>
          <cell r="C5971" t="str">
            <v>10</v>
          </cell>
          <cell r="D5971" t="str">
            <v>3</v>
          </cell>
          <cell r="E5971" t="str">
            <v>0005</v>
          </cell>
          <cell r="F5971" t="str">
            <v>0002</v>
          </cell>
          <cell r="G5971" t="str">
            <v>52203</v>
          </cell>
          <cell r="H5971" t="str">
            <v>收存款利息</v>
          </cell>
          <cell r="I5971" t="b">
            <v>1</v>
          </cell>
          <cell r="J5971">
            <v>-4472.6400000000003</v>
          </cell>
          <cell r="K5971">
            <v>0</v>
          </cell>
          <cell r="L5971">
            <v>0</v>
          </cell>
        </row>
        <row r="5972">
          <cell r="A5972" t="str">
            <v>10</v>
          </cell>
          <cell r="B5972" t="str">
            <v>30</v>
          </cell>
          <cell r="C5972" t="str">
            <v>10</v>
          </cell>
          <cell r="D5972" t="str">
            <v>5</v>
          </cell>
          <cell r="E5972" t="str">
            <v>0032</v>
          </cell>
          <cell r="F5972" t="str">
            <v>0004</v>
          </cell>
          <cell r="G5972" t="str">
            <v>52203</v>
          </cell>
          <cell r="H5972" t="str">
            <v>结转本月财务费用</v>
          </cell>
          <cell r="I5972" t="b">
            <v>0</v>
          </cell>
          <cell r="J5972">
            <v>-9025.2000000000007</v>
          </cell>
          <cell r="K5972">
            <v>0</v>
          </cell>
          <cell r="L5972">
            <v>0</v>
          </cell>
        </row>
        <row r="5973">
          <cell r="A5973" t="str">
            <v>11</v>
          </cell>
          <cell r="B5973" t="str">
            <v>22</v>
          </cell>
          <cell r="C5973" t="str">
            <v>11</v>
          </cell>
          <cell r="D5973" t="str">
            <v>3</v>
          </cell>
          <cell r="E5973" t="str">
            <v>0006</v>
          </cell>
          <cell r="F5973" t="str">
            <v>0002</v>
          </cell>
          <cell r="G5973" t="str">
            <v>52203</v>
          </cell>
          <cell r="H5973" t="str">
            <v>收存款利息</v>
          </cell>
          <cell r="I5973" t="b">
            <v>1</v>
          </cell>
          <cell r="J5973">
            <v>-14462.74</v>
          </cell>
          <cell r="K5973">
            <v>0</v>
          </cell>
          <cell r="L5973">
            <v>0</v>
          </cell>
        </row>
        <row r="5974">
          <cell r="A5974" t="str">
            <v>11</v>
          </cell>
          <cell r="B5974" t="str">
            <v>29</v>
          </cell>
          <cell r="C5974" t="str">
            <v>11</v>
          </cell>
          <cell r="D5974" t="str">
            <v>5</v>
          </cell>
          <cell r="E5974" t="str">
            <v>0028</v>
          </cell>
          <cell r="F5974" t="str">
            <v>0003</v>
          </cell>
          <cell r="G5974" t="str">
            <v>52203</v>
          </cell>
          <cell r="H5974" t="str">
            <v>转收尚进利息款</v>
          </cell>
          <cell r="I5974" t="b">
            <v>1</v>
          </cell>
          <cell r="J5974">
            <v>-1116200</v>
          </cell>
          <cell r="K5974">
            <v>0</v>
          </cell>
          <cell r="L5974">
            <v>0</v>
          </cell>
        </row>
        <row r="5975">
          <cell r="A5975" t="str">
            <v>11</v>
          </cell>
          <cell r="B5975" t="str">
            <v>30</v>
          </cell>
          <cell r="C5975" t="str">
            <v>11</v>
          </cell>
          <cell r="D5975" t="str">
            <v>5</v>
          </cell>
          <cell r="E5975" t="str">
            <v>0040</v>
          </cell>
          <cell r="F5975" t="str">
            <v>0004</v>
          </cell>
          <cell r="G5975" t="str">
            <v>52203</v>
          </cell>
          <cell r="H5975" t="str">
            <v>结转本月财务费用</v>
          </cell>
          <cell r="I5975" t="b">
            <v>0</v>
          </cell>
          <cell r="J5975">
            <v>-1130662.74</v>
          </cell>
          <cell r="K5975">
            <v>0</v>
          </cell>
          <cell r="L5975">
            <v>0</v>
          </cell>
        </row>
        <row r="5976">
          <cell r="A5976" t="str">
            <v>12</v>
          </cell>
          <cell r="B5976" t="str">
            <v>21</v>
          </cell>
          <cell r="C5976" t="str">
            <v>12</v>
          </cell>
          <cell r="D5976" t="str">
            <v>3</v>
          </cell>
          <cell r="E5976" t="str">
            <v>0012</v>
          </cell>
          <cell r="F5976" t="str">
            <v>0002</v>
          </cell>
          <cell r="G5976" t="str">
            <v>52203</v>
          </cell>
          <cell r="H5976" t="str">
            <v>收存款利息</v>
          </cell>
          <cell r="I5976" t="b">
            <v>1</v>
          </cell>
          <cell r="J5976">
            <v>-9133.4</v>
          </cell>
          <cell r="K5976">
            <v>0</v>
          </cell>
          <cell r="L5976">
            <v>0</v>
          </cell>
        </row>
        <row r="5977">
          <cell r="A5977" t="str">
            <v>12</v>
          </cell>
          <cell r="B5977" t="str">
            <v>22</v>
          </cell>
          <cell r="C5977" t="str">
            <v>12</v>
          </cell>
          <cell r="D5977" t="str">
            <v>3</v>
          </cell>
          <cell r="E5977" t="str">
            <v>0015</v>
          </cell>
          <cell r="F5977" t="str">
            <v>0005</v>
          </cell>
          <cell r="G5977" t="str">
            <v>52203</v>
          </cell>
          <cell r="H5977" t="str">
            <v>收存款利息</v>
          </cell>
          <cell r="I5977" t="b">
            <v>1</v>
          </cell>
          <cell r="J5977">
            <v>-3857.15</v>
          </cell>
          <cell r="K5977">
            <v>0</v>
          </cell>
          <cell r="L5977">
            <v>0</v>
          </cell>
        </row>
        <row r="5978">
          <cell r="A5978" t="str">
            <v>12</v>
          </cell>
          <cell r="B5978" t="str">
            <v>25</v>
          </cell>
          <cell r="C5978" t="str">
            <v>12</v>
          </cell>
          <cell r="D5978" t="str">
            <v>3</v>
          </cell>
          <cell r="E5978" t="str">
            <v>0018</v>
          </cell>
          <cell r="F5978" t="str">
            <v>0003</v>
          </cell>
          <cell r="G5978" t="str">
            <v>52203</v>
          </cell>
          <cell r="H5978" t="str">
            <v>收存款利息</v>
          </cell>
          <cell r="I5978" t="b">
            <v>1</v>
          </cell>
          <cell r="J5978">
            <v>-2316.44</v>
          </cell>
          <cell r="K5978">
            <v>0</v>
          </cell>
          <cell r="L5978">
            <v>0</v>
          </cell>
        </row>
        <row r="5979">
          <cell r="A5979" t="str">
            <v>12</v>
          </cell>
          <cell r="B5979" t="str">
            <v>29</v>
          </cell>
          <cell r="C5979" t="str">
            <v>12</v>
          </cell>
          <cell r="D5979" t="str">
            <v>5</v>
          </cell>
          <cell r="E5979" t="str">
            <v>0081</v>
          </cell>
          <cell r="F5979" t="str">
            <v>0002</v>
          </cell>
          <cell r="G5979" t="str">
            <v>52203</v>
          </cell>
          <cell r="H5979" t="str">
            <v>转收回饮料公司应付借款利息</v>
          </cell>
          <cell r="I5979" t="b">
            <v>1</v>
          </cell>
          <cell r="J5979">
            <v>-1436373.34</v>
          </cell>
          <cell r="K5979">
            <v>0</v>
          </cell>
          <cell r="L5979">
            <v>0</v>
          </cell>
        </row>
        <row r="5980">
          <cell r="A5980" t="str">
            <v>12</v>
          </cell>
          <cell r="B5980" t="str">
            <v>31</v>
          </cell>
          <cell r="C5980" t="str">
            <v>12</v>
          </cell>
          <cell r="D5980" t="str">
            <v>5</v>
          </cell>
          <cell r="E5980" t="str">
            <v>0101</v>
          </cell>
          <cell r="F5980" t="str">
            <v>0004</v>
          </cell>
          <cell r="G5980" t="str">
            <v>52203</v>
          </cell>
          <cell r="H5980" t="str">
            <v>结转本月财务费用</v>
          </cell>
          <cell r="I5980" t="b">
            <v>0</v>
          </cell>
          <cell r="J5980">
            <v>-1451680.33</v>
          </cell>
          <cell r="K5980">
            <v>0</v>
          </cell>
          <cell r="L5980">
            <v>0</v>
          </cell>
        </row>
        <row r="5981">
          <cell r="A5981" t="str">
            <v>02</v>
          </cell>
          <cell r="B5981" t="str">
            <v>28</v>
          </cell>
          <cell r="C5981" t="str">
            <v>02</v>
          </cell>
          <cell r="D5981" t="str">
            <v>5</v>
          </cell>
          <cell r="E5981" t="str">
            <v>0030</v>
          </cell>
          <cell r="F5981" t="str">
            <v>0001</v>
          </cell>
          <cell r="G5981" t="str">
            <v>52206</v>
          </cell>
          <cell r="H5981" t="str">
            <v>转FVE9955#发票国外扣款USD65.00</v>
          </cell>
          <cell r="I5981" t="b">
            <v>1</v>
          </cell>
          <cell r="J5981">
            <v>537.27</v>
          </cell>
          <cell r="K5981">
            <v>0</v>
          </cell>
          <cell r="L5981">
            <v>0</v>
          </cell>
        </row>
        <row r="5982">
          <cell r="A5982" t="str">
            <v>02</v>
          </cell>
          <cell r="B5982" t="str">
            <v>28</v>
          </cell>
          <cell r="C5982" t="str">
            <v>02</v>
          </cell>
          <cell r="D5982" t="str">
            <v>5</v>
          </cell>
          <cell r="E5982" t="str">
            <v>0031</v>
          </cell>
          <cell r="F5982" t="str">
            <v>0001</v>
          </cell>
          <cell r="G5982" t="str">
            <v>52206</v>
          </cell>
          <cell r="H5982" t="str">
            <v>转FVE9911.9912#发票国外扣款</v>
          </cell>
          <cell r="I5982" t="b">
            <v>1</v>
          </cell>
          <cell r="J5982">
            <v>744.09</v>
          </cell>
          <cell r="K5982">
            <v>0</v>
          </cell>
          <cell r="L5982">
            <v>0</v>
          </cell>
        </row>
        <row r="5983">
          <cell r="A5983" t="str">
            <v>02</v>
          </cell>
          <cell r="B5983" t="str">
            <v>28</v>
          </cell>
          <cell r="C5983" t="str">
            <v>02</v>
          </cell>
          <cell r="D5983" t="str">
            <v>5</v>
          </cell>
          <cell r="E5983" t="str">
            <v>0031</v>
          </cell>
          <cell r="F5983" t="str">
            <v>0003</v>
          </cell>
          <cell r="G5983" t="str">
            <v>52206</v>
          </cell>
          <cell r="H5983" t="str">
            <v>转FVE9915/9916.9920#国外扣费</v>
          </cell>
          <cell r="I5983" t="b">
            <v>1</v>
          </cell>
          <cell r="J5983">
            <v>578.70000000000005</v>
          </cell>
          <cell r="K5983">
            <v>0</v>
          </cell>
          <cell r="L5983">
            <v>0</v>
          </cell>
        </row>
        <row r="5984">
          <cell r="A5984" t="str">
            <v>02</v>
          </cell>
          <cell r="B5984" t="str">
            <v>28</v>
          </cell>
          <cell r="C5984" t="str">
            <v>02</v>
          </cell>
          <cell r="D5984" t="str">
            <v>5</v>
          </cell>
          <cell r="E5984" t="str">
            <v>0032</v>
          </cell>
          <cell r="F5984" t="str">
            <v>0001</v>
          </cell>
          <cell r="G5984" t="str">
            <v>52206</v>
          </cell>
          <cell r="H5984" t="str">
            <v>转FVE9931/9932#发票国外扣款</v>
          </cell>
          <cell r="I5984" t="b">
            <v>1</v>
          </cell>
          <cell r="J5984">
            <v>956.92</v>
          </cell>
          <cell r="K5984">
            <v>0</v>
          </cell>
          <cell r="L5984">
            <v>0</v>
          </cell>
        </row>
        <row r="5985">
          <cell r="A5985" t="str">
            <v>02</v>
          </cell>
          <cell r="B5985" t="str">
            <v>28</v>
          </cell>
          <cell r="C5985" t="str">
            <v>02</v>
          </cell>
          <cell r="D5985" t="str">
            <v>5</v>
          </cell>
          <cell r="E5985" t="str">
            <v>0034</v>
          </cell>
          <cell r="F5985" t="str">
            <v>0001</v>
          </cell>
          <cell r="G5985" t="str">
            <v>52206</v>
          </cell>
          <cell r="H5985" t="str">
            <v>转FVE9947-9951#发票国外扣款</v>
          </cell>
          <cell r="I5985" t="b">
            <v>1</v>
          </cell>
          <cell r="J5985">
            <v>968.31</v>
          </cell>
          <cell r="K5985">
            <v>0</v>
          </cell>
          <cell r="L5985">
            <v>0</v>
          </cell>
        </row>
        <row r="5986">
          <cell r="A5986" t="str">
            <v>02</v>
          </cell>
          <cell r="B5986" t="str">
            <v>28</v>
          </cell>
          <cell r="C5986" t="str">
            <v>02</v>
          </cell>
          <cell r="D5986" t="str">
            <v>5</v>
          </cell>
          <cell r="E5986" t="str">
            <v>0035</v>
          </cell>
          <cell r="F5986" t="str">
            <v>0001</v>
          </cell>
          <cell r="G5986" t="str">
            <v>52206</v>
          </cell>
          <cell r="H5986" t="str">
            <v>转FVE9956#发票国外扣款</v>
          </cell>
          <cell r="I5986" t="b">
            <v>1</v>
          </cell>
          <cell r="J5986">
            <v>844.99</v>
          </cell>
          <cell r="K5986">
            <v>0</v>
          </cell>
          <cell r="L5986">
            <v>0</v>
          </cell>
        </row>
        <row r="5987">
          <cell r="A5987" t="str">
            <v>02</v>
          </cell>
          <cell r="B5987" t="str">
            <v>28</v>
          </cell>
          <cell r="C5987" t="str">
            <v>02</v>
          </cell>
          <cell r="D5987" t="str">
            <v>5</v>
          </cell>
          <cell r="E5987" t="str">
            <v>0036</v>
          </cell>
          <cell r="F5987" t="str">
            <v>0002</v>
          </cell>
          <cell r="G5987" t="str">
            <v>52206</v>
          </cell>
          <cell r="H5987" t="str">
            <v>转FVE9934/35.9965#发票国外扣费</v>
          </cell>
          <cell r="I5987" t="b">
            <v>1</v>
          </cell>
          <cell r="J5987">
            <v>20485.73</v>
          </cell>
          <cell r="K5987">
            <v>0</v>
          </cell>
          <cell r="L5987">
            <v>0</v>
          </cell>
        </row>
        <row r="5988">
          <cell r="A5988" t="str">
            <v>02</v>
          </cell>
          <cell r="B5988" t="str">
            <v>28</v>
          </cell>
          <cell r="C5988" t="str">
            <v>02</v>
          </cell>
          <cell r="D5988" t="str">
            <v>5</v>
          </cell>
          <cell r="E5988" t="str">
            <v>0037</v>
          </cell>
          <cell r="F5988" t="str">
            <v>0001</v>
          </cell>
          <cell r="G5988" t="str">
            <v>52206</v>
          </cell>
          <cell r="H5988" t="str">
            <v>转FVE9942-9946#发票国外扣费</v>
          </cell>
          <cell r="I5988" t="b">
            <v>1</v>
          </cell>
          <cell r="J5988">
            <v>686.34</v>
          </cell>
          <cell r="K5988">
            <v>0</v>
          </cell>
          <cell r="L5988">
            <v>0</v>
          </cell>
        </row>
        <row r="5989">
          <cell r="A5989" t="str">
            <v>02</v>
          </cell>
          <cell r="B5989" t="str">
            <v>28</v>
          </cell>
          <cell r="C5989" t="str">
            <v>02</v>
          </cell>
          <cell r="D5989" t="str">
            <v>5</v>
          </cell>
          <cell r="E5989" t="str">
            <v>0038</v>
          </cell>
          <cell r="F5989" t="str">
            <v>0001</v>
          </cell>
          <cell r="G5989" t="str">
            <v>52206</v>
          </cell>
          <cell r="H5989" t="str">
            <v>转FVE9952.53#发票国外扣费</v>
          </cell>
          <cell r="I5989" t="b">
            <v>1</v>
          </cell>
          <cell r="J5989">
            <v>868.02</v>
          </cell>
          <cell r="K5989">
            <v>0</v>
          </cell>
          <cell r="L5989">
            <v>0</v>
          </cell>
        </row>
        <row r="5990">
          <cell r="A5990" t="str">
            <v>02</v>
          </cell>
          <cell r="B5990" t="str">
            <v>28</v>
          </cell>
          <cell r="C5990" t="str">
            <v>02</v>
          </cell>
          <cell r="D5990" t="str">
            <v>5</v>
          </cell>
          <cell r="E5990" t="str">
            <v>0039</v>
          </cell>
          <cell r="F5990" t="str">
            <v>0001</v>
          </cell>
          <cell r="G5990" t="str">
            <v>52206</v>
          </cell>
          <cell r="H5990" t="str">
            <v>转FVE9958#发票国外扣费</v>
          </cell>
          <cell r="I5990" t="b">
            <v>1</v>
          </cell>
          <cell r="J5990">
            <v>644.84</v>
          </cell>
          <cell r="K5990">
            <v>0</v>
          </cell>
          <cell r="L5990">
            <v>0</v>
          </cell>
        </row>
        <row r="5991">
          <cell r="A5991" t="str">
            <v>02</v>
          </cell>
          <cell r="B5991" t="str">
            <v>29</v>
          </cell>
          <cell r="C5991" t="str">
            <v>02</v>
          </cell>
          <cell r="D5991" t="str">
            <v>5</v>
          </cell>
          <cell r="E5991" t="str">
            <v>0056</v>
          </cell>
          <cell r="F5991" t="str">
            <v>0005</v>
          </cell>
          <cell r="G5991" t="str">
            <v>52206</v>
          </cell>
          <cell r="H5991" t="str">
            <v>结转本月财务费用</v>
          </cell>
          <cell r="I5991" t="b">
            <v>0</v>
          </cell>
          <cell r="J5991">
            <v>27315.21</v>
          </cell>
          <cell r="K5991">
            <v>0</v>
          </cell>
          <cell r="L5991">
            <v>0</v>
          </cell>
        </row>
        <row r="5992">
          <cell r="A5992" t="str">
            <v>03</v>
          </cell>
          <cell r="B5992" t="str">
            <v>27</v>
          </cell>
          <cell r="C5992" t="str">
            <v>03</v>
          </cell>
          <cell r="D5992" t="str">
            <v>5</v>
          </cell>
          <cell r="E5992" t="str">
            <v>0009</v>
          </cell>
          <cell r="F5992" t="str">
            <v>0001</v>
          </cell>
          <cell r="G5992" t="str">
            <v>52206</v>
          </cell>
          <cell r="H5992" t="str">
            <v>转国外银行费用</v>
          </cell>
          <cell r="I5992" t="b">
            <v>1</v>
          </cell>
          <cell r="J5992">
            <v>2984.58</v>
          </cell>
          <cell r="K5992">
            <v>0</v>
          </cell>
          <cell r="L5992">
            <v>0</v>
          </cell>
        </row>
        <row r="5993">
          <cell r="A5993" t="str">
            <v>03</v>
          </cell>
          <cell r="B5993" t="str">
            <v>28</v>
          </cell>
          <cell r="C5993" t="str">
            <v>03</v>
          </cell>
          <cell r="D5993" t="str">
            <v>5</v>
          </cell>
          <cell r="E5993" t="str">
            <v>0017</v>
          </cell>
          <cell r="F5993" t="str">
            <v>0001</v>
          </cell>
          <cell r="G5993" t="str">
            <v>52206</v>
          </cell>
          <cell r="H5993" t="str">
            <v>转FVE9966#发票国外扣款</v>
          </cell>
          <cell r="I5993" t="b">
            <v>1</v>
          </cell>
          <cell r="J5993">
            <v>5754.53</v>
          </cell>
          <cell r="K5993">
            <v>0</v>
          </cell>
          <cell r="L5993">
            <v>0</v>
          </cell>
        </row>
        <row r="5994">
          <cell r="A5994" t="str">
            <v>03</v>
          </cell>
          <cell r="B5994" t="str">
            <v>28</v>
          </cell>
          <cell r="C5994" t="str">
            <v>03</v>
          </cell>
          <cell r="D5994" t="str">
            <v>5</v>
          </cell>
          <cell r="E5994" t="str">
            <v>0019</v>
          </cell>
          <cell r="F5994" t="str">
            <v>0002</v>
          </cell>
          <cell r="G5994" t="str">
            <v>52206</v>
          </cell>
          <cell r="H5994" t="str">
            <v>转FVE9963#发票国外扣费</v>
          </cell>
          <cell r="I5994" t="b">
            <v>1</v>
          </cell>
          <cell r="J5994">
            <v>1257.3</v>
          </cell>
          <cell r="K5994">
            <v>0</v>
          </cell>
          <cell r="L5994">
            <v>0</v>
          </cell>
        </row>
        <row r="5995">
          <cell r="A5995" t="str">
            <v>03</v>
          </cell>
          <cell r="B5995" t="str">
            <v>28</v>
          </cell>
          <cell r="C5995" t="str">
            <v>03</v>
          </cell>
          <cell r="D5995" t="str">
            <v>5</v>
          </cell>
          <cell r="E5995" t="str">
            <v>0020</v>
          </cell>
          <cell r="F5995" t="str">
            <v>0002</v>
          </cell>
          <cell r="G5995" t="str">
            <v>52206</v>
          </cell>
          <cell r="H5995" t="str">
            <v>转FVE9972#发票国外扣费</v>
          </cell>
          <cell r="I5995" t="b">
            <v>1</v>
          </cell>
          <cell r="J5995">
            <v>661.24</v>
          </cell>
          <cell r="K5995">
            <v>0</v>
          </cell>
          <cell r="L5995">
            <v>0</v>
          </cell>
        </row>
        <row r="5996">
          <cell r="A5996" t="str">
            <v>03</v>
          </cell>
          <cell r="B5996" t="str">
            <v>28</v>
          </cell>
          <cell r="C5996" t="str">
            <v>03</v>
          </cell>
          <cell r="D5996" t="str">
            <v>5</v>
          </cell>
          <cell r="E5996" t="str">
            <v>0022</v>
          </cell>
          <cell r="F5996" t="str">
            <v>0002</v>
          </cell>
          <cell r="G5996" t="str">
            <v>52206</v>
          </cell>
          <cell r="H5996" t="str">
            <v>转FVE9957#发票国外扣费</v>
          </cell>
          <cell r="I5996" t="b">
            <v>1</v>
          </cell>
          <cell r="J5996">
            <v>1446.8</v>
          </cell>
          <cell r="K5996">
            <v>0</v>
          </cell>
          <cell r="L5996">
            <v>0</v>
          </cell>
        </row>
        <row r="5997">
          <cell r="A5997" t="str">
            <v>03</v>
          </cell>
          <cell r="B5997" t="str">
            <v>30</v>
          </cell>
          <cell r="C5997" t="str">
            <v>03</v>
          </cell>
          <cell r="D5997" t="str">
            <v>5</v>
          </cell>
          <cell r="E5997" t="str">
            <v>0030</v>
          </cell>
          <cell r="F5997" t="str">
            <v>0004</v>
          </cell>
          <cell r="G5997" t="str">
            <v>52206</v>
          </cell>
          <cell r="H5997" t="str">
            <v>结转本月财务费用</v>
          </cell>
          <cell r="I5997" t="b">
            <v>0</v>
          </cell>
          <cell r="J5997">
            <v>12104.45</v>
          </cell>
          <cell r="K5997">
            <v>0</v>
          </cell>
          <cell r="L5997">
            <v>0</v>
          </cell>
        </row>
        <row r="5998">
          <cell r="A5998" t="str">
            <v>04</v>
          </cell>
          <cell r="B5998" t="str">
            <v>26</v>
          </cell>
          <cell r="C5998" t="str">
            <v>04</v>
          </cell>
          <cell r="D5998" t="str">
            <v>5</v>
          </cell>
          <cell r="E5998" t="str">
            <v>0026</v>
          </cell>
          <cell r="F5998" t="str">
            <v>0001</v>
          </cell>
          <cell r="G5998" t="str">
            <v>52206</v>
          </cell>
          <cell r="H5998" t="str">
            <v>转FVE9968#发票国外扣款</v>
          </cell>
          <cell r="I5998" t="b">
            <v>1</v>
          </cell>
          <cell r="J5998">
            <v>537.33000000000004</v>
          </cell>
          <cell r="K5998">
            <v>0</v>
          </cell>
          <cell r="L5998">
            <v>0</v>
          </cell>
        </row>
        <row r="5999">
          <cell r="A5999" t="str">
            <v>04</v>
          </cell>
          <cell r="B5999" t="str">
            <v>26</v>
          </cell>
          <cell r="C5999" t="str">
            <v>04</v>
          </cell>
          <cell r="D5999" t="str">
            <v>5</v>
          </cell>
          <cell r="E5999" t="str">
            <v>0028</v>
          </cell>
          <cell r="F5999" t="str">
            <v>0001</v>
          </cell>
          <cell r="G5999" t="str">
            <v>52206</v>
          </cell>
          <cell r="H5999" t="str">
            <v>转FVE9969#发票国外扣款</v>
          </cell>
          <cell r="I5999" t="b">
            <v>1</v>
          </cell>
          <cell r="J5999">
            <v>578.70000000000005</v>
          </cell>
          <cell r="K5999">
            <v>0</v>
          </cell>
          <cell r="L5999">
            <v>0</v>
          </cell>
        </row>
        <row r="6000">
          <cell r="A6000" t="str">
            <v>04</v>
          </cell>
          <cell r="B6000" t="str">
            <v>29</v>
          </cell>
          <cell r="C6000" t="str">
            <v>04</v>
          </cell>
          <cell r="D6000" t="str">
            <v>5</v>
          </cell>
          <cell r="E6000" t="str">
            <v>0036</v>
          </cell>
          <cell r="F6000" t="str">
            <v>0005</v>
          </cell>
          <cell r="G6000" t="str">
            <v>52206</v>
          </cell>
          <cell r="H6000" t="str">
            <v>结转本月财务费用</v>
          </cell>
          <cell r="I6000" t="b">
            <v>0</v>
          </cell>
          <cell r="J6000">
            <v>1116.03</v>
          </cell>
          <cell r="K6000">
            <v>0</v>
          </cell>
          <cell r="L6000">
            <v>0</v>
          </cell>
        </row>
        <row r="6001">
          <cell r="A6001" t="str">
            <v>05</v>
          </cell>
          <cell r="B6001" t="str">
            <v>26</v>
          </cell>
          <cell r="C6001" t="str">
            <v>05</v>
          </cell>
          <cell r="D6001" t="str">
            <v>5</v>
          </cell>
          <cell r="E6001" t="str">
            <v>0018</v>
          </cell>
          <cell r="F6001" t="str">
            <v>0001</v>
          </cell>
          <cell r="G6001" t="str">
            <v>52206</v>
          </cell>
          <cell r="H6001" t="str">
            <v>订2.5-29#FVE67#票国外银行费用</v>
          </cell>
          <cell r="I6001" t="b">
            <v>1</v>
          </cell>
          <cell r="J6001">
            <v>-18952.490000000002</v>
          </cell>
          <cell r="K6001">
            <v>0</v>
          </cell>
          <cell r="L6001">
            <v>0</v>
          </cell>
        </row>
        <row r="6002">
          <cell r="A6002" t="str">
            <v>05</v>
          </cell>
          <cell r="B6002" t="str">
            <v>26</v>
          </cell>
          <cell r="C6002" t="str">
            <v>05</v>
          </cell>
          <cell r="D6002" t="str">
            <v>5</v>
          </cell>
          <cell r="E6002" t="str">
            <v>0023</v>
          </cell>
          <cell r="F6002" t="str">
            <v>0001</v>
          </cell>
          <cell r="G6002" t="str">
            <v>52206</v>
          </cell>
          <cell r="H6002" t="str">
            <v>转订FVE9972.9977#发票国外费用</v>
          </cell>
          <cell r="I6002" t="b">
            <v>1</v>
          </cell>
          <cell r="J6002">
            <v>-1942.5</v>
          </cell>
          <cell r="K6002">
            <v>0</v>
          </cell>
          <cell r="L6002">
            <v>0</v>
          </cell>
        </row>
        <row r="6003">
          <cell r="A6003" t="str">
            <v>05</v>
          </cell>
          <cell r="B6003" t="str">
            <v>31</v>
          </cell>
          <cell r="C6003" t="str">
            <v>05</v>
          </cell>
          <cell r="D6003" t="str">
            <v>5</v>
          </cell>
          <cell r="E6003" t="str">
            <v>0037</v>
          </cell>
          <cell r="F6003" t="str">
            <v>0004</v>
          </cell>
          <cell r="G6003" t="str">
            <v>52206</v>
          </cell>
          <cell r="H6003" t="str">
            <v>结转本月财务费用</v>
          </cell>
          <cell r="I6003" t="b">
            <v>0</v>
          </cell>
          <cell r="J6003">
            <v>-20894.990000000002</v>
          </cell>
          <cell r="K6003">
            <v>0</v>
          </cell>
          <cell r="L6003">
            <v>0</v>
          </cell>
        </row>
        <row r="6004">
          <cell r="A6004" t="str">
            <v>07</v>
          </cell>
          <cell r="B6004" t="str">
            <v>27</v>
          </cell>
          <cell r="C6004" t="str">
            <v>07</v>
          </cell>
          <cell r="D6004" t="str">
            <v>5</v>
          </cell>
          <cell r="E6004" t="str">
            <v>0033</v>
          </cell>
          <cell r="F6004" t="str">
            <v>0001</v>
          </cell>
          <cell r="G6004" t="str">
            <v>52206</v>
          </cell>
          <cell r="H6004" t="str">
            <v>转费用</v>
          </cell>
          <cell r="I6004" t="b">
            <v>1</v>
          </cell>
          <cell r="J6004">
            <v>21452.93</v>
          </cell>
          <cell r="K6004">
            <v>0</v>
          </cell>
          <cell r="L6004">
            <v>0</v>
          </cell>
        </row>
        <row r="6005">
          <cell r="A6005" t="str">
            <v>07</v>
          </cell>
          <cell r="B6005" t="str">
            <v>29</v>
          </cell>
          <cell r="C6005" t="str">
            <v>07</v>
          </cell>
          <cell r="D6005" t="str">
            <v>5</v>
          </cell>
          <cell r="E6005" t="str">
            <v>0042</v>
          </cell>
          <cell r="F6005" t="str">
            <v>0005</v>
          </cell>
          <cell r="G6005" t="str">
            <v>52206</v>
          </cell>
          <cell r="H6005" t="str">
            <v>结转本月财务费用</v>
          </cell>
          <cell r="I6005" t="b">
            <v>0</v>
          </cell>
          <cell r="J6005">
            <v>21452.93</v>
          </cell>
          <cell r="K6005">
            <v>0</v>
          </cell>
          <cell r="L6005">
            <v>0</v>
          </cell>
        </row>
        <row r="6006">
          <cell r="A6006" t="str">
            <v>02</v>
          </cell>
          <cell r="B6006" t="str">
            <v>22</v>
          </cell>
          <cell r="C6006" t="str">
            <v>02</v>
          </cell>
          <cell r="D6006" t="str">
            <v>4</v>
          </cell>
          <cell r="E6006" t="str">
            <v>0033</v>
          </cell>
          <cell r="F6006" t="str">
            <v>0004</v>
          </cell>
          <cell r="G6006" t="str">
            <v>52207</v>
          </cell>
          <cell r="H6006" t="str">
            <v>调正差价</v>
          </cell>
          <cell r="I6006" t="b">
            <v>1</v>
          </cell>
          <cell r="J6006">
            <v>0.02</v>
          </cell>
          <cell r="K6006">
            <v>0</v>
          </cell>
          <cell r="L6006">
            <v>0</v>
          </cell>
        </row>
        <row r="6007">
          <cell r="A6007" t="str">
            <v>02</v>
          </cell>
          <cell r="B6007" t="str">
            <v>29</v>
          </cell>
          <cell r="C6007" t="str">
            <v>02</v>
          </cell>
          <cell r="D6007" t="str">
            <v>5</v>
          </cell>
          <cell r="E6007" t="str">
            <v>0056</v>
          </cell>
          <cell r="F6007" t="str">
            <v>0006</v>
          </cell>
          <cell r="G6007" t="str">
            <v>52207</v>
          </cell>
          <cell r="H6007" t="str">
            <v>结转本月财务费用</v>
          </cell>
          <cell r="I6007" t="b">
            <v>0</v>
          </cell>
          <cell r="J6007">
            <v>0.02</v>
          </cell>
          <cell r="K6007">
            <v>0</v>
          </cell>
          <cell r="L6007">
            <v>0</v>
          </cell>
        </row>
        <row r="6008">
          <cell r="A6008" t="str">
            <v>04</v>
          </cell>
          <cell r="B6008" t="str">
            <v>25</v>
          </cell>
          <cell r="C6008" t="str">
            <v>04</v>
          </cell>
          <cell r="D6008" t="str">
            <v>5</v>
          </cell>
          <cell r="E6008" t="str">
            <v>0022</v>
          </cell>
          <cell r="F6008" t="str">
            <v>0013</v>
          </cell>
          <cell r="G6008" t="str">
            <v>52207</v>
          </cell>
          <cell r="H6008" t="str">
            <v>转补提99年应交个人所得税</v>
          </cell>
          <cell r="I6008" t="b">
            <v>1</v>
          </cell>
          <cell r="J6008">
            <v>40015.480000000003</v>
          </cell>
          <cell r="K6008">
            <v>0</v>
          </cell>
          <cell r="L6008">
            <v>0</v>
          </cell>
        </row>
        <row r="6009">
          <cell r="A6009" t="str">
            <v>04</v>
          </cell>
          <cell r="B6009" t="str">
            <v>29</v>
          </cell>
          <cell r="C6009" t="str">
            <v>04</v>
          </cell>
          <cell r="D6009" t="str">
            <v>5</v>
          </cell>
          <cell r="E6009" t="str">
            <v>0036</v>
          </cell>
          <cell r="F6009" t="str">
            <v>0006</v>
          </cell>
          <cell r="G6009" t="str">
            <v>52207</v>
          </cell>
          <cell r="H6009" t="str">
            <v>结转本月财务费用</v>
          </cell>
          <cell r="I6009" t="b">
            <v>0</v>
          </cell>
          <cell r="J6009">
            <v>40015.480000000003</v>
          </cell>
          <cell r="K6009">
            <v>0</v>
          </cell>
          <cell r="L6009">
            <v>0</v>
          </cell>
        </row>
        <row r="6010">
          <cell r="A6010" t="str">
            <v>06</v>
          </cell>
          <cell r="B6010" t="str">
            <v>23</v>
          </cell>
          <cell r="C6010" t="str">
            <v>06</v>
          </cell>
          <cell r="D6010" t="str">
            <v>5</v>
          </cell>
          <cell r="E6010" t="str">
            <v>0014</v>
          </cell>
          <cell r="F6010" t="str">
            <v>0002</v>
          </cell>
          <cell r="G6010" t="str">
            <v>52207</v>
          </cell>
          <cell r="H6010" t="str">
            <v>调汇率差</v>
          </cell>
          <cell r="I6010" t="b">
            <v>1</v>
          </cell>
          <cell r="J6010">
            <v>-58891.54</v>
          </cell>
          <cell r="K6010">
            <v>0</v>
          </cell>
          <cell r="L6010">
            <v>0</v>
          </cell>
        </row>
        <row r="6011">
          <cell r="A6011" t="str">
            <v>06</v>
          </cell>
          <cell r="B6011" t="str">
            <v>25</v>
          </cell>
          <cell r="C6011" t="str">
            <v>06</v>
          </cell>
          <cell r="D6011" t="str">
            <v>5</v>
          </cell>
          <cell r="E6011" t="str">
            <v>0026</v>
          </cell>
          <cell r="F6011" t="str">
            <v>0004</v>
          </cell>
          <cell r="G6011" t="str">
            <v>52207</v>
          </cell>
          <cell r="H6011" t="str">
            <v>结转本月财务费用</v>
          </cell>
          <cell r="I6011" t="b">
            <v>0</v>
          </cell>
          <cell r="J6011">
            <v>-58891.54</v>
          </cell>
          <cell r="K6011">
            <v>0</v>
          </cell>
          <cell r="L6011">
            <v>0</v>
          </cell>
        </row>
        <row r="6012">
          <cell r="A6012" t="str">
            <v>08</v>
          </cell>
          <cell r="B6012" t="str">
            <v>20</v>
          </cell>
          <cell r="C6012" t="str">
            <v>08</v>
          </cell>
          <cell r="D6012" t="str">
            <v>4</v>
          </cell>
          <cell r="E6012" t="str">
            <v>0026</v>
          </cell>
          <cell r="F6012" t="str">
            <v>0003</v>
          </cell>
          <cell r="G6012" t="str">
            <v>52207</v>
          </cell>
          <cell r="H6012" t="str">
            <v>差价</v>
          </cell>
          <cell r="I6012" t="b">
            <v>1</v>
          </cell>
          <cell r="J6012">
            <v>0.01</v>
          </cell>
          <cell r="K6012">
            <v>0</v>
          </cell>
          <cell r="L6012">
            <v>0</v>
          </cell>
        </row>
        <row r="6013">
          <cell r="A6013" t="str">
            <v>08</v>
          </cell>
          <cell r="B6013" t="str">
            <v>20</v>
          </cell>
          <cell r="C6013" t="str">
            <v>08</v>
          </cell>
          <cell r="D6013" t="str">
            <v>5</v>
          </cell>
          <cell r="E6013" t="str">
            <v>0006</v>
          </cell>
          <cell r="F6013" t="str">
            <v>0001</v>
          </cell>
          <cell r="G6013" t="str">
            <v>52207</v>
          </cell>
          <cell r="H6013" t="str">
            <v>转FVE99103#发票受益人付费</v>
          </cell>
          <cell r="I6013" t="b">
            <v>1</v>
          </cell>
          <cell r="J6013">
            <v>1988.16</v>
          </cell>
          <cell r="K6013">
            <v>0</v>
          </cell>
          <cell r="L6013">
            <v>0</v>
          </cell>
        </row>
        <row r="6014">
          <cell r="A6014" t="str">
            <v>08</v>
          </cell>
          <cell r="B6014" t="str">
            <v>31</v>
          </cell>
          <cell r="C6014" t="str">
            <v>08</v>
          </cell>
          <cell r="D6014" t="str">
            <v>5</v>
          </cell>
          <cell r="E6014" t="str">
            <v>0033</v>
          </cell>
          <cell r="F6014" t="str">
            <v>0005</v>
          </cell>
          <cell r="G6014" t="str">
            <v>52207</v>
          </cell>
          <cell r="H6014" t="str">
            <v>结转本月财务费用</v>
          </cell>
          <cell r="I6014" t="b">
            <v>0</v>
          </cell>
          <cell r="J6014">
            <v>1988.17</v>
          </cell>
          <cell r="K6014">
            <v>0</v>
          </cell>
          <cell r="L6014">
            <v>0</v>
          </cell>
        </row>
        <row r="6015">
          <cell r="A6015" t="str">
            <v>11</v>
          </cell>
          <cell r="B6015" t="str">
            <v>24</v>
          </cell>
          <cell r="C6015" t="str">
            <v>11</v>
          </cell>
          <cell r="D6015" t="str">
            <v>3</v>
          </cell>
          <cell r="E6015" t="str">
            <v>0011</v>
          </cell>
          <cell r="F6015" t="str">
            <v>0006</v>
          </cell>
          <cell r="G6015" t="str">
            <v>52207</v>
          </cell>
          <cell r="H6015" t="str">
            <v>调汇率差</v>
          </cell>
          <cell r="I6015" t="b">
            <v>1</v>
          </cell>
          <cell r="J6015">
            <v>39.35</v>
          </cell>
          <cell r="K6015">
            <v>0</v>
          </cell>
          <cell r="L6015">
            <v>0</v>
          </cell>
        </row>
        <row r="6016">
          <cell r="A6016" t="str">
            <v>11</v>
          </cell>
          <cell r="B6016" t="str">
            <v>14</v>
          </cell>
          <cell r="C6016" t="str">
            <v>11</v>
          </cell>
          <cell r="D6016" t="str">
            <v>4</v>
          </cell>
          <cell r="E6016" t="str">
            <v>0016</v>
          </cell>
          <cell r="F6016" t="str">
            <v>0003</v>
          </cell>
          <cell r="G6016" t="str">
            <v>52207</v>
          </cell>
          <cell r="H6016" t="str">
            <v>调差价</v>
          </cell>
          <cell r="I6016" t="b">
            <v>1</v>
          </cell>
          <cell r="J6016">
            <v>-0.01</v>
          </cell>
          <cell r="K6016">
            <v>0</v>
          </cell>
          <cell r="L6016">
            <v>0</v>
          </cell>
        </row>
        <row r="6017">
          <cell r="A6017" t="str">
            <v>11</v>
          </cell>
          <cell r="B6017" t="str">
            <v>30</v>
          </cell>
          <cell r="C6017" t="str">
            <v>11</v>
          </cell>
          <cell r="D6017" t="str">
            <v>5</v>
          </cell>
          <cell r="E6017" t="str">
            <v>0040</v>
          </cell>
          <cell r="F6017" t="str">
            <v>0005</v>
          </cell>
          <cell r="G6017" t="str">
            <v>52207</v>
          </cell>
          <cell r="H6017" t="str">
            <v>结转本月财务费用</v>
          </cell>
          <cell r="I6017" t="b">
            <v>0</v>
          </cell>
          <cell r="J6017">
            <v>39.340000000000003</v>
          </cell>
          <cell r="K6017">
            <v>0</v>
          </cell>
          <cell r="L6017">
            <v>0</v>
          </cell>
        </row>
        <row r="6018">
          <cell r="A6018" t="str">
            <v>12</v>
          </cell>
          <cell r="B6018" t="str">
            <v>31</v>
          </cell>
          <cell r="C6018" t="str">
            <v>12</v>
          </cell>
          <cell r="D6018" t="str">
            <v>5</v>
          </cell>
          <cell r="E6018" t="str">
            <v>0096</v>
          </cell>
          <cell r="F6018" t="str">
            <v>0003</v>
          </cell>
          <cell r="G6018" t="str">
            <v>52207</v>
          </cell>
          <cell r="H6018" t="str">
            <v>转核销汇率差价</v>
          </cell>
          <cell r="I6018" t="b">
            <v>1</v>
          </cell>
          <cell r="J6018">
            <v>25.66</v>
          </cell>
          <cell r="K6018">
            <v>0</v>
          </cell>
          <cell r="L6018">
            <v>0</v>
          </cell>
        </row>
        <row r="6019">
          <cell r="A6019" t="str">
            <v>12</v>
          </cell>
          <cell r="B6019" t="str">
            <v>31</v>
          </cell>
          <cell r="C6019" t="str">
            <v>12</v>
          </cell>
          <cell r="D6019" t="str">
            <v>5</v>
          </cell>
          <cell r="E6019" t="str">
            <v>0101</v>
          </cell>
          <cell r="F6019" t="str">
            <v>0005</v>
          </cell>
          <cell r="G6019" t="str">
            <v>52207</v>
          </cell>
          <cell r="H6019" t="str">
            <v>结转本月财务费用</v>
          </cell>
          <cell r="I6019" t="b">
            <v>0</v>
          </cell>
          <cell r="J6019">
            <v>25.66</v>
          </cell>
          <cell r="K6019">
            <v>0</v>
          </cell>
          <cell r="L6019">
            <v>0</v>
          </cell>
        </row>
        <row r="6020">
          <cell r="A6020" t="str">
            <v>07</v>
          </cell>
          <cell r="B6020" t="str">
            <v>24</v>
          </cell>
          <cell r="C6020" t="str">
            <v>07</v>
          </cell>
          <cell r="D6020" t="str">
            <v>5</v>
          </cell>
          <cell r="E6020" t="str">
            <v>0005</v>
          </cell>
          <cell r="F6020" t="str">
            <v>0004</v>
          </cell>
          <cell r="G6020" t="str">
            <v>531</v>
          </cell>
          <cell r="H6020" t="str">
            <v>转收99年度各分公司投资收益</v>
          </cell>
          <cell r="I6020" t="b">
            <v>0</v>
          </cell>
          <cell r="J6020">
            <v>9357429.7799999993</v>
          </cell>
          <cell r="K6020">
            <v>0</v>
          </cell>
          <cell r="L6020">
            <v>0</v>
          </cell>
        </row>
        <row r="6021">
          <cell r="A6021" t="str">
            <v>07</v>
          </cell>
          <cell r="B6021" t="str">
            <v>24</v>
          </cell>
          <cell r="C6021" t="str">
            <v>07</v>
          </cell>
          <cell r="D6021" t="str">
            <v>5</v>
          </cell>
          <cell r="E6021" t="str">
            <v>0005</v>
          </cell>
          <cell r="F6021" t="str">
            <v>0005</v>
          </cell>
          <cell r="G6021" t="str">
            <v>531</v>
          </cell>
          <cell r="H6021" t="str">
            <v>结转99年度投资收益</v>
          </cell>
          <cell r="I6021" t="b">
            <v>1</v>
          </cell>
          <cell r="J6021">
            <v>9357429.7799999993</v>
          </cell>
          <cell r="K6021">
            <v>0</v>
          </cell>
          <cell r="L6021">
            <v>0</v>
          </cell>
        </row>
        <row r="6022">
          <cell r="A6022" t="str">
            <v>12</v>
          </cell>
          <cell r="B6022" t="str">
            <v>31</v>
          </cell>
          <cell r="C6022" t="str">
            <v>12</v>
          </cell>
          <cell r="D6022" t="str">
            <v>5</v>
          </cell>
          <cell r="E6022" t="str">
            <v>0109</v>
          </cell>
          <cell r="F6022" t="str">
            <v>0001</v>
          </cell>
          <cell r="G6022" t="str">
            <v>531</v>
          </cell>
          <cell r="H6022" t="str">
            <v>转2000年卢龙分公司经营亏损</v>
          </cell>
          <cell r="I6022" t="b">
            <v>0</v>
          </cell>
          <cell r="J6022">
            <v>-89535.92</v>
          </cell>
          <cell r="K6022">
            <v>0</v>
          </cell>
          <cell r="L6022">
            <v>0</v>
          </cell>
        </row>
        <row r="6023">
          <cell r="A6023" t="str">
            <v>12</v>
          </cell>
          <cell r="B6023" t="str">
            <v>31</v>
          </cell>
          <cell r="C6023" t="str">
            <v>12</v>
          </cell>
          <cell r="D6023" t="str">
            <v>5</v>
          </cell>
          <cell r="E6023" t="str">
            <v>0109</v>
          </cell>
          <cell r="F6023" t="str">
            <v>0002</v>
          </cell>
          <cell r="G6023" t="str">
            <v>531</v>
          </cell>
          <cell r="H6023" t="str">
            <v>转2000年平原分公司经营收益</v>
          </cell>
          <cell r="I6023" t="b">
            <v>0</v>
          </cell>
          <cell r="J6023">
            <v>591832.81000000006</v>
          </cell>
          <cell r="K6023">
            <v>0</v>
          </cell>
          <cell r="L6023">
            <v>0</v>
          </cell>
        </row>
        <row r="6024">
          <cell r="A6024" t="str">
            <v>12</v>
          </cell>
          <cell r="B6024" t="str">
            <v>31</v>
          </cell>
          <cell r="C6024" t="str">
            <v>12</v>
          </cell>
          <cell r="D6024" t="str">
            <v>5</v>
          </cell>
          <cell r="E6024" t="str">
            <v>0109</v>
          </cell>
          <cell r="F6024" t="str">
            <v>0003</v>
          </cell>
          <cell r="G6024" t="str">
            <v>531</v>
          </cell>
          <cell r="H6024" t="str">
            <v>转2000年五莲分公司经营收益</v>
          </cell>
          <cell r="I6024" t="b">
            <v>0</v>
          </cell>
          <cell r="J6024">
            <v>110494.87</v>
          </cell>
          <cell r="K6024">
            <v>0</v>
          </cell>
          <cell r="L6024">
            <v>0</v>
          </cell>
        </row>
        <row r="6025">
          <cell r="A6025" t="str">
            <v>12</v>
          </cell>
          <cell r="B6025" t="str">
            <v>31</v>
          </cell>
          <cell r="C6025" t="str">
            <v>12</v>
          </cell>
          <cell r="D6025" t="str">
            <v>5</v>
          </cell>
          <cell r="E6025" t="str">
            <v>0109</v>
          </cell>
          <cell r="F6025" t="str">
            <v>0004</v>
          </cell>
          <cell r="G6025" t="str">
            <v>531</v>
          </cell>
          <cell r="H6025" t="str">
            <v>转2000年宝鸡分公司经营亏损</v>
          </cell>
          <cell r="I6025" t="b">
            <v>0</v>
          </cell>
          <cell r="J6025">
            <v>-192630.78</v>
          </cell>
          <cell r="K6025">
            <v>0</v>
          </cell>
          <cell r="L6025">
            <v>0</v>
          </cell>
        </row>
        <row r="6026">
          <cell r="A6026" t="str">
            <v>12</v>
          </cell>
          <cell r="B6026" t="str">
            <v>31</v>
          </cell>
          <cell r="C6026" t="str">
            <v>12</v>
          </cell>
          <cell r="D6026" t="str">
            <v>5</v>
          </cell>
          <cell r="E6026" t="str">
            <v>0109</v>
          </cell>
          <cell r="F6026" t="str">
            <v>0005</v>
          </cell>
          <cell r="G6026" t="str">
            <v>531</v>
          </cell>
          <cell r="H6026" t="str">
            <v>转2000年滕州分公司经营收益</v>
          </cell>
          <cell r="I6026" t="b">
            <v>0</v>
          </cell>
          <cell r="J6026">
            <v>53397.4</v>
          </cell>
          <cell r="K6026">
            <v>0</v>
          </cell>
          <cell r="L6026">
            <v>0</v>
          </cell>
        </row>
        <row r="6027">
          <cell r="A6027" t="str">
            <v>12</v>
          </cell>
          <cell r="B6027" t="str">
            <v>31</v>
          </cell>
          <cell r="C6027" t="str">
            <v>12</v>
          </cell>
          <cell r="D6027" t="str">
            <v>5</v>
          </cell>
          <cell r="E6027" t="str">
            <v>0110</v>
          </cell>
          <cell r="F6027" t="str">
            <v>0001</v>
          </cell>
          <cell r="G6027" t="str">
            <v>531</v>
          </cell>
          <cell r="H6027" t="str">
            <v>结转本年各分公司经营收益</v>
          </cell>
          <cell r="I6027" t="b">
            <v>1</v>
          </cell>
          <cell r="J6027">
            <v>473558.38</v>
          </cell>
          <cell r="K6027">
            <v>0</v>
          </cell>
          <cell r="L6027">
            <v>0</v>
          </cell>
        </row>
        <row r="6028">
          <cell r="A6028" t="str">
            <v>02</v>
          </cell>
          <cell r="B6028" t="str">
            <v>29</v>
          </cell>
          <cell r="C6028" t="str">
            <v>02</v>
          </cell>
          <cell r="D6028" t="str">
            <v>5</v>
          </cell>
          <cell r="E6028" t="str">
            <v>0059</v>
          </cell>
          <cell r="F6028" t="str">
            <v>0001</v>
          </cell>
          <cell r="G6028" t="str">
            <v>540</v>
          </cell>
          <cell r="H6028" t="str">
            <v>转计提本月应交所得税</v>
          </cell>
          <cell r="I6028" t="b">
            <v>1</v>
          </cell>
          <cell r="J6028">
            <v>678903.42</v>
          </cell>
          <cell r="K6028">
            <v>0</v>
          </cell>
          <cell r="L6028">
            <v>0</v>
          </cell>
        </row>
        <row r="6029">
          <cell r="A6029" t="str">
            <v>02</v>
          </cell>
          <cell r="B6029" t="str">
            <v>29</v>
          </cell>
          <cell r="C6029" t="str">
            <v>02</v>
          </cell>
          <cell r="D6029" t="str">
            <v>5</v>
          </cell>
          <cell r="E6029" t="str">
            <v>0059</v>
          </cell>
          <cell r="F6029" t="str">
            <v>0004</v>
          </cell>
          <cell r="G6029" t="str">
            <v>540</v>
          </cell>
          <cell r="H6029" t="str">
            <v>结转本月应交所得税</v>
          </cell>
          <cell r="I6029" t="b">
            <v>0</v>
          </cell>
          <cell r="J6029">
            <v>678903.42</v>
          </cell>
          <cell r="K6029">
            <v>0</v>
          </cell>
          <cell r="L6029">
            <v>0</v>
          </cell>
        </row>
        <row r="6030">
          <cell r="A6030" t="str">
            <v>03</v>
          </cell>
          <cell r="B6030" t="str">
            <v>30</v>
          </cell>
          <cell r="C6030" t="str">
            <v>03</v>
          </cell>
          <cell r="D6030" t="str">
            <v>5</v>
          </cell>
          <cell r="E6030" t="str">
            <v>0034</v>
          </cell>
          <cell r="F6030" t="str">
            <v>0001</v>
          </cell>
          <cell r="G6030" t="str">
            <v>540</v>
          </cell>
          <cell r="H6030" t="str">
            <v>转计提本月应交所得税</v>
          </cell>
          <cell r="I6030" t="b">
            <v>1</v>
          </cell>
          <cell r="J6030">
            <v>285225.34000000003</v>
          </cell>
          <cell r="K6030">
            <v>0</v>
          </cell>
          <cell r="L6030">
            <v>0</v>
          </cell>
        </row>
        <row r="6031">
          <cell r="A6031" t="str">
            <v>03</v>
          </cell>
          <cell r="B6031" t="str">
            <v>30</v>
          </cell>
          <cell r="C6031" t="str">
            <v>03</v>
          </cell>
          <cell r="D6031" t="str">
            <v>5</v>
          </cell>
          <cell r="E6031" t="str">
            <v>0034</v>
          </cell>
          <cell r="F6031" t="str">
            <v>0004</v>
          </cell>
          <cell r="G6031" t="str">
            <v>540</v>
          </cell>
          <cell r="H6031" t="str">
            <v>结转本月应交所得税</v>
          </cell>
          <cell r="I6031" t="b">
            <v>0</v>
          </cell>
          <cell r="J6031">
            <v>285225.34000000003</v>
          </cell>
          <cell r="K6031">
            <v>0</v>
          </cell>
          <cell r="L6031">
            <v>0</v>
          </cell>
        </row>
        <row r="6032">
          <cell r="A6032" t="str">
            <v>04</v>
          </cell>
          <cell r="B6032" t="str">
            <v>29</v>
          </cell>
          <cell r="C6032" t="str">
            <v>04</v>
          </cell>
          <cell r="D6032" t="str">
            <v>5</v>
          </cell>
          <cell r="E6032" t="str">
            <v>0040</v>
          </cell>
          <cell r="F6032" t="str">
            <v>0001</v>
          </cell>
          <cell r="G6032" t="str">
            <v>540</v>
          </cell>
          <cell r="H6032" t="str">
            <v>转计提本月应交所得税</v>
          </cell>
          <cell r="I6032" t="b">
            <v>1</v>
          </cell>
          <cell r="J6032">
            <v>481881.37</v>
          </cell>
          <cell r="K6032">
            <v>0</v>
          </cell>
          <cell r="L6032">
            <v>0</v>
          </cell>
        </row>
        <row r="6033">
          <cell r="A6033" t="str">
            <v>04</v>
          </cell>
          <cell r="B6033" t="str">
            <v>29</v>
          </cell>
          <cell r="C6033" t="str">
            <v>04</v>
          </cell>
          <cell r="D6033" t="str">
            <v>5</v>
          </cell>
          <cell r="E6033" t="str">
            <v>0040</v>
          </cell>
          <cell r="F6033" t="str">
            <v>0004</v>
          </cell>
          <cell r="G6033" t="str">
            <v>540</v>
          </cell>
          <cell r="H6033" t="str">
            <v>结转本月应交所得税</v>
          </cell>
          <cell r="I6033" t="b">
            <v>0</v>
          </cell>
          <cell r="J6033">
            <v>481881.37</v>
          </cell>
          <cell r="K6033">
            <v>0</v>
          </cell>
          <cell r="L6033">
            <v>0</v>
          </cell>
        </row>
        <row r="6034">
          <cell r="A6034" t="str">
            <v>05</v>
          </cell>
          <cell r="B6034" t="str">
            <v>31</v>
          </cell>
          <cell r="C6034" t="str">
            <v>05</v>
          </cell>
          <cell r="D6034" t="str">
            <v>5</v>
          </cell>
          <cell r="E6034" t="str">
            <v>0041</v>
          </cell>
          <cell r="F6034" t="str">
            <v>0001</v>
          </cell>
          <cell r="G6034" t="str">
            <v>540</v>
          </cell>
          <cell r="H6034" t="str">
            <v>转计提本月应交所得税</v>
          </cell>
          <cell r="I6034" t="b">
            <v>1</v>
          </cell>
          <cell r="J6034">
            <v>834507.41</v>
          </cell>
          <cell r="K6034">
            <v>0</v>
          </cell>
          <cell r="L6034">
            <v>0</v>
          </cell>
        </row>
        <row r="6035">
          <cell r="A6035" t="str">
            <v>05</v>
          </cell>
          <cell r="B6035" t="str">
            <v>31</v>
          </cell>
          <cell r="C6035" t="str">
            <v>05</v>
          </cell>
          <cell r="D6035" t="str">
            <v>5</v>
          </cell>
          <cell r="E6035" t="str">
            <v>0041</v>
          </cell>
          <cell r="F6035" t="str">
            <v>0004</v>
          </cell>
          <cell r="G6035" t="str">
            <v>540</v>
          </cell>
          <cell r="H6035" t="str">
            <v>结转本月应交所得税</v>
          </cell>
          <cell r="I6035" t="b">
            <v>0</v>
          </cell>
          <cell r="J6035">
            <v>834507.41</v>
          </cell>
          <cell r="K6035">
            <v>0</v>
          </cell>
          <cell r="L6035">
            <v>0</v>
          </cell>
        </row>
        <row r="6036">
          <cell r="A6036" t="str">
            <v>06</v>
          </cell>
          <cell r="B6036" t="str">
            <v>25</v>
          </cell>
          <cell r="C6036" t="str">
            <v>06</v>
          </cell>
          <cell r="D6036" t="str">
            <v>5</v>
          </cell>
          <cell r="E6036" t="str">
            <v>0030</v>
          </cell>
          <cell r="F6036" t="str">
            <v>0001</v>
          </cell>
          <cell r="G6036" t="str">
            <v>540</v>
          </cell>
          <cell r="H6036" t="str">
            <v>转计提本月应交所得税</v>
          </cell>
          <cell r="I6036" t="b">
            <v>1</v>
          </cell>
          <cell r="J6036">
            <v>92076.68</v>
          </cell>
          <cell r="K6036">
            <v>0</v>
          </cell>
          <cell r="L6036">
            <v>0</v>
          </cell>
        </row>
        <row r="6037">
          <cell r="A6037" t="str">
            <v>06</v>
          </cell>
          <cell r="B6037" t="str">
            <v>25</v>
          </cell>
          <cell r="C6037" t="str">
            <v>06</v>
          </cell>
          <cell r="D6037" t="str">
            <v>5</v>
          </cell>
          <cell r="E6037" t="str">
            <v>0030</v>
          </cell>
          <cell r="F6037" t="str">
            <v>0004</v>
          </cell>
          <cell r="G6037" t="str">
            <v>540</v>
          </cell>
          <cell r="H6037" t="str">
            <v>结转本月应交所得税</v>
          </cell>
          <cell r="I6037" t="b">
            <v>0</v>
          </cell>
          <cell r="J6037">
            <v>92076.68</v>
          </cell>
          <cell r="K6037">
            <v>0</v>
          </cell>
          <cell r="L6037">
            <v>0</v>
          </cell>
        </row>
        <row r="6038">
          <cell r="A6038" t="str">
            <v>07</v>
          </cell>
          <cell r="B6038" t="str">
            <v>29</v>
          </cell>
          <cell r="C6038" t="str">
            <v>07</v>
          </cell>
          <cell r="D6038" t="str">
            <v>5</v>
          </cell>
          <cell r="E6038" t="str">
            <v>0045</v>
          </cell>
          <cell r="F6038" t="str">
            <v>0001</v>
          </cell>
          <cell r="G6038" t="str">
            <v>540</v>
          </cell>
          <cell r="H6038" t="str">
            <v>转计提本月应交所得税</v>
          </cell>
          <cell r="I6038" t="b">
            <v>1</v>
          </cell>
          <cell r="J6038">
            <v>201237.74</v>
          </cell>
          <cell r="K6038">
            <v>0</v>
          </cell>
          <cell r="L6038">
            <v>0</v>
          </cell>
        </row>
        <row r="6039">
          <cell r="A6039" t="str">
            <v>07</v>
          </cell>
          <cell r="B6039" t="str">
            <v>29</v>
          </cell>
          <cell r="C6039" t="str">
            <v>07</v>
          </cell>
          <cell r="D6039" t="str">
            <v>5</v>
          </cell>
          <cell r="E6039" t="str">
            <v>0045</v>
          </cell>
          <cell r="F6039" t="str">
            <v>0004</v>
          </cell>
          <cell r="G6039" t="str">
            <v>540</v>
          </cell>
          <cell r="H6039" t="str">
            <v>结转本月应交所得税</v>
          </cell>
          <cell r="I6039" t="b">
            <v>0</v>
          </cell>
          <cell r="J6039">
            <v>201237.74</v>
          </cell>
          <cell r="K6039">
            <v>0</v>
          </cell>
          <cell r="L6039">
            <v>0</v>
          </cell>
        </row>
        <row r="6040">
          <cell r="A6040" t="str">
            <v>08</v>
          </cell>
          <cell r="B6040" t="str">
            <v>31</v>
          </cell>
          <cell r="C6040" t="str">
            <v>08</v>
          </cell>
          <cell r="D6040" t="str">
            <v>5</v>
          </cell>
          <cell r="E6040" t="str">
            <v>0037</v>
          </cell>
          <cell r="F6040" t="str">
            <v>0001</v>
          </cell>
          <cell r="G6040" t="str">
            <v>540</v>
          </cell>
          <cell r="H6040" t="str">
            <v>转计提本月应交所得税</v>
          </cell>
          <cell r="I6040" t="b">
            <v>1</v>
          </cell>
          <cell r="J6040">
            <v>896403.09</v>
          </cell>
          <cell r="K6040">
            <v>0</v>
          </cell>
          <cell r="L6040">
            <v>0</v>
          </cell>
        </row>
        <row r="6041">
          <cell r="A6041" t="str">
            <v>08</v>
          </cell>
          <cell r="B6041" t="str">
            <v>31</v>
          </cell>
          <cell r="C6041" t="str">
            <v>08</v>
          </cell>
          <cell r="D6041" t="str">
            <v>5</v>
          </cell>
          <cell r="E6041" t="str">
            <v>0037</v>
          </cell>
          <cell r="F6041" t="str">
            <v>0004</v>
          </cell>
          <cell r="G6041" t="str">
            <v>540</v>
          </cell>
          <cell r="H6041" t="str">
            <v>结转本月应交所得税</v>
          </cell>
          <cell r="I6041" t="b">
            <v>0</v>
          </cell>
          <cell r="J6041">
            <v>896403.09</v>
          </cell>
          <cell r="K6041">
            <v>0</v>
          </cell>
          <cell r="L6041">
            <v>0</v>
          </cell>
        </row>
        <row r="6042">
          <cell r="A6042" t="str">
            <v>09</v>
          </cell>
          <cell r="B6042" t="str">
            <v>30</v>
          </cell>
          <cell r="C6042" t="str">
            <v>09</v>
          </cell>
          <cell r="D6042" t="str">
            <v>5</v>
          </cell>
          <cell r="E6042" t="str">
            <v>0041</v>
          </cell>
          <cell r="F6042" t="str">
            <v>0001</v>
          </cell>
          <cell r="G6042" t="str">
            <v>540</v>
          </cell>
          <cell r="H6042" t="str">
            <v>转计提本月应交所得税</v>
          </cell>
          <cell r="I6042" t="b">
            <v>1</v>
          </cell>
          <cell r="J6042">
            <v>663645.82999999996</v>
          </cell>
          <cell r="K6042">
            <v>0</v>
          </cell>
          <cell r="L6042">
            <v>0</v>
          </cell>
        </row>
        <row r="6043">
          <cell r="A6043" t="str">
            <v>09</v>
          </cell>
          <cell r="B6043" t="str">
            <v>30</v>
          </cell>
          <cell r="C6043" t="str">
            <v>09</v>
          </cell>
          <cell r="D6043" t="str">
            <v>5</v>
          </cell>
          <cell r="E6043" t="str">
            <v>0041</v>
          </cell>
          <cell r="F6043" t="str">
            <v>0004</v>
          </cell>
          <cell r="G6043" t="str">
            <v>540</v>
          </cell>
          <cell r="H6043" t="str">
            <v>结转本月应交所得税</v>
          </cell>
          <cell r="I6043" t="b">
            <v>0</v>
          </cell>
          <cell r="J6043">
            <v>663645.82999999996</v>
          </cell>
          <cell r="K6043">
            <v>0</v>
          </cell>
          <cell r="L6043">
            <v>0</v>
          </cell>
        </row>
        <row r="6044">
          <cell r="A6044" t="str">
            <v>10</v>
          </cell>
          <cell r="B6044" t="str">
            <v>30</v>
          </cell>
          <cell r="C6044" t="str">
            <v>10</v>
          </cell>
          <cell r="D6044" t="str">
            <v>5</v>
          </cell>
          <cell r="E6044" t="str">
            <v>0035</v>
          </cell>
          <cell r="F6044" t="str">
            <v>0001</v>
          </cell>
          <cell r="G6044" t="str">
            <v>540</v>
          </cell>
          <cell r="H6044" t="str">
            <v>计提本月应交所得税</v>
          </cell>
          <cell r="I6044" t="b">
            <v>1</v>
          </cell>
          <cell r="J6044">
            <v>367542.89</v>
          </cell>
          <cell r="K6044">
            <v>0</v>
          </cell>
          <cell r="L6044">
            <v>0</v>
          </cell>
        </row>
        <row r="6045">
          <cell r="A6045" t="str">
            <v>10</v>
          </cell>
          <cell r="B6045" t="str">
            <v>30</v>
          </cell>
          <cell r="C6045" t="str">
            <v>10</v>
          </cell>
          <cell r="D6045" t="str">
            <v>5</v>
          </cell>
          <cell r="E6045" t="str">
            <v>0035</v>
          </cell>
          <cell r="F6045" t="str">
            <v>0004</v>
          </cell>
          <cell r="G6045" t="str">
            <v>540</v>
          </cell>
          <cell r="H6045" t="str">
            <v>结转本月应交所得税</v>
          </cell>
          <cell r="I6045" t="b">
            <v>0</v>
          </cell>
          <cell r="J6045">
            <v>367542.89</v>
          </cell>
          <cell r="K6045">
            <v>0</v>
          </cell>
          <cell r="L6045">
            <v>0</v>
          </cell>
        </row>
        <row r="6046">
          <cell r="A6046" t="str">
            <v>11</v>
          </cell>
          <cell r="B6046" t="str">
            <v>30</v>
          </cell>
          <cell r="C6046" t="str">
            <v>11</v>
          </cell>
          <cell r="D6046" t="str">
            <v>5</v>
          </cell>
          <cell r="E6046" t="str">
            <v>0041</v>
          </cell>
          <cell r="F6046" t="str">
            <v>0001</v>
          </cell>
          <cell r="G6046" t="str">
            <v>540</v>
          </cell>
          <cell r="H6046" t="str">
            <v>计提本月应交所得税</v>
          </cell>
          <cell r="I6046" t="b">
            <v>1</v>
          </cell>
          <cell r="J6046">
            <v>206688.12</v>
          </cell>
          <cell r="K6046">
            <v>0</v>
          </cell>
          <cell r="L6046">
            <v>0</v>
          </cell>
        </row>
        <row r="6047">
          <cell r="A6047" t="str">
            <v>11</v>
          </cell>
          <cell r="B6047" t="str">
            <v>30</v>
          </cell>
          <cell r="C6047" t="str">
            <v>11</v>
          </cell>
          <cell r="D6047" t="str">
            <v>5</v>
          </cell>
          <cell r="E6047" t="str">
            <v>0041</v>
          </cell>
          <cell r="F6047" t="str">
            <v>0004</v>
          </cell>
          <cell r="G6047" t="str">
            <v>540</v>
          </cell>
          <cell r="H6047" t="str">
            <v>结转本月应交所得税</v>
          </cell>
          <cell r="I6047" t="b">
            <v>0</v>
          </cell>
          <cell r="J6047">
            <v>206688.12</v>
          </cell>
          <cell r="K6047">
            <v>0</v>
          </cell>
          <cell r="L6047">
            <v>0</v>
          </cell>
        </row>
        <row r="6048">
          <cell r="A6048" t="str">
            <v>12</v>
          </cell>
          <cell r="B6048" t="str">
            <v>31</v>
          </cell>
          <cell r="C6048" t="str">
            <v>12</v>
          </cell>
          <cell r="D6048" t="str">
            <v>5</v>
          </cell>
          <cell r="E6048" t="str">
            <v>0111</v>
          </cell>
          <cell r="F6048" t="str">
            <v>0001</v>
          </cell>
          <cell r="G6048" t="str">
            <v>540</v>
          </cell>
          <cell r="H6048" t="str">
            <v>转计提本月应计所得税</v>
          </cell>
          <cell r="I6048" t="b">
            <v>1</v>
          </cell>
          <cell r="J6048">
            <v>2266921.08</v>
          </cell>
          <cell r="K6048">
            <v>0</v>
          </cell>
          <cell r="L6048">
            <v>0</v>
          </cell>
        </row>
        <row r="6049">
          <cell r="A6049" t="str">
            <v>12</v>
          </cell>
          <cell r="B6049" t="str">
            <v>31</v>
          </cell>
          <cell r="C6049" t="str">
            <v>12</v>
          </cell>
          <cell r="D6049" t="str">
            <v>5</v>
          </cell>
          <cell r="E6049" t="str">
            <v>0111</v>
          </cell>
          <cell r="F6049" t="str">
            <v>0004</v>
          </cell>
          <cell r="G6049" t="str">
            <v>540</v>
          </cell>
          <cell r="H6049" t="str">
            <v>转计提本月应计所得税</v>
          </cell>
          <cell r="I6049" t="b">
            <v>0</v>
          </cell>
          <cell r="J6049">
            <v>2266921.08</v>
          </cell>
          <cell r="K6049">
            <v>0</v>
          </cell>
          <cell r="L6049">
            <v>0</v>
          </cell>
        </row>
        <row r="6050">
          <cell r="A6050" t="str">
            <v>05</v>
          </cell>
          <cell r="B6050" t="str">
            <v>19</v>
          </cell>
          <cell r="C6050" t="str">
            <v>05</v>
          </cell>
          <cell r="D6050" t="str">
            <v>1</v>
          </cell>
          <cell r="E6050" t="str">
            <v>0002</v>
          </cell>
          <cell r="F6050" t="str">
            <v>0002</v>
          </cell>
          <cell r="G6050" t="str">
            <v>541</v>
          </cell>
          <cell r="H6050" t="str">
            <v>收租金.罚款</v>
          </cell>
          <cell r="I6050" t="b">
            <v>0</v>
          </cell>
          <cell r="J6050">
            <v>100</v>
          </cell>
          <cell r="K6050">
            <v>0</v>
          </cell>
          <cell r="L6050">
            <v>0</v>
          </cell>
        </row>
        <row r="6051">
          <cell r="A6051" t="str">
            <v>05</v>
          </cell>
          <cell r="B6051" t="str">
            <v>31</v>
          </cell>
          <cell r="C6051" t="str">
            <v>05</v>
          </cell>
          <cell r="D6051" t="str">
            <v>5</v>
          </cell>
          <cell r="E6051" t="str">
            <v>0040</v>
          </cell>
          <cell r="F6051" t="str">
            <v>0001</v>
          </cell>
          <cell r="G6051" t="str">
            <v>541</v>
          </cell>
          <cell r="H6051" t="str">
            <v>结转营业外收入</v>
          </cell>
          <cell r="I6051" t="b">
            <v>1</v>
          </cell>
          <cell r="J6051">
            <v>100</v>
          </cell>
          <cell r="K6051">
            <v>0</v>
          </cell>
          <cell r="L6051">
            <v>0</v>
          </cell>
        </row>
        <row r="6052">
          <cell r="A6052" t="str">
            <v>06</v>
          </cell>
          <cell r="B6052" t="str">
            <v>20</v>
          </cell>
          <cell r="C6052" t="str">
            <v>06</v>
          </cell>
          <cell r="D6052" t="str">
            <v>4</v>
          </cell>
          <cell r="E6052" t="str">
            <v>0013</v>
          </cell>
          <cell r="F6052" t="str">
            <v>0006</v>
          </cell>
          <cell r="G6052" t="str">
            <v>541</v>
          </cell>
          <cell r="H6052" t="str">
            <v>代扣罚款</v>
          </cell>
          <cell r="I6052" t="b">
            <v>0</v>
          </cell>
          <cell r="J6052">
            <v>150</v>
          </cell>
          <cell r="K6052">
            <v>0</v>
          </cell>
          <cell r="L6052">
            <v>0</v>
          </cell>
        </row>
        <row r="6053">
          <cell r="A6053" t="str">
            <v>06</v>
          </cell>
          <cell r="B6053" t="str">
            <v>25</v>
          </cell>
          <cell r="C6053" t="str">
            <v>06</v>
          </cell>
          <cell r="D6053" t="str">
            <v>5</v>
          </cell>
          <cell r="E6053" t="str">
            <v>0029</v>
          </cell>
          <cell r="F6053" t="str">
            <v>0001</v>
          </cell>
          <cell r="G6053" t="str">
            <v>541</v>
          </cell>
          <cell r="H6053" t="str">
            <v>结转本月营业务收入</v>
          </cell>
          <cell r="I6053" t="b">
            <v>1</v>
          </cell>
          <cell r="J6053">
            <v>150</v>
          </cell>
          <cell r="K6053">
            <v>0</v>
          </cell>
          <cell r="L6053">
            <v>0</v>
          </cell>
        </row>
        <row r="6054">
          <cell r="A6054" t="str">
            <v>11</v>
          </cell>
          <cell r="B6054" t="str">
            <v>16</v>
          </cell>
          <cell r="C6054" t="str">
            <v>11</v>
          </cell>
          <cell r="D6054" t="str">
            <v>1</v>
          </cell>
          <cell r="E6054" t="str">
            <v>0002</v>
          </cell>
          <cell r="F6054" t="str">
            <v>0004</v>
          </cell>
          <cell r="G6054" t="str">
            <v>541</v>
          </cell>
          <cell r="H6054" t="str">
            <v>收罚款</v>
          </cell>
          <cell r="I6054" t="b">
            <v>0</v>
          </cell>
          <cell r="J6054">
            <v>50</v>
          </cell>
          <cell r="K6054">
            <v>0</v>
          </cell>
          <cell r="L6054">
            <v>0</v>
          </cell>
        </row>
        <row r="6055">
          <cell r="A6055" t="str">
            <v>11</v>
          </cell>
          <cell r="B6055" t="str">
            <v>18</v>
          </cell>
          <cell r="C6055" t="str">
            <v>11</v>
          </cell>
          <cell r="D6055" t="str">
            <v>5</v>
          </cell>
          <cell r="E6055" t="str">
            <v>0016</v>
          </cell>
          <cell r="F6055" t="str">
            <v>0001</v>
          </cell>
          <cell r="G6055" t="str">
            <v>541</v>
          </cell>
          <cell r="H6055" t="str">
            <v>转订出99年10月1-4#凭证错制</v>
          </cell>
          <cell r="I6055" t="b">
            <v>0</v>
          </cell>
          <cell r="J6055">
            <v>-140</v>
          </cell>
          <cell r="K6055">
            <v>0</v>
          </cell>
          <cell r="L6055">
            <v>0</v>
          </cell>
        </row>
        <row r="6056">
          <cell r="A6056" t="str">
            <v>11</v>
          </cell>
          <cell r="B6056" t="str">
            <v>30</v>
          </cell>
          <cell r="C6056" t="str">
            <v>11</v>
          </cell>
          <cell r="D6056" t="str">
            <v>5</v>
          </cell>
          <cell r="E6056" t="str">
            <v>0038</v>
          </cell>
          <cell r="F6056" t="str">
            <v>0001</v>
          </cell>
          <cell r="G6056" t="str">
            <v>541</v>
          </cell>
          <cell r="H6056" t="str">
            <v>结转营业外收入</v>
          </cell>
          <cell r="I6056" t="b">
            <v>1</v>
          </cell>
          <cell r="J6056">
            <v>-90</v>
          </cell>
          <cell r="K6056">
            <v>0</v>
          </cell>
          <cell r="L6056">
            <v>0</v>
          </cell>
        </row>
        <row r="6057">
          <cell r="A6057" t="str">
            <v>12</v>
          </cell>
          <cell r="B6057" t="str">
            <v>26</v>
          </cell>
          <cell r="C6057" t="str">
            <v>12</v>
          </cell>
          <cell r="D6057" t="str">
            <v>5</v>
          </cell>
          <cell r="E6057" t="str">
            <v>0033</v>
          </cell>
          <cell r="F6057" t="str">
            <v>0004</v>
          </cell>
          <cell r="G6057" t="str">
            <v>541</v>
          </cell>
          <cell r="H6057" t="str">
            <v>转销评估盘盈备件.温度计.干燥箱</v>
          </cell>
          <cell r="I6057" t="b">
            <v>0</v>
          </cell>
          <cell r="J6057">
            <v>174567.87</v>
          </cell>
          <cell r="K6057">
            <v>0</v>
          </cell>
          <cell r="L6057">
            <v>0</v>
          </cell>
        </row>
        <row r="6058">
          <cell r="A6058" t="str">
            <v>12</v>
          </cell>
          <cell r="B6058" t="str">
            <v>31</v>
          </cell>
          <cell r="C6058" t="str">
            <v>12</v>
          </cell>
          <cell r="D6058" t="str">
            <v>5</v>
          </cell>
          <cell r="E6058" t="str">
            <v>0104</v>
          </cell>
          <cell r="F6058" t="str">
            <v>0001</v>
          </cell>
          <cell r="G6058" t="str">
            <v>541</v>
          </cell>
          <cell r="H6058" t="str">
            <v>结转营业外收入</v>
          </cell>
          <cell r="I6058" t="b">
            <v>1</v>
          </cell>
          <cell r="J6058">
            <v>174567.87</v>
          </cell>
          <cell r="K6058">
            <v>0</v>
          </cell>
          <cell r="L6058">
            <v>0</v>
          </cell>
        </row>
        <row r="6059">
          <cell r="A6059" t="str">
            <v>07</v>
          </cell>
          <cell r="B6059" t="str">
            <v>21</v>
          </cell>
          <cell r="C6059" t="str">
            <v>07</v>
          </cell>
          <cell r="D6059" t="str">
            <v>2</v>
          </cell>
          <cell r="E6059" t="str">
            <v>0022</v>
          </cell>
          <cell r="F6059" t="str">
            <v>0002</v>
          </cell>
          <cell r="G6059" t="str">
            <v>542</v>
          </cell>
          <cell r="H6059" t="str">
            <v>付滞纳金</v>
          </cell>
          <cell r="I6059" t="b">
            <v>1</v>
          </cell>
          <cell r="J6059">
            <v>516.11</v>
          </cell>
          <cell r="K6059">
            <v>0</v>
          </cell>
          <cell r="L6059">
            <v>0</v>
          </cell>
        </row>
        <row r="6060">
          <cell r="A6060" t="str">
            <v>07</v>
          </cell>
          <cell r="B6060" t="str">
            <v>28</v>
          </cell>
          <cell r="C6060" t="str">
            <v>07</v>
          </cell>
          <cell r="D6060" t="str">
            <v>5</v>
          </cell>
          <cell r="E6060" t="str">
            <v>0037</v>
          </cell>
          <cell r="F6060" t="str">
            <v>0001</v>
          </cell>
          <cell r="G6060" t="str">
            <v>542</v>
          </cell>
          <cell r="H6060" t="str">
            <v>结转营业外支出</v>
          </cell>
          <cell r="I6060" t="b">
            <v>0</v>
          </cell>
          <cell r="J6060">
            <v>516.11</v>
          </cell>
          <cell r="K6060">
            <v>0</v>
          </cell>
          <cell r="L6060">
            <v>0</v>
          </cell>
        </row>
        <row r="6061">
          <cell r="A6061" t="str">
            <v>11</v>
          </cell>
          <cell r="B6061" t="str">
            <v>01</v>
          </cell>
          <cell r="C6061" t="str">
            <v>11</v>
          </cell>
          <cell r="D6061" t="str">
            <v>2</v>
          </cell>
          <cell r="E6061" t="str">
            <v>0001</v>
          </cell>
          <cell r="F6061" t="str">
            <v>0001</v>
          </cell>
          <cell r="G6061" t="str">
            <v>542</v>
          </cell>
          <cell r="H6061" t="str">
            <v>付土地补偿费</v>
          </cell>
          <cell r="I6061" t="b">
            <v>1</v>
          </cell>
          <cell r="J6061">
            <v>30000</v>
          </cell>
          <cell r="K6061">
            <v>0</v>
          </cell>
          <cell r="L6061">
            <v>0</v>
          </cell>
        </row>
        <row r="6062">
          <cell r="A6062" t="str">
            <v>11</v>
          </cell>
          <cell r="B6062" t="str">
            <v>30</v>
          </cell>
          <cell r="C6062" t="str">
            <v>11</v>
          </cell>
          <cell r="D6062" t="str">
            <v>5</v>
          </cell>
          <cell r="E6062" t="str">
            <v>0039</v>
          </cell>
          <cell r="F6062" t="str">
            <v>0001</v>
          </cell>
          <cell r="G6062" t="str">
            <v>542</v>
          </cell>
          <cell r="H6062" t="str">
            <v>结转营业外支出</v>
          </cell>
          <cell r="I6062" t="b">
            <v>0</v>
          </cell>
          <cell r="J6062">
            <v>30000</v>
          </cell>
          <cell r="K6062">
            <v>0</v>
          </cell>
          <cell r="L6062">
            <v>0</v>
          </cell>
        </row>
        <row r="6063">
          <cell r="A6063" t="str">
            <v>12</v>
          </cell>
          <cell r="B6063" t="str">
            <v>25</v>
          </cell>
          <cell r="C6063" t="str">
            <v>12</v>
          </cell>
          <cell r="D6063" t="str">
            <v>5</v>
          </cell>
          <cell r="E6063" t="str">
            <v>0026</v>
          </cell>
          <cell r="F6063" t="str">
            <v>0001</v>
          </cell>
          <cell r="G6063" t="str">
            <v>542</v>
          </cell>
          <cell r="H6063" t="str">
            <v>转订出11月2-1#凭证错制</v>
          </cell>
          <cell r="I6063" t="b">
            <v>1</v>
          </cell>
          <cell r="J6063">
            <v>-30000</v>
          </cell>
          <cell r="K6063">
            <v>0</v>
          </cell>
          <cell r="L6063">
            <v>0</v>
          </cell>
        </row>
        <row r="6064">
          <cell r="A6064" t="str">
            <v>12</v>
          </cell>
          <cell r="B6064" t="str">
            <v>26</v>
          </cell>
          <cell r="C6064" t="str">
            <v>12</v>
          </cell>
          <cell r="D6064" t="str">
            <v>5</v>
          </cell>
          <cell r="E6064" t="str">
            <v>0033</v>
          </cell>
          <cell r="F6064" t="str">
            <v>0001</v>
          </cell>
          <cell r="G6064" t="str">
            <v>542</v>
          </cell>
          <cell r="H6064" t="str">
            <v>结转清理130汽车净损失</v>
          </cell>
          <cell r="I6064" t="b">
            <v>1</v>
          </cell>
          <cell r="J6064">
            <v>4955.41</v>
          </cell>
          <cell r="K6064">
            <v>0</v>
          </cell>
          <cell r="L6064">
            <v>0</v>
          </cell>
        </row>
        <row r="6065">
          <cell r="A6065" t="str">
            <v>12</v>
          </cell>
          <cell r="B6065" t="str">
            <v>27</v>
          </cell>
          <cell r="C6065" t="str">
            <v>12</v>
          </cell>
          <cell r="D6065" t="str">
            <v>5</v>
          </cell>
          <cell r="E6065" t="str">
            <v>0036</v>
          </cell>
          <cell r="F6065" t="str">
            <v>0004</v>
          </cell>
          <cell r="G6065" t="str">
            <v>542</v>
          </cell>
          <cell r="H6065" t="str">
            <v>结转清理出售文登叉车净损失</v>
          </cell>
          <cell r="I6065" t="b">
            <v>1</v>
          </cell>
          <cell r="J6065">
            <v>27264</v>
          </cell>
          <cell r="K6065">
            <v>0</v>
          </cell>
          <cell r="L6065">
            <v>0</v>
          </cell>
        </row>
        <row r="6066">
          <cell r="A6066" t="str">
            <v>12</v>
          </cell>
          <cell r="B6066" t="str">
            <v>31</v>
          </cell>
          <cell r="C6066" t="str">
            <v>12</v>
          </cell>
          <cell r="D6066" t="str">
            <v>5</v>
          </cell>
          <cell r="E6066" t="str">
            <v>0105</v>
          </cell>
          <cell r="F6066" t="str">
            <v>0001</v>
          </cell>
          <cell r="G6066" t="str">
            <v>542</v>
          </cell>
          <cell r="H6066" t="str">
            <v>结转营业外支出</v>
          </cell>
          <cell r="I6066" t="b">
            <v>0</v>
          </cell>
          <cell r="J6066">
            <v>2219.41</v>
          </cell>
          <cell r="K6066">
            <v>0</v>
          </cell>
          <cell r="L6066">
            <v>0</v>
          </cell>
        </row>
      </sheetData>
      <sheetData sheetId="1" refreshError="1"/>
      <sheetData sheetId="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目录"/>
      <sheetName val="现金流量表"/>
      <sheetName val="现金流量表工作底稿"/>
      <sheetName val="补充资料"/>
      <sheetName val="调整分录"/>
      <sheetName val="资产负债表"/>
      <sheetName val="合并抵消分录"/>
      <sheetName val="损益表"/>
      <sheetName val="损益明细表"/>
      <sheetName val="利润分配表"/>
      <sheetName val="实收资本"/>
      <sheetName val="固定资产及累计折旧表"/>
      <sheetName val="AC0607B2"/>
      <sheetName val="长期投资表"/>
      <sheetName val="库存材料"/>
      <sheetName val="福利费、工资"/>
      <sheetName val="基本生产"/>
      <sheetName val="辅助生产表"/>
      <sheetName val="管理费用"/>
      <sheetName val="销售及财务费用"/>
      <sheetName val="营业外收支表"/>
      <sheetName val="在建工程表"/>
      <sheetName val="纳税情况表"/>
      <sheetName val="业务往来"/>
      <sheetName val="保险情况表"/>
      <sheetName val="保险投保明细表"/>
      <sheetName val="保险事故、赔款情况表"/>
      <sheetName val="债权债务表"/>
      <sheetName val="银行余额调整"/>
    </sheetNames>
    <sheetDataSet>
      <sheetData sheetId="0" refreshError="1"/>
      <sheetData sheetId="1" refreshError="1"/>
      <sheetData sheetId="2" refreshError="1"/>
      <sheetData sheetId="3" refreshError="1"/>
      <sheetData sheetId="4" refreshError="1"/>
      <sheetData sheetId="5" refreshError="1"/>
      <sheetData sheetId="6" refreshError="1">
        <row r="3">
          <cell r="A3" t="str">
            <v>制表单位：中海石油北方船舶公司</v>
          </cell>
        </row>
      </sheetData>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头"/>
      <sheetName val="其他表"/>
      <sheetName val="余额表"/>
      <sheetName val="联查凭证"/>
      <sheetName val="序时账"/>
      <sheetName val="库存现金1A"/>
      <sheetName val="我的凭证"/>
      <sheetName val="明细表G4-2-1"/>
      <sheetName val="D2-2-4明细表（审定数账龄）"/>
    </sheetNames>
    <sheetDataSet>
      <sheetData sheetId="0" refreshError="1">
        <row r="1">
          <cell r="B1" t="str">
            <v>鼎视</v>
          </cell>
        </row>
        <row r="2">
          <cell r="B2">
            <v>40359</v>
          </cell>
        </row>
        <row r="3">
          <cell r="B3" t="str">
            <v>郝</v>
          </cell>
        </row>
        <row r="4">
          <cell r="B4" t="str">
            <v>宏</v>
          </cell>
        </row>
        <row r="5">
          <cell r="B5">
            <v>40378</v>
          </cell>
        </row>
        <row r="6">
          <cell r="B6">
            <v>40381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选择报表"/>
      <sheetName val="资产负债表"/>
      <sheetName val="BB01"/>
      <sheetName val="损益表"/>
      <sheetName val="损益明细表"/>
      <sheetName val="bb02"/>
      <sheetName val="利润分配表"/>
      <sheetName val="实收资本明细表"/>
      <sheetName val="固定资产累计折旧表"/>
      <sheetName val="固定资产累计折旧表 (2)"/>
      <sheetName val="AC0607B1"/>
      <sheetName val="固定资产累计折旧表续"/>
      <sheetName val="AC0607B2"/>
      <sheetName val="长期投资表"/>
      <sheetName val="其他投资"/>
      <sheetName val="存货表"/>
      <sheetName val="BBZL11"/>
      <sheetName val="应付工资、应付福利费表"/>
      <sheetName val="BBZL12"/>
      <sheetName val="对外合作人员费收入明细表"/>
      <sheetName val="生产成本表"/>
      <sheetName val="生产成本明细表"/>
      <sheetName val="BBZL14"/>
      <sheetName val="辅助生产表"/>
      <sheetName val="BBZL14-1"/>
      <sheetName val="管理费用明细表"/>
      <sheetName val="BBZL18"/>
      <sheetName val="销售费用及财务费用明细表"/>
      <sheetName val="BBZL17"/>
      <sheetName val="营业外收支明细表"/>
      <sheetName val="营业外收支表"/>
      <sheetName val="BBZL20"/>
      <sheetName val="在建工程表"/>
      <sheetName val="业务往来"/>
      <sheetName val="系统内资产调拨表"/>
      <sheetName val="海洋石油税表"/>
      <sheetName val="债权债务表"/>
      <sheetName val="BBZL31"/>
      <sheetName val="BBZL31 (2)"/>
      <sheetName val="Sheet1"/>
      <sheetName val="银行余额表"/>
      <sheetName val="银行调整表 "/>
      <sheetName val="银行调整表(1)"/>
      <sheetName val="银行调整表 (2)"/>
    </sheetNames>
    <sheetDataSet>
      <sheetData sheetId="0" refreshError="1">
        <row r="1">
          <cell r="A1" t="str">
            <v>编制单位：北方船舶</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3"/>
      <sheetName val="Sheet4"/>
      <sheetName val="laroux"/>
      <sheetName val="评估结果汇总表"/>
      <sheetName val="评估分类汇总表"/>
      <sheetName val="流动资产汇总表"/>
      <sheetName val="4货币现金"/>
      <sheetName val="5银行存款"/>
      <sheetName val="11应收帐款"/>
      <sheetName val="14预付帐"/>
      <sheetName val="16其他应收"/>
      <sheetName val="存货汇总"/>
      <sheetName val="23产成品 "/>
      <sheetName val="长期投资汇总表"/>
      <sheetName val="其他投资"/>
      <sheetName val="固定资产汇总表"/>
      <sheetName val="38房屋建筑"/>
      <sheetName val="41机器设备"/>
      <sheetName val="42车辆"/>
      <sheetName val="流动负债汇总表"/>
      <sheetName val="58应付帐"/>
      <sheetName val="61其他应付"/>
      <sheetName val="62应付工资"/>
      <sheetName val="63应付福利费"/>
      <sheetName val="64应交税金"/>
      <sheetName val="应付利润"/>
      <sheetName val="其他应交款"/>
      <sheetName val="长期负债汇总表"/>
      <sheetName val="在建"/>
      <sheetName val="XL4Poppy"/>
      <sheetName val="Sheet1"/>
      <sheetName val="      "/>
      <sheetName val="评估结果分类汇总表"/>
      <sheetName val="流动资产--货币"/>
      <sheetName val="流动资产--货币 (2)"/>
      <sheetName val="流动资产--货币 (3)"/>
      <sheetName val="短投汇总表"/>
      <sheetName val="短投"/>
      <sheetName val="短投 (2)"/>
      <sheetName val="流动资产--票据"/>
      <sheetName val="流动资产--应收"/>
      <sheetName val="流动资产--利润"/>
      <sheetName val="流动资产--利息"/>
      <sheetName val="流动资产--预付"/>
      <sheetName val="流动资产--补贴"/>
      <sheetName val="流动资产--其他应收"/>
      <sheetName val="流动资产--存货"/>
      <sheetName val="流动资产-原材料"/>
      <sheetName val="流动资产-材料采购"/>
      <sheetName val="流动资产-在库低值"/>
      <sheetName val="流动资产-产成品"/>
      <sheetName val="流动资产-在用低值"/>
      <sheetName val="流动资产--待摊"/>
      <sheetName val="流动资产--待处理"/>
      <sheetName val="一年到期长期债券"/>
      <sheetName val="其他流动资产"/>
      <sheetName val="长期投资--股票"/>
      <sheetName val="长期投资--债券"/>
      <sheetName val="长期投资--其他投资"/>
      <sheetName val="房屋建筑物"/>
      <sheetName val="构筑物"/>
      <sheetName val="码头"/>
      <sheetName val="机器设备"/>
      <sheetName val="车辆"/>
      <sheetName val="电子设备"/>
      <sheetName val="船舶设备"/>
      <sheetName val="通导设备"/>
      <sheetName val="集装箱设备"/>
      <sheetName val="固定-土地"/>
      <sheetName val="工程物资"/>
      <sheetName val="土建工程"/>
      <sheetName val="设备安装"/>
      <sheetName val="固定资产清理"/>
      <sheetName val="待处理固定资产"/>
      <sheetName val="土地使用权"/>
      <sheetName val="其他无形资产"/>
      <sheetName val="开办费"/>
      <sheetName val="长期待摊费用"/>
      <sheetName val="其他长期资产"/>
      <sheetName val="递延税款"/>
      <sheetName val="短期借款"/>
      <sheetName val="应付票据"/>
      <sheetName val="应付帐款"/>
      <sheetName val="预收帐款"/>
      <sheetName val="代销商品款"/>
      <sheetName val="其他应付款"/>
      <sheetName val="应付工资"/>
      <sheetName val="应付福利费"/>
      <sheetName val="应交税金"/>
      <sheetName val="预提费用"/>
      <sheetName val="一年内到期长期负债"/>
      <sheetName val="其他流动负债"/>
      <sheetName val="长期借款"/>
      <sheetName val="应付债券"/>
      <sheetName val="长期应付款"/>
      <sheetName val="住房周转金"/>
      <sheetName val="其他长期负债"/>
      <sheetName val="递延税款贷款"/>
      <sheetName val="00000000"/>
      <sheetName val="10000000"/>
      <sheetName val="成本费用调整表"/>
      <sheetName val="8月人数调整"/>
      <sheetName val="IP卡收入分解"/>
      <sheetName val="服务收入加其他业利润"/>
      <sheetName val="平均资产总额"/>
      <sheetName val="分公司EBITDA率"/>
      <sheetName val="收支差额"/>
      <sheetName val="上年收入"/>
      <sheetName val="本年长数互收"/>
      <sheetName val="收支系数数据"/>
      <sheetName val="收支系数"/>
      <sheetName val="资产报酬率"/>
      <sheetName val="劳动生产率"/>
      <sheetName val="百元工资产出率"/>
      <sheetName val="收入增长贡献率"/>
      <sheetName val="收支差额贡献率"/>
      <sheetName val="全年"/>
      <sheetName val="比较"/>
      <sheetName val="1-11月"/>
      <sheetName val="1货币资金"/>
      <sheetName val="34土地使用权"/>
      <sheetName val="甘肃省电信机械历年价格系数表"/>
      <sheetName val="5运输设备"/>
      <sheetName val="封面"/>
      <sheetName val="目录"/>
      <sheetName val="表1 货币资金"/>
      <sheetName val="表1-1 银行存款明细表"/>
      <sheetName val="表2 短期投资"/>
      <sheetName val="表3 应收帐款"/>
      <sheetName val="表4 应收票据"/>
      <sheetName val="表5 存货"/>
      <sheetName val="表5-1 存货跌价损失准备计算表"/>
      <sheetName val="表5-2 存货倒推表"/>
      <sheetName val="表6 预付帐款"/>
      <sheetName val="表6-1 其他应收款"/>
      <sheetName val="表6-2 待摊费用"/>
      <sheetName val="表6-3 预付及其他流动资产 "/>
      <sheetName val="表7 固定资产变动表"/>
      <sheetName val="表7-1 固定资产折旧表（上市） "/>
      <sheetName val="表7-1-1 固定资产折旧表  (非上市)"/>
      <sheetName val="表7-2 待处理财产损溢"/>
      <sheetName val="表7-3 固定资产有关资料"/>
      <sheetName val="表8-1 移动"/>
      <sheetName val="表8-2-1 数据"/>
      <sheetName val="表8-2-2 互联网"/>
      <sheetName val="表8-3 长途"/>
      <sheetName val="表8-4 寻呼"/>
      <sheetName val="表8-5 市话"/>
      <sheetName val="表8-6 在建工程明细表"/>
      <sheetName val="表8-7 工程合同汇总表(移动) NEW"/>
      <sheetName val="表8-7 工程合同汇总表(移动) (2)"/>
      <sheetName val="表8-8 在建工程有关资料"/>
      <sheetName val="表9 长期待摊费用"/>
      <sheetName val="表9-1 租赁合同汇总表"/>
      <sheetName val="表10 无形资产变动表"/>
      <sheetName val="表11 长期投资"/>
      <sheetName val="表11-1 长期股票投资"/>
      <sheetName val="表11-2 长期股权投资－未合并子公司"/>
      <sheetName val="表11-3 长期股权投资 － 合营公司"/>
      <sheetName val="表11-4 长期股权投资－联营公司"/>
      <sheetName val="表11-5 长期股权投资－参股公司"/>
      <sheetName val="表11-6 长期债权投资"/>
      <sheetName val="表11-7 其他债权投资"/>
      <sheetName val="表12 关联公司交易"/>
      <sheetName val="表12-1 与总部对帐"/>
      <sheetName val="表8-7 工程合同汇总表(移动) (5)"/>
      <sheetName val="公  "/>
      <sheetName val="共同"/>
      <sheetName val="共同 (2)"/>
      <sheetName val="BSC  BTS"/>
      <sheetName val="西门子 "/>
      <sheetName val="Sheet1 (2)"/>
      <sheetName val="光端机"/>
      <sheetName val="二次分配    "/>
      <sheetName val="二次分配     (2)"/>
      <sheetName val="二次分配     (3)"/>
      <sheetName val="二次分配     (4)"/>
      <sheetName val="表8-7 工程合同汇总表(移动) (3)"/>
      <sheetName val="表8-7 工程合同汇总表 (上市) (2)"/>
      <sheetName val="1固定资产汇总表"/>
      <sheetName val="4通用设备"/>
      <sheetName val="6线路设备"/>
      <sheetName val="7电信机械设备"/>
      <sheetName val="8电源设备 "/>
      <sheetName val="9固定_土地"/>
      <sheetName val="10工程物资"/>
      <sheetName val="12设备安装 (暂估入账余额)"/>
      <sheetName val="13设备安装（其他）"/>
      <sheetName val="14固定资产清理"/>
      <sheetName val="15待处理固定资产"/>
      <sheetName val="Index"/>
      <sheetName val="ADJ"/>
      <sheetName val="ADJ-Example"/>
      <sheetName val="WB"/>
      <sheetName val="Adj.No"/>
      <sheetName val="FS-W"/>
      <sheetName val="FS-N"/>
      <sheetName val="FS-O"/>
      <sheetName val="PL"/>
      <sheetName val="NA"/>
      <sheetName val="S00"/>
      <sheetName val="S01"/>
      <sheetName val="S02"/>
      <sheetName val="S03"/>
      <sheetName val="S03_3"/>
      <sheetName val="S04_3"/>
      <sheetName val="b00w"/>
      <sheetName val="b00n"/>
      <sheetName val="p00w"/>
      <sheetName val="p00n"/>
      <sheetName val="h00w"/>
      <sheetName val="h00n"/>
      <sheetName val="b01w"/>
      <sheetName val="b01n"/>
      <sheetName val="p01w"/>
      <sheetName val="p01n"/>
      <sheetName val="h01w"/>
      <sheetName val="h01n"/>
      <sheetName val="b02w"/>
      <sheetName val="b02n"/>
      <sheetName val="p02w"/>
      <sheetName val="p02n"/>
      <sheetName val="h02w"/>
      <sheetName val="h02n"/>
      <sheetName val="b03w"/>
      <sheetName val="b03n"/>
      <sheetName val="p03w"/>
      <sheetName val="p03n"/>
      <sheetName val="h03w"/>
      <sheetName val="h03n"/>
      <sheetName val="b03_3w"/>
      <sheetName val="b03_3n"/>
      <sheetName val="p03_3w"/>
      <sheetName val="p03_3n"/>
      <sheetName val="h03_3w"/>
      <sheetName val="h03_3n"/>
      <sheetName val="b04_3w"/>
      <sheetName val="b04_3n"/>
      <sheetName val="p04_3w"/>
      <sheetName val="p04_3n"/>
      <sheetName val="h04_3w"/>
      <sheetName val="h04_3n"/>
      <sheetName val="Journal list"/>
      <sheetName val="Log"/>
      <sheetName val="Journal list (2)"/>
      <sheetName val="Journal list (3)"/>
      <sheetName val="Journal list (4)"/>
      <sheetName val="Journal list (5)"/>
      <sheetName val="绥棱（车）"/>
      <sheetName val="绥棱"/>
      <sheetName val="P1 损益表"/>
      <sheetName val="P2 主营业务收入"/>
      <sheetName val="P3 跨期间工程设计收入"/>
      <sheetName val="P4 跨期间工程施工收入"/>
      <sheetName val="P5 器材供应收入 "/>
      <sheetName val="P6主营业务成本"/>
      <sheetName val="P7营业税金及附加"/>
      <sheetName val="P8营业费用"/>
      <sheetName val="P9管理费用"/>
      <sheetName val="P10利息费用"/>
      <sheetName val="P11其它业务利润(亏损)"/>
      <sheetName val="P12 投资收益汇总表"/>
      <sheetName val="P12-1 投资收益明细表"/>
      <sheetName val="P13营业外收支"/>
      <sheetName val="P14以前年度损益调整"/>
      <sheetName val="P15 所得税-企业所得税纳税调节表"/>
      <sheetName val="P16 所得税-递延税项"/>
      <sheetName val="其俖应交款"/>
      <sheetName val="应侤税金"/>
      <sheetName val="01"/>
      <sheetName val="02"/>
      <sheetName val="03"/>
      <sheetName val="04"/>
      <sheetName val="05"/>
      <sheetName val="税金计提"/>
      <sheetName val="税金计提 (2)"/>
      <sheetName val="税金计提 (3)"/>
      <sheetName val="6月合并"/>
      <sheetName val="税金计提07"/>
      <sheetName val="样品 "/>
      <sheetName val="样品  (2)"/>
      <sheetName val=""/>
      <sheetName val="[13 铁路配件.xlsῘ长期投资--其他投资"/>
      <sheetName val="新中大资产负债表"/>
      <sheetName val="新中大损益表"/>
      <sheetName val="内部损益表"/>
      <sheetName val="含税损益表附表（本月)"/>
      <sheetName val="含税损益表附表（本年累计)"/>
      <sheetName val="费用汇总表"/>
      <sheetName val="经营费用明细表（本月）"/>
      <sheetName val="经营费用明细表（本年）"/>
      <sheetName val="管理费用明细表（本月)"/>
      <sheetName val="管理费用明细表（本年）"/>
      <sheetName val="销售收入明细表"/>
      <sheetName val="商品库存周转天数表"/>
      <sheetName val="资产对帐表"/>
      <sheetName val="其他应收"/>
      <sheetName val="其他应付"/>
      <sheetName val="含税损益表附表（本月）"/>
      <sheetName val="含税损益表附表（本年累计）"/>
      <sheetName val="管理费用明细表（本月）"/>
      <sheetName val="资产对帐清单 "/>
      <sheetName val="汇总表"/>
      <sheetName val="税"/>
      <sheetName val="工资表"/>
      <sheetName val="企业表一"/>
      <sheetName val="M-5C"/>
      <sheetName val="M-5A"/>
      <sheetName val="上报"/>
      <sheetName val="1&amp;其他应收"/>
      <sheetName val="P!6 所得税-递延税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5">
          <cell r="A15" t="b">
            <v>1</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sheetData sheetId="121"/>
      <sheetData sheetId="122"/>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efreshError="1"/>
      <sheetData sheetId="269" refreshError="1"/>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上市资产负债"/>
      <sheetName val="上市利润"/>
      <sheetName val="上市指标"/>
      <sheetName val="||"/>
      <sheetName val="上市资产95"/>
      <sheetName val="上市权益95"/>
      <sheetName val="上市利润95"/>
      <sheetName val="上市资产96"/>
      <sheetName val="上市权益96"/>
      <sheetName val="上市利润96"/>
      <sheetName val="上市资产97"/>
      <sheetName val="上市权益97"/>
      <sheetName val="上市利润97"/>
      <sheetName val="上市资产98"/>
      <sheetName val="上市权益98"/>
      <sheetName val="上市利润98"/>
      <sheetName val="〈"/>
      <sheetName val="资产对比"/>
      <sheetName val="权益对比"/>
      <sheetName val="利润对比"/>
      <sheetName val="指标对比"/>
      <sheetName val="（"/>
      <sheetName val="存续资产97"/>
      <sheetName val="存续权益97"/>
      <sheetName val="存续利润97"/>
      <sheetName val="存续资产98"/>
      <sheetName val="存续权益98"/>
      <sheetName val="存续利润98"/>
      <sheetName val="）"/>
      <sheetName val="资产95"/>
      <sheetName val="权益95"/>
      <sheetName val="利润95"/>
      <sheetName val="试算平衡95"/>
      <sheetName val="差异调整95"/>
      <sheetName val="资产96"/>
      <sheetName val="权益96"/>
      <sheetName val="利润96"/>
      <sheetName val="试算平衡96"/>
      <sheetName val="差异调整96"/>
      <sheetName val="资产97"/>
      <sheetName val="权益97"/>
      <sheetName val="利润97"/>
      <sheetName val="试算平衡97"/>
      <sheetName val="差异调整97"/>
      <sheetName val="资产98"/>
      <sheetName val="权益98"/>
      <sheetName val="利润98"/>
      <sheetName val="试算平衡98"/>
      <sheetName val="差异调整98"/>
      <sheetName val="---"/>
      <sheetName val="资产负债"/>
      <sheetName val="利润"/>
      <sheetName val="+++++"/>
      <sheetName val="原资产负债"/>
      <sheetName val="原利润"/>
      <sheetName val="===="/>
      <sheetName val="原资产95"/>
      <sheetName val="原权益95"/>
      <sheetName val="原利润95"/>
      <sheetName val="原试算95"/>
      <sheetName val="原调整95"/>
      <sheetName val="原资产96"/>
      <sheetName val="原权益96"/>
      <sheetName val="原利润96"/>
      <sheetName val="原试算96"/>
      <sheetName val="原调整96"/>
      <sheetName val="原资产97"/>
      <sheetName val="原权益97"/>
      <sheetName val="原利润97"/>
      <sheetName val="原试算97"/>
      <sheetName val="原调整97"/>
      <sheetName val="原资产98"/>
      <sheetName val="原权益98"/>
      <sheetName val="原利润98"/>
      <sheetName val="原试算98"/>
      <sheetName val="原调整98"/>
      <sheetName val="合并报表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(空白)</v>
          </cell>
          <cell r="J3" t="str">
            <v>(空白)</v>
          </cell>
        </row>
        <row r="4">
          <cell r="I4" t="str">
            <v>(空白) 分类汇总</v>
          </cell>
        </row>
        <row r="5">
          <cell r="I5" t="str">
            <v>抵销</v>
          </cell>
          <cell r="J5" t="str">
            <v>股本</v>
          </cell>
          <cell r="K5">
            <v>1000000</v>
          </cell>
        </row>
        <row r="6">
          <cell r="J6" t="str">
            <v>盈余公积</v>
          </cell>
          <cell r="K6">
            <v>1984466.18</v>
          </cell>
        </row>
        <row r="7">
          <cell r="J7" t="str">
            <v>投资收益</v>
          </cell>
          <cell r="L7">
            <v>11705473.67</v>
          </cell>
        </row>
        <row r="8">
          <cell r="J8" t="str">
            <v>少数股东损益</v>
          </cell>
          <cell r="L8">
            <v>1300608.18</v>
          </cell>
        </row>
        <row r="9">
          <cell r="J9" t="str">
            <v>长期股权投资</v>
          </cell>
          <cell r="M9">
            <v>4441840.6100000003</v>
          </cell>
        </row>
        <row r="10">
          <cell r="J10" t="str">
            <v>少数股东权益</v>
          </cell>
          <cell r="M10">
            <v>493537.85</v>
          </cell>
        </row>
        <row r="11">
          <cell r="J11" t="str">
            <v>其他应付款</v>
          </cell>
          <cell r="K11">
            <v>8163633.0599999996</v>
          </cell>
        </row>
        <row r="12">
          <cell r="J12" t="str">
            <v>应收股利</v>
          </cell>
          <cell r="M12">
            <v>8163633.0599999996</v>
          </cell>
        </row>
        <row r="13">
          <cell r="J13" t="str">
            <v>应收帐款</v>
          </cell>
          <cell r="M13">
            <v>9917274.6099999994</v>
          </cell>
        </row>
        <row r="14">
          <cell r="J14" t="str">
            <v>应付帐款</v>
          </cell>
          <cell r="K14">
            <v>1929022.28</v>
          </cell>
        </row>
        <row r="15">
          <cell r="J15" t="str">
            <v>预收帐款</v>
          </cell>
          <cell r="K15">
            <v>7988252.3300000001</v>
          </cell>
        </row>
        <row r="16">
          <cell r="J16" t="str">
            <v>主营业务收入</v>
          </cell>
          <cell r="L16">
            <v>72572821.370000005</v>
          </cell>
        </row>
        <row r="17">
          <cell r="J17" t="str">
            <v>主营业务成本</v>
          </cell>
          <cell r="N17">
            <v>72992300.689999998</v>
          </cell>
        </row>
        <row r="18">
          <cell r="J18" t="str">
            <v>存货跌价准备</v>
          </cell>
          <cell r="K18">
            <v>419479.32</v>
          </cell>
        </row>
        <row r="19">
          <cell r="J19" t="str">
            <v>管理费用</v>
          </cell>
          <cell r="L19">
            <v>376.1</v>
          </cell>
        </row>
        <row r="20">
          <cell r="J20" t="str">
            <v>坏帐准备</v>
          </cell>
          <cell r="M20">
            <v>376.1</v>
          </cell>
        </row>
        <row r="21">
          <cell r="I21" t="str">
            <v>抵销 分类汇总</v>
          </cell>
          <cell r="K21">
            <v>21484853.169999998</v>
          </cell>
          <cell r="L21">
            <v>85579279.319999993</v>
          </cell>
          <cell r="M21">
            <v>23016662.23</v>
          </cell>
          <cell r="N21">
            <v>72992300.689999998</v>
          </cell>
        </row>
        <row r="22">
          <cell r="I22" t="str">
            <v>利润分配</v>
          </cell>
          <cell r="J22" t="str">
            <v>提取法定盈余公积</v>
          </cell>
          <cell r="M22">
            <v>1071931.26</v>
          </cell>
        </row>
        <row r="23">
          <cell r="J23" t="str">
            <v>提取法定公益金</v>
          </cell>
          <cell r="M23">
            <v>937351.92</v>
          </cell>
        </row>
        <row r="24">
          <cell r="J24" t="str">
            <v>应付普通股股利</v>
          </cell>
          <cell r="M24">
            <v>9045886.3900000006</v>
          </cell>
        </row>
        <row r="25">
          <cell r="I25" t="str">
            <v>利润分配 分类汇总</v>
          </cell>
          <cell r="M25">
            <v>11055169.57</v>
          </cell>
        </row>
        <row r="26">
          <cell r="I26" t="str">
            <v>总计</v>
          </cell>
          <cell r="K26">
            <v>21484853.169999998</v>
          </cell>
          <cell r="L26">
            <v>85579279.319999993</v>
          </cell>
          <cell r="M26">
            <v>34071831.800000004</v>
          </cell>
          <cell r="N26">
            <v>72992300.689999998</v>
          </cell>
        </row>
      </sheetData>
      <sheetData sheetId="35"/>
      <sheetData sheetId="36"/>
      <sheetData sheetId="37"/>
      <sheetData sheetId="38"/>
      <sheetData sheetId="39"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抵销</v>
          </cell>
          <cell r="J3" t="str">
            <v>股本</v>
          </cell>
          <cell r="K3">
            <v>8000000</v>
          </cell>
        </row>
        <row r="4">
          <cell r="J4" t="str">
            <v>盈余公积</v>
          </cell>
          <cell r="K4">
            <v>981264.85</v>
          </cell>
        </row>
        <row r="5">
          <cell r="J5" t="str">
            <v>投资收益</v>
          </cell>
          <cell r="L5">
            <v>205995.51</v>
          </cell>
        </row>
        <row r="6">
          <cell r="J6" t="str">
            <v>少数股东损益</v>
          </cell>
          <cell r="L6">
            <v>22888.39</v>
          </cell>
        </row>
        <row r="7">
          <cell r="J7" t="str">
            <v>长期股权投资</v>
          </cell>
          <cell r="M7">
            <v>8289133.8799999999</v>
          </cell>
        </row>
        <row r="8">
          <cell r="J8" t="str">
            <v>少数股东权益</v>
          </cell>
          <cell r="M8">
            <v>921014.87</v>
          </cell>
        </row>
        <row r="9">
          <cell r="J9" t="str">
            <v>预收帐款</v>
          </cell>
          <cell r="K9">
            <v>11080385.109999999</v>
          </cell>
        </row>
        <row r="10">
          <cell r="J10" t="str">
            <v>预付帐款</v>
          </cell>
          <cell r="M10">
            <v>10672363.42</v>
          </cell>
        </row>
        <row r="11">
          <cell r="J11" t="str">
            <v>应收帐款</v>
          </cell>
          <cell r="M11">
            <v>408021.69</v>
          </cell>
        </row>
        <row r="12">
          <cell r="J12" t="str">
            <v>主营业务收入</v>
          </cell>
          <cell r="L12">
            <v>98492459.760000005</v>
          </cell>
        </row>
        <row r="13">
          <cell r="J13" t="str">
            <v>主营业务成本</v>
          </cell>
          <cell r="L13">
            <v>196.89</v>
          </cell>
          <cell r="N13">
            <v>98492459.760000005</v>
          </cell>
        </row>
        <row r="14">
          <cell r="J14" t="str">
            <v>存货跌价准备</v>
          </cell>
          <cell r="K14">
            <v>419282.43</v>
          </cell>
        </row>
        <row r="15">
          <cell r="J15" t="str">
            <v>管理费用</v>
          </cell>
          <cell r="L15">
            <v>27974.89</v>
          </cell>
        </row>
        <row r="16">
          <cell r="J16" t="str">
            <v>坏帐准备</v>
          </cell>
          <cell r="M16">
            <v>28350.99</v>
          </cell>
        </row>
        <row r="17">
          <cell r="I17" t="str">
            <v>抵销 分类汇总</v>
          </cell>
          <cell r="K17">
            <v>20480932.390000001</v>
          </cell>
          <cell r="L17">
            <v>98749515.440000013</v>
          </cell>
          <cell r="M17">
            <v>20318884.850000001</v>
          </cell>
          <cell r="N17">
            <v>98492459.760000005</v>
          </cell>
        </row>
        <row r="18">
          <cell r="I18" t="str">
            <v>利润分配</v>
          </cell>
          <cell r="J18" t="str">
            <v>年初未分配利润</v>
          </cell>
          <cell r="K18">
            <v>1951288.38</v>
          </cell>
          <cell r="M18">
            <v>419479.32</v>
          </cell>
        </row>
        <row r="19">
          <cell r="J19" t="str">
            <v>转作股本的普通股股利</v>
          </cell>
          <cell r="M19">
            <v>1950912.28</v>
          </cell>
        </row>
        <row r="20">
          <cell r="I20" t="str">
            <v>利润分配 分类汇总</v>
          </cell>
          <cell r="K20">
            <v>1951288.38</v>
          </cell>
          <cell r="M20">
            <v>2370391.6</v>
          </cell>
        </row>
        <row r="21">
          <cell r="I21" t="str">
            <v>总计</v>
          </cell>
          <cell r="K21">
            <v>22432220.77</v>
          </cell>
          <cell r="L21">
            <v>98749515.440000013</v>
          </cell>
          <cell r="M21">
            <v>22689276.450000003</v>
          </cell>
          <cell r="N21">
            <v>98492459.760000005</v>
          </cell>
        </row>
      </sheetData>
      <sheetData sheetId="40"/>
      <sheetData sheetId="41"/>
      <sheetData sheetId="42"/>
      <sheetData sheetId="43"/>
      <sheetData sheetId="4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抵销</v>
          </cell>
          <cell r="J3" t="str">
            <v>长期股权投资</v>
          </cell>
          <cell r="M3">
            <v>11608783.73</v>
          </cell>
        </row>
        <row r="4">
          <cell r="J4" t="str">
            <v>存货跌价准备</v>
          </cell>
          <cell r="K4">
            <v>207592.67</v>
          </cell>
        </row>
        <row r="5">
          <cell r="J5" t="str">
            <v>股本</v>
          </cell>
          <cell r="K5">
            <v>11000000</v>
          </cell>
        </row>
        <row r="6">
          <cell r="J6" t="str">
            <v>管理费用</v>
          </cell>
          <cell r="L6">
            <v>101537.48</v>
          </cell>
        </row>
        <row r="7">
          <cell r="J7" t="str">
            <v>坏帐准备</v>
          </cell>
          <cell r="M7">
            <v>129888.47</v>
          </cell>
        </row>
        <row r="8">
          <cell r="J8" t="str">
            <v>其他应付款</v>
          </cell>
          <cell r="K8">
            <v>18500</v>
          </cell>
        </row>
        <row r="9">
          <cell r="J9" t="str">
            <v>其他应收款</v>
          </cell>
          <cell r="M9">
            <v>104000</v>
          </cell>
        </row>
        <row r="10">
          <cell r="J10" t="str">
            <v>少数股东权益</v>
          </cell>
          <cell r="M10">
            <v>1737654.24</v>
          </cell>
        </row>
        <row r="11">
          <cell r="J11" t="str">
            <v>少数股东损益</v>
          </cell>
          <cell r="L11">
            <v>101273.85</v>
          </cell>
        </row>
        <row r="12">
          <cell r="J12" t="str">
            <v>投资收益</v>
          </cell>
          <cell r="L12">
            <v>881360.22</v>
          </cell>
        </row>
        <row r="13">
          <cell r="J13" t="str">
            <v>应付帐款</v>
          </cell>
          <cell r="K13">
            <v>1887730.15</v>
          </cell>
        </row>
        <row r="14">
          <cell r="J14" t="str">
            <v>应收帐款</v>
          </cell>
          <cell r="M14">
            <v>13235410.15</v>
          </cell>
        </row>
        <row r="15">
          <cell r="J15" t="str">
            <v>盈余公积</v>
          </cell>
          <cell r="K15">
            <v>1689387.55</v>
          </cell>
        </row>
        <row r="16">
          <cell r="J16" t="str">
            <v>预付帐款</v>
          </cell>
          <cell r="M16">
            <v>17751679.699999999</v>
          </cell>
        </row>
        <row r="17">
          <cell r="J17" t="str">
            <v>预收帐款</v>
          </cell>
          <cell r="K17">
            <v>29184859.699999999</v>
          </cell>
        </row>
        <row r="18">
          <cell r="J18" t="str">
            <v>主营业务成本</v>
          </cell>
          <cell r="L18">
            <v>211689.76</v>
          </cell>
          <cell r="N18">
            <v>67246937.859999999</v>
          </cell>
        </row>
        <row r="19">
          <cell r="J19" t="str">
            <v>主营业务收入</v>
          </cell>
          <cell r="L19">
            <v>67246937.859999999</v>
          </cell>
        </row>
        <row r="20">
          <cell r="I20" t="str">
            <v>抵销 分类汇总</v>
          </cell>
          <cell r="K20">
            <v>43988070.07</v>
          </cell>
          <cell r="L20">
            <v>68542799.170000002</v>
          </cell>
          <cell r="M20">
            <v>44567416.290000007</v>
          </cell>
          <cell r="N20">
            <v>67246937.859999999</v>
          </cell>
        </row>
        <row r="21">
          <cell r="I21" t="str">
            <v>利润分配</v>
          </cell>
          <cell r="J21" t="str">
            <v>年初未分配利润</v>
          </cell>
          <cell r="K21">
            <v>257234.89</v>
          </cell>
          <cell r="M21">
            <v>419282.43</v>
          </cell>
        </row>
        <row r="22">
          <cell r="J22" t="str">
            <v>提取法定盈余公积</v>
          </cell>
          <cell r="M22">
            <v>554467.55000000005</v>
          </cell>
        </row>
        <row r="23">
          <cell r="I23" t="str">
            <v>利润分配 分类汇总</v>
          </cell>
          <cell r="K23">
            <v>257234.89</v>
          </cell>
          <cell r="M23">
            <v>973749.98</v>
          </cell>
        </row>
        <row r="24">
          <cell r="I24" t="str">
            <v>(空白)</v>
          </cell>
          <cell r="J24" t="str">
            <v>(空白)</v>
          </cell>
        </row>
        <row r="25">
          <cell r="I25" t="str">
            <v>(空白) 分类汇总</v>
          </cell>
        </row>
        <row r="26">
          <cell r="I26" t="str">
            <v>总计</v>
          </cell>
          <cell r="K26">
            <v>44245304.960000001</v>
          </cell>
          <cell r="L26">
            <v>68542799.170000002</v>
          </cell>
          <cell r="M26">
            <v>45541166.270000003</v>
          </cell>
          <cell r="N26">
            <v>67246937.859999999</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产负债95"/>
      <sheetName val="损益95"/>
      <sheetName val="分配95"/>
      <sheetName val="试算平衡95"/>
      <sheetName val="差异调整95"/>
      <sheetName val="资产负债96"/>
      <sheetName val="损益96"/>
      <sheetName val="分配96"/>
      <sheetName val="试算平衡96"/>
      <sheetName val="差异调整96"/>
      <sheetName val="资产负债97"/>
      <sheetName val="损益97"/>
      <sheetName val="分配97"/>
      <sheetName val="试算平衡97"/>
      <sheetName val="差异调整97"/>
      <sheetName val="资产负债98"/>
      <sheetName val="损益98"/>
      <sheetName val="分配98"/>
      <sheetName val="试算平衡98"/>
      <sheetName val="差异调整98"/>
      <sheetName val="---"/>
      <sheetName val="资产剥离"/>
      <sheetName val="权益剥离"/>
      <sheetName val="损益剥离"/>
      <sheetName val="分配剥离"/>
      <sheetName val="==="/>
      <sheetName val="资产负债"/>
      <sheetName val="损益"/>
      <sheetName val="分配"/>
      <sheetName val="===="/>
      <sheetName val="资产负债分析"/>
      <sheetName val="损益分析"/>
      <sheetName val="分配分析"/>
      <sheetName val="历年调帐分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调整</v>
          </cell>
          <cell r="J3" t="str">
            <v>补贴收入</v>
          </cell>
          <cell r="L3">
            <v>4567.97</v>
          </cell>
          <cell r="N3">
            <v>40460.82</v>
          </cell>
        </row>
        <row r="4">
          <cell r="J4" t="str">
            <v>长期股权投资</v>
          </cell>
          <cell r="K4">
            <v>231094.23</v>
          </cell>
        </row>
        <row r="5">
          <cell r="J5" t="str">
            <v>所得税</v>
          </cell>
          <cell r="N5">
            <v>16442.3</v>
          </cell>
        </row>
        <row r="6">
          <cell r="J6" t="str">
            <v>投资收益</v>
          </cell>
          <cell r="N6">
            <v>158310.21</v>
          </cell>
        </row>
        <row r="7">
          <cell r="J7" t="str">
            <v>盈余公积</v>
          </cell>
          <cell r="M7">
            <v>72784.02</v>
          </cell>
        </row>
        <row r="8">
          <cell r="J8" t="str">
            <v>资本公积</v>
          </cell>
          <cell r="K8">
            <v>52335.15</v>
          </cell>
        </row>
        <row r="9">
          <cell r="I9" t="str">
            <v>调整 分类汇总</v>
          </cell>
          <cell r="K9">
            <v>283429.38</v>
          </cell>
          <cell r="L9">
            <v>4567.97</v>
          </cell>
          <cell r="M9">
            <v>72784.02</v>
          </cell>
          <cell r="N9">
            <v>215213.33</v>
          </cell>
        </row>
        <row r="10">
          <cell r="I10" t="str">
            <v>重分类</v>
          </cell>
          <cell r="J10" t="str">
            <v>应收帐款</v>
          </cell>
          <cell r="M10">
            <v>3574970.53</v>
          </cell>
        </row>
        <row r="11">
          <cell r="J11" t="str">
            <v>预付帐款</v>
          </cell>
          <cell r="M11">
            <v>1704630.8</v>
          </cell>
        </row>
        <row r="12">
          <cell r="J12" t="str">
            <v>预收帐款</v>
          </cell>
          <cell r="K12">
            <v>5279601.33</v>
          </cell>
        </row>
        <row r="13">
          <cell r="J13" t="str">
            <v>主营业务成本</v>
          </cell>
          <cell r="N13">
            <v>7844000</v>
          </cell>
        </row>
        <row r="14">
          <cell r="J14" t="str">
            <v>主营业务收入</v>
          </cell>
          <cell r="L14">
            <v>7844000</v>
          </cell>
        </row>
        <row r="15">
          <cell r="I15" t="str">
            <v>重分类 分类汇总</v>
          </cell>
          <cell r="K15">
            <v>5279601.33</v>
          </cell>
          <cell r="L15">
            <v>7844000</v>
          </cell>
          <cell r="M15">
            <v>5279601.33</v>
          </cell>
          <cell r="N15">
            <v>7844000</v>
          </cell>
        </row>
        <row r="16">
          <cell r="I16" t="str">
            <v>(空白)</v>
          </cell>
          <cell r="J16" t="str">
            <v>(空白)</v>
          </cell>
        </row>
        <row r="17">
          <cell r="I17" t="str">
            <v>(空白) 分类汇总</v>
          </cell>
        </row>
        <row r="18">
          <cell r="I18" t="str">
            <v>总计</v>
          </cell>
          <cell r="K18">
            <v>5563030.71</v>
          </cell>
          <cell r="L18">
            <v>7848567.9699999997</v>
          </cell>
          <cell r="M18">
            <v>5352385.3499999996</v>
          </cell>
          <cell r="N18">
            <v>8059213.3300000001</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XL4Poppy"/>
    </sheetNames>
    <sheetDataSet>
      <sheetData sheetId="0" refreshError="1"/>
      <sheetData sheetId="1" refreshError="1"/>
      <sheetData sheetId="2" refreshError="1"/>
      <sheetData sheetId="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依审计报告重作"/>
      <sheetName val="在建工程"/>
      <sheetName val="调整及说明"/>
      <sheetName val="Sheet2"/>
      <sheetName val="Sheet1"/>
    </sheetNames>
    <sheetDataSet>
      <sheetData sheetId="0"/>
      <sheetData sheetId="1"/>
      <sheetData sheetId="2"/>
      <sheetData sheetId="3"/>
      <sheetData sheetId="4" refreshError="1">
        <row r="1">
          <cell r="A1" t="str">
            <v>D</v>
          </cell>
          <cell r="B1" t="str">
            <v>E</v>
          </cell>
          <cell r="C1" t="str">
            <v>F</v>
          </cell>
          <cell r="D1" t="str">
            <v>G</v>
          </cell>
          <cell r="E1" t="str">
            <v>H</v>
          </cell>
          <cell r="F1" t="str">
            <v>I</v>
          </cell>
          <cell r="G1" t="str">
            <v>J</v>
          </cell>
        </row>
        <row r="2">
          <cell r="A2" t="str">
            <v>名称_</v>
          </cell>
          <cell r="B2" t="str">
            <v>方向</v>
          </cell>
          <cell r="C2" t="str">
            <v>本币</v>
          </cell>
          <cell r="D2" t="str">
            <v>本币_</v>
          </cell>
          <cell r="E2" t="str">
            <v>本币__</v>
          </cell>
          <cell r="F2" t="str">
            <v>方向_</v>
          </cell>
          <cell r="G2" t="str">
            <v>本币___</v>
          </cell>
        </row>
        <row r="3">
          <cell r="A3" t="str">
            <v>百草枯改造工程</v>
          </cell>
          <cell r="B3" t="str">
            <v>借</v>
          </cell>
          <cell r="C3">
            <v>255382.38</v>
          </cell>
          <cell r="D3">
            <v>183286.88</v>
          </cell>
          <cell r="F3" t="str">
            <v>借</v>
          </cell>
          <cell r="G3">
            <v>438669.26</v>
          </cell>
        </row>
        <row r="4">
          <cell r="A4" t="str">
            <v>吡虫啉工程</v>
          </cell>
          <cell r="B4" t="str">
            <v>借</v>
          </cell>
          <cell r="C4">
            <v>4264472.22</v>
          </cell>
          <cell r="D4">
            <v>393862.52</v>
          </cell>
          <cell r="F4" t="str">
            <v>借</v>
          </cell>
          <cell r="G4">
            <v>4658334.74</v>
          </cell>
        </row>
        <row r="5">
          <cell r="A5" t="str">
            <v>变电站改造工程</v>
          </cell>
          <cell r="B5" t="str">
            <v>借</v>
          </cell>
          <cell r="C5">
            <v>1728044.3</v>
          </cell>
          <cell r="F5" t="str">
            <v>借</v>
          </cell>
          <cell r="G5">
            <v>1728044.3</v>
          </cell>
        </row>
        <row r="6">
          <cell r="A6" t="str">
            <v>草甘膦工程</v>
          </cell>
          <cell r="B6" t="str">
            <v>借</v>
          </cell>
          <cell r="C6">
            <v>159473.70000000001</v>
          </cell>
          <cell r="D6">
            <v>20936.28</v>
          </cell>
          <cell r="E6">
            <v>180409.98</v>
          </cell>
          <cell r="F6" t="str">
            <v>平</v>
          </cell>
        </row>
        <row r="7">
          <cell r="A7" t="str">
            <v>电化离心机系统</v>
          </cell>
          <cell r="B7" t="str">
            <v>平</v>
          </cell>
          <cell r="D7">
            <v>189814.56</v>
          </cell>
          <cell r="F7" t="str">
            <v>借</v>
          </cell>
          <cell r="G7">
            <v>189814.56</v>
          </cell>
        </row>
        <row r="8">
          <cell r="A8" t="str">
            <v>电缆沟改造</v>
          </cell>
          <cell r="B8" t="str">
            <v>借</v>
          </cell>
          <cell r="C8">
            <v>38288.19</v>
          </cell>
          <cell r="F8" t="str">
            <v>借</v>
          </cell>
          <cell r="G8">
            <v>38288.19</v>
          </cell>
        </row>
        <row r="9">
          <cell r="A9" t="str">
            <v>多功能装置工程</v>
          </cell>
          <cell r="B9" t="str">
            <v>借</v>
          </cell>
          <cell r="C9">
            <v>499057.43</v>
          </cell>
          <cell r="D9">
            <v>8688158.0399999991</v>
          </cell>
          <cell r="F9" t="str">
            <v>借</v>
          </cell>
          <cell r="G9">
            <v>9187215.4700000007</v>
          </cell>
        </row>
        <row r="10">
          <cell r="A10" t="str">
            <v>二冷技改工程</v>
          </cell>
          <cell r="B10" t="str">
            <v>平</v>
          </cell>
          <cell r="D10">
            <v>53388.79</v>
          </cell>
          <cell r="F10" t="str">
            <v>借</v>
          </cell>
          <cell r="G10">
            <v>53388.79</v>
          </cell>
        </row>
        <row r="11">
          <cell r="A11" t="str">
            <v>焚烧炉改造</v>
          </cell>
          <cell r="B11" t="str">
            <v>借</v>
          </cell>
          <cell r="C11">
            <v>37856.720000000001</v>
          </cell>
          <cell r="D11">
            <v>85292.44</v>
          </cell>
          <cell r="F11" t="str">
            <v>借</v>
          </cell>
          <cell r="G11">
            <v>123149.16</v>
          </cell>
        </row>
        <row r="12">
          <cell r="A12" t="str">
            <v>副产盐酸输送</v>
          </cell>
          <cell r="B12" t="str">
            <v>平</v>
          </cell>
          <cell r="D12">
            <v>406645.01</v>
          </cell>
          <cell r="F12" t="str">
            <v>借</v>
          </cell>
          <cell r="G12">
            <v>406645.01</v>
          </cell>
        </row>
        <row r="13">
          <cell r="A13" t="str">
            <v>工程利息</v>
          </cell>
          <cell r="B13" t="str">
            <v>借</v>
          </cell>
          <cell r="C13">
            <v>2354626.59</v>
          </cell>
          <cell r="D13">
            <v>1059104.1299999999</v>
          </cell>
          <cell r="E13">
            <v>83192.06</v>
          </cell>
          <cell r="F13" t="str">
            <v>借</v>
          </cell>
          <cell r="G13">
            <v>3330538.66</v>
          </cell>
        </row>
        <row r="14">
          <cell r="A14" t="str">
            <v>国家专项贷款公用工程</v>
          </cell>
          <cell r="B14" t="str">
            <v>借</v>
          </cell>
          <cell r="C14">
            <v>337750</v>
          </cell>
          <cell r="F14" t="str">
            <v>借</v>
          </cell>
          <cell r="G14">
            <v>337750</v>
          </cell>
        </row>
        <row r="15">
          <cell r="A15" t="str">
            <v>甲醇回收自控系统</v>
          </cell>
          <cell r="B15" t="str">
            <v>借</v>
          </cell>
          <cell r="C15">
            <v>552724.62</v>
          </cell>
          <cell r="D15">
            <v>44510</v>
          </cell>
          <cell r="F15" t="str">
            <v>借</v>
          </cell>
          <cell r="G15">
            <v>597234.62</v>
          </cell>
        </row>
        <row r="16">
          <cell r="A16" t="str">
            <v>金草克工程</v>
          </cell>
          <cell r="B16" t="str">
            <v>借</v>
          </cell>
          <cell r="C16">
            <v>862178.93</v>
          </cell>
          <cell r="D16">
            <v>452531.71</v>
          </cell>
          <cell r="F16" t="str">
            <v>借</v>
          </cell>
          <cell r="G16">
            <v>1314710.6399999999</v>
          </cell>
        </row>
        <row r="17">
          <cell r="A17" t="str">
            <v>精制敌百虫工程</v>
          </cell>
          <cell r="B17" t="str">
            <v>借</v>
          </cell>
          <cell r="C17">
            <v>1717507.73</v>
          </cell>
          <cell r="D17">
            <v>506503</v>
          </cell>
          <cell r="F17" t="str">
            <v>借</v>
          </cell>
          <cell r="G17">
            <v>2224010.73</v>
          </cell>
        </row>
        <row r="18">
          <cell r="A18" t="str">
            <v>邻对苯二酚工程</v>
          </cell>
          <cell r="B18" t="str">
            <v>借</v>
          </cell>
          <cell r="C18">
            <v>22821144.140000001</v>
          </cell>
          <cell r="E18">
            <v>18958908.93</v>
          </cell>
          <cell r="F18" t="str">
            <v>借</v>
          </cell>
          <cell r="G18">
            <v>3862235.21</v>
          </cell>
        </row>
        <row r="19">
          <cell r="A19" t="str">
            <v>氯氰菊酯工程</v>
          </cell>
          <cell r="B19" t="str">
            <v>借</v>
          </cell>
          <cell r="C19">
            <v>14407421.59</v>
          </cell>
          <cell r="F19" t="str">
            <v>借</v>
          </cell>
          <cell r="G19">
            <v>14407421.59</v>
          </cell>
        </row>
        <row r="20">
          <cell r="A20" t="str">
            <v>农三甲基化搬迁</v>
          </cell>
          <cell r="B20" t="str">
            <v>借</v>
          </cell>
          <cell r="C20">
            <v>622898.14</v>
          </cell>
          <cell r="D20">
            <v>274689.90000000002</v>
          </cell>
          <cell r="F20" t="str">
            <v>借</v>
          </cell>
          <cell r="G20">
            <v>897588.04</v>
          </cell>
        </row>
        <row r="21">
          <cell r="A21" t="str">
            <v>农三冷冻站</v>
          </cell>
          <cell r="B21" t="str">
            <v>平</v>
          </cell>
          <cell r="D21">
            <v>376621.63</v>
          </cell>
          <cell r="F21" t="str">
            <v>借</v>
          </cell>
          <cell r="G21">
            <v>376621.63</v>
          </cell>
        </row>
        <row r="22">
          <cell r="A22" t="str">
            <v>农药复配中心工程</v>
          </cell>
          <cell r="B22" t="str">
            <v>借</v>
          </cell>
          <cell r="C22">
            <v>1264217.76</v>
          </cell>
          <cell r="F22" t="str">
            <v>借</v>
          </cell>
          <cell r="G22">
            <v>1264217.76</v>
          </cell>
        </row>
        <row r="23">
          <cell r="A23" t="str">
            <v>清污分流二期工程</v>
          </cell>
          <cell r="B23" t="str">
            <v>借</v>
          </cell>
          <cell r="C23">
            <v>2509895.7400000002</v>
          </cell>
          <cell r="D23">
            <v>459486.47</v>
          </cell>
          <cell r="F23" t="str">
            <v>借</v>
          </cell>
          <cell r="G23">
            <v>2969382.21</v>
          </cell>
        </row>
        <row r="24">
          <cell r="A24" t="str">
            <v>熔磷尾气治理</v>
          </cell>
          <cell r="B24" t="str">
            <v>平</v>
          </cell>
          <cell r="D24">
            <v>59778.400000000001</v>
          </cell>
          <cell r="F24" t="str">
            <v>借</v>
          </cell>
          <cell r="G24">
            <v>59778.400000000001</v>
          </cell>
        </row>
        <row r="25">
          <cell r="A25" t="str">
            <v>三氯乙醛尾气工程</v>
          </cell>
          <cell r="B25" t="str">
            <v>借</v>
          </cell>
          <cell r="C25">
            <v>491328.76</v>
          </cell>
          <cell r="E25">
            <v>491328.76</v>
          </cell>
          <cell r="F25" t="str">
            <v>平</v>
          </cell>
        </row>
        <row r="26">
          <cell r="A26" t="str">
            <v>三唑磷改造工程</v>
          </cell>
          <cell r="B26" t="str">
            <v>借</v>
          </cell>
          <cell r="C26">
            <v>153575.65</v>
          </cell>
          <cell r="D26">
            <v>727576.99</v>
          </cell>
          <cell r="F26" t="str">
            <v>借</v>
          </cell>
          <cell r="G26">
            <v>881152.64</v>
          </cell>
        </row>
        <row r="27">
          <cell r="A27" t="str">
            <v>沙维合资项目</v>
          </cell>
          <cell r="B27" t="str">
            <v>平</v>
          </cell>
          <cell r="D27">
            <v>1999569.83</v>
          </cell>
          <cell r="E27">
            <v>1999569.83</v>
          </cell>
          <cell r="F27" t="str">
            <v>平</v>
          </cell>
        </row>
        <row r="28">
          <cell r="A28" t="str">
            <v>深井水</v>
          </cell>
          <cell r="B28" t="str">
            <v>平</v>
          </cell>
          <cell r="D28">
            <v>152206.95000000001</v>
          </cell>
          <cell r="F28" t="str">
            <v>借</v>
          </cell>
          <cell r="G28">
            <v>152206.95000000001</v>
          </cell>
        </row>
        <row r="29">
          <cell r="A29" t="str">
            <v>升膜碱技改</v>
          </cell>
          <cell r="B29" t="str">
            <v>借</v>
          </cell>
          <cell r="C29">
            <v>1038515.06</v>
          </cell>
          <cell r="D29">
            <v>619046.21</v>
          </cell>
          <cell r="F29" t="str">
            <v>借</v>
          </cell>
          <cell r="G29">
            <v>1657561.27</v>
          </cell>
        </row>
        <row r="30">
          <cell r="A30" t="str">
            <v>新国债项目</v>
          </cell>
          <cell r="B30" t="str">
            <v>平</v>
          </cell>
          <cell r="D30">
            <v>273281.71999999997</v>
          </cell>
          <cell r="F30" t="str">
            <v>借</v>
          </cell>
          <cell r="G30">
            <v>273281.71999999997</v>
          </cell>
        </row>
        <row r="31">
          <cell r="A31" t="str">
            <v>盐井项目</v>
          </cell>
          <cell r="B31" t="str">
            <v>平</v>
          </cell>
          <cell r="D31">
            <v>1742607.66</v>
          </cell>
          <cell r="F31" t="str">
            <v>借</v>
          </cell>
          <cell r="G31">
            <v>1742607.66</v>
          </cell>
        </row>
        <row r="32">
          <cell r="A32" t="str">
            <v>盐酸提纯</v>
          </cell>
          <cell r="B32" t="str">
            <v>平</v>
          </cell>
          <cell r="D32">
            <v>9760</v>
          </cell>
          <cell r="F32" t="str">
            <v>借</v>
          </cell>
          <cell r="G32">
            <v>9760</v>
          </cell>
        </row>
        <row r="33">
          <cell r="A33" t="str">
            <v>液氯厂房加固</v>
          </cell>
          <cell r="B33" t="str">
            <v>借</v>
          </cell>
          <cell r="C33">
            <v>11959.82</v>
          </cell>
          <cell r="D33">
            <v>632351.36</v>
          </cell>
          <cell r="E33">
            <v>644311.18000000005</v>
          </cell>
          <cell r="F33" t="str">
            <v>平</v>
          </cell>
        </row>
        <row r="34">
          <cell r="A34" t="str">
            <v>一冷循环水扩建</v>
          </cell>
          <cell r="B34" t="str">
            <v>借</v>
          </cell>
          <cell r="C34">
            <v>476308.45</v>
          </cell>
          <cell r="D34">
            <v>62255.78</v>
          </cell>
          <cell r="E34">
            <v>538564.23</v>
          </cell>
          <cell r="F34" t="str">
            <v>平</v>
          </cell>
        </row>
        <row r="35">
          <cell r="A35" t="str">
            <v>乙酰甲胺磷</v>
          </cell>
          <cell r="B35" t="str">
            <v>借</v>
          </cell>
          <cell r="C35">
            <v>1304438.03</v>
          </cell>
          <cell r="D35">
            <v>3663520.68</v>
          </cell>
          <cell r="F35" t="str">
            <v>借</v>
          </cell>
          <cell r="G35">
            <v>4967958.71</v>
          </cell>
        </row>
        <row r="36">
          <cell r="A36" t="str">
            <v>吲熟酯工程</v>
          </cell>
          <cell r="B36" t="str">
            <v>借</v>
          </cell>
          <cell r="C36">
            <v>924989.3</v>
          </cell>
          <cell r="D36">
            <v>-924989.3</v>
          </cell>
          <cell r="F36" t="str">
            <v>平</v>
          </cell>
        </row>
        <row r="37">
          <cell r="A37" t="str">
            <v>脂肪酸(MES)こ</v>
          </cell>
          <cell r="B37" t="str">
            <v>借</v>
          </cell>
          <cell r="C37">
            <v>203102.9</v>
          </cell>
          <cell r="E37">
            <v>203102.9</v>
          </cell>
          <cell r="F37" t="str">
            <v>平</v>
          </cell>
        </row>
        <row r="38">
          <cell r="A38" t="str">
            <v>主干道外线改造</v>
          </cell>
          <cell r="B38" t="str">
            <v>借</v>
          </cell>
          <cell r="C38">
            <v>487113.75</v>
          </cell>
          <cell r="F38" t="str">
            <v>借</v>
          </cell>
          <cell r="G38">
            <v>487113.75</v>
          </cell>
        </row>
        <row r="39">
          <cell r="A39" t="str">
            <v>贮罐区扩建</v>
          </cell>
          <cell r="B39" t="str">
            <v>借</v>
          </cell>
          <cell r="C39">
            <v>2656116.69</v>
          </cell>
          <cell r="D39">
            <v>2744131.39</v>
          </cell>
          <cell r="E39">
            <v>5400248.0800000001</v>
          </cell>
          <cell r="F39" t="str">
            <v>平</v>
          </cell>
        </row>
        <row r="40">
          <cell r="B40" t="str">
            <v>借</v>
          </cell>
          <cell r="C40">
            <v>62180388.590000004</v>
          </cell>
          <cell r="D40">
            <v>24955929.030000001</v>
          </cell>
          <cell r="E40">
            <v>28499635.949999999</v>
          </cell>
          <cell r="F40" t="str">
            <v>借</v>
          </cell>
          <cell r="G40">
            <v>58636681.670000002</v>
          </cell>
        </row>
      </sheetData>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产负债表"/>
      <sheetName val="损益表"/>
      <sheetName val="财务状况变动表"/>
      <sheetName val="利润分配表"/>
      <sheetName val="主营业务收支明细表"/>
    </sheetNames>
    <sheetDataSet>
      <sheetData sheetId="0"/>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7">
          <cell r="C7">
            <v>0</v>
          </cell>
        </row>
      </sheetData>
      <sheetData sheetId="10"/>
      <sheetData sheetId="11"/>
      <sheetData sheetId="12"/>
      <sheetData sheetId="13"/>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BA440-C04E-4BC7-BD80-86FA46325C86}">
  <dimension ref="A1:F7"/>
  <sheetViews>
    <sheetView workbookViewId="0">
      <selection activeCell="D13" sqref="D13"/>
    </sheetView>
  </sheetViews>
  <sheetFormatPr defaultRowHeight="19.95" customHeight="1"/>
  <cols>
    <col min="1" max="1" width="19.09765625" customWidth="1"/>
    <col min="5" max="5" width="32.19921875" customWidth="1"/>
  </cols>
  <sheetData>
    <row r="1" spans="1:6" ht="19.95" customHeight="1">
      <c r="A1" s="83" t="s">
        <v>88</v>
      </c>
    </row>
    <row r="2" spans="1:6" ht="19.95" customHeight="1">
      <c r="A2" s="84" t="s">
        <v>89</v>
      </c>
      <c r="D2" s="96" t="s">
        <v>22</v>
      </c>
      <c r="E2" s="96" t="s">
        <v>90</v>
      </c>
      <c r="F2" s="96" t="s">
        <v>91</v>
      </c>
    </row>
    <row r="3" spans="1:6" ht="19.95" customHeight="1">
      <c r="A3" s="84" t="s">
        <v>92</v>
      </c>
      <c r="D3" s="97">
        <v>1</v>
      </c>
      <c r="E3" s="98" t="s">
        <v>93</v>
      </c>
      <c r="F3" s="99" t="s">
        <v>98</v>
      </c>
    </row>
    <row r="4" spans="1:6" ht="19.95" customHeight="1">
      <c r="A4" s="84" t="s">
        <v>94</v>
      </c>
      <c r="D4" s="97">
        <f>D3+1</f>
        <v>2</v>
      </c>
      <c r="E4" s="98" t="s">
        <v>99</v>
      </c>
      <c r="F4" s="99" t="s">
        <v>74</v>
      </c>
    </row>
    <row r="5" spans="1:6" ht="19.95" customHeight="1">
      <c r="A5" s="84" t="s">
        <v>95</v>
      </c>
    </row>
    <row r="6" spans="1:6" ht="19.95" customHeight="1">
      <c r="A6" s="84" t="s">
        <v>96</v>
      </c>
    </row>
    <row r="7" spans="1:6" ht="19.95" customHeight="1">
      <c r="A7" s="84" t="s">
        <v>97</v>
      </c>
    </row>
  </sheetData>
  <phoneticPr fontId="3" type="noConversion"/>
  <hyperlinks>
    <hyperlink ref="E3" location="'S34-20程序表'!A1" display="程序表" xr:uid="{383C009B-60C2-4391-B4C9-A6CEEAE246E1}"/>
    <hyperlink ref="E4" location="'S34-20-1重要劳务外包公司分析'!A1" display="重要劳务外包公司分析" xr:uid="{0F0BF238-D013-401E-9718-C1646DA61DE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4"/>
  <sheetViews>
    <sheetView tabSelected="1" view="pageBreakPreview" zoomScaleNormal="100" zoomScaleSheetLayoutView="100" workbookViewId="0">
      <selection sqref="A1:XFD1"/>
    </sheetView>
  </sheetViews>
  <sheetFormatPr defaultColWidth="9" defaultRowHeight="15.6"/>
  <cols>
    <col min="1" max="1" width="18.3984375" style="25" customWidth="1"/>
    <col min="2" max="2" width="5.3984375" style="25" customWidth="1"/>
    <col min="3" max="3" width="44" style="26" customWidth="1"/>
    <col min="4" max="4" width="12" style="26" customWidth="1"/>
    <col min="5" max="5" width="14.09765625" style="27" bestFit="1" customWidth="1"/>
    <col min="6" max="6" width="9.59765625" style="26" bestFit="1" customWidth="1"/>
    <col min="7" max="7" width="10.3984375" style="28" bestFit="1" customWidth="1"/>
    <col min="8" max="8" width="15" style="29" bestFit="1" customWidth="1"/>
    <col min="9" max="16384" width="9" style="28"/>
  </cols>
  <sheetData>
    <row r="1" spans="1:8" s="2" customFormat="1" ht="19.95" customHeight="1">
      <c r="A1" s="108" t="s">
        <v>16</v>
      </c>
      <c r="B1" s="108"/>
      <c r="C1" s="108"/>
      <c r="D1" s="108"/>
      <c r="E1" s="108"/>
      <c r="F1" s="108"/>
      <c r="G1" s="108"/>
      <c r="H1" s="108"/>
    </row>
    <row r="2" spans="1:8" s="2" customFormat="1" ht="19.95" customHeight="1">
      <c r="A2" s="109" t="s">
        <v>80</v>
      </c>
      <c r="B2" s="110"/>
      <c r="C2" s="110"/>
      <c r="D2" s="110"/>
      <c r="E2" s="110"/>
      <c r="F2" s="110"/>
      <c r="G2" s="110"/>
      <c r="H2" s="110"/>
    </row>
    <row r="3" spans="1:8" s="3" customFormat="1" ht="19.95" customHeight="1">
      <c r="A3" s="91" t="str">
        <f>底稿目录!A2</f>
        <v>被审计单位：ABC公司</v>
      </c>
      <c r="B3" s="91"/>
      <c r="C3" s="92"/>
      <c r="D3" s="93" t="str">
        <f>底稿目录!A3</f>
        <v>编制人：张三</v>
      </c>
      <c r="E3" s="94"/>
      <c r="F3" s="91" t="str">
        <f>底稿目录!A4</f>
        <v>编制日期：2025.X.X</v>
      </c>
      <c r="G3" s="91"/>
      <c r="H3" s="3" t="s">
        <v>31</v>
      </c>
    </row>
    <row r="4" spans="1:8" s="3" customFormat="1" ht="19.95" customHeight="1">
      <c r="A4" s="91" t="str">
        <f>底稿目录!A7</f>
        <v>会计期间：202X年度</v>
      </c>
      <c r="B4" s="91"/>
      <c r="C4" s="92"/>
      <c r="D4" s="93" t="str">
        <f>底稿目录!A5</f>
        <v>复核人：李四</v>
      </c>
      <c r="E4" s="94"/>
      <c r="F4" s="91" t="str">
        <f>底稿目录!A6</f>
        <v>复核日期：2025.X.X</v>
      </c>
      <c r="G4" s="91"/>
      <c r="H4" s="3" t="s">
        <v>21</v>
      </c>
    </row>
    <row r="5" spans="1:8" s="6" customFormat="1" ht="19.95" customHeight="1">
      <c r="A5" s="3"/>
      <c r="B5" s="3"/>
      <c r="C5" s="40"/>
      <c r="D5" s="40"/>
      <c r="E5" s="4"/>
      <c r="F5" s="40"/>
      <c r="H5" s="5"/>
    </row>
    <row r="6" spans="1:8" s="13" customFormat="1" ht="19.95" customHeight="1">
      <c r="A6" s="7" t="s">
        <v>17</v>
      </c>
      <c r="B6" s="8"/>
      <c r="C6" s="9"/>
      <c r="D6" s="9"/>
      <c r="E6" s="10"/>
      <c r="F6" s="9"/>
      <c r="G6" s="11"/>
      <c r="H6" s="12"/>
    </row>
    <row r="7" spans="1:8" s="6" customFormat="1" ht="64.8" customHeight="1">
      <c r="A7" s="14"/>
      <c r="B7" s="111" t="s">
        <v>100</v>
      </c>
      <c r="C7" s="112"/>
      <c r="D7" s="112"/>
      <c r="E7" s="112"/>
      <c r="F7" s="112"/>
      <c r="G7" s="112"/>
      <c r="H7" s="113"/>
    </row>
    <row r="8" spans="1:8" s="6" customFormat="1" ht="73.05" customHeight="1">
      <c r="A8" s="15"/>
      <c r="B8" s="114" t="s">
        <v>81</v>
      </c>
      <c r="C8" s="115" t="s">
        <v>18</v>
      </c>
      <c r="D8" s="115"/>
      <c r="E8" s="115"/>
      <c r="F8" s="115"/>
      <c r="G8" s="115"/>
      <c r="H8" s="116"/>
    </row>
    <row r="9" spans="1:8" s="6" customFormat="1" ht="41.4" customHeight="1">
      <c r="A9" s="34" t="s">
        <v>22</v>
      </c>
      <c r="B9" s="117" t="s">
        <v>23</v>
      </c>
      <c r="C9" s="118"/>
      <c r="D9" s="119"/>
      <c r="E9" s="34" t="s">
        <v>24</v>
      </c>
      <c r="F9" s="95" t="s">
        <v>25</v>
      </c>
      <c r="G9" s="46" t="s">
        <v>103</v>
      </c>
      <c r="H9" s="34" t="s">
        <v>29</v>
      </c>
    </row>
    <row r="10" spans="1:8" s="18" customFormat="1" ht="33" customHeight="1">
      <c r="A10" s="30" t="s">
        <v>76</v>
      </c>
      <c r="B10" s="16"/>
      <c r="C10" s="16"/>
      <c r="D10" s="17"/>
      <c r="E10" s="35"/>
      <c r="F10" s="36"/>
      <c r="G10" s="1"/>
      <c r="H10" s="1"/>
    </row>
    <row r="11" spans="1:8" s="18" customFormat="1" ht="41.4" customHeight="1">
      <c r="A11" s="81" t="s">
        <v>78</v>
      </c>
      <c r="B11" s="100" t="s">
        <v>79</v>
      </c>
      <c r="C11" s="100"/>
      <c r="D11" s="100"/>
      <c r="E11" s="100"/>
      <c r="F11" s="100"/>
      <c r="G11" s="100"/>
      <c r="H11" s="101"/>
    </row>
    <row r="12" spans="1:8" s="18" customFormat="1" ht="61.8" customHeight="1">
      <c r="A12" s="81" t="s">
        <v>101</v>
      </c>
      <c r="B12" s="100" t="s">
        <v>102</v>
      </c>
      <c r="C12" s="100"/>
      <c r="D12" s="100"/>
      <c r="E12" s="100"/>
      <c r="F12" s="100"/>
      <c r="G12" s="100"/>
      <c r="H12" s="101"/>
    </row>
    <row r="13" spans="1:8" s="41" customFormat="1" ht="19.95" customHeight="1">
      <c r="A13" s="42" t="s">
        <v>28</v>
      </c>
      <c r="B13" s="105" t="s">
        <v>77</v>
      </c>
      <c r="C13" s="106"/>
      <c r="D13" s="107"/>
      <c r="E13" s="43"/>
      <c r="F13" s="44"/>
      <c r="G13" s="45"/>
      <c r="H13" s="1"/>
    </row>
    <row r="14" spans="1:8" s="41" customFormat="1" ht="39.75" customHeight="1">
      <c r="A14" s="32" t="s">
        <v>27</v>
      </c>
      <c r="B14" s="102" t="s">
        <v>82</v>
      </c>
      <c r="C14" s="103"/>
      <c r="D14" s="104"/>
      <c r="E14" s="31"/>
      <c r="F14" s="39"/>
      <c r="G14" s="20"/>
      <c r="H14" s="1" t="s">
        <v>74</v>
      </c>
    </row>
    <row r="15" spans="1:8" s="41" customFormat="1" ht="39.75" customHeight="1">
      <c r="A15" s="82" t="s">
        <v>83</v>
      </c>
      <c r="B15" s="102" t="s">
        <v>85</v>
      </c>
      <c r="C15" s="103"/>
      <c r="D15" s="104"/>
      <c r="E15" s="31"/>
      <c r="F15" s="39"/>
      <c r="G15" s="20"/>
      <c r="H15" s="1"/>
    </row>
    <row r="16" spans="1:8" s="41" customFormat="1" ht="31.2" customHeight="1">
      <c r="A16" s="82" t="s">
        <v>84</v>
      </c>
      <c r="B16" s="102" t="s">
        <v>86</v>
      </c>
      <c r="C16" s="103"/>
      <c r="D16" s="104"/>
      <c r="E16" s="31"/>
      <c r="F16" s="39"/>
      <c r="G16" s="20"/>
      <c r="H16" s="1" t="s">
        <v>74</v>
      </c>
    </row>
    <row r="17" spans="1:8" s="13" customFormat="1" ht="30" customHeight="1">
      <c r="A17" s="42" t="s">
        <v>26</v>
      </c>
      <c r="B17" s="105" t="s">
        <v>87</v>
      </c>
      <c r="C17" s="106"/>
      <c r="D17" s="107"/>
      <c r="E17" s="33"/>
      <c r="F17" s="19"/>
      <c r="G17" s="20"/>
      <c r="H17" s="1" t="s">
        <v>75</v>
      </c>
    </row>
    <row r="18" spans="1:8" s="22" customFormat="1" ht="21.75" customHeight="1">
      <c r="A18" s="21"/>
      <c r="B18" s="102"/>
      <c r="C18" s="103"/>
      <c r="D18" s="104"/>
      <c r="E18" s="37"/>
      <c r="F18" s="38"/>
      <c r="G18" s="20"/>
      <c r="H18" s="1"/>
    </row>
    <row r="19" spans="1:8" s="6" customFormat="1" ht="21.75" customHeight="1">
      <c r="A19" s="3"/>
      <c r="B19" s="3"/>
      <c r="C19" s="40"/>
      <c r="D19" s="40"/>
      <c r="E19" s="4"/>
      <c r="F19" s="40"/>
      <c r="H19" s="5"/>
    </row>
    <row r="20" spans="1:8" ht="15" customHeight="1">
      <c r="A20" s="23" t="s">
        <v>30</v>
      </c>
    </row>
    <row r="21" spans="1:8" ht="15" customHeight="1">
      <c r="A21" s="24" t="s">
        <v>19</v>
      </c>
    </row>
    <row r="22" spans="1:8" ht="15" customHeight="1">
      <c r="A22" s="24" t="s">
        <v>20</v>
      </c>
    </row>
    <row r="23" spans="1:8" ht="15" customHeight="1">
      <c r="A23" s="24"/>
    </row>
    <row r="24" spans="1:8" ht="15" customHeight="1"/>
  </sheetData>
  <mergeCells count="13">
    <mergeCell ref="A1:H1"/>
    <mergeCell ref="A2:H2"/>
    <mergeCell ref="B7:H7"/>
    <mergeCell ref="B8:H8"/>
    <mergeCell ref="B9:D9"/>
    <mergeCell ref="B11:H11"/>
    <mergeCell ref="B18:D18"/>
    <mergeCell ref="B17:D17"/>
    <mergeCell ref="B13:D13"/>
    <mergeCell ref="B14:D14"/>
    <mergeCell ref="B16:D16"/>
    <mergeCell ref="B15:D15"/>
    <mergeCell ref="B12:H12"/>
  </mergeCells>
  <phoneticPr fontId="3" type="noConversion"/>
  <printOptions horizontalCentered="1"/>
  <pageMargins left="0.70866141732283472" right="0.70866141732283472" top="0.74803149606299213" bottom="0.74803149606299213" header="0.31496062992125984" footer="0.31496062992125984"/>
  <pageSetup paperSize="9" scale="63" fitToHeight="0" orientation="portrait" blackAndWhite="1" horizont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43"/>
  <sheetViews>
    <sheetView view="pageBreakPreview" zoomScaleNormal="145" zoomScaleSheetLayoutView="100" workbookViewId="0">
      <selection activeCell="E8" sqref="E8"/>
    </sheetView>
  </sheetViews>
  <sheetFormatPr defaultColWidth="9" defaultRowHeight="19.95" customHeight="1"/>
  <cols>
    <col min="1" max="1" width="5.8984375" style="48" customWidth="1"/>
    <col min="2" max="2" width="39.19921875" style="48" customWidth="1"/>
    <col min="3" max="3" width="14.3984375" style="48" customWidth="1"/>
    <col min="4" max="4" width="12.19921875" style="48" bestFit="1" customWidth="1"/>
    <col min="5" max="6" width="16.09765625" style="48" bestFit="1" customWidth="1"/>
    <col min="7" max="8" width="12.19921875" style="48" bestFit="1" customWidth="1"/>
    <col min="9" max="9" width="12.3984375" style="48" customWidth="1"/>
    <col min="10" max="10" width="9" style="48" customWidth="1"/>
    <col min="11" max="11" width="8.59765625" style="48" customWidth="1"/>
    <col min="12" max="12" width="8.8984375" style="48" customWidth="1"/>
    <col min="13" max="14" width="10.09765625" style="48" bestFit="1" customWidth="1"/>
    <col min="15" max="16384" width="9" style="48"/>
  </cols>
  <sheetData>
    <row r="1" spans="1:23" ht="19.95" customHeight="1">
      <c r="A1" s="129" t="s">
        <v>32</v>
      </c>
      <c r="B1" s="129"/>
      <c r="C1" s="129"/>
      <c r="D1" s="129"/>
      <c r="E1" s="129"/>
      <c r="F1" s="129"/>
      <c r="G1" s="129"/>
      <c r="H1" s="129"/>
      <c r="I1" s="129"/>
      <c r="J1" s="129"/>
      <c r="K1" s="129"/>
      <c r="L1" s="129"/>
      <c r="M1" s="129"/>
      <c r="N1" s="129"/>
      <c r="O1" s="129"/>
      <c r="P1" s="129"/>
      <c r="Q1" s="47"/>
      <c r="R1" s="47"/>
      <c r="S1" s="47"/>
      <c r="T1" s="47"/>
      <c r="U1" s="47"/>
      <c r="V1" s="47"/>
      <c r="W1" s="47"/>
    </row>
    <row r="2" spans="1:23" s="50" customFormat="1" ht="19.95" customHeight="1">
      <c r="A2" s="130" t="s">
        <v>33</v>
      </c>
      <c r="B2" s="131"/>
      <c r="C2" s="131"/>
      <c r="D2" s="131"/>
      <c r="E2" s="131"/>
      <c r="F2" s="131"/>
      <c r="G2" s="131"/>
      <c r="H2" s="131"/>
      <c r="I2" s="131"/>
      <c r="J2" s="131"/>
      <c r="K2" s="131"/>
      <c r="L2" s="131"/>
      <c r="M2" s="131"/>
      <c r="N2" s="131"/>
      <c r="O2" s="131"/>
      <c r="P2" s="131"/>
      <c r="Q2" s="49"/>
      <c r="R2" s="49"/>
      <c r="S2" s="49"/>
      <c r="T2" s="49"/>
      <c r="U2" s="49"/>
      <c r="V2" s="49"/>
      <c r="W2" s="49"/>
    </row>
    <row r="3" spans="1:23" ht="19.95" customHeight="1">
      <c r="A3" s="85" t="str">
        <f>底稿目录!A2</f>
        <v>被审计单位：ABC公司</v>
      </c>
      <c r="B3" s="85"/>
      <c r="C3" s="85"/>
      <c r="D3" s="86"/>
      <c r="E3" s="87" t="str">
        <f>底稿目录!A3</f>
        <v>编制人：张三</v>
      </c>
      <c r="F3" s="85"/>
      <c r="G3" s="85"/>
      <c r="H3" s="88"/>
      <c r="I3" s="85" t="str">
        <f>底稿目录!A4</f>
        <v>编制日期：2025.X.X</v>
      </c>
      <c r="J3" s="89"/>
      <c r="K3" s="90"/>
      <c r="L3" s="89"/>
      <c r="O3" s="51" t="s">
        <v>34</v>
      </c>
      <c r="P3" s="48" t="s">
        <v>74</v>
      </c>
    </row>
    <row r="4" spans="1:23" ht="19.95" customHeight="1">
      <c r="A4" s="85" t="str">
        <f>底稿目录!A7</f>
        <v>会计期间：202X年度</v>
      </c>
      <c r="B4" s="85"/>
      <c r="C4" s="85"/>
      <c r="D4" s="86"/>
      <c r="E4" s="87" t="str">
        <f>底稿目录!A5</f>
        <v>复核人：李四</v>
      </c>
      <c r="F4" s="85"/>
      <c r="G4" s="85"/>
      <c r="H4" s="88"/>
      <c r="I4" s="85" t="str">
        <f>底稿目录!A6</f>
        <v>复核日期：2025.X.X</v>
      </c>
      <c r="J4" s="89"/>
      <c r="K4" s="90"/>
      <c r="L4" s="89"/>
      <c r="O4" s="51" t="s">
        <v>35</v>
      </c>
    </row>
    <row r="5" spans="1:23" ht="19.95" customHeight="1">
      <c r="A5" s="52" t="s">
        <v>36</v>
      </c>
      <c r="B5" s="53"/>
      <c r="C5" s="53"/>
      <c r="D5" s="53"/>
      <c r="E5" s="53"/>
      <c r="F5" s="53"/>
      <c r="G5" s="53"/>
      <c r="H5" s="53"/>
      <c r="I5" s="53"/>
      <c r="J5" s="53"/>
      <c r="K5" s="53"/>
      <c r="L5" s="53"/>
      <c r="M5" s="53"/>
      <c r="N5" s="53"/>
    </row>
    <row r="6" spans="1:23" ht="19.95" customHeight="1">
      <c r="A6" s="53" t="s">
        <v>37</v>
      </c>
      <c r="C6" s="53"/>
      <c r="D6" s="53"/>
      <c r="E6" s="53"/>
      <c r="F6" s="53"/>
      <c r="G6" s="53"/>
      <c r="H6" s="53"/>
      <c r="I6" s="53"/>
      <c r="J6" s="53"/>
      <c r="K6" s="53"/>
      <c r="L6" s="53"/>
      <c r="M6" s="53"/>
      <c r="N6" s="53"/>
    </row>
    <row r="7" spans="1:23" ht="19.95" customHeight="1">
      <c r="A7" s="54" t="s">
        <v>38</v>
      </c>
      <c r="B7" s="53"/>
      <c r="C7" s="53"/>
      <c r="D7" s="53"/>
      <c r="E7" s="53"/>
      <c r="F7" s="53"/>
      <c r="G7" s="53"/>
      <c r="H7" s="53"/>
      <c r="I7" s="53"/>
      <c r="J7" s="53"/>
      <c r="K7" s="53"/>
      <c r="L7" s="53"/>
      <c r="M7" s="53"/>
      <c r="N7" s="53"/>
    </row>
    <row r="8" spans="1:23" ht="19.95" customHeight="1">
      <c r="A8" s="53" t="s">
        <v>39</v>
      </c>
      <c r="C8" s="53"/>
      <c r="D8" s="53"/>
      <c r="E8" s="53"/>
      <c r="F8" s="53"/>
      <c r="G8" s="53"/>
      <c r="H8" s="53"/>
      <c r="I8" s="53"/>
      <c r="J8" s="53"/>
      <c r="K8" s="53"/>
      <c r="L8" s="53"/>
      <c r="M8" s="53"/>
      <c r="N8" s="53"/>
    </row>
    <row r="9" spans="1:23" ht="19.95" customHeight="1">
      <c r="A9" s="55" t="s">
        <v>40</v>
      </c>
      <c r="C9" s="53"/>
      <c r="D9" s="53"/>
      <c r="E9" s="53"/>
      <c r="F9" s="53"/>
      <c r="G9" s="53"/>
      <c r="H9" s="53"/>
      <c r="I9" s="53"/>
      <c r="J9" s="53"/>
      <c r="K9" s="53"/>
      <c r="L9" s="53"/>
      <c r="M9" s="53"/>
      <c r="N9" s="53"/>
    </row>
    <row r="10" spans="1:23" ht="19.95" customHeight="1">
      <c r="A10" s="132" t="s">
        <v>41</v>
      </c>
      <c r="B10" s="133"/>
      <c r="C10" s="133"/>
      <c r="D10" s="133"/>
      <c r="E10" s="133"/>
      <c r="F10" s="133"/>
      <c r="G10" s="133"/>
      <c r="H10" s="133"/>
      <c r="I10" s="133"/>
      <c r="J10" s="133"/>
      <c r="K10" s="133"/>
      <c r="L10" s="133"/>
      <c r="M10" s="133"/>
      <c r="N10" s="133"/>
      <c r="O10" s="133"/>
      <c r="P10" s="133"/>
    </row>
    <row r="11" spans="1:23" ht="19.95" customHeight="1">
      <c r="A11" s="133"/>
      <c r="B11" s="133"/>
      <c r="C11" s="133"/>
      <c r="D11" s="133"/>
      <c r="E11" s="133"/>
      <c r="F11" s="133"/>
      <c r="G11" s="133"/>
      <c r="H11" s="133"/>
      <c r="I11" s="133"/>
      <c r="J11" s="133"/>
      <c r="K11" s="133"/>
      <c r="L11" s="133"/>
      <c r="M11" s="133"/>
      <c r="N11" s="133"/>
      <c r="O11" s="133"/>
      <c r="P11" s="133"/>
    </row>
    <row r="12" spans="1:23" ht="19.95" customHeight="1">
      <c r="A12" s="133"/>
      <c r="B12" s="133"/>
      <c r="C12" s="133"/>
      <c r="D12" s="133"/>
      <c r="E12" s="133"/>
      <c r="F12" s="133"/>
      <c r="G12" s="133"/>
      <c r="H12" s="133"/>
      <c r="I12" s="133"/>
      <c r="J12" s="133"/>
      <c r="K12" s="133"/>
      <c r="L12" s="133"/>
      <c r="M12" s="133"/>
      <c r="N12" s="133"/>
      <c r="O12" s="133"/>
      <c r="P12" s="133"/>
    </row>
    <row r="13" spans="1:23" ht="19.95" customHeight="1">
      <c r="A13" s="134" t="s">
        <v>42</v>
      </c>
      <c r="B13" s="135"/>
      <c r="C13" s="56">
        <v>0</v>
      </c>
      <c r="D13" s="134" t="s">
        <v>42</v>
      </c>
      <c r="E13" s="136"/>
      <c r="F13" s="135"/>
      <c r="G13" s="57">
        <v>0</v>
      </c>
      <c r="H13" s="58"/>
      <c r="I13" s="58"/>
      <c r="J13" s="58"/>
      <c r="K13" s="53"/>
      <c r="L13" s="53"/>
    </row>
    <row r="14" spans="1:23" ht="19.95" customHeight="1">
      <c r="A14" s="120" t="s">
        <v>43</v>
      </c>
      <c r="B14" s="122" t="s">
        <v>44</v>
      </c>
      <c r="C14" s="122" t="s">
        <v>45</v>
      </c>
      <c r="D14" s="120" t="s">
        <v>46</v>
      </c>
      <c r="E14" s="122" t="s">
        <v>47</v>
      </c>
      <c r="F14" s="120" t="s">
        <v>46</v>
      </c>
      <c r="G14" s="120" t="s">
        <v>48</v>
      </c>
      <c r="H14" s="120" t="s">
        <v>49</v>
      </c>
      <c r="I14" s="126" t="s">
        <v>50</v>
      </c>
      <c r="J14" s="127"/>
      <c r="K14" s="127"/>
      <c r="L14" s="128"/>
      <c r="M14" s="120" t="s">
        <v>51</v>
      </c>
      <c r="N14" s="120" t="s">
        <v>52</v>
      </c>
      <c r="O14" s="120" t="s">
        <v>53</v>
      </c>
      <c r="P14" s="122" t="s">
        <v>54</v>
      </c>
    </row>
    <row r="15" spans="1:23" ht="19.95" customHeight="1">
      <c r="A15" s="121"/>
      <c r="B15" s="121"/>
      <c r="C15" s="121"/>
      <c r="D15" s="121"/>
      <c r="E15" s="121"/>
      <c r="F15" s="121"/>
      <c r="G15" s="121"/>
      <c r="H15" s="121"/>
      <c r="I15" s="59" t="s">
        <v>55</v>
      </c>
      <c r="J15" s="59" t="s">
        <v>56</v>
      </c>
      <c r="K15" s="59" t="s">
        <v>57</v>
      </c>
      <c r="L15" s="59" t="s">
        <v>58</v>
      </c>
      <c r="M15" s="121"/>
      <c r="N15" s="121"/>
      <c r="O15" s="121"/>
      <c r="P15" s="121"/>
    </row>
    <row r="16" spans="1:23" ht="19.95" customHeight="1">
      <c r="A16" s="60">
        <v>1</v>
      </c>
      <c r="B16" s="61" t="s">
        <v>59</v>
      </c>
      <c r="C16" s="62"/>
      <c r="D16" s="63">
        <f>IF(ISERROR(C16/$C$13),0,C16/$C$13)</f>
        <v>0</v>
      </c>
      <c r="E16" s="62"/>
      <c r="F16" s="63">
        <f>IF(ISERROR(E16/$G$13),0,E16/$G$13)</f>
        <v>0</v>
      </c>
      <c r="G16" s="61"/>
      <c r="H16" s="61"/>
      <c r="I16" s="61"/>
      <c r="J16" s="61"/>
      <c r="K16" s="61"/>
      <c r="L16" s="61"/>
      <c r="M16" s="61"/>
      <c r="N16" s="61"/>
      <c r="O16" s="61"/>
      <c r="P16" s="61"/>
    </row>
    <row r="17" spans="1:16" ht="19.95" customHeight="1">
      <c r="A17" s="60">
        <v>2</v>
      </c>
      <c r="B17" s="61"/>
      <c r="C17" s="62"/>
      <c r="D17" s="63">
        <f>IF(ISERROR(C17/$C$13),0,C17/$C$13)</f>
        <v>0</v>
      </c>
      <c r="E17" s="62"/>
      <c r="F17" s="63">
        <f>IF(ISERROR(E17/$G$13),0,E17/$G$13)</f>
        <v>0</v>
      </c>
      <c r="G17" s="61"/>
      <c r="H17" s="61"/>
      <c r="I17" s="61"/>
      <c r="J17" s="61"/>
      <c r="K17" s="61"/>
      <c r="L17" s="61"/>
      <c r="M17" s="61"/>
      <c r="N17" s="61"/>
      <c r="O17" s="61"/>
      <c r="P17" s="61"/>
    </row>
    <row r="18" spans="1:16" ht="19.95" customHeight="1">
      <c r="A18" s="60">
        <v>3</v>
      </c>
      <c r="B18" s="61"/>
      <c r="C18" s="62"/>
      <c r="D18" s="63">
        <f>IF(ISERROR(C18/$C$13),0,C18/$C$13)</f>
        <v>0</v>
      </c>
      <c r="E18" s="62"/>
      <c r="F18" s="63">
        <f>IF(ISERROR(E18/$G$13),0,E18/$G$13)</f>
        <v>0</v>
      </c>
      <c r="G18" s="61"/>
      <c r="H18" s="61"/>
      <c r="I18" s="61"/>
      <c r="J18" s="61"/>
      <c r="K18" s="61"/>
      <c r="L18" s="61"/>
      <c r="M18" s="61"/>
      <c r="N18" s="61"/>
      <c r="O18" s="61"/>
      <c r="P18" s="61"/>
    </row>
    <row r="19" spans="1:16" ht="19.95" customHeight="1">
      <c r="A19" s="60">
        <v>4</v>
      </c>
      <c r="B19" s="61"/>
      <c r="C19" s="62"/>
      <c r="D19" s="63">
        <f>IF(ISERROR(C19/#REF!),0,C19/#REF!)</f>
        <v>0</v>
      </c>
      <c r="E19" s="62"/>
      <c r="F19" s="64">
        <f>IF(ISERROR(E19/#REF!),0,E19/#REF!)</f>
        <v>0</v>
      </c>
      <c r="G19" s="61"/>
      <c r="H19" s="61"/>
      <c r="I19" s="61"/>
      <c r="J19" s="61"/>
      <c r="K19" s="61"/>
      <c r="L19" s="61"/>
      <c r="M19" s="61"/>
      <c r="N19" s="61"/>
      <c r="O19" s="61"/>
      <c r="P19" s="61"/>
    </row>
    <row r="20" spans="1:16" ht="19.95" customHeight="1">
      <c r="A20" s="60">
        <v>5</v>
      </c>
      <c r="B20" s="61"/>
      <c r="C20" s="62"/>
      <c r="D20" s="63">
        <f>IF(ISERROR(C20/#REF!),0,C20/#REF!)</f>
        <v>0</v>
      </c>
      <c r="E20" s="62"/>
      <c r="F20" s="64">
        <f>IF(ISERROR(E20/#REF!),0,E20/#REF!)</f>
        <v>0</v>
      </c>
      <c r="G20" s="61"/>
      <c r="H20" s="61"/>
      <c r="I20" s="61"/>
      <c r="J20" s="61"/>
      <c r="K20" s="61"/>
      <c r="L20" s="61"/>
      <c r="M20" s="61"/>
      <c r="N20" s="61"/>
      <c r="O20" s="61"/>
      <c r="P20" s="61"/>
    </row>
    <row r="21" spans="1:16" s="69" customFormat="1" ht="19.95" customHeight="1">
      <c r="A21" s="65"/>
      <c r="B21" s="66" t="s">
        <v>60</v>
      </c>
      <c r="C21" s="67">
        <f>SUM(C16:C18)</f>
        <v>0</v>
      </c>
      <c r="D21" s="68">
        <f>SUM(D16:D20)</f>
        <v>0</v>
      </c>
      <c r="E21" s="68">
        <f>SUM(E16:E20)</f>
        <v>0</v>
      </c>
      <c r="F21" s="68">
        <f>SUM(F16:F20)</f>
        <v>0</v>
      </c>
      <c r="G21" s="61"/>
      <c r="H21" s="61"/>
      <c r="I21" s="66"/>
      <c r="J21" s="66"/>
      <c r="K21" s="66"/>
      <c r="L21" s="66"/>
      <c r="M21" s="61"/>
      <c r="N21" s="61"/>
      <c r="O21" s="61"/>
      <c r="P21" s="61"/>
    </row>
    <row r="22" spans="1:16" ht="19.95" customHeight="1">
      <c r="A22" s="53" t="s">
        <v>61</v>
      </c>
      <c r="C22" s="53"/>
      <c r="D22" s="53"/>
      <c r="E22" s="53"/>
      <c r="F22" s="53"/>
      <c r="G22" s="53"/>
      <c r="H22" s="53"/>
      <c r="I22" s="53"/>
      <c r="J22" s="53"/>
      <c r="K22" s="53"/>
      <c r="L22" s="53"/>
      <c r="M22" s="53"/>
      <c r="N22" s="53"/>
    </row>
    <row r="23" spans="1:16" s="69" customFormat="1" ht="19.95" customHeight="1">
      <c r="A23" s="70" t="s">
        <v>62</v>
      </c>
      <c r="B23" s="70" t="s">
        <v>44</v>
      </c>
      <c r="C23" s="70" t="s">
        <v>55</v>
      </c>
      <c r="D23" s="70" t="s">
        <v>63</v>
      </c>
      <c r="E23" s="70" t="s">
        <v>64</v>
      </c>
      <c r="F23" s="71"/>
      <c r="G23" s="72"/>
      <c r="H23" s="72"/>
      <c r="I23" s="71"/>
      <c r="J23" s="52"/>
      <c r="K23" s="52"/>
      <c r="L23" s="52"/>
      <c r="M23" s="53"/>
      <c r="N23" s="53"/>
      <c r="O23" s="53"/>
      <c r="P23" s="53"/>
    </row>
    <row r="24" spans="1:16" s="69" customFormat="1" ht="19.95" customHeight="1">
      <c r="A24" s="73">
        <v>1</v>
      </c>
      <c r="B24" s="61" t="s">
        <v>65</v>
      </c>
      <c r="C24" s="71"/>
      <c r="D24" s="71"/>
      <c r="E24" s="71"/>
      <c r="F24" s="71"/>
      <c r="G24" s="72"/>
      <c r="H24" s="72"/>
      <c r="I24" s="71"/>
      <c r="J24" s="52"/>
      <c r="K24" s="52"/>
      <c r="L24" s="52"/>
      <c r="M24" s="53"/>
      <c r="N24" s="53"/>
      <c r="O24" s="53"/>
      <c r="P24" s="53"/>
    </row>
    <row r="25" spans="1:16" s="69" customFormat="1" ht="19.95" customHeight="1">
      <c r="A25" s="73">
        <v>2</v>
      </c>
      <c r="B25" s="71"/>
      <c r="C25" s="71"/>
      <c r="D25" s="71"/>
      <c r="E25" s="71"/>
      <c r="F25" s="71"/>
      <c r="G25" s="72"/>
      <c r="H25" s="72"/>
      <c r="I25" s="71"/>
      <c r="J25" s="52"/>
      <c r="K25" s="52"/>
      <c r="L25" s="52"/>
      <c r="M25" s="53"/>
      <c r="N25" s="53"/>
      <c r="O25" s="53"/>
      <c r="P25" s="53"/>
    </row>
    <row r="26" spans="1:16" s="69" customFormat="1" ht="19.95" customHeight="1">
      <c r="A26" s="73">
        <v>3</v>
      </c>
      <c r="B26" s="71"/>
      <c r="C26" s="71"/>
      <c r="D26" s="71"/>
      <c r="E26" s="71"/>
      <c r="F26" s="71"/>
      <c r="G26" s="72"/>
      <c r="H26" s="72"/>
      <c r="I26" s="71"/>
      <c r="J26" s="52"/>
      <c r="K26" s="52"/>
      <c r="L26" s="52"/>
      <c r="M26" s="53"/>
      <c r="N26" s="53"/>
      <c r="O26" s="53"/>
      <c r="P26" s="53"/>
    </row>
    <row r="27" spans="1:16" s="69" customFormat="1" ht="19.95" customHeight="1">
      <c r="A27" s="73">
        <v>4</v>
      </c>
      <c r="B27" s="71"/>
      <c r="C27" s="71"/>
      <c r="D27" s="71"/>
      <c r="E27" s="71"/>
      <c r="F27" s="71"/>
      <c r="G27" s="72"/>
      <c r="H27" s="72"/>
      <c r="I27" s="71"/>
      <c r="J27" s="52"/>
      <c r="K27" s="52"/>
      <c r="L27" s="52"/>
      <c r="M27" s="53"/>
      <c r="N27" s="53"/>
      <c r="O27" s="53"/>
      <c r="P27" s="53"/>
    </row>
    <row r="28" spans="1:16" s="69" customFormat="1" ht="19.95" customHeight="1">
      <c r="A28" s="73">
        <v>5</v>
      </c>
      <c r="B28" s="71"/>
      <c r="C28" s="71"/>
      <c r="D28" s="71"/>
      <c r="E28" s="71"/>
      <c r="F28" s="71"/>
      <c r="G28" s="72"/>
      <c r="H28" s="72"/>
      <c r="I28" s="71"/>
      <c r="J28" s="52"/>
      <c r="K28" s="52"/>
      <c r="L28" s="52"/>
      <c r="M28" s="53"/>
      <c r="N28" s="53"/>
      <c r="O28" s="53"/>
      <c r="P28" s="53"/>
    </row>
    <row r="29" spans="1:16" s="69" customFormat="1" ht="19.95" customHeight="1">
      <c r="A29" s="73">
        <v>6</v>
      </c>
      <c r="B29" s="71"/>
      <c r="C29" s="71"/>
      <c r="D29" s="71"/>
      <c r="E29" s="71"/>
      <c r="F29" s="71"/>
      <c r="G29" s="72"/>
      <c r="H29" s="72"/>
      <c r="I29" s="71"/>
      <c r="J29" s="52"/>
      <c r="K29" s="52"/>
      <c r="L29" s="52"/>
      <c r="M29" s="53"/>
      <c r="N29" s="53"/>
      <c r="O29" s="53"/>
      <c r="P29" s="53"/>
    </row>
    <row r="30" spans="1:16" s="69" customFormat="1" ht="19.95" customHeight="1">
      <c r="A30" s="73">
        <v>7</v>
      </c>
      <c r="B30" s="71"/>
      <c r="C30" s="71"/>
      <c r="D30" s="71"/>
      <c r="E30" s="71"/>
      <c r="F30" s="71"/>
      <c r="G30" s="72"/>
      <c r="H30" s="72"/>
      <c r="I30" s="71"/>
      <c r="J30" s="52"/>
      <c r="K30" s="52"/>
      <c r="L30" s="52"/>
      <c r="M30" s="53"/>
      <c r="N30" s="53"/>
      <c r="O30" s="53"/>
      <c r="P30" s="53"/>
    </row>
    <row r="31" spans="1:16" s="69" customFormat="1" ht="19.95" customHeight="1">
      <c r="A31" s="73"/>
      <c r="B31" s="74" t="s">
        <v>66</v>
      </c>
      <c r="C31" s="75">
        <f>SUM(C24:C30)</f>
        <v>0</v>
      </c>
      <c r="D31" s="75">
        <f>SUM(D24:D30)</f>
        <v>0</v>
      </c>
      <c r="E31" s="75">
        <f>SUM(E24:E30)</f>
        <v>0</v>
      </c>
      <c r="F31" s="71"/>
      <c r="G31" s="72"/>
      <c r="H31" s="72"/>
      <c r="I31" s="71"/>
      <c r="J31" s="52"/>
      <c r="K31" s="52"/>
      <c r="L31" s="52"/>
      <c r="M31" s="53"/>
      <c r="N31" s="53"/>
      <c r="O31" s="53"/>
      <c r="P31" s="53"/>
    </row>
    <row r="32" spans="1:16" ht="19.95" customHeight="1">
      <c r="A32" s="53" t="s">
        <v>67</v>
      </c>
      <c r="C32" s="53"/>
      <c r="D32" s="53"/>
      <c r="E32" s="53"/>
      <c r="F32" s="53"/>
      <c r="G32" s="53"/>
      <c r="H32" s="53"/>
      <c r="I32" s="53"/>
      <c r="J32" s="53"/>
      <c r="K32" s="53"/>
      <c r="L32" s="53"/>
      <c r="M32" s="53"/>
      <c r="N32" s="53"/>
    </row>
    <row r="33" spans="1:16" s="69" customFormat="1" ht="19.95" customHeight="1">
      <c r="A33" s="70" t="s">
        <v>22</v>
      </c>
      <c r="B33" s="123" t="s">
        <v>44</v>
      </c>
      <c r="C33" s="124"/>
      <c r="D33" s="124"/>
      <c r="E33" s="124"/>
      <c r="F33" s="124" t="s">
        <v>68</v>
      </c>
      <c r="G33" s="124"/>
      <c r="H33" s="124"/>
      <c r="I33" s="125"/>
      <c r="J33" s="122" t="s">
        <v>69</v>
      </c>
      <c r="K33" s="52"/>
      <c r="L33" s="52"/>
      <c r="M33" s="53"/>
      <c r="N33" s="53"/>
      <c r="O33" s="53"/>
      <c r="P33" s="53"/>
    </row>
    <row r="34" spans="1:16" s="69" customFormat="1" ht="19.95" customHeight="1">
      <c r="A34" s="76"/>
      <c r="B34" s="70" t="s">
        <v>70</v>
      </c>
      <c r="C34" s="70" t="s">
        <v>55</v>
      </c>
      <c r="D34" s="70" t="s">
        <v>63</v>
      </c>
      <c r="E34" s="70" t="s">
        <v>71</v>
      </c>
      <c r="F34" s="70" t="s">
        <v>70</v>
      </c>
      <c r="G34" s="70" t="s">
        <v>55</v>
      </c>
      <c r="H34" s="70" t="s">
        <v>63</v>
      </c>
      <c r="I34" s="70" t="s">
        <v>71</v>
      </c>
      <c r="J34" s="121"/>
      <c r="K34" s="52"/>
      <c r="L34" s="52"/>
      <c r="M34" s="53"/>
      <c r="N34" s="53"/>
      <c r="O34" s="53"/>
      <c r="P34" s="53"/>
    </row>
    <row r="35" spans="1:16" s="69" customFormat="1" ht="19.95" customHeight="1">
      <c r="A35" s="73">
        <v>1</v>
      </c>
      <c r="B35" s="71"/>
      <c r="C35" s="71"/>
      <c r="D35" s="71"/>
      <c r="E35" s="71" t="e">
        <f>C35/D35</f>
        <v>#DIV/0!</v>
      </c>
      <c r="F35" s="71"/>
      <c r="G35" s="72"/>
      <c r="H35" s="71"/>
      <c r="I35" s="71" t="e">
        <f>G35/H35</f>
        <v>#DIV/0!</v>
      </c>
      <c r="J35" s="77" t="e">
        <f>(E35-I35)/D35</f>
        <v>#DIV/0!</v>
      </c>
      <c r="K35" s="52"/>
      <c r="L35" s="52"/>
      <c r="M35" s="53"/>
      <c r="N35" s="53"/>
      <c r="O35" s="53"/>
      <c r="P35" s="53"/>
    </row>
    <row r="36" spans="1:16" s="69" customFormat="1" ht="19.95" customHeight="1">
      <c r="A36" s="73">
        <v>2</v>
      </c>
      <c r="B36" s="71"/>
      <c r="C36" s="71"/>
      <c r="D36" s="71"/>
      <c r="E36" s="71" t="e">
        <f t="shared" ref="E36:E37" si="0">C36/D36</f>
        <v>#DIV/0!</v>
      </c>
      <c r="F36" s="71"/>
      <c r="G36" s="72"/>
      <c r="H36" s="71"/>
      <c r="I36" s="71" t="e">
        <f t="shared" ref="I36:I37" si="1">G36/H36</f>
        <v>#DIV/0!</v>
      </c>
      <c r="J36" s="71" t="e">
        <f t="shared" ref="J36:J37" si="2">(E36-I36)/D36</f>
        <v>#DIV/0!</v>
      </c>
      <c r="K36" s="52"/>
      <c r="L36" s="52"/>
      <c r="M36" s="53"/>
      <c r="N36" s="53"/>
      <c r="O36" s="53"/>
      <c r="P36" s="53"/>
    </row>
    <row r="37" spans="1:16" s="69" customFormat="1" ht="19.95" customHeight="1">
      <c r="A37" s="73">
        <v>3</v>
      </c>
      <c r="B37" s="71"/>
      <c r="C37" s="71"/>
      <c r="D37" s="71"/>
      <c r="E37" s="71" t="e">
        <f t="shared" si="0"/>
        <v>#DIV/0!</v>
      </c>
      <c r="F37" s="71"/>
      <c r="G37" s="72"/>
      <c r="H37" s="71"/>
      <c r="I37" s="71" t="e">
        <f t="shared" si="1"/>
        <v>#DIV/0!</v>
      </c>
      <c r="J37" s="71" t="e">
        <f t="shared" si="2"/>
        <v>#DIV/0!</v>
      </c>
      <c r="K37" s="52"/>
      <c r="L37" s="52"/>
      <c r="M37" s="53"/>
      <c r="N37" s="53"/>
      <c r="O37" s="53"/>
      <c r="P37" s="53"/>
    </row>
    <row r="38" spans="1:16" s="69" customFormat="1" ht="19.95" customHeight="1">
      <c r="A38" s="73"/>
      <c r="B38" s="71"/>
      <c r="C38" s="71"/>
      <c r="D38" s="71"/>
      <c r="E38" s="71"/>
      <c r="F38" s="71"/>
      <c r="G38" s="72"/>
      <c r="H38" s="72"/>
      <c r="I38" s="71"/>
      <c r="J38" s="71"/>
      <c r="K38" s="52"/>
      <c r="L38" s="52"/>
      <c r="M38" s="53"/>
      <c r="N38" s="53"/>
      <c r="O38" s="53"/>
      <c r="P38" s="53"/>
    </row>
    <row r="39" spans="1:16" ht="19.95" customHeight="1">
      <c r="A39" s="78" t="s">
        <v>72</v>
      </c>
      <c r="B39" s="72"/>
      <c r="C39" s="72"/>
      <c r="D39" s="72"/>
      <c r="E39" s="72"/>
      <c r="F39" s="72"/>
      <c r="G39" s="72"/>
      <c r="H39" s="72"/>
      <c r="I39" s="72"/>
      <c r="J39" s="71"/>
      <c r="K39" s="53"/>
      <c r="L39" s="53"/>
      <c r="M39" s="53"/>
      <c r="N39" s="53"/>
    </row>
    <row r="40" spans="1:16" ht="19.95" customHeight="1">
      <c r="A40" s="79"/>
      <c r="B40" s="80"/>
      <c r="C40" s="53"/>
      <c r="D40" s="53"/>
      <c r="E40" s="53"/>
      <c r="F40" s="53"/>
      <c r="G40" s="53"/>
      <c r="H40" s="53"/>
      <c r="I40" s="53"/>
      <c r="J40" s="53"/>
      <c r="K40" s="53"/>
      <c r="L40" s="53"/>
      <c r="M40" s="53"/>
      <c r="N40" s="53"/>
    </row>
    <row r="41" spans="1:16" ht="19.95" customHeight="1">
      <c r="A41" s="54" t="s">
        <v>73</v>
      </c>
      <c r="B41" s="53"/>
      <c r="C41" s="53"/>
      <c r="D41" s="53"/>
      <c r="E41" s="53"/>
      <c r="F41" s="53"/>
      <c r="G41" s="53"/>
      <c r="H41" s="53"/>
      <c r="I41" s="53"/>
      <c r="J41" s="53"/>
      <c r="K41" s="53"/>
      <c r="L41" s="53"/>
      <c r="M41" s="53"/>
      <c r="N41" s="53"/>
    </row>
    <row r="42" spans="1:16" ht="19.95" customHeight="1">
      <c r="A42" s="52"/>
      <c r="B42" s="53"/>
      <c r="C42" s="53"/>
      <c r="D42" s="53"/>
      <c r="E42" s="53"/>
      <c r="F42" s="53"/>
      <c r="G42" s="53"/>
      <c r="H42" s="53"/>
      <c r="I42" s="53"/>
      <c r="J42" s="53"/>
      <c r="K42" s="53"/>
      <c r="L42" s="53"/>
      <c r="M42" s="53"/>
      <c r="N42" s="53"/>
    </row>
    <row r="43" spans="1:16" ht="19.95" customHeight="1">
      <c r="A43" s="53"/>
      <c r="B43" s="53"/>
      <c r="C43" s="53"/>
      <c r="D43" s="53"/>
      <c r="E43" s="53"/>
      <c r="F43" s="53"/>
      <c r="G43" s="53"/>
      <c r="H43" s="53"/>
      <c r="I43" s="53"/>
      <c r="J43" s="53"/>
      <c r="K43" s="53"/>
      <c r="L43" s="53"/>
      <c r="M43" s="53"/>
      <c r="N43" s="53"/>
    </row>
  </sheetData>
  <mergeCells count="21">
    <mergeCell ref="A14:A15"/>
    <mergeCell ref="B14:B15"/>
    <mergeCell ref="C14:C15"/>
    <mergeCell ref="D14:D15"/>
    <mergeCell ref="E14:E15"/>
    <mergeCell ref="A1:P1"/>
    <mergeCell ref="A2:P2"/>
    <mergeCell ref="A10:P12"/>
    <mergeCell ref="A13:B13"/>
    <mergeCell ref="D13:F13"/>
    <mergeCell ref="O14:O15"/>
    <mergeCell ref="P14:P15"/>
    <mergeCell ref="B33:E33"/>
    <mergeCell ref="F33:I33"/>
    <mergeCell ref="J33:J34"/>
    <mergeCell ref="F14:F15"/>
    <mergeCell ref="G14:G15"/>
    <mergeCell ref="H14:H15"/>
    <mergeCell ref="I14:L14"/>
    <mergeCell ref="M14:M15"/>
    <mergeCell ref="N14:N15"/>
  </mergeCells>
  <phoneticPr fontId="3" type="noConversion"/>
  <dataValidations count="1">
    <dataValidation type="list" allowBlank="1" showInputMessage="1" showErrorMessage="1" sqref="N16:N38" xr:uid="{00000000-0002-0000-0100-000000000000}">
      <formula1>"是,否"</formula1>
    </dataValidation>
  </dataValidations>
  <printOptions horizontalCentered="1"/>
  <pageMargins left="0.70866141732283472" right="0.70866141732283472" top="0.74803149606299213" bottom="0.74803149606299213" header="0.31496062992125984" footer="0.31496062992125984"/>
  <pageSetup paperSize="9" scale="59" fitToHeight="0" orientation="landscape" blackAndWhite="1" cellComments="atEnd"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5.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2</vt:i4>
      </vt:variant>
    </vt:vector>
  </HeadingPairs>
  <TitlesOfParts>
    <vt:vector size="6" baseType="lpstr">
      <vt:lpstr>底稿目录</vt:lpstr>
      <vt:lpstr>S34-20程序表</vt:lpstr>
      <vt:lpstr>S34-20-1重要劳务外包公司分析</vt:lpstr>
      <vt:lpstr>GT_Custom</vt:lpstr>
      <vt:lpstr>'S34-20-1重要劳务外包公司分析'!Print_Area</vt:lpstr>
      <vt:lpstr>'S34-20程序表'!Print_Area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2025-11-01T08:49:09Z</dcterms:modified>
</cp:coreProperties>
</file>