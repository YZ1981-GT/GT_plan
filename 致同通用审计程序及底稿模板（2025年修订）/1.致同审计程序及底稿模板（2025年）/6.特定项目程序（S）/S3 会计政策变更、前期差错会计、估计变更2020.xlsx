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404"/>
  <workbookPr codeName="ThisWorkbook" defaultThemeVersion="124226"/>
  <mc:AlternateContent xmlns:mc="http://schemas.openxmlformats.org/markup-compatibility/2006">
    <mc:Choice Requires="x15">
      <x15ac:absPath xmlns:x15ac="http://schemas.microsoft.com/office/spreadsheetml/2010/11/ac" url="E:\BaiduSyncdisk\2.2023年底稿更新\6.特定项目程序（S）\"/>
    </mc:Choice>
  </mc:AlternateContent>
  <xr:revisionPtr revIDLastSave="0" documentId="13_ncr:1_{48788AEB-0F4A-4D0F-9B2D-1203D22D7545}" xr6:coauthVersionLast="36" xr6:coauthVersionMax="36" xr10:uidLastSave="{00000000-0000-0000-0000-000000000000}"/>
  <bookViews>
    <workbookView xWindow="600" yWindow="96" windowWidth="19392" windowHeight="9192" xr2:uid="{00000000-000D-0000-FFFF-FFFF00000000}"/>
  </bookViews>
  <sheets>
    <sheet name="表头（请先填写）" sheetId="2" r:id="rId1"/>
    <sheet name="审定表" sheetId="3" r:id="rId2"/>
    <sheet name="会计政策变更和前期差错更正S3-1" sheetId="4" r:id="rId3"/>
    <sheet name="会计估计变更审计程序S3-2" sheetId="5" r:id="rId4"/>
    <sheet name="首次执行新金融工具准则的调整S3-4" sheetId="6" r:id="rId5"/>
    <sheet name="首次执行新收入准则的调整S3-6" sheetId="1" r:id="rId6"/>
    <sheet name="首次执行新租赁准则的调整S3-8" sheetId="7" r:id="rId7"/>
    <sheet name="简化的追溯调整法（1）S3-9" sheetId="12" r:id="rId8"/>
    <sheet name="简化的追溯调整法（2）S3-10" sheetId="11" r:id="rId9"/>
    <sheet name="简化的追溯调整法（2）S3-10 (2)" sheetId="13" r:id="rId10"/>
    <sheet name="参考-简化的追溯调整法（首次执行日）" sheetId="9" r:id="rId11"/>
  </sheets>
  <externalReferences>
    <externalReference r:id="rId12"/>
    <externalReference r:id="rId13"/>
    <externalReference r:id="rId14"/>
    <externalReference r:id="rId15"/>
    <externalReference r:id="rId16"/>
    <externalReference r:id="rId17"/>
    <externalReference r:id="rId18"/>
  </externalReferences>
  <definedNames>
    <definedName name="_1、" localSheetId="10">#REF!</definedName>
    <definedName name="_1、" localSheetId="7">#REF!</definedName>
    <definedName name="_1、" localSheetId="8">#REF!</definedName>
    <definedName name="_1、" localSheetId="9">#REF!</definedName>
    <definedName name="_1、" localSheetId="4">#REF!</definedName>
    <definedName name="_1、" localSheetId="6">#REF!</definedName>
    <definedName name="_1、">#REF!</definedName>
    <definedName name="_1、受本循环影响的相关交易和账户余额" localSheetId="10">#REF!</definedName>
    <definedName name="_1、受本循环影响的相关交易和账户余额" localSheetId="7">#REF!</definedName>
    <definedName name="_1、受本循环影响的相关交易和账户余额" localSheetId="8">#REF!</definedName>
    <definedName name="_1、受本循环影响的相关交易和账户余额" localSheetId="9">#REF!</definedName>
    <definedName name="_1、受本循环影响的相关交易和账户余额" localSheetId="4">#REF!</definedName>
    <definedName name="_1、受本循环影响的相关交易和账户余额" localSheetId="6">#REF!</definedName>
    <definedName name="_1、受本循环影响的相关交易和账户余额">#REF!</definedName>
    <definedName name="_2、主要业务活动" localSheetId="10">#REF!</definedName>
    <definedName name="_2、主要业务活动" localSheetId="7">#REF!</definedName>
    <definedName name="_2、主要业务活动" localSheetId="8">#REF!</definedName>
    <definedName name="_2、主要业务活动" localSheetId="9">#REF!</definedName>
    <definedName name="_2、主要业务活动" localSheetId="4">#REF!</definedName>
    <definedName name="_2、主要业务活动" localSheetId="6">#REF!</definedName>
    <definedName name="_2、主要业务活动">#REF!</definedName>
    <definedName name="_2、注册会计师通常应在本循环中了解与上述业务活动相关的内部控制_如果计划在其他业务循环中对上述" localSheetId="10">#REF!</definedName>
    <definedName name="_2、注册会计师通常应在本循环中了解与上述业务活动相关的内部控制_如果计划在其他业务循环中对上述" localSheetId="7">#REF!</definedName>
    <definedName name="_2、注册会计师通常应在本循环中了解与上述业务活动相关的内部控制_如果计划在其他业务循环中对上述" localSheetId="8">#REF!</definedName>
    <definedName name="_2、注册会计师通常应在本循环中了解与上述业务活动相关的内部控制_如果计划在其他业务循环中对上述" localSheetId="9">#REF!</definedName>
    <definedName name="_2、注册会计师通常应在本循环中了解与上述业务活动相关的内部控制_如果计划在其他业务循环中对上述" localSheetId="4">#REF!</definedName>
    <definedName name="_2、注册会计师通常应在本循环中了解与上述业务活动相关的内部控制_如果计划在其他业务循环中对上述" localSheetId="6">#REF!</definedName>
    <definedName name="_2、注册会计师通常应在本循环中了解与上述业务活动相关的内部控制_如果计划在其他业务循环中对上述">#REF!</definedName>
    <definedName name="_DAT1" localSheetId="10">#REF!</definedName>
    <definedName name="_DAT1" localSheetId="7">#REF!</definedName>
    <definedName name="_DAT1" localSheetId="8">#REF!</definedName>
    <definedName name="_DAT1" localSheetId="9">#REF!</definedName>
    <definedName name="_DAT1" localSheetId="4">#REF!</definedName>
    <definedName name="_DAT1" localSheetId="6">#REF!</definedName>
    <definedName name="_DAT1">#REF!</definedName>
    <definedName name="_DAT10" localSheetId="10">#REF!</definedName>
    <definedName name="_DAT10" localSheetId="7">#REF!</definedName>
    <definedName name="_DAT10" localSheetId="8">#REF!</definedName>
    <definedName name="_DAT10" localSheetId="9">#REF!</definedName>
    <definedName name="_DAT10" localSheetId="4">#REF!</definedName>
    <definedName name="_DAT10" localSheetId="6">#REF!</definedName>
    <definedName name="_DAT10">#REF!</definedName>
    <definedName name="_DAT11" localSheetId="10">#REF!</definedName>
    <definedName name="_DAT11" localSheetId="7">#REF!</definedName>
    <definedName name="_DAT11" localSheetId="8">#REF!</definedName>
    <definedName name="_DAT11" localSheetId="9">#REF!</definedName>
    <definedName name="_DAT11" localSheetId="4">#REF!</definedName>
    <definedName name="_DAT11" localSheetId="6">#REF!</definedName>
    <definedName name="_DAT11">#REF!</definedName>
    <definedName name="_DAT2" localSheetId="10">#REF!</definedName>
    <definedName name="_DAT2" localSheetId="7">#REF!</definedName>
    <definedName name="_DAT2" localSheetId="8">#REF!</definedName>
    <definedName name="_DAT2" localSheetId="9">#REF!</definedName>
    <definedName name="_DAT2" localSheetId="4">#REF!</definedName>
    <definedName name="_DAT2" localSheetId="6">#REF!</definedName>
    <definedName name="_DAT2">#REF!</definedName>
    <definedName name="_DAT3" localSheetId="10">#REF!</definedName>
    <definedName name="_DAT3" localSheetId="7">#REF!</definedName>
    <definedName name="_DAT3" localSheetId="8">#REF!</definedName>
    <definedName name="_DAT3" localSheetId="9">#REF!</definedName>
    <definedName name="_DAT3" localSheetId="4">#REF!</definedName>
    <definedName name="_DAT3" localSheetId="6">#REF!</definedName>
    <definedName name="_DAT3">#REF!</definedName>
    <definedName name="_DAT4" localSheetId="10">#REF!</definedName>
    <definedName name="_DAT4" localSheetId="7">#REF!</definedName>
    <definedName name="_DAT4" localSheetId="8">#REF!</definedName>
    <definedName name="_DAT4" localSheetId="9">#REF!</definedName>
    <definedName name="_DAT4" localSheetId="4">#REF!</definedName>
    <definedName name="_DAT4" localSheetId="6">#REF!</definedName>
    <definedName name="_DAT4">#REF!</definedName>
    <definedName name="_DAT5" localSheetId="10">#REF!</definedName>
    <definedName name="_DAT5" localSheetId="7">#REF!</definedName>
    <definedName name="_DAT5" localSheetId="8">#REF!</definedName>
    <definedName name="_DAT5" localSheetId="9">#REF!</definedName>
    <definedName name="_DAT5" localSheetId="4">#REF!</definedName>
    <definedName name="_DAT5" localSheetId="6">#REF!</definedName>
    <definedName name="_DAT5">#REF!</definedName>
    <definedName name="_DAT6" localSheetId="10">#REF!</definedName>
    <definedName name="_DAT6" localSheetId="7">#REF!</definedName>
    <definedName name="_DAT6" localSheetId="8">#REF!</definedName>
    <definedName name="_DAT6" localSheetId="9">#REF!</definedName>
    <definedName name="_DAT6" localSheetId="4">#REF!</definedName>
    <definedName name="_DAT6" localSheetId="6">#REF!</definedName>
    <definedName name="_DAT6">#REF!</definedName>
    <definedName name="_DAT7" localSheetId="10">#REF!</definedName>
    <definedName name="_DAT7" localSheetId="7">#REF!</definedName>
    <definedName name="_DAT7" localSheetId="8">#REF!</definedName>
    <definedName name="_DAT7" localSheetId="9">#REF!</definedName>
    <definedName name="_DAT7" localSheetId="4">#REF!</definedName>
    <definedName name="_DAT7" localSheetId="6">#REF!</definedName>
    <definedName name="_DAT7">#REF!</definedName>
    <definedName name="_DAT8" localSheetId="10">#REF!</definedName>
    <definedName name="_DAT8" localSheetId="7">#REF!</definedName>
    <definedName name="_DAT8" localSheetId="8">#REF!</definedName>
    <definedName name="_DAT8" localSheetId="9">#REF!</definedName>
    <definedName name="_DAT8" localSheetId="4">#REF!</definedName>
    <definedName name="_DAT8" localSheetId="6">#REF!</definedName>
    <definedName name="_DAT8">#REF!</definedName>
    <definedName name="_DAT9" localSheetId="10">#REF!</definedName>
    <definedName name="_DAT9" localSheetId="7">#REF!</definedName>
    <definedName name="_DAT9" localSheetId="8">#REF!</definedName>
    <definedName name="_DAT9" localSheetId="9">#REF!</definedName>
    <definedName name="_DAT9" localSheetId="4">#REF!</definedName>
    <definedName name="_DAT9" localSheetId="6">#REF!</definedName>
    <definedName name="_DAT9">#REF!</definedName>
    <definedName name="AFV" localSheetId="10" hidden="1">#REF!</definedName>
    <definedName name="AFV" localSheetId="7" hidden="1">#REF!</definedName>
    <definedName name="AFV" localSheetId="8" hidden="1">#REF!</definedName>
    <definedName name="AFV" localSheetId="9" hidden="1">#REF!</definedName>
    <definedName name="AFV" localSheetId="4" hidden="1">#REF!</definedName>
    <definedName name="AFV" localSheetId="5" hidden="1">#REF!</definedName>
    <definedName name="AFV" localSheetId="6" hidden="1">#REF!</definedName>
    <definedName name="AFV" hidden="1">#REF!</definedName>
    <definedName name="AS2DocOpenMode" hidden="1">"AS2DocumentEdit"</definedName>
    <definedName name="a暗暗">[1]企业表一!$F$20</definedName>
    <definedName name="b" localSheetId="10" hidden="1">#REF!</definedName>
    <definedName name="b" localSheetId="7" hidden="1">#REF!</definedName>
    <definedName name="b" localSheetId="8" hidden="1">#REF!</definedName>
    <definedName name="b" localSheetId="9" hidden="1">#REF!</definedName>
    <definedName name="b" hidden="1">#REF!</definedName>
    <definedName name="bs" localSheetId="10" hidden="1">{#N/A,#N/A,FALSE,"BBPREP"}</definedName>
    <definedName name="bs" hidden="1">{#N/A,#N/A,FALSE,"BBPREP"}</definedName>
    <definedName name="bs_1" localSheetId="10" hidden="1">{#N/A,#N/A,FALSE,"BBPREP"}</definedName>
    <definedName name="bs_1" hidden="1">{#N/A,#N/A,FALSE,"BBPREP"}</definedName>
    <definedName name="CarryKnown" localSheetId="10">#REF!</definedName>
    <definedName name="CarryKnown" localSheetId="7">#REF!</definedName>
    <definedName name="CarryKnown" localSheetId="8">#REF!</definedName>
    <definedName name="CarryKnown" localSheetId="9">#REF!</definedName>
    <definedName name="CarryKnown" localSheetId="4">#REF!</definedName>
    <definedName name="CarryKnown" localSheetId="6">#REF!</definedName>
    <definedName name="CarryKnown">#REF!</definedName>
    <definedName name="CarryKnownTable" localSheetId="10">#REF!</definedName>
    <definedName name="CarryKnownTable" localSheetId="7">#REF!</definedName>
    <definedName name="CarryKnownTable" localSheetId="8">#REF!</definedName>
    <definedName name="CarryKnownTable" localSheetId="9">#REF!</definedName>
    <definedName name="CarryKnownTable" localSheetId="4">#REF!</definedName>
    <definedName name="CarryKnownTable" localSheetId="6">#REF!</definedName>
    <definedName name="CarryKnownTable">#REF!</definedName>
    <definedName name="CarryLikely" localSheetId="10">#REF!</definedName>
    <definedName name="CarryLikely" localSheetId="7">#REF!</definedName>
    <definedName name="CarryLikely" localSheetId="8">#REF!</definedName>
    <definedName name="CarryLikely" localSheetId="9">#REF!</definedName>
    <definedName name="CarryLikely" localSheetId="4">#REF!</definedName>
    <definedName name="CarryLikely" localSheetId="6">#REF!</definedName>
    <definedName name="CarryLikely">#REF!</definedName>
    <definedName name="CarryLikelyTable" localSheetId="10">#REF!</definedName>
    <definedName name="CarryLikelyTable" localSheetId="7">#REF!</definedName>
    <definedName name="CarryLikelyTable" localSheetId="8">#REF!</definedName>
    <definedName name="CarryLikelyTable" localSheetId="9">#REF!</definedName>
    <definedName name="CarryLikelyTable" localSheetId="4">#REF!</definedName>
    <definedName name="CarryLikelyTable" localSheetId="6">#REF!</definedName>
    <definedName name="CarryLikelyTable">#REF!</definedName>
    <definedName name="Carryover_Effect_of_Prior_Year" localSheetId="10">#REF!</definedName>
    <definedName name="Carryover_Effect_of_Prior_Year" localSheetId="7">#REF!</definedName>
    <definedName name="Carryover_Effect_of_Prior_Year" localSheetId="8">#REF!</definedName>
    <definedName name="Carryover_Effect_of_Prior_Year" localSheetId="9">#REF!</definedName>
    <definedName name="Carryover_Effect_of_Prior_Year" localSheetId="4">#REF!</definedName>
    <definedName name="Carryover_Effect_of_Prior_Year" localSheetId="6">#REF!</definedName>
    <definedName name="Carryover_Effect_of_Prior_Year">#REF!</definedName>
    <definedName name="CarryoverTitle" localSheetId="10">#REF!</definedName>
    <definedName name="CarryoverTitle" localSheetId="7">#REF!</definedName>
    <definedName name="CarryoverTitle" localSheetId="8">#REF!</definedName>
    <definedName name="CarryoverTitle" localSheetId="9">#REF!</definedName>
    <definedName name="CarryoverTitle" localSheetId="4">#REF!</definedName>
    <definedName name="CarryoverTitle" localSheetId="6">#REF!</definedName>
    <definedName name="CarryoverTitle">#REF!</definedName>
    <definedName name="CC_Instruction" localSheetId="10">#REF!</definedName>
    <definedName name="CC_Instruction" localSheetId="7">#REF!</definedName>
    <definedName name="CC_Instruction" localSheetId="8">#REF!</definedName>
    <definedName name="CC_Instruction" localSheetId="9">#REF!</definedName>
    <definedName name="CC_Instruction" localSheetId="4">#REF!</definedName>
    <definedName name="CC_Instruction" localSheetId="6">#REF!</definedName>
    <definedName name="CC_Instruction">#REF!</definedName>
    <definedName name="CCD" localSheetId="10" hidden="1">#REF!</definedName>
    <definedName name="CCD" localSheetId="7" hidden="1">#REF!</definedName>
    <definedName name="CCD" localSheetId="8" hidden="1">#REF!</definedName>
    <definedName name="CCD" localSheetId="9" hidden="1">#REF!</definedName>
    <definedName name="CCD" localSheetId="4" hidden="1">#REF!</definedName>
    <definedName name="CCD" localSheetId="5" hidden="1">#REF!</definedName>
    <definedName name="CCD" localSheetId="6" hidden="1">#REF!</definedName>
    <definedName name="CCD" hidden="1">#REF!</definedName>
    <definedName name="CDE" localSheetId="10" hidden="1">#REF!</definedName>
    <definedName name="CDE" localSheetId="7" hidden="1">#REF!</definedName>
    <definedName name="CDE" localSheetId="8" hidden="1">#REF!</definedName>
    <definedName name="CDE" localSheetId="9" hidden="1">#REF!</definedName>
    <definedName name="CDE" localSheetId="4" hidden="1">#REF!</definedName>
    <definedName name="CDE" localSheetId="5" hidden="1">#REF!</definedName>
    <definedName name="CDE" localSheetId="6" hidden="1">#REF!</definedName>
    <definedName name="CDE" hidden="1">#REF!</definedName>
    <definedName name="CE_CarryKnownProtection" localSheetId="10">#REF!</definedName>
    <definedName name="CE_CarryKnownProtection" localSheetId="7">#REF!</definedName>
    <definedName name="CE_CarryKnownProtection" localSheetId="8">#REF!</definedName>
    <definedName name="CE_CarryKnownProtection" localSheetId="9">#REF!</definedName>
    <definedName name="CE_CarryKnownProtection" localSheetId="4">#REF!</definedName>
    <definedName name="CE_CarryKnownProtection" localSheetId="6">#REF!</definedName>
    <definedName name="CE_CarryKnownProtection">#REF!</definedName>
    <definedName name="CE_CarryKnownTable" localSheetId="10">#REF!</definedName>
    <definedName name="CE_CarryKnownTable" localSheetId="7">#REF!</definedName>
    <definedName name="CE_CarryKnownTable" localSheetId="8">#REF!</definedName>
    <definedName name="CE_CarryKnownTable" localSheetId="9">#REF!</definedName>
    <definedName name="CE_CarryKnownTable" localSheetId="4">#REF!</definedName>
    <definedName name="CE_CarryKnownTable" localSheetId="6">#REF!</definedName>
    <definedName name="CE_CarryKnownTable">#REF!</definedName>
    <definedName name="CE_CarryLikely1Protection" localSheetId="10">#REF!</definedName>
    <definedName name="CE_CarryLikely1Protection" localSheetId="7">#REF!</definedName>
    <definedName name="CE_CarryLikely1Protection" localSheetId="8">#REF!</definedName>
    <definedName name="CE_CarryLikely1Protection" localSheetId="9">#REF!</definedName>
    <definedName name="CE_CarryLikely1Protection" localSheetId="4">#REF!</definedName>
    <definedName name="CE_CarryLikely1Protection" localSheetId="6">#REF!</definedName>
    <definedName name="CE_CarryLikely1Protection">#REF!</definedName>
    <definedName name="CE_CarryLikely1Table" localSheetId="10">#REF!</definedName>
    <definedName name="CE_CarryLikely1Table" localSheetId="7">#REF!</definedName>
    <definedName name="CE_CarryLikely1Table" localSheetId="8">#REF!</definedName>
    <definedName name="CE_CarryLikely1Table" localSheetId="9">#REF!</definedName>
    <definedName name="CE_CarryLikely1Table" localSheetId="4">#REF!</definedName>
    <definedName name="CE_CarryLikely1Table" localSheetId="6">#REF!</definedName>
    <definedName name="CE_CarryLikely1Table">#REF!</definedName>
    <definedName name="CE_CarryLikely2Protection" localSheetId="10">#REF!</definedName>
    <definedName name="CE_CarryLikely2Protection" localSheetId="7">#REF!</definedName>
    <definedName name="CE_CarryLikely2Protection" localSheetId="8">#REF!</definedName>
    <definedName name="CE_CarryLikely2Protection" localSheetId="9">#REF!</definedName>
    <definedName name="CE_CarryLikely2Protection" localSheetId="4">#REF!</definedName>
    <definedName name="CE_CarryLikely2Protection" localSheetId="6">#REF!</definedName>
    <definedName name="CE_CarryLikely2Protection">#REF!</definedName>
    <definedName name="CE_CarryLikely2Table" localSheetId="10">#REF!</definedName>
    <definedName name="CE_CarryLikely2Table" localSheetId="7">#REF!</definedName>
    <definedName name="CE_CarryLikely2Table" localSheetId="8">#REF!</definedName>
    <definedName name="CE_CarryLikely2Table" localSheetId="9">#REF!</definedName>
    <definedName name="CE_CarryLikely2Table" localSheetId="4">#REF!</definedName>
    <definedName name="CE_CarryLikely2Table" localSheetId="6">#REF!</definedName>
    <definedName name="CE_CarryLikely2Table">#REF!</definedName>
    <definedName name="CE_CarryTaxable" localSheetId="10">#REF!</definedName>
    <definedName name="CE_CarryTaxable" localSheetId="7">#REF!</definedName>
    <definedName name="CE_CarryTaxable" localSheetId="8">#REF!</definedName>
    <definedName name="CE_CarryTaxable" localSheetId="9">#REF!</definedName>
    <definedName name="CE_CarryTaxable" localSheetId="4">#REF!</definedName>
    <definedName name="CE_CarryTaxable" localSheetId="6">#REF!</definedName>
    <definedName name="CE_CarryTaxable">#REF!</definedName>
    <definedName name="CE_Desc" localSheetId="10">#REF!</definedName>
    <definedName name="CE_Desc" localSheetId="7">#REF!</definedName>
    <definedName name="CE_Desc" localSheetId="8">#REF!</definedName>
    <definedName name="CE_Desc" localSheetId="9">#REF!</definedName>
    <definedName name="CE_Desc" localSheetId="4">#REF!</definedName>
    <definedName name="CE_Desc" localSheetId="6">#REF!</definedName>
    <definedName name="CE_Desc">#REF!</definedName>
    <definedName name="CE_Income" localSheetId="10">#REF!</definedName>
    <definedName name="CE_Income" localSheetId="7">#REF!</definedName>
    <definedName name="CE_Income" localSheetId="8">#REF!</definedName>
    <definedName name="CE_Income" localSheetId="9">#REF!</definedName>
    <definedName name="CE_Income" localSheetId="4">#REF!</definedName>
    <definedName name="CE_Income" localSheetId="6">#REF!</definedName>
    <definedName name="CE_Income">#REF!</definedName>
    <definedName name="CE_KeepFormat" localSheetId="10">#REF!</definedName>
    <definedName name="CE_KeepFormat" localSheetId="7">#REF!</definedName>
    <definedName name="CE_KeepFormat" localSheetId="8">#REF!</definedName>
    <definedName name="CE_KeepFormat" localSheetId="9">#REF!</definedName>
    <definedName name="CE_KeepFormat" localSheetId="4">#REF!</definedName>
    <definedName name="CE_KeepFormat" localSheetId="6">#REF!</definedName>
    <definedName name="CE_KeepFormat">#REF!</definedName>
    <definedName name="CE_KnownChange" localSheetId="10">#REF!</definedName>
    <definedName name="CE_KnownChange" localSheetId="7">#REF!</definedName>
    <definedName name="CE_KnownChange" localSheetId="8">#REF!</definedName>
    <definedName name="CE_KnownChange" localSheetId="9">#REF!</definedName>
    <definedName name="CE_KnownChange" localSheetId="4">#REF!</definedName>
    <definedName name="CE_KnownChange" localSheetId="6">#REF!</definedName>
    <definedName name="CE_KnownChange">#REF!</definedName>
    <definedName name="CE_KnownFormulaProtection" localSheetId="10">#REF!</definedName>
    <definedName name="CE_KnownFormulaProtection" localSheetId="7">#REF!</definedName>
    <definedName name="CE_KnownFormulaProtection" localSheetId="8">#REF!</definedName>
    <definedName name="CE_KnownFormulaProtection" localSheetId="9">#REF!</definedName>
    <definedName name="CE_KnownFormulaProtection" localSheetId="4">#REF!</definedName>
    <definedName name="CE_KnownFormulaProtection" localSheetId="6">#REF!</definedName>
    <definedName name="CE_KnownFormulaProtection">#REF!</definedName>
    <definedName name="CE_KnownImpact" localSheetId="10">#REF!</definedName>
    <definedName name="CE_KnownImpact" localSheetId="7">#REF!</definedName>
    <definedName name="CE_KnownImpact" localSheetId="8">#REF!</definedName>
    <definedName name="CE_KnownImpact" localSheetId="9">#REF!</definedName>
    <definedName name="CE_KnownImpact" localSheetId="4">#REF!</definedName>
    <definedName name="CE_KnownImpact" localSheetId="6">#REF!</definedName>
    <definedName name="CE_KnownImpact">#REF!</definedName>
    <definedName name="CE_Likely1Change" localSheetId="10">#REF!</definedName>
    <definedName name="CE_Likely1Change" localSheetId="7">#REF!</definedName>
    <definedName name="CE_Likely1Change" localSheetId="8">#REF!</definedName>
    <definedName name="CE_Likely1Change" localSheetId="9">#REF!</definedName>
    <definedName name="CE_Likely1Change" localSheetId="4">#REF!</definedName>
    <definedName name="CE_Likely1Change" localSheetId="6">#REF!</definedName>
    <definedName name="CE_Likely1Change">#REF!</definedName>
    <definedName name="CE_Likely1FormulaProtection" localSheetId="10">#REF!</definedName>
    <definedName name="CE_Likely1FormulaProtection" localSheetId="7">#REF!</definedName>
    <definedName name="CE_Likely1FormulaProtection" localSheetId="8">#REF!</definedName>
    <definedName name="CE_Likely1FormulaProtection" localSheetId="9">#REF!</definedName>
    <definedName name="CE_Likely1FormulaProtection" localSheetId="4">#REF!</definedName>
    <definedName name="CE_Likely1FormulaProtection" localSheetId="6">#REF!</definedName>
    <definedName name="CE_Likely1FormulaProtection">#REF!</definedName>
    <definedName name="CE_Likely1Impact" localSheetId="10">#REF!</definedName>
    <definedName name="CE_Likely1Impact" localSheetId="7">#REF!</definedName>
    <definedName name="CE_Likely1Impact" localSheetId="8">#REF!</definedName>
    <definedName name="CE_Likely1Impact" localSheetId="9">#REF!</definedName>
    <definedName name="CE_Likely1Impact" localSheetId="4">#REF!</definedName>
    <definedName name="CE_Likely1Impact" localSheetId="6">#REF!</definedName>
    <definedName name="CE_Likely1Impact">#REF!</definedName>
    <definedName name="CE_Likely2Change" localSheetId="10">#REF!</definedName>
    <definedName name="CE_Likely2Change" localSheetId="7">#REF!</definedName>
    <definedName name="CE_Likely2Change" localSheetId="8">#REF!</definedName>
    <definedName name="CE_Likely2Change" localSheetId="9">#REF!</definedName>
    <definedName name="CE_Likely2Change" localSheetId="4">#REF!</definedName>
    <definedName name="CE_Likely2Change" localSheetId="6">#REF!</definedName>
    <definedName name="CE_Likely2Change">#REF!</definedName>
    <definedName name="CE_Likely2FormulaProtection" localSheetId="10">#REF!</definedName>
    <definedName name="CE_Likely2FormulaProtection" localSheetId="7">#REF!</definedName>
    <definedName name="CE_Likely2FormulaProtection" localSheetId="8">#REF!</definedName>
    <definedName name="CE_Likely2FormulaProtection" localSheetId="9">#REF!</definedName>
    <definedName name="CE_Likely2FormulaProtection" localSheetId="4">#REF!</definedName>
    <definedName name="CE_Likely2FormulaProtection" localSheetId="6">#REF!</definedName>
    <definedName name="CE_Likely2FormulaProtection">#REF!</definedName>
    <definedName name="CE_Likely2Impact" localSheetId="10">#REF!</definedName>
    <definedName name="CE_Likely2Impact" localSheetId="7">#REF!</definedName>
    <definedName name="CE_Likely2Impact" localSheetId="8">#REF!</definedName>
    <definedName name="CE_Likely2Impact" localSheetId="9">#REF!</definedName>
    <definedName name="CE_Likely2Impact" localSheetId="4">#REF!</definedName>
    <definedName name="CE_Likely2Impact" localSheetId="6">#REF!</definedName>
    <definedName name="CE_Likely2Impact">#REF!</definedName>
    <definedName name="CE_SheetCorrect" localSheetId="10">#REF!</definedName>
    <definedName name="CE_SheetCorrect" localSheetId="7">#REF!</definedName>
    <definedName name="CE_SheetCorrect" localSheetId="8">#REF!</definedName>
    <definedName name="CE_SheetCorrect" localSheetId="9">#REF!</definedName>
    <definedName name="CE_SheetCorrect" localSheetId="4">#REF!</definedName>
    <definedName name="CE_SheetCorrect" localSheetId="6">#REF!</definedName>
    <definedName name="CE_SheetCorrect">#REF!</definedName>
    <definedName name="CE_StatementImpact" localSheetId="10">#REF!</definedName>
    <definedName name="CE_StatementImpact" localSheetId="7">#REF!</definedName>
    <definedName name="CE_StatementImpact" localSheetId="8">#REF!</definedName>
    <definedName name="CE_StatementImpact" localSheetId="9">#REF!</definedName>
    <definedName name="CE_StatementImpact" localSheetId="4">#REF!</definedName>
    <definedName name="CE_StatementImpact" localSheetId="6">#REF!</definedName>
    <definedName name="CE_StatementImpact">#REF!</definedName>
    <definedName name="CE_TotalProtection" localSheetId="10">#REF!</definedName>
    <definedName name="CE_TotalProtection" localSheetId="7">#REF!</definedName>
    <definedName name="CE_TotalProtection" localSheetId="8">#REF!</definedName>
    <definedName name="CE_TotalProtection" localSheetId="9">#REF!</definedName>
    <definedName name="CE_TotalProtection" localSheetId="4">#REF!</definedName>
    <definedName name="CE_TotalProtection" localSheetId="6">#REF!</definedName>
    <definedName name="CE_TotalProtection">#REF!</definedName>
    <definedName name="CE_WholeSheet" localSheetId="10">#REF!</definedName>
    <definedName name="CE_WholeSheet" localSheetId="7">#REF!</definedName>
    <definedName name="CE_WholeSheet" localSheetId="8">#REF!</definedName>
    <definedName name="CE_WholeSheet" localSheetId="9">#REF!</definedName>
    <definedName name="CE_WholeSheet" localSheetId="4">#REF!</definedName>
    <definedName name="CE_WholeSheet" localSheetId="6">#REF!</definedName>
    <definedName name="CE_WholeSheet">#REF!</definedName>
    <definedName name="CE_XF1" localSheetId="10">#REF!</definedName>
    <definedName name="CE_XF1" localSheetId="7">#REF!</definedName>
    <definedName name="CE_XF1" localSheetId="8">#REF!</definedName>
    <definedName name="CE_XF1" localSheetId="9">#REF!</definedName>
    <definedName name="CE_XF1" localSheetId="4">#REF!</definedName>
    <definedName name="CE_XF1" localSheetId="6">#REF!</definedName>
    <definedName name="CE_XF1">#REF!</definedName>
    <definedName name="CE_XF1Rng1" localSheetId="10">#REF!</definedName>
    <definedName name="CE_XF1Rng1" localSheetId="7">#REF!</definedName>
    <definedName name="CE_XF1Rng1" localSheetId="8">#REF!</definedName>
    <definedName name="CE_XF1Rng1" localSheetId="9">#REF!</definedName>
    <definedName name="CE_XF1Rng1" localSheetId="4">#REF!</definedName>
    <definedName name="CE_XF1Rng1" localSheetId="6">#REF!</definedName>
    <definedName name="CE_XF1Rng1">#REF!</definedName>
    <definedName name="CE_XF1Rng2" localSheetId="10">#REF!</definedName>
    <definedName name="CE_XF1Rng2" localSheetId="7">#REF!</definedName>
    <definedName name="CE_XF1Rng2" localSheetId="8">#REF!</definedName>
    <definedName name="CE_XF1Rng2" localSheetId="9">#REF!</definedName>
    <definedName name="CE_XF1Rng2" localSheetId="4">#REF!</definedName>
    <definedName name="CE_XF1Rng2" localSheetId="6">#REF!</definedName>
    <definedName name="CE_XF1Rng2">#REF!</definedName>
    <definedName name="CE_XF2" localSheetId="10">#REF!</definedName>
    <definedName name="CE_XF2" localSheetId="7">#REF!</definedName>
    <definedName name="CE_XF2" localSheetId="8">#REF!</definedName>
    <definedName name="CE_XF2" localSheetId="9">#REF!</definedName>
    <definedName name="CE_XF2" localSheetId="4">#REF!</definedName>
    <definedName name="CE_XF2" localSheetId="6">#REF!</definedName>
    <definedName name="CE_XF2">#REF!</definedName>
    <definedName name="CE_XF2Rng1" localSheetId="10">#REF!</definedName>
    <definedName name="CE_XF2Rng1" localSheetId="7">#REF!</definedName>
    <definedName name="CE_XF2Rng1" localSheetId="8">#REF!</definedName>
    <definedName name="CE_XF2Rng1" localSheetId="9">#REF!</definedName>
    <definedName name="CE_XF2Rng1" localSheetId="4">#REF!</definedName>
    <definedName name="CE_XF2Rng1" localSheetId="6">#REF!</definedName>
    <definedName name="CE_XF2Rng1">#REF!</definedName>
    <definedName name="CE_XF2Rng2" localSheetId="10">#REF!</definedName>
    <definedName name="CE_XF2Rng2" localSheetId="7">#REF!</definedName>
    <definedName name="CE_XF2Rng2" localSheetId="8">#REF!</definedName>
    <definedName name="CE_XF2Rng2" localSheetId="9">#REF!</definedName>
    <definedName name="CE_XF2Rng2" localSheetId="4">#REF!</definedName>
    <definedName name="CE_XF2Rng2" localSheetId="6">#REF!</definedName>
    <definedName name="CE_XF2Rng2">#REF!</definedName>
    <definedName name="CE_XF3" localSheetId="10">#REF!</definedName>
    <definedName name="CE_XF3" localSheetId="7">#REF!</definedName>
    <definedName name="CE_XF3" localSheetId="8">#REF!</definedName>
    <definedName name="CE_XF3" localSheetId="9">#REF!</definedName>
    <definedName name="CE_XF3" localSheetId="4">#REF!</definedName>
    <definedName name="CE_XF3" localSheetId="6">#REF!</definedName>
    <definedName name="CE_XF3">#REF!</definedName>
    <definedName name="CE_XF3Rng1" localSheetId="10">#REF!</definedName>
    <definedName name="CE_XF3Rng1" localSheetId="7">#REF!</definedName>
    <definedName name="CE_XF3Rng1" localSheetId="8">#REF!</definedName>
    <definedName name="CE_XF3Rng1" localSheetId="9">#REF!</definedName>
    <definedName name="CE_XF3Rng1" localSheetId="4">#REF!</definedName>
    <definedName name="CE_XF3Rng1" localSheetId="6">#REF!</definedName>
    <definedName name="CE_XF3Rng1">#REF!</definedName>
    <definedName name="CE_XF3Rng2" localSheetId="10">#REF!</definedName>
    <definedName name="CE_XF3Rng2" localSheetId="7">#REF!</definedName>
    <definedName name="CE_XF3Rng2" localSheetId="8">#REF!</definedName>
    <definedName name="CE_XF3Rng2" localSheetId="9">#REF!</definedName>
    <definedName name="CE_XF3Rng2" localSheetId="4">#REF!</definedName>
    <definedName name="CE_XF3Rng2" localSheetId="6">#REF!</definedName>
    <definedName name="CE_XF3Rng2">#REF!</definedName>
    <definedName name="ChecklistQuestion1" localSheetId="10">#REF!</definedName>
    <definedName name="ChecklistQuestion1" localSheetId="7">#REF!</definedName>
    <definedName name="ChecklistQuestion1" localSheetId="8">#REF!</definedName>
    <definedName name="ChecklistQuestion1" localSheetId="9">#REF!</definedName>
    <definedName name="ChecklistQuestion1" localSheetId="4">#REF!</definedName>
    <definedName name="ChecklistQuestion1" localSheetId="6">#REF!</definedName>
    <definedName name="ChecklistQuestion1">#REF!</definedName>
    <definedName name="ChecklistQuestion2" localSheetId="10">#REF!</definedName>
    <definedName name="ChecklistQuestion2" localSheetId="7">#REF!</definedName>
    <definedName name="ChecklistQuestion2" localSheetId="8">#REF!</definedName>
    <definedName name="ChecklistQuestion2" localSheetId="9">#REF!</definedName>
    <definedName name="ChecklistQuestion2" localSheetId="4">#REF!</definedName>
    <definedName name="ChecklistQuestion2" localSheetId="6">#REF!</definedName>
    <definedName name="ChecklistQuestion2">#REF!</definedName>
    <definedName name="ChecklistQuestion3" localSheetId="10">#REF!</definedName>
    <definedName name="ChecklistQuestion3" localSheetId="7">#REF!</definedName>
    <definedName name="ChecklistQuestion3" localSheetId="8">#REF!</definedName>
    <definedName name="ChecklistQuestion3" localSheetId="9">#REF!</definedName>
    <definedName name="ChecklistQuestion3" localSheetId="4">#REF!</definedName>
    <definedName name="ChecklistQuestion3" localSheetId="6">#REF!</definedName>
    <definedName name="ChecklistQuestion3">#REF!</definedName>
    <definedName name="Conclusions1" localSheetId="10">#REF!</definedName>
    <definedName name="Conclusions1" localSheetId="7">#REF!</definedName>
    <definedName name="Conclusions1" localSheetId="8">#REF!</definedName>
    <definedName name="Conclusions1" localSheetId="9">#REF!</definedName>
    <definedName name="Conclusions1" localSheetId="4">#REF!</definedName>
    <definedName name="Conclusions1" localSheetId="6">#REF!</definedName>
    <definedName name="Conclusions1">#REF!</definedName>
    <definedName name="Conclusions2" localSheetId="10">#REF!</definedName>
    <definedName name="Conclusions2" localSheetId="7">#REF!</definedName>
    <definedName name="Conclusions2" localSheetId="8">#REF!</definedName>
    <definedName name="Conclusions2" localSheetId="9">#REF!</definedName>
    <definedName name="Conclusions2" localSheetId="4">#REF!</definedName>
    <definedName name="Conclusions2" localSheetId="6">#REF!</definedName>
    <definedName name="Conclusions2">#REF!</definedName>
    <definedName name="Conclusions3" localSheetId="10">#REF!</definedName>
    <definedName name="Conclusions3" localSheetId="7">#REF!</definedName>
    <definedName name="Conclusions3" localSheetId="8">#REF!</definedName>
    <definedName name="Conclusions3" localSheetId="9">#REF!</definedName>
    <definedName name="Conclusions3" localSheetId="4">#REF!</definedName>
    <definedName name="Conclusions3" localSheetId="6">#REF!</definedName>
    <definedName name="Conclusions3">#REF!</definedName>
    <definedName name="Conclusions4" localSheetId="10">#REF!</definedName>
    <definedName name="Conclusions4" localSheetId="7">#REF!</definedName>
    <definedName name="Conclusions4" localSheetId="8">#REF!</definedName>
    <definedName name="Conclusions4" localSheetId="9">#REF!</definedName>
    <definedName name="Conclusions4" localSheetId="4">#REF!</definedName>
    <definedName name="Conclusions4" localSheetId="6">#REF!</definedName>
    <definedName name="Conclusions4">#REF!</definedName>
    <definedName name="CorrectKey" localSheetId="10">#REF!</definedName>
    <definedName name="CorrectKey" localSheetId="7">#REF!</definedName>
    <definedName name="CorrectKey" localSheetId="8">#REF!</definedName>
    <definedName name="CorrectKey" localSheetId="9">#REF!</definedName>
    <definedName name="CorrectKey" localSheetId="4">#REF!</definedName>
    <definedName name="CorrectKey" localSheetId="6">#REF!</definedName>
    <definedName name="CorrectKey">#REF!</definedName>
    <definedName name="Current_Year_Known_and_Likely_Misstatements" localSheetId="10">#REF!</definedName>
    <definedName name="Current_Year_Known_and_Likely_Misstatements" localSheetId="7">#REF!</definedName>
    <definedName name="Current_Year_Known_and_Likely_Misstatements" localSheetId="8">#REF!</definedName>
    <definedName name="Current_Year_Known_and_Likely_Misstatements" localSheetId="9">#REF!</definedName>
    <definedName name="Current_Year_Known_and_Likely_Misstatements" localSheetId="4">#REF!</definedName>
    <definedName name="Current_Year_Known_and_Likely_Misstatements" localSheetId="6">#REF!</definedName>
    <definedName name="Current_Year_Known_and_Likely_Misstatements">#REF!</definedName>
    <definedName name="CY_all_Assets" localSheetId="10">#REF!</definedName>
    <definedName name="CY_all_Assets" localSheetId="7">#REF!</definedName>
    <definedName name="CY_all_Assets" localSheetId="8">#REF!</definedName>
    <definedName name="CY_all_Assets" localSheetId="9">#REF!</definedName>
    <definedName name="CY_all_Assets" localSheetId="4">#REF!</definedName>
    <definedName name="CY_all_Assets" localSheetId="6">#REF!</definedName>
    <definedName name="CY_all_Assets">#REF!</definedName>
    <definedName name="CY_all_Equity" localSheetId="10">#REF!</definedName>
    <definedName name="CY_all_Equity" localSheetId="7">#REF!</definedName>
    <definedName name="CY_all_Equity" localSheetId="8">#REF!</definedName>
    <definedName name="CY_all_Equity" localSheetId="9">#REF!</definedName>
    <definedName name="CY_all_Equity" localSheetId="4">#REF!</definedName>
    <definedName name="CY_all_Equity" localSheetId="6">#REF!</definedName>
    <definedName name="CY_all_Equity">#REF!</definedName>
    <definedName name="CY_all_Income" localSheetId="10">#REF!</definedName>
    <definedName name="CY_all_Income" localSheetId="7">#REF!</definedName>
    <definedName name="CY_all_Income" localSheetId="8">#REF!</definedName>
    <definedName name="CY_all_Income" localSheetId="9">#REF!</definedName>
    <definedName name="CY_all_Income" localSheetId="4">#REF!</definedName>
    <definedName name="CY_all_Income" localSheetId="6">#REF!</definedName>
    <definedName name="CY_all_Income">#REF!</definedName>
    <definedName name="CY_all_Liabs" localSheetId="10">#REF!</definedName>
    <definedName name="CY_all_Liabs" localSheetId="7">#REF!</definedName>
    <definedName name="CY_all_Liabs" localSheetId="8">#REF!</definedName>
    <definedName name="CY_all_Liabs" localSheetId="9">#REF!</definedName>
    <definedName name="CY_all_Liabs" localSheetId="4">#REF!</definedName>
    <definedName name="CY_all_Liabs" localSheetId="6">#REF!</definedName>
    <definedName name="CY_all_Liabs">#REF!</definedName>
    <definedName name="CY_all_RetEarn_bf" localSheetId="10">#REF!</definedName>
    <definedName name="CY_all_RetEarn_bf" localSheetId="7">#REF!</definedName>
    <definedName name="CY_all_RetEarn_bf" localSheetId="8">#REF!</definedName>
    <definedName name="CY_all_RetEarn_bf" localSheetId="9">#REF!</definedName>
    <definedName name="CY_all_RetEarn_bf" localSheetId="4">#REF!</definedName>
    <definedName name="CY_all_RetEarn_bf" localSheetId="6">#REF!</definedName>
    <definedName name="CY_all_RetEarn_bf">#REF!</definedName>
    <definedName name="CY_knw_Assets" localSheetId="10">#REF!</definedName>
    <definedName name="CY_knw_Assets" localSheetId="7">#REF!</definedName>
    <definedName name="CY_knw_Assets" localSheetId="8">#REF!</definedName>
    <definedName name="CY_knw_Assets" localSheetId="9">#REF!</definedName>
    <definedName name="CY_knw_Assets" localSheetId="4">#REF!</definedName>
    <definedName name="CY_knw_Assets" localSheetId="6">#REF!</definedName>
    <definedName name="CY_knw_Assets">#REF!</definedName>
    <definedName name="CY_knw_Equity" localSheetId="10">#REF!</definedName>
    <definedName name="CY_knw_Equity" localSheetId="7">#REF!</definedName>
    <definedName name="CY_knw_Equity" localSheetId="8">#REF!</definedName>
    <definedName name="CY_knw_Equity" localSheetId="9">#REF!</definedName>
    <definedName name="CY_knw_Equity" localSheetId="4">#REF!</definedName>
    <definedName name="CY_knw_Equity" localSheetId="6">#REF!</definedName>
    <definedName name="CY_knw_Equity">#REF!</definedName>
    <definedName name="CY_knw_Income" localSheetId="10">#REF!</definedName>
    <definedName name="CY_knw_Income" localSheetId="7">#REF!</definedName>
    <definedName name="CY_knw_Income" localSheetId="8">#REF!</definedName>
    <definedName name="CY_knw_Income" localSheetId="9">#REF!</definedName>
    <definedName name="CY_knw_Income" localSheetId="4">#REF!</definedName>
    <definedName name="CY_knw_Income" localSheetId="6">#REF!</definedName>
    <definedName name="CY_knw_Income">#REF!</definedName>
    <definedName name="CY_knw_Liabs" localSheetId="10">#REF!</definedName>
    <definedName name="CY_knw_Liabs" localSheetId="7">#REF!</definedName>
    <definedName name="CY_knw_Liabs" localSheetId="8">#REF!</definedName>
    <definedName name="CY_knw_Liabs" localSheetId="9">#REF!</definedName>
    <definedName name="CY_knw_Liabs" localSheetId="4">#REF!</definedName>
    <definedName name="CY_knw_Liabs" localSheetId="6">#REF!</definedName>
    <definedName name="CY_knw_Liabs">#REF!</definedName>
    <definedName name="CY_knw_RetEarn_bf" localSheetId="10">#REF!</definedName>
    <definedName name="CY_knw_RetEarn_bf" localSheetId="7">#REF!</definedName>
    <definedName name="CY_knw_RetEarn_bf" localSheetId="8">#REF!</definedName>
    <definedName name="CY_knw_RetEarn_bf" localSheetId="9">#REF!</definedName>
    <definedName name="CY_knw_RetEarn_bf" localSheetId="4">#REF!</definedName>
    <definedName name="CY_knw_RetEarn_bf" localSheetId="6">#REF!</definedName>
    <definedName name="CY_knw_RetEarn_bf">#REF!</definedName>
    <definedName name="CY_lik_Assets" localSheetId="10">#REF!</definedName>
    <definedName name="CY_lik_Assets" localSheetId="7">#REF!</definedName>
    <definedName name="CY_lik_Assets" localSheetId="8">#REF!</definedName>
    <definedName name="CY_lik_Assets" localSheetId="9">#REF!</definedName>
    <definedName name="CY_lik_Assets" localSheetId="4">#REF!</definedName>
    <definedName name="CY_lik_Assets" localSheetId="6">#REF!</definedName>
    <definedName name="CY_lik_Assets">#REF!</definedName>
    <definedName name="CY_lik_Assets_ex" localSheetId="10">#REF!</definedName>
    <definedName name="CY_lik_Assets_ex" localSheetId="7">#REF!</definedName>
    <definedName name="CY_lik_Assets_ex" localSheetId="8">#REF!</definedName>
    <definedName name="CY_lik_Assets_ex" localSheetId="9">#REF!</definedName>
    <definedName name="CY_lik_Assets_ex" localSheetId="4">#REF!</definedName>
    <definedName name="CY_lik_Assets_ex" localSheetId="6">#REF!</definedName>
    <definedName name="CY_lik_Assets_ex">#REF!</definedName>
    <definedName name="CY_lik_Assets_ext" localSheetId="10">#REF!</definedName>
    <definedName name="CY_lik_Assets_ext" localSheetId="7">#REF!</definedName>
    <definedName name="CY_lik_Assets_ext" localSheetId="8">#REF!</definedName>
    <definedName name="CY_lik_Assets_ext" localSheetId="9">#REF!</definedName>
    <definedName name="CY_lik_Assets_ext" localSheetId="4">#REF!</definedName>
    <definedName name="CY_lik_Assets_ext" localSheetId="6">#REF!</definedName>
    <definedName name="CY_lik_Assets_ext">#REF!</definedName>
    <definedName name="CY_lik_Equity" localSheetId="10">#REF!</definedName>
    <definedName name="CY_lik_Equity" localSheetId="7">#REF!</definedName>
    <definedName name="CY_lik_Equity" localSheetId="8">#REF!</definedName>
    <definedName name="CY_lik_Equity" localSheetId="9">#REF!</definedName>
    <definedName name="CY_lik_Equity" localSheetId="4">#REF!</definedName>
    <definedName name="CY_lik_Equity" localSheetId="6">#REF!</definedName>
    <definedName name="CY_lik_Equity">#REF!</definedName>
    <definedName name="CY_lik_Equity_eX" localSheetId="10">#REF!</definedName>
    <definedName name="CY_lik_Equity_eX" localSheetId="7">#REF!</definedName>
    <definedName name="CY_lik_Equity_eX" localSheetId="8">#REF!</definedName>
    <definedName name="CY_lik_Equity_eX" localSheetId="9">#REF!</definedName>
    <definedName name="CY_lik_Equity_eX" localSheetId="4">#REF!</definedName>
    <definedName name="CY_lik_Equity_eX" localSheetId="6">#REF!</definedName>
    <definedName name="CY_lik_Equity_eX">#REF!</definedName>
    <definedName name="CY_lik_Equity_eXt" localSheetId="10">#REF!</definedName>
    <definedName name="CY_lik_Equity_eXt" localSheetId="7">#REF!</definedName>
    <definedName name="CY_lik_Equity_eXt" localSheetId="8">#REF!</definedName>
    <definedName name="CY_lik_Equity_eXt" localSheetId="9">#REF!</definedName>
    <definedName name="CY_lik_Equity_eXt" localSheetId="4">#REF!</definedName>
    <definedName name="CY_lik_Equity_eXt" localSheetId="6">#REF!</definedName>
    <definedName name="CY_lik_Equity_eXt">#REF!</definedName>
    <definedName name="CY_lik_Income" localSheetId="10">#REF!</definedName>
    <definedName name="CY_lik_Income" localSheetId="7">#REF!</definedName>
    <definedName name="CY_lik_Income" localSheetId="8">#REF!</definedName>
    <definedName name="CY_lik_Income" localSheetId="9">#REF!</definedName>
    <definedName name="CY_lik_Income" localSheetId="4">#REF!</definedName>
    <definedName name="CY_lik_Income" localSheetId="6">#REF!</definedName>
    <definedName name="CY_lik_Income">#REF!</definedName>
    <definedName name="CY_lik_Income_Ex" localSheetId="10">#REF!</definedName>
    <definedName name="CY_lik_Income_Ex" localSheetId="7">#REF!</definedName>
    <definedName name="CY_lik_Income_Ex" localSheetId="8">#REF!</definedName>
    <definedName name="CY_lik_Income_Ex" localSheetId="9">#REF!</definedName>
    <definedName name="CY_lik_Income_Ex" localSheetId="4">#REF!</definedName>
    <definedName name="CY_lik_Income_Ex" localSheetId="6">#REF!</definedName>
    <definedName name="CY_lik_Income_Ex">#REF!</definedName>
    <definedName name="CY_lik_Income_Ext" localSheetId="10">#REF!</definedName>
    <definedName name="CY_lik_Income_Ext" localSheetId="7">#REF!</definedName>
    <definedName name="CY_lik_Income_Ext" localSheetId="8">#REF!</definedName>
    <definedName name="CY_lik_Income_Ext" localSheetId="9">#REF!</definedName>
    <definedName name="CY_lik_Income_Ext" localSheetId="4">#REF!</definedName>
    <definedName name="CY_lik_Income_Ext" localSheetId="6">#REF!</definedName>
    <definedName name="CY_lik_Income_Ext">#REF!</definedName>
    <definedName name="CY_lik_Liabs" localSheetId="10">#REF!</definedName>
    <definedName name="CY_lik_Liabs" localSheetId="7">#REF!</definedName>
    <definedName name="CY_lik_Liabs" localSheetId="8">#REF!</definedName>
    <definedName name="CY_lik_Liabs" localSheetId="9">#REF!</definedName>
    <definedName name="CY_lik_Liabs" localSheetId="4">#REF!</definedName>
    <definedName name="CY_lik_Liabs" localSheetId="6">#REF!</definedName>
    <definedName name="CY_lik_Liabs">#REF!</definedName>
    <definedName name="CY_lik_Liabs_EX" localSheetId="10">#REF!</definedName>
    <definedName name="CY_lik_Liabs_EX" localSheetId="7">#REF!</definedName>
    <definedName name="CY_lik_Liabs_EX" localSheetId="8">#REF!</definedName>
    <definedName name="CY_lik_Liabs_EX" localSheetId="9">#REF!</definedName>
    <definedName name="CY_lik_Liabs_EX" localSheetId="4">#REF!</definedName>
    <definedName name="CY_lik_Liabs_EX" localSheetId="6">#REF!</definedName>
    <definedName name="CY_lik_Liabs_EX">#REF!</definedName>
    <definedName name="CY_lik_Liabs_EXt" localSheetId="10">#REF!</definedName>
    <definedName name="CY_lik_Liabs_EXt" localSheetId="7">#REF!</definedName>
    <definedName name="CY_lik_Liabs_EXt" localSheetId="8">#REF!</definedName>
    <definedName name="CY_lik_Liabs_EXt" localSheetId="9">#REF!</definedName>
    <definedName name="CY_lik_Liabs_EXt" localSheetId="4">#REF!</definedName>
    <definedName name="CY_lik_Liabs_EXt" localSheetId="6">#REF!</definedName>
    <definedName name="CY_lik_Liabs_EXt">#REF!</definedName>
    <definedName name="CY_lik_RetEarn_bf" localSheetId="10">#REF!</definedName>
    <definedName name="CY_lik_RetEarn_bf" localSheetId="7">#REF!</definedName>
    <definedName name="CY_lik_RetEarn_bf" localSheetId="8">#REF!</definedName>
    <definedName name="CY_lik_RetEarn_bf" localSheetId="9">#REF!</definedName>
    <definedName name="CY_lik_RetEarn_bf" localSheetId="4">#REF!</definedName>
    <definedName name="CY_lik_RetEarn_bf" localSheetId="6">#REF!</definedName>
    <definedName name="CY_lik_RetEarn_bf">#REF!</definedName>
    <definedName name="CY_tx_all_Equity" localSheetId="10">#REF!</definedName>
    <definedName name="CY_tx_all_Equity" localSheetId="7">#REF!</definedName>
    <definedName name="CY_tx_all_Equity" localSheetId="8">#REF!</definedName>
    <definedName name="CY_tx_all_Equity" localSheetId="9">#REF!</definedName>
    <definedName name="CY_tx_all_Equity" localSheetId="4">#REF!</definedName>
    <definedName name="CY_tx_all_Equity" localSheetId="6">#REF!</definedName>
    <definedName name="CY_tx_all_Equity">#REF!</definedName>
    <definedName name="CY_tx_all_Income" localSheetId="10">#REF!</definedName>
    <definedName name="CY_tx_all_Income" localSheetId="7">#REF!</definedName>
    <definedName name="CY_tx_all_Income" localSheetId="8">#REF!</definedName>
    <definedName name="CY_tx_all_Income" localSheetId="9">#REF!</definedName>
    <definedName name="CY_tx_all_Income" localSheetId="4">#REF!</definedName>
    <definedName name="CY_tx_all_Income" localSheetId="6">#REF!</definedName>
    <definedName name="CY_tx_all_Income">#REF!</definedName>
    <definedName name="CY_tx_all_Liabs" localSheetId="10">#REF!</definedName>
    <definedName name="CY_tx_all_Liabs" localSheetId="7">#REF!</definedName>
    <definedName name="CY_tx_all_Liabs" localSheetId="8">#REF!</definedName>
    <definedName name="CY_tx_all_Liabs" localSheetId="9">#REF!</definedName>
    <definedName name="CY_tx_all_Liabs" localSheetId="4">#REF!</definedName>
    <definedName name="CY_tx_all_Liabs" localSheetId="6">#REF!</definedName>
    <definedName name="CY_tx_all_Liabs">#REF!</definedName>
    <definedName name="CY_tx_all_RetEarn_bf" localSheetId="10">#REF!</definedName>
    <definedName name="CY_tx_all_RetEarn_bf" localSheetId="7">#REF!</definedName>
    <definedName name="CY_tx_all_RetEarn_bf" localSheetId="8">#REF!</definedName>
    <definedName name="CY_tx_all_RetEarn_bf" localSheetId="9">#REF!</definedName>
    <definedName name="CY_tx_all_RetEarn_bf" localSheetId="4">#REF!</definedName>
    <definedName name="CY_tx_all_RetEarn_bf" localSheetId="6">#REF!</definedName>
    <definedName name="CY_tx_all_RetEarn_bf">#REF!</definedName>
    <definedName name="CY_tx_knw_Equity" localSheetId="10">#REF!</definedName>
    <definedName name="CY_tx_knw_Equity" localSheetId="7">#REF!</definedName>
    <definedName name="CY_tx_knw_Equity" localSheetId="8">#REF!</definedName>
    <definedName name="CY_tx_knw_Equity" localSheetId="9">#REF!</definedName>
    <definedName name="CY_tx_knw_Equity" localSheetId="4">#REF!</definedName>
    <definedName name="CY_tx_knw_Equity" localSheetId="6">#REF!</definedName>
    <definedName name="CY_tx_knw_Equity">#REF!</definedName>
    <definedName name="CY_tx_knw_Income" localSheetId="10">#REF!</definedName>
    <definedName name="CY_tx_knw_Income" localSheetId="7">#REF!</definedName>
    <definedName name="CY_tx_knw_Income" localSheetId="8">#REF!</definedName>
    <definedName name="CY_tx_knw_Income" localSheetId="9">#REF!</definedName>
    <definedName name="CY_tx_knw_Income" localSheetId="4">#REF!</definedName>
    <definedName name="CY_tx_knw_Income" localSheetId="6">#REF!</definedName>
    <definedName name="CY_tx_knw_Income">#REF!</definedName>
    <definedName name="CY_tx_knw_Liabs" localSheetId="10">#REF!</definedName>
    <definedName name="CY_tx_knw_Liabs" localSheetId="7">#REF!</definedName>
    <definedName name="CY_tx_knw_Liabs" localSheetId="8">#REF!</definedName>
    <definedName name="CY_tx_knw_Liabs" localSheetId="9">#REF!</definedName>
    <definedName name="CY_tx_knw_Liabs" localSheetId="4">#REF!</definedName>
    <definedName name="CY_tx_knw_Liabs" localSheetId="6">#REF!</definedName>
    <definedName name="CY_tx_knw_Liabs">#REF!</definedName>
    <definedName name="CY_tx_knw_RetEarn_bf" localSheetId="10">#REF!</definedName>
    <definedName name="CY_tx_knw_RetEarn_bf" localSheetId="7">#REF!</definedName>
    <definedName name="CY_tx_knw_RetEarn_bf" localSheetId="8">#REF!</definedName>
    <definedName name="CY_tx_knw_RetEarn_bf" localSheetId="9">#REF!</definedName>
    <definedName name="CY_tx_knw_RetEarn_bf" localSheetId="4">#REF!</definedName>
    <definedName name="CY_tx_knw_RetEarn_bf" localSheetId="6">#REF!</definedName>
    <definedName name="CY_tx_knw_RetEarn_bf">#REF!</definedName>
    <definedName name="CY_tx_lik_Equity" localSheetId="10">#REF!</definedName>
    <definedName name="CY_tx_lik_Equity" localSheetId="7">#REF!</definedName>
    <definedName name="CY_tx_lik_Equity" localSheetId="8">#REF!</definedName>
    <definedName name="CY_tx_lik_Equity" localSheetId="9">#REF!</definedName>
    <definedName name="CY_tx_lik_Equity" localSheetId="4">#REF!</definedName>
    <definedName name="CY_tx_lik_Equity" localSheetId="6">#REF!</definedName>
    <definedName name="CY_tx_lik_Equity">#REF!</definedName>
    <definedName name="CY_tx_lik_Equity_ex" localSheetId="10">#REF!</definedName>
    <definedName name="CY_tx_lik_Equity_ex" localSheetId="7">#REF!</definedName>
    <definedName name="CY_tx_lik_Equity_ex" localSheetId="8">#REF!</definedName>
    <definedName name="CY_tx_lik_Equity_ex" localSheetId="9">#REF!</definedName>
    <definedName name="CY_tx_lik_Equity_ex" localSheetId="4">#REF!</definedName>
    <definedName name="CY_tx_lik_Equity_ex" localSheetId="6">#REF!</definedName>
    <definedName name="CY_tx_lik_Equity_ex">#REF!</definedName>
    <definedName name="CY_tx_lik_Equity_ext" localSheetId="10">#REF!</definedName>
    <definedName name="CY_tx_lik_Equity_ext" localSheetId="7">#REF!</definedName>
    <definedName name="CY_tx_lik_Equity_ext" localSheetId="8">#REF!</definedName>
    <definedName name="CY_tx_lik_Equity_ext" localSheetId="9">#REF!</definedName>
    <definedName name="CY_tx_lik_Equity_ext" localSheetId="4">#REF!</definedName>
    <definedName name="CY_tx_lik_Equity_ext" localSheetId="6">#REF!</definedName>
    <definedName name="CY_tx_lik_Equity_ext">#REF!</definedName>
    <definedName name="CY_tx_lik_Income" localSheetId="10">#REF!</definedName>
    <definedName name="CY_tx_lik_Income" localSheetId="7">#REF!</definedName>
    <definedName name="CY_tx_lik_Income" localSheetId="8">#REF!</definedName>
    <definedName name="CY_tx_lik_Income" localSheetId="9">#REF!</definedName>
    <definedName name="CY_tx_lik_Income" localSheetId="4">#REF!</definedName>
    <definedName name="CY_tx_lik_Income" localSheetId="6">#REF!</definedName>
    <definedName name="CY_tx_lik_Income">#REF!</definedName>
    <definedName name="CY_tx_lik_Income_ex" localSheetId="10">#REF!</definedName>
    <definedName name="CY_tx_lik_Income_ex" localSheetId="7">#REF!</definedName>
    <definedName name="CY_tx_lik_Income_ex" localSheetId="8">#REF!</definedName>
    <definedName name="CY_tx_lik_Income_ex" localSheetId="9">#REF!</definedName>
    <definedName name="CY_tx_lik_Income_ex" localSheetId="4">#REF!</definedName>
    <definedName name="CY_tx_lik_Income_ex" localSheetId="6">#REF!</definedName>
    <definedName name="CY_tx_lik_Income_ex">#REF!</definedName>
    <definedName name="CY_tx_lik_Income_ext" localSheetId="10">#REF!</definedName>
    <definedName name="CY_tx_lik_Income_ext" localSheetId="7">#REF!</definedName>
    <definedName name="CY_tx_lik_Income_ext" localSheetId="8">#REF!</definedName>
    <definedName name="CY_tx_lik_Income_ext" localSheetId="9">#REF!</definedName>
    <definedName name="CY_tx_lik_Income_ext" localSheetId="4">#REF!</definedName>
    <definedName name="CY_tx_lik_Income_ext" localSheetId="6">#REF!</definedName>
    <definedName name="CY_tx_lik_Income_ext">#REF!</definedName>
    <definedName name="CY_tx_lik_Liabs" localSheetId="10">#REF!</definedName>
    <definedName name="CY_tx_lik_Liabs" localSheetId="7">#REF!</definedName>
    <definedName name="CY_tx_lik_Liabs" localSheetId="8">#REF!</definedName>
    <definedName name="CY_tx_lik_Liabs" localSheetId="9">#REF!</definedName>
    <definedName name="CY_tx_lik_Liabs" localSheetId="4">#REF!</definedName>
    <definedName name="CY_tx_lik_Liabs" localSheetId="6">#REF!</definedName>
    <definedName name="CY_tx_lik_Liabs">#REF!</definedName>
    <definedName name="CY_tx_lik_Liabs_ex" localSheetId="10">#REF!</definedName>
    <definedName name="CY_tx_lik_Liabs_ex" localSheetId="7">#REF!</definedName>
    <definedName name="CY_tx_lik_Liabs_ex" localSheetId="8">#REF!</definedName>
    <definedName name="CY_tx_lik_Liabs_ex" localSheetId="9">#REF!</definedName>
    <definedName name="CY_tx_lik_Liabs_ex" localSheetId="4">#REF!</definedName>
    <definedName name="CY_tx_lik_Liabs_ex" localSheetId="6">#REF!</definedName>
    <definedName name="CY_tx_lik_Liabs_ex">#REF!</definedName>
    <definedName name="CY_tx_lik_Liabs_ext" localSheetId="10">#REF!</definedName>
    <definedName name="CY_tx_lik_Liabs_ext" localSheetId="7">#REF!</definedName>
    <definedName name="CY_tx_lik_Liabs_ext" localSheetId="8">#REF!</definedName>
    <definedName name="CY_tx_lik_Liabs_ext" localSheetId="9">#REF!</definedName>
    <definedName name="CY_tx_lik_Liabs_ext" localSheetId="4">#REF!</definedName>
    <definedName name="CY_tx_lik_Liabs_ext" localSheetId="6">#REF!</definedName>
    <definedName name="CY_tx_lik_Liabs_ext">#REF!</definedName>
    <definedName name="CY_tx_lik_RetEarn_bf" localSheetId="10">#REF!</definedName>
    <definedName name="CY_tx_lik_RetEarn_bf" localSheetId="7">#REF!</definedName>
    <definedName name="CY_tx_lik_RetEarn_bf" localSheetId="8">#REF!</definedName>
    <definedName name="CY_tx_lik_RetEarn_bf" localSheetId="9">#REF!</definedName>
    <definedName name="CY_tx_lik_RetEarn_bf" localSheetId="4">#REF!</definedName>
    <definedName name="CY_tx_lik_RetEarn_bf" localSheetId="6">#REF!</definedName>
    <definedName name="CY_tx_lik_RetEarn_bf">#REF!</definedName>
    <definedName name="CY_tx_lik_RetEarn_bf_ex" localSheetId="10">#REF!</definedName>
    <definedName name="CY_tx_lik_RetEarn_bf_ex" localSheetId="7">#REF!</definedName>
    <definedName name="CY_tx_lik_RetEarn_bf_ex" localSheetId="8">#REF!</definedName>
    <definedName name="CY_tx_lik_RetEarn_bf_ex" localSheetId="9">#REF!</definedName>
    <definedName name="CY_tx_lik_RetEarn_bf_ex" localSheetId="4">#REF!</definedName>
    <definedName name="CY_tx_lik_RetEarn_bf_ex" localSheetId="6">#REF!</definedName>
    <definedName name="CY_tx_lik_RetEarn_bf_ex">#REF!</definedName>
    <definedName name="CY_tx_lik_RetEarn_bf_ext" localSheetId="10">#REF!</definedName>
    <definedName name="CY_tx_lik_RetEarn_bf_ext" localSheetId="7">#REF!</definedName>
    <definedName name="CY_tx_lik_RetEarn_bf_ext" localSheetId="8">#REF!</definedName>
    <definedName name="CY_tx_lik_RetEarn_bf_ext" localSheetId="9">#REF!</definedName>
    <definedName name="CY_tx_lik_RetEarn_bf_ext" localSheetId="4">#REF!</definedName>
    <definedName name="CY_tx_lik_RetEarn_bf_ext" localSheetId="6">#REF!</definedName>
    <definedName name="CY_tx_lik_RetEarn_bf_ext">#REF!</definedName>
    <definedName name="_xlnm.Database" localSheetId="10">#REF!</definedName>
    <definedName name="_xlnm.Database" localSheetId="7">#REF!</definedName>
    <definedName name="_xlnm.Database" localSheetId="8">#REF!</definedName>
    <definedName name="_xlnm.Database" localSheetId="9">#REF!</definedName>
    <definedName name="_xlnm.Database" localSheetId="4">#REF!</definedName>
    <definedName name="_xlnm.Database" localSheetId="6">#REF!</definedName>
    <definedName name="_xlnm.Database">#REF!</definedName>
    <definedName name="DEX" localSheetId="10" hidden="1">#REF!</definedName>
    <definedName name="DEX" localSheetId="7" hidden="1">#REF!</definedName>
    <definedName name="DEX" localSheetId="8" hidden="1">#REF!</definedName>
    <definedName name="DEX" localSheetId="9" hidden="1">#REF!</definedName>
    <definedName name="DEX" localSheetId="4" hidden="1">#REF!</definedName>
    <definedName name="DEX" localSheetId="5" hidden="1">#REF!</definedName>
    <definedName name="DEX" localSheetId="6" hidden="1">#REF!</definedName>
    <definedName name="DEX" hidden="1">#REF!</definedName>
    <definedName name="EDC" localSheetId="10" hidden="1">#REF!</definedName>
    <definedName name="EDC" localSheetId="7" hidden="1">#REF!</definedName>
    <definedName name="EDC" localSheetId="8" hidden="1">#REF!</definedName>
    <definedName name="EDC" localSheetId="9" hidden="1">#REF!</definedName>
    <definedName name="EDC" localSheetId="4" hidden="1">#REF!</definedName>
    <definedName name="EDC" localSheetId="5" hidden="1">#REF!</definedName>
    <definedName name="EDC" localSheetId="6" hidden="1">#REF!</definedName>
    <definedName name="EDC" hidden="1">#REF!</definedName>
    <definedName name="Effective_Tax_Rate" localSheetId="10">#REF!</definedName>
    <definedName name="Effective_Tax_Rate" localSheetId="7">#REF!</definedName>
    <definedName name="Effective_Tax_Rate" localSheetId="8">#REF!</definedName>
    <definedName name="Effective_Tax_Rate" localSheetId="9">#REF!</definedName>
    <definedName name="Effective_Tax_Rate" localSheetId="4">#REF!</definedName>
    <definedName name="Effective_Tax_Rate" localSheetId="6">#REF!</definedName>
    <definedName name="Effective_Tax_Rate">#REF!</definedName>
    <definedName name="FAD" localSheetId="10" hidden="1">[2]Breakdown!#REF!</definedName>
    <definedName name="FAD" localSheetId="7" hidden="1">[2]Breakdown!#REF!</definedName>
    <definedName name="FAD" localSheetId="8" hidden="1">[2]Breakdown!#REF!</definedName>
    <definedName name="FAD" localSheetId="9" hidden="1">[2]Breakdown!#REF!</definedName>
    <definedName name="FAD" localSheetId="4" hidden="1">[2]Breakdown!#REF!</definedName>
    <definedName name="FAD" localSheetId="5" hidden="1">[2]Breakdown!#REF!</definedName>
    <definedName name="FAD" localSheetId="6" hidden="1">[2]Breakdown!#REF!</definedName>
    <definedName name="FAD" hidden="1">[2]Breakdown!#REF!</definedName>
    <definedName name="FASD" localSheetId="10" hidden="1">#REF!</definedName>
    <definedName name="FASD" localSheetId="7" hidden="1">#REF!</definedName>
    <definedName name="FASD" localSheetId="8" hidden="1">#REF!</definedName>
    <definedName name="FASD" localSheetId="9" hidden="1">#REF!</definedName>
    <definedName name="FASD" localSheetId="4" hidden="1">#REF!</definedName>
    <definedName name="FASD" localSheetId="5" hidden="1">#REF!</definedName>
    <definedName name="FASD" localSheetId="6" hidden="1">#REF!</definedName>
    <definedName name="FASD" hidden="1">#REF!</definedName>
    <definedName name="FEDC" localSheetId="10" hidden="1">'[3]2004'!#REF!</definedName>
    <definedName name="FEDC" localSheetId="7" hidden="1">'[3]2004'!#REF!</definedName>
    <definedName name="FEDC" localSheetId="8" hidden="1">'[3]2004'!#REF!</definedName>
    <definedName name="FEDC" localSheetId="9" hidden="1">'[3]2004'!#REF!</definedName>
    <definedName name="FEDC" localSheetId="4" hidden="1">'[3]2004'!#REF!</definedName>
    <definedName name="FEDC" localSheetId="5" hidden="1">'[3]2004'!#REF!</definedName>
    <definedName name="FEDC" localSheetId="6" hidden="1">'[3]2004'!#REF!</definedName>
    <definedName name="FEDC" hidden="1">'[3]2004'!#REF!</definedName>
    <definedName name="ffd">[1]企业表一!$E$20</definedName>
    <definedName name="Known" localSheetId="10">#REF!</definedName>
    <definedName name="Known" localSheetId="7">#REF!</definedName>
    <definedName name="Known" localSheetId="8">#REF!</definedName>
    <definedName name="Known" localSheetId="9">#REF!</definedName>
    <definedName name="Known" localSheetId="4">#REF!</definedName>
    <definedName name="Known" localSheetId="6">#REF!</definedName>
    <definedName name="Known">#REF!</definedName>
    <definedName name="KnownTable" localSheetId="10">#REF!</definedName>
    <definedName name="KnownTable" localSheetId="7">#REF!</definedName>
    <definedName name="KnownTable" localSheetId="8">#REF!</definedName>
    <definedName name="KnownTable" localSheetId="9">#REF!</definedName>
    <definedName name="KnownTable" localSheetId="4">#REF!</definedName>
    <definedName name="KnownTable" localSheetId="6">#REF!</definedName>
    <definedName name="KnownTable">#REF!</definedName>
    <definedName name="KnownTitle" localSheetId="10">#REF!</definedName>
    <definedName name="KnownTitle" localSheetId="7">#REF!</definedName>
    <definedName name="KnownTitle" localSheetId="8">#REF!</definedName>
    <definedName name="KnownTitle" localSheetId="9">#REF!</definedName>
    <definedName name="KnownTitle" localSheetId="4">#REF!</definedName>
    <definedName name="KnownTitle" localSheetId="6">#REF!</definedName>
    <definedName name="KnownTitle">#REF!</definedName>
    <definedName name="L" hidden="1">{#N/A,#N/A,FALSE,"BBPREP"}</definedName>
    <definedName name="Likely1" localSheetId="10">#REF!</definedName>
    <definedName name="Likely1" localSheetId="7">#REF!</definedName>
    <definedName name="Likely1" localSheetId="8">#REF!</definedName>
    <definedName name="Likely1" localSheetId="9">#REF!</definedName>
    <definedName name="Likely1" localSheetId="4">#REF!</definedName>
    <definedName name="Likely1" localSheetId="6">#REF!</definedName>
    <definedName name="Likely1">#REF!</definedName>
    <definedName name="Likely2" localSheetId="10">#REF!</definedName>
    <definedName name="Likely2" localSheetId="7">#REF!</definedName>
    <definedName name="Likely2" localSheetId="8">#REF!</definedName>
    <definedName name="Likely2" localSheetId="9">#REF!</definedName>
    <definedName name="Likely2" localSheetId="4">#REF!</definedName>
    <definedName name="Likely2" localSheetId="6">#REF!</definedName>
    <definedName name="Likely2">#REF!</definedName>
    <definedName name="LikelyTable1" localSheetId="10">#REF!</definedName>
    <definedName name="LikelyTable1" localSheetId="7">#REF!</definedName>
    <definedName name="LikelyTable1" localSheetId="8">#REF!</definedName>
    <definedName name="LikelyTable1" localSheetId="9">#REF!</definedName>
    <definedName name="LikelyTable1" localSheetId="4">#REF!</definedName>
    <definedName name="LikelyTable1" localSheetId="6">#REF!</definedName>
    <definedName name="LikelyTable1">#REF!</definedName>
    <definedName name="LikelyTable2" localSheetId="10">#REF!</definedName>
    <definedName name="LikelyTable2" localSheetId="7">#REF!</definedName>
    <definedName name="LikelyTable2" localSheetId="8">#REF!</definedName>
    <definedName name="LikelyTable2" localSheetId="9">#REF!</definedName>
    <definedName name="LikelyTable2" localSheetId="4">#REF!</definedName>
    <definedName name="LikelyTable2" localSheetId="6">#REF!</definedName>
    <definedName name="LikelyTable2">#REF!</definedName>
    <definedName name="LikelyTitle" localSheetId="10">#REF!</definedName>
    <definedName name="LikelyTitle" localSheetId="7">#REF!</definedName>
    <definedName name="LikelyTitle" localSheetId="8">#REF!</definedName>
    <definedName name="LikelyTitle" localSheetId="9">#REF!</definedName>
    <definedName name="LikelyTitle" localSheetId="4">#REF!</definedName>
    <definedName name="LikelyTitle" localSheetId="6">#REF!</definedName>
    <definedName name="LikelyTitle">#REF!</definedName>
    <definedName name="Materiality" localSheetId="10">#REF!</definedName>
    <definedName name="Materiality" localSheetId="7">#REF!</definedName>
    <definedName name="Materiality" localSheetId="8">#REF!</definedName>
    <definedName name="Materiality" localSheetId="9">#REF!</definedName>
    <definedName name="Materiality" localSheetId="4">#REF!</definedName>
    <definedName name="Materiality" localSheetId="6">#REF!</definedName>
    <definedName name="Materiality">#REF!</definedName>
    <definedName name="Monetary_Precision" localSheetId="10">#REF!</definedName>
    <definedName name="Monetary_Precision" localSheetId="7">#REF!</definedName>
    <definedName name="Monetary_Precision" localSheetId="8">#REF!</definedName>
    <definedName name="Monetary_Precision" localSheetId="9">#REF!</definedName>
    <definedName name="Monetary_Precision" localSheetId="4">#REF!</definedName>
    <definedName name="Monetary_Precision" localSheetId="6">#REF!</definedName>
    <definedName name="Monetary_Precision">#REF!</definedName>
    <definedName name="OC_Instruction" localSheetId="10">#REF!</definedName>
    <definedName name="OC_Instruction" localSheetId="7">#REF!</definedName>
    <definedName name="OC_Instruction" localSheetId="8">#REF!</definedName>
    <definedName name="OC_Instruction" localSheetId="9">#REF!</definedName>
    <definedName name="OC_Instruction" localSheetId="4">#REF!</definedName>
    <definedName name="OC_Instruction" localSheetId="6">#REF!</definedName>
    <definedName name="OC_Instruction">#REF!</definedName>
    <definedName name="OLE_LINK1" localSheetId="0">'表头（请先填写）'!$E$2</definedName>
    <definedName name="OtherConditions" localSheetId="10">#REF!</definedName>
    <definedName name="OtherConditions" localSheetId="7">#REF!</definedName>
    <definedName name="OtherConditions" localSheetId="8">#REF!</definedName>
    <definedName name="OtherConditions" localSheetId="9">#REF!</definedName>
    <definedName name="OtherConditions" localSheetId="4">#REF!</definedName>
    <definedName name="OtherConditions" localSheetId="6">#REF!</definedName>
    <definedName name="OtherConditions">#REF!</definedName>
    <definedName name="Pre_tax_materiality" localSheetId="10">#REF!</definedName>
    <definedName name="Pre_tax_materiality" localSheetId="7">#REF!</definedName>
    <definedName name="Pre_tax_materiality" localSheetId="8">#REF!</definedName>
    <definedName name="Pre_tax_materiality" localSheetId="9">#REF!</definedName>
    <definedName name="Pre_tax_materiality" localSheetId="4">#REF!</definedName>
    <definedName name="Pre_tax_materiality" localSheetId="6">#REF!</definedName>
    <definedName name="Pre_tax_materiality">#REF!</definedName>
    <definedName name="Precision" localSheetId="10">#REF!</definedName>
    <definedName name="Precision" localSheetId="7">#REF!</definedName>
    <definedName name="Precision" localSheetId="8">#REF!</definedName>
    <definedName name="Precision" localSheetId="9">#REF!</definedName>
    <definedName name="Precision" localSheetId="4">#REF!</definedName>
    <definedName name="Precision" localSheetId="6">#REF!</definedName>
    <definedName name="Precision">#REF!</definedName>
    <definedName name="_xlnm.Print_Area" localSheetId="10">'参考-简化的追溯调整法（首次执行日）'!$A$1:$I$358</definedName>
    <definedName name="_xlnm.Print_Area" localSheetId="7">'简化的追溯调整法（1）S3-9'!$A$1:$I$55</definedName>
    <definedName name="_xlnm.Print_Area" localSheetId="8">'简化的追溯调整法（2）S3-10'!$A$1:$I$52</definedName>
    <definedName name="_xlnm.Print_Area" localSheetId="9">'简化的追溯调整法（2）S3-10 (2)'!$A$1:$I$53</definedName>
    <definedName name="_xlnm.Print_Area" localSheetId="4">'首次执行新金融工具准则的调整S3-4'!$A$1:$I$213</definedName>
    <definedName name="_xlnm.Print_Area" localSheetId="5">'首次执行新收入准则的调整S3-6'!$A$1:$I$145</definedName>
    <definedName name="_xlnm.Print_Area" localSheetId="6">'首次执行新租赁准则的调整S3-8'!$A$1:$I$100</definedName>
    <definedName name="PY_all_Equity" localSheetId="10">#REF!</definedName>
    <definedName name="PY_all_Equity" localSheetId="7">#REF!</definedName>
    <definedName name="PY_all_Equity" localSheetId="8">#REF!</definedName>
    <definedName name="PY_all_Equity" localSheetId="9">#REF!</definedName>
    <definedName name="PY_all_Equity" localSheetId="4">#REF!</definedName>
    <definedName name="PY_all_Equity" localSheetId="6">#REF!</definedName>
    <definedName name="PY_all_Equity">#REF!</definedName>
    <definedName name="PY_all_Income" localSheetId="10">#REF!</definedName>
    <definedName name="PY_all_Income" localSheetId="7">#REF!</definedName>
    <definedName name="PY_all_Income" localSheetId="8">#REF!</definedName>
    <definedName name="PY_all_Income" localSheetId="9">#REF!</definedName>
    <definedName name="PY_all_Income" localSheetId="4">#REF!</definedName>
    <definedName name="PY_all_Income" localSheetId="6">#REF!</definedName>
    <definedName name="PY_all_Income">#REF!</definedName>
    <definedName name="PY_all_RetEarn" localSheetId="10">#REF!</definedName>
    <definedName name="PY_all_RetEarn" localSheetId="7">#REF!</definedName>
    <definedName name="PY_all_RetEarn" localSheetId="8">#REF!</definedName>
    <definedName name="PY_all_RetEarn" localSheetId="9">#REF!</definedName>
    <definedName name="PY_all_RetEarn" localSheetId="4">#REF!</definedName>
    <definedName name="PY_all_RetEarn" localSheetId="6">#REF!</definedName>
    <definedName name="PY_all_RetEarn">#REF!</definedName>
    <definedName name="PY_knw_Income" localSheetId="10">#REF!</definedName>
    <definedName name="PY_knw_Income" localSheetId="7">#REF!</definedName>
    <definedName name="PY_knw_Income" localSheetId="8">#REF!</definedName>
    <definedName name="PY_knw_Income" localSheetId="9">#REF!</definedName>
    <definedName name="PY_knw_Income" localSheetId="4">#REF!</definedName>
    <definedName name="PY_knw_Income" localSheetId="6">#REF!</definedName>
    <definedName name="PY_knw_Income">#REF!</definedName>
    <definedName name="PY_knw_RetEarn" localSheetId="10">#REF!</definedName>
    <definedName name="PY_knw_RetEarn" localSheetId="7">#REF!</definedName>
    <definedName name="PY_knw_RetEarn" localSheetId="8">#REF!</definedName>
    <definedName name="PY_knw_RetEarn" localSheetId="9">#REF!</definedName>
    <definedName name="PY_knw_RetEarn" localSheetId="4">#REF!</definedName>
    <definedName name="PY_knw_RetEarn" localSheetId="6">#REF!</definedName>
    <definedName name="PY_knw_RetEarn">#REF!</definedName>
    <definedName name="PY_lik_Income" localSheetId="10">#REF!</definedName>
    <definedName name="PY_lik_Income" localSheetId="7">#REF!</definedName>
    <definedName name="PY_lik_Income" localSheetId="8">#REF!</definedName>
    <definedName name="PY_lik_Income" localSheetId="9">#REF!</definedName>
    <definedName name="PY_lik_Income" localSheetId="4">#REF!</definedName>
    <definedName name="PY_lik_Income" localSheetId="6">#REF!</definedName>
    <definedName name="PY_lik_Income">#REF!</definedName>
    <definedName name="PY_lik_RetEarn" localSheetId="10">#REF!</definedName>
    <definedName name="PY_lik_RetEarn" localSheetId="7">#REF!</definedName>
    <definedName name="PY_lik_RetEarn" localSheetId="8">#REF!</definedName>
    <definedName name="PY_lik_RetEarn" localSheetId="9">#REF!</definedName>
    <definedName name="PY_lik_RetEarn" localSheetId="4">#REF!</definedName>
    <definedName name="PY_lik_RetEarn" localSheetId="6">#REF!</definedName>
    <definedName name="PY_lik_RetEarn">#REF!</definedName>
    <definedName name="PY_tot_knw_Xfoot" localSheetId="10">#REF!</definedName>
    <definedName name="PY_tot_knw_Xfoot" localSheetId="7">#REF!</definedName>
    <definedName name="PY_tot_knw_Xfoot" localSheetId="8">#REF!</definedName>
    <definedName name="PY_tot_knw_Xfoot" localSheetId="9">#REF!</definedName>
    <definedName name="PY_tot_knw_Xfoot" localSheetId="4">#REF!</definedName>
    <definedName name="PY_tot_knw_Xfoot" localSheetId="6">#REF!</definedName>
    <definedName name="PY_tot_knw_Xfoot">#REF!</definedName>
    <definedName name="PY_tot_lik_Xfoot" localSheetId="10">#REF!</definedName>
    <definedName name="PY_tot_lik_Xfoot" localSheetId="7">#REF!</definedName>
    <definedName name="PY_tot_lik_Xfoot" localSheetId="8">#REF!</definedName>
    <definedName name="PY_tot_lik_Xfoot" localSheetId="9">#REF!</definedName>
    <definedName name="PY_tot_lik_Xfoot" localSheetId="4">#REF!</definedName>
    <definedName name="PY_tot_lik_Xfoot" localSheetId="6">#REF!</definedName>
    <definedName name="PY_tot_lik_Xfoot">#REF!</definedName>
    <definedName name="PY_tx_all_Income" localSheetId="10">#REF!</definedName>
    <definedName name="PY_tx_all_Income" localSheetId="7">#REF!</definedName>
    <definedName name="PY_tx_all_Income" localSheetId="8">#REF!</definedName>
    <definedName name="PY_tx_all_Income" localSheetId="9">#REF!</definedName>
    <definedName name="PY_tx_all_Income" localSheetId="4">#REF!</definedName>
    <definedName name="PY_tx_all_Income" localSheetId="6">#REF!</definedName>
    <definedName name="PY_tx_all_Income">#REF!</definedName>
    <definedName name="PY_tx_all_RetEarn" localSheetId="10">#REF!</definedName>
    <definedName name="PY_tx_all_RetEarn" localSheetId="7">#REF!</definedName>
    <definedName name="PY_tx_all_RetEarn" localSheetId="8">#REF!</definedName>
    <definedName name="PY_tx_all_RetEarn" localSheetId="9">#REF!</definedName>
    <definedName name="PY_tx_all_RetEarn" localSheetId="4">#REF!</definedName>
    <definedName name="PY_tx_all_RetEarn" localSheetId="6">#REF!</definedName>
    <definedName name="PY_tx_all_RetEarn">#REF!</definedName>
    <definedName name="PY_tx_knw_Income" localSheetId="10">#REF!</definedName>
    <definedName name="PY_tx_knw_Income" localSheetId="7">#REF!</definedName>
    <definedName name="PY_tx_knw_Income" localSheetId="8">#REF!</definedName>
    <definedName name="PY_tx_knw_Income" localSheetId="9">#REF!</definedName>
    <definedName name="PY_tx_knw_Income" localSheetId="4">#REF!</definedName>
    <definedName name="PY_tx_knw_Income" localSheetId="6">#REF!</definedName>
    <definedName name="PY_tx_knw_Income">#REF!</definedName>
    <definedName name="PY_tx_knw_RetEarn" localSheetId="10">#REF!</definedName>
    <definedName name="PY_tx_knw_RetEarn" localSheetId="7">#REF!</definedName>
    <definedName name="PY_tx_knw_RetEarn" localSheetId="8">#REF!</definedName>
    <definedName name="PY_tx_knw_RetEarn" localSheetId="9">#REF!</definedName>
    <definedName name="PY_tx_knw_RetEarn" localSheetId="4">#REF!</definedName>
    <definedName name="PY_tx_knw_RetEarn" localSheetId="6">#REF!</definedName>
    <definedName name="PY_tx_knw_RetEarn">#REF!</definedName>
    <definedName name="PY_tx_lik_Income" localSheetId="10">#REF!</definedName>
    <definedName name="PY_tx_lik_Income" localSheetId="7">#REF!</definedName>
    <definedName name="PY_tx_lik_Income" localSheetId="8">#REF!</definedName>
    <definedName name="PY_tx_lik_Income" localSheetId="9">#REF!</definedName>
    <definedName name="PY_tx_lik_Income" localSheetId="4">#REF!</definedName>
    <definedName name="PY_tx_lik_Income" localSheetId="6">#REF!</definedName>
    <definedName name="PY_tx_lik_Income">#REF!</definedName>
    <definedName name="PY_tx_lik_RetEarn" localSheetId="10">#REF!</definedName>
    <definedName name="PY_tx_lik_RetEarn" localSheetId="7">#REF!</definedName>
    <definedName name="PY_tx_lik_RetEarn" localSheetId="8">#REF!</definedName>
    <definedName name="PY_tx_lik_RetEarn" localSheetId="9">#REF!</definedName>
    <definedName name="PY_tx_lik_RetEarn" localSheetId="4">#REF!</definedName>
    <definedName name="PY_tx_lik_RetEarn" localSheetId="6">#REF!</definedName>
    <definedName name="PY_tx_lik_RetEarn">#REF!</definedName>
    <definedName name="QC_Instruction" localSheetId="10">#REF!</definedName>
    <definedName name="QC_Instruction" localSheetId="7">#REF!</definedName>
    <definedName name="QC_Instruction" localSheetId="8">#REF!</definedName>
    <definedName name="QC_Instruction" localSheetId="9">#REF!</definedName>
    <definedName name="QC_Instruction" localSheetId="4">#REF!</definedName>
    <definedName name="QC_Instruction" localSheetId="6">#REF!</definedName>
    <definedName name="QC_Instruction">#REF!</definedName>
    <definedName name="Qualitative1" localSheetId="10">#REF!</definedName>
    <definedName name="Qualitative1" localSheetId="7">#REF!</definedName>
    <definedName name="Qualitative1" localSheetId="8">#REF!</definedName>
    <definedName name="Qualitative1" localSheetId="9">#REF!</definedName>
    <definedName name="Qualitative1" localSheetId="4">#REF!</definedName>
    <definedName name="Qualitative1" localSheetId="6">#REF!</definedName>
    <definedName name="Qualitative1">#REF!</definedName>
    <definedName name="Qualitative2" localSheetId="10">#REF!</definedName>
    <definedName name="Qualitative2" localSheetId="7">#REF!</definedName>
    <definedName name="Qualitative2" localSheetId="8">#REF!</definedName>
    <definedName name="Qualitative2" localSheetId="9">#REF!</definedName>
    <definedName name="Qualitative2" localSheetId="4">#REF!</definedName>
    <definedName name="Qualitative2" localSheetId="6">#REF!</definedName>
    <definedName name="Qualitative2">#REF!</definedName>
    <definedName name="Qualitative3" localSheetId="10">#REF!</definedName>
    <definedName name="Qualitative3" localSheetId="7">#REF!</definedName>
    <definedName name="Qualitative3" localSheetId="8">#REF!</definedName>
    <definedName name="Qualitative3" localSheetId="9">#REF!</definedName>
    <definedName name="Qualitative3" localSheetId="4">#REF!</definedName>
    <definedName name="Qualitative3" localSheetId="6">#REF!</definedName>
    <definedName name="Qualitative3">#REF!</definedName>
    <definedName name="QualitativeTextBox" localSheetId="10">#REF!</definedName>
    <definedName name="QualitativeTextBox" localSheetId="7">#REF!</definedName>
    <definedName name="QualitativeTextBox" localSheetId="8">#REF!</definedName>
    <definedName name="QualitativeTextBox" localSheetId="9">#REF!</definedName>
    <definedName name="QualitativeTextBox" localSheetId="4">#REF!</definedName>
    <definedName name="QualitativeTextBox" localSheetId="6">#REF!</definedName>
    <definedName name="QualitativeTextBox">#REF!</definedName>
    <definedName name="RDES" localSheetId="10" hidden="1">#REF!</definedName>
    <definedName name="RDES" localSheetId="7" hidden="1">#REF!</definedName>
    <definedName name="RDES" localSheetId="8" hidden="1">#REF!</definedName>
    <definedName name="RDES" localSheetId="9" hidden="1">#REF!</definedName>
    <definedName name="RDES" localSheetId="4" hidden="1">#REF!</definedName>
    <definedName name="RDES" localSheetId="5" hidden="1">#REF!</definedName>
    <definedName name="RDES" localSheetId="6" hidden="1">#REF!</definedName>
    <definedName name="RDES" hidden="1">#REF!</definedName>
    <definedName name="s" hidden="1">{#N/A,#N/A,FALSE,"BBPREP"}</definedName>
    <definedName name="SM_CurrentYearHyplnk" localSheetId="10">#REF!</definedName>
    <definedName name="SM_CurrentYearHyplnk" localSheetId="7">#REF!</definedName>
    <definedName name="SM_CurrentYearHyplnk" localSheetId="8">#REF!</definedName>
    <definedName name="SM_CurrentYearHyplnk" localSheetId="9">#REF!</definedName>
    <definedName name="SM_CurrentYearHyplnk" localSheetId="4">#REF!</definedName>
    <definedName name="SM_CurrentYearHyplnk" localSheetId="6">#REF!</definedName>
    <definedName name="SM_CurrentYearHyplnk">#REF!</definedName>
    <definedName name="SM_PriorYearHyplnk" localSheetId="10">#REF!</definedName>
    <definedName name="SM_PriorYearHyplnk" localSheetId="7">#REF!</definedName>
    <definedName name="SM_PriorYearHyplnk" localSheetId="8">#REF!</definedName>
    <definedName name="SM_PriorYearHyplnk" localSheetId="9">#REF!</definedName>
    <definedName name="SM_PriorYearHyplnk" localSheetId="4">#REF!</definedName>
    <definedName name="SM_PriorYearHyplnk" localSheetId="6">#REF!</definedName>
    <definedName name="SM_PriorYearHyplnk">#REF!</definedName>
    <definedName name="SM_WholeSheet" localSheetId="10">#REF!</definedName>
    <definedName name="SM_WholeSheet" localSheetId="7">#REF!</definedName>
    <definedName name="SM_WholeSheet" localSheetId="8">#REF!</definedName>
    <definedName name="SM_WholeSheet" localSheetId="9">#REF!</definedName>
    <definedName name="SM_WholeSheet" localSheetId="4">#REF!</definedName>
    <definedName name="SM_WholeSheet" localSheetId="6">#REF!</definedName>
    <definedName name="SM_WholeSheet">#REF!</definedName>
    <definedName name="SummaryCOKnownProtection" localSheetId="10">#REF!</definedName>
    <definedName name="SummaryCOKnownProtection" localSheetId="7">#REF!</definedName>
    <definedName name="SummaryCOKnownProtection" localSheetId="8">#REF!</definedName>
    <definedName name="SummaryCOKnownProtection" localSheetId="9">#REF!</definedName>
    <definedName name="SummaryCOKnownProtection" localSheetId="4">#REF!</definedName>
    <definedName name="SummaryCOKnownProtection" localSheetId="6">#REF!</definedName>
    <definedName name="SummaryCOKnownProtection">#REF!</definedName>
    <definedName name="SummaryCOLikelyProtection" localSheetId="10">#REF!</definedName>
    <definedName name="SummaryCOLikelyProtection" localSheetId="7">#REF!</definedName>
    <definedName name="SummaryCOLikelyProtection" localSheetId="8">#REF!</definedName>
    <definedName name="SummaryCOLikelyProtection" localSheetId="9">#REF!</definedName>
    <definedName name="SummaryCOLikelyProtection" localSheetId="4">#REF!</definedName>
    <definedName name="SummaryCOLikelyProtection" localSheetId="6">#REF!</definedName>
    <definedName name="SummaryCOLikelyProtection">#REF!</definedName>
    <definedName name="SummaryKnownProtection" localSheetId="10">#REF!</definedName>
    <definedName name="SummaryKnownProtection" localSheetId="7">#REF!</definedName>
    <definedName name="SummaryKnownProtection" localSheetId="8">#REF!</definedName>
    <definedName name="SummaryKnownProtection" localSheetId="9">#REF!</definedName>
    <definedName name="SummaryKnownProtection" localSheetId="4">#REF!</definedName>
    <definedName name="SummaryKnownProtection" localSheetId="6">#REF!</definedName>
    <definedName name="SummaryKnownProtection">#REF!</definedName>
    <definedName name="SummaryLikely1Protection" localSheetId="10">#REF!</definedName>
    <definedName name="SummaryLikely1Protection" localSheetId="7">#REF!</definedName>
    <definedName name="SummaryLikely1Protection" localSheetId="8">#REF!</definedName>
    <definedName name="SummaryLikely1Protection" localSheetId="9">#REF!</definedName>
    <definedName name="SummaryLikely1Protection" localSheetId="4">#REF!</definedName>
    <definedName name="SummaryLikely1Protection" localSheetId="6">#REF!</definedName>
    <definedName name="SummaryLikely1Protection">#REF!</definedName>
    <definedName name="SummaryLikely2Protection" localSheetId="10">#REF!</definedName>
    <definedName name="SummaryLikely2Protection" localSheetId="7">#REF!</definedName>
    <definedName name="SummaryLikely2Protection" localSheetId="8">#REF!</definedName>
    <definedName name="SummaryLikely2Protection" localSheetId="9">#REF!</definedName>
    <definedName name="SummaryLikely2Protection" localSheetId="4">#REF!</definedName>
    <definedName name="SummaryLikely2Protection" localSheetId="6">#REF!</definedName>
    <definedName name="SummaryLikely2Protection">#REF!</definedName>
    <definedName name="t" hidden="1">{#N/A,#N/A,FALSE,"BBPREP"}</definedName>
    <definedName name="Tax_Effect_Income" localSheetId="10">#REF!</definedName>
    <definedName name="Tax_Effect_Income" localSheetId="7">#REF!</definedName>
    <definedName name="Tax_Effect_Income" localSheetId="8">#REF!</definedName>
    <definedName name="Tax_Effect_Income" localSheetId="9">#REF!</definedName>
    <definedName name="Tax_Effect_Income" localSheetId="4">#REF!</definedName>
    <definedName name="Tax_Effect_Income" localSheetId="6">#REF!</definedName>
    <definedName name="Tax_Effect_Income">#REF!</definedName>
    <definedName name="Tax_Effect_Liabs" localSheetId="10">#REF!</definedName>
    <definedName name="Tax_Effect_Liabs" localSheetId="7">#REF!</definedName>
    <definedName name="Tax_Effect_Liabs" localSheetId="8">#REF!</definedName>
    <definedName name="Tax_Effect_Liabs" localSheetId="9">#REF!</definedName>
    <definedName name="Tax_Effect_Liabs" localSheetId="4">#REF!</definedName>
    <definedName name="Tax_Effect_Liabs" localSheetId="6">#REF!</definedName>
    <definedName name="Tax_Effect_Liabs">#REF!</definedName>
    <definedName name="Tax_Effect_RetEarn" localSheetId="10">#REF!</definedName>
    <definedName name="Tax_Effect_RetEarn" localSheetId="7">#REF!</definedName>
    <definedName name="Tax_Effect_RetEarn" localSheetId="8">#REF!</definedName>
    <definedName name="Tax_Effect_RetEarn" localSheetId="9">#REF!</definedName>
    <definedName name="Tax_Effect_RetEarn" localSheetId="4">#REF!</definedName>
    <definedName name="Tax_Effect_RetEarn" localSheetId="6">#REF!</definedName>
    <definedName name="Tax_Effect_RetEarn">#REF!</definedName>
    <definedName name="Tax_Rate" localSheetId="10">#REF!</definedName>
    <definedName name="Tax_Rate" localSheetId="7">#REF!</definedName>
    <definedName name="Tax_Rate" localSheetId="8">#REF!</definedName>
    <definedName name="Tax_Rate" localSheetId="9">#REF!</definedName>
    <definedName name="Tax_Rate" localSheetId="4">#REF!</definedName>
    <definedName name="Tax_Rate" localSheetId="6">#REF!</definedName>
    <definedName name="Tax_Rate">#REF!</definedName>
    <definedName name="TEST1" localSheetId="10">#REF!</definedName>
    <definedName name="TEST1" localSheetId="7">#REF!</definedName>
    <definedName name="TEST1" localSheetId="8">#REF!</definedName>
    <definedName name="TEST1" localSheetId="9">#REF!</definedName>
    <definedName name="TEST1" localSheetId="4">#REF!</definedName>
    <definedName name="TEST1" localSheetId="6">#REF!</definedName>
    <definedName name="TEST1">#REF!</definedName>
    <definedName name="TESTHKEY" localSheetId="10">#REF!</definedName>
    <definedName name="TESTHKEY" localSheetId="7">#REF!</definedName>
    <definedName name="TESTHKEY" localSheetId="8">#REF!</definedName>
    <definedName name="TESTHKEY" localSheetId="9">#REF!</definedName>
    <definedName name="TESTHKEY" localSheetId="4">#REF!</definedName>
    <definedName name="TESTHKEY" localSheetId="6">#REF!</definedName>
    <definedName name="TESTHKEY">#REF!</definedName>
    <definedName name="TESTKEYS" localSheetId="10">#REF!</definedName>
    <definedName name="TESTKEYS" localSheetId="7">#REF!</definedName>
    <definedName name="TESTKEYS" localSheetId="8">#REF!</definedName>
    <definedName name="TESTKEYS" localSheetId="9">#REF!</definedName>
    <definedName name="TESTKEYS" localSheetId="4">#REF!</definedName>
    <definedName name="TESTKEYS" localSheetId="6">#REF!</definedName>
    <definedName name="TESTKEYS">#REF!</definedName>
    <definedName name="TESTVKEY" localSheetId="10">#REF!</definedName>
    <definedName name="TESTVKEY" localSheetId="7">#REF!</definedName>
    <definedName name="TESTVKEY" localSheetId="8">#REF!</definedName>
    <definedName name="TESTVKEY" localSheetId="9">#REF!</definedName>
    <definedName name="TESTVKEY" localSheetId="4">#REF!</definedName>
    <definedName name="TESTVKEY" localSheetId="6">#REF!</definedName>
    <definedName name="TESTVKEY">#REF!</definedName>
    <definedName name="TextRefCopy1" localSheetId="10">#REF!</definedName>
    <definedName name="TextRefCopy1" localSheetId="7">#REF!</definedName>
    <definedName name="TextRefCopy1" localSheetId="8">#REF!</definedName>
    <definedName name="TextRefCopy1" localSheetId="9">#REF!</definedName>
    <definedName name="TextRefCopy1" localSheetId="4">#REF!</definedName>
    <definedName name="TextRefCopy1" localSheetId="6">#REF!</definedName>
    <definedName name="TextRefCopy1">#REF!</definedName>
    <definedName name="TextRefCopyRangeCount" hidden="1">136</definedName>
    <definedName name="Threshold" localSheetId="10">#REF!</definedName>
    <definedName name="Threshold" localSheetId="7">#REF!</definedName>
    <definedName name="Threshold" localSheetId="8">#REF!</definedName>
    <definedName name="Threshold" localSheetId="9">#REF!</definedName>
    <definedName name="Threshold" localSheetId="4">#REF!</definedName>
    <definedName name="Threshold" localSheetId="6">#REF!</definedName>
    <definedName name="Threshold">#REF!</definedName>
    <definedName name="Threshold_for_Accumulating" localSheetId="10">#REF!</definedName>
    <definedName name="Threshold_for_Accumulating" localSheetId="7">#REF!</definedName>
    <definedName name="Threshold_for_Accumulating" localSheetId="8">#REF!</definedName>
    <definedName name="Threshold_for_Accumulating" localSheetId="9">#REF!</definedName>
    <definedName name="Threshold_for_Accumulating" localSheetId="4">#REF!</definedName>
    <definedName name="Threshold_for_Accumulating" localSheetId="6">#REF!</definedName>
    <definedName name="Threshold_for_Accumulating">#REF!</definedName>
    <definedName name="Tot_knw_Xfoot" localSheetId="10">#REF!</definedName>
    <definedName name="Tot_knw_Xfoot" localSheetId="7">#REF!</definedName>
    <definedName name="Tot_knw_Xfoot" localSheetId="8">#REF!</definedName>
    <definedName name="Tot_knw_Xfoot" localSheetId="9">#REF!</definedName>
    <definedName name="Tot_knw_Xfoot" localSheetId="4">#REF!</definedName>
    <definedName name="Tot_knw_Xfoot" localSheetId="6">#REF!</definedName>
    <definedName name="Tot_knw_Xfoot">#REF!</definedName>
    <definedName name="Tot_lik_Xfoot" localSheetId="10">#REF!</definedName>
    <definedName name="Tot_lik_Xfoot" localSheetId="7">#REF!</definedName>
    <definedName name="Tot_lik_Xfoot" localSheetId="8">#REF!</definedName>
    <definedName name="Tot_lik_Xfoot" localSheetId="9">#REF!</definedName>
    <definedName name="Tot_lik_Xfoot" localSheetId="4">#REF!</definedName>
    <definedName name="Tot_lik_Xfoot" localSheetId="6">#REF!</definedName>
    <definedName name="Tot_lik_Xfoot">#REF!</definedName>
    <definedName name="Tot_lik_Xfoot_ex" localSheetId="10">#REF!</definedName>
    <definedName name="Tot_lik_Xfoot_ex" localSheetId="7">#REF!</definedName>
    <definedName name="Tot_lik_Xfoot_ex" localSheetId="8">#REF!</definedName>
    <definedName name="Tot_lik_Xfoot_ex" localSheetId="9">#REF!</definedName>
    <definedName name="Tot_lik_Xfoot_ex" localSheetId="4">#REF!</definedName>
    <definedName name="Tot_lik_Xfoot_ex" localSheetId="6">#REF!</definedName>
    <definedName name="Tot_lik_Xfoot_ex">#REF!</definedName>
    <definedName name="Tot_lik_Xfoot_ext" localSheetId="10">#REF!</definedName>
    <definedName name="Tot_lik_Xfoot_ext" localSheetId="7">#REF!</definedName>
    <definedName name="Tot_lik_Xfoot_ext" localSheetId="8">#REF!</definedName>
    <definedName name="Tot_lik_Xfoot_ext" localSheetId="9">#REF!</definedName>
    <definedName name="Tot_lik_Xfoot_ext" localSheetId="4">#REF!</definedName>
    <definedName name="Tot_lik_Xfoot_ext" localSheetId="6">#REF!</definedName>
    <definedName name="Tot_lik_Xfoot_ext">#REF!</definedName>
    <definedName name="TOTAL_KNOWN" localSheetId="10">#REF!</definedName>
    <definedName name="TOTAL_KNOWN" localSheetId="7">#REF!</definedName>
    <definedName name="TOTAL_KNOWN" localSheetId="8">#REF!</definedName>
    <definedName name="TOTAL_KNOWN" localSheetId="9">#REF!</definedName>
    <definedName name="TOTAL_KNOWN" localSheetId="4">#REF!</definedName>
    <definedName name="TOTAL_KNOWN" localSheetId="6">#REF!</definedName>
    <definedName name="TOTAL_KNOWN">#REF!</definedName>
    <definedName name="TotalCarryOver" localSheetId="10">#REF!</definedName>
    <definedName name="TotalCarryOver" localSheetId="7">#REF!</definedName>
    <definedName name="TotalCarryOver" localSheetId="8">#REF!</definedName>
    <definedName name="TotalCarryOver" localSheetId="9">#REF!</definedName>
    <definedName name="TotalCarryOver" localSheetId="4">#REF!</definedName>
    <definedName name="TotalCarryOver" localSheetId="6">#REF!</definedName>
    <definedName name="TotalCarryOver">#REF!</definedName>
    <definedName name="TotalCurrentYear" localSheetId="10">#REF!</definedName>
    <definedName name="TotalCurrentYear" localSheetId="7">#REF!</definedName>
    <definedName name="TotalCurrentYear" localSheetId="8">#REF!</definedName>
    <definedName name="TotalCurrentYear" localSheetId="9">#REF!</definedName>
    <definedName name="TotalCurrentYear" localSheetId="4">#REF!</definedName>
    <definedName name="TotalCurrentYear" localSheetId="6">#REF!</definedName>
    <definedName name="TotalCurrentYear">#REF!</definedName>
    <definedName name="TotalKnownCheck" localSheetId="10">#REF!</definedName>
    <definedName name="TotalKnownCheck" localSheetId="7">#REF!</definedName>
    <definedName name="TotalKnownCheck" localSheetId="8">#REF!</definedName>
    <definedName name="TotalKnownCheck" localSheetId="9">#REF!</definedName>
    <definedName name="TotalKnownCheck" localSheetId="4">#REF!</definedName>
    <definedName name="TotalKnownCheck" localSheetId="6">#REF!</definedName>
    <definedName name="TotalKnownCheck">#REF!</definedName>
    <definedName name="UFPrn20020120153922" localSheetId="10">#REF!</definedName>
    <definedName name="UFPrn20020120153922" localSheetId="7">#REF!</definedName>
    <definedName name="UFPrn20020120153922" localSheetId="8">#REF!</definedName>
    <definedName name="UFPrn20020120153922" localSheetId="9">#REF!</definedName>
    <definedName name="UFPrn20020120153922" localSheetId="4">#REF!</definedName>
    <definedName name="UFPrn20020120153922" localSheetId="6">#REF!</definedName>
    <definedName name="UFPrn20020120153922">#REF!</definedName>
    <definedName name="UFPrn20051027160140" localSheetId="10">#REF!</definedName>
    <definedName name="UFPrn20051027160140" localSheetId="7">#REF!</definedName>
    <definedName name="UFPrn20051027160140" localSheetId="8">#REF!</definedName>
    <definedName name="UFPrn20051027160140" localSheetId="9">#REF!</definedName>
    <definedName name="UFPrn20051027160140" localSheetId="4">#REF!</definedName>
    <definedName name="UFPrn20051027160140" localSheetId="6">#REF!</definedName>
    <definedName name="UFPrn20051027160140">#REF!</definedName>
    <definedName name="UFPrn20051027172739" localSheetId="10">#REF!</definedName>
    <definedName name="UFPrn20051027172739" localSheetId="7">#REF!</definedName>
    <definedName name="UFPrn20051027172739" localSheetId="8">#REF!</definedName>
    <definedName name="UFPrn20051027172739" localSheetId="9">#REF!</definedName>
    <definedName name="UFPrn20051027172739" localSheetId="4">#REF!</definedName>
    <definedName name="UFPrn20051027172739" localSheetId="6">#REF!</definedName>
    <definedName name="UFPrn20051027172739">#REF!</definedName>
    <definedName name="UFPrn20051103141418" localSheetId="10">#REF!</definedName>
    <definedName name="UFPrn20051103141418" localSheetId="7">#REF!</definedName>
    <definedName name="UFPrn20051103141418" localSheetId="8">#REF!</definedName>
    <definedName name="UFPrn20051103141418" localSheetId="9">#REF!</definedName>
    <definedName name="UFPrn20051103141418" localSheetId="4">#REF!</definedName>
    <definedName name="UFPrn20051103141418" localSheetId="6">#REF!</definedName>
    <definedName name="UFPrn20051103141418">#REF!</definedName>
    <definedName name="UFPrn20060721155740" localSheetId="10">#REF!</definedName>
    <definedName name="UFPrn20060721155740" localSheetId="7">#REF!</definedName>
    <definedName name="UFPrn20060721155740" localSheetId="8">#REF!</definedName>
    <definedName name="UFPrn20060721155740" localSheetId="9">#REF!</definedName>
    <definedName name="UFPrn20060721155740" localSheetId="4">#REF!</definedName>
    <definedName name="UFPrn20060721155740" localSheetId="6">#REF!</definedName>
    <definedName name="UFPrn20060721155740">#REF!</definedName>
    <definedName name="UFPrn20071205095615" localSheetId="10">#REF!</definedName>
    <definedName name="UFPrn20071205095615" localSheetId="7">#REF!</definedName>
    <definedName name="UFPrn20071205095615" localSheetId="8">#REF!</definedName>
    <definedName name="UFPrn20071205095615" localSheetId="9">#REF!</definedName>
    <definedName name="UFPrn20071205095615" localSheetId="4">#REF!</definedName>
    <definedName name="UFPrn20071205095615" localSheetId="6">#REF!</definedName>
    <definedName name="UFPrn20071205095615">#REF!</definedName>
    <definedName name="UFPrn20071205103259" localSheetId="10">#REF!</definedName>
    <definedName name="UFPrn20071205103259" localSheetId="7">#REF!</definedName>
    <definedName name="UFPrn20071205103259" localSheetId="8">#REF!</definedName>
    <definedName name="UFPrn20071205103259" localSheetId="9">#REF!</definedName>
    <definedName name="UFPrn20071205103259" localSheetId="4">#REF!</definedName>
    <definedName name="UFPrn20071205103259" localSheetId="6">#REF!</definedName>
    <definedName name="UFPrn20071205103259">#REF!</definedName>
    <definedName name="UFPrn20071205103331" localSheetId="10">#REF!</definedName>
    <definedName name="UFPrn20071205103331" localSheetId="7">#REF!</definedName>
    <definedName name="UFPrn20071205103331" localSheetId="8">#REF!</definedName>
    <definedName name="UFPrn20071205103331" localSheetId="9">#REF!</definedName>
    <definedName name="UFPrn20071205103331" localSheetId="4">#REF!</definedName>
    <definedName name="UFPrn20071205103331" localSheetId="6">#REF!</definedName>
    <definedName name="UFPrn20071205103331">#REF!</definedName>
    <definedName name="UFPrn20071205103404" localSheetId="10">#REF!</definedName>
    <definedName name="UFPrn20071205103404" localSheetId="7">#REF!</definedName>
    <definedName name="UFPrn20071205103404" localSheetId="8">#REF!</definedName>
    <definedName name="UFPrn20071205103404" localSheetId="9">#REF!</definedName>
    <definedName name="UFPrn20071205103404" localSheetId="4">#REF!</definedName>
    <definedName name="UFPrn20071205103404" localSheetId="6">#REF!</definedName>
    <definedName name="UFPrn20071205103404">#REF!</definedName>
    <definedName name="UFPrn20071205103449" localSheetId="10">#REF!</definedName>
    <definedName name="UFPrn20071205103449" localSheetId="7">#REF!</definedName>
    <definedName name="UFPrn20071205103449" localSheetId="8">#REF!</definedName>
    <definedName name="UFPrn20071205103449" localSheetId="9">#REF!</definedName>
    <definedName name="UFPrn20071205103449" localSheetId="4">#REF!</definedName>
    <definedName name="UFPrn20071205103449" localSheetId="6">#REF!</definedName>
    <definedName name="UFPrn20071205103449">#REF!</definedName>
    <definedName name="UFPrn20071205103544" localSheetId="10">#REF!</definedName>
    <definedName name="UFPrn20071205103544" localSheetId="7">#REF!</definedName>
    <definedName name="UFPrn20071205103544" localSheetId="8">#REF!</definedName>
    <definedName name="UFPrn20071205103544" localSheetId="9">#REF!</definedName>
    <definedName name="UFPrn20071205103544" localSheetId="4">#REF!</definedName>
    <definedName name="UFPrn20071205103544" localSheetId="6">#REF!</definedName>
    <definedName name="UFPrn20071205103544">#REF!</definedName>
    <definedName name="UFPrn20071205103726" localSheetId="10">#REF!</definedName>
    <definedName name="UFPrn20071205103726" localSheetId="7">#REF!</definedName>
    <definedName name="UFPrn20071205103726" localSheetId="8">#REF!</definedName>
    <definedName name="UFPrn20071205103726" localSheetId="9">#REF!</definedName>
    <definedName name="UFPrn20071205103726" localSheetId="4">#REF!</definedName>
    <definedName name="UFPrn20071205103726" localSheetId="6">#REF!</definedName>
    <definedName name="UFPrn20071205103726">#REF!</definedName>
    <definedName name="UFPrn20071205103910" localSheetId="10">#REF!</definedName>
    <definedName name="UFPrn20071205103910" localSheetId="7">#REF!</definedName>
    <definedName name="UFPrn20071205103910" localSheetId="8">#REF!</definedName>
    <definedName name="UFPrn20071205103910" localSheetId="9">#REF!</definedName>
    <definedName name="UFPrn20071205103910" localSheetId="4">#REF!</definedName>
    <definedName name="UFPrn20071205103910" localSheetId="6">#REF!</definedName>
    <definedName name="UFPrn20071205103910">#REF!</definedName>
    <definedName name="UFPrn20071205104255" localSheetId="10">#REF!</definedName>
    <definedName name="UFPrn20071205104255" localSheetId="7">#REF!</definedName>
    <definedName name="UFPrn20071205104255" localSheetId="8">#REF!</definedName>
    <definedName name="UFPrn20071205104255" localSheetId="9">#REF!</definedName>
    <definedName name="UFPrn20071205104255" localSheetId="4">#REF!</definedName>
    <definedName name="UFPrn20071205104255" localSheetId="6">#REF!</definedName>
    <definedName name="UFPrn20071205104255">#REF!</definedName>
    <definedName name="UFPrn20071205104641" localSheetId="10">#REF!</definedName>
    <definedName name="UFPrn20071205104641" localSheetId="7">#REF!</definedName>
    <definedName name="UFPrn20071205104641" localSheetId="8">#REF!</definedName>
    <definedName name="UFPrn20071205104641" localSheetId="9">#REF!</definedName>
    <definedName name="UFPrn20071205104641" localSheetId="4">#REF!</definedName>
    <definedName name="UFPrn20071205104641" localSheetId="6">#REF!</definedName>
    <definedName name="UFPrn20071205104641">#REF!</definedName>
    <definedName name="VFE" localSheetId="10" hidden="1">#REF!</definedName>
    <definedName name="VFE" localSheetId="7" hidden="1">#REF!</definedName>
    <definedName name="VFE" localSheetId="8" hidden="1">#REF!</definedName>
    <definedName name="VFE" localSheetId="9" hidden="1">#REF!</definedName>
    <definedName name="VFE" localSheetId="4" hidden="1">#REF!</definedName>
    <definedName name="VFE" localSheetId="5" hidden="1">#REF!</definedName>
    <definedName name="VFE" localSheetId="6" hidden="1">#REF!</definedName>
    <definedName name="VFE" hidden="1">#REF!</definedName>
    <definedName name="wrn.Aging._.and._.Trend._.Analysis.">{#N/A,#N/A,FALSE,"Aging Summary";#N/A,#N/A,FALSE,"Ratio Analysis";#N/A,#N/A,FALSE,"Test 120 Day Accts";#N/A,#N/A,FALSE,"Tickmarks"}</definedName>
    <definedName name="wrn.new">{#N/A,#N/A,FALSE,"Aging Summary";#N/A,#N/A,FALSE,"Ratio Analysis";#N/A,#N/A,FALSE,"Test 120 Day Accts";#N/A,#N/A,FALSE,"Tickmarks"}</definedName>
    <definedName name="XAP" localSheetId="10" hidden="1">#REF!</definedName>
    <definedName name="XAP" localSheetId="7" hidden="1">#REF!</definedName>
    <definedName name="XAP" localSheetId="8" hidden="1">#REF!</definedName>
    <definedName name="XAP" localSheetId="9" hidden="1">#REF!</definedName>
    <definedName name="XAP" localSheetId="4" hidden="1">#REF!</definedName>
    <definedName name="XAP" localSheetId="5" hidden="1">#REF!</definedName>
    <definedName name="XAP" localSheetId="6" hidden="1">#REF!</definedName>
    <definedName name="XAP" hidden="1">#REF!</definedName>
    <definedName name="XAQ" localSheetId="10" hidden="1">#REF!</definedName>
    <definedName name="XAQ" localSheetId="7" hidden="1">#REF!</definedName>
    <definedName name="XAQ" localSheetId="8" hidden="1">#REF!</definedName>
    <definedName name="XAQ" localSheetId="9" hidden="1">#REF!</definedName>
    <definedName name="XAQ" localSheetId="4" hidden="1">#REF!</definedName>
    <definedName name="XAQ" localSheetId="5" hidden="1">#REF!</definedName>
    <definedName name="XAQ" localSheetId="6" hidden="1">#REF!</definedName>
    <definedName name="XAQ" hidden="1">#REF!</definedName>
    <definedName name="XCD" localSheetId="10" hidden="1">#REF!</definedName>
    <definedName name="XCD" localSheetId="7" hidden="1">#REF!</definedName>
    <definedName name="XCD" localSheetId="8" hidden="1">#REF!</definedName>
    <definedName name="XCD" localSheetId="9" hidden="1">#REF!</definedName>
    <definedName name="XCD" localSheetId="4" hidden="1">#REF!</definedName>
    <definedName name="XCD" localSheetId="5" hidden="1">#REF!</definedName>
    <definedName name="XCD" localSheetId="6" hidden="1">#REF!</definedName>
    <definedName name="XCD" hidden="1">#REF!</definedName>
    <definedName name="XREF_COLUMN_1" localSheetId="10" hidden="1">#REF!</definedName>
    <definedName name="XREF_COLUMN_1" localSheetId="7" hidden="1">#REF!</definedName>
    <definedName name="XREF_COLUMN_1" localSheetId="8" hidden="1">#REF!</definedName>
    <definedName name="XREF_COLUMN_1" localSheetId="9" hidden="1">#REF!</definedName>
    <definedName name="XREF_COLUMN_1" localSheetId="4" hidden="1">#REF!</definedName>
    <definedName name="XREF_COLUMN_1" localSheetId="5" hidden="1">#REF!</definedName>
    <definedName name="XREF_COLUMN_1" localSheetId="6" hidden="1">#REF!</definedName>
    <definedName name="XREF_COLUMN_1" hidden="1">#REF!</definedName>
    <definedName name="XREF_COLUMN_2" localSheetId="10" hidden="1">[2]Breakdown!#REF!</definedName>
    <definedName name="XREF_COLUMN_2" localSheetId="7" hidden="1">[2]Breakdown!#REF!</definedName>
    <definedName name="XREF_COLUMN_2" localSheetId="8" hidden="1">[2]Breakdown!#REF!</definedName>
    <definedName name="XREF_COLUMN_2" localSheetId="9" hidden="1">[2]Breakdown!#REF!</definedName>
    <definedName name="XREF_COLUMN_2" localSheetId="4" hidden="1">[2]Breakdown!#REF!</definedName>
    <definedName name="XREF_COLUMN_2" localSheetId="5" hidden="1">[2]Breakdown!#REF!</definedName>
    <definedName name="XREF_COLUMN_2" localSheetId="6" hidden="1">[2]Breakdown!#REF!</definedName>
    <definedName name="XREF_COLUMN_2" hidden="1">[2]Breakdown!#REF!</definedName>
    <definedName name="XREF_COLUMN_3" localSheetId="10" hidden="1">#REF!</definedName>
    <definedName name="XREF_COLUMN_3" localSheetId="7" hidden="1">#REF!</definedName>
    <definedName name="XREF_COLUMN_3" localSheetId="8" hidden="1">#REF!</definedName>
    <definedName name="XREF_COLUMN_3" localSheetId="9" hidden="1">#REF!</definedName>
    <definedName name="XREF_COLUMN_3" localSheetId="4" hidden="1">#REF!</definedName>
    <definedName name="XREF_COLUMN_3" localSheetId="5" hidden="1">#REF!</definedName>
    <definedName name="XREF_COLUMN_3" localSheetId="6" hidden="1">#REF!</definedName>
    <definedName name="XREF_COLUMN_3" hidden="1">#REF!</definedName>
    <definedName name="XREF_COLUMN_5" localSheetId="10" hidden="1">'[3]2004'!#REF!</definedName>
    <definedName name="XREF_COLUMN_5" localSheetId="7" hidden="1">'[3]2004'!#REF!</definedName>
    <definedName name="XREF_COLUMN_5" localSheetId="8" hidden="1">'[3]2004'!#REF!</definedName>
    <definedName name="XREF_COLUMN_5" localSheetId="9" hidden="1">'[3]2004'!#REF!</definedName>
    <definedName name="XREF_COLUMN_5" localSheetId="4" hidden="1">'[3]2004'!#REF!</definedName>
    <definedName name="XREF_COLUMN_5" localSheetId="5" hidden="1">'[3]2004'!#REF!</definedName>
    <definedName name="XREF_COLUMN_5" localSheetId="6" hidden="1">'[3]2004'!#REF!</definedName>
    <definedName name="XREF_COLUMN_5" hidden="1">'[3]2004'!#REF!</definedName>
    <definedName name="XRefActiveRow" localSheetId="10" hidden="1">#REF!</definedName>
    <definedName name="XRefActiveRow" localSheetId="7" hidden="1">#REF!</definedName>
    <definedName name="XRefActiveRow" localSheetId="8" hidden="1">#REF!</definedName>
    <definedName name="XRefActiveRow" localSheetId="9" hidden="1">#REF!</definedName>
    <definedName name="XRefActiveRow" localSheetId="4" hidden="1">#REF!</definedName>
    <definedName name="XRefActiveRow" localSheetId="5" hidden="1">#REF!</definedName>
    <definedName name="XRefActiveRow" localSheetId="6" hidden="1">#REF!</definedName>
    <definedName name="XRefActiveRow" hidden="1">#REF!</definedName>
    <definedName name="XRefColumnsCount" hidden="1">2</definedName>
    <definedName name="XRefCopy1" localSheetId="10" hidden="1">#REF!</definedName>
    <definedName name="XRefCopy1" localSheetId="7" hidden="1">#REF!</definedName>
    <definedName name="XRefCopy1" localSheetId="8" hidden="1">#REF!</definedName>
    <definedName name="XRefCopy1" localSheetId="9" hidden="1">#REF!</definedName>
    <definedName name="XRefCopy1" localSheetId="4" hidden="1">#REF!</definedName>
    <definedName name="XRefCopy1" localSheetId="5" hidden="1">#REF!</definedName>
    <definedName name="XRefCopy1" localSheetId="6" hidden="1">#REF!</definedName>
    <definedName name="XRefCopy1" hidden="1">#REF!</definedName>
    <definedName name="XRefCopy1Row" localSheetId="10" hidden="1">#REF!</definedName>
    <definedName name="XRefCopy1Row" localSheetId="7" hidden="1">#REF!</definedName>
    <definedName name="XRefCopy1Row" localSheetId="8" hidden="1">#REF!</definedName>
    <definedName name="XRefCopy1Row" localSheetId="9" hidden="1">#REF!</definedName>
    <definedName name="XRefCopy1Row" localSheetId="4" hidden="1">#REF!</definedName>
    <definedName name="XRefCopy1Row" localSheetId="5" hidden="1">#REF!</definedName>
    <definedName name="XRefCopy1Row" localSheetId="6" hidden="1">#REF!</definedName>
    <definedName name="XRefCopy1Row" hidden="1">#REF!</definedName>
    <definedName name="XRefCopy2Row" localSheetId="10" hidden="1">#REF!</definedName>
    <definedName name="XRefCopy2Row" localSheetId="7" hidden="1">#REF!</definedName>
    <definedName name="XRefCopy2Row" localSheetId="8" hidden="1">#REF!</definedName>
    <definedName name="XRefCopy2Row" localSheetId="9" hidden="1">#REF!</definedName>
    <definedName name="XRefCopy2Row" localSheetId="4" hidden="1">#REF!</definedName>
    <definedName name="XRefCopy2Row" localSheetId="5" hidden="1">#REF!</definedName>
    <definedName name="XRefCopy2Row" localSheetId="6" hidden="1">#REF!</definedName>
    <definedName name="XRefCopy2Row" hidden="1">#REF!</definedName>
    <definedName name="XRefCopyRangeCount" hidden="1">2</definedName>
    <definedName name="XRefPaste1" localSheetId="10" hidden="1">#REF!</definedName>
    <definedName name="XRefPaste1" localSheetId="7" hidden="1">#REF!</definedName>
    <definedName name="XRefPaste1" localSheetId="8" hidden="1">#REF!</definedName>
    <definedName name="XRefPaste1" localSheetId="9" hidden="1">#REF!</definedName>
    <definedName name="XRefPaste1" localSheetId="4" hidden="1">#REF!</definedName>
    <definedName name="XRefPaste1" localSheetId="5" hidden="1">#REF!</definedName>
    <definedName name="XRefPaste1" localSheetId="6" hidden="1">#REF!</definedName>
    <definedName name="XRefPaste1" hidden="1">#REF!</definedName>
    <definedName name="XRefPaste1Row" localSheetId="10" hidden="1">#REF!</definedName>
    <definedName name="XRefPaste1Row" localSheetId="7" hidden="1">#REF!</definedName>
    <definedName name="XRefPaste1Row" localSheetId="8" hidden="1">#REF!</definedName>
    <definedName name="XRefPaste1Row" localSheetId="9" hidden="1">#REF!</definedName>
    <definedName name="XRefPaste1Row" localSheetId="4" hidden="1">#REF!</definedName>
    <definedName name="XRefPaste1Row" localSheetId="5" hidden="1">#REF!</definedName>
    <definedName name="XRefPaste1Row" localSheetId="6" hidden="1">#REF!</definedName>
    <definedName name="XRefPaste1Row" hidden="1">#REF!</definedName>
    <definedName name="XRefPaste2" localSheetId="10" hidden="1">#REF!</definedName>
    <definedName name="XRefPaste2" localSheetId="7" hidden="1">#REF!</definedName>
    <definedName name="XRefPaste2" localSheetId="8" hidden="1">#REF!</definedName>
    <definedName name="XRefPaste2" localSheetId="9" hidden="1">#REF!</definedName>
    <definedName name="XRefPaste2" localSheetId="4" hidden="1">#REF!</definedName>
    <definedName name="XRefPaste2" localSheetId="5" hidden="1">#REF!</definedName>
    <definedName name="XRefPaste2" localSheetId="6" hidden="1">#REF!</definedName>
    <definedName name="XRefPaste2" hidden="1">#REF!</definedName>
    <definedName name="XRefPaste2Row" localSheetId="10" hidden="1">#REF!</definedName>
    <definedName name="XRefPaste2Row" localSheetId="7" hidden="1">#REF!</definedName>
    <definedName name="XRefPaste2Row" localSheetId="8" hidden="1">#REF!</definedName>
    <definedName name="XRefPaste2Row" localSheetId="9" hidden="1">#REF!</definedName>
    <definedName name="XRefPaste2Row" localSheetId="4" hidden="1">#REF!</definedName>
    <definedName name="XRefPaste2Row" localSheetId="5" hidden="1">#REF!</definedName>
    <definedName name="XRefPaste2Row" localSheetId="6" hidden="1">#REF!</definedName>
    <definedName name="XRefPaste2Row" hidden="1">#REF!</definedName>
    <definedName name="XRefPaste3" localSheetId="10" hidden="1">#REF!</definedName>
    <definedName name="XRefPaste3" localSheetId="7" hidden="1">#REF!</definedName>
    <definedName name="XRefPaste3" localSheetId="8" hidden="1">#REF!</definedName>
    <definedName name="XRefPaste3" localSheetId="9" hidden="1">#REF!</definedName>
    <definedName name="XRefPaste3" localSheetId="4" hidden="1">#REF!</definedName>
    <definedName name="XRefPaste3" localSheetId="5" hidden="1">#REF!</definedName>
    <definedName name="XRefPaste3" localSheetId="6" hidden="1">#REF!</definedName>
    <definedName name="XRefPaste3" hidden="1">#REF!</definedName>
    <definedName name="XRefPaste3Row" localSheetId="10" hidden="1">#REF!</definedName>
    <definedName name="XRefPaste3Row" localSheetId="7" hidden="1">#REF!</definedName>
    <definedName name="XRefPaste3Row" localSheetId="8" hidden="1">#REF!</definedName>
    <definedName name="XRefPaste3Row" localSheetId="9" hidden="1">#REF!</definedName>
    <definedName name="XRefPaste3Row" localSheetId="4" hidden="1">#REF!</definedName>
    <definedName name="XRefPaste3Row" localSheetId="5" hidden="1">#REF!</definedName>
    <definedName name="XRefPaste3Row" localSheetId="6" hidden="1">#REF!</definedName>
    <definedName name="XRefPaste3Row" hidden="1">#REF!</definedName>
    <definedName name="XRefPasteRangeCount" hidden="1">2</definedName>
    <definedName name="暗暗审">'[1]M-5A'!$B$10</definedName>
    <definedName name="本循环科目" localSheetId="10" hidden="1">[4]索引!$D$15:$D$76</definedName>
    <definedName name="本循环科目" hidden="1">[4]索引!$D$15:$D$76</definedName>
    <definedName name="编制">[5]表头!$B$3</definedName>
    <definedName name="存货93期初">[6]企业表一!$C$7</definedName>
    <definedName name="存货93期末">[6]企业表一!$D$7</definedName>
    <definedName name="存货94期初">[6]企业表一!$E$7</definedName>
    <definedName name="存货94期末">[6]企业表一!$F$7</definedName>
    <definedName name="存货95期初">[6]企业表一!$G$7</definedName>
    <definedName name="存货95期末">[6]企业表一!$H$7</definedName>
    <definedName name="底稿目录" localSheetId="10" hidden="1">#REF!</definedName>
    <definedName name="底稿目录" localSheetId="7" hidden="1">#REF!</definedName>
    <definedName name="底稿目录" localSheetId="8" hidden="1">#REF!</definedName>
    <definedName name="底稿目录" localSheetId="9" hidden="1">#REF!</definedName>
    <definedName name="底稿目录" hidden="1">#REF!</definedName>
    <definedName name="负债合计93期末">[6]企业表一!$D$17</definedName>
    <definedName name="负债合计94期末">[6]企业表一!$F$17</definedName>
    <definedName name="负债合计95期末">[6]企业表一!$H$17</definedName>
    <definedName name="复核">[5]表头!$B$4</definedName>
    <definedName name="截止">[5]表头!$B$2</definedName>
    <definedName name="净_利_润93">'[6]M-5C'!$B$24</definedName>
    <definedName name="净_利_润94">'[6]M-5C'!$D$24</definedName>
    <definedName name="净_利_润95">'[6]M-5C'!$F$24</definedName>
    <definedName name="净资产合计93期初">[6]企业表一!$C$20</definedName>
    <definedName name="净资产合计93期末">[6]企业表一!$D$20</definedName>
    <definedName name="净资产合计94期初">[6]企业表一!$E$20</definedName>
    <definedName name="净资产合计94期末">[6]企业表一!$F$20</definedName>
    <definedName name="净资产合计95期初">[6]企业表一!$G$20</definedName>
    <definedName name="净资产合计95期末">[6]企业表一!$H$20</definedName>
    <definedName name="客户">[5]表头!$B$1</definedName>
    <definedName name="利_润_总_额93">'[6]M-5A'!$B$10</definedName>
    <definedName name="利_润_总_额94">'[6]M-5A'!$C$10</definedName>
    <definedName name="利_润_总_额95">'[6]M-5A'!$D$10</definedName>
    <definedName name="流_动_资_产93">'[6]M-5A'!$B$15</definedName>
    <definedName name="流_动_资_产94">'[6]M-5A'!$C$15</definedName>
    <definedName name="流_动_资_产95">'[6]M-5A'!$D$15</definedName>
    <definedName name="流动负债93期末">[6]企业表一!$D$15</definedName>
    <definedName name="流动负债94期末">[6]企业表一!$F$15</definedName>
    <definedName name="流动负债95期末">[6]企业表一!$H$15</definedName>
    <definedName name="去" localSheetId="10" hidden="1">#REF!</definedName>
    <definedName name="去" localSheetId="7" hidden="1">#REF!</definedName>
    <definedName name="去" localSheetId="8" hidden="1">#REF!</definedName>
    <definedName name="去" localSheetId="9" hidden="1">#REF!</definedName>
    <definedName name="去" localSheetId="4" hidden="1">#REF!</definedName>
    <definedName name="去" localSheetId="5" hidden="1">#REF!</definedName>
    <definedName name="去" localSheetId="6" hidden="1">#REF!</definedName>
    <definedName name="去" hidden="1">#REF!</definedName>
    <definedName name="日期1">[5]表头!$B$5</definedName>
    <definedName name="日期2">[5]表头!$B$6</definedName>
    <definedName name="事实上" localSheetId="10">[7]B!#REF!</definedName>
    <definedName name="事实上" localSheetId="7">[7]B!#REF!</definedName>
    <definedName name="事实上" localSheetId="8">[7]B!#REF!</definedName>
    <definedName name="事实上" localSheetId="9">[7]B!#REF!</definedName>
    <definedName name="事实上" localSheetId="4">[7]B!#REF!</definedName>
    <definedName name="事实上" localSheetId="6">[7]B!#REF!</definedName>
    <definedName name="事实上">[7]B!#REF!</definedName>
    <definedName name="速_动_资_产93">'[6]M-5A'!$B$14</definedName>
    <definedName name="速_动_资_产94">'[6]M-5A'!$C$14</definedName>
    <definedName name="速_动_资_产95">'[6]M-5A'!$D$14</definedName>
    <definedName name="新目录" localSheetId="10" hidden="1">#REF!</definedName>
    <definedName name="新目录" localSheetId="7" hidden="1">#REF!</definedName>
    <definedName name="新目录" localSheetId="8" hidden="1">#REF!</definedName>
    <definedName name="新目录" localSheetId="9" hidden="1">#REF!</definedName>
    <definedName name="新目录" hidden="1">#REF!</definedName>
    <definedName name="应收帐款93期初">[6]企业表一!$C$6</definedName>
    <definedName name="应收帐款93期末">[6]企业表一!$D$6</definedName>
    <definedName name="应收帐款94期初">[6]企业表一!$E$6</definedName>
    <definedName name="应收帐款94期末">[6]企业表一!$F$6</definedName>
    <definedName name="应收帐款95期初">[6]企业表一!$G$6</definedName>
    <definedName name="应收帐款95期末">[6]企业表一!$H$6</definedName>
    <definedName name="资产合计93期初">[6]企业表一!$C$14</definedName>
    <definedName name="资产合计93期末">[6]企业表一!$D$14</definedName>
    <definedName name="资产合计94期初">[6]企业表一!$E$14</definedName>
    <definedName name="资产合计94期末">[6]企业表一!$F$14</definedName>
    <definedName name="资产合计95期初">[6]企业表一!$G$14</definedName>
    <definedName name="资产合计95期末">[6]企业表一!$H$14</definedName>
  </definedNames>
  <calcPr calcId="191029"/>
</workbook>
</file>

<file path=xl/calcChain.xml><?xml version="1.0" encoding="utf-8"?>
<calcChain xmlns="http://schemas.openxmlformats.org/spreadsheetml/2006/main">
  <c r="D31" i="13" l="1"/>
  <c r="F19" i="9"/>
  <c r="I19" i="9" s="1"/>
  <c r="E21" i="9"/>
  <c r="C47" i="13"/>
  <c r="D18" i="12"/>
  <c r="D19" i="11"/>
  <c r="D18" i="11"/>
  <c r="E18" i="11" s="1"/>
  <c r="F18" i="11" s="1"/>
  <c r="D17" i="13"/>
  <c r="B25" i="13"/>
  <c r="F10" i="13"/>
  <c r="D10" i="13"/>
  <c r="G10" i="13" s="1"/>
  <c r="G3" i="13"/>
  <c r="D3" i="13"/>
  <c r="G18" i="11"/>
  <c r="H17" i="11"/>
  <c r="I17" i="11" s="1"/>
  <c r="G17" i="11"/>
  <c r="B25" i="12"/>
  <c r="H16" i="12"/>
  <c r="I16" i="12" s="1"/>
  <c r="H17" i="12"/>
  <c r="I17" i="12" s="1"/>
  <c r="H18" i="12"/>
  <c r="I18" i="12" s="1"/>
  <c r="H19" i="12"/>
  <c r="I19" i="12" s="1"/>
  <c r="H20" i="12"/>
  <c r="I20" i="12" s="1"/>
  <c r="H21" i="12"/>
  <c r="I21" i="12" s="1"/>
  <c r="H22" i="12"/>
  <c r="I22" i="12" s="1"/>
  <c r="H23" i="12"/>
  <c r="I23" i="12" s="1"/>
  <c r="H24" i="12"/>
  <c r="I24" i="12" s="1"/>
  <c r="H15" i="12"/>
  <c r="I15" i="12" s="1"/>
  <c r="E17" i="12"/>
  <c r="F17" i="12" s="1"/>
  <c r="D10" i="12"/>
  <c r="G10" i="12" s="1"/>
  <c r="G3" i="12"/>
  <c r="D3" i="12"/>
  <c r="E17" i="11"/>
  <c r="F17" i="11" s="1"/>
  <c r="B25" i="11"/>
  <c r="D10" i="11"/>
  <c r="G10" i="11" s="1"/>
  <c r="G3" i="11"/>
  <c r="D3" i="11"/>
  <c r="G19" i="11" l="1"/>
  <c r="D20" i="11"/>
  <c r="E19" i="11"/>
  <c r="F19" i="11" s="1"/>
  <c r="E18" i="12"/>
  <c r="F18" i="12" s="1"/>
  <c r="D19" i="12"/>
  <c r="E10" i="13"/>
  <c r="G17" i="13"/>
  <c r="D18" i="13"/>
  <c r="E17" i="13"/>
  <c r="H17" i="13" s="1"/>
  <c r="I17" i="13" s="1"/>
  <c r="E20" i="11"/>
  <c r="F20" i="11" s="1"/>
  <c r="F17" i="13"/>
  <c r="C17" i="13"/>
  <c r="C18" i="12"/>
  <c r="C42" i="12" s="1"/>
  <c r="C17" i="12"/>
  <c r="C41" i="12" s="1"/>
  <c r="C19" i="11"/>
  <c r="C40" i="11" s="1"/>
  <c r="H18" i="11"/>
  <c r="I18" i="11" s="1"/>
  <c r="C18" i="11"/>
  <c r="C39" i="11" s="1"/>
  <c r="C17" i="11"/>
  <c r="C38" i="11" s="1"/>
  <c r="C20" i="11"/>
  <c r="C41" i="11" s="1"/>
  <c r="E10" i="11"/>
  <c r="F10" i="11"/>
  <c r="I25" i="12"/>
  <c r="C28" i="12" s="1"/>
  <c r="E10" i="12"/>
  <c r="F10" i="12"/>
  <c r="G18" i="13" l="1"/>
  <c r="D19" i="13"/>
  <c r="E18" i="13"/>
  <c r="D21" i="11"/>
  <c r="G20" i="11"/>
  <c r="E19" i="12"/>
  <c r="D20" i="12"/>
  <c r="H20" i="11"/>
  <c r="I20" i="11" s="1"/>
  <c r="H19" i="11"/>
  <c r="I19" i="11" s="1"/>
  <c r="H44" i="12"/>
  <c r="H48" i="12"/>
  <c r="H41" i="12"/>
  <c r="H45" i="12"/>
  <c r="H40" i="12"/>
  <c r="H42" i="12"/>
  <c r="H46" i="12"/>
  <c r="H39" i="12"/>
  <c r="H43" i="12"/>
  <c r="H47" i="12"/>
  <c r="G39" i="12"/>
  <c r="H18" i="13" l="1"/>
  <c r="I18" i="13" s="1"/>
  <c r="C18" i="13"/>
  <c r="F18" i="13"/>
  <c r="F19" i="12"/>
  <c r="C19" i="12"/>
  <c r="C43" i="12" s="1"/>
  <c r="E21" i="11"/>
  <c r="G21" i="11"/>
  <c r="D22" i="11"/>
  <c r="G19" i="13"/>
  <c r="E19" i="13"/>
  <c r="D20" i="13"/>
  <c r="D21" i="12"/>
  <c r="E20" i="12"/>
  <c r="I39" i="12"/>
  <c r="G40" i="12" s="1"/>
  <c r="I40" i="12" s="1"/>
  <c r="G41" i="12" s="1"/>
  <c r="I41" i="12" s="1"/>
  <c r="G42" i="12" s="1"/>
  <c r="I42" i="12" s="1"/>
  <c r="G43" i="12" s="1"/>
  <c r="I43" i="12" s="1"/>
  <c r="G44" i="12" s="1"/>
  <c r="I44" i="12" s="1"/>
  <c r="G45" i="12" s="1"/>
  <c r="I45" i="12" s="1"/>
  <c r="G46" i="12" s="1"/>
  <c r="I46" i="12" s="1"/>
  <c r="G47" i="12" s="1"/>
  <c r="I47" i="12" s="1"/>
  <c r="G48" i="12" s="1"/>
  <c r="I48" i="12" s="1"/>
  <c r="H49" i="12"/>
  <c r="D32" i="12"/>
  <c r="F21" i="11" l="1"/>
  <c r="H21" i="11"/>
  <c r="I21" i="11" s="1"/>
  <c r="C21" i="11"/>
  <c r="C42" i="11" s="1"/>
  <c r="D21" i="13"/>
  <c r="G20" i="13"/>
  <c r="E20" i="13"/>
  <c r="E22" i="11"/>
  <c r="G22" i="11"/>
  <c r="D23" i="11"/>
  <c r="F20" i="12"/>
  <c r="C20" i="12"/>
  <c r="C44" i="12" s="1"/>
  <c r="D22" i="12"/>
  <c r="E21" i="12"/>
  <c r="F19" i="13"/>
  <c r="C19" i="13"/>
  <c r="H19" i="13"/>
  <c r="I19" i="13" s="1"/>
  <c r="C20" i="13" l="1"/>
  <c r="H20" i="13"/>
  <c r="I20" i="13" s="1"/>
  <c r="F20" i="13"/>
  <c r="C22" i="11"/>
  <c r="C43" i="11" s="1"/>
  <c r="F22" i="11"/>
  <c r="H22" i="11"/>
  <c r="I22" i="11" s="1"/>
  <c r="F21" i="12"/>
  <c r="C21" i="12"/>
  <c r="C45" i="12" s="1"/>
  <c r="D24" i="11"/>
  <c r="G23" i="11"/>
  <c r="E23" i="11"/>
  <c r="E22" i="12"/>
  <c r="D23" i="12"/>
  <c r="G21" i="13"/>
  <c r="D22" i="13"/>
  <c r="E21" i="13"/>
  <c r="D24" i="12" l="1"/>
  <c r="E24" i="12" s="1"/>
  <c r="E23" i="12"/>
  <c r="C22" i="12"/>
  <c r="F22" i="12"/>
  <c r="H23" i="11"/>
  <c r="I23" i="11" s="1"/>
  <c r="F23" i="11"/>
  <c r="C23" i="11"/>
  <c r="E24" i="11"/>
  <c r="G24" i="11"/>
  <c r="G22" i="13"/>
  <c r="E22" i="13"/>
  <c r="D23" i="13"/>
  <c r="C21" i="13"/>
  <c r="H21" i="13"/>
  <c r="I21" i="13" s="1"/>
  <c r="F21" i="13"/>
  <c r="C44" i="11" l="1"/>
  <c r="F24" i="11"/>
  <c r="C24" i="11"/>
  <c r="C45" i="11" s="1"/>
  <c r="H24" i="11"/>
  <c r="I24" i="11" s="1"/>
  <c r="I25" i="11" s="1"/>
  <c r="D24" i="13"/>
  <c r="G23" i="13"/>
  <c r="E23" i="13"/>
  <c r="H22" i="13"/>
  <c r="I22" i="13" s="1"/>
  <c r="C22" i="13"/>
  <c r="F22" i="13"/>
  <c r="C23" i="12"/>
  <c r="F23" i="12"/>
  <c r="F25" i="12" s="1"/>
  <c r="B41" i="12" s="1"/>
  <c r="F25" i="11"/>
  <c r="B38" i="11" s="1"/>
  <c r="E38" i="11" s="1"/>
  <c r="C46" i="12"/>
  <c r="C24" i="12"/>
  <c r="C48" i="12" s="1"/>
  <c r="F24" i="12"/>
  <c r="H38" i="11" l="1"/>
  <c r="G38" i="11"/>
  <c r="C28" i="11"/>
  <c r="D34" i="12"/>
  <c r="C30" i="12" s="1"/>
  <c r="C47" i="12"/>
  <c r="C49" i="12" s="1"/>
  <c r="C25" i="11"/>
  <c r="E41" i="12"/>
  <c r="F41" i="12" s="1"/>
  <c r="F23" i="13"/>
  <c r="H23" i="13"/>
  <c r="I23" i="13" s="1"/>
  <c r="C23" i="13"/>
  <c r="C46" i="11"/>
  <c r="E24" i="13"/>
  <c r="G24" i="13"/>
  <c r="C25" i="12"/>
  <c r="D33" i="12" s="1"/>
  <c r="H39" i="11"/>
  <c r="H40" i="11" s="1"/>
  <c r="H41" i="11" s="1"/>
  <c r="H42" i="11" s="1"/>
  <c r="H43" i="11" s="1"/>
  <c r="H44" i="11" s="1"/>
  <c r="H45" i="11" s="1"/>
  <c r="F38" i="11"/>
  <c r="I38" i="11"/>
  <c r="G39" i="11" s="1"/>
  <c r="B39" i="11"/>
  <c r="E39" i="11" s="1"/>
  <c r="D30" i="11" l="1"/>
  <c r="D31" i="11"/>
  <c r="F24" i="13"/>
  <c r="F25" i="13" s="1"/>
  <c r="B38" i="13" s="1"/>
  <c r="H24" i="13"/>
  <c r="I24" i="13" s="1"/>
  <c r="C24" i="13"/>
  <c r="C25" i="13" s="1"/>
  <c r="D30" i="13" s="1"/>
  <c r="D32" i="13" s="1"/>
  <c r="I25" i="13"/>
  <c r="D35" i="12"/>
  <c r="C29" i="12"/>
  <c r="B42" i="12"/>
  <c r="H46" i="11"/>
  <c r="B40" i="11"/>
  <c r="E40" i="11" s="1"/>
  <c r="I39" i="11"/>
  <c r="G40" i="11" s="1"/>
  <c r="I40" i="11" s="1"/>
  <c r="G41" i="11" s="1"/>
  <c r="I41" i="11" s="1"/>
  <c r="G42" i="11" s="1"/>
  <c r="I42" i="11" s="1"/>
  <c r="G43" i="11" s="1"/>
  <c r="I43" i="11" s="1"/>
  <c r="G44" i="11" s="1"/>
  <c r="I44" i="11" s="1"/>
  <c r="G45" i="11" s="1"/>
  <c r="I45" i="11" s="1"/>
  <c r="E38" i="13" l="1"/>
  <c r="B39" i="13" s="1"/>
  <c r="F38" i="13"/>
  <c r="E42" i="12"/>
  <c r="B43" i="12"/>
  <c r="F42" i="12"/>
  <c r="D32" i="11"/>
  <c r="H46" i="13"/>
  <c r="H38" i="13"/>
  <c r="H39" i="13"/>
  <c r="H42" i="13"/>
  <c r="H40" i="13"/>
  <c r="H41" i="13"/>
  <c r="H45" i="13"/>
  <c r="H43" i="13"/>
  <c r="H44" i="13"/>
  <c r="C28" i="13"/>
  <c r="G38" i="13"/>
  <c r="I38" i="13" s="1"/>
  <c r="G39" i="13" s="1"/>
  <c r="I39" i="13" s="1"/>
  <c r="G40" i="13" s="1"/>
  <c r="B41" i="11"/>
  <c r="E41" i="11" s="1"/>
  <c r="F39" i="11"/>
  <c r="E39" i="13" l="1"/>
  <c r="B40" i="13" s="1"/>
  <c r="E43" i="12"/>
  <c r="B44" i="12"/>
  <c r="F43" i="12"/>
  <c r="I40" i="13"/>
  <c r="G41" i="13" s="1"/>
  <c r="I41" i="13" s="1"/>
  <c r="G42" i="13" s="1"/>
  <c r="I42" i="13" s="1"/>
  <c r="G43" i="13" s="1"/>
  <c r="I43" i="13" s="1"/>
  <c r="G44" i="13" s="1"/>
  <c r="I44" i="13" s="1"/>
  <c r="G45" i="13" s="1"/>
  <c r="I45" i="13" s="1"/>
  <c r="G46" i="13" s="1"/>
  <c r="I46" i="13" s="1"/>
  <c r="H47" i="13"/>
  <c r="B42" i="11"/>
  <c r="E42" i="11" s="1"/>
  <c r="F40" i="11"/>
  <c r="E40" i="13" l="1"/>
  <c r="B41" i="13" s="1"/>
  <c r="F39" i="13"/>
  <c r="E44" i="12"/>
  <c r="F44" i="12" s="1"/>
  <c r="B45" i="12"/>
  <c r="B43" i="11"/>
  <c r="E43" i="11" s="1"/>
  <c r="F41" i="11"/>
  <c r="E41" i="13" l="1"/>
  <c r="B42" i="13" s="1"/>
  <c r="F40" i="13"/>
  <c r="E45" i="12"/>
  <c r="B46" i="12" s="1"/>
  <c r="F43" i="11"/>
  <c r="F42" i="11"/>
  <c r="E42" i="13" l="1"/>
  <c r="B43" i="13" s="1"/>
  <c r="F42" i="13"/>
  <c r="E46" i="12"/>
  <c r="F46" i="12" s="1"/>
  <c r="F41" i="13"/>
  <c r="F45" i="12"/>
  <c r="B44" i="11"/>
  <c r="E44" i="11" s="1"/>
  <c r="E43" i="13" l="1"/>
  <c r="B44" i="13" s="1"/>
  <c r="F43" i="13"/>
  <c r="B47" i="12"/>
  <c r="B45" i="11"/>
  <c r="E44" i="13" l="1"/>
  <c r="F44" i="13" s="1"/>
  <c r="B45" i="13"/>
  <c r="E47" i="12"/>
  <c r="F47" i="12" s="1"/>
  <c r="B48" i="12"/>
  <c r="E45" i="11"/>
  <c r="F44" i="11"/>
  <c r="E45" i="13" l="1"/>
  <c r="B46" i="13" s="1"/>
  <c r="F45" i="13"/>
  <c r="E48" i="12"/>
  <c r="E49" i="12" s="1"/>
  <c r="C31" i="12" s="1"/>
  <c r="C35" i="12" s="1"/>
  <c r="F48" i="12"/>
  <c r="F45" i="11"/>
  <c r="E46" i="11"/>
  <c r="C29" i="11" s="1"/>
  <c r="C32" i="11" s="1"/>
  <c r="E46" i="13" l="1"/>
  <c r="E47" i="13" s="1"/>
  <c r="C29" i="13" s="1"/>
  <c r="C32" i="13" s="1"/>
  <c r="F46" i="13"/>
  <c r="F348" i="9"/>
  <c r="D348" i="9"/>
  <c r="C348" i="9"/>
  <c r="A22" i="9"/>
  <c r="E22" i="9" s="1"/>
  <c r="B21" i="9"/>
  <c r="I21" i="9" s="1"/>
  <c r="C18" i="9"/>
  <c r="A4" i="9"/>
  <c r="F3" i="9"/>
  <c r="D3" i="9"/>
  <c r="A3" i="9"/>
  <c r="B22" i="9" l="1"/>
  <c r="I22" i="9" s="1"/>
  <c r="A23" i="9"/>
  <c r="B23" i="9" l="1"/>
  <c r="I23" i="9" s="1"/>
  <c r="A24" i="9"/>
  <c r="E24" i="9" s="1"/>
  <c r="E23" i="9"/>
  <c r="A25" i="9"/>
  <c r="E25" i="9" s="1"/>
  <c r="F63" i="7"/>
  <c r="F55" i="7"/>
  <c r="G3" i="7"/>
  <c r="E3" i="7"/>
  <c r="G191" i="6"/>
  <c r="G190" i="6"/>
  <c r="G189" i="6"/>
  <c r="G188" i="6"/>
  <c r="G186" i="6"/>
  <c r="G185" i="6"/>
  <c r="G184" i="6"/>
  <c r="G183" i="6"/>
  <c r="G180" i="6"/>
  <c r="G179" i="6"/>
  <c r="G178" i="6"/>
  <c r="G177" i="6"/>
  <c r="G176" i="6"/>
  <c r="G173" i="6"/>
  <c r="G174" i="6"/>
  <c r="G175" i="6"/>
  <c r="G171" i="6"/>
  <c r="G170" i="6"/>
  <c r="G167" i="6"/>
  <c r="G169" i="6"/>
  <c r="G168" i="6"/>
  <c r="G166" i="6"/>
  <c r="G165" i="6"/>
  <c r="G164" i="6"/>
  <c r="G163" i="6"/>
  <c r="G161" i="6"/>
  <c r="G160" i="6"/>
  <c r="G159" i="6"/>
  <c r="G158" i="6"/>
  <c r="G157" i="6"/>
  <c r="G156" i="6"/>
  <c r="G155" i="6"/>
  <c r="G154" i="6"/>
  <c r="G153" i="6"/>
  <c r="G152" i="6"/>
  <c r="G151" i="6"/>
  <c r="G150" i="6"/>
  <c r="G3" i="6"/>
  <c r="E3" i="6"/>
  <c r="G3" i="1"/>
  <c r="E3" i="1"/>
  <c r="B24" i="9" l="1"/>
  <c r="I24" i="9" s="1"/>
  <c r="A26" i="9"/>
  <c r="E26" i="9" s="1"/>
  <c r="A3" i="5"/>
  <c r="B3" i="5"/>
  <c r="C3" i="5"/>
  <c r="A4" i="5"/>
  <c r="A3" i="4"/>
  <c r="B3" i="4"/>
  <c r="C3" i="4"/>
  <c r="A4" i="4"/>
  <c r="A3" i="3"/>
  <c r="B3" i="3"/>
  <c r="D3" i="3"/>
  <c r="A4" i="3"/>
  <c r="A4" i="1" l="1"/>
  <c r="A4" i="13"/>
  <c r="A4" i="11"/>
  <c r="A4" i="12"/>
  <c r="A4" i="6"/>
  <c r="A4" i="7"/>
  <c r="A3" i="1"/>
  <c r="A3" i="12"/>
  <c r="A3" i="11"/>
  <c r="A3" i="13"/>
  <c r="A3" i="7"/>
  <c r="A3" i="6"/>
  <c r="B25" i="9"/>
  <c r="I25" i="9" s="1"/>
  <c r="A27" i="9"/>
  <c r="E27" i="9" s="1"/>
  <c r="B26" i="9" l="1"/>
  <c r="I26" i="9" s="1"/>
  <c r="A28" i="9"/>
  <c r="E28" i="9" s="1"/>
  <c r="B27" i="9" l="1"/>
  <c r="I27" i="9" s="1"/>
  <c r="A29" i="9"/>
  <c r="E29" i="9" s="1"/>
  <c r="B28" i="9" l="1"/>
  <c r="I28" i="9" s="1"/>
  <c r="A30" i="9"/>
  <c r="E30" i="9" s="1"/>
  <c r="B29" i="9" l="1"/>
  <c r="I29" i="9" s="1"/>
  <c r="A31" i="9"/>
  <c r="E31" i="9" s="1"/>
  <c r="B30" i="9" l="1"/>
  <c r="I30" i="9" s="1"/>
  <c r="A32" i="9"/>
  <c r="E32" i="9" s="1"/>
  <c r="B31" i="9" l="1"/>
  <c r="I31" i="9" s="1"/>
  <c r="A33" i="9"/>
  <c r="E33" i="9" s="1"/>
  <c r="B32" i="9" l="1"/>
  <c r="I32" i="9" s="1"/>
  <c r="A34" i="9"/>
  <c r="E34" i="9" s="1"/>
  <c r="B33" i="9" l="1"/>
  <c r="I33" i="9" s="1"/>
  <c r="A35" i="9"/>
  <c r="E35" i="9" s="1"/>
  <c r="B34" i="9" l="1"/>
  <c r="I34" i="9" s="1"/>
  <c r="B35" i="9"/>
  <c r="I35" i="9" s="1"/>
  <c r="A36" i="9"/>
  <c r="E36" i="9" s="1"/>
  <c r="A37" i="9" l="1"/>
  <c r="E37" i="9" s="1"/>
  <c r="B36" i="9"/>
  <c r="I36" i="9" s="1"/>
  <c r="B37" i="9" l="1"/>
  <c r="I37" i="9" s="1"/>
  <c r="A38" i="9"/>
  <c r="E38" i="9" s="1"/>
  <c r="B38" i="9" l="1"/>
  <c r="I38" i="9" s="1"/>
  <c r="A39" i="9"/>
  <c r="E39" i="9" s="1"/>
  <c r="A40" i="9" l="1"/>
  <c r="E40" i="9" s="1"/>
  <c r="B39" i="9"/>
  <c r="I39" i="9" s="1"/>
  <c r="A41" i="9" l="1"/>
  <c r="E41" i="9" s="1"/>
  <c r="B40" i="9"/>
  <c r="I40" i="9" s="1"/>
  <c r="B41" i="9" l="1"/>
  <c r="I41" i="9" s="1"/>
  <c r="A42" i="9"/>
  <c r="E42" i="9" s="1"/>
  <c r="A43" i="9" l="1"/>
  <c r="E43" i="9" s="1"/>
  <c r="B42" i="9"/>
  <c r="I42" i="9" s="1"/>
  <c r="B43" i="9" l="1"/>
  <c r="I43" i="9" s="1"/>
  <c r="A44" i="9"/>
  <c r="E44" i="9" s="1"/>
  <c r="A45" i="9" l="1"/>
  <c r="E45" i="9" s="1"/>
  <c r="B44" i="9"/>
  <c r="I44" i="9" s="1"/>
  <c r="B45" i="9" l="1"/>
  <c r="I45" i="9" s="1"/>
  <c r="A46" i="9"/>
  <c r="E46" i="9" s="1"/>
  <c r="B46" i="9" l="1"/>
  <c r="I46" i="9" s="1"/>
  <c r="A47" i="9"/>
  <c r="E47" i="9" s="1"/>
  <c r="A48" i="9" l="1"/>
  <c r="E48" i="9" s="1"/>
  <c r="B47" i="9"/>
  <c r="I47" i="9" s="1"/>
  <c r="A49" i="9" l="1"/>
  <c r="E49" i="9" s="1"/>
  <c r="B48" i="9"/>
  <c r="I48" i="9" s="1"/>
  <c r="B49" i="9" l="1"/>
  <c r="I49" i="9" s="1"/>
  <c r="A50" i="9"/>
  <c r="E50" i="9" s="1"/>
  <c r="A51" i="9" l="1"/>
  <c r="E51" i="9" s="1"/>
  <c r="B50" i="9"/>
  <c r="I50" i="9" s="1"/>
  <c r="B51" i="9" l="1"/>
  <c r="I51" i="9" s="1"/>
  <c r="A52" i="9"/>
  <c r="E52" i="9" s="1"/>
  <c r="A53" i="9" l="1"/>
  <c r="E53" i="9" s="1"/>
  <c r="B52" i="9"/>
  <c r="I52" i="9" s="1"/>
  <c r="B53" i="9" l="1"/>
  <c r="I53" i="9" s="1"/>
  <c r="A54" i="9"/>
  <c r="E54" i="9" s="1"/>
  <c r="A55" i="9" l="1"/>
  <c r="E55" i="9" s="1"/>
  <c r="B54" i="9"/>
  <c r="I54" i="9" s="1"/>
  <c r="B55" i="9" l="1"/>
  <c r="I55" i="9" s="1"/>
  <c r="A56" i="9"/>
  <c r="E56" i="9" s="1"/>
  <c r="A57" i="9" l="1"/>
  <c r="E57" i="9" s="1"/>
  <c r="B56" i="9"/>
  <c r="I56" i="9" s="1"/>
  <c r="B57" i="9" l="1"/>
  <c r="I57" i="9" s="1"/>
  <c r="A58" i="9"/>
  <c r="E58" i="9" s="1"/>
  <c r="A59" i="9" l="1"/>
  <c r="E59" i="9" s="1"/>
  <c r="B58" i="9"/>
  <c r="I58" i="9" s="1"/>
  <c r="B59" i="9" l="1"/>
  <c r="I59" i="9" s="1"/>
  <c r="A60" i="9"/>
  <c r="E60" i="9" s="1"/>
  <c r="A61" i="9" l="1"/>
  <c r="E61" i="9" s="1"/>
  <c r="B60" i="9"/>
  <c r="I60" i="9" s="1"/>
  <c r="B61" i="9" l="1"/>
  <c r="I61" i="9" s="1"/>
  <c r="A62" i="9"/>
  <c r="E62" i="9" s="1"/>
  <c r="A63" i="9" l="1"/>
  <c r="E63" i="9" s="1"/>
  <c r="B62" i="9"/>
  <c r="I62" i="9" s="1"/>
  <c r="A64" i="9" l="1"/>
  <c r="E64" i="9" s="1"/>
  <c r="B63" i="9"/>
  <c r="I63" i="9" s="1"/>
  <c r="A65" i="9" l="1"/>
  <c r="E65" i="9" s="1"/>
  <c r="B64" i="9"/>
  <c r="I64" i="9" s="1"/>
  <c r="B65" i="9" l="1"/>
  <c r="I65" i="9" s="1"/>
  <c r="A66" i="9"/>
  <c r="E66" i="9" s="1"/>
  <c r="B66" i="9" l="1"/>
  <c r="I66" i="9" s="1"/>
  <c r="A67" i="9"/>
  <c r="E67" i="9" s="1"/>
  <c r="A68" i="9" l="1"/>
  <c r="E68" i="9" s="1"/>
  <c r="B67" i="9"/>
  <c r="I67" i="9" s="1"/>
  <c r="B68" i="9" l="1"/>
  <c r="I68" i="9" s="1"/>
  <c r="A69" i="9"/>
  <c r="E69" i="9" s="1"/>
  <c r="A70" i="9" l="1"/>
  <c r="E70" i="9" s="1"/>
  <c r="B69" i="9"/>
  <c r="I69" i="9" s="1"/>
  <c r="A71" i="9" l="1"/>
  <c r="E71" i="9" s="1"/>
  <c r="B70" i="9"/>
  <c r="I70" i="9" s="1"/>
  <c r="B71" i="9" l="1"/>
  <c r="I71" i="9" s="1"/>
  <c r="A72" i="9"/>
  <c r="E72" i="9" s="1"/>
  <c r="A73" i="9" l="1"/>
  <c r="E73" i="9" s="1"/>
  <c r="B72" i="9"/>
  <c r="I72" i="9" s="1"/>
  <c r="B73" i="9" l="1"/>
  <c r="I73" i="9" s="1"/>
  <c r="A74" i="9"/>
  <c r="E74" i="9" s="1"/>
  <c r="B74" i="9" l="1"/>
  <c r="I74" i="9" s="1"/>
  <c r="A75" i="9"/>
  <c r="E75" i="9" s="1"/>
  <c r="B75" i="9" l="1"/>
  <c r="I75" i="9" s="1"/>
  <c r="A76" i="9"/>
  <c r="E76" i="9" s="1"/>
  <c r="A77" i="9" l="1"/>
  <c r="E77" i="9" s="1"/>
  <c r="B76" i="9"/>
  <c r="I76" i="9" s="1"/>
  <c r="A78" i="9" l="1"/>
  <c r="E78" i="9" s="1"/>
  <c r="B77" i="9"/>
  <c r="I77" i="9" s="1"/>
  <c r="B78" i="9" l="1"/>
  <c r="I78" i="9" s="1"/>
  <c r="A79" i="9"/>
  <c r="E79" i="9" s="1"/>
  <c r="A80" i="9" l="1"/>
  <c r="E80" i="9" s="1"/>
  <c r="B79" i="9"/>
  <c r="I79" i="9" s="1"/>
  <c r="B80" i="9" l="1"/>
  <c r="I80" i="9" s="1"/>
  <c r="A81" i="9"/>
  <c r="E81" i="9" s="1"/>
  <c r="A82" i="9" l="1"/>
  <c r="E82" i="9" s="1"/>
  <c r="B81" i="9"/>
  <c r="I81" i="9" s="1"/>
  <c r="B82" i="9" l="1"/>
  <c r="I82" i="9" s="1"/>
  <c r="A83" i="9"/>
  <c r="E83" i="9" s="1"/>
  <c r="A84" i="9" l="1"/>
  <c r="E84" i="9" s="1"/>
  <c r="B83" i="9"/>
  <c r="I83" i="9" s="1"/>
  <c r="B84" i="9" l="1"/>
  <c r="I84" i="9" s="1"/>
  <c r="A85" i="9"/>
  <c r="E85" i="9" s="1"/>
  <c r="B85" i="9" l="1"/>
  <c r="I85" i="9" s="1"/>
  <c r="A86" i="9"/>
  <c r="E86" i="9" s="1"/>
  <c r="A87" i="9" l="1"/>
  <c r="E87" i="9" s="1"/>
  <c r="B86" i="9"/>
  <c r="I86" i="9" s="1"/>
  <c r="A88" i="9" l="1"/>
  <c r="E88" i="9" s="1"/>
  <c r="B87" i="9"/>
  <c r="I87" i="9" s="1"/>
  <c r="B88" i="9" l="1"/>
  <c r="I88" i="9" s="1"/>
  <c r="A89" i="9"/>
  <c r="E89" i="9" s="1"/>
  <c r="B89" i="9" l="1"/>
  <c r="I89" i="9" s="1"/>
  <c r="A90" i="9"/>
  <c r="E90" i="9" s="1"/>
  <c r="A91" i="9" l="1"/>
  <c r="E91" i="9" s="1"/>
  <c r="B90" i="9"/>
  <c r="I90" i="9" s="1"/>
  <c r="A92" i="9" l="1"/>
  <c r="E92" i="9" s="1"/>
  <c r="B91" i="9"/>
  <c r="I91" i="9" s="1"/>
  <c r="B92" i="9" l="1"/>
  <c r="I92" i="9" s="1"/>
  <c r="A93" i="9"/>
  <c r="E93" i="9" s="1"/>
  <c r="A94" i="9" l="1"/>
  <c r="E94" i="9" s="1"/>
  <c r="B93" i="9"/>
  <c r="I93" i="9" s="1"/>
  <c r="B94" i="9" l="1"/>
  <c r="I94" i="9" s="1"/>
  <c r="A95" i="9"/>
  <c r="E95" i="9" s="1"/>
  <c r="A96" i="9" l="1"/>
  <c r="E96" i="9" s="1"/>
  <c r="B95" i="9"/>
  <c r="I95" i="9" s="1"/>
  <c r="B96" i="9" l="1"/>
  <c r="I96" i="9" s="1"/>
  <c r="A97" i="9"/>
  <c r="E97" i="9" s="1"/>
  <c r="A98" i="9" l="1"/>
  <c r="E98" i="9" s="1"/>
  <c r="B97" i="9"/>
  <c r="I97" i="9" s="1"/>
  <c r="B98" i="9" l="1"/>
  <c r="I98" i="9" s="1"/>
  <c r="A99" i="9"/>
  <c r="E99" i="9" s="1"/>
  <c r="A100" i="9" l="1"/>
  <c r="E100" i="9" s="1"/>
  <c r="B99" i="9"/>
  <c r="I99" i="9" s="1"/>
  <c r="B100" i="9" l="1"/>
  <c r="I100" i="9" s="1"/>
  <c r="A101" i="9"/>
  <c r="E101" i="9" s="1"/>
  <c r="A102" i="9" l="1"/>
  <c r="E102" i="9" s="1"/>
  <c r="B101" i="9"/>
  <c r="I101" i="9" s="1"/>
  <c r="B102" i="9" l="1"/>
  <c r="I102" i="9" s="1"/>
  <c r="A103" i="9"/>
  <c r="E103" i="9" s="1"/>
  <c r="A104" i="9" l="1"/>
  <c r="E104" i="9" s="1"/>
  <c r="B103" i="9"/>
  <c r="I103" i="9" s="1"/>
  <c r="B104" i="9" l="1"/>
  <c r="I104" i="9" s="1"/>
  <c r="A105" i="9"/>
  <c r="E105" i="9" s="1"/>
  <c r="A106" i="9" l="1"/>
  <c r="E106" i="9" s="1"/>
  <c r="B105" i="9"/>
  <c r="I105" i="9" s="1"/>
  <c r="B106" i="9" l="1"/>
  <c r="I106" i="9" s="1"/>
  <c r="A107" i="9"/>
  <c r="E107" i="9" s="1"/>
  <c r="A108" i="9" l="1"/>
  <c r="E108" i="9" s="1"/>
  <c r="B107" i="9"/>
  <c r="I107" i="9" s="1"/>
  <c r="B108" i="9" l="1"/>
  <c r="I108" i="9" s="1"/>
  <c r="A109" i="9"/>
  <c r="E109" i="9" s="1"/>
  <c r="A110" i="9" l="1"/>
  <c r="E110" i="9" s="1"/>
  <c r="B109" i="9"/>
  <c r="I109" i="9" s="1"/>
  <c r="B110" i="9" l="1"/>
  <c r="I110" i="9" s="1"/>
  <c r="A111" i="9"/>
  <c r="E111" i="9" s="1"/>
  <c r="A112" i="9" l="1"/>
  <c r="E112" i="9" s="1"/>
  <c r="B111" i="9"/>
  <c r="I111" i="9" s="1"/>
  <c r="B112" i="9" l="1"/>
  <c r="I112" i="9" s="1"/>
  <c r="A113" i="9"/>
  <c r="E113" i="9" s="1"/>
  <c r="B113" i="9" l="1"/>
  <c r="I113" i="9" s="1"/>
  <c r="A114" i="9"/>
  <c r="E114" i="9" s="1"/>
  <c r="A115" i="9" l="1"/>
  <c r="E115" i="9" s="1"/>
  <c r="B114" i="9"/>
  <c r="I114" i="9" s="1"/>
  <c r="A116" i="9" l="1"/>
  <c r="E116" i="9" s="1"/>
  <c r="B115" i="9"/>
  <c r="I115" i="9" s="1"/>
  <c r="B116" i="9" l="1"/>
  <c r="I116" i="9" s="1"/>
  <c r="A117" i="9"/>
  <c r="E117" i="9" s="1"/>
  <c r="A118" i="9" l="1"/>
  <c r="E118" i="9" s="1"/>
  <c r="B117" i="9"/>
  <c r="I117" i="9" s="1"/>
  <c r="B118" i="9" l="1"/>
  <c r="I118" i="9" s="1"/>
  <c r="A119" i="9"/>
  <c r="E119" i="9" s="1"/>
  <c r="A120" i="9" l="1"/>
  <c r="E120" i="9" s="1"/>
  <c r="B119" i="9"/>
  <c r="I119" i="9" s="1"/>
  <c r="B120" i="9" l="1"/>
  <c r="I120" i="9" s="1"/>
  <c r="A121" i="9"/>
  <c r="E121" i="9" s="1"/>
  <c r="A122" i="9" l="1"/>
  <c r="E122" i="9" s="1"/>
  <c r="B121" i="9"/>
  <c r="I121" i="9" s="1"/>
  <c r="B122" i="9" l="1"/>
  <c r="I122" i="9" s="1"/>
  <c r="A123" i="9"/>
  <c r="E123" i="9" s="1"/>
  <c r="A124" i="9" l="1"/>
  <c r="E124" i="9" s="1"/>
  <c r="B123" i="9"/>
  <c r="I123" i="9" s="1"/>
  <c r="B124" i="9" l="1"/>
  <c r="I124" i="9" s="1"/>
  <c r="A125" i="9"/>
  <c r="E125" i="9" s="1"/>
  <c r="A126" i="9" l="1"/>
  <c r="E126" i="9" s="1"/>
  <c r="B125" i="9"/>
  <c r="I125" i="9" s="1"/>
  <c r="B126" i="9" l="1"/>
  <c r="I126" i="9" s="1"/>
  <c r="A127" i="9"/>
  <c r="E127" i="9" s="1"/>
  <c r="A128" i="9" l="1"/>
  <c r="E128" i="9" s="1"/>
  <c r="B127" i="9"/>
  <c r="I127" i="9" s="1"/>
  <c r="B128" i="9" l="1"/>
  <c r="I128" i="9" s="1"/>
  <c r="A129" i="9"/>
  <c r="E129" i="9" s="1"/>
  <c r="B129" i="9" l="1"/>
  <c r="I129" i="9" s="1"/>
  <c r="A130" i="9"/>
  <c r="E130" i="9" s="1"/>
  <c r="A131" i="9" l="1"/>
  <c r="E131" i="9" s="1"/>
  <c r="B130" i="9"/>
  <c r="I130" i="9" s="1"/>
  <c r="A132" i="9" l="1"/>
  <c r="E132" i="9" s="1"/>
  <c r="B131" i="9"/>
  <c r="I131" i="9" s="1"/>
  <c r="B132" i="9" l="1"/>
  <c r="I132" i="9" s="1"/>
  <c r="A133" i="9"/>
  <c r="E133" i="9" s="1"/>
  <c r="B133" i="9" l="1"/>
  <c r="I133" i="9" s="1"/>
  <c r="A134" i="9"/>
  <c r="E134" i="9" s="1"/>
  <c r="A135" i="9" l="1"/>
  <c r="E135" i="9" s="1"/>
  <c r="B134" i="9"/>
  <c r="I134" i="9" s="1"/>
  <c r="A136" i="9" l="1"/>
  <c r="E136" i="9" s="1"/>
  <c r="B135" i="9"/>
  <c r="I135" i="9" s="1"/>
  <c r="B136" i="9" l="1"/>
  <c r="I136" i="9" s="1"/>
  <c r="A137" i="9"/>
  <c r="E137" i="9" s="1"/>
  <c r="A138" i="9" l="1"/>
  <c r="E138" i="9" s="1"/>
  <c r="B137" i="9"/>
  <c r="I137" i="9" s="1"/>
  <c r="B138" i="9" l="1"/>
  <c r="I138" i="9" s="1"/>
  <c r="A139" i="9"/>
  <c r="E139" i="9" s="1"/>
  <c r="A140" i="9" l="1"/>
  <c r="E140" i="9" s="1"/>
  <c r="B139" i="9"/>
  <c r="I139" i="9" s="1"/>
  <c r="B140" i="9" l="1"/>
  <c r="I140" i="9" s="1"/>
  <c r="A141" i="9"/>
  <c r="G141" i="9" l="1"/>
  <c r="E141" i="9"/>
  <c r="B141" i="9"/>
  <c r="I141" i="9" s="1"/>
  <c r="A142" i="9"/>
  <c r="E142" i="9" l="1"/>
  <c r="G142" i="9"/>
  <c r="A143" i="9"/>
  <c r="B142" i="9"/>
  <c r="I142" i="9" s="1"/>
  <c r="G143" i="9" l="1"/>
  <c r="E143" i="9"/>
  <c r="A144" i="9"/>
  <c r="B143" i="9"/>
  <c r="I143" i="9" s="1"/>
  <c r="G144" i="9" l="1"/>
  <c r="E144" i="9"/>
  <c r="B144" i="9"/>
  <c r="I144" i="9" s="1"/>
  <c r="A145" i="9"/>
  <c r="G145" i="9" l="1"/>
  <c r="E145" i="9"/>
  <c r="A146" i="9"/>
  <c r="B145" i="9"/>
  <c r="I145" i="9" s="1"/>
  <c r="G146" i="9" l="1"/>
  <c r="E146" i="9"/>
  <c r="B146" i="9"/>
  <c r="I146" i="9" s="1"/>
  <c r="A147" i="9"/>
  <c r="G147" i="9" l="1"/>
  <c r="E147" i="9"/>
  <c r="A148" i="9"/>
  <c r="B147" i="9"/>
  <c r="I147" i="9" s="1"/>
  <c r="G148" i="9" l="1"/>
  <c r="E148" i="9"/>
  <c r="B148" i="9"/>
  <c r="I148" i="9" s="1"/>
  <c r="A149" i="9"/>
  <c r="G149" i="9" l="1"/>
  <c r="E149" i="9"/>
  <c r="A150" i="9"/>
  <c r="B149" i="9"/>
  <c r="I149" i="9" s="1"/>
  <c r="G150" i="9" l="1"/>
  <c r="E150" i="9"/>
  <c r="B150" i="9"/>
  <c r="I150" i="9" s="1"/>
  <c r="A151" i="9"/>
  <c r="G151" i="9" l="1"/>
  <c r="E151" i="9"/>
  <c r="A152" i="9"/>
  <c r="B151" i="9"/>
  <c r="I151" i="9" s="1"/>
  <c r="G152" i="9" l="1"/>
  <c r="E152" i="9"/>
  <c r="B152" i="9"/>
  <c r="I152" i="9" s="1"/>
  <c r="A153" i="9"/>
  <c r="G153" i="9" l="1"/>
  <c r="E153" i="9"/>
  <c r="A154" i="9"/>
  <c r="B153" i="9"/>
  <c r="I153" i="9" s="1"/>
  <c r="G154" i="9" l="1"/>
  <c r="E154" i="9"/>
  <c r="B154" i="9"/>
  <c r="I154" i="9" s="1"/>
  <c r="A155" i="9"/>
  <c r="G155" i="9" l="1"/>
  <c r="E155" i="9"/>
  <c r="A156" i="9"/>
  <c r="B155" i="9"/>
  <c r="I155" i="9" s="1"/>
  <c r="G156" i="9" l="1"/>
  <c r="E156" i="9"/>
  <c r="B156" i="9"/>
  <c r="I156" i="9" s="1"/>
  <c r="A157" i="9"/>
  <c r="E157" i="9" l="1"/>
  <c r="G157" i="9"/>
  <c r="A158" i="9"/>
  <c r="B157" i="9"/>
  <c r="I157" i="9" s="1"/>
  <c r="G158" i="9" l="1"/>
  <c r="E158" i="9"/>
  <c r="B158" i="9"/>
  <c r="I158" i="9" s="1"/>
  <c r="A159" i="9"/>
  <c r="E159" i="9" l="1"/>
  <c r="G159" i="9"/>
  <c r="A160" i="9"/>
  <c r="B159" i="9"/>
  <c r="I159" i="9" s="1"/>
  <c r="G160" i="9" l="1"/>
  <c r="E160" i="9"/>
  <c r="B160" i="9"/>
  <c r="I160" i="9" s="1"/>
  <c r="A161" i="9"/>
  <c r="G161" i="9" l="1"/>
  <c r="E161" i="9"/>
  <c r="A162" i="9"/>
  <c r="B161" i="9"/>
  <c r="I161" i="9" s="1"/>
  <c r="G162" i="9" l="1"/>
  <c r="E162" i="9"/>
  <c r="B162" i="9"/>
  <c r="I162" i="9" s="1"/>
  <c r="A163" i="9"/>
  <c r="G163" i="9" l="1"/>
  <c r="E163" i="9"/>
  <c r="A164" i="9"/>
  <c r="B163" i="9"/>
  <c r="I163" i="9" s="1"/>
  <c r="G164" i="9" l="1"/>
  <c r="E164" i="9"/>
  <c r="B164" i="9"/>
  <c r="I164" i="9" s="1"/>
  <c r="A165" i="9"/>
  <c r="G165" i="9" l="1"/>
  <c r="E165" i="9"/>
  <c r="A166" i="9"/>
  <c r="B165" i="9"/>
  <c r="I165" i="9" s="1"/>
  <c r="G166" i="9" l="1"/>
  <c r="E166" i="9"/>
  <c r="A167" i="9"/>
  <c r="B166" i="9"/>
  <c r="I166" i="9" s="1"/>
  <c r="G167" i="9" l="1"/>
  <c r="E167" i="9"/>
  <c r="B167" i="9"/>
  <c r="I167" i="9" s="1"/>
  <c r="A168" i="9"/>
  <c r="G168" i="9" l="1"/>
  <c r="E168" i="9"/>
  <c r="A169" i="9"/>
  <c r="B168" i="9"/>
  <c r="I168" i="9" s="1"/>
  <c r="G169" i="9" l="1"/>
  <c r="E169" i="9"/>
  <c r="B169" i="9"/>
  <c r="I169" i="9" s="1"/>
  <c r="A170" i="9"/>
  <c r="G170" i="9" l="1"/>
  <c r="E170" i="9"/>
  <c r="A171" i="9"/>
  <c r="B170" i="9"/>
  <c r="I170" i="9" s="1"/>
  <c r="G171" i="9" l="1"/>
  <c r="E171" i="9"/>
  <c r="B171" i="9"/>
  <c r="I171" i="9" s="1"/>
  <c r="A172" i="9"/>
  <c r="G172" i="9" l="1"/>
  <c r="E172" i="9"/>
  <c r="A173" i="9"/>
  <c r="B172" i="9"/>
  <c r="I172" i="9" s="1"/>
  <c r="G173" i="9" l="1"/>
  <c r="E173" i="9"/>
  <c r="B173" i="9"/>
  <c r="I173" i="9" s="1"/>
  <c r="A174" i="9"/>
  <c r="G174" i="9" l="1"/>
  <c r="E174" i="9"/>
  <c r="A175" i="9"/>
  <c r="B174" i="9"/>
  <c r="I174" i="9" s="1"/>
  <c r="E175" i="9" l="1"/>
  <c r="G175" i="9"/>
  <c r="B175" i="9"/>
  <c r="I175" i="9" s="1"/>
  <c r="A176" i="9"/>
  <c r="G176" i="9" l="1"/>
  <c r="E176" i="9"/>
  <c r="A177" i="9"/>
  <c r="B176" i="9"/>
  <c r="I176" i="9" s="1"/>
  <c r="G177" i="9" l="1"/>
  <c r="E177" i="9"/>
  <c r="B177" i="9"/>
  <c r="I177" i="9" s="1"/>
  <c r="A178" i="9"/>
  <c r="G178" i="9" l="1"/>
  <c r="E178" i="9"/>
  <c r="A179" i="9"/>
  <c r="B178" i="9"/>
  <c r="I178" i="9" s="1"/>
  <c r="G179" i="9" l="1"/>
  <c r="E179" i="9"/>
  <c r="B179" i="9"/>
  <c r="I179" i="9" s="1"/>
  <c r="A180" i="9"/>
  <c r="G180" i="9" l="1"/>
  <c r="E180" i="9"/>
  <c r="A181" i="9"/>
  <c r="B180" i="9"/>
  <c r="I180" i="9" s="1"/>
  <c r="G181" i="9" l="1"/>
  <c r="E181" i="9"/>
  <c r="B181" i="9"/>
  <c r="I181" i="9" s="1"/>
  <c r="A182" i="9"/>
  <c r="G182" i="9" l="1"/>
  <c r="E182" i="9"/>
  <c r="A183" i="9"/>
  <c r="B182" i="9"/>
  <c r="I182" i="9" s="1"/>
  <c r="G183" i="9" l="1"/>
  <c r="E183" i="9"/>
  <c r="B183" i="9"/>
  <c r="I183" i="9" s="1"/>
  <c r="A184" i="9"/>
  <c r="G184" i="9" l="1"/>
  <c r="E184" i="9"/>
  <c r="A185" i="9"/>
  <c r="B184" i="9"/>
  <c r="I184" i="9" s="1"/>
  <c r="G185" i="9" l="1"/>
  <c r="E185" i="9"/>
  <c r="B185" i="9"/>
  <c r="I185" i="9" s="1"/>
  <c r="A186" i="9"/>
  <c r="G186" i="9" l="1"/>
  <c r="E186" i="9"/>
  <c r="A187" i="9"/>
  <c r="B186" i="9"/>
  <c r="I186" i="9" s="1"/>
  <c r="G187" i="9" l="1"/>
  <c r="E187" i="9"/>
  <c r="B187" i="9"/>
  <c r="I187" i="9" s="1"/>
  <c r="A188" i="9"/>
  <c r="E188" i="9" l="1"/>
  <c r="G188" i="9"/>
  <c r="A189" i="9"/>
  <c r="B188" i="9"/>
  <c r="I188" i="9" s="1"/>
  <c r="E189" i="9" l="1"/>
  <c r="G189" i="9"/>
  <c r="B189" i="9"/>
  <c r="I189" i="9" s="1"/>
  <c r="A190" i="9"/>
  <c r="E190" i="9" l="1"/>
  <c r="G190" i="9"/>
  <c r="A191" i="9"/>
  <c r="B190" i="9"/>
  <c r="I190" i="9" s="1"/>
  <c r="G191" i="9" l="1"/>
  <c r="E191" i="9"/>
  <c r="B191" i="9"/>
  <c r="I191" i="9" s="1"/>
  <c r="A192" i="9"/>
  <c r="G192" i="9" l="1"/>
  <c r="E192" i="9"/>
  <c r="A193" i="9"/>
  <c r="B192" i="9"/>
  <c r="I192" i="9" s="1"/>
  <c r="G193" i="9" l="1"/>
  <c r="E193" i="9"/>
  <c r="B193" i="9"/>
  <c r="I193" i="9" s="1"/>
  <c r="A194" i="9"/>
  <c r="G194" i="9" l="1"/>
  <c r="E194" i="9"/>
  <c r="A195" i="9"/>
  <c r="B194" i="9"/>
  <c r="I194" i="9" s="1"/>
  <c r="G195" i="9" l="1"/>
  <c r="E195" i="9"/>
  <c r="B195" i="9"/>
  <c r="I195" i="9" s="1"/>
  <c r="A196" i="9"/>
  <c r="G196" i="9" l="1"/>
  <c r="E196" i="9"/>
  <c r="A197" i="9"/>
  <c r="B196" i="9"/>
  <c r="I196" i="9" s="1"/>
  <c r="G197" i="9" l="1"/>
  <c r="E197" i="9"/>
  <c r="B197" i="9"/>
  <c r="I197" i="9" s="1"/>
  <c r="A198" i="9"/>
  <c r="G198" i="9" l="1"/>
  <c r="E198" i="9"/>
  <c r="A199" i="9"/>
  <c r="B198" i="9"/>
  <c r="I198" i="9" s="1"/>
  <c r="G199" i="9" l="1"/>
  <c r="E199" i="9"/>
  <c r="B199" i="9"/>
  <c r="I199" i="9" s="1"/>
  <c r="A200" i="9"/>
  <c r="G200" i="9" l="1"/>
  <c r="E200" i="9"/>
  <c r="A201" i="9"/>
  <c r="B200" i="9"/>
  <c r="I200" i="9" s="1"/>
  <c r="G201" i="9" l="1"/>
  <c r="E201" i="9"/>
  <c r="B201" i="9"/>
  <c r="I201" i="9" s="1"/>
  <c r="A202" i="9"/>
  <c r="G202" i="9" l="1"/>
  <c r="E202" i="9"/>
  <c r="A203" i="9"/>
  <c r="B202" i="9"/>
  <c r="I202" i="9" s="1"/>
  <c r="G203" i="9" l="1"/>
  <c r="E203" i="9"/>
  <c r="B203" i="9"/>
  <c r="I203" i="9" s="1"/>
  <c r="A204" i="9"/>
  <c r="E204" i="9" l="1"/>
  <c r="G204" i="9"/>
  <c r="A205" i="9"/>
  <c r="B204" i="9"/>
  <c r="I204" i="9" s="1"/>
  <c r="E205" i="9" l="1"/>
  <c r="G205" i="9"/>
  <c r="B205" i="9"/>
  <c r="I205" i="9" s="1"/>
  <c r="A206" i="9"/>
  <c r="G206" i="9" l="1"/>
  <c r="E206" i="9"/>
  <c r="A207" i="9"/>
  <c r="B206" i="9"/>
  <c r="I206" i="9" s="1"/>
  <c r="G207" i="9" l="1"/>
  <c r="E207" i="9"/>
  <c r="B207" i="9"/>
  <c r="I207" i="9" s="1"/>
  <c r="A208" i="9"/>
  <c r="G208" i="9" l="1"/>
  <c r="E208" i="9"/>
  <c r="A209" i="9"/>
  <c r="B208" i="9"/>
  <c r="I208" i="9" s="1"/>
  <c r="G209" i="9" l="1"/>
  <c r="E209" i="9"/>
  <c r="B209" i="9"/>
  <c r="I209" i="9" s="1"/>
  <c r="A210" i="9"/>
  <c r="G210" i="9" l="1"/>
  <c r="E210" i="9"/>
  <c r="A211" i="9"/>
  <c r="B210" i="9"/>
  <c r="I210" i="9" s="1"/>
  <c r="G211" i="9" l="1"/>
  <c r="E211" i="9"/>
  <c r="B211" i="9"/>
  <c r="I211" i="9" s="1"/>
  <c r="A212" i="9"/>
  <c r="E212" i="9" l="1"/>
  <c r="G212" i="9"/>
  <c r="A213" i="9"/>
  <c r="B212" i="9"/>
  <c r="I212" i="9" s="1"/>
  <c r="E213" i="9" l="1"/>
  <c r="G213" i="9"/>
  <c r="A214" i="9"/>
  <c r="B213" i="9"/>
  <c r="I213" i="9" s="1"/>
  <c r="G214" i="9" l="1"/>
  <c r="E214" i="9"/>
  <c r="B214" i="9"/>
  <c r="I214" i="9" s="1"/>
  <c r="A215" i="9"/>
  <c r="G215" i="9" l="1"/>
  <c r="E215" i="9"/>
  <c r="B215" i="9"/>
  <c r="I215" i="9" s="1"/>
  <c r="A216" i="9"/>
  <c r="G216" i="9" l="1"/>
  <c r="E216" i="9"/>
  <c r="A217" i="9"/>
  <c r="B216" i="9"/>
  <c r="I216" i="9" s="1"/>
  <c r="G217" i="9" l="1"/>
  <c r="E217" i="9"/>
  <c r="A218" i="9"/>
  <c r="B217" i="9"/>
  <c r="I217" i="9" s="1"/>
  <c r="G218" i="9" l="1"/>
  <c r="E218" i="9"/>
  <c r="B218" i="9"/>
  <c r="I218" i="9" s="1"/>
  <c r="A219" i="9"/>
  <c r="G219" i="9" l="1"/>
  <c r="E219" i="9"/>
  <c r="A220" i="9"/>
  <c r="B219" i="9"/>
  <c r="I219" i="9" s="1"/>
  <c r="G220" i="9" l="1"/>
  <c r="E220" i="9"/>
  <c r="B220" i="9"/>
  <c r="I220" i="9" s="1"/>
  <c r="A221" i="9"/>
  <c r="E221" i="9" l="1"/>
  <c r="G221" i="9"/>
  <c r="B221" i="9"/>
  <c r="I221" i="9" s="1"/>
  <c r="A222" i="9"/>
  <c r="E222" i="9" l="1"/>
  <c r="G222" i="9"/>
  <c r="A223" i="9"/>
  <c r="B222" i="9"/>
  <c r="I222" i="9" s="1"/>
  <c r="E223" i="9" l="1"/>
  <c r="G223" i="9"/>
  <c r="A224" i="9"/>
  <c r="B223" i="9"/>
  <c r="I223" i="9" s="1"/>
  <c r="G224" i="9" l="1"/>
  <c r="E224" i="9"/>
  <c r="B224" i="9"/>
  <c r="I224" i="9" s="1"/>
  <c r="A225" i="9"/>
  <c r="G225" i="9" l="1"/>
  <c r="E225" i="9"/>
  <c r="B225" i="9"/>
  <c r="I225" i="9" s="1"/>
  <c r="A226" i="9"/>
  <c r="G226" i="9" l="1"/>
  <c r="E226" i="9"/>
  <c r="A227" i="9"/>
  <c r="B226" i="9"/>
  <c r="I226" i="9" s="1"/>
  <c r="G227" i="9" l="1"/>
  <c r="E227" i="9"/>
  <c r="A228" i="9"/>
  <c r="B227" i="9"/>
  <c r="I227" i="9" s="1"/>
  <c r="E228" i="9" l="1"/>
  <c r="G228" i="9"/>
  <c r="B228" i="9"/>
  <c r="I228" i="9" s="1"/>
  <c r="A229" i="9"/>
  <c r="E229" i="9" l="1"/>
  <c r="G229" i="9"/>
  <c r="A230" i="9"/>
  <c r="B229" i="9"/>
  <c r="I229" i="9" s="1"/>
  <c r="G230" i="9" l="1"/>
  <c r="E230" i="9"/>
  <c r="B230" i="9"/>
  <c r="I230" i="9" s="1"/>
  <c r="A231" i="9"/>
  <c r="G231" i="9" l="1"/>
  <c r="E231" i="9"/>
  <c r="A232" i="9"/>
  <c r="B231" i="9"/>
  <c r="I231" i="9" s="1"/>
  <c r="G232" i="9" l="1"/>
  <c r="E232" i="9"/>
  <c r="B232" i="9"/>
  <c r="I232" i="9" s="1"/>
  <c r="A233" i="9"/>
  <c r="G233" i="9" l="1"/>
  <c r="E233" i="9"/>
  <c r="B233" i="9"/>
  <c r="I233" i="9" s="1"/>
  <c r="A234" i="9"/>
  <c r="G234" i="9" l="1"/>
  <c r="E234" i="9"/>
  <c r="A235" i="9"/>
  <c r="B234" i="9"/>
  <c r="I234" i="9" s="1"/>
  <c r="G235" i="9" l="1"/>
  <c r="E235" i="9"/>
  <c r="A236" i="9"/>
  <c r="B235" i="9"/>
  <c r="I235" i="9" s="1"/>
  <c r="E236" i="9" l="1"/>
  <c r="G236" i="9"/>
  <c r="B236" i="9"/>
  <c r="I236" i="9" s="1"/>
  <c r="A237" i="9"/>
  <c r="E237" i="9" l="1"/>
  <c r="G237" i="9"/>
  <c r="A238" i="9"/>
  <c r="B237" i="9"/>
  <c r="I237" i="9" s="1"/>
  <c r="E238" i="9" l="1"/>
  <c r="G238" i="9"/>
  <c r="A239" i="9"/>
  <c r="B238" i="9"/>
  <c r="I238" i="9" s="1"/>
  <c r="E239" i="9" l="1"/>
  <c r="G239" i="9"/>
  <c r="A240" i="9"/>
  <c r="B239" i="9"/>
  <c r="I239" i="9" s="1"/>
  <c r="G240" i="9" l="1"/>
  <c r="E240" i="9"/>
  <c r="A241" i="9"/>
  <c r="B240" i="9"/>
  <c r="I240" i="9" s="1"/>
  <c r="G241" i="9" l="1"/>
  <c r="E241" i="9"/>
  <c r="A242" i="9"/>
  <c r="B241" i="9"/>
  <c r="I241" i="9" s="1"/>
  <c r="G242" i="9" l="1"/>
  <c r="E242" i="9"/>
  <c r="B242" i="9"/>
  <c r="I242" i="9" s="1"/>
  <c r="A243" i="9"/>
  <c r="G243" i="9" l="1"/>
  <c r="E243" i="9"/>
  <c r="A244" i="9"/>
  <c r="B243" i="9"/>
  <c r="I243" i="9" s="1"/>
  <c r="G244" i="9" l="1"/>
  <c r="E244" i="9"/>
  <c r="A245" i="9"/>
  <c r="B244" i="9"/>
  <c r="I244" i="9" s="1"/>
  <c r="E245" i="9" l="1"/>
  <c r="G245" i="9"/>
  <c r="A246" i="9"/>
  <c r="B245" i="9"/>
  <c r="I245" i="9" s="1"/>
  <c r="G246" i="9" l="1"/>
  <c r="E246" i="9"/>
  <c r="B246" i="9"/>
  <c r="I246" i="9" s="1"/>
  <c r="A247" i="9"/>
  <c r="G247" i="9" l="1"/>
  <c r="E247" i="9"/>
  <c r="B247" i="9"/>
  <c r="I247" i="9" s="1"/>
  <c r="A248" i="9"/>
  <c r="G248" i="9" l="1"/>
  <c r="E248" i="9"/>
  <c r="A249" i="9"/>
  <c r="B248" i="9"/>
  <c r="I248" i="9" s="1"/>
  <c r="G249" i="9" l="1"/>
  <c r="E249" i="9"/>
  <c r="A250" i="9"/>
  <c r="B249" i="9"/>
  <c r="I249" i="9" s="1"/>
  <c r="G250" i="9" l="1"/>
  <c r="E250" i="9"/>
  <c r="B250" i="9"/>
  <c r="I250" i="9" s="1"/>
  <c r="A251" i="9"/>
  <c r="G251" i="9" l="1"/>
  <c r="E251" i="9"/>
  <c r="B251" i="9"/>
  <c r="I251" i="9" s="1"/>
  <c r="A252" i="9"/>
  <c r="E252" i="9" l="1"/>
  <c r="G252" i="9"/>
  <c r="A253" i="9"/>
  <c r="B252" i="9"/>
  <c r="I252" i="9" s="1"/>
  <c r="E253" i="9" l="1"/>
  <c r="G253" i="9"/>
  <c r="A254" i="9"/>
  <c r="B253" i="9"/>
  <c r="I253" i="9" s="1"/>
  <c r="E254" i="9" l="1"/>
  <c r="G254" i="9"/>
  <c r="B254" i="9"/>
  <c r="I254" i="9" s="1"/>
  <c r="A255" i="9"/>
  <c r="G255" i="9" l="1"/>
  <c r="E255" i="9"/>
  <c r="A256" i="9"/>
  <c r="B255" i="9"/>
  <c r="I255" i="9" s="1"/>
  <c r="G256" i="9" l="1"/>
  <c r="E256" i="9"/>
  <c r="B256" i="9"/>
  <c r="I256" i="9" s="1"/>
  <c r="A257" i="9"/>
  <c r="G257" i="9" l="1"/>
  <c r="E257" i="9"/>
  <c r="B257" i="9"/>
  <c r="I257" i="9" s="1"/>
  <c r="A258" i="9"/>
  <c r="G258" i="9" l="1"/>
  <c r="E258" i="9"/>
  <c r="A259" i="9"/>
  <c r="B258" i="9"/>
  <c r="I258" i="9" s="1"/>
  <c r="G259" i="9" l="1"/>
  <c r="E259" i="9"/>
  <c r="A260" i="9"/>
  <c r="B259" i="9"/>
  <c r="I259" i="9" s="1"/>
  <c r="E260" i="9" l="1"/>
  <c r="G260" i="9"/>
  <c r="A261" i="9"/>
  <c r="B260" i="9"/>
  <c r="I260" i="9" s="1"/>
  <c r="E261" i="9" l="1"/>
  <c r="G261" i="9"/>
  <c r="A262" i="9"/>
  <c r="B261" i="9"/>
  <c r="I261" i="9" s="1"/>
  <c r="G262" i="9" l="1"/>
  <c r="E262" i="9"/>
  <c r="B262" i="9"/>
  <c r="I262" i="9" s="1"/>
  <c r="A263" i="9"/>
  <c r="G263" i="9" l="1"/>
  <c r="E263" i="9"/>
  <c r="A264" i="9"/>
  <c r="B263" i="9"/>
  <c r="I263" i="9" s="1"/>
  <c r="G264" i="9" l="1"/>
  <c r="E264" i="9"/>
  <c r="B264" i="9"/>
  <c r="I264" i="9" s="1"/>
  <c r="A265" i="9"/>
  <c r="G265" i="9" l="1"/>
  <c r="E265" i="9"/>
  <c r="A266" i="9"/>
  <c r="B265" i="9"/>
  <c r="I265" i="9" s="1"/>
  <c r="G266" i="9" l="1"/>
  <c r="E266" i="9"/>
  <c r="B266" i="9"/>
  <c r="I266" i="9" s="1"/>
  <c r="A267" i="9"/>
  <c r="G267" i="9" l="1"/>
  <c r="E267" i="9"/>
  <c r="B267" i="9"/>
  <c r="I267" i="9" s="1"/>
  <c r="A268" i="9"/>
  <c r="E268" i="9" l="1"/>
  <c r="G268" i="9"/>
  <c r="A269" i="9"/>
  <c r="B268" i="9"/>
  <c r="I268" i="9" s="1"/>
  <c r="E269" i="9" l="1"/>
  <c r="G269" i="9"/>
  <c r="A270" i="9"/>
  <c r="B269" i="9"/>
  <c r="I269" i="9" s="1"/>
  <c r="E270" i="9" l="1"/>
  <c r="G270" i="9"/>
  <c r="B270" i="9"/>
  <c r="I270" i="9" s="1"/>
  <c r="A271" i="9"/>
  <c r="G271" i="9" l="1"/>
  <c r="E271" i="9"/>
  <c r="A272" i="9"/>
  <c r="B271" i="9"/>
  <c r="I271" i="9" s="1"/>
  <c r="G272" i="9" l="1"/>
  <c r="E272" i="9"/>
  <c r="B272" i="9"/>
  <c r="I272" i="9" s="1"/>
  <c r="A273" i="9"/>
  <c r="G273" i="9" l="1"/>
  <c r="E273" i="9"/>
  <c r="B273" i="9"/>
  <c r="I273" i="9" s="1"/>
  <c r="A274" i="9"/>
  <c r="G274" i="9" l="1"/>
  <c r="E274" i="9"/>
  <c r="A275" i="9"/>
  <c r="B274" i="9"/>
  <c r="I274" i="9" s="1"/>
  <c r="G275" i="9" l="1"/>
  <c r="E275" i="9"/>
  <c r="A276" i="9"/>
  <c r="B275" i="9"/>
  <c r="I275" i="9" s="1"/>
  <c r="E276" i="9" l="1"/>
  <c r="G276" i="9"/>
  <c r="B276" i="9"/>
  <c r="I276" i="9" s="1"/>
  <c r="A277" i="9"/>
  <c r="E277" i="9" l="1"/>
  <c r="G277" i="9"/>
  <c r="B277" i="9"/>
  <c r="I277" i="9" s="1"/>
  <c r="A278" i="9"/>
  <c r="G278" i="9" l="1"/>
  <c r="E278" i="9"/>
  <c r="A279" i="9"/>
  <c r="B278" i="9"/>
  <c r="I278" i="9" s="1"/>
  <c r="G279" i="9" l="1"/>
  <c r="E279" i="9"/>
  <c r="A280" i="9"/>
  <c r="B279" i="9"/>
  <c r="I279" i="9" s="1"/>
  <c r="G280" i="9" l="1"/>
  <c r="E280" i="9"/>
  <c r="B280" i="9"/>
  <c r="I280" i="9" s="1"/>
  <c r="A281" i="9"/>
  <c r="G281" i="9" l="1"/>
  <c r="E281" i="9"/>
  <c r="B281" i="9"/>
  <c r="I281" i="9" s="1"/>
  <c r="A282" i="9"/>
  <c r="G282" i="9" l="1"/>
  <c r="E282" i="9"/>
  <c r="A283" i="9"/>
  <c r="B282" i="9"/>
  <c r="I282" i="9" s="1"/>
  <c r="G283" i="9" l="1"/>
  <c r="E283" i="9"/>
  <c r="A284" i="9"/>
  <c r="B283" i="9"/>
  <c r="I283" i="9" s="1"/>
  <c r="E284" i="9" l="1"/>
  <c r="G284" i="9"/>
  <c r="B284" i="9"/>
  <c r="I284" i="9" s="1"/>
  <c r="A285" i="9"/>
  <c r="E285" i="9" l="1"/>
  <c r="G285" i="9"/>
  <c r="A286" i="9"/>
  <c r="B285" i="9"/>
  <c r="I285" i="9" s="1"/>
  <c r="G286" i="9" l="1"/>
  <c r="E286" i="9"/>
  <c r="B286" i="9"/>
  <c r="I286" i="9" s="1"/>
  <c r="A287" i="9"/>
  <c r="G287" i="9" l="1"/>
  <c r="E287" i="9"/>
  <c r="B287" i="9"/>
  <c r="I287" i="9" s="1"/>
  <c r="A288" i="9"/>
  <c r="G288" i="9" l="1"/>
  <c r="E288" i="9"/>
  <c r="A289" i="9"/>
  <c r="B288" i="9"/>
  <c r="I288" i="9" s="1"/>
  <c r="G289" i="9" l="1"/>
  <c r="E289" i="9"/>
  <c r="A290" i="9"/>
  <c r="B289" i="9"/>
  <c r="I289" i="9" s="1"/>
  <c r="G290" i="9" l="1"/>
  <c r="E290" i="9"/>
  <c r="A291" i="9"/>
  <c r="B290" i="9"/>
  <c r="I290" i="9" s="1"/>
  <c r="G291" i="9" l="1"/>
  <c r="E291" i="9"/>
  <c r="B291" i="9"/>
  <c r="I291" i="9" s="1"/>
  <c r="A292" i="9"/>
  <c r="E292" i="9" l="1"/>
  <c r="G292" i="9"/>
  <c r="A293" i="9"/>
  <c r="B292" i="9"/>
  <c r="I292" i="9" s="1"/>
  <c r="E293" i="9" l="1"/>
  <c r="G293" i="9"/>
  <c r="A294" i="9"/>
  <c r="B293" i="9"/>
  <c r="I293" i="9" s="1"/>
  <c r="G294" i="9" l="1"/>
  <c r="E294" i="9"/>
  <c r="B294" i="9"/>
  <c r="I294" i="9" s="1"/>
  <c r="A295" i="9"/>
  <c r="G295" i="9" l="1"/>
  <c r="E295" i="9"/>
  <c r="B295" i="9"/>
  <c r="I295" i="9" s="1"/>
  <c r="A296" i="9"/>
  <c r="G296" i="9" l="1"/>
  <c r="E296" i="9"/>
  <c r="A297" i="9"/>
  <c r="B296" i="9"/>
  <c r="I296" i="9" s="1"/>
  <c r="G297" i="9" l="1"/>
  <c r="E297" i="9"/>
  <c r="A298" i="9"/>
  <c r="B297" i="9"/>
  <c r="I297" i="9" s="1"/>
  <c r="G298" i="9" l="1"/>
  <c r="E298" i="9"/>
  <c r="B298" i="9"/>
  <c r="I298" i="9" s="1"/>
  <c r="A299" i="9"/>
  <c r="G299" i="9" l="1"/>
  <c r="E299" i="9"/>
  <c r="A300" i="9"/>
  <c r="B299" i="9"/>
  <c r="I299" i="9" s="1"/>
  <c r="E300" i="9" l="1"/>
  <c r="G300" i="9"/>
  <c r="B300" i="9"/>
  <c r="I300" i="9" s="1"/>
  <c r="A301" i="9"/>
  <c r="E301" i="9" l="1"/>
  <c r="G301" i="9"/>
  <c r="A302" i="9"/>
  <c r="B301" i="9"/>
  <c r="I301" i="9" s="1"/>
  <c r="E302" i="9" l="1"/>
  <c r="G302" i="9"/>
  <c r="B302" i="9"/>
  <c r="I302" i="9" s="1"/>
  <c r="A303" i="9"/>
  <c r="G303" i="9" l="1"/>
  <c r="E303" i="9"/>
  <c r="A304" i="9"/>
  <c r="B303" i="9"/>
  <c r="I303" i="9" s="1"/>
  <c r="G304" i="9" l="1"/>
  <c r="E304" i="9"/>
  <c r="B304" i="9"/>
  <c r="I304" i="9" s="1"/>
  <c r="A305" i="9"/>
  <c r="G305" i="9" l="1"/>
  <c r="E305" i="9"/>
  <c r="B305" i="9"/>
  <c r="I305" i="9" s="1"/>
  <c r="A306" i="9"/>
  <c r="G306" i="9" l="1"/>
  <c r="E306" i="9"/>
  <c r="A307" i="9"/>
  <c r="B306" i="9"/>
  <c r="I306" i="9" s="1"/>
  <c r="G307" i="9" l="1"/>
  <c r="E307" i="9"/>
  <c r="A308" i="9"/>
  <c r="B307" i="9"/>
  <c r="I307" i="9" s="1"/>
  <c r="E308" i="9" l="1"/>
  <c r="G308" i="9"/>
  <c r="B308" i="9"/>
  <c r="I308" i="9" s="1"/>
  <c r="A309" i="9"/>
  <c r="E309" i="9" l="1"/>
  <c r="G309" i="9"/>
  <c r="B309" i="9"/>
  <c r="I309" i="9" s="1"/>
  <c r="A310" i="9"/>
  <c r="G310" i="9" l="1"/>
  <c r="E310" i="9"/>
  <c r="A311" i="9"/>
  <c r="B310" i="9"/>
  <c r="I310" i="9" s="1"/>
  <c r="G311" i="9" l="1"/>
  <c r="E311" i="9"/>
  <c r="A312" i="9"/>
  <c r="B311" i="9"/>
  <c r="I311" i="9" s="1"/>
  <c r="G312" i="9" l="1"/>
  <c r="E312" i="9"/>
  <c r="B312" i="9"/>
  <c r="I312" i="9" s="1"/>
  <c r="A313" i="9"/>
  <c r="G313" i="9" l="1"/>
  <c r="E313" i="9"/>
  <c r="B313" i="9"/>
  <c r="I313" i="9" s="1"/>
  <c r="A314" i="9"/>
  <c r="G314" i="9" l="1"/>
  <c r="E314" i="9"/>
  <c r="A315" i="9"/>
  <c r="B314" i="9"/>
  <c r="I314" i="9" s="1"/>
  <c r="G315" i="9" l="1"/>
  <c r="E315" i="9"/>
  <c r="B315" i="9"/>
  <c r="I315" i="9" s="1"/>
  <c r="A316" i="9"/>
  <c r="E316" i="9" l="1"/>
  <c r="G316" i="9"/>
  <c r="A317" i="9"/>
  <c r="B316" i="9"/>
  <c r="I316" i="9" s="1"/>
  <c r="E317" i="9" l="1"/>
  <c r="G317" i="9"/>
  <c r="B317" i="9"/>
  <c r="I317" i="9" s="1"/>
  <c r="A318" i="9"/>
  <c r="E318" i="9" l="1"/>
  <c r="G318" i="9"/>
  <c r="A319" i="9"/>
  <c r="B318" i="9"/>
  <c r="I318" i="9" s="1"/>
  <c r="E319" i="9" l="1"/>
  <c r="G319" i="9"/>
  <c r="B319" i="9"/>
  <c r="I319" i="9" s="1"/>
  <c r="A320" i="9"/>
  <c r="G320" i="9" l="1"/>
  <c r="E320" i="9"/>
  <c r="A321" i="9"/>
  <c r="B320" i="9"/>
  <c r="I320" i="9" s="1"/>
  <c r="G321" i="9" l="1"/>
  <c r="E321" i="9"/>
  <c r="B321" i="9"/>
  <c r="I321" i="9" s="1"/>
  <c r="A322" i="9"/>
  <c r="G322" i="9" l="1"/>
  <c r="E322" i="9"/>
  <c r="A323" i="9"/>
  <c r="B322" i="9"/>
  <c r="I322" i="9" s="1"/>
  <c r="G323" i="9" l="1"/>
  <c r="E323" i="9"/>
  <c r="B323" i="9"/>
  <c r="I323" i="9" s="1"/>
  <c r="A324" i="9"/>
  <c r="E324" i="9" l="1"/>
  <c r="G324" i="9"/>
  <c r="A325" i="9"/>
  <c r="B324" i="9"/>
  <c r="I324" i="9" s="1"/>
  <c r="E325" i="9" l="1"/>
  <c r="G325" i="9"/>
  <c r="B325" i="9"/>
  <c r="I325" i="9" s="1"/>
  <c r="A326" i="9"/>
  <c r="G326" i="9" l="1"/>
  <c r="E326" i="9"/>
  <c r="A327" i="9"/>
  <c r="B326" i="9"/>
  <c r="I326" i="9" s="1"/>
  <c r="G327" i="9" l="1"/>
  <c r="E327" i="9"/>
  <c r="B327" i="9"/>
  <c r="I327" i="9" s="1"/>
  <c r="A328" i="9"/>
  <c r="G328" i="9" l="1"/>
  <c r="E328" i="9"/>
  <c r="A329" i="9"/>
  <c r="B328" i="9"/>
  <c r="I328" i="9" s="1"/>
  <c r="G329" i="9" l="1"/>
  <c r="E329" i="9"/>
  <c r="B329" i="9"/>
  <c r="I329" i="9" s="1"/>
  <c r="A330" i="9"/>
  <c r="G330" i="9" l="1"/>
  <c r="E330" i="9"/>
  <c r="A331" i="9"/>
  <c r="B330" i="9"/>
  <c r="I330" i="9" s="1"/>
  <c r="G331" i="9" l="1"/>
  <c r="E331" i="9"/>
  <c r="B331" i="9"/>
  <c r="I331" i="9" s="1"/>
  <c r="A332" i="9"/>
  <c r="E332" i="9" l="1"/>
  <c r="G332" i="9"/>
  <c r="A333" i="9"/>
  <c r="B332" i="9"/>
  <c r="I332" i="9" s="1"/>
  <c r="E333" i="9" l="1"/>
  <c r="G333" i="9"/>
  <c r="B333" i="9"/>
  <c r="I333" i="9" s="1"/>
  <c r="A334" i="9"/>
  <c r="G334" i="9" l="1"/>
  <c r="E334" i="9"/>
  <c r="A335" i="9"/>
  <c r="B334" i="9"/>
  <c r="I334" i="9" s="1"/>
  <c r="E335" i="9" l="1"/>
  <c r="G335" i="9"/>
  <c r="B335" i="9"/>
  <c r="I335" i="9" s="1"/>
  <c r="A336" i="9"/>
  <c r="G336" i="9" l="1"/>
  <c r="E336" i="9"/>
  <c r="A337" i="9"/>
  <c r="B336" i="9"/>
  <c r="I336" i="9" s="1"/>
  <c r="G337" i="9" l="1"/>
  <c r="E337" i="9"/>
  <c r="B337" i="9"/>
  <c r="I337" i="9" s="1"/>
  <c r="A338" i="9"/>
  <c r="G338" i="9" l="1"/>
  <c r="E338" i="9"/>
  <c r="A339" i="9"/>
  <c r="B338" i="9"/>
  <c r="I338" i="9" s="1"/>
  <c r="G339" i="9" l="1"/>
  <c r="E339" i="9"/>
  <c r="B339" i="9"/>
  <c r="I339" i="9" s="1"/>
  <c r="A340" i="9"/>
  <c r="E340" i="9" l="1"/>
  <c r="G340" i="9"/>
  <c r="A341" i="9"/>
  <c r="B340" i="9"/>
  <c r="I340" i="9" s="1"/>
  <c r="E341" i="9" l="1"/>
  <c r="G341" i="9"/>
  <c r="B341" i="9"/>
  <c r="I341" i="9" s="1"/>
  <c r="A342" i="9"/>
  <c r="G342" i="9" l="1"/>
  <c r="E342" i="9"/>
  <c r="A343" i="9"/>
  <c r="B342" i="9"/>
  <c r="I342" i="9" s="1"/>
  <c r="G343" i="9" l="1"/>
  <c r="E343" i="9"/>
  <c r="A344" i="9"/>
  <c r="B343" i="9"/>
  <c r="I343" i="9" s="1"/>
  <c r="G344" i="9" l="1"/>
  <c r="E344" i="9"/>
  <c r="A345" i="9"/>
  <c r="B344" i="9"/>
  <c r="I344" i="9" s="1"/>
  <c r="G345" i="9" l="1"/>
  <c r="E345" i="9"/>
  <c r="A346" i="9"/>
  <c r="B345" i="9"/>
  <c r="I345" i="9" s="1"/>
  <c r="G346" i="9" l="1"/>
  <c r="E346" i="9"/>
  <c r="B346" i="9"/>
  <c r="I346" i="9" s="1"/>
  <c r="A347" i="9"/>
  <c r="G347" i="9" l="1"/>
  <c r="E347" i="9"/>
  <c r="D15" i="9"/>
  <c r="B347" i="9"/>
  <c r="I347" i="9" s="1"/>
  <c r="E348" i="9"/>
  <c r="G49" i="9" l="1"/>
  <c r="G28" i="9"/>
  <c r="G83" i="9"/>
  <c r="G134" i="9"/>
  <c r="G118" i="9"/>
  <c r="G102" i="9"/>
  <c r="G86" i="9"/>
  <c r="G70" i="9"/>
  <c r="G54" i="9"/>
  <c r="G38" i="9"/>
  <c r="G22" i="9"/>
  <c r="G125" i="9"/>
  <c r="G109" i="9"/>
  <c r="G93" i="9"/>
  <c r="G77" i="9"/>
  <c r="G61" i="9"/>
  <c r="G45" i="9"/>
  <c r="G29" i="9"/>
  <c r="G136" i="9"/>
  <c r="G120" i="9"/>
  <c r="G104" i="9"/>
  <c r="G88" i="9"/>
  <c r="G72" i="9"/>
  <c r="G56" i="9"/>
  <c r="G40" i="9"/>
  <c r="G24" i="9"/>
  <c r="G127" i="9"/>
  <c r="G111" i="9"/>
  <c r="G95" i="9"/>
  <c r="G79" i="9"/>
  <c r="G63" i="9"/>
  <c r="G47" i="9"/>
  <c r="G31" i="9"/>
  <c r="G81" i="9"/>
  <c r="G108" i="9"/>
  <c r="G60" i="9"/>
  <c r="G99" i="9"/>
  <c r="G130" i="9"/>
  <c r="G114" i="9"/>
  <c r="G98" i="9"/>
  <c r="G82" i="9"/>
  <c r="G66" i="9"/>
  <c r="G50" i="9"/>
  <c r="G34" i="9"/>
  <c r="G137" i="9"/>
  <c r="G121" i="9"/>
  <c r="G105" i="9"/>
  <c r="G89" i="9"/>
  <c r="G73" i="9"/>
  <c r="G57" i="9"/>
  <c r="G41" i="9"/>
  <c r="G25" i="9"/>
  <c r="G132" i="9"/>
  <c r="G116" i="9"/>
  <c r="G100" i="9"/>
  <c r="G84" i="9"/>
  <c r="G68" i="9"/>
  <c r="G52" i="9"/>
  <c r="G36" i="9"/>
  <c r="G139" i="9"/>
  <c r="G123" i="9"/>
  <c r="G107" i="9"/>
  <c r="G91" i="9"/>
  <c r="G75" i="9"/>
  <c r="G59" i="9"/>
  <c r="G43" i="9"/>
  <c r="G27" i="9"/>
  <c r="G122" i="9"/>
  <c r="G90" i="9"/>
  <c r="G58" i="9"/>
  <c r="G26" i="9"/>
  <c r="G129" i="9"/>
  <c r="G65" i="9"/>
  <c r="G140" i="9"/>
  <c r="G92" i="9"/>
  <c r="G44" i="9"/>
  <c r="G115" i="9"/>
  <c r="G51" i="9"/>
  <c r="G126" i="9"/>
  <c r="G110" i="9"/>
  <c r="G94" i="9"/>
  <c r="G78" i="9"/>
  <c r="G62" i="9"/>
  <c r="G46" i="9"/>
  <c r="G30" i="9"/>
  <c r="G133" i="9"/>
  <c r="G117" i="9"/>
  <c r="G101" i="9"/>
  <c r="G85" i="9"/>
  <c r="G69" i="9"/>
  <c r="G53" i="9"/>
  <c r="G37" i="9"/>
  <c r="H21" i="9"/>
  <c r="H22" i="9" s="1"/>
  <c r="G128" i="9"/>
  <c r="G112" i="9"/>
  <c r="G96" i="9"/>
  <c r="G80" i="9"/>
  <c r="G64" i="9"/>
  <c r="G48" i="9"/>
  <c r="G32" i="9"/>
  <c r="G135" i="9"/>
  <c r="G119" i="9"/>
  <c r="G103" i="9"/>
  <c r="G87" i="9"/>
  <c r="G71" i="9"/>
  <c r="G55" i="9"/>
  <c r="G39" i="9"/>
  <c r="G23" i="9"/>
  <c r="G138" i="9"/>
  <c r="G106" i="9"/>
  <c r="G74" i="9"/>
  <c r="G42" i="9"/>
  <c r="G113" i="9"/>
  <c r="G97" i="9"/>
  <c r="G33" i="9"/>
  <c r="G124" i="9"/>
  <c r="G76" i="9"/>
  <c r="G131" i="9"/>
  <c r="G67" i="9"/>
  <c r="G35" i="9"/>
  <c r="I348" i="9"/>
  <c r="H23" i="9" l="1"/>
  <c r="H24" i="9" s="1"/>
  <c r="H25" i="9" s="1"/>
  <c r="H26" i="9" s="1"/>
  <c r="H27" i="9" s="1"/>
  <c r="H28" i="9" s="1"/>
  <c r="H29" i="9" s="1"/>
  <c r="H30" i="9" s="1"/>
  <c r="H31" i="9" s="1"/>
  <c r="H32" i="9" s="1"/>
  <c r="H33" i="9" s="1"/>
  <c r="H34" i="9" s="1"/>
  <c r="H35" i="9" s="1"/>
  <c r="H36" i="9" s="1"/>
  <c r="H37" i="9" s="1"/>
  <c r="H38" i="9" s="1"/>
  <c r="H39" i="9" s="1"/>
  <c r="H40" i="9" s="1"/>
  <c r="H41" i="9" s="1"/>
  <c r="H42" i="9" s="1"/>
  <c r="H43" i="9" s="1"/>
  <c r="H44" i="9" s="1"/>
  <c r="H45" i="9" s="1"/>
  <c r="H46" i="9" s="1"/>
  <c r="H47" i="9" s="1"/>
  <c r="H48" i="9" s="1"/>
  <c r="H49" i="9" s="1"/>
  <c r="H50" i="9" s="1"/>
  <c r="H51" i="9" s="1"/>
  <c r="H52" i="9" s="1"/>
  <c r="H53" i="9" s="1"/>
  <c r="H54" i="9" s="1"/>
  <c r="H55" i="9" s="1"/>
  <c r="H56" i="9" s="1"/>
  <c r="H57" i="9" s="1"/>
  <c r="H58" i="9" s="1"/>
  <c r="H59" i="9" s="1"/>
  <c r="H60" i="9" s="1"/>
  <c r="H61" i="9" s="1"/>
  <c r="H62" i="9" s="1"/>
  <c r="H63" i="9" s="1"/>
  <c r="H64" i="9" s="1"/>
  <c r="H65" i="9" s="1"/>
  <c r="H66" i="9" s="1"/>
  <c r="H67" i="9" s="1"/>
  <c r="H68" i="9" s="1"/>
  <c r="H69" i="9" s="1"/>
  <c r="H70" i="9" s="1"/>
  <c r="H71" i="9" s="1"/>
  <c r="H72" i="9" s="1"/>
  <c r="H73" i="9" s="1"/>
  <c r="H74" i="9" s="1"/>
  <c r="H75" i="9" s="1"/>
  <c r="H76" i="9" s="1"/>
  <c r="H77" i="9" s="1"/>
  <c r="H78" i="9" s="1"/>
  <c r="H79" i="9" s="1"/>
  <c r="H80" i="9" s="1"/>
  <c r="H81" i="9" s="1"/>
  <c r="H82" i="9" s="1"/>
  <c r="H83" i="9" s="1"/>
  <c r="H84" i="9" s="1"/>
  <c r="H85" i="9" s="1"/>
  <c r="H86" i="9" s="1"/>
  <c r="H87" i="9" s="1"/>
  <c r="H88" i="9" s="1"/>
  <c r="H89" i="9" s="1"/>
  <c r="H90" i="9" s="1"/>
  <c r="H91" i="9" s="1"/>
  <c r="H92" i="9" s="1"/>
  <c r="H93" i="9" s="1"/>
  <c r="H94" i="9" s="1"/>
  <c r="H95" i="9" s="1"/>
  <c r="H96" i="9" s="1"/>
  <c r="H97" i="9" s="1"/>
  <c r="H98" i="9" s="1"/>
  <c r="H99" i="9" s="1"/>
  <c r="H100" i="9" s="1"/>
  <c r="H101" i="9" s="1"/>
  <c r="H102" i="9" s="1"/>
  <c r="H103" i="9" s="1"/>
  <c r="H104" i="9" s="1"/>
  <c r="H105" i="9" s="1"/>
  <c r="H106" i="9" s="1"/>
  <c r="H107" i="9" s="1"/>
  <c r="H108" i="9" s="1"/>
  <c r="H109" i="9" s="1"/>
  <c r="H110" i="9" s="1"/>
  <c r="H111" i="9" s="1"/>
  <c r="H112" i="9" s="1"/>
  <c r="H113" i="9" s="1"/>
  <c r="H114" i="9" s="1"/>
  <c r="H115" i="9" s="1"/>
  <c r="H116" i="9" s="1"/>
  <c r="H117" i="9" s="1"/>
  <c r="H118" i="9" s="1"/>
  <c r="H119" i="9" s="1"/>
  <c r="H120" i="9" s="1"/>
  <c r="H121" i="9" s="1"/>
  <c r="H122" i="9" s="1"/>
  <c r="H123" i="9" s="1"/>
  <c r="H124" i="9" s="1"/>
  <c r="H125" i="9" s="1"/>
  <c r="H126" i="9" s="1"/>
  <c r="H127" i="9" s="1"/>
  <c r="H128" i="9" s="1"/>
  <c r="H129" i="9" s="1"/>
  <c r="H130" i="9" s="1"/>
  <c r="H131" i="9" s="1"/>
  <c r="H132" i="9" s="1"/>
  <c r="H133" i="9" s="1"/>
  <c r="H134" i="9" s="1"/>
  <c r="H135" i="9" s="1"/>
  <c r="H136" i="9" s="1"/>
  <c r="H137" i="9" s="1"/>
  <c r="H138" i="9" s="1"/>
  <c r="H139" i="9" s="1"/>
  <c r="H140" i="9" s="1"/>
  <c r="H141" i="9" s="1"/>
  <c r="H142" i="9" s="1"/>
  <c r="H143" i="9" s="1"/>
  <c r="H144" i="9" s="1"/>
  <c r="H145" i="9" s="1"/>
  <c r="H146" i="9" s="1"/>
  <c r="H147" i="9" s="1"/>
  <c r="H148" i="9" s="1"/>
  <c r="H149" i="9" s="1"/>
  <c r="H150" i="9" s="1"/>
  <c r="H151" i="9" s="1"/>
  <c r="H152" i="9" s="1"/>
  <c r="H153" i="9" s="1"/>
  <c r="H154" i="9" s="1"/>
  <c r="H155" i="9" s="1"/>
  <c r="H156" i="9" s="1"/>
  <c r="H157" i="9" s="1"/>
  <c r="H158" i="9" s="1"/>
  <c r="H159" i="9" s="1"/>
  <c r="H160" i="9" s="1"/>
  <c r="H161" i="9" s="1"/>
  <c r="H162" i="9" s="1"/>
  <c r="H163" i="9" s="1"/>
  <c r="H164" i="9" s="1"/>
  <c r="H165" i="9" s="1"/>
  <c r="H166" i="9" s="1"/>
  <c r="H167" i="9" s="1"/>
  <c r="H168" i="9" s="1"/>
  <c r="H169" i="9" s="1"/>
  <c r="H170" i="9" s="1"/>
  <c r="H171" i="9" s="1"/>
  <c r="H172" i="9" s="1"/>
  <c r="H173" i="9" s="1"/>
  <c r="H174" i="9" s="1"/>
  <c r="H175" i="9" s="1"/>
  <c r="H176" i="9" s="1"/>
  <c r="H177" i="9" s="1"/>
  <c r="H178" i="9" s="1"/>
  <c r="H179" i="9" s="1"/>
  <c r="H180" i="9" s="1"/>
  <c r="H181" i="9" s="1"/>
  <c r="H182" i="9" s="1"/>
  <c r="H183" i="9" s="1"/>
  <c r="H184" i="9" s="1"/>
  <c r="H185" i="9" s="1"/>
  <c r="H186" i="9" s="1"/>
  <c r="H187" i="9" s="1"/>
  <c r="H188" i="9" s="1"/>
  <c r="H189" i="9" s="1"/>
  <c r="H190" i="9" s="1"/>
  <c r="H191" i="9" s="1"/>
  <c r="H192" i="9" s="1"/>
  <c r="H193" i="9" s="1"/>
  <c r="H194" i="9" s="1"/>
  <c r="H195" i="9" s="1"/>
  <c r="H196" i="9" s="1"/>
  <c r="H197" i="9" s="1"/>
  <c r="H198" i="9" s="1"/>
  <c r="H199" i="9" s="1"/>
  <c r="H200" i="9" s="1"/>
  <c r="H201" i="9" s="1"/>
  <c r="H202" i="9" s="1"/>
  <c r="H203" i="9" s="1"/>
  <c r="H204" i="9" s="1"/>
  <c r="H205" i="9" s="1"/>
  <c r="H206" i="9" s="1"/>
  <c r="H207" i="9" s="1"/>
  <c r="H208" i="9" s="1"/>
  <c r="H209" i="9" s="1"/>
  <c r="H210" i="9" s="1"/>
  <c r="H211" i="9" s="1"/>
  <c r="H212" i="9" s="1"/>
  <c r="H213" i="9" s="1"/>
  <c r="H214" i="9" s="1"/>
  <c r="H215" i="9" s="1"/>
  <c r="H216" i="9" s="1"/>
  <c r="H217" i="9" s="1"/>
  <c r="H218" i="9" s="1"/>
  <c r="H219" i="9" s="1"/>
  <c r="H220" i="9" s="1"/>
  <c r="H221" i="9" s="1"/>
  <c r="H222" i="9" s="1"/>
  <c r="H223" i="9" s="1"/>
  <c r="H224" i="9" s="1"/>
  <c r="H225" i="9" s="1"/>
  <c r="H226" i="9" s="1"/>
  <c r="H227" i="9" s="1"/>
  <c r="H228" i="9" s="1"/>
  <c r="H229" i="9" s="1"/>
  <c r="H230" i="9" s="1"/>
  <c r="H231" i="9" s="1"/>
  <c r="H232" i="9" s="1"/>
  <c r="H233" i="9" s="1"/>
  <c r="H234" i="9" s="1"/>
  <c r="H235" i="9" s="1"/>
  <c r="H236" i="9" s="1"/>
  <c r="H237" i="9" s="1"/>
  <c r="H238" i="9" s="1"/>
  <c r="H239" i="9" s="1"/>
  <c r="H240" i="9" s="1"/>
  <c r="H241" i="9" s="1"/>
  <c r="H242" i="9" s="1"/>
  <c r="H243" i="9" s="1"/>
  <c r="H244" i="9" s="1"/>
  <c r="H245" i="9" s="1"/>
  <c r="H246" i="9" s="1"/>
  <c r="H247" i="9" s="1"/>
  <c r="H248" i="9" s="1"/>
  <c r="H249" i="9" s="1"/>
  <c r="H250" i="9" s="1"/>
  <c r="H251" i="9" s="1"/>
  <c r="H252" i="9" s="1"/>
  <c r="H253" i="9" s="1"/>
  <c r="H254" i="9" s="1"/>
  <c r="H255" i="9" s="1"/>
  <c r="H256" i="9" s="1"/>
  <c r="H257" i="9" s="1"/>
  <c r="H258" i="9" s="1"/>
  <c r="H259" i="9" s="1"/>
  <c r="H260" i="9" s="1"/>
  <c r="H261" i="9" s="1"/>
  <c r="H262" i="9" s="1"/>
  <c r="H263" i="9" s="1"/>
  <c r="H264" i="9" s="1"/>
  <c r="H265" i="9" s="1"/>
  <c r="H266" i="9" s="1"/>
  <c r="H267" i="9" s="1"/>
  <c r="H268" i="9" s="1"/>
  <c r="H269" i="9" s="1"/>
  <c r="H270" i="9" s="1"/>
  <c r="H271" i="9" s="1"/>
  <c r="H272" i="9" s="1"/>
  <c r="H273" i="9" s="1"/>
  <c r="H274" i="9" s="1"/>
  <c r="H275" i="9" s="1"/>
  <c r="H276" i="9" s="1"/>
  <c r="H277" i="9" s="1"/>
  <c r="H278" i="9" s="1"/>
  <c r="H279" i="9" s="1"/>
  <c r="H280" i="9" s="1"/>
  <c r="H281" i="9" s="1"/>
  <c r="H282" i="9" s="1"/>
  <c r="H283" i="9" s="1"/>
  <c r="H284" i="9" s="1"/>
  <c r="H285" i="9" s="1"/>
  <c r="H286" i="9" s="1"/>
  <c r="H287" i="9" s="1"/>
  <c r="H288" i="9" s="1"/>
  <c r="H289" i="9" s="1"/>
  <c r="H290" i="9" s="1"/>
  <c r="H291" i="9" s="1"/>
  <c r="H292" i="9" s="1"/>
  <c r="H293" i="9" s="1"/>
  <c r="H294" i="9" s="1"/>
  <c r="H295" i="9" s="1"/>
  <c r="H296" i="9" s="1"/>
  <c r="H297" i="9" s="1"/>
  <c r="H298" i="9" s="1"/>
  <c r="H299" i="9" s="1"/>
  <c r="H300" i="9" s="1"/>
  <c r="H301" i="9" s="1"/>
  <c r="H302" i="9" s="1"/>
  <c r="H303" i="9" s="1"/>
  <c r="H304" i="9" s="1"/>
  <c r="H305" i="9" s="1"/>
  <c r="H306" i="9" s="1"/>
  <c r="H307" i="9" s="1"/>
  <c r="H308" i="9" s="1"/>
  <c r="H309" i="9" s="1"/>
  <c r="H310" i="9" s="1"/>
  <c r="H311" i="9" s="1"/>
  <c r="H312" i="9" s="1"/>
  <c r="H313" i="9" s="1"/>
  <c r="H314" i="9" s="1"/>
  <c r="H315" i="9" s="1"/>
  <c r="H316" i="9" s="1"/>
  <c r="H317" i="9" s="1"/>
  <c r="H318" i="9" s="1"/>
  <c r="H319" i="9" s="1"/>
  <c r="H320" i="9" s="1"/>
  <c r="H321" i="9" s="1"/>
  <c r="H322" i="9" s="1"/>
  <c r="H323" i="9" s="1"/>
  <c r="H324" i="9" s="1"/>
  <c r="H325" i="9" s="1"/>
  <c r="H326" i="9" s="1"/>
  <c r="H327" i="9" s="1"/>
  <c r="H328" i="9" s="1"/>
  <c r="H329" i="9" s="1"/>
  <c r="H330" i="9" s="1"/>
  <c r="H331" i="9" s="1"/>
  <c r="H332" i="9" s="1"/>
  <c r="H333" i="9" s="1"/>
  <c r="H334" i="9" s="1"/>
  <c r="H335" i="9" s="1"/>
  <c r="H336" i="9" s="1"/>
  <c r="H337" i="9" s="1"/>
  <c r="H338" i="9" s="1"/>
  <c r="H339" i="9" s="1"/>
  <c r="H340" i="9" s="1"/>
  <c r="H341" i="9" s="1"/>
  <c r="H342" i="9" s="1"/>
  <c r="H343" i="9" s="1"/>
  <c r="H344" i="9" s="1"/>
  <c r="H345" i="9" s="1"/>
  <c r="H346" i="9" s="1"/>
  <c r="H347" i="9" s="1"/>
  <c r="F18" i="9"/>
  <c r="I18" i="9"/>
  <c r="H16" i="9" s="1"/>
  <c r="G348" i="9"/>
  <c r="E16" i="9" l="1"/>
  <c r="E17" i="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Windows 用户</author>
  </authors>
  <commentList>
    <comment ref="E45" authorId="0" shapeId="0" xr:uid="{00000000-0006-0000-0900-000001000000}">
      <text>
        <r>
          <rPr>
            <b/>
            <sz val="9"/>
            <color indexed="81"/>
            <rFont val="宋体"/>
            <family val="3"/>
            <charset val="134"/>
          </rPr>
          <t>提示：
调尾差</t>
        </r>
      </text>
    </comment>
  </commentList>
</comments>
</file>

<file path=xl/sharedStrings.xml><?xml version="1.0" encoding="utf-8"?>
<sst xmlns="http://schemas.openxmlformats.org/spreadsheetml/2006/main" count="1137" uniqueCount="686">
  <si>
    <r>
      <rPr>
        <b/>
        <sz val="10"/>
        <rFont val="宋体"/>
        <family val="3"/>
        <charset val="134"/>
      </rPr>
      <t>致同会计师事务所</t>
    </r>
  </si>
  <si>
    <t>复核人：</t>
    <phoneticPr fontId="8" type="noConversion"/>
  </si>
  <si>
    <t>日期：</t>
    <phoneticPr fontId="8" type="noConversion"/>
  </si>
  <si>
    <r>
      <rPr>
        <b/>
        <sz val="10"/>
        <rFont val="宋体"/>
        <family val="3"/>
        <charset val="134"/>
      </rPr>
      <t>一、审计目标：</t>
    </r>
  </si>
  <si>
    <r>
      <rPr>
        <b/>
        <sz val="10"/>
        <rFont val="宋体"/>
        <family val="3"/>
        <charset val="134"/>
      </rPr>
      <t>二、审计过程：</t>
    </r>
  </si>
  <si>
    <t>索引</t>
    <phoneticPr fontId="8" type="noConversion"/>
  </si>
  <si>
    <t>否</t>
  </si>
  <si>
    <t>是</t>
  </si>
  <si>
    <r>
      <rPr>
        <b/>
        <sz val="10"/>
        <rFont val="宋体"/>
        <family val="3"/>
        <charset val="134"/>
      </rPr>
      <t>三、审计说明：</t>
    </r>
  </si>
  <si>
    <r>
      <rPr>
        <b/>
        <sz val="10"/>
        <rFont val="宋体"/>
        <family val="3"/>
        <charset val="134"/>
      </rPr>
      <t>四、审计结论：</t>
    </r>
  </si>
  <si>
    <r>
      <rPr>
        <i/>
        <sz val="10"/>
        <rFont val="宋体"/>
        <family val="3"/>
        <charset val="134"/>
      </rPr>
      <t>编制说明：</t>
    </r>
    <phoneticPr fontId="8" type="noConversion"/>
  </si>
  <si>
    <t>首次执行新收入准则的调整</t>
    <phoneticPr fontId="8" type="noConversion"/>
  </si>
  <si>
    <r>
      <rPr>
        <b/>
        <sz val="12"/>
        <rFont val="宋体"/>
        <family val="3"/>
        <charset val="134"/>
      </rPr>
      <t>索引号的说明：</t>
    </r>
    <r>
      <rPr>
        <sz val="12"/>
        <rFont val="宋体"/>
        <family val="3"/>
        <charset val="134"/>
      </rPr>
      <t>实质性程序索引号从“</t>
    </r>
    <r>
      <rPr>
        <sz val="12"/>
        <rFont val="Arial"/>
        <family val="2"/>
      </rPr>
      <t>D</t>
    </r>
    <r>
      <rPr>
        <sz val="12"/>
        <rFont val="宋体"/>
        <family val="3"/>
        <charset val="134"/>
      </rPr>
      <t>”到“</t>
    </r>
    <r>
      <rPr>
        <sz val="12"/>
        <rFont val="Arial"/>
        <family val="2"/>
      </rPr>
      <t>N</t>
    </r>
    <r>
      <rPr>
        <sz val="12"/>
        <rFont val="宋体"/>
        <family val="3"/>
        <charset val="134"/>
      </rPr>
      <t>”</t>
    </r>
    <r>
      <rPr>
        <sz val="12"/>
        <rFont val="Arial"/>
        <family val="2"/>
      </rPr>
      <t>,</t>
    </r>
    <r>
      <rPr>
        <sz val="12"/>
        <rFont val="宋体"/>
        <family val="3"/>
        <charset val="134"/>
      </rPr>
      <t>循环内账户以顺序号排列，如：销售循环的程序表即为</t>
    </r>
    <r>
      <rPr>
        <sz val="12"/>
        <rFont val="Arial"/>
        <family val="2"/>
      </rPr>
      <t>D</t>
    </r>
    <r>
      <rPr>
        <sz val="12"/>
        <rFont val="宋体"/>
        <family val="3"/>
        <charset val="134"/>
      </rPr>
      <t>，</t>
    </r>
    <r>
      <rPr>
        <sz val="12"/>
        <rFont val="Arial"/>
        <family val="2"/>
      </rPr>
      <t>D1</t>
    </r>
    <r>
      <rPr>
        <sz val="12"/>
        <rFont val="宋体"/>
        <family val="3"/>
        <charset val="134"/>
      </rPr>
      <t>为应收票据审定表，</t>
    </r>
    <r>
      <rPr>
        <sz val="12"/>
        <rFont val="Arial"/>
        <family val="2"/>
      </rPr>
      <t>D1-1</t>
    </r>
    <r>
      <rPr>
        <sz val="12"/>
        <rFont val="宋体"/>
        <family val="3"/>
        <charset val="134"/>
      </rPr>
      <t>为附注披露信息，</t>
    </r>
    <r>
      <rPr>
        <sz val="12"/>
        <rFont val="Arial"/>
        <family val="2"/>
      </rPr>
      <t>D1-2</t>
    </r>
    <r>
      <rPr>
        <sz val="12"/>
        <rFont val="宋体"/>
        <family val="3"/>
        <charset val="134"/>
      </rPr>
      <t>为明细表</t>
    </r>
    <r>
      <rPr>
        <sz val="12"/>
        <rFont val="Arial"/>
        <family val="2"/>
      </rPr>
      <t>........</t>
    </r>
    <phoneticPr fontId="8" type="noConversion"/>
  </si>
  <si>
    <r>
      <t>3</t>
    </r>
    <r>
      <rPr>
        <b/>
        <sz val="12"/>
        <rFont val="宋体"/>
        <family val="3"/>
        <charset val="134"/>
      </rPr>
      <t>、</t>
    </r>
    <r>
      <rPr>
        <b/>
        <sz val="7"/>
        <rFont val="Arial"/>
        <family val="2"/>
      </rPr>
      <t xml:space="preserve">  </t>
    </r>
    <r>
      <rPr>
        <b/>
        <sz val="12"/>
        <rFont val="宋体"/>
        <family val="3"/>
        <charset val="134"/>
      </rPr>
      <t>工作底稿索引号的编码规则（以销售循环为例，假设</t>
    </r>
    <r>
      <rPr>
        <b/>
        <sz val="12"/>
        <rFont val="Arial"/>
        <family val="2"/>
      </rPr>
      <t>D</t>
    </r>
    <r>
      <rPr>
        <b/>
        <sz val="12"/>
        <rFont val="宋体"/>
        <family val="3"/>
        <charset val="134"/>
      </rPr>
      <t>为项目名称代码）</t>
    </r>
    <phoneticPr fontId="8" type="noConversion"/>
  </si>
  <si>
    <t>支持性工作底稿进行一一对应。</t>
    <phoneticPr fontId="8" type="noConversion"/>
  </si>
  <si>
    <t>按自然顺序依次编制索引号，并通过唯一的索引号将审计程序表中的特定程序与相关</t>
    <phoneticPr fontId="8" type="noConversion"/>
  </si>
  <si>
    <r>
      <t xml:space="preserve"> </t>
    </r>
    <r>
      <rPr>
        <sz val="11"/>
        <color theme="1"/>
        <rFont val="宋体"/>
        <family val="2"/>
        <charset val="134"/>
        <scheme val="minor"/>
      </rPr>
      <t xml:space="preserve"> </t>
    </r>
    <r>
      <rPr>
        <sz val="12"/>
        <rFont val="宋体"/>
        <family val="3"/>
        <charset val="134"/>
      </rPr>
      <t>为提高工作底稿编制的针对性，各项目负责人提供的所有支持性工作底稿，均应当</t>
    </r>
    <phoneticPr fontId="8" type="noConversion"/>
  </si>
  <si>
    <r>
      <t>2</t>
    </r>
    <r>
      <rPr>
        <b/>
        <sz val="12"/>
        <rFont val="Times New Roman"/>
        <family val="1"/>
      </rPr>
      <t>、</t>
    </r>
    <r>
      <rPr>
        <b/>
        <sz val="7"/>
        <rFont val="Arial"/>
        <family val="2"/>
      </rPr>
      <t xml:space="preserve">  </t>
    </r>
    <r>
      <rPr>
        <b/>
        <sz val="12"/>
        <rFont val="宋体"/>
        <family val="3"/>
        <charset val="134"/>
      </rPr>
      <t>工作底稿与审计程序的对应与索引</t>
    </r>
  </si>
  <si>
    <t>作为具体审计程序的支持性工作底稿，共有三类，分别为审定表，明细表，检查表。</t>
    <phoneticPr fontId="8" type="noConversion"/>
  </si>
  <si>
    <r>
      <t>1</t>
    </r>
    <r>
      <rPr>
        <b/>
        <sz val="12"/>
        <rFont val="Times New Roman"/>
        <family val="1"/>
      </rPr>
      <t>、</t>
    </r>
    <r>
      <rPr>
        <b/>
        <sz val="7"/>
        <rFont val="Arial"/>
        <family val="2"/>
      </rPr>
      <t xml:space="preserve">  </t>
    </r>
    <r>
      <rPr>
        <b/>
        <sz val="12"/>
        <rFont val="宋体"/>
        <family val="3"/>
        <charset val="134"/>
      </rPr>
      <t>工作底稿的分类</t>
    </r>
  </si>
  <si>
    <t>关于工作底稿索引号的编制方法的说明</t>
    <phoneticPr fontId="8" type="noConversion"/>
  </si>
  <si>
    <t>会计估计变更审计程序S2-2</t>
  </si>
  <si>
    <t>会计政策变更和前期差错更正S2-1</t>
  </si>
  <si>
    <t>日期：</t>
    <phoneticPr fontId="8" type="noConversion"/>
  </si>
  <si>
    <t>审定表</t>
  </si>
  <si>
    <t>编制人：</t>
    <phoneticPr fontId="8" type="noConversion"/>
  </si>
  <si>
    <t>表头（请先填写）</t>
  </si>
  <si>
    <t>内  容</t>
    <phoneticPr fontId="8" type="noConversion"/>
  </si>
  <si>
    <t>序号</t>
    <phoneticPr fontId="8" type="noConversion"/>
  </si>
  <si>
    <t>客户名称：</t>
    <phoneticPr fontId="8" type="noConversion"/>
  </si>
  <si>
    <t>底稿开列时，可先在以下单元格填写有关内容，以便其他底稿引用有关数据：</t>
    <phoneticPr fontId="8" type="noConversion"/>
  </si>
  <si>
    <t>3、披露内容</t>
    <phoneticPr fontId="8" type="noConversion"/>
  </si>
  <si>
    <t>2、审计结论</t>
    <phoneticPr fontId="8" type="noConversion"/>
  </si>
  <si>
    <t>1、重大事项说明</t>
    <phoneticPr fontId="8" type="noConversion"/>
  </si>
  <si>
    <t>页  次：</t>
    <phoneticPr fontId="8" type="noConversion"/>
  </si>
  <si>
    <t>日期：</t>
  </si>
  <si>
    <t>复核人：</t>
    <phoneticPr fontId="8" type="noConversion"/>
  </si>
  <si>
    <t xml:space="preserve">  S3-1</t>
    <phoneticPr fontId="8" type="noConversion"/>
  </si>
  <si>
    <t>索引号：</t>
    <phoneticPr fontId="8" type="noConversion"/>
  </si>
  <si>
    <r>
      <t>审定表</t>
    </r>
    <r>
      <rPr>
        <b/>
        <sz val="12"/>
        <rFont val="Times New Roman"/>
        <family val="1"/>
      </rPr>
      <t xml:space="preserve">     </t>
    </r>
    <phoneticPr fontId="8" type="noConversion"/>
  </si>
  <si>
    <t>致同会计师事务所</t>
  </si>
  <si>
    <t>7．验明会计政策变更和前期差错更正的披露是否恰当。</t>
    <phoneticPr fontId="8" type="noConversion"/>
  </si>
  <si>
    <t>6.重点关注被审计单位首次执行企业会计准则时，是否全面执行企业会计准则，包括基本准则、具体准则及其应用指南的各项规定，并根据企业会计准则的有关要求和被审计单位实际情况，合理制定会计政策，不得利用会计政策变更、会计估计差错调节利润。</t>
    <phoneticPr fontId="8" type="noConversion"/>
  </si>
  <si>
    <t>5．审查被审计单位是否存在滥用会计政策及其变更的情况，如果存在，检查其是否已作为前期差错予以更正。</t>
    <phoneticPr fontId="8" type="noConversion"/>
  </si>
  <si>
    <t xml:space="preserve">4．审查与会计政策变更和前期差错更正相关的会计记录，确定其会计处理是否正确。 </t>
    <phoneticPr fontId="8" type="noConversion"/>
  </si>
  <si>
    <t>3.3 检查被审计单位是否在重要的前期差错发现当期的财务报表中，调整前期比较数据。</t>
    <phoneticPr fontId="8" type="noConversion"/>
  </si>
  <si>
    <t>3.2 确定前期差错影响数不切实可行的，可以从可追溯重述的最早期间开始调整留存收益的期初余额，财务报表其他相关项目的期初余额也应当一并调整，也可以采用未来适用法。</t>
    <phoneticPr fontId="8" type="noConversion"/>
  </si>
  <si>
    <t>3.1检查被审计单位是否采用追溯重述法更正重要的前期差错，但确定前期差错累积影响数不切实可行的除外。</t>
    <phoneticPr fontId="8" type="noConversion"/>
  </si>
  <si>
    <t xml:space="preserve">3．获取并审查前期差错更正相关的资料，根据会计准则规定和被审计单位实际情况，判断前期差错更正合理性，会计处理的正确性。 </t>
    <phoneticPr fontId="8" type="noConversion"/>
  </si>
  <si>
    <t>2.5会计政策变更能够提供更可靠、更相关的会计信息的，检查是否采用追溯调整法处理，将会计政策变更累积影响数调整列报前期最早期初留存收益，其他相关项目的期初余额和列报前期披露的其他比较数据也应当一并调整，但确定该项会计政策变更累积影响数不切实可行的除外。</t>
    <phoneticPr fontId="8" type="noConversion"/>
  </si>
  <si>
    <t>2.4重点关注被审计单位首次执行《企业会计准则》（2006）的有关会计政策变更的会计处理，首次执行企业会计准则对会计要素的确认、计量和财务报表列报，检查是否根据《企业会计准则第38号——首次执行企业会计准则》的规定办理；首次执行企业会计准则后发生的会计政策变更，检查是否适用《企业会计准则第28 号——会计政策、会计估计变更和差错更正》的规定办理。</t>
    <phoneticPr fontId="8" type="noConversion"/>
  </si>
  <si>
    <t>2.3如果根据法律、行政法规或者国家统一的会计制度等要求变更会计政策的，检查是否按照国家相关会计规定执行。</t>
    <phoneticPr fontId="8" type="noConversion"/>
  </si>
  <si>
    <t>2.2 被审计单位采用的会计政策，在每一会计期间和前后各期应当保持一致，不得随意变更。但是，满足下列条件之一的，可以变更会计政策：法律、行政法规或者国家统一的会计制度等要求变更。会计政策变更能够提供更可靠、更相关的会计信息。</t>
    <phoneticPr fontId="8" type="noConversion"/>
  </si>
  <si>
    <t>2.1检查是否对相同或者相似的交易或者事项采用相同的会计政策进行处理。但是，其他会计准则另有规定的除外。</t>
    <phoneticPr fontId="8" type="noConversion"/>
  </si>
  <si>
    <t>2．查阅法规或会计准则等行政法规、规章以及被审计单位董事会、管理当局有关会议记录，根据会计准则规定和被审计单位实际情况，判断会计政策变更的合法性和合理性，会计处理的正确性。</t>
    <phoneticPr fontId="8" type="noConversion"/>
  </si>
  <si>
    <t xml:space="preserve">1．获取被审计单位提供的会计政策说明，与前期采用的会计政策进行比较，以识别会计政策的变更。 </t>
    <phoneticPr fontId="8" type="noConversion"/>
  </si>
  <si>
    <t>索引号</t>
  </si>
  <si>
    <t>执行人</t>
    <phoneticPr fontId="8" type="noConversion"/>
  </si>
  <si>
    <t xml:space="preserve">  二、审计程序</t>
  </si>
  <si>
    <t>3、确定会计政策变更和前期差错更正的披露是否恰当。</t>
    <phoneticPr fontId="8" type="noConversion"/>
  </si>
  <si>
    <t>2、确定会计政策变更和前期差错更正的会计处理是否正确；</t>
    <phoneticPr fontId="8" type="noConversion"/>
  </si>
  <si>
    <t>1、确定会计政策变更是否合法、合理；确定前期差错更正是否合理；</t>
    <phoneticPr fontId="8" type="noConversion"/>
  </si>
  <si>
    <t xml:space="preserve">  一、审计目标</t>
  </si>
  <si>
    <t>页 次：</t>
    <phoneticPr fontId="8" type="noConversion"/>
  </si>
  <si>
    <t>日期：</t>
    <phoneticPr fontId="8" type="noConversion"/>
  </si>
  <si>
    <t>S3-1</t>
    <phoneticPr fontId="8" type="noConversion"/>
  </si>
  <si>
    <t>会计政策变更和前期差错更正</t>
    <phoneticPr fontId="8" type="noConversion"/>
  </si>
  <si>
    <t>8.验明会计估计及其变更的披露是否恰当。</t>
    <phoneticPr fontId="8" type="noConversion"/>
  </si>
  <si>
    <t>7.重点关注被审计单位首次执行企业会计准则时，是否全面执行企业会计准则，包括基本准则、具体准则及其应用指南的各项规定，并根据企业会计准则的有关要求和被审计单位实际情况，合理作出会计估计变更，不得利用会计估计变更调节利润。</t>
    <phoneticPr fontId="8" type="noConversion"/>
  </si>
  <si>
    <t>6.审查被审计单位是否存在滥用会计估计及其变更的情况，如果存在，审查其是否已作为会计差错予以更正。</t>
    <phoneticPr fontId="8" type="noConversion"/>
  </si>
  <si>
    <t>5.3难以对某项变更区分为会计政策变更或会计估计变更的，检查是否将其作为会计估计变更处理。</t>
    <phoneticPr fontId="8" type="noConversion"/>
  </si>
  <si>
    <t>5.2被审计单位对会计估计变更应当采用未来适用法处理。</t>
    <phoneticPr fontId="8" type="noConversion"/>
  </si>
  <si>
    <t>5.1检查是否在被审计单位据以进行估计的基础发生了变化，或者由于取得新信息、积累更多经验以及后来的发展变化，需要对会计估计进行修订。会计估计变更的依据应当真实、可靠。</t>
    <phoneticPr fontId="8" type="noConversion"/>
  </si>
  <si>
    <t>5.获取并审查与会计估计变更的相关资料, 根据会计准则规定和被审计单位实际情况，审查与会计估计变更相关的会计记录，确定其会计处理是否正确，判断会计估计变更的合法性和合理性：</t>
    <phoneticPr fontId="8" type="noConversion"/>
  </si>
  <si>
    <t>4.复核能够证实会计估计的资产负债表日后事项。</t>
    <phoneticPr fontId="8" type="noConversion"/>
  </si>
  <si>
    <t>3.利用独立估计与被审计单位作出的会计估计进行比较，如存在明显差异应查明原因，分析判断该差异是否合理,如果该项差异不合理，应当予以调整。</t>
    <phoneticPr fontId="8" type="noConversion"/>
  </si>
  <si>
    <t>2.4考虑被审计单位管理当局对会计估计的批准程序。</t>
    <phoneticPr fontId="8" type="noConversion"/>
  </si>
  <si>
    <t>2.3如有可能，将以前期间作出的会计估计与其实际结果进行比较；</t>
    <phoneticPr fontId="8" type="noConversion"/>
  </si>
  <si>
    <t>2.2测试会计估计的计算过程；</t>
    <phoneticPr fontId="8" type="noConversion"/>
  </si>
  <si>
    <t>2.1评价会计估计依据的数据的准确性、完整性和相关性、假设的合理性和使用的公式的正确性；当会计估计依据的数据是会计数据时，应判断其是否与会计系统的相关数据一致，必要时，可以考虑从被审计单位外部获取审计证据；</t>
    <phoneticPr fontId="8" type="noConversion"/>
  </si>
  <si>
    <t>2.获取被审计单位提供的会计估计说明，并复核和测试被审计单位作出会计估计的过程：</t>
    <phoneticPr fontId="8" type="noConversion"/>
  </si>
  <si>
    <t>1.向被审计单位管理当局了解其作出会计估计的程序、方法和相关内部控制。</t>
    <phoneticPr fontId="8" type="noConversion"/>
  </si>
  <si>
    <t>执行人</t>
    <phoneticPr fontId="8" type="noConversion"/>
  </si>
  <si>
    <t>4. 确定会计估计及其变更的披露是否恰当。</t>
    <phoneticPr fontId="8" type="noConversion"/>
  </si>
  <si>
    <t>3．确定会计估计变更的会计处理是否正确；</t>
    <phoneticPr fontId="8" type="noConversion"/>
  </si>
  <si>
    <t>2. 确定会计估计变更是否合理、合法；</t>
    <phoneticPr fontId="8" type="noConversion"/>
  </si>
  <si>
    <t>1．确定会计估计是否合理；</t>
    <phoneticPr fontId="8" type="noConversion"/>
  </si>
  <si>
    <r>
      <t>页</t>
    </r>
    <r>
      <rPr>
        <sz val="10"/>
        <rFont val="Times New Roman"/>
        <family val="1"/>
      </rPr>
      <t xml:space="preserve">    </t>
    </r>
    <r>
      <rPr>
        <sz val="10"/>
        <rFont val="宋体"/>
        <family val="3"/>
        <charset val="134"/>
      </rPr>
      <t>次：</t>
    </r>
    <phoneticPr fontId="8" type="noConversion"/>
  </si>
  <si>
    <t>复核人</t>
  </si>
  <si>
    <t>S3-2</t>
    <phoneticPr fontId="8" type="noConversion"/>
  </si>
  <si>
    <t>索引号：</t>
    <phoneticPr fontId="8" type="noConversion"/>
  </si>
  <si>
    <t>会计估计变更</t>
    <phoneticPr fontId="8" type="noConversion"/>
  </si>
  <si>
    <r>
      <rPr>
        <sz val="10"/>
        <rFont val="宋体"/>
        <family val="3"/>
        <charset val="134"/>
      </rPr>
      <t>索引：</t>
    </r>
    <r>
      <rPr>
        <sz val="10"/>
        <rFont val="Arial Narrow"/>
        <family val="2"/>
      </rPr>
      <t>S3-6</t>
    </r>
    <phoneticPr fontId="8" type="noConversion"/>
  </si>
  <si>
    <t>确定首次执行日的调整。</t>
    <phoneticPr fontId="8" type="noConversion"/>
  </si>
  <si>
    <t>合同资产</t>
  </si>
  <si>
    <t>资产负债表日“合同结算”科目的期末余额在借方的[收入结转（业务收入）&gt;价款结算]，根据其流动性，在资产负债表中分别列示为“合同资产”或“其他非流动资产”项目；工程质保金，需等到客户于保质期结束且未发生重大质量问题后方能收款，应当在资产负债表中作为合同资产列示。</t>
  </si>
  <si>
    <t>原核算科目与列报项目</t>
    <phoneticPr fontId="5" type="noConversion"/>
  </si>
  <si>
    <t>准则依据及转换要求</t>
    <phoneticPr fontId="5" type="noConversion"/>
  </si>
  <si>
    <t>金额</t>
    <phoneticPr fontId="5" type="noConversion"/>
  </si>
  <si>
    <t>调整分录</t>
    <phoneticPr fontId="5" type="noConversion"/>
  </si>
  <si>
    <t>金额</t>
    <phoneticPr fontId="5" type="noConversion"/>
  </si>
  <si>
    <t>借：合同资产</t>
    <phoneticPr fontId="5" type="noConversion"/>
  </si>
  <si>
    <t>借：其他非流动资产</t>
    <phoneticPr fontId="5" type="noConversion"/>
  </si>
  <si>
    <t>贷：应收账款</t>
    <phoneticPr fontId="5" type="noConversion"/>
  </si>
  <si>
    <t>新准则核算项目</t>
    <phoneticPr fontId="5" type="noConversion"/>
  </si>
  <si>
    <t>借：盈余公积</t>
    <phoneticPr fontId="5" type="noConversion"/>
  </si>
  <si>
    <t>借：利润分配——未分配利润</t>
    <phoneticPr fontId="5" type="noConversion"/>
  </si>
  <si>
    <t>贷：合同资产减值准备</t>
    <phoneticPr fontId="5" type="noConversion"/>
  </si>
  <si>
    <t>合同负债</t>
    <phoneticPr fontId="5" type="noConversion"/>
  </si>
  <si>
    <t>合同负债，是指企业已收或应收客户对价而应向客户转让商品的义务。如企业在转让承诺的商品之前已收取的款项。
企业因转让商品收到的预收款适用本准则进行会计处理时，不再使用“预收账款”科目及“递延收益”科目。</t>
    <phoneticPr fontId="5" type="noConversion"/>
  </si>
  <si>
    <t>借：预收账款</t>
    <phoneticPr fontId="5" type="noConversion"/>
  </si>
  <si>
    <t>借：递延收益</t>
    <phoneticPr fontId="5" type="noConversion"/>
  </si>
  <si>
    <t>贷：合同负债</t>
    <phoneticPr fontId="5" type="noConversion"/>
  </si>
  <si>
    <t>贷：其他非流动负债</t>
    <phoneticPr fontId="5" type="noConversion"/>
  </si>
  <si>
    <t>首次执行本准则的企业，应当根据首次执行本准则的累积影响数，调整首次执行本准则当年年初留存收益及财务报表其他相关项目金额，对可比期间信息不予调整。</t>
    <phoneticPr fontId="5" type="noConversion"/>
  </si>
  <si>
    <t>企业可以仅对在首次执行日尚未完成的合同的累积影响数进行调整。</t>
    <phoneticPr fontId="5" type="noConversion"/>
  </si>
  <si>
    <t>同时，企业应当在附注中披露，与收入相关会计准则制度的原规定相比，执行本准则对当期财务报表相关项目的影响金额，如有重大影响的，还需披露其原因。</t>
    <phoneticPr fontId="5" type="noConversion"/>
  </si>
  <si>
    <t>对于最早可比期间期初之前或首次执行本准则当年年初之前发生的合同变更，企业可予以简化处理，即无需按照本准则第八条规定进行追溯调整，</t>
    <phoneticPr fontId="5" type="noConversion"/>
  </si>
  <si>
    <t>而是根据合同变更的最终安排，识别已履行的和尚未履行的履约义务、确定交易价格以及在已履行的和尚未履行的履约义务之间分摊交易价格。</t>
    <phoneticPr fontId="5" type="noConversion"/>
  </si>
  <si>
    <t>企业采用该简化处理方法的，应当对所有合同一致采用，并且在附注中披露该事实以及在合理范围内对采用该简化处理方法的影响所作的定性分析。</t>
    <phoneticPr fontId="5" type="noConversion"/>
  </si>
  <si>
    <t>同一合同下的合同资产和合同负债应当以净额列示，不同合同下的合同资产和合同负债不能互相抵销。</t>
    <phoneticPr fontId="5" type="noConversion"/>
  </si>
  <si>
    <t>注：资产负债表日“合同结算”科目的期末余额在借方的，根据其流动性，在资产负债表中分别列示为“合同资产”或“其他非流动资产”项目；</t>
    <phoneticPr fontId="5" type="noConversion"/>
  </si>
  <si>
    <t>期末余额在贷方的，根据其流动性，在资产负债表中分别列示为“合同负债”或“其他非流动负债”项目。</t>
    <phoneticPr fontId="5" type="noConversion"/>
  </si>
  <si>
    <t>是否适用</t>
  </si>
  <si>
    <t>是否尚未完成</t>
    <phoneticPr fontId="8" type="noConversion"/>
  </si>
  <si>
    <t>已完成的合同，是指企业按照与收入相关会计准则制度的原规定已完成合同中全部商品的转让的合同。尚未完成的合同，是指除已完成的合同之外的其他合同。</t>
    <phoneticPr fontId="5" type="noConversion"/>
  </si>
  <si>
    <t>于2019年12月31日向客户销售商品，并立即交付。要求该客户预付一半的对价，另外一半在60天内付款。由于客户历史信用记录较差，公司认为“相关的经济利益很可能流入企业”的条件不满足，因此未确认销售收入。</t>
    <phoneticPr fontId="5" type="noConversion"/>
  </si>
  <si>
    <t>商品销售合同【合同编号：XXX】</t>
    <phoneticPr fontId="5" type="noConversion"/>
  </si>
  <si>
    <t>合同项目及编号</t>
    <phoneticPr fontId="5" type="noConversion"/>
  </si>
  <si>
    <t>合同履行情况说明</t>
    <phoneticPr fontId="5" type="noConversion"/>
  </si>
  <si>
    <t>审计证据及说明</t>
    <phoneticPr fontId="8" type="noConversion"/>
  </si>
  <si>
    <t>注：可以仅对在首次执行日尚未完成的合同的累积影响数进行调整。</t>
    <phoneticPr fontId="5" type="noConversion"/>
  </si>
  <si>
    <t>重分类分录</t>
    <phoneticPr fontId="5" type="noConversion"/>
  </si>
  <si>
    <t>应收账款
其他应收款
长期应收款
存货</t>
    <phoneticPr fontId="5" type="noConversion"/>
  </si>
  <si>
    <t>贷：存货</t>
    <phoneticPr fontId="5" type="noConversion"/>
  </si>
  <si>
    <t>贷：其他应收款</t>
    <phoneticPr fontId="5" type="noConversion"/>
  </si>
  <si>
    <t>预收账款
递延收益
其他应付款
其他流动负债</t>
    <phoneticPr fontId="5" type="noConversion"/>
  </si>
  <si>
    <t>借：其他流动资产</t>
    <phoneticPr fontId="5" type="noConversion"/>
  </si>
  <si>
    <t>确认为资产的合同履约成本，初始确认时摊销期限不超过一年或一个正常营业周期的，在资产负债表中计入“存货”项目；初始确认时摊销期限在一年或一个正常营业周期以上的，在资产负债表中计入“其他非流动资产”项目。
确认为资产的合同取得成本，初始确认时摊销期限不超过一年或一个正常营业周期的，在资产负债表中计入“其他流动资产”项目；初始确认时摊销期限在一年或一个正常营业周期以上的，在资产负债表中计入“其他非流动资产”项目。</t>
    <phoneticPr fontId="5" type="noConversion"/>
  </si>
  <si>
    <t>借：存货</t>
    <phoneticPr fontId="5" type="noConversion"/>
  </si>
  <si>
    <t>无形资产
长期待摊费用</t>
    <phoneticPr fontId="5" type="noConversion"/>
  </si>
  <si>
    <t>贷：长期待摊费用</t>
    <phoneticPr fontId="5" type="noConversion"/>
  </si>
  <si>
    <t>借：其他非流动资产</t>
    <phoneticPr fontId="5" type="noConversion"/>
  </si>
  <si>
    <t>合同预计损失准备</t>
    <phoneticPr fontId="5" type="noConversion"/>
  </si>
  <si>
    <t>预计负债</t>
    <phoneticPr fontId="5" type="noConversion"/>
  </si>
  <si>
    <t>根据《企业会计准则第13号——或有事项》的相关规定，待执行合同变成亏损合同的，该亏损合同产生的义务满足相关条件的，则应当对亏损合同确认预计负债。</t>
    <phoneticPr fontId="5" type="noConversion"/>
  </si>
  <si>
    <t>借：存货跌价准备—合同预计损失准备</t>
    <phoneticPr fontId="5" type="noConversion"/>
  </si>
  <si>
    <t>贷：预计负债</t>
    <phoneticPr fontId="5" type="noConversion"/>
  </si>
  <si>
    <t>贷：应交税费——待转销项税额</t>
    <phoneticPr fontId="5" type="noConversion"/>
  </si>
  <si>
    <t>《收入准则应用案例——亏损合同案例》</t>
    <phoneticPr fontId="5" type="noConversion"/>
  </si>
  <si>
    <t>合同履约成本、合同取得成本</t>
    <phoneticPr fontId="5" type="noConversion"/>
  </si>
  <si>
    <t>以每个单独签署的合同为基础分别确认相关收入</t>
    <phoneticPr fontId="5" type="noConversion"/>
  </si>
  <si>
    <t>原处理方式</t>
    <phoneticPr fontId="5" type="noConversion"/>
  </si>
  <si>
    <t>存在重大整合，将该等合同合并为一份合同并在履行单项履约义务时确认收入</t>
    <phoneticPr fontId="5" type="noConversion"/>
  </si>
  <si>
    <r>
      <rPr>
        <sz val="10"/>
        <rFont val="宋体"/>
        <family val="3"/>
        <charset val="134"/>
      </rPr>
      <t>通常</t>
    </r>
    <r>
      <rPr>
        <sz val="10"/>
        <rFont val="Arial Narrow"/>
        <family val="2"/>
      </rPr>
      <t>“</t>
    </r>
    <r>
      <rPr>
        <sz val="10"/>
        <rFont val="宋体"/>
        <family val="3"/>
        <charset val="134"/>
      </rPr>
      <t>设计</t>
    </r>
    <r>
      <rPr>
        <sz val="10"/>
        <rFont val="Arial Narrow"/>
        <family val="2"/>
      </rPr>
      <t>”</t>
    </r>
    <r>
      <rPr>
        <sz val="10"/>
        <rFont val="宋体"/>
        <family val="3"/>
        <charset val="134"/>
      </rPr>
      <t>、</t>
    </r>
    <r>
      <rPr>
        <sz val="10"/>
        <rFont val="Arial Narrow"/>
        <family val="2"/>
      </rPr>
      <t>“</t>
    </r>
    <r>
      <rPr>
        <sz val="10"/>
        <rFont val="宋体"/>
        <family val="3"/>
        <charset val="134"/>
      </rPr>
      <t>采购</t>
    </r>
    <r>
      <rPr>
        <sz val="10"/>
        <rFont val="Arial Narrow"/>
        <family val="2"/>
      </rPr>
      <t>”</t>
    </r>
    <r>
      <rPr>
        <sz val="10"/>
        <rFont val="宋体"/>
        <family val="3"/>
        <charset val="134"/>
      </rPr>
      <t>、</t>
    </r>
    <r>
      <rPr>
        <sz val="10"/>
        <rFont val="Arial Narrow"/>
        <family val="2"/>
      </rPr>
      <t>“</t>
    </r>
    <r>
      <rPr>
        <sz val="10"/>
        <rFont val="宋体"/>
        <family val="3"/>
        <charset val="134"/>
      </rPr>
      <t>施工</t>
    </r>
    <r>
      <rPr>
        <sz val="10"/>
        <rFont val="Arial Narrow"/>
        <family val="2"/>
      </rPr>
      <t>”</t>
    </r>
    <r>
      <rPr>
        <sz val="10"/>
        <rFont val="宋体"/>
        <family val="3"/>
        <charset val="134"/>
      </rPr>
      <t>存在重大整合（尤其是非标准化的项目）。因此，设计通常不可单独区分。但是对于比较成熟的设计方案，可能</t>
    </r>
    <r>
      <rPr>
        <sz val="10"/>
        <rFont val="Arial Narrow"/>
        <family val="2"/>
      </rPr>
      <t>“</t>
    </r>
    <r>
      <rPr>
        <sz val="10"/>
        <rFont val="宋体"/>
        <family val="3"/>
        <charset val="134"/>
      </rPr>
      <t>设计</t>
    </r>
    <r>
      <rPr>
        <sz val="10"/>
        <rFont val="Arial Narrow"/>
        <family val="2"/>
      </rPr>
      <t>”</t>
    </r>
    <r>
      <rPr>
        <sz val="10"/>
        <rFont val="宋体"/>
        <family val="3"/>
        <charset val="134"/>
      </rPr>
      <t>可单独区分，从而</t>
    </r>
    <r>
      <rPr>
        <sz val="10"/>
        <rFont val="Arial Narrow"/>
        <family val="2"/>
      </rPr>
      <t>“</t>
    </r>
    <r>
      <rPr>
        <sz val="10"/>
        <rFont val="宋体"/>
        <family val="3"/>
        <charset val="134"/>
      </rPr>
      <t>设计</t>
    </r>
    <r>
      <rPr>
        <sz val="10"/>
        <rFont val="Arial Narrow"/>
        <family val="2"/>
      </rPr>
      <t>”</t>
    </r>
    <r>
      <rPr>
        <sz val="10"/>
        <rFont val="宋体"/>
        <family val="3"/>
        <charset val="134"/>
      </rPr>
      <t>与</t>
    </r>
    <r>
      <rPr>
        <sz val="10"/>
        <rFont val="Arial Narrow"/>
        <family val="2"/>
      </rPr>
      <t>“</t>
    </r>
    <r>
      <rPr>
        <sz val="10"/>
        <rFont val="宋体"/>
        <family val="3"/>
        <charset val="134"/>
      </rPr>
      <t>采购及施工</t>
    </r>
    <r>
      <rPr>
        <sz val="10"/>
        <rFont val="Arial Narrow"/>
        <family val="2"/>
      </rPr>
      <t>”</t>
    </r>
    <r>
      <rPr>
        <sz val="10"/>
        <rFont val="宋体"/>
        <family val="3"/>
        <charset val="134"/>
      </rPr>
      <t>会成为两项单独的履约义务。</t>
    </r>
    <phoneticPr fontId="5" type="noConversion"/>
  </si>
  <si>
    <t>工程总承包(EPC)合同</t>
    <phoneticPr fontId="5" type="noConversion"/>
  </si>
  <si>
    <t>勘察设计服务合同</t>
    <phoneticPr fontId="5" type="noConversion"/>
  </si>
  <si>
    <t>按照完工百分比法确认提供劳务收入</t>
    <phoneticPr fontId="5" type="noConversion"/>
  </si>
  <si>
    <t>在客户取得相关商品或服务控制权时点确认收入</t>
    <phoneticPr fontId="5" type="noConversion"/>
  </si>
  <si>
    <t>支付给经销商的市场助销投入</t>
    <phoneticPr fontId="5" type="noConversion"/>
  </si>
  <si>
    <t>现金折扣</t>
    <phoneticPr fontId="5" type="noConversion"/>
  </si>
  <si>
    <t>计入销售费用</t>
    <phoneticPr fontId="5" type="noConversion"/>
  </si>
  <si>
    <t>抵减营业收入</t>
    <phoneticPr fontId="5" type="noConversion"/>
  </si>
  <si>
    <t>抵减营业收入</t>
    <phoneticPr fontId="5" type="noConversion"/>
  </si>
  <si>
    <t>新准则下会计处理</t>
    <phoneticPr fontId="5" type="noConversion"/>
  </si>
  <si>
    <t>2.尚未完成的合同</t>
    <phoneticPr fontId="8" type="noConversion"/>
  </si>
  <si>
    <t>3.尚未完成的合同的累积影响数</t>
    <phoneticPr fontId="5" type="noConversion"/>
  </si>
  <si>
    <t>3.1 重新认定单项履约义务</t>
    <phoneticPr fontId="5" type="noConversion"/>
  </si>
  <si>
    <t>3.2 收入确认时点或时段变化</t>
    <phoneticPr fontId="5" type="noConversion"/>
  </si>
  <si>
    <t>3.3 应付客户对价冲减交易价格</t>
    <phoneticPr fontId="5" type="noConversion"/>
  </si>
  <si>
    <t>由于面临重大客户信用风险，公司按总额确认销售收入</t>
    <phoneticPr fontId="5" type="noConversion"/>
  </si>
  <si>
    <t>大宗商品交易</t>
    <phoneticPr fontId="5" type="noConversion"/>
  </si>
  <si>
    <t>由于在将货物转让给客户之前未获得对该货物的控制权，公司的身份是作为代理人为另一方安排提供商品交易服务，应按净额确认收入</t>
    <phoneticPr fontId="5" type="noConversion"/>
  </si>
  <si>
    <t>累积影响数的来源：</t>
    <phoneticPr fontId="5" type="noConversion"/>
  </si>
  <si>
    <t>新收入准则下按单独售价相对比例分配交易价格，可能与以往分配的金额不同；
新收入准则下对在某一时段内履行的履约义务的判断与原准则下可能不同；</t>
    <phoneticPr fontId="5" type="noConversion"/>
  </si>
  <si>
    <t>新收入准则下对主要责任人与代理人的判断与原准则下可能不同；
新收入准则下对可变对价的处理与原准则下可能不同……</t>
    <phoneticPr fontId="5" type="noConversion"/>
  </si>
  <si>
    <r>
      <rPr>
        <sz val="10"/>
        <rFont val="宋体"/>
        <family val="3"/>
        <charset val="134"/>
      </rPr>
      <t>新收入准则下识别的履约义务，与原准则下识别的要素</t>
    </r>
    <r>
      <rPr>
        <sz val="10"/>
        <rFont val="Arial Narrow"/>
        <family val="2"/>
      </rPr>
      <t>/</t>
    </r>
    <r>
      <rPr>
        <sz val="10"/>
        <rFont val="宋体"/>
        <family val="3"/>
        <charset val="134"/>
      </rPr>
      <t>交付物可能不同；</t>
    </r>
    <phoneticPr fontId="5" type="noConversion"/>
  </si>
  <si>
    <t>企业需要在首次执行新收入准则当年保留两套记录，以便按照规定披露假定按照原准则编制的财务报表中所有项目的重大变化。</t>
    <phoneticPr fontId="5" type="noConversion"/>
  </si>
  <si>
    <t>合同负债不含税。《收入准则应用案例——合同负债（涉及不同增值税率的储值卡）》</t>
    <phoneticPr fontId="5" type="noConversion"/>
  </si>
  <si>
    <t>3.7 合同取得成本、合同履约成本</t>
    <phoneticPr fontId="5" type="noConversion"/>
  </si>
  <si>
    <t>退货权</t>
    <phoneticPr fontId="5" type="noConversion"/>
  </si>
  <si>
    <t>预计退回的部分不确认收入，按照预期因销售退回将退还的金额确认负债
；预计退货收回产品的权利确认为资产</t>
    <phoneticPr fontId="5" type="noConversion"/>
  </si>
  <si>
    <t>估计的销售退回确认相关毛利预计负债</t>
    <phoneticPr fontId="5" type="noConversion"/>
  </si>
  <si>
    <t>3.4 各单项履约义务分摊的交易价格变化</t>
    <phoneticPr fontId="5" type="noConversion"/>
  </si>
  <si>
    <t>3.5 收入确认总额法净额法调整</t>
    <phoneticPr fontId="5" type="noConversion"/>
  </si>
  <si>
    <t>3.6 重大融资成分调整</t>
    <phoneticPr fontId="5" type="noConversion"/>
  </si>
  <si>
    <t>3.8 客户退货权的确认</t>
    <phoneticPr fontId="5" type="noConversion"/>
  </si>
  <si>
    <t>统一按单独售价的比例分摊交易价格</t>
    <phoneticPr fontId="5" type="noConversion"/>
  </si>
  <si>
    <t>捆绑销售</t>
    <phoneticPr fontId="5" type="noConversion"/>
  </si>
  <si>
    <t>购机赠费与存费优惠购机的会计处理不同，通常按余值法分摊</t>
    <phoneticPr fontId="5" type="noConversion"/>
  </si>
  <si>
    <t>汽车保养服务</t>
    <phoneticPr fontId="5" type="noConversion"/>
  </si>
  <si>
    <t>将为客户提供的保养服务识别为影响单项履约义务</t>
    <phoneticPr fontId="5" type="noConversion"/>
  </si>
  <si>
    <t>销售汽车时一次性确认收入</t>
    <phoneticPr fontId="5" type="noConversion"/>
  </si>
  <si>
    <t>预收客户款项的销售</t>
    <phoneticPr fontId="5" type="noConversion"/>
  </si>
  <si>
    <t>未确认向客户的融资费用</t>
    <phoneticPr fontId="5" type="noConversion"/>
  </si>
  <si>
    <t>存在重大融资成分的，确认利息费用，并调整收入确认金额</t>
    <phoneticPr fontId="5" type="noConversion"/>
  </si>
  <si>
    <t>销售佣金、印花税</t>
    <phoneticPr fontId="5" type="noConversion"/>
  </si>
  <si>
    <t>计入销售费用</t>
    <phoneticPr fontId="5" type="noConversion"/>
  </si>
  <si>
    <t>符合资本化条件时，将销售佣金、印花税等合同取得成本确认为一项资产；后续采用与该资产相关的商品收入确认相同的基础进行摊销，计入当期损益（销售费用）</t>
    <phoneticPr fontId="5" type="noConversion"/>
  </si>
  <si>
    <t>企业为取得合同发生的增量成本预期能够收回的，应当作为合同取得成本确认为一项资产；但是，该资产摊销期限不超过一年的，可以在发生时计入当期损益。
增量成本，是指企业不取得合同就不会发生的成本（如销售佣金等）。</t>
    <phoneticPr fontId="5" type="noConversion"/>
  </si>
  <si>
    <t>合同中存在重大融资成分的，企业应当按照假定客户在取得商品控制权时即以现金支付的应付金额确定交易价格。该交易价格与合同对价之间的差额，应当在合同期间内采用实际利率法摊销。</t>
    <phoneticPr fontId="5" type="noConversion"/>
  </si>
  <si>
    <t>合同中存在可变对价的，企业应当按照期望值或最可能发生金额确定可变对价的最佳估计数，但包含可变对价的交易价格，应当不超过在相关不确定性消除时累计已确认收入极可能不会发生重大转回的金额。</t>
    <phoneticPr fontId="5" type="noConversion"/>
  </si>
  <si>
    <t>企业应付客户（或向客户购买本企业商品的第三方，本条下同）对价的，应当将该应付对价冲减交易价格，并在确认相关收入与支付（或承诺支付）客户对价二者孰晚的时点冲减当期收入，但应付客户对价是为了向客户取得其他可明确区分商品的除外。</t>
    <phoneticPr fontId="5" type="noConversion"/>
  </si>
  <si>
    <t>合同中包含两项或多项履约义务的，企业应当在合同开始日，按照各单项履约义务所承诺商品的单独售价的相对比例，将交易价格分摊至各单项履约义务。</t>
    <phoneticPr fontId="5" type="noConversion"/>
  </si>
  <si>
    <t>企业应当根据其在向客户转让商品前是否拥有对该商品的控制权，来判断其从事交易时的身份是主要责任人还是代理人。</t>
    <phoneticPr fontId="5" type="noConversion"/>
  </si>
  <si>
    <t>对于最早可比期间期初之前或首次执行本准则当年年初之前发生的合同变更，企业可予以简化处理，即无需按照本准则第八条规定进行追溯调整，而是根据合同变更的最终安排，识别已履行的和尚未履行的履约义务、确定交易价格以及在已履行的和尚未履行的履约义务之间分摊交易价格。</t>
    <phoneticPr fontId="5" type="noConversion"/>
  </si>
  <si>
    <t>合同履行及变更情况说明</t>
    <phoneticPr fontId="5" type="noConversion"/>
  </si>
  <si>
    <t>4. 合同变更的简化处理</t>
    <phoneticPr fontId="5" type="noConversion"/>
  </si>
  <si>
    <t>合同变更的简化处理</t>
    <phoneticPr fontId="8" type="noConversion"/>
  </si>
  <si>
    <t>公司原售出100件产品，价款共2,000元。
2019年5月合同变更，增加10件，共120元。合同变更时已经转移10件。全部未收款。
2019年10月再次合同变更，增加40件，共400元。合同变更时已经转移60件。全部未收款。
新收入准则首次施行日2020年1月1日。
截止2019年12月31日共转让70件。2020年转移其余的80件。
原准则不会考虑2019年10月的变更，2019年确认收入1,400元（70×20），剩余对价1,120元（2,000-1,400+120+400），剩余80件商品。</t>
    <phoneticPr fontId="5" type="noConversion"/>
  </si>
  <si>
    <t xml:space="preserve">2019年两次合同变更后，对每件剩余产品确认的收入金额应为综合价格14.67元。
［（20元× 尚未根据原合同转让的40件产品）＋（12元× 尚未根据第一次修订后的合同转让的10件产品）＋（10元×拟根据第二次合同变更转让的40件产品）］÷90件剩余产品
2019年应确认收入：合同变更前转移（60×20）+合同变更后转移（10×14.67）=1,346.67元。
新准则下2019年应确认1,346.67元，调整首次执行本准则当年年初（2020年1月1日）留存收益及应收账款-53.33元
</t>
    <phoneticPr fontId="5" type="noConversion"/>
  </si>
  <si>
    <t>销售合同变更</t>
    <phoneticPr fontId="5" type="noConversion"/>
  </si>
  <si>
    <t>企业应当在附注中披露，与收入相关会计准则制度的原规定相比，执行本准则对当期财务报表相关项目的影响金额，如有重大影响的，还需披露其原因。</t>
    <phoneticPr fontId="5" type="noConversion"/>
  </si>
  <si>
    <t>5. 执行新收入准则的影响</t>
    <phoneticPr fontId="5" type="noConversion"/>
  </si>
  <si>
    <t>因为商品在首次执行日（2020年1月1日）前交付，所以在新收入准则下该合同视为已完成。</t>
    <phoneticPr fontId="5" type="noConversion"/>
  </si>
  <si>
    <t>5.1 新收入准则对首次执行日（2020年1月1日）合并资产负债表的影响</t>
    <phoneticPr fontId="5" type="noConversion"/>
  </si>
  <si>
    <t xml:space="preserve"> 项   目</t>
    <phoneticPr fontId="8" type="noConversion"/>
  </si>
  <si>
    <t>注</t>
    <phoneticPr fontId="8" type="noConversion"/>
  </si>
  <si>
    <t>重分类</t>
    <phoneticPr fontId="8" type="noConversion"/>
  </si>
  <si>
    <t>重新计量</t>
    <phoneticPr fontId="8" type="noConversion"/>
  </si>
  <si>
    <t>备注</t>
    <phoneticPr fontId="8" type="noConversion"/>
  </si>
  <si>
    <t>流动资产：</t>
    <phoneticPr fontId="8" type="noConversion"/>
  </si>
  <si>
    <t>应收账款</t>
    <phoneticPr fontId="8" type="noConversion"/>
  </si>
  <si>
    <t>其他应收款</t>
    <phoneticPr fontId="8" type="noConversion"/>
  </si>
  <si>
    <t>存货</t>
    <phoneticPr fontId="8" type="noConversion"/>
  </si>
  <si>
    <t>合同资产</t>
    <phoneticPr fontId="8" type="noConversion"/>
  </si>
  <si>
    <t>其他流动资产</t>
    <phoneticPr fontId="8" type="noConversion"/>
  </si>
  <si>
    <t>非流动资产：</t>
    <phoneticPr fontId="8" type="noConversion"/>
  </si>
  <si>
    <t>长期应收款</t>
    <phoneticPr fontId="8" type="noConversion"/>
  </si>
  <si>
    <t>其他非流动资产</t>
    <phoneticPr fontId="8" type="noConversion"/>
  </si>
  <si>
    <t>流动负债：</t>
    <phoneticPr fontId="8" type="noConversion"/>
  </si>
  <si>
    <t>预收款项</t>
    <phoneticPr fontId="8" type="noConversion"/>
  </si>
  <si>
    <t>合同负债</t>
    <phoneticPr fontId="8" type="noConversion"/>
  </si>
  <si>
    <t>应交税费</t>
    <phoneticPr fontId="8" type="noConversion"/>
  </si>
  <si>
    <t>非流动负债：</t>
    <phoneticPr fontId="8" type="noConversion"/>
  </si>
  <si>
    <t>预计负债</t>
    <phoneticPr fontId="8" type="noConversion"/>
  </si>
  <si>
    <t>递延收益</t>
    <phoneticPr fontId="8" type="noConversion"/>
  </si>
  <si>
    <t>5.2 与原收入准则相比，执行新收入准则对当期财务报表相关项目的影响</t>
    <phoneticPr fontId="8" type="noConversion"/>
  </si>
  <si>
    <t>5.2.1 合并资产负债表</t>
    <phoneticPr fontId="8" type="noConversion"/>
  </si>
  <si>
    <t>调整</t>
    <phoneticPr fontId="8" type="noConversion"/>
  </si>
  <si>
    <t>新收入准则下2020年12月31日余额</t>
    <phoneticPr fontId="8" type="noConversion"/>
  </si>
  <si>
    <t>原收入准则下2020年12月31日余额</t>
    <phoneticPr fontId="8" type="noConversion"/>
  </si>
  <si>
    <t>说明</t>
    <phoneticPr fontId="8" type="noConversion"/>
  </si>
  <si>
    <t>5.2.2 合并利润表</t>
    <phoneticPr fontId="8" type="noConversion"/>
  </si>
  <si>
    <t>新收入准则下2020年度发生额</t>
    <phoneticPr fontId="8" type="noConversion"/>
  </si>
  <si>
    <t>原收入准则下2020年度发生额</t>
    <phoneticPr fontId="8" type="noConversion"/>
  </si>
  <si>
    <t>营业收入</t>
    <phoneticPr fontId="8" type="noConversion"/>
  </si>
  <si>
    <t>营业成本</t>
    <phoneticPr fontId="8" type="noConversion"/>
  </si>
  <si>
    <t>销售费用</t>
    <phoneticPr fontId="8" type="noConversion"/>
  </si>
  <si>
    <t>……</t>
    <phoneticPr fontId="8" type="noConversion"/>
  </si>
  <si>
    <t>页次：</t>
    <phoneticPr fontId="8" type="noConversion"/>
  </si>
  <si>
    <r>
      <rPr>
        <u/>
        <sz val="11"/>
        <color theme="10"/>
        <rFont val="宋体"/>
        <family val="3"/>
        <charset val="134"/>
        <scheme val="minor"/>
      </rPr>
      <t>首次执行新收入准则的调整S-6</t>
    </r>
    <phoneticPr fontId="5" type="noConversion"/>
  </si>
  <si>
    <r>
      <rPr>
        <sz val="10"/>
        <rFont val="宋体"/>
        <family val="3"/>
        <charset val="134"/>
      </rPr>
      <t>索引：</t>
    </r>
    <r>
      <rPr>
        <sz val="10"/>
        <rFont val="Arial Narrow"/>
        <family val="2"/>
      </rPr>
      <t>S3-4</t>
    </r>
    <phoneticPr fontId="8" type="noConversion"/>
  </si>
  <si>
    <t>首次执行新金融工具准则的调整</t>
    <phoneticPr fontId="8" type="noConversion"/>
  </si>
  <si>
    <t>以公允价值计量且其变动计入当期损益的金融资产</t>
    <phoneticPr fontId="5" type="noConversion"/>
  </si>
  <si>
    <t>《关于修订印发2019年度一般企业财务报表格式的通知》（财会〔2019〕6号）： “交易性金融资产”项目，反映资产负债表日企业分类为以公允价值计量且其变动计入当期损益的金融资产，以及企业持有的指定为以公允价值计量且其变动计入当期损益的金融资产的期末账面价值。</t>
    <phoneticPr fontId="5" type="noConversion"/>
  </si>
  <si>
    <t>交易性金融资产
其他非流动金融资产</t>
    <phoneticPr fontId="5" type="noConversion"/>
  </si>
  <si>
    <t>交易性金融资产</t>
    <phoneticPr fontId="5" type="noConversion"/>
  </si>
  <si>
    <t>借：交易性金融资产--成本</t>
    <phoneticPr fontId="5" type="noConversion"/>
  </si>
  <si>
    <t>借：交易性金融资产--公允价值变动</t>
    <phoneticPr fontId="5" type="noConversion"/>
  </si>
  <si>
    <t>贷：以公允价值计量且其变动计入当期损益的金融资产--成本</t>
    <phoneticPr fontId="5" type="noConversion"/>
  </si>
  <si>
    <t>贷：以公允价值计量且其变动计入当期损益的金融资产--公允价值变动</t>
    <phoneticPr fontId="5" type="noConversion"/>
  </si>
  <si>
    <t>贷：其他流动资产</t>
    <phoneticPr fontId="5" type="noConversion"/>
  </si>
  <si>
    <t>借：其他非流动金融资产--成本</t>
    <phoneticPr fontId="5" type="noConversion"/>
  </si>
  <si>
    <t>借：其他非流动金融资产--公允价值变动</t>
    <phoneticPr fontId="5" type="noConversion"/>
  </si>
  <si>
    <t>贷：其他非流动资产</t>
    <phoneticPr fontId="5" type="noConversion"/>
  </si>
  <si>
    <t>按照本准则第十七条分类为以摊余成本计量的金融资产和按照本准则第十八条分类为以公允价值计量且其变动计入其他综合收益的金融资产之外的金融资产，企业应当将其分类为以公允价值计量且其变动计入当期损益的金融资产。
通不过SPPI测试的理财产品投资或结构性存款，重分类为交易性金融资产/其他非流动金融资产</t>
    <phoneticPr fontId="5" type="noConversion"/>
  </si>
  <si>
    <t>通不过SPPI测试的可供出售金融资产、长期应收款，重分类为交易性金融资产/其他非流动金融资产</t>
    <phoneticPr fontId="5" type="noConversion"/>
  </si>
  <si>
    <t>可供出售金融资产</t>
    <phoneticPr fontId="5" type="noConversion"/>
  </si>
  <si>
    <t>其他流动资产
其他非流动资产</t>
    <phoneticPr fontId="5" type="noConversion"/>
  </si>
  <si>
    <t>交易性金融资产
其他非流动金融资产</t>
    <phoneticPr fontId="5" type="noConversion"/>
  </si>
  <si>
    <t>贷：可供出售金融资产--成本</t>
    <phoneticPr fontId="5" type="noConversion"/>
  </si>
  <si>
    <t>贷：可供出售金融资产--公允价值变动</t>
    <phoneticPr fontId="5" type="noConversion"/>
  </si>
  <si>
    <t>贷：盈余公积</t>
    <phoneticPr fontId="5" type="noConversion"/>
  </si>
  <si>
    <r>
      <rPr>
        <sz val="10"/>
        <rFont val="宋体"/>
        <family val="3"/>
        <charset val="134"/>
      </rPr>
      <t>【原账面价值与公允价值之差</t>
    </r>
    <r>
      <rPr>
        <sz val="10"/>
        <rFont val="Arial Narrow"/>
        <family val="2"/>
      </rPr>
      <t>×10%</t>
    </r>
    <r>
      <rPr>
        <sz val="10"/>
        <rFont val="宋体"/>
        <family val="3"/>
        <charset val="134"/>
      </rPr>
      <t>】</t>
    </r>
    <phoneticPr fontId="5" type="noConversion"/>
  </si>
  <si>
    <t>贷：利润分配——未分配利润</t>
    <phoneticPr fontId="5" type="noConversion"/>
  </si>
  <si>
    <r>
      <rPr>
        <sz val="10"/>
        <rFont val="宋体"/>
        <family val="3"/>
        <charset val="134"/>
      </rPr>
      <t>【原账面价值与公允价值之差</t>
    </r>
    <r>
      <rPr>
        <sz val="10"/>
        <rFont val="Arial Narrow"/>
        <family val="2"/>
      </rPr>
      <t>×90%</t>
    </r>
    <r>
      <rPr>
        <sz val="10"/>
        <rFont val="宋体"/>
        <family val="3"/>
        <charset val="134"/>
      </rPr>
      <t>】</t>
    </r>
    <phoneticPr fontId="5" type="noConversion"/>
  </si>
  <si>
    <t>可供出售金融资产</t>
    <phoneticPr fontId="5" type="noConversion"/>
  </si>
  <si>
    <t>可供出售金融资产</t>
    <phoneticPr fontId="5" type="noConversion"/>
  </si>
  <si>
    <t>原以成本法计量的可供出售权益工具，满足条件时指定为其他权益工具投资</t>
    <phoneticPr fontId="5" type="noConversion"/>
  </si>
  <si>
    <t>其他权益工具投资</t>
    <phoneticPr fontId="5" type="noConversion"/>
  </si>
  <si>
    <t>借：其他权益工具投资</t>
    <phoneticPr fontId="5" type="noConversion"/>
  </si>
  <si>
    <t>贷：可供出售金融资产——成本</t>
    <phoneticPr fontId="5" type="noConversion"/>
  </si>
  <si>
    <t>【原账面价值与公允价值之差】</t>
    <phoneticPr fontId="5" type="noConversion"/>
  </si>
  <si>
    <t>贷：盈余公积</t>
    <phoneticPr fontId="5" type="noConversion"/>
  </si>
  <si>
    <t>【原计提的减值（若有）×10%】</t>
    <phoneticPr fontId="5" type="noConversion"/>
  </si>
  <si>
    <t>【原计提的减值（若有）×90%】</t>
    <phoneticPr fontId="5" type="noConversion"/>
  </si>
  <si>
    <t>应收账款按预期信用损失法补提坏账准备（若涉及）</t>
    <phoneticPr fontId="5" type="noConversion"/>
  </si>
  <si>
    <t>坏账准备</t>
    <phoneticPr fontId="5" type="noConversion"/>
  </si>
  <si>
    <t>坏账准备</t>
    <phoneticPr fontId="5" type="noConversion"/>
  </si>
  <si>
    <t>借：盈余公积</t>
    <phoneticPr fontId="5" type="noConversion"/>
  </si>
  <si>
    <t>借：利润分配——未分配利润</t>
    <phoneticPr fontId="5" type="noConversion"/>
  </si>
  <si>
    <t>贷：坏账准备</t>
    <phoneticPr fontId="5" type="noConversion"/>
  </si>
  <si>
    <t>【补提部分×10%】</t>
    <phoneticPr fontId="5" type="noConversion"/>
  </si>
  <si>
    <t>【补提部分×90%】</t>
    <phoneticPr fontId="5" type="noConversion"/>
  </si>
  <si>
    <t>应收票据
应收账款</t>
    <phoneticPr fontId="5" type="noConversion"/>
  </si>
  <si>
    <t>应收款项融资</t>
    <phoneticPr fontId="5" type="noConversion"/>
  </si>
  <si>
    <t>“应收款项融资”项目，反映资产负债表日以公允价值计量且其变动计入其他综合收益的应收票据和应收账款等。</t>
    <phoneticPr fontId="5" type="noConversion"/>
  </si>
  <si>
    <t>借：应收款项融资</t>
    <phoneticPr fontId="5" type="noConversion"/>
  </si>
  <si>
    <t>借：其他综合收益——其他债权投资公允价值变动</t>
    <phoneticPr fontId="5" type="noConversion"/>
  </si>
  <si>
    <t>贷：应收票据</t>
    <phoneticPr fontId="5" type="noConversion"/>
  </si>
  <si>
    <t>借：盈余公积</t>
    <phoneticPr fontId="5" type="noConversion"/>
  </si>
  <si>
    <t>贷：其他综合收益——信用减值准备</t>
    <phoneticPr fontId="5" type="noConversion"/>
  </si>
  <si>
    <t>借：其他综合收益</t>
    <phoneticPr fontId="5" type="noConversion"/>
  </si>
  <si>
    <t>贷：其他综合收益</t>
    <phoneticPr fontId="5" type="noConversion"/>
  </si>
  <si>
    <t>借：其他综合收益</t>
    <phoneticPr fontId="5" type="noConversion"/>
  </si>
  <si>
    <t>贷：递延所得税负债</t>
    <phoneticPr fontId="5" type="noConversion"/>
  </si>
  <si>
    <t>借：利润分配——未分配利润</t>
    <phoneticPr fontId="5" type="noConversion"/>
  </si>
  <si>
    <t>借：递延所得税资产</t>
    <phoneticPr fontId="5" type="noConversion"/>
  </si>
  <si>
    <t>确认递延所得税影响</t>
    <phoneticPr fontId="5" type="noConversion"/>
  </si>
  <si>
    <t>借：递延所得税资产</t>
    <phoneticPr fontId="5" type="noConversion"/>
  </si>
  <si>
    <t>贷：其他综合收益</t>
    <phoneticPr fontId="5" type="noConversion"/>
  </si>
  <si>
    <t>贷：盈余公积</t>
    <phoneticPr fontId="5" type="noConversion"/>
  </si>
  <si>
    <t>贷：利润分配——未分配利润</t>
    <phoneticPr fontId="5" type="noConversion"/>
  </si>
  <si>
    <t>长期应收款
持有至到期投资
其他非流动资产</t>
    <phoneticPr fontId="5" type="noConversion"/>
  </si>
  <si>
    <t>债权投资</t>
    <phoneticPr fontId="5" type="noConversion"/>
  </si>
  <si>
    <t>持有至到期投资中能通过SPPI测试，且业务模式是以收取合同现金流量为目标的，应当分类为以摊余成本计量的金融资产。
“1501债权投资”。本科目核算企业以摊余成本计量的债权投资的账面余额。本科目可按债权投资的类别和品种，分别“面值”“利息调整”“应计利息”等进行明细核算。</t>
    <phoneticPr fontId="5" type="noConversion"/>
  </si>
  <si>
    <t>借：债权投资--成本</t>
    <phoneticPr fontId="5" type="noConversion"/>
  </si>
  <si>
    <t>借：债权投资--应计利息</t>
    <phoneticPr fontId="5" type="noConversion"/>
  </si>
  <si>
    <t>贷：持有至到期投资--成本</t>
    <phoneticPr fontId="5" type="noConversion"/>
  </si>
  <si>
    <t>贷：持有至到期投资--应计利息</t>
    <phoneticPr fontId="5" type="noConversion"/>
  </si>
  <si>
    <t>贷：债权投资减值准备</t>
    <phoneticPr fontId="5" type="noConversion"/>
  </si>
  <si>
    <t>长期应收款
持有至到期投资
可供出售金融资产
其他非流动资产</t>
    <phoneticPr fontId="5" type="noConversion"/>
  </si>
  <si>
    <t>其他债权投资</t>
    <phoneticPr fontId="5" type="noConversion"/>
  </si>
  <si>
    <t>可供出售债务工具中能通过SPPI测试，且业务模式既以收取合同现金流量为目标又以出售该金融资产为目标的，应当分类为以公允价值计量且其变动计入其他综合收益的金融资产。
“1503其他债权投资”。本科目核算企业按照本准则第十八条分类为以公允价值计量且其变动计入其他综合收益的金融资产。本科目可按金融资产类别和品种，分别“成本”“利息调整”“公允价值变动”等进行明细核算。</t>
    <phoneticPr fontId="5" type="noConversion"/>
  </si>
  <si>
    <t>以公允价值计量且其变动计入当期损益的金融负债</t>
    <phoneticPr fontId="5" type="noConversion"/>
  </si>
  <si>
    <t>交易性金融负债</t>
    <phoneticPr fontId="5" type="noConversion"/>
  </si>
  <si>
    <t>“交易性金融负债”项目，反映资产负债表日企业承担的交易性金融负债，以及企业持有的指定为以公允价值计量且其变动计入当期损益的金融负债的期末账面价值。</t>
    <phoneticPr fontId="5" type="noConversion"/>
  </si>
  <si>
    <t>借：以公允价值计量且其变动计入当期损益的金融负债--成本</t>
    <phoneticPr fontId="5" type="noConversion"/>
  </si>
  <si>
    <t>借：以公允价值计量且其变动计入当期损益的金融负债--公允价值变动</t>
    <phoneticPr fontId="5" type="noConversion"/>
  </si>
  <si>
    <t>贷：交易性金融负债--成本</t>
    <phoneticPr fontId="5" type="noConversion"/>
  </si>
  <si>
    <t>贷：交易性金融负债--公允价值变动</t>
    <phoneticPr fontId="5" type="noConversion"/>
  </si>
  <si>
    <t>2. 于首次执行日，按照原金融工具准则和新金融工具准则的规定进行分类和计量的结果对比</t>
    <phoneticPr fontId="5" type="noConversion"/>
  </si>
  <si>
    <t>类别</t>
    <phoneticPr fontId="5" type="noConversion"/>
  </si>
  <si>
    <t>账面价值</t>
    <phoneticPr fontId="5" type="noConversion"/>
  </si>
  <si>
    <t xml:space="preserve"> 项   目</t>
    <phoneticPr fontId="5" type="noConversion"/>
  </si>
  <si>
    <t>账面价值</t>
    <phoneticPr fontId="5" type="noConversion"/>
  </si>
  <si>
    <t>原金融工具准则</t>
    <phoneticPr fontId="5" type="noConversion"/>
  </si>
  <si>
    <t>新金融工具准则</t>
    <phoneticPr fontId="5" type="noConversion"/>
  </si>
  <si>
    <t>以公允价值计量且其变动计入当期损益</t>
    <phoneticPr fontId="5" type="noConversion"/>
  </si>
  <si>
    <t>交易性金融资产</t>
    <phoneticPr fontId="5" type="noConversion"/>
  </si>
  <si>
    <t>衍生金融资产</t>
    <phoneticPr fontId="5" type="noConversion"/>
  </si>
  <si>
    <t>可供出售金融资产</t>
    <phoneticPr fontId="5" type="noConversion"/>
  </si>
  <si>
    <t>以公允价值计量且其变动计入其他综合收益（债务工具）</t>
    <phoneticPr fontId="5" type="noConversion"/>
  </si>
  <si>
    <t>以公允价值计量且其变动计入其他综合收益（权益工具）</t>
    <phoneticPr fontId="5" type="noConversion"/>
  </si>
  <si>
    <t>以成本计量（权益工具）</t>
    <phoneticPr fontId="5" type="noConversion"/>
  </si>
  <si>
    <t>其他非流动金融资产</t>
    <phoneticPr fontId="5" type="noConversion"/>
  </si>
  <si>
    <t>交易性金融资产</t>
    <phoneticPr fontId="5" type="noConversion"/>
  </si>
  <si>
    <t>以公允价值计量且其变动计入其他综合收益</t>
    <phoneticPr fontId="5" type="noConversion"/>
  </si>
  <si>
    <t>其他非流动金融资产</t>
    <phoneticPr fontId="5" type="noConversion"/>
  </si>
  <si>
    <t>应收票据</t>
    <phoneticPr fontId="5" type="noConversion"/>
  </si>
  <si>
    <t>摊余成本</t>
    <phoneticPr fontId="5" type="noConversion"/>
  </si>
  <si>
    <t>应收票据</t>
    <phoneticPr fontId="5" type="noConversion"/>
  </si>
  <si>
    <t>应收款项融资</t>
    <phoneticPr fontId="5" type="noConversion"/>
  </si>
  <si>
    <t>摊余成本</t>
    <phoneticPr fontId="5" type="noConversion"/>
  </si>
  <si>
    <t>应收账款</t>
    <phoneticPr fontId="5" type="noConversion"/>
  </si>
  <si>
    <t>其他应收款</t>
    <phoneticPr fontId="5" type="noConversion"/>
  </si>
  <si>
    <t>其他流动资产</t>
    <phoneticPr fontId="5" type="noConversion"/>
  </si>
  <si>
    <t>其他应收款</t>
    <phoneticPr fontId="5" type="noConversion"/>
  </si>
  <si>
    <t>长期应收款</t>
    <phoneticPr fontId="5" type="noConversion"/>
  </si>
  <si>
    <t>长期应收款</t>
    <phoneticPr fontId="5" type="noConversion"/>
  </si>
  <si>
    <t>其他非流动金融资产</t>
    <phoneticPr fontId="5" type="noConversion"/>
  </si>
  <si>
    <t>3. 于首次执行日（2021年1月1日），执行新金融工具准则时金融工具分类和账面价值调节</t>
    <phoneticPr fontId="5" type="noConversion"/>
  </si>
  <si>
    <t>调整前账面金额
（2020年12月31日）</t>
    <phoneticPr fontId="5" type="noConversion"/>
  </si>
  <si>
    <t>调整后账面金额
（2021年1月1日）</t>
    <phoneticPr fontId="5" type="noConversion"/>
  </si>
  <si>
    <t>资产：</t>
    <phoneticPr fontId="8" type="noConversion"/>
  </si>
  <si>
    <t>1. 首次执行日重分类及调整</t>
    <phoneticPr fontId="5" type="noConversion"/>
  </si>
  <si>
    <t>以公允价值计量且其变动计入当期损益的金融资产</t>
    <phoneticPr fontId="5" type="noConversion"/>
  </si>
  <si>
    <t>—</t>
  </si>
  <si>
    <t>—</t>
    <phoneticPr fontId="5" type="noConversion"/>
  </si>
  <si>
    <t>交易性金融资产</t>
    <phoneticPr fontId="5" type="noConversion"/>
  </si>
  <si>
    <t>应收账款</t>
    <phoneticPr fontId="5" type="noConversion"/>
  </si>
  <si>
    <t>一年内到期的非流动资产</t>
    <phoneticPr fontId="5" type="noConversion"/>
  </si>
  <si>
    <t>其中：以摊余成本计量</t>
    <phoneticPr fontId="5" type="noConversion"/>
  </si>
  <si>
    <t xml:space="preserve">     以公允价值计量且其变动计入其他综合收益</t>
    <phoneticPr fontId="5" type="noConversion"/>
  </si>
  <si>
    <t xml:space="preserve">     其他</t>
    <phoneticPr fontId="5" type="noConversion"/>
  </si>
  <si>
    <t>其他流动资产</t>
    <phoneticPr fontId="5" type="noConversion"/>
  </si>
  <si>
    <t>持有至到期投资</t>
    <phoneticPr fontId="5" type="noConversion"/>
  </si>
  <si>
    <t>债权投资</t>
    <phoneticPr fontId="5" type="noConversion"/>
  </si>
  <si>
    <t>其他债权投资</t>
    <phoneticPr fontId="5" type="noConversion"/>
  </si>
  <si>
    <t>其他权益工具投资</t>
    <phoneticPr fontId="5" type="noConversion"/>
  </si>
  <si>
    <t>负债：</t>
    <phoneticPr fontId="5" type="noConversion"/>
  </si>
  <si>
    <t>以公允价值计量且其变动计入当期损益的金融负债</t>
    <phoneticPr fontId="5" type="noConversion"/>
  </si>
  <si>
    <t>股东（所有者）权益：</t>
    <phoneticPr fontId="5" type="noConversion"/>
  </si>
  <si>
    <t>其他综合收益</t>
    <phoneticPr fontId="5" type="noConversion"/>
  </si>
  <si>
    <t>盈余公积</t>
    <phoneticPr fontId="5" type="noConversion"/>
  </si>
  <si>
    <t>未分配利润</t>
    <phoneticPr fontId="5" type="noConversion"/>
  </si>
  <si>
    <t>少数股东权益</t>
    <phoneticPr fontId="5" type="noConversion"/>
  </si>
  <si>
    <t>4. 将根据原金融工具准则计量的2020年年末损失准备与根据新金融工具准则确定的2021年年初损失准备之间的调节</t>
    <phoneticPr fontId="5" type="noConversion"/>
  </si>
  <si>
    <t>调整前账面金额
（2020年12月31日）</t>
    <phoneticPr fontId="5" type="noConversion"/>
  </si>
  <si>
    <t>应收票据减值准备</t>
    <phoneticPr fontId="5" type="noConversion"/>
  </si>
  <si>
    <t>应收账款减值准备</t>
    <phoneticPr fontId="5" type="noConversion"/>
  </si>
  <si>
    <t>其他应收款减值准备</t>
    <phoneticPr fontId="5" type="noConversion"/>
  </si>
  <si>
    <t>长期应收款减值准备</t>
    <phoneticPr fontId="5" type="noConversion"/>
  </si>
  <si>
    <t>财务担保合同预计负债</t>
    <phoneticPr fontId="5" type="noConversion"/>
  </si>
  <si>
    <t>5. 执行新金融工具准则的影响</t>
    <phoneticPr fontId="5" type="noConversion"/>
  </si>
  <si>
    <t>5.1 新金融工具准则对首次执行日（2021年1月1日）合并资产负债表的影响</t>
    <phoneticPr fontId="5" type="noConversion"/>
  </si>
  <si>
    <t>调整数</t>
    <phoneticPr fontId="5" type="noConversion"/>
  </si>
  <si>
    <t>备注</t>
    <phoneticPr fontId="8" type="noConversion"/>
  </si>
  <si>
    <t>说明</t>
    <phoneticPr fontId="5" type="noConversion"/>
  </si>
  <si>
    <t>衍生金融资产</t>
    <phoneticPr fontId="5" type="noConversion"/>
  </si>
  <si>
    <t>货币资金</t>
    <phoneticPr fontId="5" type="noConversion"/>
  </si>
  <si>
    <t>货币资金</t>
    <phoneticPr fontId="5" type="noConversion"/>
  </si>
  <si>
    <t>应收利息</t>
    <phoneticPr fontId="5" type="noConversion"/>
  </si>
  <si>
    <t>应付利息</t>
    <phoneticPr fontId="5" type="noConversion"/>
  </si>
  <si>
    <t>相关项目本金
应付利息</t>
    <phoneticPr fontId="5" type="noConversion"/>
  </si>
  <si>
    <t>《关于修订印发2019年度一般企业财务报表格式的通知》（财会〔2019〕6号）： “应付利息”仅反映相关金融工具已到期应支付但于资产负债表日尚未支付的利息。基于实际利率法计提的金融工具的利息应包含在相应金融工具的账面余额中。</t>
    <phoneticPr fontId="5" type="noConversion"/>
  </si>
  <si>
    <t>相关项目本金
应收利息</t>
    <phoneticPr fontId="5" type="noConversion"/>
  </si>
  <si>
    <t>《关于修订印发2019年度一般企业财务报表格式的通知》（财会〔2019〕6号）： “应收利息”仅反映相关金融工具已到期可收取但于资产负债表日尚未收到的利息。基于实际利率法计提的金融工具的利息应包含在相应金融工具的账面余额中。</t>
    <phoneticPr fontId="5" type="noConversion"/>
  </si>
  <si>
    <t>贷：其他应收款——应收利息</t>
    <phoneticPr fontId="5" type="noConversion"/>
  </si>
  <si>
    <t>借：其他应付款——应付利息</t>
    <phoneticPr fontId="5" type="noConversion"/>
  </si>
  <si>
    <t>贷：短期借款</t>
    <phoneticPr fontId="5" type="noConversion"/>
  </si>
  <si>
    <t>应收利息</t>
    <phoneticPr fontId="5" type="noConversion"/>
  </si>
  <si>
    <t>摊余成本</t>
    <phoneticPr fontId="5" type="noConversion"/>
  </si>
  <si>
    <t>银行存款</t>
    <phoneticPr fontId="5" type="noConversion"/>
  </si>
  <si>
    <t>短期借款</t>
    <phoneticPr fontId="5" type="noConversion"/>
  </si>
  <si>
    <t>一年内到期的非流动负债</t>
    <phoneticPr fontId="5" type="noConversion"/>
  </si>
  <si>
    <t>如分期付息的长期借款计提的利息</t>
    <phoneticPr fontId="5" type="noConversion"/>
  </si>
  <si>
    <t>其他应付款</t>
    <phoneticPr fontId="5" type="noConversion"/>
  </si>
  <si>
    <t>若应付利息未在其他应付款列报，则增加“应付利息”</t>
    <phoneticPr fontId="5" type="noConversion"/>
  </si>
  <si>
    <t>若应收利息未在其他应收款列报，则增加“应收利息”</t>
    <phoneticPr fontId="5" type="noConversion"/>
  </si>
  <si>
    <t>贷：一年内到期的非流动负债——长期借款应计利息</t>
    <phoneticPr fontId="5" type="noConversion"/>
  </si>
  <si>
    <t>借：银行存款——应计利息</t>
    <phoneticPr fontId="5" type="noConversion"/>
  </si>
  <si>
    <t>借：一年内到期的非流动资产</t>
    <phoneticPr fontId="5" type="noConversion"/>
  </si>
  <si>
    <t>【分期收息的委托贷款、长期债权投资应计利息】</t>
    <phoneticPr fontId="5" type="noConversion"/>
  </si>
  <si>
    <t>【分期付息的长期借款应计利息】</t>
    <phoneticPr fontId="5" type="noConversion"/>
  </si>
  <si>
    <t>一年内到期的非流动负债</t>
    <phoneticPr fontId="5" type="noConversion"/>
  </si>
  <si>
    <t>应收票据</t>
    <phoneticPr fontId="5" type="noConversion"/>
  </si>
  <si>
    <t>应收账款</t>
    <phoneticPr fontId="5" type="noConversion"/>
  </si>
  <si>
    <t>其他应收款</t>
    <phoneticPr fontId="5" type="noConversion"/>
  </si>
  <si>
    <t>其中：应收利息</t>
    <phoneticPr fontId="5" type="noConversion"/>
  </si>
  <si>
    <t>其他流动资产</t>
    <phoneticPr fontId="5" type="noConversion"/>
  </si>
  <si>
    <t>债权投资</t>
    <phoneticPr fontId="5" type="noConversion"/>
  </si>
  <si>
    <t>其他债权投资</t>
    <phoneticPr fontId="5" type="noConversion"/>
  </si>
  <si>
    <t>短期借款</t>
    <phoneticPr fontId="5" type="noConversion"/>
  </si>
  <si>
    <t>交易性金融负债</t>
    <phoneticPr fontId="5" type="noConversion"/>
  </si>
  <si>
    <t>以公允价值计量且其变动计入当期损益的金融负债</t>
    <phoneticPr fontId="5" type="noConversion"/>
  </si>
  <si>
    <t>衍生金融负债</t>
    <phoneticPr fontId="5" type="noConversion"/>
  </si>
  <si>
    <t>其他应付款</t>
    <phoneticPr fontId="5" type="noConversion"/>
  </si>
  <si>
    <t>其中：应付利息</t>
    <phoneticPr fontId="5" type="noConversion"/>
  </si>
  <si>
    <t>一年内到期的非流动负债</t>
    <phoneticPr fontId="5" type="noConversion"/>
  </si>
  <si>
    <t>其他流动负债</t>
    <phoneticPr fontId="5" type="noConversion"/>
  </si>
  <si>
    <t>长期借款</t>
    <phoneticPr fontId="5" type="noConversion"/>
  </si>
  <si>
    <t>长期应付款</t>
    <phoneticPr fontId="5" type="noConversion"/>
  </si>
  <si>
    <t>预计负债</t>
    <phoneticPr fontId="5" type="noConversion"/>
  </si>
  <si>
    <t>股东（所有者）权益：</t>
    <phoneticPr fontId="5" type="noConversion"/>
  </si>
  <si>
    <t>其他综合收益</t>
    <phoneticPr fontId="5" type="noConversion"/>
  </si>
  <si>
    <t>盈余公积</t>
    <phoneticPr fontId="5" type="noConversion"/>
  </si>
  <si>
    <t>少数股东权益</t>
    <phoneticPr fontId="5" type="noConversion"/>
  </si>
  <si>
    <t>5.2 新金融工具准则对首次执行日（2021年1月1日）母公司资产负债表的影响</t>
    <phoneticPr fontId="5" type="noConversion"/>
  </si>
  <si>
    <t>本准则施行日之前的金融工具确认和计量与本准则要求不一致的，企业应当追溯调整，但本准则第七十三条至八十三条另有规定的除外。</t>
    <phoneticPr fontId="5" type="noConversion"/>
  </si>
  <si>
    <t>在本准则施行日，企业应当按照本准则的规定对金融工具进行分类和计量（含减值），涉及前期比较财务报表数据与本准则要求不一致的，无需调整。</t>
    <phoneticPr fontId="5" type="noConversion"/>
  </si>
  <si>
    <t>金融工具原账面价值和在本准则施行日的新账面价值之间的差额，应当计入本准则施行日所在年度报告期间的期初留存收益或其他综合收益。</t>
    <phoneticPr fontId="5" type="noConversion"/>
  </si>
  <si>
    <t>同时，企业应当按照《企业会计准则第37号——金融工具列报》的相关规定在附注中进行披露。</t>
    <phoneticPr fontId="5" type="noConversion"/>
  </si>
  <si>
    <t>在本准则施行日，企业应当以该日的既有事实和情况为基础，根据本准则第十七条（一）或第十八条（一）的相关规定评估其管理金融资产的业务模式是</t>
    <phoneticPr fontId="5" type="noConversion"/>
  </si>
  <si>
    <t>以收取合同现金流量为目标，还是以既收取合同现金流量又出售金融资产为目标，并据此确定金融资产的分类，进行追溯调整，无须考虑企业之前的业务模式。</t>
    <phoneticPr fontId="5" type="noConversion"/>
  </si>
  <si>
    <t>在本准则施行日，对于之前以成本计量的、在活跃市场中没有报价且其公允价值不能可靠计量的权益工具投资或与该权益工具挂钩并须通过交付该工具进行</t>
    <phoneticPr fontId="5" type="noConversion"/>
  </si>
  <si>
    <t>结算的衍生金融资产，企业应当以其在本准则施行日的公允价值计量。原账面价值与公允价值之间的差额，应当计入本准则施行日所在报告期间的期初留存收益或其他综合收益。</t>
    <phoneticPr fontId="5" type="noConversion"/>
  </si>
  <si>
    <t>在本准则施行日，企业按照本准则计量金融工具减值的，应当使用无须付出不必要的额外成本或努力即可获得的合理且有依据的信息，确定金融工具在初始确认</t>
    <phoneticPr fontId="5" type="noConversion"/>
  </si>
  <si>
    <t>日的信用风险，并将该信用风险与本准则施行日的信用风险进行比较。</t>
    <phoneticPr fontId="5" type="noConversion"/>
  </si>
  <si>
    <t>首次执行新租赁准则的调整</t>
    <phoneticPr fontId="8" type="noConversion"/>
  </si>
  <si>
    <r>
      <rPr>
        <sz val="10"/>
        <rFont val="宋体"/>
        <family val="3"/>
        <charset val="134"/>
      </rPr>
      <t>索引：</t>
    </r>
    <r>
      <rPr>
        <sz val="10"/>
        <rFont val="Arial Narrow"/>
        <family val="2"/>
      </rPr>
      <t>S3-8</t>
    </r>
    <phoneticPr fontId="8" type="noConversion"/>
  </si>
  <si>
    <r>
      <rPr>
        <u/>
        <sz val="11"/>
        <color theme="10"/>
        <rFont val="宋体"/>
        <family val="3"/>
        <charset val="134"/>
        <scheme val="minor"/>
      </rPr>
      <t>首次执行新金融工具准则的调整S-4</t>
    </r>
    <phoneticPr fontId="5" type="noConversion"/>
  </si>
  <si>
    <r>
      <rPr>
        <sz val="10"/>
        <rFont val="宋体"/>
        <family val="3"/>
        <charset val="134"/>
      </rPr>
      <t>在境内外同时上市的企业以及在境外上市并采用国际财务报告准则或企业会计准则编制财务报告的企业，自</t>
    </r>
    <r>
      <rPr>
        <sz val="10"/>
        <rFont val="Arial Narrow"/>
        <family val="2"/>
      </rPr>
      <t>2018</t>
    </r>
    <r>
      <rPr>
        <sz val="10"/>
        <rFont val="宋体"/>
        <family val="3"/>
        <charset val="134"/>
      </rPr>
      <t>年</t>
    </r>
    <r>
      <rPr>
        <sz val="10"/>
        <rFont val="Arial Narrow"/>
        <family val="2"/>
      </rPr>
      <t>1</t>
    </r>
    <r>
      <rPr>
        <sz val="10"/>
        <rFont val="宋体"/>
        <family val="3"/>
        <charset val="134"/>
      </rPr>
      <t>月</t>
    </r>
    <r>
      <rPr>
        <sz val="10"/>
        <rFont val="Arial Narrow"/>
        <family val="2"/>
      </rPr>
      <t>1</t>
    </r>
    <r>
      <rPr>
        <sz val="10"/>
        <rFont val="宋体"/>
        <family val="3"/>
        <charset val="134"/>
      </rPr>
      <t>日起施行；</t>
    </r>
    <phoneticPr fontId="5" type="noConversion"/>
  </si>
  <si>
    <t>其他境内上市企业自2019年1月1日起施行；</t>
    <phoneticPr fontId="5" type="noConversion"/>
  </si>
  <si>
    <r>
      <rPr>
        <b/>
        <sz val="10"/>
        <rFont val="宋体"/>
        <family val="3"/>
        <charset val="134"/>
      </rPr>
      <t>执行企业会计准则的非上市企业自</t>
    </r>
    <r>
      <rPr>
        <b/>
        <sz val="10"/>
        <rFont val="Arial Narrow"/>
        <family val="2"/>
      </rPr>
      <t>2021</t>
    </r>
    <r>
      <rPr>
        <b/>
        <sz val="10"/>
        <rFont val="宋体"/>
        <family val="3"/>
        <charset val="134"/>
      </rPr>
      <t>年</t>
    </r>
    <r>
      <rPr>
        <b/>
        <sz val="10"/>
        <rFont val="Arial Narrow"/>
        <family val="2"/>
      </rPr>
      <t>1</t>
    </r>
    <r>
      <rPr>
        <b/>
        <sz val="10"/>
        <rFont val="宋体"/>
        <family val="3"/>
        <charset val="134"/>
      </rPr>
      <t>月</t>
    </r>
    <r>
      <rPr>
        <b/>
        <sz val="10"/>
        <rFont val="Arial Narrow"/>
        <family val="2"/>
      </rPr>
      <t>1</t>
    </r>
    <r>
      <rPr>
        <b/>
        <sz val="10"/>
        <rFont val="宋体"/>
        <family val="3"/>
        <charset val="134"/>
      </rPr>
      <t>日起施行。</t>
    </r>
    <phoneticPr fontId="5" type="noConversion"/>
  </si>
  <si>
    <r>
      <rPr>
        <sz val="10"/>
        <rFont val="宋体"/>
        <family val="3"/>
        <charset val="134"/>
      </rPr>
      <t>在境内外同时上市的企业以及在境外上市并采用国际财务报告准则或企业会计准则编制财务报表的企业，自</t>
    </r>
    <r>
      <rPr>
        <sz val="10"/>
        <rFont val="Arial Narrow"/>
        <family val="2"/>
      </rPr>
      <t>2018</t>
    </r>
    <r>
      <rPr>
        <sz val="10"/>
        <rFont val="宋体"/>
        <family val="3"/>
        <charset val="134"/>
      </rPr>
      <t>年</t>
    </r>
    <r>
      <rPr>
        <sz val="10"/>
        <rFont val="Arial Narrow"/>
        <family val="2"/>
      </rPr>
      <t>1</t>
    </r>
    <r>
      <rPr>
        <sz val="10"/>
        <rFont val="宋体"/>
        <family val="3"/>
        <charset val="134"/>
      </rPr>
      <t>月</t>
    </r>
    <r>
      <rPr>
        <sz val="10"/>
        <rFont val="Arial Narrow"/>
        <family val="2"/>
      </rPr>
      <t>1</t>
    </r>
    <r>
      <rPr>
        <sz val="10"/>
        <rFont val="宋体"/>
        <family val="3"/>
        <charset val="134"/>
      </rPr>
      <t>日起施行；</t>
    </r>
    <phoneticPr fontId="8" type="noConversion"/>
  </si>
  <si>
    <t>其他境内上市企业，自2020年1月1日起施行；</t>
    <phoneticPr fontId="8" type="noConversion"/>
  </si>
  <si>
    <r>
      <rPr>
        <sz val="10"/>
        <rFont val="宋体"/>
        <family val="3"/>
        <charset val="134"/>
      </rPr>
      <t>执行企业会计准则的非上市企业，自</t>
    </r>
    <r>
      <rPr>
        <sz val="10"/>
        <rFont val="Arial Narrow"/>
        <family val="2"/>
      </rPr>
      <t>2021</t>
    </r>
    <r>
      <rPr>
        <sz val="10"/>
        <rFont val="宋体"/>
        <family val="3"/>
        <charset val="134"/>
      </rPr>
      <t>年</t>
    </r>
    <r>
      <rPr>
        <sz val="10"/>
        <rFont val="Arial Narrow"/>
        <family val="2"/>
      </rPr>
      <t>1</t>
    </r>
    <r>
      <rPr>
        <sz val="10"/>
        <rFont val="宋体"/>
        <family val="3"/>
        <charset val="134"/>
      </rPr>
      <t>月</t>
    </r>
    <r>
      <rPr>
        <sz val="10"/>
        <rFont val="Arial Narrow"/>
        <family val="2"/>
      </rPr>
      <t>1</t>
    </r>
    <r>
      <rPr>
        <sz val="10"/>
        <rFont val="宋体"/>
        <family val="3"/>
        <charset val="134"/>
      </rPr>
      <t>日起施行。</t>
    </r>
    <phoneticPr fontId="8" type="noConversion"/>
  </si>
  <si>
    <r>
      <rPr>
        <sz val="10"/>
        <rFont val="宋体"/>
        <family val="3"/>
        <charset val="134"/>
      </rPr>
      <t>在境内外同时上市的企业以及在境外上市并采用国际财务报告准则或企业会计准则编制财务报表的企业，自</t>
    </r>
    <r>
      <rPr>
        <sz val="10"/>
        <rFont val="Arial Narrow"/>
        <family val="2"/>
      </rPr>
      <t>2019</t>
    </r>
    <r>
      <rPr>
        <sz val="10"/>
        <rFont val="宋体"/>
        <family val="3"/>
        <charset val="134"/>
      </rPr>
      <t>年</t>
    </r>
    <r>
      <rPr>
        <sz val="10"/>
        <rFont val="Arial Narrow"/>
        <family val="2"/>
      </rPr>
      <t>1</t>
    </r>
    <r>
      <rPr>
        <sz val="10"/>
        <rFont val="宋体"/>
        <family val="3"/>
        <charset val="134"/>
      </rPr>
      <t>月</t>
    </r>
    <r>
      <rPr>
        <sz val="10"/>
        <rFont val="Arial Narrow"/>
        <family val="2"/>
      </rPr>
      <t>1</t>
    </r>
    <r>
      <rPr>
        <sz val="10"/>
        <rFont val="宋体"/>
        <family val="3"/>
        <charset val="134"/>
      </rPr>
      <t>日起施行；</t>
    </r>
    <phoneticPr fontId="5" type="noConversion"/>
  </si>
  <si>
    <t>其他执行企业会计准则的企业自2021年1月1日起施行。</t>
    <phoneticPr fontId="5" type="noConversion"/>
  </si>
  <si>
    <t>固定资产</t>
    <phoneticPr fontId="5" type="noConversion"/>
  </si>
  <si>
    <t>使用权资产</t>
    <phoneticPr fontId="5" type="noConversion"/>
  </si>
  <si>
    <t>借：使用权资产—原值</t>
    <phoneticPr fontId="5" type="noConversion"/>
  </si>
  <si>
    <t>借：融资租入固定资产—累计折旧</t>
    <phoneticPr fontId="5" type="noConversion"/>
  </si>
  <si>
    <t>贷：融资租入固定资产—原值</t>
    <phoneticPr fontId="5" type="noConversion"/>
  </si>
  <si>
    <t>贷：使用权资产—累计折旧</t>
    <phoneticPr fontId="5" type="noConversion"/>
  </si>
  <si>
    <t>对于首次执行日前的融资租赁，承租人在首次执行日应当按照融资租入资产和应付融资租赁款的原账面价值，分别计量使用权资产和租赁负债</t>
    <phoneticPr fontId="5" type="noConversion"/>
  </si>
  <si>
    <t>长期应付款</t>
    <phoneticPr fontId="5" type="noConversion"/>
  </si>
  <si>
    <t>租赁负债</t>
    <phoneticPr fontId="5" type="noConversion"/>
  </si>
  <si>
    <t>对于首次执行日前的融资租赁，承租人在首次执行日应当按照融资租入资产和应付融资租赁款的原账面价值，分别计量使用权资产和租赁负债</t>
    <phoneticPr fontId="5" type="noConversion"/>
  </si>
  <si>
    <t xml:space="preserve">借：长期应付款—应付融资租赁款 </t>
    <phoneticPr fontId="5" type="noConversion"/>
  </si>
  <si>
    <t>借：租赁负债—未确认融资费用</t>
    <phoneticPr fontId="5" type="noConversion"/>
  </si>
  <si>
    <t>贷：未确认融资费用</t>
    <phoneticPr fontId="5" type="noConversion"/>
  </si>
  <si>
    <t>贷：租赁负债—租赁付款额</t>
    <phoneticPr fontId="5" type="noConversion"/>
  </si>
  <si>
    <t>使用权资产</t>
    <phoneticPr fontId="5" type="noConversion"/>
  </si>
  <si>
    <t>N/A</t>
    <phoneticPr fontId="5" type="noConversion"/>
  </si>
  <si>
    <t>对于首次执行日前的经营租赁，承租人在首次执行日应当根据剩余租赁付款额按首次执行日承租人增量借款利率折现的现值计量租赁负债，并根据每项租赁选择按照下列两者之一计量使用权资产：
（1）假设自租赁期开始日即采用本准则的账面价值（采用首次执行日的承租人增量借款利率作为折现率）；
（2）与租赁负债相等的金额，并根据预付租金进行必要调整。</t>
    <phoneticPr fontId="5" type="noConversion"/>
  </si>
  <si>
    <t>借：使用权资产——原值</t>
    <phoneticPr fontId="5" type="noConversion"/>
  </si>
  <si>
    <t>借：租赁负债——未确认融资费用</t>
    <phoneticPr fontId="5" type="noConversion"/>
  </si>
  <si>
    <t>贷：租赁负债——租赁付款额</t>
    <phoneticPr fontId="5" type="noConversion"/>
  </si>
  <si>
    <t>借：使用权资产——原值</t>
    <phoneticPr fontId="5" type="noConversion"/>
  </si>
  <si>
    <t>借：盈余公积</t>
    <phoneticPr fontId="5" type="noConversion"/>
  </si>
  <si>
    <t>借：利润分配——未分配利润</t>
    <phoneticPr fontId="5" type="noConversion"/>
  </si>
  <si>
    <t>借：租赁负债——未确认融资费用</t>
    <phoneticPr fontId="5" type="noConversion"/>
  </si>
  <si>
    <t>贷：使用权资产——累计折旧</t>
    <phoneticPr fontId="5" type="noConversion"/>
  </si>
  <si>
    <t>贷： 租赁负债——租赁付款额</t>
    <phoneticPr fontId="5" type="noConversion"/>
  </si>
  <si>
    <t>负债：</t>
    <phoneticPr fontId="8" type="noConversion"/>
  </si>
  <si>
    <t>固定资产</t>
    <phoneticPr fontId="8" type="noConversion"/>
  </si>
  <si>
    <t>—</t>
    <phoneticPr fontId="5" type="noConversion"/>
  </si>
  <si>
    <t>长期待摊费用</t>
    <phoneticPr fontId="5" type="noConversion"/>
  </si>
  <si>
    <t>租赁负债</t>
    <phoneticPr fontId="5" type="noConversion"/>
  </si>
  <si>
    <t>预计负债</t>
    <phoneticPr fontId="5" type="noConversion"/>
  </si>
  <si>
    <t>2. 新租赁准则对首次执行日（2021年1月1日）合并资产负债表的影响</t>
    <phoneticPr fontId="5" type="noConversion"/>
  </si>
  <si>
    <t>4. 与原租赁准则相比，执行新租赁准则对当期财务报表相关项目的影响</t>
    <phoneticPr fontId="8" type="noConversion"/>
  </si>
  <si>
    <t>4.1 合并资产负债表</t>
    <phoneticPr fontId="8" type="noConversion"/>
  </si>
  <si>
    <t>新租赁准则下2021年12月31日余额</t>
    <phoneticPr fontId="8" type="noConversion"/>
  </si>
  <si>
    <t>原租赁准则下2021年12月31日余额</t>
    <phoneticPr fontId="8" type="noConversion"/>
  </si>
  <si>
    <t>资产总额</t>
    <phoneticPr fontId="5" type="noConversion"/>
  </si>
  <si>
    <t>负债总额</t>
    <phoneticPr fontId="5" type="noConversion"/>
  </si>
  <si>
    <t>负债总额</t>
    <phoneticPr fontId="8" type="noConversion"/>
  </si>
  <si>
    <t>4.2 合并利润表</t>
    <phoneticPr fontId="8" type="noConversion"/>
  </si>
  <si>
    <t>新租赁准则下2021年度发生额</t>
    <phoneticPr fontId="8" type="noConversion"/>
  </si>
  <si>
    <t>原租赁准则下2021年度发生额</t>
    <phoneticPr fontId="8" type="noConversion"/>
  </si>
  <si>
    <t>财务费用</t>
    <phoneticPr fontId="8" type="noConversion"/>
  </si>
  <si>
    <t>管理费用</t>
    <phoneticPr fontId="5" type="noConversion"/>
  </si>
  <si>
    <t>所得税费用</t>
    <phoneticPr fontId="5" type="noConversion"/>
  </si>
  <si>
    <t>对于首次执行日前已存在的合同，企业在首次执行日可以选择不重新评估其是否为租赁或者包含租赁。选择不重新评估的，企业应当在财务报表附注中披露这一事实，并一致应用于前述所有合同。</t>
    <phoneticPr fontId="5" type="noConversion"/>
  </si>
  <si>
    <t>承租人应当选择下列方法之一对租赁进行衔接会计处理，并一致应用于其作为承租人的所有租赁：</t>
    <phoneticPr fontId="5" type="noConversion"/>
  </si>
  <si>
    <t>（一）按照《企业会计准则第28号——会计政策、会计估计变更和差错更正》的规定采用追溯调整法处理。</t>
    <phoneticPr fontId="5" type="noConversion"/>
  </si>
  <si>
    <t>（二）根据首次执行本准则的累积影响数，调整首次执行本准则当年年初留存收益及财务报表其他相关项目金额，不调整可比期间信息。采用该方法时，应当按照下列规定进行衔接处理：</t>
    <phoneticPr fontId="5" type="noConversion"/>
  </si>
  <si>
    <t>1. 对于首次执行日前的融资租赁，承租人在首次执行日应当按照融资租入资产和应付融资租赁款的原账面价值，分别计量使用权资产和租赁负债。</t>
    <phoneticPr fontId="5" type="noConversion"/>
  </si>
  <si>
    <t>2. 对于首次执行日前的经营租赁，承租人在首次执行日应当根据剩余租赁付款额按首次执行日承租人增量借款利率折现的现值计量租赁负债，并根据每项租赁选择按照下列两者之一计量使用权资产：</t>
    <phoneticPr fontId="5" type="noConversion"/>
  </si>
  <si>
    <r>
      <rPr>
        <sz val="10"/>
        <rFont val="宋体"/>
        <family val="3"/>
        <charset val="134"/>
      </rPr>
      <t>（</t>
    </r>
    <r>
      <rPr>
        <sz val="10"/>
        <rFont val="Arial Narrow"/>
        <family val="2"/>
      </rPr>
      <t>1</t>
    </r>
    <r>
      <rPr>
        <sz val="10"/>
        <rFont val="宋体"/>
        <family val="3"/>
        <charset val="134"/>
      </rPr>
      <t>）假设自租赁期开始日即采用本准则的账面价值（采用首次执行日的承租人增量借款利率作为折现率）；</t>
    </r>
    <phoneticPr fontId="5" type="noConversion"/>
  </si>
  <si>
    <r>
      <rPr>
        <sz val="10"/>
        <rFont val="宋体"/>
        <family val="3"/>
        <charset val="134"/>
      </rPr>
      <t>（</t>
    </r>
    <r>
      <rPr>
        <sz val="10"/>
        <rFont val="Arial Narrow"/>
        <family val="2"/>
      </rPr>
      <t>2</t>
    </r>
    <r>
      <rPr>
        <sz val="10"/>
        <rFont val="宋体"/>
        <family val="3"/>
        <charset val="134"/>
      </rPr>
      <t>）与租赁负债相等的金额，并根据预付租金进行必要调整。</t>
    </r>
    <phoneticPr fontId="5" type="noConversion"/>
  </si>
  <si>
    <t>承租人选择按照本准则第六十一条第（二）项规定对租赁进行衔接会计处理的，还应当在首次执行日披露以下信息：</t>
    <phoneticPr fontId="5" type="noConversion"/>
  </si>
  <si>
    <t>（一）首次执行日计入资产负债表的租赁负债所采用的承租人增量借款利率的加权平均值；</t>
    <phoneticPr fontId="5" type="noConversion"/>
  </si>
  <si>
    <t>（二）首次执行日前一年度报告期末披露的重大经营租赁的尚未支付的最低租赁付款额按首次执行日承租人增量借款利率折现的现值，与计入首次执行日资产负债表的租赁负债的差额。</t>
    <phoneticPr fontId="5" type="noConversion"/>
  </si>
  <si>
    <t>3. 首次执行日前一年度报告期末披露的重大经营租赁的尚未支付的最低租赁付款额与计入首次执行日资产负债表的租赁负债的调节</t>
    <phoneticPr fontId="5" type="noConversion"/>
  </si>
  <si>
    <t>金额</t>
    <phoneticPr fontId="5" type="noConversion"/>
  </si>
  <si>
    <t>备注</t>
    <phoneticPr fontId="5" type="noConversion"/>
  </si>
  <si>
    <t>项目</t>
    <phoneticPr fontId="5" type="noConversion"/>
  </si>
  <si>
    <t>索引号</t>
    <phoneticPr fontId="5" type="noConversion"/>
  </si>
  <si>
    <t>一、2020年12月31日经营租赁承诺</t>
    <phoneticPr fontId="5" type="noConversion"/>
  </si>
  <si>
    <t>二、2020年12月31日经营租赁承诺（不含增值税）</t>
    <phoneticPr fontId="5" type="noConversion"/>
  </si>
  <si>
    <t>按首次执行日增量借款利率折现计算的租赁负债</t>
    <phoneticPr fontId="5" type="noConversion"/>
  </si>
  <si>
    <t>加：合理确定将行使的续租选择权</t>
    <phoneticPr fontId="5" type="noConversion"/>
  </si>
  <si>
    <t>减：增值税影响</t>
    <phoneticPr fontId="5" type="noConversion"/>
  </si>
  <si>
    <t>减：确认豁免——短期租赁</t>
    <phoneticPr fontId="5" type="noConversion"/>
  </si>
  <si>
    <t>减：自首次执行日起剩余租赁期间短于12个月</t>
    <phoneticPr fontId="5" type="noConversion"/>
  </si>
  <si>
    <t>执行新租赁准则确认的与原经营租赁相关的租赁负债</t>
    <phoneticPr fontId="5" type="noConversion"/>
  </si>
  <si>
    <t>三、2021年1月1日租赁负债</t>
    <phoneticPr fontId="5" type="noConversion"/>
  </si>
  <si>
    <t>列示为：一年内到期的非流动负债</t>
    <phoneticPr fontId="5" type="noConversion"/>
  </si>
  <si>
    <t xml:space="preserve">       租赁负债</t>
    <phoneticPr fontId="5" type="noConversion"/>
  </si>
  <si>
    <t>减：确认豁免——低价值资产租赁</t>
    <phoneticPr fontId="5" type="noConversion"/>
  </si>
  <si>
    <t>加：2020年12月31日融资租赁最低租赁付款额</t>
    <phoneticPr fontId="5" type="noConversion"/>
  </si>
  <si>
    <r>
      <t>2021</t>
    </r>
    <r>
      <rPr>
        <sz val="10"/>
        <rFont val="宋体"/>
        <family val="3"/>
        <charset val="134"/>
      </rPr>
      <t>年</t>
    </r>
    <r>
      <rPr>
        <sz val="10"/>
        <rFont val="Arial Narrow"/>
        <family val="2"/>
      </rPr>
      <t>1</t>
    </r>
    <r>
      <rPr>
        <sz val="10"/>
        <rFont val="宋体"/>
        <family val="3"/>
        <charset val="134"/>
      </rPr>
      <t>月</t>
    </r>
    <r>
      <rPr>
        <sz val="10"/>
        <rFont val="Arial Narrow"/>
        <family val="2"/>
      </rPr>
      <t>1</t>
    </r>
    <r>
      <rPr>
        <sz val="10"/>
        <rFont val="宋体"/>
        <family val="3"/>
        <charset val="134"/>
      </rPr>
      <t>日增量借款利率加权平均值：</t>
    </r>
    <phoneticPr fontId="5" type="noConversion"/>
  </si>
  <si>
    <t>减：取决于指数或比率的可变租赁付款额调节</t>
    <phoneticPr fontId="5" type="noConversion"/>
  </si>
  <si>
    <r>
      <rPr>
        <u/>
        <sz val="11"/>
        <color theme="10"/>
        <rFont val="宋体"/>
        <family val="3"/>
        <charset val="134"/>
        <scheme val="minor"/>
      </rPr>
      <t>首次执行新租赁准则的调整S-8</t>
    </r>
    <phoneticPr fontId="5" type="noConversion"/>
  </si>
  <si>
    <t>准则未强制要求披露该信息</t>
    <phoneticPr fontId="5" type="noConversion"/>
  </si>
  <si>
    <t>计入财务费用</t>
    <phoneticPr fontId="5" type="noConversion"/>
  </si>
  <si>
    <t>“简化的追溯调整法”下按（2）处理时：</t>
    <phoneticPr fontId="5" type="noConversion"/>
  </si>
  <si>
    <t>“简化的追溯调整法”下按（1）处理时：</t>
    <phoneticPr fontId="5" type="noConversion"/>
  </si>
  <si>
    <t>对于首次执行日前的经营租赁，承租人在首次执行日应当根据剩余租赁付款额按首次执行日承租人增量借款利率折现的现值计量租赁负债，并根据每项租赁选择按照下列两者之一计量使用权资产</t>
    <phoneticPr fontId="5" type="noConversion"/>
  </si>
  <si>
    <t>四、审计结论：</t>
    <phoneticPr fontId="28" type="noConversion"/>
  </si>
  <si>
    <t>使用权资产的入账价值是否正确</t>
    <phoneticPr fontId="8" type="noConversion"/>
  </si>
  <si>
    <t>所采用的折现率是否正确</t>
    <phoneticPr fontId="8" type="noConversion"/>
  </si>
  <si>
    <t>租赁的条件是否满足</t>
    <phoneticPr fontId="8" type="noConversion"/>
  </si>
  <si>
    <t>三、审计说明：</t>
    <phoneticPr fontId="28" type="noConversion"/>
  </si>
  <si>
    <r>
      <rPr>
        <b/>
        <sz val="10"/>
        <rFont val="微软雅黑"/>
        <family val="2"/>
        <charset val="134"/>
      </rPr>
      <t>合计</t>
    </r>
  </si>
  <si>
    <r>
      <rPr>
        <b/>
        <sz val="10"/>
        <rFont val="微软雅黑"/>
        <family val="2"/>
        <charset val="134"/>
      </rPr>
      <t>月份</t>
    </r>
    <phoneticPr fontId="5" type="noConversion"/>
  </si>
  <si>
    <r>
      <rPr>
        <b/>
        <sz val="10"/>
        <rFont val="微软雅黑"/>
        <family val="2"/>
        <charset val="134"/>
      </rPr>
      <t>期数</t>
    </r>
    <phoneticPr fontId="5" type="noConversion"/>
  </si>
  <si>
    <r>
      <rPr>
        <b/>
        <sz val="10"/>
        <rFont val="微软雅黑"/>
        <family val="2"/>
        <charset val="134"/>
      </rPr>
      <t>租赁负债</t>
    </r>
  </si>
  <si>
    <r>
      <rPr>
        <b/>
        <sz val="10"/>
        <rFont val="微软雅黑"/>
        <family val="2"/>
        <charset val="134"/>
      </rPr>
      <t>留存收益</t>
    </r>
  </si>
  <si>
    <r>
      <rPr>
        <b/>
        <sz val="10"/>
        <rFont val="微软雅黑"/>
        <family val="2"/>
        <charset val="134"/>
      </rPr>
      <t>使用权资产</t>
    </r>
  </si>
  <si>
    <r>
      <rPr>
        <b/>
        <sz val="10"/>
        <rFont val="微软雅黑"/>
        <family val="2"/>
        <charset val="134"/>
      </rPr>
      <t>约满日期</t>
    </r>
    <r>
      <rPr>
        <b/>
        <sz val="10"/>
        <color rgb="FFFF0000"/>
        <rFont val="Arial Narrow"/>
        <family val="2"/>
      </rPr>
      <t>(</t>
    </r>
    <r>
      <rPr>
        <b/>
        <sz val="10"/>
        <color rgb="FFFF0000"/>
        <rFont val="微软雅黑"/>
        <family val="2"/>
        <charset val="134"/>
      </rPr>
      <t>考虑续租可能后）</t>
    </r>
    <phoneticPr fontId="153" type="noConversion"/>
  </si>
  <si>
    <r>
      <rPr>
        <b/>
        <sz val="10"/>
        <rFont val="微软雅黑"/>
        <family val="2"/>
        <charset val="134"/>
      </rPr>
      <t>贷</t>
    </r>
    <phoneticPr fontId="5" type="noConversion"/>
  </si>
  <si>
    <r>
      <rPr>
        <b/>
        <sz val="10"/>
        <rFont val="微软雅黑"/>
        <family val="2"/>
        <charset val="134"/>
      </rPr>
      <t>借</t>
    </r>
    <phoneticPr fontId="5" type="noConversion"/>
  </si>
  <si>
    <t>使用权资产名称</t>
    <phoneticPr fontId="153" type="noConversion"/>
  </si>
  <si>
    <r>
      <rPr>
        <b/>
        <sz val="10"/>
        <color theme="1"/>
        <rFont val="华文细黑"/>
        <family val="3"/>
        <charset val="134"/>
      </rPr>
      <t>输</t>
    </r>
    <r>
      <rPr>
        <b/>
        <sz val="10"/>
        <color theme="1"/>
        <rFont val="Arial Narrow"/>
        <family val="2"/>
      </rPr>
      <t xml:space="preserve">    </t>
    </r>
    <r>
      <rPr>
        <b/>
        <sz val="10"/>
        <color theme="1"/>
        <rFont val="华文细黑"/>
        <family val="3"/>
        <charset val="134"/>
      </rPr>
      <t>入</t>
    </r>
    <r>
      <rPr>
        <b/>
        <sz val="10"/>
        <color theme="1"/>
        <rFont val="Arial Narrow"/>
        <family val="2"/>
      </rPr>
      <t xml:space="preserve">    </t>
    </r>
    <r>
      <rPr>
        <b/>
        <sz val="10"/>
        <color theme="1"/>
        <rFont val="华文细黑"/>
        <family val="3"/>
        <charset val="134"/>
      </rPr>
      <t>区</t>
    </r>
    <r>
      <rPr>
        <b/>
        <sz val="10"/>
        <color theme="1"/>
        <rFont val="Arial Narrow"/>
        <family val="2"/>
      </rPr>
      <t xml:space="preserve">    </t>
    </r>
    <r>
      <rPr>
        <b/>
        <sz val="10"/>
        <color theme="1"/>
        <rFont val="华文细黑"/>
        <family val="3"/>
        <charset val="134"/>
      </rPr>
      <t>域</t>
    </r>
    <phoneticPr fontId="153" type="noConversion"/>
  </si>
  <si>
    <t>假设采用直线法计提折旧，如采用其他折旧方法，请自行修改公式。</t>
    <phoneticPr fontId="8" type="noConversion"/>
  </si>
  <si>
    <t>月折旧额</t>
    <phoneticPr fontId="8" type="noConversion"/>
  </si>
  <si>
    <r>
      <t>5</t>
    </r>
    <r>
      <rPr>
        <sz val="10"/>
        <rFont val="宋体"/>
        <family val="3"/>
        <charset val="134"/>
      </rPr>
      <t>、</t>
    </r>
    <phoneticPr fontId="8" type="noConversion"/>
  </si>
  <si>
    <t>已设定公式。在整个租赁期内摊销的月份。</t>
    <phoneticPr fontId="5" type="noConversion"/>
  </si>
  <si>
    <t>摊销期限</t>
    <phoneticPr fontId="5" type="noConversion"/>
  </si>
  <si>
    <r>
      <t>4</t>
    </r>
    <r>
      <rPr>
        <sz val="10"/>
        <rFont val="宋体"/>
        <family val="3"/>
        <charset val="134"/>
      </rPr>
      <t>、</t>
    </r>
    <phoneticPr fontId="8" type="noConversion"/>
  </si>
  <si>
    <r>
      <t>折现率</t>
    </r>
    <r>
      <rPr>
        <sz val="10"/>
        <color rgb="FFFF0000"/>
        <rFont val="微软雅黑"/>
        <family val="2"/>
        <charset val="134"/>
      </rPr>
      <t>*(必填）</t>
    </r>
    <phoneticPr fontId="5" type="noConversion"/>
  </si>
  <si>
    <r>
      <t>3</t>
    </r>
    <r>
      <rPr>
        <sz val="10"/>
        <rFont val="宋体"/>
        <family val="3"/>
        <charset val="134"/>
      </rPr>
      <t>、</t>
    </r>
    <phoneticPr fontId="8" type="noConversion"/>
  </si>
  <si>
    <t>必填项，合同/协议约定的合同期满日，填写格式为YY-MM-DD 如：2024-09-30</t>
    <phoneticPr fontId="5" type="noConversion"/>
  </si>
  <si>
    <r>
      <t>约满日期</t>
    </r>
    <r>
      <rPr>
        <sz val="10"/>
        <color rgb="FFFF0000"/>
        <rFont val="微软雅黑"/>
        <family val="2"/>
        <charset val="134"/>
      </rPr>
      <t>*(必填）</t>
    </r>
    <phoneticPr fontId="5" type="noConversion"/>
  </si>
  <si>
    <r>
      <t>2</t>
    </r>
    <r>
      <rPr>
        <sz val="10"/>
        <rFont val="宋体"/>
        <family val="3"/>
        <charset val="134"/>
      </rPr>
      <t>、</t>
    </r>
    <phoneticPr fontId="8" type="noConversion"/>
  </si>
  <si>
    <t>必填项，实际移交日，填写格式为YY-MM-DD 如：2019-01-01</t>
    <phoneticPr fontId="5" type="noConversion"/>
  </si>
  <si>
    <r>
      <t>1</t>
    </r>
    <r>
      <rPr>
        <sz val="10"/>
        <rFont val="宋体"/>
        <family val="3"/>
        <charset val="134"/>
      </rPr>
      <t>、</t>
    </r>
    <phoneticPr fontId="8" type="noConversion"/>
  </si>
  <si>
    <t>填表说明：</t>
    <phoneticPr fontId="5" type="noConversion"/>
  </si>
  <si>
    <t>复核人：</t>
  </si>
  <si>
    <t>页 次：</t>
    <phoneticPr fontId="5" type="noConversion"/>
  </si>
  <si>
    <r>
      <t>租赁期开始日</t>
    </r>
    <r>
      <rPr>
        <sz val="10"/>
        <color rgb="FFFF0000"/>
        <rFont val="微软雅黑"/>
        <family val="2"/>
        <charset val="134"/>
      </rPr>
      <t>*(必填）</t>
    </r>
    <phoneticPr fontId="5" type="noConversion"/>
  </si>
  <si>
    <t>租赁期开始日</t>
    <phoneticPr fontId="153" type="noConversion"/>
  </si>
  <si>
    <r>
      <rPr>
        <sz val="10"/>
        <rFont val="宋体"/>
        <family val="3"/>
        <charset val="134"/>
      </rPr>
      <t>索引：</t>
    </r>
    <r>
      <rPr>
        <sz val="10"/>
        <rFont val="Arial Narrow"/>
        <family val="2"/>
      </rPr>
      <t>S3-9</t>
    </r>
    <phoneticPr fontId="8" type="noConversion"/>
  </si>
  <si>
    <r>
      <rPr>
        <b/>
        <sz val="10"/>
        <rFont val="宋体"/>
        <family val="3"/>
        <charset val="134"/>
      </rPr>
      <t>（</t>
    </r>
    <r>
      <rPr>
        <b/>
        <sz val="10"/>
        <rFont val="Arial Narrow"/>
        <family val="2"/>
      </rPr>
      <t>1</t>
    </r>
    <r>
      <rPr>
        <b/>
        <sz val="10"/>
        <rFont val="宋体"/>
        <family val="3"/>
        <charset val="134"/>
      </rPr>
      <t>）假设自租赁期开始日即采用本准则的账面价值（采用首次执行日的承租人增量借款利率作为折现率）；</t>
    </r>
    <phoneticPr fontId="5" type="noConversion"/>
  </si>
  <si>
    <r>
      <rPr>
        <b/>
        <sz val="10"/>
        <rFont val="宋体"/>
        <family val="3"/>
        <charset val="134"/>
      </rPr>
      <t>（</t>
    </r>
    <r>
      <rPr>
        <b/>
        <sz val="10"/>
        <rFont val="Arial Narrow"/>
        <family val="2"/>
      </rPr>
      <t>2</t>
    </r>
    <r>
      <rPr>
        <b/>
        <sz val="10"/>
        <rFont val="宋体"/>
        <family val="3"/>
        <charset val="134"/>
      </rPr>
      <t>）与租赁负债相等的金额，并根据预付租金进行必要调整。</t>
    </r>
    <phoneticPr fontId="5" type="noConversion"/>
  </si>
  <si>
    <t>1. 租赁合同的基本信息</t>
    <phoneticPr fontId="5" type="noConversion"/>
  </si>
  <si>
    <t>使用权资产名称</t>
    <phoneticPr fontId="5" type="noConversion"/>
  </si>
  <si>
    <t>租赁期开始日</t>
    <phoneticPr fontId="5" type="noConversion"/>
  </si>
  <si>
    <r>
      <rPr>
        <b/>
        <sz val="10"/>
        <rFont val="微软雅黑"/>
        <family val="2"/>
        <charset val="134"/>
      </rPr>
      <t>本合同折现率</t>
    </r>
    <r>
      <rPr>
        <b/>
        <sz val="10"/>
        <color rgb="FFFF0000"/>
        <rFont val="微软雅黑"/>
        <family val="2"/>
        <charset val="134"/>
      </rPr>
      <t>（例）</t>
    </r>
    <phoneticPr fontId="153" type="noConversion"/>
  </si>
  <si>
    <t>摊销期限</t>
    <phoneticPr fontId="153" type="noConversion"/>
  </si>
  <si>
    <r>
      <rPr>
        <sz val="10"/>
        <rFont val="宋体"/>
        <family val="3"/>
        <charset val="134"/>
      </rPr>
      <t>租赁期是指承租人有权使用租赁资产且不可撤销的期间</t>
    </r>
    <r>
      <rPr>
        <sz val="10"/>
        <rFont val="Arial Narrow"/>
        <family val="2"/>
      </rPr>
      <t>;</t>
    </r>
    <r>
      <rPr>
        <sz val="10"/>
        <rFont val="宋体"/>
        <family val="3"/>
        <charset val="134"/>
      </rPr>
      <t>承租人有续租选择权，即有权选择续租该资产，且合理确定将行使该选择权的，租赁期还应当包含续租选择权涵盖的期间；承租人有终止租赁选择权即有权选择终止租赁该资产，但合理确定将不会行使该选择权的，租赁期应当包含终止租赁选择权涵盖的期间。</t>
    </r>
    <phoneticPr fontId="5" type="noConversion"/>
  </si>
  <si>
    <t>合同租金
（不含税）</t>
    <phoneticPr fontId="5" type="noConversion"/>
  </si>
  <si>
    <t>XX设备</t>
    <phoneticPr fontId="5" type="noConversion"/>
  </si>
  <si>
    <t>合同约定初始期满日</t>
    <phoneticPr fontId="5" type="noConversion"/>
  </si>
  <si>
    <t>续租期（年）</t>
    <phoneticPr fontId="5" type="noConversion"/>
  </si>
  <si>
    <t>租金支付日期</t>
    <phoneticPr fontId="5" type="noConversion"/>
  </si>
  <si>
    <t>租赁期（考虑续租可能后）</t>
    <phoneticPr fontId="5" type="noConversion"/>
  </si>
  <si>
    <t>租赁期截止日期</t>
    <phoneticPr fontId="5" type="noConversion"/>
  </si>
  <si>
    <t>租赁付款额现值</t>
  </si>
  <si>
    <t>合计</t>
    <phoneticPr fontId="5" type="noConversion"/>
  </si>
  <si>
    <t>借：使用权资产——原值</t>
  </si>
  <si>
    <t>借：租赁负债——未确认融资费用</t>
  </si>
  <si>
    <t>贷：租赁负债——租赁付款额</t>
  </si>
  <si>
    <t>2. 计算租赁负债余额</t>
    <phoneticPr fontId="5" type="noConversion"/>
  </si>
  <si>
    <t>使用权资产初始确认金额</t>
    <phoneticPr fontId="5" type="noConversion"/>
  </si>
  <si>
    <t>首次执行日承租人使用简化的追溯调整法（2）</t>
    <phoneticPr fontId="8" type="noConversion"/>
  </si>
  <si>
    <t>首次执行日剩余租期</t>
    <phoneticPr fontId="5" type="noConversion"/>
  </si>
  <si>
    <t>租赁负债</t>
    <phoneticPr fontId="5" type="noConversion"/>
  </si>
  <si>
    <t>使用权资产</t>
    <phoneticPr fontId="5" type="noConversion"/>
  </si>
  <si>
    <t>租赁付款额</t>
    <phoneticPr fontId="5" type="noConversion"/>
  </si>
  <si>
    <r>
      <rPr>
        <b/>
        <sz val="10"/>
        <color theme="1"/>
        <rFont val="黑体"/>
        <family val="3"/>
        <charset val="134"/>
      </rPr>
      <t>利息费用</t>
    </r>
    <phoneticPr fontId="5" type="noConversion"/>
  </si>
  <si>
    <r>
      <rPr>
        <b/>
        <sz val="10"/>
        <color theme="1"/>
        <rFont val="黑体"/>
        <family val="3"/>
        <charset val="134"/>
      </rPr>
      <t>期末余额</t>
    </r>
    <phoneticPr fontId="5" type="noConversion"/>
  </si>
  <si>
    <r>
      <rPr>
        <b/>
        <sz val="10"/>
        <color theme="1"/>
        <rFont val="黑体"/>
        <family val="3"/>
        <charset val="134"/>
      </rPr>
      <t>折旧费用</t>
    </r>
    <phoneticPr fontId="5" type="noConversion"/>
  </si>
  <si>
    <t>期初余额</t>
    <phoneticPr fontId="5" type="noConversion"/>
  </si>
  <si>
    <r>
      <t>2021</t>
    </r>
    <r>
      <rPr>
        <sz val="10"/>
        <rFont val="宋体"/>
        <family val="3"/>
        <charset val="134"/>
      </rPr>
      <t>年度</t>
    </r>
    <phoneticPr fontId="5" type="noConversion"/>
  </si>
  <si>
    <r>
      <t>2022年度</t>
    </r>
    <r>
      <rPr>
        <sz val="10"/>
        <rFont val="宋体"/>
        <family val="3"/>
        <charset val="134"/>
      </rPr>
      <t/>
    </r>
  </si>
  <si>
    <r>
      <t>2023年度</t>
    </r>
    <r>
      <rPr>
        <sz val="10"/>
        <rFont val="宋体"/>
        <family val="3"/>
        <charset val="134"/>
      </rPr>
      <t/>
    </r>
  </si>
  <si>
    <r>
      <t>2024年度</t>
    </r>
    <r>
      <rPr>
        <sz val="10"/>
        <rFont val="宋体"/>
        <family val="3"/>
        <charset val="134"/>
      </rPr>
      <t/>
    </r>
  </si>
  <si>
    <r>
      <t>2025年度</t>
    </r>
    <r>
      <rPr>
        <sz val="10"/>
        <rFont val="宋体"/>
        <family val="3"/>
        <charset val="134"/>
      </rPr>
      <t/>
    </r>
  </si>
  <si>
    <r>
      <t>2026年度</t>
    </r>
    <r>
      <rPr>
        <sz val="10"/>
        <rFont val="宋体"/>
        <family val="3"/>
        <charset val="134"/>
      </rPr>
      <t/>
    </r>
  </si>
  <si>
    <r>
      <t>2027年度</t>
    </r>
    <r>
      <rPr>
        <sz val="10"/>
        <rFont val="宋体"/>
        <family val="3"/>
        <charset val="134"/>
      </rPr>
      <t/>
    </r>
  </si>
  <si>
    <r>
      <t>2028年度</t>
    </r>
    <r>
      <rPr>
        <sz val="10"/>
        <rFont val="宋体"/>
        <family val="3"/>
        <charset val="134"/>
      </rPr>
      <t/>
    </r>
  </si>
  <si>
    <r>
      <t>2029</t>
    </r>
    <r>
      <rPr>
        <sz val="10"/>
        <rFont val="宋体"/>
        <family val="3"/>
        <charset val="134"/>
      </rPr>
      <t>年</t>
    </r>
    <r>
      <rPr>
        <sz val="10"/>
        <rFont val="Arial Narrow"/>
        <family val="2"/>
      </rPr>
      <t>1-9</t>
    </r>
    <r>
      <rPr>
        <sz val="10"/>
        <rFont val="宋体"/>
        <family val="3"/>
        <charset val="134"/>
      </rPr>
      <t>月</t>
    </r>
    <phoneticPr fontId="5" type="noConversion"/>
  </si>
  <si>
    <t>支付月份</t>
    <phoneticPr fontId="5" type="noConversion"/>
  </si>
  <si>
    <t>增量借款年利率</t>
    <phoneticPr fontId="5" type="noConversion"/>
  </si>
  <si>
    <t>折现期(年）</t>
    <phoneticPr fontId="5" type="noConversion"/>
  </si>
  <si>
    <t>4. 租赁负债及使用权资产后续计量</t>
    <phoneticPr fontId="5" type="noConversion"/>
  </si>
  <si>
    <r>
      <t xml:space="preserve">3. </t>
    </r>
    <r>
      <rPr>
        <b/>
        <sz val="10"/>
        <rFont val="宋体"/>
        <family val="3"/>
        <charset val="134"/>
      </rPr>
      <t>首次执行日调整分录</t>
    </r>
    <phoneticPr fontId="5" type="noConversion"/>
  </si>
  <si>
    <t>期间</t>
    <phoneticPr fontId="5" type="noConversion"/>
  </si>
  <si>
    <r>
      <rPr>
        <sz val="10"/>
        <rFont val="宋体"/>
        <family val="3"/>
        <charset val="134"/>
      </rPr>
      <t>索引：</t>
    </r>
    <r>
      <rPr>
        <sz val="10"/>
        <rFont val="Arial Narrow"/>
        <family val="2"/>
      </rPr>
      <t>S3-10</t>
    </r>
    <phoneticPr fontId="8" type="noConversion"/>
  </si>
  <si>
    <t>首次执行日承租人使用简化的追溯调整法（1）</t>
    <phoneticPr fontId="8" type="noConversion"/>
  </si>
  <si>
    <t>借：盈余公积</t>
  </si>
  <si>
    <t>借：利润分配——未分配利润</t>
  </si>
  <si>
    <t>贷：使用权资产——累计折旧</t>
  </si>
  <si>
    <r>
      <t>2019</t>
    </r>
    <r>
      <rPr>
        <sz val="10"/>
        <rFont val="宋体"/>
        <family val="3"/>
        <charset val="134"/>
      </rPr>
      <t>年度</t>
    </r>
    <phoneticPr fontId="5" type="noConversion"/>
  </si>
  <si>
    <r>
      <t>2020</t>
    </r>
    <r>
      <rPr>
        <sz val="10"/>
        <rFont val="宋体"/>
        <family val="3"/>
        <charset val="134"/>
      </rPr>
      <t>年度</t>
    </r>
    <phoneticPr fontId="5" type="noConversion"/>
  </si>
  <si>
    <t>剩余合同租金（不含税）</t>
    <phoneticPr fontId="5" type="noConversion"/>
  </si>
  <si>
    <t>租赁负债折现系数</t>
    <phoneticPr fontId="5" type="noConversion"/>
  </si>
  <si>
    <t>2. 计算租赁负债及使用权资产余额</t>
    <phoneticPr fontId="5" type="noConversion"/>
  </si>
  <si>
    <t>折现系数</t>
    <phoneticPr fontId="5" type="noConversion"/>
  </si>
  <si>
    <t>租赁负债折现期(年）</t>
    <phoneticPr fontId="5" type="noConversion"/>
  </si>
  <si>
    <r>
      <t>2019</t>
    </r>
    <r>
      <rPr>
        <sz val="10"/>
        <rFont val="宋体"/>
        <family val="3"/>
        <charset val="134"/>
      </rPr>
      <t>年度</t>
    </r>
    <phoneticPr fontId="5" type="noConversion"/>
  </si>
  <si>
    <r>
      <t>2020</t>
    </r>
    <r>
      <rPr>
        <sz val="10"/>
        <rFont val="宋体"/>
        <family val="3"/>
        <charset val="134"/>
      </rPr>
      <t>年度</t>
    </r>
    <phoneticPr fontId="5" type="noConversion"/>
  </si>
  <si>
    <t>租赁付款额原值</t>
    <phoneticPr fontId="5" type="noConversion"/>
  </si>
  <si>
    <t>合同租金（不含税）</t>
    <phoneticPr fontId="5" type="noConversion"/>
  </si>
  <si>
    <t>【租赁负债+预付租金】</t>
    <phoneticPr fontId="5" type="noConversion"/>
  </si>
  <si>
    <t>【预付租金】</t>
    <phoneticPr fontId="5" type="noConversion"/>
  </si>
  <si>
    <t>【假设自租赁期开始日即采用本准则的账面价值】</t>
    <phoneticPr fontId="5" type="noConversion"/>
  </si>
  <si>
    <t>确定首次执行日（2021年1月1日）承租人简化的追溯调整法——使用权资产与租赁负债（调整预付租金）相等。</t>
    <phoneticPr fontId="8" type="noConversion"/>
  </si>
  <si>
    <t>确定首次执行日（2021年1月1日）承租人简化的追溯调整法——使用权资产假设自租赁期开始日即采用本准则。</t>
    <phoneticPr fontId="8" type="noConversion"/>
  </si>
  <si>
    <t>使用权资产摊销期限（年）</t>
    <phoneticPr fontId="5" type="noConversion"/>
  </si>
  <si>
    <t>【剩余租赁付款额原值】</t>
    <phoneticPr fontId="5" type="noConversion"/>
  </si>
  <si>
    <t>首次执行日承租人使用简化的追溯调整法</t>
    <phoneticPr fontId="8" type="noConversion"/>
  </si>
  <si>
    <t>复原成本、终止租赁罚金等</t>
    <phoneticPr fontId="5" type="noConversion"/>
  </si>
  <si>
    <r>
      <rPr>
        <u/>
        <sz val="11"/>
        <color theme="10"/>
        <rFont val="宋体"/>
        <family val="3"/>
        <charset val="134"/>
        <scheme val="minor"/>
      </rPr>
      <t>简化的追溯调整法（1）S3-9</t>
    </r>
    <phoneticPr fontId="5" type="noConversion"/>
  </si>
  <si>
    <r>
      <rPr>
        <u/>
        <sz val="11"/>
        <color theme="10"/>
        <rFont val="宋体"/>
        <family val="3"/>
        <charset val="134"/>
        <scheme val="minor"/>
      </rPr>
      <t>简化的追溯调整法（2）S3-10</t>
    </r>
    <phoneticPr fontId="5" type="noConversion"/>
  </si>
  <si>
    <t>本示例假设期初支付租金</t>
    <phoneticPr fontId="5" type="noConversion"/>
  </si>
  <si>
    <r>
      <t>2028</t>
    </r>
    <r>
      <rPr>
        <sz val="10"/>
        <rFont val="宋体"/>
        <family val="3"/>
        <charset val="134"/>
      </rPr>
      <t>年度</t>
    </r>
    <phoneticPr fontId="5" type="noConversion"/>
  </si>
  <si>
    <r>
      <t>2019</t>
    </r>
    <r>
      <rPr>
        <sz val="10"/>
        <rFont val="宋体"/>
        <family val="3"/>
        <charset val="134"/>
      </rPr>
      <t>年</t>
    </r>
    <r>
      <rPr>
        <sz val="10"/>
        <rFont val="Arial Narrow"/>
        <family val="2"/>
      </rPr>
      <t>10-12</t>
    </r>
    <r>
      <rPr>
        <sz val="10"/>
        <rFont val="宋体"/>
        <family val="3"/>
        <charset val="134"/>
      </rPr>
      <t>月</t>
    </r>
    <phoneticPr fontId="5" type="noConversion"/>
  </si>
  <si>
    <r>
      <rPr>
        <b/>
        <sz val="10"/>
        <rFont val="微软雅黑"/>
        <family val="2"/>
        <charset val="134"/>
      </rPr>
      <t>租赁付款额现值</t>
    </r>
    <r>
      <rPr>
        <b/>
        <sz val="10"/>
        <rFont val="Arial Narrow"/>
        <family val="2"/>
      </rPr>
      <t>(</t>
    </r>
    <r>
      <rPr>
        <b/>
        <sz val="10"/>
        <rFont val="微软雅黑"/>
        <family val="2"/>
        <charset val="134"/>
      </rPr>
      <t>折现到</t>
    </r>
    <r>
      <rPr>
        <b/>
        <sz val="10"/>
        <rFont val="Arial Narrow"/>
        <family val="2"/>
      </rPr>
      <t>2021</t>
    </r>
    <r>
      <rPr>
        <b/>
        <sz val="10"/>
        <rFont val="微软雅黑"/>
        <family val="2"/>
        <charset val="134"/>
      </rPr>
      <t>年</t>
    </r>
    <r>
      <rPr>
        <b/>
        <sz val="10"/>
        <rFont val="Arial Narrow"/>
        <family val="2"/>
      </rPr>
      <t>1</t>
    </r>
    <r>
      <rPr>
        <b/>
        <sz val="10"/>
        <rFont val="微软雅黑"/>
        <family val="2"/>
        <charset val="134"/>
      </rPr>
      <t>月</t>
    </r>
    <r>
      <rPr>
        <b/>
        <sz val="10"/>
        <rFont val="Arial Narrow"/>
        <family val="2"/>
      </rPr>
      <t>1</t>
    </r>
    <r>
      <rPr>
        <b/>
        <sz val="10"/>
        <rFont val="微软雅黑"/>
        <family val="2"/>
        <charset val="134"/>
      </rPr>
      <t>日</t>
    </r>
    <r>
      <rPr>
        <b/>
        <sz val="10"/>
        <rFont val="Arial Narrow"/>
        <family val="2"/>
      </rPr>
      <t>)</t>
    </r>
    <phoneticPr fontId="5" type="noConversion"/>
  </si>
  <si>
    <t>使用权资产余值</t>
    <phoneticPr fontId="5" type="noConversion"/>
  </si>
  <si>
    <r>
      <rPr>
        <b/>
        <sz val="10"/>
        <rFont val="微软雅黑"/>
        <family val="2"/>
        <charset val="134"/>
      </rPr>
      <t>租赁付款额现值</t>
    </r>
    <r>
      <rPr>
        <b/>
        <sz val="10"/>
        <rFont val="Arial Narrow"/>
        <family val="2"/>
      </rPr>
      <t>(</t>
    </r>
    <r>
      <rPr>
        <b/>
        <sz val="10"/>
        <rFont val="微软雅黑"/>
        <family val="2"/>
        <charset val="134"/>
      </rPr>
      <t>折现到租赁期开始日</t>
    </r>
    <r>
      <rPr>
        <b/>
        <sz val="10"/>
        <rFont val="Arial Narrow"/>
        <family val="2"/>
      </rPr>
      <t>)</t>
    </r>
    <phoneticPr fontId="5" type="noConversion"/>
  </si>
  <si>
    <t>索引号：</t>
    <phoneticPr fontId="8" type="noConversion"/>
  </si>
  <si>
    <r>
      <rPr>
        <sz val="10"/>
        <rFont val="宋体"/>
        <family val="3"/>
        <charset val="134"/>
      </rPr>
      <t>简化（</t>
    </r>
    <r>
      <rPr>
        <sz val="10"/>
        <rFont val="Arial Narrow"/>
        <family val="2"/>
      </rPr>
      <t>2</t>
    </r>
    <r>
      <rPr>
        <sz val="10"/>
        <rFont val="宋体"/>
        <family val="3"/>
        <charset val="134"/>
      </rPr>
      <t>）</t>
    </r>
    <phoneticPr fontId="5" type="noConversion"/>
  </si>
  <si>
    <r>
      <rPr>
        <b/>
        <sz val="10"/>
        <color theme="1"/>
        <rFont val="华文细黑"/>
        <family val="3"/>
        <charset val="134"/>
      </rPr>
      <t>计</t>
    </r>
    <r>
      <rPr>
        <b/>
        <sz val="10"/>
        <color theme="1"/>
        <rFont val="Arial Narrow"/>
        <family val="2"/>
      </rPr>
      <t xml:space="preserve">    </t>
    </r>
    <r>
      <rPr>
        <b/>
        <sz val="10"/>
        <color theme="1"/>
        <rFont val="华文细黑"/>
        <family val="3"/>
        <charset val="134"/>
      </rPr>
      <t>算</t>
    </r>
    <r>
      <rPr>
        <b/>
        <sz val="10"/>
        <color theme="1"/>
        <rFont val="Arial Narrow"/>
        <family val="2"/>
      </rPr>
      <t xml:space="preserve">    </t>
    </r>
    <r>
      <rPr>
        <b/>
        <sz val="10"/>
        <color theme="1"/>
        <rFont val="华文细黑"/>
        <family val="3"/>
        <charset val="134"/>
      </rPr>
      <t>区</t>
    </r>
    <r>
      <rPr>
        <b/>
        <sz val="10"/>
        <color theme="1"/>
        <rFont val="Arial Narrow"/>
        <family val="2"/>
      </rPr>
      <t xml:space="preserve">    </t>
    </r>
    <r>
      <rPr>
        <b/>
        <sz val="10"/>
        <color theme="1"/>
        <rFont val="华文细黑"/>
        <family val="3"/>
        <charset val="134"/>
      </rPr>
      <t>域【新租赁准则首次执行日</t>
    </r>
    <r>
      <rPr>
        <b/>
        <sz val="10"/>
        <color rgb="FFFF0000"/>
        <rFont val="华文细黑"/>
        <family val="3"/>
        <charset val="134"/>
      </rPr>
      <t>（</t>
    </r>
    <r>
      <rPr>
        <b/>
        <sz val="10"/>
        <color rgb="FFFF0000"/>
        <rFont val="Arial Narrow"/>
        <family val="2"/>
      </rPr>
      <t>2021</t>
    </r>
    <r>
      <rPr>
        <b/>
        <sz val="10"/>
        <color rgb="FFFF0000"/>
        <rFont val="华文细黑"/>
        <family val="3"/>
        <charset val="134"/>
      </rPr>
      <t>年</t>
    </r>
    <r>
      <rPr>
        <b/>
        <sz val="10"/>
        <color rgb="FFFF0000"/>
        <rFont val="Arial Narrow"/>
        <family val="2"/>
      </rPr>
      <t>1</t>
    </r>
    <r>
      <rPr>
        <b/>
        <sz val="10"/>
        <color rgb="FFFF0000"/>
        <rFont val="华文细黑"/>
        <family val="3"/>
        <charset val="134"/>
      </rPr>
      <t>月</t>
    </r>
    <r>
      <rPr>
        <b/>
        <sz val="10"/>
        <color rgb="FFFF0000"/>
        <rFont val="Arial Narrow"/>
        <family val="2"/>
      </rPr>
      <t>1</t>
    </r>
    <r>
      <rPr>
        <b/>
        <sz val="10"/>
        <color rgb="FFFF0000"/>
        <rFont val="华文细黑"/>
        <family val="3"/>
        <charset val="134"/>
      </rPr>
      <t>日）</t>
    </r>
    <r>
      <rPr>
        <b/>
        <sz val="10"/>
        <color theme="1"/>
        <rFont val="华文细黑"/>
        <family val="3"/>
        <charset val="134"/>
      </rPr>
      <t>会计处理】</t>
    </r>
    <phoneticPr fontId="153" type="noConversion"/>
  </si>
  <si>
    <t>简化（1）</t>
    <phoneticPr fontId="5" type="noConversion"/>
  </si>
  <si>
    <t>贷：预付款项/其他流动资产</t>
    <phoneticPr fontId="5" type="noConversion"/>
  </si>
  <si>
    <t>按月份计算</t>
    <phoneticPr fontId="5" type="noConversion"/>
  </si>
  <si>
    <r>
      <rPr>
        <u/>
        <sz val="11"/>
        <color theme="10"/>
        <rFont val="宋体"/>
        <family val="3"/>
        <charset val="134"/>
        <scheme val="minor"/>
      </rPr>
      <t>参考-简化的追溯调整法（首次执行日）</t>
    </r>
    <phoneticPr fontId="5" type="noConversion"/>
  </si>
  <si>
    <t>预付租金余额</t>
    <phoneticPr fontId="5" type="noConversion"/>
  </si>
  <si>
    <t>月折旧额（次月起计提）</t>
    <phoneticPr fontId="5" type="noConversion"/>
  </si>
  <si>
    <t>按承租人首次执行日增量借款利率确定折现率。</t>
    <phoneticPr fontId="5" type="noConversion"/>
  </si>
  <si>
    <t>使用权资产调整
（租赁期开始日前支付的租金、复原成本等）</t>
    <phoneticPr fontId="5" type="noConversion"/>
  </si>
  <si>
    <t>贷：其他债权投资--利息调整</t>
  </si>
  <si>
    <t>借：其他债权投资--成本</t>
  </si>
  <si>
    <t>借：其他债权投资--公允价值变动</t>
  </si>
  <si>
    <t>贷：可供出售金融资产--利息调整</t>
  </si>
  <si>
    <t>贷：可供出售金融资产--成本</t>
  </si>
  <si>
    <t>贷：可供出售金融资产--公允价值变动</t>
  </si>
  <si>
    <t>会计期间：2023年度</t>
    <phoneticPr fontId="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</si>
</sst>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1">
    <numFmt numFmtId="41" formatCode="_ * #,##0_ ;_ * \-#,##0_ ;_ * &quot;-&quot;_ ;_ @_ "/>
    <numFmt numFmtId="43" formatCode="_ * #,##0.00_ ;_ * \-#,##0.00_ ;_ * &quot;-&quot;??_ ;_ @_ "/>
    <numFmt numFmtId="176" formatCode="_([$€-2]* #,##0.00_);_([$€-2]* \(#,##0.00\);_([$€-2]* &quot;-&quot;??_)"/>
    <numFmt numFmtId="177" formatCode="_-#,##0_-;\(#,##0\);_-\ \ &quot;-&quot;_-;_-@_-"/>
    <numFmt numFmtId="178" formatCode="_-#,##0.00_-;\(#,##0.00\);_-\ \ &quot;-&quot;_-;_-@_-"/>
    <numFmt numFmtId="179" formatCode="mmm/dd/yyyy;_-\ &quot;N/A&quot;_-;_-\ &quot;-&quot;_-"/>
    <numFmt numFmtId="180" formatCode="mmm/yyyy;_-\ &quot;N/A&quot;_-;_-\ &quot;-&quot;_-"/>
    <numFmt numFmtId="181" formatCode="_-#,##0%_-;\(#,##0%\);_-\ &quot;-&quot;_-"/>
    <numFmt numFmtId="182" formatCode="_-#,###,_-;\(#,###,\);_-\ \ &quot;-&quot;_-;_-@_-"/>
    <numFmt numFmtId="183" formatCode="_-#,###.00,_-;\(#,###.00,\);_-\ \ &quot;-&quot;_-;_-@_-"/>
    <numFmt numFmtId="184" formatCode="_-#0&quot;.&quot;0,_-;\(#0&quot;.&quot;0,\);_-\ \ &quot;-&quot;_-;_-@_-"/>
    <numFmt numFmtId="185" formatCode="_-#0&quot;.&quot;0000_-;\(#0&quot;.&quot;0000\);_-\ \ &quot;-&quot;_-;_-@_-"/>
    <numFmt numFmtId="186" formatCode="0%;\(0%\)"/>
    <numFmt numFmtId="187" formatCode="0.0%"/>
    <numFmt numFmtId="188" formatCode="&quot;¥&quot;#,##0;\-&quot;¥&quot;#,##0"/>
    <numFmt numFmtId="189" formatCode="#.\ \ "/>
    <numFmt numFmtId="190" formatCode="##.\ \ "/>
    <numFmt numFmtId="191" formatCode="&quot;$&quot;#,##0_);\(&quot;$&quot;#,##0\)"/>
    <numFmt numFmtId="192" formatCode="#,##0;\-#,##0;&quot;-&quot;"/>
    <numFmt numFmtId="193" formatCode="\(#,##0\)\ "/>
    <numFmt numFmtId="194" formatCode="[Blue]0.0%;[Blue]\(0.0%\)"/>
    <numFmt numFmtId="195" formatCode="0.0%;\(0.0%\)"/>
    <numFmt numFmtId="196" formatCode="[Red]0.0%;[Red]\(0.0%\)"/>
    <numFmt numFmtId="197" formatCode="[Blue]#,##0_);[Blue]\(#,##0\)"/>
    <numFmt numFmtId="198" formatCode="#,##0_);[Blue]\(#,##0\)"/>
    <numFmt numFmtId="199" formatCode="&quot;$&quot;#,##0;[Red]&quot;$&quot;&quot;$&quot;&quot;$&quot;&quot;$&quot;&quot;$&quot;&quot;$&quot;&quot;$&quot;\-#,##0"/>
    <numFmt numFmtId="200" formatCode="_(&quot;$&quot;* #,##0_);_(&quot;$&quot;* \(#,##0\);_(&quot;$&quot;* &quot;-&quot;_);_(@_)"/>
    <numFmt numFmtId="201" formatCode="#,##0;\(#,##0\)"/>
    <numFmt numFmtId="202" formatCode="#,##0.0_);\(#,##0.0\)"/>
    <numFmt numFmtId="203" formatCode="&quot;$&quot;#,##0.00_);\(&quot;$&quot;#,##0.00\)"/>
    <numFmt numFmtId="204" formatCode=";;;"/>
    <numFmt numFmtId="205" formatCode="\$#,##0.00;\(\$#,##0.00\)"/>
    <numFmt numFmtId="206" formatCode="#,##0.000000"/>
    <numFmt numFmtId="207" formatCode="\$#,##0;\(\$#,##0\)"/>
    <numFmt numFmtId="208" formatCode="#,##0.00&quot;¥&quot;;\-#,##0.00&quot;¥&quot;"/>
    <numFmt numFmtId="209" formatCode="_(&quot;$&quot;* #,##0.00_);_(&quot;$&quot;* \(#,##0.00\);_(&quot;$&quot;* &quot;-&quot;??_);_(@_)"/>
    <numFmt numFmtId="210" formatCode="_-* #,##0_-;\-* #,##0_-;_-* &quot;-&quot;??_-;_-@_-"/>
    <numFmt numFmtId="211" formatCode="0.00000000000_);[Red]\(0.00000000000\)"/>
    <numFmt numFmtId="212" formatCode="&quot;\&quot;#,##0;&quot;\&quot;&quot;\&quot;\-#,##0"/>
    <numFmt numFmtId="213" formatCode="&quot;?#,##0;\-&quot;?#,##0"/>
    <numFmt numFmtId="214" formatCode="_-* #,##0&quot;¥&quot;_-;\-* #,##0&quot;¥&quot;_-;_-* &quot;-&quot;&quot;¥&quot;_-;_-@_-"/>
    <numFmt numFmtId="215" formatCode="0%_);\(0%\)"/>
    <numFmt numFmtId="216" formatCode="&quot;$&quot;#,##0;\-&quot;$&quot;#,##0"/>
    <numFmt numFmtId="217" formatCode="#,##0&quot; $&quot;;[Red]\-#,##0&quot; $&quot;"/>
    <numFmt numFmtId="218" formatCode="#,##0.00&quot;¥&quot;;[Red]\-#,##0.00&quot;¥&quot;"/>
    <numFmt numFmtId="219" formatCode="\ \ @"/>
    <numFmt numFmtId="220" formatCode="#,##0_);\(#,##0_)"/>
    <numFmt numFmtId="221" formatCode="_-* #,##0\ _k_r_-;\-* #,##0\ _k_r_-;_-* &quot;-&quot;\ _k_r_-;_-@_-"/>
    <numFmt numFmtId="222" formatCode="_-* #,##0.00\ _k_r_-;\-* #,##0.00\ _k_r_-;_-* &quot;-&quot;??\ _k_r_-;_-@_-"/>
    <numFmt numFmtId="223" formatCode="#,##0.00_);#,##0.00\)"/>
    <numFmt numFmtId="224" formatCode="0.00000&quot;  &quot;"/>
    <numFmt numFmtId="225" formatCode="_-* #,##0_-;\-* #,##0_-;_-* &quot;-&quot;_-;_-@_-"/>
    <numFmt numFmtId="226" formatCode="_-* #,##0.00_-;\-* #,##0.00_-;_-* &quot;-&quot;??_-;_-@_-"/>
    <numFmt numFmtId="227" formatCode="_-&quot;$&quot;* #,##0_-;\-&quot;$&quot;* #,##0_-;_-&quot;$&quot;* &quot;-&quot;_-;_-@_-"/>
    <numFmt numFmtId="228" formatCode="_-&quot;$&quot;* #,##0.00_-;\-&quot;$&quot;* #,##0.00_-;_-&quot;$&quot;* &quot;-&quot;??_-;_-@_-"/>
    <numFmt numFmtId="229" formatCode="&quot;\&quot;#,##0;[Red]&quot;\&quot;&quot;\&quot;\-#,##0"/>
    <numFmt numFmtId="230" formatCode="&quot;\&quot;#,##0.00;[Red]&quot;\&quot;&quot;\&quot;&quot;\&quot;&quot;\&quot;&quot;\&quot;&quot;\&quot;\-#,##0.00"/>
    <numFmt numFmtId="231" formatCode="&quot;\&quot;#,##0.00;[Red]&quot;\&quot;\-#,##0.00"/>
    <numFmt numFmtId="232" formatCode="&quot;\&quot;#,##0;[Red]&quot;\&quot;\-#,##0"/>
    <numFmt numFmtId="233" formatCode="&quot;$&quot;#,##0.00_);[Red]&quot;\&quot;&quot;\&quot;&quot;\&quot;&quot;\&quot;&quot;\&quot;&quot;\&quot;&quot;\&quot;&quot;\&quot;&quot;\&quot;&quot;\&quot;&quot;\&quot;&quot;\&quot;&quot;\&quot;&quot;\&quot;&quot;\&quot;&quot;\&quot;&quot;\&quot;&quot;\&quot;&quot;\&quot;&quot;\&quot;&quot;\&quot;&quot;\&quot;&quot;\&quot;\(&quot;$&quot;#,##0.00&quot;\&quot;&quot;\&quot;&quot;\&quot;&quot;\&quot;&quot;\&quot;&quot;\&quot;&quot;\&quot;&quot;\&quot;&quot;\&quot;&quot;\&quot;&quot;\&quot;&quot;\&quot;&quot;\&quot;&quot;\&quot;&quot;\&quot;&quot;\&quot;&quot;\&quot;&quot;\&quot;&quot;\&quot;&quot;\&quot;&quot;\&quot;&quot;\&quot;&quot;\&quot;\)"/>
    <numFmt numFmtId="234" formatCode="_(* #,##0_);_(* \(#,##0\);_(* &quot;-&quot;_);_(@_)"/>
    <numFmt numFmtId="235" formatCode="#,##0&quot; F&quot;_);\(#,##0&quot; F&quot;\)"/>
    <numFmt numFmtId="236" formatCode="[$-F800]dddd\,\ mmmm\ dd\,\ yyyy"/>
    <numFmt numFmtId="237" formatCode="#,##0_ "/>
    <numFmt numFmtId="238" formatCode="#,##0_);[Red]\(#,##0\)"/>
    <numFmt numFmtId="239" formatCode="#,##0.00_);[Red]\(#,##0.00\)"/>
    <numFmt numFmtId="240" formatCode="yyyy&quot;年&quot;m&quot;月&quot;;@"/>
    <numFmt numFmtId="241" formatCode="0_ "/>
    <numFmt numFmtId="242" formatCode="yyyy/m/d;@"/>
    <numFmt numFmtId="243" formatCode="0_);[Red]\(0\)"/>
    <numFmt numFmtId="244" formatCode="_ * #,##0.0000_ ;_ * \-#,##0.0000_ ;_ * &quot;-&quot;??_ ;_ @_ "/>
  </numFmts>
  <fonts count="163">
    <font>
      <sz val="11"/>
      <color theme="1"/>
      <name val="宋体"/>
      <family val="2"/>
      <charset val="134"/>
      <scheme val="minor"/>
    </font>
    <font>
      <sz val="11"/>
      <color theme="1"/>
      <name val="宋体"/>
      <family val="2"/>
      <charset val="134"/>
      <scheme val="minor"/>
    </font>
    <font>
      <sz val="12"/>
      <name val="宋体"/>
      <family val="3"/>
      <charset val="134"/>
    </font>
    <font>
      <b/>
      <sz val="10"/>
      <name val="Arial Narrow"/>
      <family val="2"/>
    </font>
    <font>
      <b/>
      <sz val="10"/>
      <name val="宋体"/>
      <family val="3"/>
      <charset val="134"/>
    </font>
    <font>
      <sz val="9"/>
      <name val="宋体"/>
      <family val="2"/>
      <charset val="134"/>
      <scheme val="minor"/>
    </font>
    <font>
      <sz val="10"/>
      <name val="Arial Narrow"/>
      <family val="2"/>
    </font>
    <font>
      <b/>
      <sz val="12"/>
      <name val="宋体"/>
      <family val="3"/>
      <charset val="134"/>
    </font>
    <font>
      <sz val="9"/>
      <name val="宋体"/>
      <family val="3"/>
      <charset val="134"/>
    </font>
    <font>
      <b/>
      <sz val="12"/>
      <name val="Arial Narrow"/>
      <family val="2"/>
    </font>
    <font>
      <sz val="12"/>
      <name val="Arial Narrow"/>
      <family val="2"/>
    </font>
    <font>
      <sz val="10"/>
      <name val="宋体"/>
      <family val="3"/>
      <charset val="134"/>
    </font>
    <font>
      <sz val="12"/>
      <name val="Times New Roman"/>
      <family val="1"/>
    </font>
    <font>
      <b/>
      <sz val="10"/>
      <color rgb="FF000000"/>
      <name val="黑体"/>
      <family val="3"/>
      <charset val="134"/>
    </font>
    <font>
      <b/>
      <sz val="10"/>
      <name val="黑体"/>
      <family val="3"/>
      <charset val="134"/>
    </font>
    <font>
      <sz val="10"/>
      <color rgb="FF000000"/>
      <name val="黑体"/>
      <family val="3"/>
      <charset val="134"/>
    </font>
    <font>
      <sz val="10"/>
      <color rgb="FFFF0000"/>
      <name val="黑体"/>
      <family val="3"/>
      <charset val="134"/>
    </font>
    <font>
      <sz val="12"/>
      <color rgb="FFFF0000"/>
      <name val="宋体"/>
      <family val="3"/>
      <charset val="134"/>
    </font>
    <font>
      <sz val="10"/>
      <name val="黑体"/>
      <family val="3"/>
      <charset val="134"/>
    </font>
    <font>
      <u/>
      <sz val="10"/>
      <color rgb="FFFF0000"/>
      <name val="黑体"/>
      <family val="3"/>
      <charset val="134"/>
    </font>
    <font>
      <sz val="10"/>
      <color rgb="FFFF0000"/>
      <name val="Arial Narrow"/>
      <family val="2"/>
    </font>
    <font>
      <sz val="10"/>
      <color rgb="FFFF0000"/>
      <name val="宋体"/>
      <family val="3"/>
      <charset val="134"/>
    </font>
    <font>
      <i/>
      <sz val="10"/>
      <name val="Arial Narrow"/>
      <family val="2"/>
    </font>
    <font>
      <i/>
      <sz val="10"/>
      <name val="宋体"/>
      <family val="3"/>
      <charset val="134"/>
    </font>
    <font>
      <sz val="10"/>
      <color indexed="12"/>
      <name val="Arial Narrow"/>
      <family val="2"/>
    </font>
    <font>
      <sz val="10"/>
      <name val="Arial"/>
      <family val="2"/>
    </font>
    <font>
      <sz val="11"/>
      <name val="ＭＳ Ｐゴシック"/>
      <family val="2"/>
    </font>
    <font>
      <sz val="12"/>
      <name val="???"/>
      <family val="1"/>
    </font>
    <font>
      <sz val="10"/>
      <name val="Times New Roman"/>
      <family val="1"/>
    </font>
    <font>
      <sz val="10"/>
      <color indexed="8"/>
      <name val="Arial"/>
      <family val="2"/>
    </font>
    <font>
      <sz val="10"/>
      <name val="Helv"/>
      <family val="2"/>
    </font>
    <font>
      <u val="singleAccounting"/>
      <vertAlign val="subscript"/>
      <sz val="10"/>
      <name val="Times New Roman"/>
      <family val="1"/>
    </font>
    <font>
      <i/>
      <sz val="9"/>
      <name val="Times New Roman"/>
      <family val="1"/>
    </font>
    <font>
      <sz val="13"/>
      <name val="Tms Rmn"/>
      <family val="1"/>
    </font>
    <font>
      <sz val="11"/>
      <color indexed="8"/>
      <name val="Calibri"/>
      <family val="2"/>
    </font>
    <font>
      <sz val="11"/>
      <color indexed="9"/>
      <name val="Calibri"/>
      <family val="2"/>
    </font>
    <font>
      <sz val="10"/>
      <name val="Book Antiqua"/>
      <family val="1"/>
    </font>
    <font>
      <b/>
      <sz val="10"/>
      <name val="Book Antiqua"/>
      <family val="1"/>
    </font>
    <font>
      <sz val="12"/>
      <color indexed="8"/>
      <name val="宋体"/>
      <family val="3"/>
      <charset val="134"/>
    </font>
    <font>
      <sz val="12"/>
      <color indexed="9"/>
      <name val="宋体"/>
      <family val="3"/>
      <charset val="134"/>
    </font>
    <font>
      <sz val="8"/>
      <name val="Times New Roman"/>
      <family val="1"/>
    </font>
    <font>
      <sz val="11"/>
      <color indexed="20"/>
      <name val="Calibri"/>
      <family val="2"/>
    </font>
    <font>
      <sz val="7"/>
      <name val="Helv"/>
      <family val="2"/>
    </font>
    <font>
      <b/>
      <sz val="10"/>
      <name val="MS Sans Serif"/>
      <family val="2"/>
    </font>
    <font>
      <b/>
      <sz val="11"/>
      <color indexed="52"/>
      <name val="Calibri"/>
      <family val="2"/>
    </font>
    <font>
      <b/>
      <sz val="10"/>
      <name val="Helv"/>
      <family val="2"/>
    </font>
    <font>
      <b/>
      <sz val="11"/>
      <color indexed="9"/>
      <name val="Calibri"/>
      <family val="2"/>
    </font>
    <font>
      <b/>
      <sz val="13"/>
      <name val="Tms Rmn"/>
      <family val="1"/>
    </font>
    <font>
      <b/>
      <sz val="8"/>
      <name val="Arial"/>
      <family val="2"/>
    </font>
    <font>
      <sz val="10"/>
      <name val="MS Sans Serif"/>
      <family val="2"/>
    </font>
    <font>
      <sz val="10"/>
      <name val="MS Serif"/>
      <family val="1"/>
    </font>
    <font>
      <sz val="10"/>
      <name val="Courier"/>
      <family val="3"/>
    </font>
    <font>
      <sz val="12"/>
      <name val="Arial"/>
      <family val="2"/>
    </font>
    <font>
      <sz val="12"/>
      <name val="Tms Rmn"/>
      <family val="1"/>
    </font>
    <font>
      <sz val="10"/>
      <color indexed="16"/>
      <name val="MS Serif"/>
      <family val="1"/>
    </font>
    <font>
      <sz val="9"/>
      <name val="Times New Roman"/>
      <family val="1"/>
    </font>
    <font>
      <sz val="8"/>
      <name val="Arial"/>
      <family val="2"/>
    </font>
    <font>
      <i/>
      <sz val="11"/>
      <color indexed="23"/>
      <name val="Calibri"/>
      <family val="2"/>
    </font>
    <font>
      <u/>
      <sz val="7.5"/>
      <color indexed="36"/>
      <name val="Arial"/>
      <family val="2"/>
    </font>
    <font>
      <sz val="11"/>
      <color indexed="17"/>
      <name val="Calibri"/>
      <family val="2"/>
    </font>
    <font>
      <b/>
      <sz val="12"/>
      <name val="Helv"/>
      <family val="2"/>
    </font>
    <font>
      <b/>
      <sz val="12"/>
      <name val="Arial"/>
      <family val="2"/>
    </font>
    <font>
      <b/>
      <sz val="10"/>
      <name val="Arial"/>
      <family val="2"/>
    </font>
    <font>
      <b/>
      <sz val="15"/>
      <color indexed="56"/>
      <name val="Calibri"/>
      <family val="2"/>
    </font>
    <font>
      <b/>
      <sz val="13"/>
      <color indexed="56"/>
      <name val="Calibri"/>
      <family val="2"/>
    </font>
    <font>
      <b/>
      <sz val="11"/>
      <color indexed="56"/>
      <name val="Calibri"/>
      <family val="2"/>
    </font>
    <font>
      <u/>
      <sz val="7.5"/>
      <color indexed="12"/>
      <name val="Arial"/>
      <family val="2"/>
    </font>
    <font>
      <sz val="11"/>
      <color indexed="62"/>
      <name val="Calibri"/>
      <family val="2"/>
    </font>
    <font>
      <sz val="12"/>
      <name val="Helv"/>
      <family val="2"/>
    </font>
    <font>
      <sz val="11"/>
      <color indexed="52"/>
      <name val="Calibri"/>
      <family val="2"/>
    </font>
    <font>
      <sz val="12"/>
      <color indexed="9"/>
      <name val="Helv"/>
      <family val="2"/>
    </font>
    <font>
      <b/>
      <sz val="11"/>
      <name val="Helv"/>
      <family val="2"/>
    </font>
    <font>
      <sz val="11"/>
      <color indexed="60"/>
      <name val="Calibri"/>
      <family val="2"/>
    </font>
    <font>
      <sz val="7"/>
      <name val="Small Fonts"/>
      <family val="2"/>
    </font>
    <font>
      <sz val="10"/>
      <color indexed="8"/>
      <name val="MS Sans Serif"/>
      <family val="2"/>
    </font>
    <font>
      <b/>
      <sz val="11"/>
      <color indexed="63"/>
      <name val="Calibri"/>
      <family val="2"/>
    </font>
    <font>
      <sz val="10"/>
      <name val="Tms Rmn"/>
      <family val="1"/>
    </font>
    <font>
      <sz val="7"/>
      <color indexed="10"/>
      <name val="Helv"/>
      <family val="2"/>
    </font>
    <font>
      <sz val="8"/>
      <color indexed="16"/>
      <name val="Century Schoolbook"/>
      <family val="1"/>
    </font>
    <font>
      <sz val="9"/>
      <color indexed="8"/>
      <name val="宋体"/>
      <family val="3"/>
      <charset val="134"/>
    </font>
    <font>
      <b/>
      <sz val="10"/>
      <color indexed="8"/>
      <name val="Arial"/>
      <family val="2"/>
    </font>
    <font>
      <b/>
      <sz val="10"/>
      <color indexed="39"/>
      <name val="Arial"/>
      <family val="2"/>
    </font>
    <font>
      <b/>
      <sz val="12"/>
      <color indexed="8"/>
      <name val="Arial"/>
      <family val="2"/>
    </font>
    <font>
      <sz val="10"/>
      <color indexed="39"/>
      <name val="Arial"/>
      <family val="2"/>
    </font>
    <font>
      <sz val="19"/>
      <color indexed="48"/>
      <name val="Arial"/>
      <family val="2"/>
    </font>
    <font>
      <sz val="10"/>
      <color indexed="10"/>
      <name val="Arial"/>
      <family val="2"/>
    </font>
    <font>
      <b/>
      <i/>
      <sz val="10"/>
      <name val="Times New Roman"/>
      <family val="1"/>
    </font>
    <font>
      <b/>
      <sz val="12"/>
      <name val="MS Sans Serif"/>
      <family val="2"/>
    </font>
    <font>
      <sz val="12"/>
      <name val="MS Sans Serif"/>
      <family val="2"/>
    </font>
    <font>
      <b/>
      <sz val="8"/>
      <color indexed="8"/>
      <name val="Helv"/>
      <family val="2"/>
    </font>
    <font>
      <b/>
      <sz val="10"/>
      <color indexed="10"/>
      <name val="Arial"/>
      <family val="2"/>
    </font>
    <font>
      <b/>
      <sz val="9"/>
      <name val="Times New Roman"/>
      <family val="1"/>
    </font>
    <font>
      <b/>
      <sz val="11"/>
      <color indexed="8"/>
      <name val="Calibri"/>
      <family val="2"/>
    </font>
    <font>
      <sz val="11"/>
      <color indexed="10"/>
      <name val="Calibri"/>
      <family val="2"/>
    </font>
    <font>
      <sz val="10"/>
      <name val="Geneva"/>
      <family val="2"/>
    </font>
    <font>
      <sz val="11"/>
      <name val="明朝"/>
      <family val="2"/>
    </font>
    <font>
      <sz val="14"/>
      <name val="柧挬"/>
      <family val="2"/>
    </font>
    <font>
      <sz val="8"/>
      <name val="Century Schoolbook"/>
      <family val="1"/>
    </font>
    <font>
      <b/>
      <sz val="18"/>
      <color indexed="62"/>
      <name val="宋体"/>
      <family val="3"/>
      <charset val="134"/>
    </font>
    <font>
      <sz val="11"/>
      <color indexed="26"/>
      <name val="宋体"/>
      <family val="3"/>
      <charset val="134"/>
    </font>
    <font>
      <sz val="11"/>
      <color indexed="20"/>
      <name val="宋体"/>
      <family val="3"/>
      <charset val="134"/>
    </font>
    <font>
      <sz val="12"/>
      <color indexed="16"/>
      <name val="宋体"/>
      <family val="3"/>
      <charset val="134"/>
    </font>
    <font>
      <sz val="11"/>
      <color indexed="9"/>
      <name val="宋体"/>
      <family val="3"/>
      <charset val="134"/>
    </font>
    <font>
      <sz val="11"/>
      <color rgb="FF9C0006"/>
      <name val="宋体"/>
      <family val="3"/>
      <charset val="134"/>
      <scheme val="minor"/>
    </font>
    <font>
      <sz val="12"/>
      <color indexed="20"/>
      <name val="宋体"/>
      <family val="3"/>
      <charset val="134"/>
    </font>
    <font>
      <sz val="10"/>
      <color indexed="20"/>
      <name val="Times New Roman"/>
      <family val="1"/>
    </font>
    <font>
      <sz val="11"/>
      <color theme="1"/>
      <name val="宋体"/>
      <family val="3"/>
      <charset val="134"/>
      <scheme val="minor"/>
    </font>
    <font>
      <sz val="11"/>
      <color theme="1"/>
      <name val="宋体"/>
      <family val="2"/>
      <scheme val="minor"/>
    </font>
    <font>
      <sz val="11"/>
      <color indexed="8"/>
      <name val="宋体"/>
      <family val="3"/>
      <charset val="134"/>
    </font>
    <font>
      <u/>
      <sz val="9"/>
      <color indexed="12"/>
      <name val="Times New Roman"/>
      <family val="1"/>
    </font>
    <font>
      <u/>
      <sz val="12"/>
      <color indexed="12"/>
      <name val="宋体"/>
      <family val="3"/>
      <charset val="134"/>
    </font>
    <font>
      <u/>
      <sz val="11"/>
      <color theme="10"/>
      <name val="宋体"/>
      <family val="3"/>
      <charset val="134"/>
    </font>
    <font>
      <sz val="11"/>
      <color indexed="38"/>
      <name val="宋体"/>
      <family val="3"/>
      <charset val="134"/>
    </font>
    <font>
      <sz val="11"/>
      <color indexed="17"/>
      <name val="宋体"/>
      <family val="3"/>
      <charset val="134"/>
    </font>
    <font>
      <sz val="12"/>
      <color indexed="17"/>
      <name val="宋体"/>
      <family val="3"/>
      <charset val="134"/>
    </font>
    <font>
      <sz val="11"/>
      <color rgb="FF006100"/>
      <name val="宋体"/>
      <family val="3"/>
      <charset val="134"/>
      <scheme val="minor"/>
    </font>
    <font>
      <sz val="10"/>
      <color indexed="17"/>
      <name val="Times New Roman"/>
      <family val="1"/>
    </font>
    <font>
      <sz val="11"/>
      <color indexed="21"/>
      <name val="宋体"/>
      <family val="3"/>
      <charset val="134"/>
    </font>
    <font>
      <sz val="12"/>
      <name val="新細明體"/>
      <family val="1"/>
    </font>
    <font>
      <sz val="12"/>
      <name val="官帕眉"/>
      <family val="2"/>
    </font>
    <font>
      <sz val="10"/>
      <name val="奔覆眉"/>
      <family val="2"/>
    </font>
    <font>
      <b/>
      <sz val="12"/>
      <color indexed="8"/>
      <name val="宋体"/>
      <family val="3"/>
      <charset val="134"/>
    </font>
    <font>
      <sz val="12"/>
      <name val="柧挬"/>
      <family val="2"/>
    </font>
    <font>
      <sz val="12"/>
      <name val="바탕체"/>
      <family val="3"/>
    </font>
    <font>
      <b/>
      <sz val="7"/>
      <name val="Arial"/>
      <family val="2"/>
    </font>
    <font>
      <b/>
      <sz val="12"/>
      <name val="Times New Roman"/>
      <family val="1"/>
    </font>
    <font>
      <b/>
      <sz val="14"/>
      <name val="黑体"/>
      <family val="3"/>
      <charset val="134"/>
    </font>
    <font>
      <sz val="10.5"/>
      <name val="Times New Roman"/>
      <family val="1"/>
    </font>
    <font>
      <sz val="10.5"/>
      <name val="宋体"/>
      <family val="3"/>
      <charset val="134"/>
    </font>
    <font>
      <sz val="10.5"/>
      <name val="Arial"/>
      <family val="2"/>
    </font>
    <font>
      <u/>
      <sz val="11"/>
      <color theme="10"/>
      <name val="宋体"/>
      <family val="2"/>
      <charset val="134"/>
      <scheme val="minor"/>
    </font>
    <font>
      <sz val="11"/>
      <name val="宋体"/>
      <family val="3"/>
      <charset val="134"/>
    </font>
    <font>
      <sz val="10"/>
      <color rgb="FF0000FF"/>
      <name val="宋体"/>
      <family val="3"/>
      <charset val="134"/>
    </font>
    <font>
      <sz val="10"/>
      <color rgb="FF0000FF"/>
      <name val="Arial Narrow"/>
      <family val="2"/>
    </font>
    <font>
      <sz val="10"/>
      <color theme="1"/>
      <name val="宋体"/>
      <family val="3"/>
      <charset val="134"/>
    </font>
    <font>
      <b/>
      <sz val="10"/>
      <color theme="1"/>
      <name val="宋体"/>
      <family val="3"/>
      <charset val="134"/>
    </font>
    <font>
      <sz val="11"/>
      <name val="宋体"/>
      <family val="3"/>
      <charset val="134"/>
      <scheme val="minor"/>
    </font>
    <font>
      <sz val="11"/>
      <name val="Arial"/>
      <family val="2"/>
    </font>
    <font>
      <sz val="11"/>
      <color rgb="FF0000FF"/>
      <name val="宋体"/>
      <family val="3"/>
      <charset val="134"/>
      <scheme val="minor"/>
    </font>
    <font>
      <sz val="10"/>
      <color theme="1"/>
      <name val="黑体"/>
      <family val="3"/>
      <charset val="134"/>
    </font>
    <font>
      <sz val="11"/>
      <color rgb="FFFF0000"/>
      <name val="黑体"/>
      <family val="3"/>
      <charset val="134"/>
    </font>
    <font>
      <sz val="12"/>
      <color rgb="FF0000FF"/>
      <name val="Arial"/>
      <family val="2"/>
    </font>
    <font>
      <u/>
      <sz val="11"/>
      <color theme="10"/>
      <name val="宋体"/>
      <family val="3"/>
      <charset val="134"/>
      <scheme val="minor"/>
    </font>
    <font>
      <u/>
      <sz val="11"/>
      <color indexed="12"/>
      <name val="宋体"/>
      <family val="3"/>
      <charset val="134"/>
    </font>
    <font>
      <sz val="11"/>
      <color rgb="FF0000FF"/>
      <name val="宋体"/>
      <family val="2"/>
      <charset val="134"/>
      <scheme val="minor"/>
    </font>
    <font>
      <b/>
      <sz val="11"/>
      <color theme="1"/>
      <name val="黑体"/>
      <family val="3"/>
      <charset val="134"/>
    </font>
    <font>
      <b/>
      <sz val="11"/>
      <color theme="1"/>
      <name val="宋体"/>
      <family val="2"/>
      <charset val="134"/>
      <scheme val="minor"/>
    </font>
    <font>
      <b/>
      <sz val="9"/>
      <name val="宋体"/>
      <family val="3"/>
      <charset val="134"/>
    </font>
    <font>
      <b/>
      <sz val="10"/>
      <color indexed="8"/>
      <name val="宋体"/>
      <family val="3"/>
      <charset val="134"/>
    </font>
    <font>
      <b/>
      <sz val="10"/>
      <name val="微软雅黑"/>
      <family val="2"/>
      <charset val="134"/>
    </font>
    <font>
      <b/>
      <sz val="10"/>
      <color rgb="FFFF0000"/>
      <name val="Arial Narrow"/>
      <family val="2"/>
    </font>
    <font>
      <sz val="10"/>
      <color theme="1"/>
      <name val="Arial Narrow"/>
      <family val="2"/>
    </font>
    <font>
      <b/>
      <sz val="10"/>
      <color rgb="FF333333"/>
      <name val="Arial Narrow"/>
      <family val="2"/>
    </font>
    <font>
      <sz val="9"/>
      <name val="宋体"/>
      <family val="3"/>
      <charset val="134"/>
      <scheme val="minor"/>
    </font>
    <font>
      <b/>
      <sz val="10"/>
      <color rgb="FFFF0000"/>
      <name val="微软雅黑"/>
      <family val="2"/>
      <charset val="134"/>
    </font>
    <font>
      <b/>
      <sz val="10"/>
      <color theme="1"/>
      <name val="Arial Narrow"/>
      <family val="2"/>
    </font>
    <font>
      <b/>
      <sz val="10"/>
      <color theme="1"/>
      <name val="华文细黑"/>
      <family val="3"/>
      <charset val="134"/>
    </font>
    <font>
      <sz val="10"/>
      <name val="微软雅黑"/>
      <family val="2"/>
      <charset val="134"/>
    </font>
    <font>
      <sz val="10"/>
      <color rgb="FFFF0000"/>
      <name val="微软雅黑"/>
      <family val="2"/>
      <charset val="134"/>
    </font>
    <font>
      <sz val="11"/>
      <color theme="1"/>
      <name val="Arial Narrow"/>
      <family val="2"/>
    </font>
    <font>
      <b/>
      <sz val="10"/>
      <color theme="1"/>
      <name val="黑体"/>
      <family val="3"/>
      <charset val="134"/>
    </font>
    <font>
      <b/>
      <sz val="9"/>
      <color indexed="81"/>
      <name val="宋体"/>
      <family val="3"/>
      <charset val="134"/>
    </font>
    <font>
      <b/>
      <sz val="10"/>
      <color rgb="FFFF0000"/>
      <name val="华文细黑"/>
      <family val="3"/>
      <charset val="134"/>
    </font>
  </fonts>
  <fills count="68">
    <fill>
      <patternFill patternType="none"/>
    </fill>
    <fill>
      <patternFill patternType="gray125"/>
    </fill>
    <fill>
      <patternFill patternType="solid">
        <fgColor rgb="FFC6EFCE"/>
      </patternFill>
    </fill>
    <fill>
      <patternFill patternType="solid">
        <fgColor rgb="FFFFC7CE"/>
      </patternFill>
    </fill>
    <fill>
      <patternFill patternType="solid">
        <fgColor rgb="FFDCD5E5"/>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5"/>
        <bgColor indexed="64"/>
      </patternFill>
    </fill>
    <fill>
      <patternFill patternType="gray0625">
        <fgColor indexed="10"/>
      </patternFill>
    </fill>
    <fill>
      <patternFill patternType="solid">
        <fgColor indexed="62"/>
      </patternFill>
    </fill>
    <fill>
      <patternFill patternType="solid">
        <fgColor indexed="31"/>
        <bgColor indexed="31"/>
      </patternFill>
    </fill>
    <fill>
      <patternFill patternType="solid">
        <fgColor indexed="44"/>
        <bgColor indexed="44"/>
      </patternFill>
    </fill>
    <fill>
      <patternFill patternType="solid">
        <fgColor indexed="10"/>
      </patternFill>
    </fill>
    <fill>
      <patternFill patternType="solid">
        <fgColor indexed="26"/>
        <bgColor indexed="26"/>
      </patternFill>
    </fill>
    <fill>
      <patternFill patternType="solid">
        <fgColor indexed="22"/>
        <bgColor indexed="22"/>
      </patternFill>
    </fill>
    <fill>
      <patternFill patternType="solid">
        <fgColor indexed="55"/>
        <bgColor indexed="55"/>
      </patternFill>
    </fill>
    <fill>
      <patternFill patternType="solid">
        <fgColor indexed="57"/>
      </patternFill>
    </fill>
    <fill>
      <patternFill patternType="solid">
        <fgColor indexed="42"/>
        <bgColor indexed="42"/>
      </patternFill>
    </fill>
    <fill>
      <patternFill patternType="solid">
        <fgColor indexed="27"/>
        <bgColor indexed="27"/>
      </patternFill>
    </fill>
    <fill>
      <patternFill patternType="solid">
        <fgColor indexed="53"/>
      </patternFill>
    </fill>
    <fill>
      <patternFill patternType="solid">
        <fgColor indexed="47"/>
        <bgColor indexed="47"/>
      </patternFill>
    </fill>
    <fill>
      <patternFill patternType="solid">
        <fgColor indexed="22"/>
      </patternFill>
    </fill>
    <fill>
      <patternFill patternType="solid">
        <fgColor indexed="55"/>
      </patternFill>
    </fill>
    <fill>
      <patternFill patternType="solid">
        <fgColor indexed="13"/>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patternFill>
    </fill>
    <fill>
      <patternFill patternType="solid">
        <fgColor indexed="26"/>
      </patternFill>
    </fill>
    <fill>
      <patternFill patternType="solid">
        <fgColor indexed="9"/>
      </patternFill>
    </fill>
    <fill>
      <patternFill patternType="solid">
        <fgColor indexed="43"/>
        <bgColor indexed="64"/>
      </patternFill>
    </fill>
    <fill>
      <patternFill patternType="solid">
        <fgColor indexed="40"/>
        <bgColor indexed="64"/>
      </patternFill>
    </fill>
    <fill>
      <patternFill patternType="solid">
        <fgColor indexed="50"/>
      </patternFill>
    </fill>
    <fill>
      <patternFill patternType="lightUp">
        <fgColor indexed="48"/>
        <bgColor indexed="41"/>
      </patternFill>
    </fill>
    <fill>
      <patternFill patternType="solid">
        <fgColor indexed="41"/>
      </patternFill>
    </fill>
    <fill>
      <patternFill patternType="solid">
        <fgColor indexed="54"/>
        <bgColor indexed="64"/>
      </patternFill>
    </fill>
    <fill>
      <patternFill patternType="solid">
        <fgColor indexed="40"/>
      </patternFill>
    </fill>
    <fill>
      <patternFill patternType="solid">
        <fgColor indexed="44"/>
        <bgColor indexed="64"/>
      </patternFill>
    </fill>
    <fill>
      <patternFill patternType="solid">
        <fgColor indexed="41"/>
        <bgColor indexed="64"/>
      </patternFill>
    </fill>
    <fill>
      <patternFill patternType="solid">
        <fgColor indexed="9"/>
        <bgColor indexed="9"/>
      </patternFill>
    </fill>
    <fill>
      <patternFill patternType="solid">
        <fgColor indexed="45"/>
        <bgColor indexed="45"/>
      </patternFill>
    </fill>
    <fill>
      <patternFill patternType="solid">
        <fgColor indexed="13"/>
      </patternFill>
    </fill>
    <fill>
      <patternFill patternType="solid">
        <fgColor indexed="56"/>
      </patternFill>
    </fill>
    <fill>
      <patternFill patternType="solid">
        <fgColor indexed="18"/>
      </patternFill>
    </fill>
    <fill>
      <patternFill patternType="solid">
        <fgColor indexed="58"/>
      </patternFill>
    </fill>
    <fill>
      <patternFill patternType="lightUp">
        <fgColor indexed="9"/>
        <bgColor indexed="55"/>
      </patternFill>
    </fill>
    <fill>
      <patternFill patternType="lightUp">
        <fgColor indexed="9"/>
        <bgColor indexed="29"/>
      </patternFill>
    </fill>
    <fill>
      <patternFill patternType="lightUp">
        <fgColor indexed="9"/>
        <bgColor indexed="22"/>
      </patternFill>
    </fill>
    <fill>
      <patternFill patternType="solid">
        <fgColor indexed="14"/>
        <bgColor indexed="64"/>
      </patternFill>
    </fill>
    <fill>
      <patternFill patternType="solid">
        <fgColor rgb="FFFFFF99"/>
        <bgColor indexed="64"/>
      </patternFill>
    </fill>
    <fill>
      <patternFill patternType="solid">
        <fgColor theme="0"/>
        <bgColor indexed="64"/>
      </patternFill>
    </fill>
    <fill>
      <patternFill patternType="solid">
        <fgColor rgb="FFE4DFEC"/>
        <bgColor indexed="64"/>
      </patternFill>
    </fill>
    <fill>
      <patternFill patternType="solid">
        <fgColor rgb="FFCCEDF0"/>
        <bgColor indexed="64"/>
      </patternFill>
    </fill>
    <fill>
      <patternFill patternType="solid">
        <fgColor rgb="FFFFFFCC"/>
        <bgColor indexed="64"/>
      </patternFill>
    </fill>
  </fills>
  <borders count="62">
    <border>
      <left/>
      <right/>
      <top/>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
      <left/>
      <right/>
      <top style="hair">
        <color auto="1"/>
      </top>
      <bottom style="hair">
        <color auto="1"/>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diagonal/>
    </border>
    <border>
      <left/>
      <right/>
      <top style="hair">
        <color auto="1"/>
      </top>
      <bottom/>
      <diagonal/>
    </border>
    <border>
      <left/>
      <right style="hair">
        <color indexed="64"/>
      </right>
      <top style="hair">
        <color indexed="64"/>
      </top>
      <bottom/>
      <diagonal/>
    </border>
    <border>
      <left style="hair">
        <color indexed="64"/>
      </left>
      <right style="hair">
        <color indexed="64"/>
      </right>
      <top style="hair">
        <color indexed="64"/>
      </top>
      <bottom/>
      <diagonal/>
    </border>
    <border>
      <left style="hair">
        <color indexed="64"/>
      </left>
      <right/>
      <top/>
      <bottom style="hair">
        <color indexed="64"/>
      </bottom>
      <diagonal/>
    </border>
    <border>
      <left/>
      <right/>
      <top/>
      <bottom style="hair">
        <color indexed="64"/>
      </bottom>
      <diagonal/>
    </border>
    <border>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top/>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n">
        <color indexed="64"/>
      </bottom>
      <diagonal/>
    </border>
    <border>
      <left style="thin">
        <color indexed="64"/>
      </left>
      <right style="thin">
        <color indexed="64"/>
      </right>
      <top style="thin">
        <color indexed="64"/>
      </top>
      <bottom/>
      <diagonal/>
    </border>
    <border>
      <left/>
      <right/>
      <top style="medium">
        <color indexed="64"/>
      </top>
      <bottom style="medium">
        <color indexed="64"/>
      </bottom>
      <diagonal/>
    </border>
    <border>
      <left/>
      <right/>
      <top style="thin">
        <color indexed="64"/>
      </top>
      <bottom style="thin">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right/>
      <top style="thin">
        <color indexed="62"/>
      </top>
      <bottom style="double">
        <color indexed="62"/>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bottom/>
      <diagonal/>
    </border>
    <border>
      <left style="thin">
        <color indexed="64"/>
      </left>
      <right/>
      <top/>
      <bottom/>
      <diagonal/>
    </border>
    <border>
      <left/>
      <right style="thin">
        <color indexed="64"/>
      </right>
      <top style="thin">
        <color indexed="64"/>
      </top>
      <bottom/>
      <diagonal/>
    </border>
    <border>
      <left style="thin">
        <color indexed="64"/>
      </left>
      <right/>
      <top style="thin">
        <color indexed="64"/>
      </top>
      <bottom/>
      <diagonal/>
    </border>
    <border>
      <left/>
      <right style="hair">
        <color indexed="64"/>
      </right>
      <top/>
      <bottom/>
      <diagonal/>
    </border>
    <border>
      <left style="hair">
        <color indexed="64"/>
      </left>
      <right style="hair">
        <color indexed="64"/>
      </right>
      <top/>
      <bottom/>
      <diagonal/>
    </border>
    <border>
      <left/>
      <right/>
      <top style="hair">
        <color indexed="64"/>
      </top>
      <bottom/>
      <diagonal/>
    </border>
    <border>
      <left style="thin">
        <color auto="1"/>
      </left>
      <right style="thin">
        <color auto="1"/>
      </right>
      <top style="thin">
        <color auto="1"/>
      </top>
      <bottom style="thin">
        <color auto="1"/>
      </bottom>
      <diagonal/>
    </border>
    <border>
      <left/>
      <right/>
      <top style="thin">
        <color indexed="64"/>
      </top>
      <bottom/>
      <diagonal/>
    </border>
    <border>
      <left style="thin">
        <color auto="1"/>
      </left>
      <right style="thin">
        <color auto="1"/>
      </right>
      <top/>
      <bottom style="thin">
        <color auto="1"/>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medium">
        <color indexed="64"/>
      </top>
      <bottom style="thin">
        <color auto="1"/>
      </bottom>
      <diagonal/>
    </border>
    <border>
      <left style="thin">
        <color auto="1"/>
      </left>
      <right/>
      <top style="medium">
        <color indexed="64"/>
      </top>
      <bottom style="thin">
        <color auto="1"/>
      </bottom>
      <diagonal/>
    </border>
    <border>
      <left style="thin">
        <color auto="1"/>
      </left>
      <right style="thin">
        <color indexed="64"/>
      </right>
      <top style="thin">
        <color auto="1"/>
      </top>
      <bottom style="medium">
        <color auto="1"/>
      </bottom>
      <diagonal/>
    </border>
    <border>
      <left style="thin">
        <color auto="1"/>
      </left>
      <right style="medium">
        <color auto="1"/>
      </right>
      <top style="medium">
        <color indexed="64"/>
      </top>
      <bottom style="medium">
        <color auto="1"/>
      </bottom>
      <diagonal/>
    </border>
    <border>
      <left style="thin">
        <color auto="1"/>
      </left>
      <right style="medium">
        <color auto="1"/>
      </right>
      <top style="medium">
        <color indexed="64"/>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style="medium">
        <color auto="1"/>
      </bottom>
      <diagonal/>
    </border>
    <border>
      <left style="medium">
        <color indexed="64"/>
      </left>
      <right/>
      <top/>
      <bottom style="thin">
        <color indexed="64"/>
      </bottom>
      <diagonal/>
    </border>
    <border>
      <left/>
      <right style="medium">
        <color indexed="64"/>
      </right>
      <top/>
      <bottom/>
      <diagonal/>
    </border>
    <border>
      <left style="medium">
        <color indexed="64"/>
      </left>
      <right style="thin">
        <color auto="1"/>
      </right>
      <top style="thin">
        <color auto="1"/>
      </top>
      <bottom style="thin">
        <color auto="1"/>
      </bottom>
      <diagonal/>
    </border>
    <border>
      <left style="medium">
        <color indexed="64"/>
      </left>
      <right style="thin">
        <color auto="1"/>
      </right>
      <top style="thin">
        <color auto="1"/>
      </top>
      <bottom style="medium">
        <color auto="1"/>
      </bottom>
      <diagonal/>
    </border>
    <border>
      <left/>
      <right/>
      <top/>
      <bottom style="medium">
        <color auto="1"/>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s>
  <cellStyleXfs count="785">
    <xf numFmtId="0" fontId="0" fillId="0" borderId="0">
      <alignment vertical="center"/>
    </xf>
    <xf numFmtId="43" fontId="2" fillId="0" borderId="0" applyFont="0" applyFill="0" applyBorder="0" applyAlignment="0" applyProtection="0"/>
    <xf numFmtId="0" fontId="2" fillId="0" borderId="0" applyFill="0" applyBorder="0"/>
    <xf numFmtId="0" fontId="2" fillId="0" borderId="0"/>
    <xf numFmtId="0" fontId="2" fillId="0" borderId="0">
      <protection locked="0"/>
    </xf>
    <xf numFmtId="0" fontId="12" fillId="0" borderId="0"/>
    <xf numFmtId="0" fontId="2" fillId="0" borderId="0">
      <protection locked="0"/>
    </xf>
    <xf numFmtId="0" fontId="25" fillId="0" borderId="0"/>
    <xf numFmtId="0" fontId="25" fillId="0" borderId="0"/>
    <xf numFmtId="0" fontId="2" fillId="0" borderId="0" applyNumberFormat="0" applyFill="0" applyBorder="0" applyAlignment="0" applyProtection="0"/>
    <xf numFmtId="0" fontId="25" fillId="0" borderId="0"/>
    <xf numFmtId="0" fontId="25" fillId="0" borderId="0"/>
    <xf numFmtId="176" fontId="25" fillId="0" borderId="0"/>
    <xf numFmtId="0" fontId="26" fillId="0" borderId="0" applyFont="0" applyFill="0" applyBorder="0" applyAlignment="0" applyProtection="0"/>
    <xf numFmtId="0" fontId="26" fillId="0" borderId="0" applyFont="0" applyFill="0" applyBorder="0" applyAlignment="0" applyProtection="0"/>
    <xf numFmtId="0" fontId="27" fillId="0" borderId="0"/>
    <xf numFmtId="0" fontId="25" fillId="0" borderId="0"/>
    <xf numFmtId="0" fontId="25" fillId="0" borderId="0"/>
    <xf numFmtId="176" fontId="25" fillId="0" borderId="0"/>
    <xf numFmtId="0" fontId="25" fillId="0" borderId="0"/>
    <xf numFmtId="0" fontId="25" fillId="0" borderId="0"/>
    <xf numFmtId="176" fontId="25" fillId="0" borderId="0"/>
    <xf numFmtId="0" fontId="25" fillId="0" borderId="0"/>
    <xf numFmtId="0" fontId="25" fillId="0" borderId="0"/>
    <xf numFmtId="176" fontId="25" fillId="0" borderId="0"/>
    <xf numFmtId="49" fontId="28" fillId="0" borderId="0" applyProtection="0">
      <alignment horizontal="left"/>
    </xf>
    <xf numFmtId="49" fontId="28" fillId="0" borderId="0" applyProtection="0">
      <alignment horizontal="left"/>
    </xf>
    <xf numFmtId="0" fontId="29" fillId="0" borderId="0">
      <alignment vertical="top"/>
      <protection locked="0"/>
    </xf>
    <xf numFmtId="0" fontId="29" fillId="0" borderId="0">
      <alignment vertical="top"/>
    </xf>
    <xf numFmtId="0" fontId="25" fillId="0" borderId="0" applyNumberFormat="0" applyFill="0" applyBorder="0" applyAlignment="0">
      <protection locked="0"/>
    </xf>
    <xf numFmtId="0" fontId="29" fillId="0" borderId="0">
      <alignment vertical="top"/>
      <protection locked="0"/>
    </xf>
    <xf numFmtId="0" fontId="29" fillId="0" borderId="0">
      <alignment vertical="top"/>
    </xf>
    <xf numFmtId="0" fontId="29" fillId="0" borderId="0">
      <alignment vertical="top"/>
    </xf>
    <xf numFmtId="0" fontId="29" fillId="0" borderId="0">
      <alignment vertical="top"/>
    </xf>
    <xf numFmtId="0" fontId="29" fillId="0" borderId="0">
      <alignment vertical="top"/>
    </xf>
    <xf numFmtId="0" fontId="29" fillId="0" borderId="0">
      <alignment vertical="top"/>
      <protection locked="0"/>
    </xf>
    <xf numFmtId="0" fontId="29" fillId="0" borderId="0">
      <alignment vertical="top"/>
      <protection locked="0"/>
    </xf>
    <xf numFmtId="176" fontId="29" fillId="0" borderId="0">
      <alignment vertical="top"/>
      <protection locked="0"/>
    </xf>
    <xf numFmtId="0" fontId="29" fillId="0" borderId="0">
      <alignment vertical="top"/>
      <protection locked="0"/>
    </xf>
    <xf numFmtId="0" fontId="29" fillId="0" borderId="0">
      <alignment vertical="top"/>
      <protection locked="0"/>
    </xf>
    <xf numFmtId="0" fontId="29" fillId="0" borderId="0">
      <alignment vertical="top"/>
      <protection locked="0"/>
    </xf>
    <xf numFmtId="0" fontId="29" fillId="0" borderId="0">
      <alignment vertical="top"/>
      <protection locked="0"/>
    </xf>
    <xf numFmtId="176" fontId="29" fillId="0" borderId="0">
      <alignment vertical="top"/>
      <protection locked="0"/>
    </xf>
    <xf numFmtId="0" fontId="29" fillId="0" borderId="0">
      <alignment vertical="top"/>
      <protection locked="0"/>
    </xf>
    <xf numFmtId="0" fontId="29" fillId="0" borderId="0">
      <alignment vertical="top"/>
      <protection locked="0"/>
    </xf>
    <xf numFmtId="0" fontId="29" fillId="0" borderId="0">
      <alignment vertical="top"/>
      <protection locked="0"/>
    </xf>
    <xf numFmtId="0" fontId="29" fillId="0" borderId="0">
      <alignment vertical="top"/>
      <protection locked="0"/>
    </xf>
    <xf numFmtId="176" fontId="29" fillId="0" borderId="0">
      <alignment vertical="top"/>
      <protection locked="0"/>
    </xf>
    <xf numFmtId="0" fontId="25" fillId="0" borderId="0" applyNumberFormat="0" applyFill="0" applyBorder="0" applyAlignment="0">
      <protection locked="0"/>
    </xf>
    <xf numFmtId="0" fontId="30" fillId="0" borderId="0"/>
    <xf numFmtId="0" fontId="30" fillId="0" borderId="0"/>
    <xf numFmtId="0" fontId="30" fillId="0" borderId="0"/>
    <xf numFmtId="0" fontId="30" fillId="0" borderId="0"/>
    <xf numFmtId="0" fontId="30" fillId="0" borderId="0"/>
    <xf numFmtId="0" fontId="29" fillId="0" borderId="0">
      <alignment vertical="top"/>
    </xf>
    <xf numFmtId="0" fontId="29" fillId="0" borderId="0">
      <alignment vertical="top"/>
    </xf>
    <xf numFmtId="0" fontId="29" fillId="0" borderId="0">
      <alignment vertical="top"/>
    </xf>
    <xf numFmtId="0" fontId="29" fillId="0" borderId="0">
      <alignment vertical="top"/>
    </xf>
    <xf numFmtId="0" fontId="30" fillId="0" borderId="0"/>
    <xf numFmtId="0" fontId="30" fillId="0" borderId="0"/>
    <xf numFmtId="0" fontId="30" fillId="0" borderId="0"/>
    <xf numFmtId="0" fontId="30" fillId="0" borderId="0"/>
    <xf numFmtId="0" fontId="30" fillId="0" borderId="0"/>
    <xf numFmtId="0" fontId="29" fillId="0" borderId="0">
      <alignment vertical="top"/>
    </xf>
    <xf numFmtId="0" fontId="29" fillId="0" borderId="0">
      <alignment vertical="top"/>
    </xf>
    <xf numFmtId="176" fontId="29" fillId="0" borderId="0">
      <alignment vertical="top"/>
    </xf>
    <xf numFmtId="0" fontId="29" fillId="0" borderId="0">
      <alignment vertical="top"/>
    </xf>
    <xf numFmtId="0" fontId="30" fillId="0" borderId="0"/>
    <xf numFmtId="0" fontId="30" fillId="0" borderId="0"/>
    <xf numFmtId="0" fontId="30" fillId="0" borderId="0"/>
    <xf numFmtId="0" fontId="30" fillId="0" borderId="0"/>
    <xf numFmtId="0" fontId="30" fillId="0" borderId="0"/>
    <xf numFmtId="0" fontId="29" fillId="0" borderId="0">
      <alignment vertical="top"/>
    </xf>
    <xf numFmtId="0" fontId="25" fillId="0" borderId="0" applyNumberFormat="0" applyFill="0" applyBorder="0" applyAlignment="0" applyProtection="0"/>
    <xf numFmtId="0" fontId="29" fillId="0" borderId="0">
      <alignment vertical="top"/>
      <protection locked="0"/>
    </xf>
    <xf numFmtId="0" fontId="29" fillId="0" borderId="0">
      <alignment vertical="top"/>
      <protection locked="0"/>
    </xf>
    <xf numFmtId="0" fontId="29" fillId="0" borderId="0">
      <alignment vertical="top"/>
      <protection locked="0"/>
    </xf>
    <xf numFmtId="0" fontId="29" fillId="0" borderId="0">
      <alignment vertical="top"/>
    </xf>
    <xf numFmtId="0" fontId="29" fillId="0" borderId="0">
      <alignment vertical="top"/>
    </xf>
    <xf numFmtId="0" fontId="12" fillId="0" borderId="0"/>
    <xf numFmtId="0" fontId="29" fillId="0" borderId="0">
      <alignment vertical="top"/>
    </xf>
    <xf numFmtId="0" fontId="29" fillId="0" borderId="0">
      <alignment vertical="top"/>
    </xf>
    <xf numFmtId="176" fontId="29" fillId="0" borderId="0">
      <alignment vertical="top"/>
    </xf>
    <xf numFmtId="0" fontId="29" fillId="0" borderId="0">
      <alignment vertical="top"/>
    </xf>
    <xf numFmtId="0" fontId="29" fillId="0" borderId="0">
      <alignment vertical="top"/>
      <protection locked="0"/>
    </xf>
    <xf numFmtId="0" fontId="29" fillId="0" borderId="0">
      <alignment vertical="top"/>
      <protection locked="0"/>
    </xf>
    <xf numFmtId="176" fontId="29" fillId="0" borderId="0">
      <alignment vertical="top"/>
      <protection locked="0"/>
    </xf>
    <xf numFmtId="0" fontId="29" fillId="0" borderId="0">
      <alignment vertical="top"/>
    </xf>
    <xf numFmtId="0" fontId="29" fillId="0" borderId="0">
      <alignment vertical="top"/>
    </xf>
    <xf numFmtId="176" fontId="29" fillId="0" borderId="0">
      <alignment vertical="top"/>
    </xf>
    <xf numFmtId="0" fontId="29" fillId="0" borderId="0">
      <alignment vertical="top"/>
    </xf>
    <xf numFmtId="0" fontId="29" fillId="0" borderId="0">
      <alignment vertical="top"/>
    </xf>
    <xf numFmtId="176" fontId="29" fillId="0" borderId="0">
      <alignment vertical="top"/>
    </xf>
    <xf numFmtId="0" fontId="29" fillId="0" borderId="0">
      <alignment vertical="top"/>
      <protection locked="0"/>
    </xf>
    <xf numFmtId="0" fontId="29" fillId="0" borderId="0">
      <alignment vertical="top"/>
      <protection locked="0"/>
    </xf>
    <xf numFmtId="176" fontId="29" fillId="0" borderId="0">
      <alignment vertical="top"/>
      <protection locked="0"/>
    </xf>
    <xf numFmtId="0" fontId="29" fillId="0" borderId="0">
      <alignment vertical="top"/>
      <protection locked="0"/>
    </xf>
    <xf numFmtId="0" fontId="29" fillId="0" borderId="0">
      <alignment vertical="top"/>
      <protection locked="0"/>
    </xf>
    <xf numFmtId="176" fontId="29" fillId="0" borderId="0">
      <alignment vertical="top"/>
      <protection locked="0"/>
    </xf>
    <xf numFmtId="0" fontId="29" fillId="0" borderId="0">
      <alignment vertical="top"/>
      <protection locked="0"/>
    </xf>
    <xf numFmtId="0" fontId="29" fillId="0" borderId="0">
      <alignment vertical="top"/>
      <protection locked="0"/>
    </xf>
    <xf numFmtId="176" fontId="29" fillId="0" borderId="0">
      <alignment vertical="top"/>
      <protection locked="0"/>
    </xf>
    <xf numFmtId="0" fontId="29" fillId="0" borderId="0">
      <alignment vertical="top"/>
    </xf>
    <xf numFmtId="0" fontId="29" fillId="0" borderId="0">
      <alignment vertical="top"/>
    </xf>
    <xf numFmtId="176" fontId="29" fillId="0" borderId="0">
      <alignment vertical="top"/>
    </xf>
    <xf numFmtId="0" fontId="29" fillId="0" borderId="0">
      <alignment vertical="top"/>
    </xf>
    <xf numFmtId="0" fontId="29" fillId="0" borderId="0">
      <alignment vertical="top"/>
    </xf>
    <xf numFmtId="176" fontId="29" fillId="0" borderId="0">
      <alignment vertical="top"/>
    </xf>
    <xf numFmtId="0" fontId="29" fillId="0" borderId="0">
      <alignment vertical="top"/>
      <protection locked="0"/>
    </xf>
    <xf numFmtId="0" fontId="29" fillId="0" borderId="0">
      <alignment vertical="top"/>
      <protection locked="0"/>
    </xf>
    <xf numFmtId="176" fontId="29" fillId="0" borderId="0">
      <alignment vertical="top"/>
      <protection locked="0"/>
    </xf>
    <xf numFmtId="0" fontId="29" fillId="0" borderId="0">
      <alignment vertical="top"/>
      <protection locked="0"/>
    </xf>
    <xf numFmtId="0" fontId="29" fillId="0" borderId="0">
      <alignment vertical="top"/>
    </xf>
    <xf numFmtId="0" fontId="29" fillId="0" borderId="0">
      <alignment vertical="top"/>
    </xf>
    <xf numFmtId="176" fontId="29" fillId="0" borderId="0">
      <alignment vertical="top"/>
    </xf>
    <xf numFmtId="0" fontId="29" fillId="0" borderId="0">
      <alignment vertical="top"/>
    </xf>
    <xf numFmtId="0" fontId="29" fillId="0" borderId="0">
      <alignment vertical="top"/>
    </xf>
    <xf numFmtId="176" fontId="29" fillId="0" borderId="0">
      <alignment vertical="top"/>
    </xf>
    <xf numFmtId="0" fontId="29" fillId="0" borderId="0">
      <alignment vertical="top"/>
    </xf>
    <xf numFmtId="0" fontId="29" fillId="0" borderId="0">
      <alignment vertical="top"/>
    </xf>
    <xf numFmtId="176" fontId="29" fillId="0" borderId="0">
      <alignment vertical="top"/>
    </xf>
    <xf numFmtId="0" fontId="29" fillId="0" borderId="0">
      <alignment vertical="top"/>
      <protection locked="0"/>
    </xf>
    <xf numFmtId="0" fontId="29" fillId="0" borderId="0">
      <alignment vertical="top"/>
      <protection locked="0"/>
    </xf>
    <xf numFmtId="176" fontId="29" fillId="0" borderId="0">
      <alignment vertical="top"/>
      <protection locked="0"/>
    </xf>
    <xf numFmtId="0" fontId="30" fillId="0" borderId="0"/>
    <xf numFmtId="0" fontId="29" fillId="0" borderId="0">
      <alignment vertical="top"/>
    </xf>
    <xf numFmtId="0" fontId="29" fillId="0" borderId="0">
      <alignment vertical="top"/>
    </xf>
    <xf numFmtId="176" fontId="29" fillId="0" borderId="0">
      <alignment vertical="top"/>
    </xf>
    <xf numFmtId="0" fontId="30" fillId="0" borderId="0"/>
    <xf numFmtId="0" fontId="30" fillId="0" borderId="0"/>
    <xf numFmtId="0" fontId="30" fillId="0" borderId="0"/>
    <xf numFmtId="0" fontId="29" fillId="0" borderId="0">
      <alignment vertical="top"/>
    </xf>
    <xf numFmtId="0" fontId="29" fillId="0" borderId="0">
      <alignment vertical="top"/>
    </xf>
    <xf numFmtId="0" fontId="29" fillId="0" borderId="0">
      <alignment vertical="top"/>
    </xf>
    <xf numFmtId="0" fontId="29" fillId="0" borderId="0">
      <alignment vertical="top"/>
    </xf>
    <xf numFmtId="0" fontId="29" fillId="0" borderId="0">
      <alignment vertical="top"/>
    </xf>
    <xf numFmtId="0" fontId="29" fillId="0" borderId="0">
      <alignment vertical="top"/>
    </xf>
    <xf numFmtId="0" fontId="29" fillId="0" borderId="0">
      <alignment vertical="top"/>
    </xf>
    <xf numFmtId="0" fontId="29" fillId="0" borderId="0">
      <alignment vertical="top"/>
    </xf>
    <xf numFmtId="0" fontId="29" fillId="0" borderId="0">
      <alignment vertical="top"/>
    </xf>
    <xf numFmtId="0" fontId="29" fillId="0" borderId="0">
      <alignment vertical="top"/>
    </xf>
    <xf numFmtId="0" fontId="29" fillId="0" borderId="0">
      <alignment vertical="top"/>
    </xf>
    <xf numFmtId="0" fontId="29" fillId="0" borderId="0">
      <alignment vertical="top"/>
    </xf>
    <xf numFmtId="0" fontId="30" fillId="0" borderId="0"/>
    <xf numFmtId="0" fontId="29" fillId="0" borderId="0">
      <alignment vertical="top"/>
      <protection locked="0"/>
    </xf>
    <xf numFmtId="0" fontId="29" fillId="0" borderId="0">
      <alignment vertical="top"/>
      <protection locked="0"/>
    </xf>
    <xf numFmtId="176" fontId="29" fillId="0" borderId="0">
      <alignment vertical="top"/>
      <protection locked="0"/>
    </xf>
    <xf numFmtId="0" fontId="29" fillId="0" borderId="0">
      <alignment vertical="top"/>
      <protection locked="0"/>
    </xf>
    <xf numFmtId="0" fontId="29" fillId="0" borderId="0">
      <alignment vertical="top"/>
      <protection locked="0"/>
    </xf>
    <xf numFmtId="176" fontId="29" fillId="0" borderId="0">
      <alignment vertical="top"/>
      <protection locked="0"/>
    </xf>
    <xf numFmtId="0" fontId="29" fillId="0" borderId="0">
      <alignment vertical="top"/>
      <protection locked="0"/>
    </xf>
    <xf numFmtId="0" fontId="29" fillId="0" borderId="0">
      <alignment vertical="top"/>
      <protection locked="0"/>
    </xf>
    <xf numFmtId="0" fontId="29" fillId="0" borderId="0">
      <alignment vertical="top"/>
      <protection locked="0"/>
    </xf>
    <xf numFmtId="0" fontId="29" fillId="0" borderId="0">
      <alignment vertical="top"/>
      <protection locked="0"/>
    </xf>
    <xf numFmtId="176" fontId="29" fillId="0" borderId="0">
      <alignment vertical="top"/>
      <protection locked="0"/>
    </xf>
    <xf numFmtId="0" fontId="29" fillId="0" borderId="0">
      <alignment vertical="top"/>
    </xf>
    <xf numFmtId="0" fontId="29" fillId="0" borderId="0">
      <alignment vertical="top"/>
    </xf>
    <xf numFmtId="176" fontId="29" fillId="0" borderId="0">
      <alignment vertical="top"/>
    </xf>
    <xf numFmtId="0" fontId="29" fillId="0" borderId="0">
      <alignment vertical="top"/>
    </xf>
    <xf numFmtId="0" fontId="29" fillId="0" borderId="0">
      <alignment vertical="top"/>
    </xf>
    <xf numFmtId="0" fontId="29" fillId="0" borderId="0">
      <alignment vertical="top"/>
    </xf>
    <xf numFmtId="0" fontId="29" fillId="0" borderId="0">
      <alignment vertical="top"/>
    </xf>
    <xf numFmtId="0" fontId="29" fillId="0" borderId="0">
      <alignment vertical="top"/>
    </xf>
    <xf numFmtId="176" fontId="29" fillId="0" borderId="0">
      <alignment vertical="top"/>
    </xf>
    <xf numFmtId="0" fontId="29" fillId="0" borderId="0">
      <alignment vertical="top"/>
    </xf>
    <xf numFmtId="0" fontId="29" fillId="0" borderId="0">
      <alignment vertical="top"/>
      <protection locked="0"/>
    </xf>
    <xf numFmtId="0" fontId="30" fillId="0" borderId="0"/>
    <xf numFmtId="0" fontId="29" fillId="0" borderId="0">
      <alignment vertical="top"/>
    </xf>
    <xf numFmtId="0" fontId="29" fillId="0" borderId="0">
      <alignment vertical="top"/>
    </xf>
    <xf numFmtId="176" fontId="29" fillId="0" borderId="0">
      <alignment vertical="top"/>
    </xf>
    <xf numFmtId="0" fontId="29" fillId="0" borderId="0">
      <alignment vertical="top"/>
      <protection locked="0"/>
    </xf>
    <xf numFmtId="0" fontId="29" fillId="0" borderId="0">
      <alignment vertical="top"/>
    </xf>
    <xf numFmtId="0" fontId="29" fillId="0" borderId="0">
      <alignment vertical="top"/>
    </xf>
    <xf numFmtId="176" fontId="29" fillId="0" borderId="0">
      <alignment vertical="top"/>
    </xf>
    <xf numFmtId="0" fontId="29" fillId="0" borderId="0">
      <alignment vertical="top"/>
      <protection locked="0"/>
    </xf>
    <xf numFmtId="0" fontId="29" fillId="0" borderId="0">
      <alignment vertical="top"/>
      <protection locked="0"/>
    </xf>
    <xf numFmtId="0" fontId="29" fillId="0" borderId="0">
      <alignment vertical="top"/>
    </xf>
    <xf numFmtId="0" fontId="29" fillId="0" borderId="0">
      <alignment vertical="top"/>
      <protection locked="0"/>
    </xf>
    <xf numFmtId="0" fontId="29" fillId="0" borderId="0">
      <alignment vertical="top"/>
    </xf>
    <xf numFmtId="0" fontId="29" fillId="0" borderId="0">
      <alignment vertical="top"/>
      <protection locked="0"/>
    </xf>
    <xf numFmtId="0" fontId="29" fillId="0" borderId="0">
      <alignment vertical="top"/>
      <protection locked="0"/>
    </xf>
    <xf numFmtId="176" fontId="29" fillId="0" borderId="0">
      <alignment vertical="top"/>
      <protection locked="0"/>
    </xf>
    <xf numFmtId="0" fontId="29" fillId="0" borderId="0">
      <alignment vertical="top"/>
      <protection locked="0"/>
    </xf>
    <xf numFmtId="0" fontId="29" fillId="0" borderId="0">
      <alignment vertical="top"/>
      <protection locked="0"/>
    </xf>
    <xf numFmtId="176" fontId="29" fillId="0" borderId="0">
      <alignment vertical="top"/>
      <protection locked="0"/>
    </xf>
    <xf numFmtId="0" fontId="29" fillId="0" borderId="0">
      <alignment vertical="top"/>
      <protection locked="0"/>
    </xf>
    <xf numFmtId="0" fontId="30" fillId="0" borderId="0"/>
    <xf numFmtId="0" fontId="29" fillId="0" borderId="0">
      <alignment vertical="top"/>
    </xf>
    <xf numFmtId="0" fontId="29" fillId="0" borderId="0">
      <alignment vertical="top"/>
    </xf>
    <xf numFmtId="176" fontId="29" fillId="0" borderId="0">
      <alignment vertical="top"/>
    </xf>
    <xf numFmtId="0" fontId="29" fillId="0" borderId="0">
      <alignment vertical="top"/>
      <protection locked="0"/>
    </xf>
    <xf numFmtId="0" fontId="29" fillId="0" borderId="0">
      <alignment vertical="top"/>
      <protection locked="0"/>
    </xf>
    <xf numFmtId="0" fontId="29" fillId="0" borderId="0">
      <alignment vertical="top"/>
      <protection locked="0"/>
    </xf>
    <xf numFmtId="176" fontId="29" fillId="0" borderId="0">
      <alignment vertical="top"/>
      <protection locked="0"/>
    </xf>
    <xf numFmtId="0" fontId="30" fillId="0" borderId="0"/>
    <xf numFmtId="177" fontId="28" fillId="0" borderId="0" applyFill="0" applyBorder="0" applyProtection="0">
      <alignment horizontal="right"/>
    </xf>
    <xf numFmtId="178" fontId="28" fillId="0" borderId="0" applyFill="0" applyBorder="0" applyProtection="0">
      <alignment horizontal="right"/>
    </xf>
    <xf numFmtId="179" fontId="31" fillId="0" borderId="0" applyFill="0" applyBorder="0" applyProtection="0">
      <alignment horizontal="center"/>
    </xf>
    <xf numFmtId="180" fontId="31" fillId="0" borderId="0" applyFill="0" applyBorder="0" applyProtection="0">
      <alignment horizontal="center"/>
    </xf>
    <xf numFmtId="181" fontId="32" fillId="0" borderId="0" applyFill="0" applyBorder="0" applyProtection="0">
      <alignment horizontal="right"/>
    </xf>
    <xf numFmtId="182" fontId="28" fillId="0" borderId="0" applyFill="0" applyBorder="0" applyProtection="0">
      <alignment horizontal="right"/>
    </xf>
    <xf numFmtId="183" fontId="28" fillId="0" borderId="0" applyFill="0" applyBorder="0" applyProtection="0">
      <alignment horizontal="right"/>
    </xf>
    <xf numFmtId="184" fontId="28" fillId="0" borderId="0" applyFill="0" applyBorder="0" applyProtection="0">
      <alignment horizontal="right"/>
    </xf>
    <xf numFmtId="185" fontId="28" fillId="0" borderId="0" applyFill="0" applyBorder="0" applyProtection="0">
      <alignment horizontal="right"/>
    </xf>
    <xf numFmtId="186" fontId="33" fillId="0" borderId="0" applyFont="0" applyFill="0" applyBorder="0" applyAlignment="0" applyProtection="0"/>
    <xf numFmtId="0" fontId="12" fillId="0" borderId="0"/>
    <xf numFmtId="187" fontId="33" fillId="0" borderId="0" applyFont="0" applyFill="0" applyBorder="0" applyAlignment="0" applyProtection="0"/>
    <xf numFmtId="10" fontId="33" fillId="0" borderId="0" applyFont="0" applyFill="0" applyBorder="0" applyAlignment="0" applyProtection="0"/>
    <xf numFmtId="188" fontId="2" fillId="0" borderId="0" applyFont="0" applyFill="0" applyBorder="0" applyAlignment="0" applyProtection="0"/>
    <xf numFmtId="176" fontId="34" fillId="5" borderId="0" applyNumberFormat="0" applyBorder="0" applyAlignment="0" applyProtection="0"/>
    <xf numFmtId="176" fontId="34" fillId="6" borderId="0" applyNumberFormat="0" applyBorder="0" applyAlignment="0" applyProtection="0"/>
    <xf numFmtId="176" fontId="34" fillId="7" borderId="0" applyNumberFormat="0" applyBorder="0" applyAlignment="0" applyProtection="0"/>
    <xf numFmtId="176" fontId="34" fillId="8" borderId="0" applyNumberFormat="0" applyBorder="0" applyAlignment="0" applyProtection="0"/>
    <xf numFmtId="176" fontId="34" fillId="9" borderId="0" applyNumberFormat="0" applyBorder="0" applyAlignment="0" applyProtection="0"/>
    <xf numFmtId="176" fontId="34" fillId="10" borderId="0" applyNumberFormat="0" applyBorder="0" applyAlignment="0" applyProtection="0"/>
    <xf numFmtId="176" fontId="34" fillId="11" borderId="0" applyNumberFormat="0" applyBorder="0" applyAlignment="0" applyProtection="0"/>
    <xf numFmtId="176" fontId="34" fillId="12" borderId="0" applyNumberFormat="0" applyBorder="0" applyAlignment="0" applyProtection="0"/>
    <xf numFmtId="176" fontId="34" fillId="13" borderId="0" applyNumberFormat="0" applyBorder="0" applyAlignment="0" applyProtection="0"/>
    <xf numFmtId="176" fontId="34" fillId="8" borderId="0" applyNumberFormat="0" applyBorder="0" applyAlignment="0" applyProtection="0"/>
    <xf numFmtId="176" fontId="34" fillId="11" borderId="0" applyNumberFormat="0" applyBorder="0" applyAlignment="0" applyProtection="0"/>
    <xf numFmtId="176" fontId="34" fillId="14" borderId="0" applyNumberFormat="0" applyBorder="0" applyAlignment="0" applyProtection="0"/>
    <xf numFmtId="176" fontId="35" fillId="15" borderId="0" applyNumberFormat="0" applyBorder="0" applyAlignment="0" applyProtection="0"/>
    <xf numFmtId="176" fontId="35" fillId="12" borderId="0" applyNumberFormat="0" applyBorder="0" applyAlignment="0" applyProtection="0"/>
    <xf numFmtId="176" fontId="35" fillId="13" borderId="0" applyNumberFormat="0" applyBorder="0" applyAlignment="0" applyProtection="0"/>
    <xf numFmtId="176" fontId="35" fillId="16" borderId="0" applyNumberFormat="0" applyBorder="0" applyAlignment="0" applyProtection="0"/>
    <xf numFmtId="176" fontId="35" fillId="17" borderId="0" applyNumberFormat="0" applyBorder="0" applyAlignment="0" applyProtection="0"/>
    <xf numFmtId="176" fontId="35" fillId="18" borderId="0" applyNumberFormat="0" applyBorder="0" applyAlignment="0" applyProtection="0"/>
    <xf numFmtId="0" fontId="36" fillId="0" borderId="14">
      <alignment horizontal="center"/>
    </xf>
    <xf numFmtId="0" fontId="36" fillId="0" borderId="14">
      <alignment horizontal="center"/>
    </xf>
    <xf numFmtId="0" fontId="37" fillId="0" borderId="0"/>
    <xf numFmtId="0" fontId="37" fillId="0" borderId="15" applyFill="0">
      <alignment horizontal="center"/>
      <protection locked="0"/>
    </xf>
    <xf numFmtId="0" fontId="36" fillId="0" borderId="0" applyFill="0">
      <alignment horizontal="center"/>
      <protection locked="0"/>
    </xf>
    <xf numFmtId="0" fontId="36" fillId="19" borderId="0"/>
    <xf numFmtId="0" fontId="36" fillId="0" borderId="0">
      <protection locked="0"/>
    </xf>
    <xf numFmtId="0" fontId="36" fillId="0" borderId="0"/>
    <xf numFmtId="189" fontId="36" fillId="0" borderId="0"/>
    <xf numFmtId="190" fontId="36" fillId="0" borderId="0"/>
    <xf numFmtId="0" fontId="37" fillId="20" borderId="0">
      <alignment horizontal="right"/>
    </xf>
    <xf numFmtId="0" fontId="36" fillId="0" borderId="0"/>
    <xf numFmtId="176" fontId="35" fillId="21" borderId="0" applyNumberFormat="0" applyBorder="0" applyAlignment="0" applyProtection="0"/>
    <xf numFmtId="0" fontId="38" fillId="22" borderId="0" applyNumberFormat="0" applyBorder="0" applyAlignment="0" applyProtection="0"/>
    <xf numFmtId="0" fontId="38" fillId="22" borderId="0" applyNumberFormat="0" applyBorder="0" applyAlignment="0" applyProtection="0"/>
    <xf numFmtId="0" fontId="39" fillId="23" borderId="0" applyNumberFormat="0" applyBorder="0" applyAlignment="0" applyProtection="0"/>
    <xf numFmtId="176" fontId="35" fillId="24" borderId="0" applyNumberFormat="0" applyBorder="0" applyAlignment="0" applyProtection="0"/>
    <xf numFmtId="0" fontId="38" fillId="25" borderId="0" applyNumberFormat="0" applyBorder="0" applyAlignment="0" applyProtection="0"/>
    <xf numFmtId="0" fontId="38" fillId="26" borderId="0" applyNumberFormat="0" applyBorder="0" applyAlignment="0" applyProtection="0"/>
    <xf numFmtId="0" fontId="39" fillId="27" borderId="0" applyNumberFormat="0" applyBorder="0" applyAlignment="0" applyProtection="0"/>
    <xf numFmtId="176" fontId="35" fillId="28" borderId="0" applyNumberFormat="0" applyBorder="0" applyAlignment="0" applyProtection="0"/>
    <xf numFmtId="0" fontId="38" fillId="25" borderId="0" applyNumberFormat="0" applyBorder="0" applyAlignment="0" applyProtection="0"/>
    <xf numFmtId="0" fontId="38" fillId="29" borderId="0" applyNumberFormat="0" applyBorder="0" applyAlignment="0" applyProtection="0"/>
    <xf numFmtId="0" fontId="39" fillId="26" borderId="0" applyNumberFormat="0" applyBorder="0" applyAlignment="0" applyProtection="0"/>
    <xf numFmtId="176" fontId="35" fillId="16" borderId="0" applyNumberFormat="0" applyBorder="0" applyAlignment="0" applyProtection="0"/>
    <xf numFmtId="0" fontId="38" fillId="22" borderId="0" applyNumberFormat="0" applyBorder="0" applyAlignment="0" applyProtection="0"/>
    <xf numFmtId="0" fontId="38" fillId="26" borderId="0" applyNumberFormat="0" applyBorder="0" applyAlignment="0" applyProtection="0"/>
    <xf numFmtId="0" fontId="39" fillId="26" borderId="0" applyNumberFormat="0" applyBorder="0" applyAlignment="0" applyProtection="0"/>
    <xf numFmtId="176" fontId="35" fillId="17" borderId="0" applyNumberFormat="0" applyBorder="0" applyAlignment="0" applyProtection="0"/>
    <xf numFmtId="0" fontId="38" fillId="30" borderId="0" applyNumberFormat="0" applyBorder="0" applyAlignment="0" applyProtection="0"/>
    <xf numFmtId="0" fontId="38" fillId="22" borderId="0" applyNumberFormat="0" applyBorder="0" applyAlignment="0" applyProtection="0"/>
    <xf numFmtId="0" fontId="39" fillId="23" borderId="0" applyNumberFormat="0" applyBorder="0" applyAlignment="0" applyProtection="0"/>
    <xf numFmtId="176" fontId="35" fillId="31" borderId="0" applyNumberFormat="0" applyBorder="0" applyAlignment="0" applyProtection="0"/>
    <xf numFmtId="0" fontId="38" fillId="25" borderId="0" applyNumberFormat="0" applyBorder="0" applyAlignment="0" applyProtection="0"/>
    <xf numFmtId="0" fontId="38" fillId="32" borderId="0" applyNumberFormat="0" applyBorder="0" applyAlignment="0" applyProtection="0"/>
    <xf numFmtId="0" fontId="39" fillId="32" borderId="0" applyNumberFormat="0" applyBorder="0" applyAlignment="0" applyProtection="0"/>
    <xf numFmtId="0" fontId="40" fillId="0" borderId="0">
      <alignment horizontal="center" wrapText="1"/>
      <protection locked="0"/>
    </xf>
    <xf numFmtId="176" fontId="41" fillId="6" borderId="0" applyNumberFormat="0" applyBorder="0" applyAlignment="0" applyProtection="0"/>
    <xf numFmtId="3" fontId="42" fillId="0" borderId="0"/>
    <xf numFmtId="191" fontId="43" fillId="0" borderId="16" applyAlignment="0" applyProtection="0"/>
    <xf numFmtId="191" fontId="43" fillId="0" borderId="16" applyAlignment="0" applyProtection="0"/>
    <xf numFmtId="192" fontId="29" fillId="0" borderId="0" applyFill="0" applyBorder="0" applyAlignment="0"/>
    <xf numFmtId="193" fontId="25" fillId="0" borderId="0" applyFill="0" applyBorder="0" applyAlignment="0"/>
    <xf numFmtId="194" fontId="25" fillId="0" borderId="0" applyFill="0" applyBorder="0" applyAlignment="0"/>
    <xf numFmtId="195" fontId="25" fillId="0" borderId="0" applyFill="0" applyBorder="0" applyAlignment="0"/>
    <xf numFmtId="196" fontId="25" fillId="0" borderId="0" applyFill="0" applyBorder="0" applyAlignment="0"/>
    <xf numFmtId="197" fontId="25" fillId="0" borderId="0" applyFill="0" applyBorder="0" applyAlignment="0"/>
    <xf numFmtId="198" fontId="25" fillId="0" borderId="0" applyFill="0" applyBorder="0" applyAlignment="0"/>
    <xf numFmtId="193" fontId="25" fillId="0" borderId="0" applyFill="0" applyBorder="0" applyAlignment="0"/>
    <xf numFmtId="176" fontId="44" fillId="33" borderId="17" applyNumberFormat="0" applyAlignment="0" applyProtection="0"/>
    <xf numFmtId="0" fontId="45" fillId="0" borderId="0"/>
    <xf numFmtId="176" fontId="46" fillId="34" borderId="18" applyNumberFormat="0" applyAlignment="0" applyProtection="0"/>
    <xf numFmtId="0" fontId="47" fillId="0" borderId="19" applyNumberFormat="0" applyFill="0" applyProtection="0">
      <alignment horizontal="center"/>
    </xf>
    <xf numFmtId="0" fontId="48" fillId="0" borderId="20">
      <alignment horizontal="center"/>
    </xf>
    <xf numFmtId="199" fontId="25" fillId="0" borderId="0"/>
    <xf numFmtId="199" fontId="25" fillId="0" borderId="0"/>
    <xf numFmtId="199" fontId="25" fillId="0" borderId="0"/>
    <xf numFmtId="199" fontId="25" fillId="0" borderId="0"/>
    <xf numFmtId="199" fontId="25" fillId="0" borderId="0"/>
    <xf numFmtId="199" fontId="25" fillId="0" borderId="0"/>
    <xf numFmtId="199" fontId="25" fillId="0" borderId="0"/>
    <xf numFmtId="199" fontId="25" fillId="0" borderId="0"/>
    <xf numFmtId="200" fontId="2" fillId="0" borderId="0" applyFont="0" applyFill="0" applyBorder="0" applyAlignment="0" applyProtection="0"/>
    <xf numFmtId="197" fontId="25"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201" fontId="28" fillId="0" borderId="0"/>
    <xf numFmtId="37" fontId="33" fillId="0" borderId="0" applyFont="0" applyFill="0" applyBorder="0" applyAlignment="0" applyProtection="0"/>
    <xf numFmtId="202" fontId="33" fillId="0" borderId="0" applyFont="0" applyFill="0" applyBorder="0" applyAlignment="0" applyProtection="0"/>
    <xf numFmtId="39" fontId="33" fillId="0" borderId="0" applyFont="0" applyFill="0" applyBorder="0" applyAlignment="0" applyProtection="0"/>
    <xf numFmtId="40" fontId="49" fillId="0" borderId="0" applyFont="0" applyFill="0" applyBorder="0" applyAlignment="0" applyProtection="0"/>
    <xf numFmtId="0" fontId="50" fillId="0" borderId="0" applyNumberFormat="0" applyAlignment="0">
      <alignment horizontal="left"/>
    </xf>
    <xf numFmtId="0" fontId="51" fillId="0" borderId="0" applyNumberFormat="0" applyAlignment="0"/>
    <xf numFmtId="200" fontId="52" fillId="0" borderId="0" applyFont="0" applyFill="0" applyBorder="0" applyAlignment="0" applyProtection="0"/>
    <xf numFmtId="193" fontId="25" fillId="0" borderId="0" applyFont="0" applyFill="0" applyBorder="0" applyAlignment="0" applyProtection="0"/>
    <xf numFmtId="191" fontId="33" fillId="0" borderId="0" applyFont="0" applyFill="0" applyBorder="0" applyAlignment="0" applyProtection="0"/>
    <xf numFmtId="203" fontId="33" fillId="0" borderId="0" applyFont="0" applyFill="0" applyBorder="0" applyAlignment="0" applyProtection="0"/>
    <xf numFmtId="204" fontId="2" fillId="0" borderId="0" applyFont="0" applyFill="0" applyBorder="0" applyAlignment="0" applyProtection="0"/>
    <xf numFmtId="205" fontId="28" fillId="0" borderId="0"/>
    <xf numFmtId="206" fontId="25" fillId="0" borderId="0">
      <protection locked="0"/>
    </xf>
    <xf numFmtId="15" fontId="49" fillId="0" borderId="0"/>
    <xf numFmtId="14" fontId="29" fillId="0" borderId="0" applyFill="0" applyBorder="0" applyAlignment="0"/>
    <xf numFmtId="206" fontId="25" fillId="0" borderId="0">
      <protection locked="0"/>
    </xf>
    <xf numFmtId="41" fontId="25" fillId="0" borderId="0" applyFont="0" applyFill="0" applyBorder="0" applyAlignment="0" applyProtection="0"/>
    <xf numFmtId="43" fontId="25" fillId="0" borderId="0" applyFont="0" applyFill="0" applyBorder="0" applyAlignment="0" applyProtection="0"/>
    <xf numFmtId="207" fontId="28" fillId="0" borderId="0"/>
    <xf numFmtId="0" fontId="53" fillId="0" borderId="0" applyNumberFormat="0" applyFill="0" applyBorder="0" applyAlignment="0" applyProtection="0"/>
    <xf numFmtId="197" fontId="25" fillId="0" borderId="0" applyFill="0" applyBorder="0" applyAlignment="0"/>
    <xf numFmtId="193" fontId="25" fillId="0" borderId="0" applyFill="0" applyBorder="0" applyAlignment="0"/>
    <xf numFmtId="197" fontId="25" fillId="0" borderId="0" applyFill="0" applyBorder="0" applyAlignment="0"/>
    <xf numFmtId="198" fontId="25" fillId="0" borderId="0" applyFill="0" applyBorder="0" applyAlignment="0"/>
    <xf numFmtId="193" fontId="25" fillId="0" borderId="0" applyFill="0" applyBorder="0" applyAlignment="0"/>
    <xf numFmtId="0" fontId="54" fillId="0" borderId="0" applyNumberFormat="0" applyAlignment="0">
      <alignment horizontal="left"/>
    </xf>
    <xf numFmtId="0" fontId="55" fillId="0" borderId="0">
      <alignment horizontal="left"/>
    </xf>
    <xf numFmtId="0" fontId="55" fillId="0" borderId="0">
      <alignment horizontal="left"/>
    </xf>
    <xf numFmtId="176" fontId="55" fillId="0" borderId="0">
      <alignment horizontal="left"/>
    </xf>
    <xf numFmtId="0" fontId="56" fillId="35" borderId="14"/>
    <xf numFmtId="0" fontId="56" fillId="35" borderId="14"/>
    <xf numFmtId="0" fontId="56" fillId="35" borderId="14"/>
    <xf numFmtId="176" fontId="56" fillId="35" borderId="14"/>
    <xf numFmtId="176" fontId="56" fillId="35" borderId="14"/>
    <xf numFmtId="176" fontId="28" fillId="0" borderId="0" applyFont="0" applyFill="0" applyBorder="0" applyAlignment="0" applyProtection="0"/>
    <xf numFmtId="176" fontId="57" fillId="0" borderId="0" applyNumberFormat="0" applyFill="0" applyBorder="0" applyAlignment="0" applyProtection="0"/>
    <xf numFmtId="206" fontId="25" fillId="0" borderId="0">
      <protection locked="0"/>
    </xf>
    <xf numFmtId="206" fontId="25" fillId="0" borderId="0">
      <protection locked="0"/>
    </xf>
    <xf numFmtId="206" fontId="25" fillId="0" borderId="0">
      <protection locked="0"/>
    </xf>
    <xf numFmtId="206" fontId="25" fillId="0" borderId="0">
      <protection locked="0"/>
    </xf>
    <xf numFmtId="206" fontId="25" fillId="0" borderId="0">
      <protection locked="0"/>
    </xf>
    <xf numFmtId="206" fontId="25" fillId="0" borderId="0">
      <protection locked="0"/>
    </xf>
    <xf numFmtId="206" fontId="25" fillId="0" borderId="0">
      <protection locked="0"/>
    </xf>
    <xf numFmtId="206" fontId="25" fillId="0" borderId="0">
      <protection locked="0"/>
    </xf>
    <xf numFmtId="0" fontId="58" fillId="0" borderId="0" applyNumberFormat="0" applyFill="0" applyBorder="0" applyAlignment="0" applyProtection="0">
      <alignment vertical="top"/>
      <protection locked="0"/>
    </xf>
    <xf numFmtId="176" fontId="59" fillId="7" borderId="0" applyNumberFormat="0" applyBorder="0" applyAlignment="0" applyProtection="0"/>
    <xf numFmtId="38" fontId="56" fillId="36" borderId="0" applyNumberFormat="0" applyBorder="0" applyAlignment="0" applyProtection="0"/>
    <xf numFmtId="0" fontId="60" fillId="0" borderId="0">
      <alignment horizontal="left"/>
    </xf>
    <xf numFmtId="0" fontId="61" fillId="0" borderId="21" applyNumberFormat="0" applyAlignment="0" applyProtection="0">
      <alignment horizontal="left" vertical="center"/>
    </xf>
    <xf numFmtId="0" fontId="61" fillId="0" borderId="21" applyNumberFormat="0" applyAlignment="0" applyProtection="0">
      <alignment horizontal="left" vertical="center"/>
    </xf>
    <xf numFmtId="176" fontId="61" fillId="0" borderId="21" applyNumberFormat="0" applyAlignment="0" applyProtection="0">
      <alignment horizontal="left" vertical="center"/>
    </xf>
    <xf numFmtId="0" fontId="61" fillId="0" borderId="22">
      <alignment horizontal="left" vertical="center"/>
    </xf>
    <xf numFmtId="0" fontId="61" fillId="0" borderId="22">
      <alignment horizontal="left" vertical="center"/>
    </xf>
    <xf numFmtId="176" fontId="61" fillId="0" borderId="22">
      <alignment horizontal="left" vertical="center"/>
    </xf>
    <xf numFmtId="14" fontId="62" fillId="37" borderId="15">
      <alignment horizontal="center" vertical="center" wrapText="1"/>
    </xf>
    <xf numFmtId="176" fontId="63" fillId="0" borderId="23" applyNumberFormat="0" applyFill="0" applyAlignment="0" applyProtection="0"/>
    <xf numFmtId="176" fontId="64" fillId="0" borderId="24" applyNumberFormat="0" applyFill="0" applyAlignment="0" applyProtection="0"/>
    <xf numFmtId="176" fontId="65" fillId="0" borderId="25" applyNumberFormat="0" applyFill="0" applyAlignment="0" applyProtection="0"/>
    <xf numFmtId="176" fontId="65" fillId="0" borderId="0" applyNumberFormat="0" applyFill="0" applyBorder="0" applyAlignment="0" applyProtection="0"/>
    <xf numFmtId="206" fontId="25" fillId="0" borderId="0">
      <protection locked="0"/>
    </xf>
    <xf numFmtId="206" fontId="25" fillId="0" borderId="0">
      <protection locked="0"/>
    </xf>
    <xf numFmtId="0" fontId="66" fillId="0" borderId="0" applyNumberFormat="0" applyFill="0" applyBorder="0" applyAlignment="0" applyProtection="0">
      <alignment vertical="top"/>
      <protection locked="0"/>
    </xf>
    <xf numFmtId="176" fontId="67" fillId="10" borderId="17" applyNumberFormat="0" applyAlignment="0" applyProtection="0"/>
    <xf numFmtId="10" fontId="56" fillId="38" borderId="14" applyNumberFormat="0" applyBorder="0" applyAlignment="0" applyProtection="0"/>
    <xf numFmtId="10" fontId="56" fillId="38" borderId="14" applyNumberFormat="0" applyBorder="0" applyAlignment="0" applyProtection="0"/>
    <xf numFmtId="202" fontId="68" fillId="39" borderId="0"/>
    <xf numFmtId="208" fontId="2" fillId="39" borderId="0"/>
    <xf numFmtId="0" fontId="28" fillId="0" borderId="0" applyNumberFormat="0" applyFont="0" applyFill="0" applyBorder="0" applyProtection="0">
      <alignment horizontal="left" vertical="center"/>
    </xf>
    <xf numFmtId="0" fontId="28" fillId="0" borderId="0" applyNumberFormat="0" applyFont="0" applyFill="0" applyBorder="0" applyProtection="0">
      <alignment horizontal="left" vertical="center"/>
    </xf>
    <xf numFmtId="176" fontId="28" fillId="0" borderId="0" applyNumberFormat="0" applyFont="0" applyFill="0" applyBorder="0" applyProtection="0">
      <alignment horizontal="left" vertical="center"/>
    </xf>
    <xf numFmtId="197" fontId="25" fillId="0" borderId="0" applyFill="0" applyBorder="0" applyAlignment="0"/>
    <xf numFmtId="193" fontId="25" fillId="0" borderId="0" applyFill="0" applyBorder="0" applyAlignment="0"/>
    <xf numFmtId="197" fontId="25" fillId="0" borderId="0" applyFill="0" applyBorder="0" applyAlignment="0"/>
    <xf numFmtId="198" fontId="25" fillId="0" borderId="0" applyFill="0" applyBorder="0" applyAlignment="0"/>
    <xf numFmtId="193" fontId="25" fillId="0" borderId="0" applyFill="0" applyBorder="0" applyAlignment="0"/>
    <xf numFmtId="176" fontId="69" fillId="0" borderId="26" applyNumberFormat="0" applyFill="0" applyAlignment="0" applyProtection="0"/>
    <xf numFmtId="202" fontId="70" fillId="40" borderId="0"/>
    <xf numFmtId="208" fontId="2" fillId="40" borderId="0"/>
    <xf numFmtId="41" fontId="25" fillId="0" borderId="0" applyFont="0" applyFill="0" applyBorder="0" applyAlignment="0" applyProtection="0"/>
    <xf numFmtId="43" fontId="25" fillId="0" borderId="0" applyFont="0" applyFill="0" applyBorder="0" applyAlignment="0" applyProtection="0"/>
    <xf numFmtId="0" fontId="25" fillId="0" borderId="0" applyFont="0" applyFill="0" applyBorder="0" applyAlignment="0" applyProtection="0"/>
    <xf numFmtId="0" fontId="25" fillId="0" borderId="0" applyFont="0" applyFill="0" applyBorder="0" applyAlignment="0" applyProtection="0"/>
    <xf numFmtId="0" fontId="71" fillId="0" borderId="15"/>
    <xf numFmtId="200" fontId="25" fillId="0" borderId="0" applyFont="0" applyFill="0" applyBorder="0" applyAlignment="0" applyProtection="0"/>
    <xf numFmtId="209" fontId="25" fillId="0" borderId="0" applyFont="0" applyFill="0" applyBorder="0" applyAlignment="0" applyProtection="0"/>
    <xf numFmtId="0" fontId="25" fillId="0" borderId="0" applyFont="0" applyFill="0" applyBorder="0" applyAlignment="0" applyProtection="0"/>
    <xf numFmtId="0" fontId="25" fillId="0" borderId="0" applyFont="0" applyFill="0" applyBorder="0" applyAlignment="0" applyProtection="0"/>
    <xf numFmtId="210" fontId="25" fillId="0" borderId="0" applyFont="0" applyFill="0" applyBorder="0" applyAlignment="0" applyProtection="0"/>
    <xf numFmtId="211" fontId="2" fillId="0" borderId="0" applyFont="0" applyFill="0" applyBorder="0" applyAlignment="0" applyProtection="0"/>
    <xf numFmtId="176" fontId="72" fillId="41" borderId="0" applyNumberFormat="0" applyBorder="0" applyAlignment="0" applyProtection="0"/>
    <xf numFmtId="0" fontId="28" fillId="0" borderId="0"/>
    <xf numFmtId="37" fontId="73" fillId="0" borderId="0"/>
    <xf numFmtId="0" fontId="51" fillId="0" borderId="0"/>
    <xf numFmtId="212" fontId="2" fillId="0" borderId="0"/>
    <xf numFmtId="212" fontId="2" fillId="0" borderId="0"/>
    <xf numFmtId="0" fontId="25" fillId="0" borderId="0"/>
    <xf numFmtId="0" fontId="25" fillId="0" borderId="0"/>
    <xf numFmtId="0" fontId="2" fillId="0" borderId="0"/>
    <xf numFmtId="0" fontId="2" fillId="0" borderId="0"/>
    <xf numFmtId="0" fontId="2" fillId="0" borderId="0">
      <alignment vertical="center"/>
    </xf>
    <xf numFmtId="0" fontId="49" fillId="0" borderId="0"/>
    <xf numFmtId="0" fontId="74" fillId="0" borderId="0"/>
    <xf numFmtId="176" fontId="25" fillId="42" borderId="27" applyNumberFormat="0" applyFont="0" applyAlignment="0" applyProtection="0"/>
    <xf numFmtId="213" fontId="2" fillId="0" borderId="0" applyFont="0" applyFill="0" applyBorder="0" applyAlignment="0" applyProtection="0"/>
    <xf numFmtId="214" fontId="2" fillId="0" borderId="0" applyFont="0" applyFill="0" applyBorder="0" applyAlignment="0" applyProtection="0"/>
    <xf numFmtId="176" fontId="75" fillId="33" borderId="28" applyNumberFormat="0" applyAlignment="0" applyProtection="0"/>
    <xf numFmtId="14" fontId="40" fillId="0" borderId="0">
      <alignment horizontal="center" wrapText="1"/>
      <protection locked="0"/>
    </xf>
    <xf numFmtId="215" fontId="25" fillId="0" borderId="0" applyFont="0" applyFill="0" applyBorder="0" applyAlignment="0" applyProtection="0"/>
    <xf numFmtId="196" fontId="25" fillId="0" borderId="0" applyFont="0" applyFill="0" applyBorder="0" applyAlignment="0" applyProtection="0"/>
    <xf numFmtId="186" fontId="25" fillId="0" borderId="0" applyFont="0" applyFill="0" applyBorder="0" applyAlignment="0" applyProtection="0"/>
    <xf numFmtId="10" fontId="25" fillId="0" borderId="0" applyFont="0" applyFill="0" applyBorder="0" applyAlignment="0" applyProtection="0"/>
    <xf numFmtId="9" fontId="30" fillId="0" borderId="0" applyFont="0" applyFill="0" applyBorder="0" applyAlignment="0" applyProtection="0"/>
    <xf numFmtId="13" fontId="25" fillId="0" borderId="0" applyFont="0" applyFill="0" applyProtection="0"/>
    <xf numFmtId="0" fontId="56" fillId="36" borderId="14"/>
    <xf numFmtId="0" fontId="56" fillId="36" borderId="14"/>
    <xf numFmtId="0" fontId="56" fillId="36" borderId="14"/>
    <xf numFmtId="176" fontId="56" fillId="36" borderId="14"/>
    <xf numFmtId="176" fontId="56" fillId="36" borderId="14"/>
    <xf numFmtId="197" fontId="25" fillId="0" borderId="0" applyFill="0" applyBorder="0" applyAlignment="0"/>
    <xf numFmtId="193" fontId="25" fillId="0" borderId="0" applyFill="0" applyBorder="0" applyAlignment="0"/>
    <xf numFmtId="197" fontId="25" fillId="0" borderId="0" applyFill="0" applyBorder="0" applyAlignment="0"/>
    <xf numFmtId="198" fontId="25" fillId="0" borderId="0" applyFill="0" applyBorder="0" applyAlignment="0"/>
    <xf numFmtId="193" fontId="25" fillId="0" borderId="0" applyFill="0" applyBorder="0" applyAlignment="0"/>
    <xf numFmtId="4" fontId="55" fillId="0" borderId="0">
      <alignment horizontal="right"/>
    </xf>
    <xf numFmtId="216" fontId="76" fillId="0" borderId="0"/>
    <xf numFmtId="188" fontId="76" fillId="0" borderId="0"/>
    <xf numFmtId="0" fontId="49" fillId="0" borderId="0" applyNumberFormat="0" applyFont="0" applyFill="0" applyBorder="0" applyAlignment="0" applyProtection="0">
      <alignment horizontal="left"/>
    </xf>
    <xf numFmtId="0" fontId="43" fillId="0" borderId="15">
      <alignment horizontal="center"/>
    </xf>
    <xf numFmtId="3" fontId="77" fillId="0" borderId="0"/>
    <xf numFmtId="4" fontId="78" fillId="0" borderId="0">
      <alignment horizontal="right"/>
    </xf>
    <xf numFmtId="217" fontId="12" fillId="0" borderId="0" applyNumberFormat="0" applyFill="0" applyBorder="0" applyAlignment="0" applyProtection="0">
      <alignment horizontal="left"/>
    </xf>
    <xf numFmtId="218" fontId="2" fillId="0" borderId="0" applyNumberFormat="0" applyFill="0" applyBorder="0" applyAlignment="0" applyProtection="0">
      <alignment horizontal="left"/>
    </xf>
    <xf numFmtId="41" fontId="28" fillId="0" borderId="0" applyFont="0" applyFill="0" applyBorder="0" applyAlignment="0" applyProtection="0"/>
    <xf numFmtId="0" fontId="79" fillId="43" borderId="0">
      <alignment horizontal="left" vertical="center"/>
    </xf>
    <xf numFmtId="0" fontId="79" fillId="43" borderId="0">
      <alignment horizontal="right" vertical="center"/>
    </xf>
    <xf numFmtId="4" fontId="80" fillId="41" borderId="29" applyNumberFormat="0" applyProtection="0">
      <alignment vertical="center"/>
    </xf>
    <xf numFmtId="4" fontId="81" fillId="44" borderId="29" applyNumberFormat="0" applyProtection="0">
      <alignment vertical="center"/>
    </xf>
    <xf numFmtId="4" fontId="80" fillId="44" borderId="29" applyNumberFormat="0" applyProtection="0">
      <alignment horizontal="left" vertical="center" indent="1"/>
    </xf>
    <xf numFmtId="0" fontId="80" fillId="44" borderId="29" applyNumberFormat="0" applyProtection="0">
      <alignment horizontal="left" vertical="top" indent="1"/>
    </xf>
    <xf numFmtId="4" fontId="80" fillId="45" borderId="0" applyNumberFormat="0" applyProtection="0">
      <alignment horizontal="left" vertical="center" indent="1"/>
    </xf>
    <xf numFmtId="4" fontId="29" fillId="6" borderId="29" applyNumberFormat="0" applyProtection="0">
      <alignment horizontal="right" vertical="center"/>
    </xf>
    <xf numFmtId="4" fontId="29" fillId="12" borderId="29" applyNumberFormat="0" applyProtection="0">
      <alignment horizontal="right" vertical="center"/>
    </xf>
    <xf numFmtId="4" fontId="29" fillId="24" borderId="29" applyNumberFormat="0" applyProtection="0">
      <alignment horizontal="right" vertical="center"/>
    </xf>
    <xf numFmtId="4" fontId="29" fillId="14" borderId="29" applyNumberFormat="0" applyProtection="0">
      <alignment horizontal="right" vertical="center"/>
    </xf>
    <xf numFmtId="4" fontId="29" fillId="18" borderId="29" applyNumberFormat="0" applyProtection="0">
      <alignment horizontal="right" vertical="center"/>
    </xf>
    <xf numFmtId="4" fontId="29" fillId="31" borderId="29" applyNumberFormat="0" applyProtection="0">
      <alignment horizontal="right" vertical="center"/>
    </xf>
    <xf numFmtId="4" fontId="29" fillId="28" borderId="29" applyNumberFormat="0" applyProtection="0">
      <alignment horizontal="right" vertical="center"/>
    </xf>
    <xf numFmtId="4" fontId="29" fillId="46" borderId="29" applyNumberFormat="0" applyProtection="0">
      <alignment horizontal="right" vertical="center"/>
    </xf>
    <xf numFmtId="4" fontId="29" fillId="13" borderId="29" applyNumberFormat="0" applyProtection="0">
      <alignment horizontal="right" vertical="center"/>
    </xf>
    <xf numFmtId="4" fontId="80" fillId="47" borderId="30" applyNumberFormat="0" applyProtection="0">
      <alignment horizontal="left" vertical="center" indent="1"/>
    </xf>
    <xf numFmtId="4" fontId="29" fillId="48" borderId="0" applyNumberFormat="0" applyProtection="0">
      <alignment horizontal="left" vertical="center" indent="1"/>
    </xf>
    <xf numFmtId="4" fontId="82" fillId="49" borderId="0" applyNumberFormat="0" applyProtection="0">
      <alignment horizontal="left" vertical="center" indent="1"/>
    </xf>
    <xf numFmtId="4" fontId="29" fillId="50" borderId="29" applyNumberFormat="0" applyProtection="0">
      <alignment horizontal="right" vertical="center"/>
    </xf>
    <xf numFmtId="4" fontId="29" fillId="48" borderId="0" applyNumberFormat="0" applyProtection="0">
      <alignment horizontal="left" vertical="center" indent="1"/>
    </xf>
    <xf numFmtId="4" fontId="29" fillId="45" borderId="0" applyNumberFormat="0" applyProtection="0">
      <alignment horizontal="left" vertical="center" indent="1"/>
    </xf>
    <xf numFmtId="0" fontId="25" fillId="49" borderId="29" applyNumberFormat="0" applyProtection="0">
      <alignment horizontal="left" vertical="center" indent="1"/>
    </xf>
    <xf numFmtId="0" fontId="25" fillId="49" borderId="29" applyNumberFormat="0" applyProtection="0">
      <alignment horizontal="left" vertical="top" indent="1"/>
    </xf>
    <xf numFmtId="0" fontId="25" fillId="45" borderId="29" applyNumberFormat="0" applyProtection="0">
      <alignment horizontal="left" vertical="center" indent="1"/>
    </xf>
    <xf numFmtId="0" fontId="25" fillId="45" borderId="29" applyNumberFormat="0" applyProtection="0">
      <alignment horizontal="left" vertical="top" indent="1"/>
    </xf>
    <xf numFmtId="0" fontId="25" fillId="51" borderId="29" applyNumberFormat="0" applyProtection="0">
      <alignment horizontal="left" vertical="center" indent="1"/>
    </xf>
    <xf numFmtId="0" fontId="25" fillId="51" borderId="29" applyNumberFormat="0" applyProtection="0">
      <alignment horizontal="left" vertical="top" indent="1"/>
    </xf>
    <xf numFmtId="0" fontId="25" fillId="52" borderId="29" applyNumberFormat="0" applyProtection="0">
      <alignment horizontal="left" vertical="center" indent="1"/>
    </xf>
    <xf numFmtId="0" fontId="25" fillId="52" borderId="29" applyNumberFormat="0" applyProtection="0">
      <alignment horizontal="left" vertical="top" indent="1"/>
    </xf>
    <xf numFmtId="4" fontId="29" fillId="38" borderId="29" applyNumberFormat="0" applyProtection="0">
      <alignment vertical="center"/>
    </xf>
    <xf numFmtId="4" fontId="83" fillId="38" borderId="29" applyNumberFormat="0" applyProtection="0">
      <alignment vertical="center"/>
    </xf>
    <xf numFmtId="4" fontId="29" fillId="38" borderId="29" applyNumberFormat="0" applyProtection="0">
      <alignment horizontal="left" vertical="center" indent="1"/>
    </xf>
    <xf numFmtId="0" fontId="29" fillId="38" borderId="29" applyNumberFormat="0" applyProtection="0">
      <alignment horizontal="left" vertical="top" indent="1"/>
    </xf>
    <xf numFmtId="4" fontId="29" fillId="48" borderId="29" applyNumberFormat="0" applyProtection="0">
      <alignment horizontal="right" vertical="center"/>
    </xf>
    <xf numFmtId="4" fontId="83" fillId="48" borderId="29" applyNumberFormat="0" applyProtection="0">
      <alignment horizontal="right" vertical="center"/>
    </xf>
    <xf numFmtId="4" fontId="29" fillId="50" borderId="29" applyNumberFormat="0" applyProtection="0">
      <alignment horizontal="left" vertical="center" indent="1"/>
    </xf>
    <xf numFmtId="0" fontId="29" fillId="45" borderId="29" applyNumberFormat="0" applyProtection="0">
      <alignment horizontal="left" vertical="top" indent="1"/>
    </xf>
    <xf numFmtId="4" fontId="84" fillId="39" borderId="0" applyNumberFormat="0" applyProtection="0">
      <alignment horizontal="left" vertical="center" indent="1"/>
    </xf>
    <xf numFmtId="4" fontId="85" fillId="48" borderId="29" applyNumberFormat="0" applyProtection="0">
      <alignment horizontal="right" vertical="center"/>
    </xf>
    <xf numFmtId="0" fontId="86" fillId="0" borderId="0">
      <alignment horizontal="left"/>
    </xf>
    <xf numFmtId="0" fontId="86" fillId="0" borderId="0">
      <alignment horizontal="left"/>
    </xf>
    <xf numFmtId="176" fontId="86" fillId="0" borderId="0">
      <alignment horizontal="left"/>
    </xf>
    <xf numFmtId="43" fontId="56" fillId="0" borderId="4"/>
    <xf numFmtId="0" fontId="74" fillId="0" borderId="0"/>
    <xf numFmtId="0" fontId="87" fillId="0" borderId="14">
      <alignment horizontal="center"/>
    </xf>
    <xf numFmtId="0" fontId="87" fillId="0" borderId="14">
      <alignment horizontal="center"/>
    </xf>
    <xf numFmtId="0" fontId="87" fillId="0" borderId="14">
      <alignment horizontal="center"/>
    </xf>
    <xf numFmtId="176" fontId="87" fillId="0" borderId="14">
      <alignment horizontal="center"/>
    </xf>
    <xf numFmtId="176" fontId="87" fillId="0" borderId="14">
      <alignment horizontal="center"/>
    </xf>
    <xf numFmtId="0" fontId="87" fillId="0" borderId="0">
      <alignment horizontal="center" vertical="center"/>
    </xf>
    <xf numFmtId="0" fontId="87" fillId="0" borderId="0">
      <alignment horizontal="center" vertical="center"/>
    </xf>
    <xf numFmtId="176" fontId="87" fillId="0" borderId="0">
      <alignment horizontal="center" vertical="center"/>
    </xf>
    <xf numFmtId="0" fontId="88" fillId="53" borderId="0" applyNumberFormat="0" applyFill="0">
      <alignment horizontal="left" vertical="center"/>
    </xf>
    <xf numFmtId="0" fontId="88" fillId="53" borderId="0" applyNumberFormat="0" applyFill="0">
      <alignment horizontal="left" vertical="center"/>
    </xf>
    <xf numFmtId="176" fontId="88" fillId="53" borderId="0" applyNumberFormat="0" applyFill="0">
      <alignment horizontal="left" vertical="center"/>
    </xf>
    <xf numFmtId="0" fontId="71" fillId="0" borderId="0"/>
    <xf numFmtId="40" fontId="89" fillId="0" borderId="0" applyBorder="0">
      <alignment horizontal="right"/>
    </xf>
    <xf numFmtId="49" fontId="29" fillId="0" borderId="0" applyFill="0" applyBorder="0" applyAlignment="0"/>
    <xf numFmtId="219" fontId="29" fillId="0" borderId="0" applyFill="0" applyBorder="0" applyAlignment="0"/>
    <xf numFmtId="220" fontId="25" fillId="0" borderId="0" applyFill="0" applyBorder="0" applyAlignment="0"/>
    <xf numFmtId="0" fontId="90" fillId="0" borderId="0" applyFill="0" applyBorder="0" applyProtection="0">
      <alignment horizontal="left" vertical="top"/>
    </xf>
    <xf numFmtId="0" fontId="90" fillId="0" borderId="0" applyFill="0" applyBorder="0" applyProtection="0">
      <alignment horizontal="left" vertical="top"/>
    </xf>
    <xf numFmtId="176" fontId="90" fillId="0" borderId="0" applyFill="0" applyBorder="0" applyProtection="0">
      <alignment horizontal="left" vertical="top"/>
    </xf>
    <xf numFmtId="0" fontId="91" fillId="0" borderId="0">
      <alignment horizontal="center"/>
    </xf>
    <xf numFmtId="0" fontId="91" fillId="0" borderId="0">
      <alignment horizontal="center"/>
    </xf>
    <xf numFmtId="176" fontId="91" fillId="0" borderId="0">
      <alignment horizontal="center"/>
    </xf>
    <xf numFmtId="176" fontId="92" fillId="0" borderId="31" applyNumberFormat="0" applyFill="0" applyAlignment="0" applyProtection="0"/>
    <xf numFmtId="221" fontId="25" fillId="0" borderId="0" applyFont="0" applyFill="0" applyBorder="0" applyAlignment="0" applyProtection="0"/>
    <xf numFmtId="222" fontId="25" fillId="0" borderId="0" applyFont="0" applyFill="0" applyBorder="0" applyAlignment="0" applyProtection="0"/>
    <xf numFmtId="223" fontId="2" fillId="0" borderId="0" applyFont="0" applyFill="0" applyBorder="0" applyAlignment="0" applyProtection="0"/>
    <xf numFmtId="224" fontId="2" fillId="0" borderId="0" applyFont="0" applyFill="0" applyBorder="0" applyAlignment="0" applyProtection="0"/>
    <xf numFmtId="176" fontId="93" fillId="0" borderId="0" applyNumberFormat="0" applyFill="0" applyBorder="0" applyAlignment="0" applyProtection="0"/>
    <xf numFmtId="0" fontId="94" fillId="0" borderId="0" applyNumberFormat="0" applyFont="0" applyFill="0" applyBorder="0" applyProtection="0">
      <alignment horizontal="center" vertical="center" wrapText="1"/>
    </xf>
    <xf numFmtId="0" fontId="94" fillId="0" borderId="0" applyNumberFormat="0" applyFont="0" applyFill="0" applyBorder="0" applyProtection="0">
      <alignment horizontal="center" vertical="center" wrapText="1"/>
    </xf>
    <xf numFmtId="176" fontId="94" fillId="0" borderId="0" applyNumberFormat="0" applyFont="0" applyFill="0" applyBorder="0" applyProtection="0">
      <alignment horizontal="center" vertical="center" wrapText="1"/>
    </xf>
    <xf numFmtId="9" fontId="95" fillId="0" borderId="0" applyFont="0" applyFill="0" applyBorder="0" applyAlignment="0" applyProtection="0"/>
    <xf numFmtId="0" fontId="12" fillId="0" borderId="0"/>
    <xf numFmtId="0" fontId="6" fillId="0" borderId="0"/>
    <xf numFmtId="225" fontId="12" fillId="0" borderId="0" applyFont="0" applyFill="0" applyBorder="0" applyAlignment="0" applyProtection="0"/>
    <xf numFmtId="226" fontId="12" fillId="0" borderId="0" applyFont="0" applyFill="0" applyBorder="0" applyAlignment="0" applyProtection="0"/>
    <xf numFmtId="41" fontId="25" fillId="0" borderId="0" applyFont="0" applyFill="0" applyBorder="0" applyAlignment="0" applyProtection="0"/>
    <xf numFmtId="9" fontId="12" fillId="0" borderId="0" applyFont="0" applyFill="0" applyBorder="0" applyAlignment="0" applyProtection="0"/>
    <xf numFmtId="9" fontId="2" fillId="0" borderId="0" applyFont="0" applyFill="0" applyBorder="0" applyAlignment="0" applyProtection="0">
      <alignment vertical="center"/>
    </xf>
    <xf numFmtId="9" fontId="2" fillId="0" borderId="0" applyFont="0" applyFill="0" applyBorder="0" applyAlignment="0" applyProtection="0">
      <alignment vertical="center"/>
    </xf>
    <xf numFmtId="9" fontId="25" fillId="0" borderId="0" applyFont="0" applyFill="0" applyBorder="0" applyAlignment="0" applyProtection="0"/>
    <xf numFmtId="9" fontId="2" fillId="0" borderId="0" applyFont="0" applyFill="0" applyBorder="0" applyAlignment="0" applyProtection="0"/>
    <xf numFmtId="181" fontId="32" fillId="0" borderId="0" applyFill="0" applyBorder="0" applyProtection="0">
      <alignment horizontal="right"/>
    </xf>
    <xf numFmtId="0" fontId="96" fillId="0" borderId="0" applyFont="0" applyFill="0" applyBorder="0" applyAlignment="0" applyProtection="0"/>
    <xf numFmtId="0" fontId="96" fillId="0" borderId="0" applyFont="0" applyFill="0" applyBorder="0" applyAlignment="0" applyProtection="0"/>
    <xf numFmtId="4" fontId="97" fillId="0" borderId="0">
      <alignment horizontal="right"/>
    </xf>
    <xf numFmtId="0" fontId="98" fillId="0" borderId="0" applyNumberFormat="0" applyFill="0" applyBorder="0" applyAlignment="0" applyProtection="0"/>
    <xf numFmtId="0" fontId="99" fillId="14" borderId="0" applyNumberFormat="0" applyBorder="0" applyAlignment="0" applyProtection="0">
      <alignment vertical="center"/>
    </xf>
    <xf numFmtId="0" fontId="100" fillId="6" borderId="0" applyNumberFormat="0" applyBorder="0" applyAlignment="0" applyProtection="0">
      <alignment vertical="center"/>
    </xf>
    <xf numFmtId="0" fontId="100" fillId="6" borderId="0" applyNumberFormat="0" applyBorder="0" applyAlignment="0" applyProtection="0">
      <alignment vertical="center"/>
    </xf>
    <xf numFmtId="0" fontId="99" fillId="14" borderId="0" applyNumberFormat="0" applyBorder="0" applyAlignment="0" applyProtection="0">
      <alignment vertical="center"/>
    </xf>
    <xf numFmtId="0" fontId="101" fillId="54" borderId="0" applyNumberFormat="0" applyBorder="0" applyAlignment="0" applyProtection="0"/>
    <xf numFmtId="0" fontId="100" fillId="6" borderId="0" applyNumberFormat="0" applyBorder="0" applyAlignment="0" applyProtection="0">
      <alignment vertical="center"/>
    </xf>
    <xf numFmtId="0" fontId="100" fillId="6" borderId="0" applyNumberFormat="0" applyBorder="0" applyAlignment="0" applyProtection="0">
      <alignment vertical="center"/>
    </xf>
    <xf numFmtId="0" fontId="100" fillId="6" borderId="0" applyNumberFormat="0" applyBorder="0" applyAlignment="0" applyProtection="0">
      <alignment vertical="center"/>
    </xf>
    <xf numFmtId="0" fontId="100" fillId="6" borderId="0" applyNumberFormat="0" applyBorder="0" applyAlignment="0" applyProtection="0">
      <alignment vertical="center"/>
    </xf>
    <xf numFmtId="0" fontId="100" fillId="6" borderId="0" applyNumberFormat="0" applyBorder="0" applyAlignment="0" applyProtection="0">
      <alignment vertical="center"/>
    </xf>
    <xf numFmtId="0" fontId="100" fillId="6" borderId="0" applyNumberFormat="0" applyBorder="0" applyAlignment="0" applyProtection="0">
      <alignment vertical="center"/>
    </xf>
    <xf numFmtId="0" fontId="100" fillId="6" borderId="0" applyNumberFormat="0" applyBorder="0" applyAlignment="0" applyProtection="0">
      <alignment vertical="center"/>
    </xf>
    <xf numFmtId="0" fontId="100" fillId="6" borderId="0" applyNumberFormat="0" applyBorder="0" applyAlignment="0" applyProtection="0">
      <alignment vertical="center"/>
    </xf>
    <xf numFmtId="0" fontId="99" fillId="14" borderId="0" applyNumberFormat="0" applyBorder="0" applyAlignment="0" applyProtection="0">
      <alignment vertical="center"/>
    </xf>
    <xf numFmtId="0" fontId="99" fillId="14" borderId="0" applyNumberFormat="0" applyBorder="0" applyAlignment="0" applyProtection="0">
      <alignment vertical="center"/>
    </xf>
    <xf numFmtId="0" fontId="102" fillId="55" borderId="0" applyNumberFormat="0" applyBorder="0" applyAlignment="0" applyProtection="0">
      <alignment vertical="center"/>
    </xf>
    <xf numFmtId="0" fontId="100" fillId="6" borderId="0" applyNumberFormat="0" applyBorder="0" applyAlignment="0" applyProtection="0">
      <alignment vertical="center"/>
    </xf>
    <xf numFmtId="0" fontId="103" fillId="3" borderId="0" applyNumberFormat="0" applyBorder="0" applyAlignment="0" applyProtection="0">
      <alignment vertical="center"/>
    </xf>
    <xf numFmtId="0" fontId="104" fillId="6" borderId="0" applyNumberFormat="0" applyBorder="0" applyAlignment="0" applyProtection="0">
      <alignment vertical="center"/>
    </xf>
    <xf numFmtId="0" fontId="104" fillId="6" borderId="0" applyNumberFormat="0" applyBorder="0" applyAlignment="0" applyProtection="0">
      <alignment vertical="center"/>
    </xf>
    <xf numFmtId="0" fontId="99" fillId="14" borderId="0" applyNumberFormat="0" applyBorder="0" applyAlignment="0" applyProtection="0">
      <alignment vertical="center"/>
    </xf>
    <xf numFmtId="0" fontId="99" fillId="14" borderId="0" applyNumberFormat="0" applyBorder="0" applyAlignment="0" applyProtection="0">
      <alignment vertical="center"/>
    </xf>
    <xf numFmtId="0" fontId="99" fillId="14" borderId="0" applyNumberFormat="0" applyBorder="0" applyAlignment="0" applyProtection="0">
      <alignment vertical="center"/>
    </xf>
    <xf numFmtId="0" fontId="99" fillId="14" borderId="0" applyNumberFormat="0" applyBorder="0" applyAlignment="0" applyProtection="0">
      <alignment vertical="center"/>
    </xf>
    <xf numFmtId="0" fontId="102" fillId="55" borderId="0" applyNumberFormat="0" applyBorder="0" applyAlignment="0" applyProtection="0">
      <alignment vertical="center"/>
    </xf>
    <xf numFmtId="0" fontId="99" fillId="14" borderId="0" applyNumberFormat="0" applyBorder="0" applyAlignment="0" applyProtection="0">
      <alignment vertical="center"/>
    </xf>
    <xf numFmtId="0" fontId="99" fillId="14" borderId="0" applyNumberFormat="0" applyBorder="0" applyAlignment="0" applyProtection="0">
      <alignment vertical="center"/>
    </xf>
    <xf numFmtId="0" fontId="99" fillId="14" borderId="0" applyNumberFormat="0" applyBorder="0" applyAlignment="0" applyProtection="0">
      <alignment vertical="center"/>
    </xf>
    <xf numFmtId="0" fontId="99" fillId="14" borderId="0" applyNumberFormat="0" applyBorder="0" applyAlignment="0" applyProtection="0">
      <alignment vertical="center"/>
    </xf>
    <xf numFmtId="0" fontId="100" fillId="6" borderId="0" applyNumberFormat="0" applyBorder="0" applyAlignment="0" applyProtection="0">
      <alignment vertical="center"/>
    </xf>
    <xf numFmtId="0" fontId="99" fillId="14" borderId="0" applyNumberFormat="0" applyBorder="0" applyAlignment="0" applyProtection="0">
      <alignment vertical="center"/>
    </xf>
    <xf numFmtId="0" fontId="100" fillId="6" borderId="0" applyNumberFormat="0" applyBorder="0" applyAlignment="0" applyProtection="0">
      <alignment vertical="center"/>
    </xf>
    <xf numFmtId="0" fontId="99" fillId="14" borderId="0" applyNumberFormat="0" applyBorder="0" applyAlignment="0" applyProtection="0">
      <alignment vertical="center"/>
    </xf>
    <xf numFmtId="0" fontId="99" fillId="14" borderId="0" applyNumberFormat="0" applyBorder="0" applyAlignment="0" applyProtection="0">
      <alignment vertical="center"/>
    </xf>
    <xf numFmtId="0" fontId="99" fillId="14" borderId="0" applyNumberFormat="0" applyBorder="0" applyAlignment="0" applyProtection="0">
      <alignment vertical="center"/>
    </xf>
    <xf numFmtId="0" fontId="99" fillId="14" borderId="0" applyNumberFormat="0" applyBorder="0" applyAlignment="0" applyProtection="0">
      <alignment vertical="center"/>
    </xf>
    <xf numFmtId="0" fontId="99" fillId="14" borderId="0" applyNumberFormat="0" applyBorder="0" applyAlignment="0" applyProtection="0">
      <alignment vertical="center"/>
    </xf>
    <xf numFmtId="0" fontId="99" fillId="14" borderId="0" applyNumberFormat="0" applyBorder="0" applyAlignment="0" applyProtection="0">
      <alignment vertical="center"/>
    </xf>
    <xf numFmtId="0" fontId="99" fillId="14" borderId="0" applyNumberFormat="0" applyBorder="0" applyAlignment="0" applyProtection="0">
      <alignment vertical="center"/>
    </xf>
    <xf numFmtId="0" fontId="99" fillId="14" borderId="0" applyNumberFormat="0" applyBorder="0" applyAlignment="0" applyProtection="0">
      <alignment vertical="center"/>
    </xf>
    <xf numFmtId="0" fontId="99" fillId="31" borderId="0" applyNumberFormat="0" applyBorder="0" applyAlignment="0" applyProtection="0">
      <alignment vertical="center"/>
    </xf>
    <xf numFmtId="0" fontId="99" fillId="14" borderId="0" applyNumberFormat="0" applyBorder="0" applyAlignment="0" applyProtection="0">
      <alignment vertical="center"/>
    </xf>
    <xf numFmtId="0" fontId="99" fillId="14" borderId="0" applyNumberFormat="0" applyBorder="0" applyAlignment="0" applyProtection="0">
      <alignment vertical="center"/>
    </xf>
    <xf numFmtId="0" fontId="105" fillId="8" borderId="0" applyNumberFormat="0" applyBorder="0" applyAlignment="0" applyProtection="0">
      <alignment vertical="center"/>
    </xf>
    <xf numFmtId="0" fontId="106" fillId="0" borderId="0">
      <alignment vertical="center"/>
    </xf>
    <xf numFmtId="0" fontId="106" fillId="0" borderId="0">
      <alignment vertical="center"/>
    </xf>
    <xf numFmtId="0" fontId="106" fillId="0" borderId="0">
      <alignment vertical="center"/>
    </xf>
    <xf numFmtId="0" fontId="106" fillId="0" borderId="0">
      <alignment vertical="center"/>
    </xf>
    <xf numFmtId="0" fontId="1" fillId="0" borderId="0">
      <alignment vertical="center"/>
    </xf>
    <xf numFmtId="0" fontId="1" fillId="0" borderId="0">
      <alignment vertical="center"/>
    </xf>
    <xf numFmtId="0" fontId="2" fillId="0" borderId="0">
      <alignment vertical="center"/>
    </xf>
    <xf numFmtId="0" fontId="2" fillId="0" borderId="0">
      <alignment vertical="center"/>
    </xf>
    <xf numFmtId="0" fontId="2" fillId="0" borderId="0">
      <alignment vertical="center"/>
    </xf>
    <xf numFmtId="0" fontId="106" fillId="0" borderId="0">
      <alignment vertical="center"/>
    </xf>
    <xf numFmtId="0" fontId="106" fillId="0" borderId="0">
      <alignment vertical="center"/>
    </xf>
    <xf numFmtId="0" fontId="106" fillId="0" borderId="0">
      <alignment vertical="center"/>
    </xf>
    <xf numFmtId="0" fontId="106" fillId="0" borderId="0">
      <alignment vertical="center"/>
    </xf>
    <xf numFmtId="0" fontId="106" fillId="0" borderId="0">
      <alignment vertical="center"/>
    </xf>
    <xf numFmtId="0" fontId="106" fillId="0" borderId="0">
      <alignment vertical="center"/>
    </xf>
    <xf numFmtId="0" fontId="106" fillId="0" borderId="0">
      <alignment vertical="center"/>
    </xf>
    <xf numFmtId="0" fontId="107" fillId="0" borderId="0"/>
    <xf numFmtId="0" fontId="106" fillId="0" borderId="0">
      <alignment vertical="center"/>
    </xf>
    <xf numFmtId="0" fontId="25" fillId="0" borderId="0"/>
    <xf numFmtId="0" fontId="38" fillId="0" borderId="0" applyNumberFormat="0" applyBorder="0" applyAlignment="0">
      <alignment vertical="center"/>
      <protection locked="0"/>
    </xf>
    <xf numFmtId="0" fontId="2" fillId="0" borderId="0">
      <alignment vertical="center"/>
      <protection locked="0"/>
    </xf>
    <xf numFmtId="0" fontId="106" fillId="0" borderId="0">
      <alignment vertical="center"/>
    </xf>
    <xf numFmtId="0" fontId="2" fillId="0" borderId="0">
      <alignment vertical="center"/>
      <protection locked="0"/>
    </xf>
    <xf numFmtId="0" fontId="108" fillId="0" borderId="0">
      <alignment vertical="center"/>
    </xf>
    <xf numFmtId="0" fontId="106" fillId="0" borderId="0">
      <alignment vertical="center"/>
    </xf>
    <xf numFmtId="0" fontId="107" fillId="0" borderId="0"/>
    <xf numFmtId="0" fontId="2" fillId="0" borderId="0">
      <alignment vertical="center"/>
    </xf>
    <xf numFmtId="0" fontId="107" fillId="0" borderId="0"/>
    <xf numFmtId="0" fontId="2" fillId="0" borderId="0">
      <alignment vertical="center"/>
    </xf>
    <xf numFmtId="0" fontId="2" fillId="0" borderId="0">
      <alignment vertical="center"/>
    </xf>
    <xf numFmtId="0" fontId="108" fillId="0" borderId="0" applyNumberFormat="0" applyBorder="0" applyProtection="0">
      <alignment vertical="center"/>
    </xf>
    <xf numFmtId="0" fontId="2" fillId="0" borderId="0"/>
    <xf numFmtId="0" fontId="2" fillId="0" borderId="0">
      <alignment vertical="center"/>
      <protection locked="0"/>
    </xf>
    <xf numFmtId="0" fontId="2" fillId="0" borderId="0">
      <protection locked="0"/>
    </xf>
    <xf numFmtId="176" fontId="2" fillId="0" borderId="0">
      <protection locked="0"/>
    </xf>
    <xf numFmtId="0" fontId="11" fillId="0" borderId="0"/>
    <xf numFmtId="0" fontId="25" fillId="0" borderId="0"/>
    <xf numFmtId="0" fontId="2" fillId="0" borderId="0">
      <protection locked="0"/>
    </xf>
    <xf numFmtId="0" fontId="2" fillId="0" borderId="0">
      <alignment vertical="center"/>
    </xf>
    <xf numFmtId="0" fontId="2" fillId="0" borderId="0">
      <alignment vertical="center"/>
      <protection locked="0"/>
    </xf>
    <xf numFmtId="0" fontId="11" fillId="0" borderId="0"/>
    <xf numFmtId="0" fontId="2" fillId="0" borderId="0"/>
    <xf numFmtId="0" fontId="2" fillId="0" borderId="0"/>
    <xf numFmtId="176" fontId="2" fillId="0" borderId="0"/>
    <xf numFmtId="0" fontId="2" fillId="0" borderId="0">
      <alignment vertical="center"/>
    </xf>
    <xf numFmtId="0" fontId="2" fillId="0" borderId="0">
      <protection locked="0"/>
    </xf>
    <xf numFmtId="0" fontId="2" fillId="0" borderId="0">
      <alignment vertical="center"/>
    </xf>
    <xf numFmtId="176" fontId="2" fillId="0" borderId="0"/>
    <xf numFmtId="0" fontId="108" fillId="0" borderId="0">
      <alignment vertical="center"/>
    </xf>
    <xf numFmtId="0" fontId="106" fillId="0" borderId="0">
      <alignment vertical="center"/>
    </xf>
    <xf numFmtId="0" fontId="106" fillId="0" borderId="0">
      <alignment vertical="center"/>
    </xf>
    <xf numFmtId="0" fontId="108" fillId="0" borderId="0">
      <alignment vertical="center"/>
    </xf>
    <xf numFmtId="0" fontId="106" fillId="0" borderId="0">
      <alignment vertical="center"/>
    </xf>
    <xf numFmtId="0" fontId="2" fillId="0" borderId="0">
      <alignment vertical="center"/>
      <protection locked="0"/>
    </xf>
    <xf numFmtId="0" fontId="2" fillId="0" borderId="0"/>
    <xf numFmtId="0" fontId="2" fillId="0" borderId="0"/>
    <xf numFmtId="0" fontId="2" fillId="0" borderId="0" applyNumberFormat="0" applyFill="0" applyBorder="0" applyAlignment="0" applyProtection="0"/>
    <xf numFmtId="0" fontId="1" fillId="0" borderId="0">
      <alignment vertical="center"/>
    </xf>
    <xf numFmtId="0" fontId="1" fillId="0" borderId="0">
      <alignment vertical="center"/>
    </xf>
    <xf numFmtId="0" fontId="38" fillId="0" borderId="0" applyNumberFormat="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06" fillId="0" borderId="0">
      <alignment vertical="center"/>
    </xf>
    <xf numFmtId="0" fontId="1" fillId="0" borderId="0">
      <alignment vertical="center"/>
    </xf>
    <xf numFmtId="0" fontId="1" fillId="0" borderId="0">
      <alignment vertical="center"/>
    </xf>
    <xf numFmtId="0" fontId="1" fillId="0" borderId="0">
      <alignment vertical="center"/>
    </xf>
    <xf numFmtId="0" fontId="25" fillId="0" borderId="0"/>
    <xf numFmtId="0" fontId="1" fillId="0" borderId="0">
      <alignment vertical="center"/>
    </xf>
    <xf numFmtId="0" fontId="1" fillId="0" borderId="0">
      <alignment vertical="center"/>
    </xf>
    <xf numFmtId="0" fontId="106" fillId="0" borderId="0">
      <alignment vertical="center"/>
    </xf>
    <xf numFmtId="0" fontId="106" fillId="0" borderId="0">
      <alignment vertical="center"/>
    </xf>
    <xf numFmtId="0" fontId="1" fillId="0" borderId="0">
      <alignment vertical="center"/>
    </xf>
    <xf numFmtId="0" fontId="1" fillId="0" borderId="0">
      <alignment vertical="center"/>
    </xf>
    <xf numFmtId="0" fontId="106" fillId="0" borderId="0">
      <alignment vertical="center"/>
    </xf>
    <xf numFmtId="0" fontId="1" fillId="0" borderId="0">
      <alignment vertical="center"/>
    </xf>
    <xf numFmtId="0" fontId="106" fillId="0" borderId="0">
      <alignment vertical="center"/>
    </xf>
    <xf numFmtId="0" fontId="1" fillId="0" borderId="0">
      <alignment vertical="center"/>
    </xf>
    <xf numFmtId="0" fontId="106" fillId="0" borderId="0">
      <alignment vertical="center"/>
    </xf>
    <xf numFmtId="0" fontId="106" fillId="0" borderId="0">
      <alignment vertical="center"/>
    </xf>
    <xf numFmtId="0" fontId="106" fillId="0" borderId="0">
      <alignment vertical="center"/>
    </xf>
    <xf numFmtId="0" fontId="106" fillId="0" borderId="0">
      <alignment vertical="center"/>
    </xf>
    <xf numFmtId="0" fontId="106" fillId="0" borderId="0">
      <alignment vertical="center"/>
    </xf>
    <xf numFmtId="0" fontId="106" fillId="0" borderId="0">
      <alignment vertical="center"/>
    </xf>
    <xf numFmtId="0" fontId="106" fillId="0" borderId="0">
      <alignment vertical="center"/>
    </xf>
    <xf numFmtId="0" fontId="106" fillId="0" borderId="0">
      <alignment vertical="center"/>
    </xf>
    <xf numFmtId="0" fontId="1" fillId="0" borderId="0">
      <alignment vertical="center"/>
    </xf>
    <xf numFmtId="0" fontId="109" fillId="0" borderId="0" applyNumberFormat="0" applyFill="0" applyBorder="0" applyAlignment="0" applyProtection="0">
      <alignment vertical="top"/>
      <protection locked="0"/>
    </xf>
    <xf numFmtId="176" fontId="110" fillId="0" borderId="0" applyNumberFormat="0" applyFill="0" applyBorder="0" applyAlignment="0" applyProtection="0">
      <alignment vertical="top"/>
      <protection locked="0"/>
    </xf>
    <xf numFmtId="176" fontId="110" fillId="0" borderId="0" applyNumberFormat="0" applyFill="0" applyBorder="0" applyAlignment="0" applyProtection="0">
      <alignment vertical="top"/>
      <protection locked="0"/>
    </xf>
    <xf numFmtId="0" fontId="110" fillId="0" borderId="0" applyNumberFormat="0" applyFill="0" applyBorder="0" applyAlignment="0" applyProtection="0">
      <alignment vertical="top"/>
      <protection locked="0"/>
    </xf>
    <xf numFmtId="0" fontId="111" fillId="0" borderId="0" applyNumberFormat="0" applyFill="0" applyBorder="0" applyAlignment="0" applyProtection="0">
      <alignment vertical="top"/>
      <protection locked="0"/>
    </xf>
    <xf numFmtId="0" fontId="43" fillId="0" borderId="0" applyNumberFormat="0" applyFill="0" applyBorder="0" applyAlignment="0" applyProtection="0"/>
    <xf numFmtId="0" fontId="112" fillId="56" borderId="0" applyNumberFormat="0" applyBorder="0" applyAlignment="0" applyProtection="0">
      <alignment vertical="center"/>
    </xf>
    <xf numFmtId="0" fontId="113" fillId="7" borderId="0" applyNumberFormat="0" applyBorder="0" applyAlignment="0" applyProtection="0">
      <alignment vertical="center"/>
    </xf>
    <xf numFmtId="0" fontId="113" fillId="56" borderId="0" applyNumberFormat="0" applyBorder="0" applyAlignment="0" applyProtection="0">
      <alignment vertical="center"/>
    </xf>
    <xf numFmtId="0" fontId="113" fillId="56" borderId="0" applyNumberFormat="0" applyBorder="0" applyAlignment="0" applyProtection="0">
      <alignment vertical="center"/>
    </xf>
    <xf numFmtId="0" fontId="113" fillId="56" borderId="0" applyNumberFormat="0" applyBorder="0" applyAlignment="0" applyProtection="0">
      <alignment vertical="center"/>
    </xf>
    <xf numFmtId="0" fontId="113" fillId="7" borderId="0" applyNumberFormat="0" applyBorder="0" applyAlignment="0" applyProtection="0">
      <alignment vertical="center"/>
    </xf>
    <xf numFmtId="0" fontId="112" fillId="56" borderId="0" applyNumberFormat="0" applyBorder="0" applyAlignment="0" applyProtection="0">
      <alignment vertical="center"/>
    </xf>
    <xf numFmtId="0" fontId="114" fillId="29" borderId="0" applyNumberFormat="0" applyBorder="0" applyAlignment="0" applyProtection="0"/>
    <xf numFmtId="0" fontId="113" fillId="7" borderId="0" applyNumberFormat="0" applyBorder="0" applyAlignment="0" applyProtection="0">
      <alignment vertical="center"/>
    </xf>
    <xf numFmtId="0" fontId="113" fillId="7" borderId="0" applyNumberFormat="0" applyBorder="0" applyAlignment="0" applyProtection="0">
      <alignment vertical="center"/>
    </xf>
    <xf numFmtId="0" fontId="113" fillId="7" borderId="0" applyNumberFormat="0" applyBorder="0" applyAlignment="0" applyProtection="0">
      <alignment vertical="center"/>
    </xf>
    <xf numFmtId="0" fontId="113" fillId="7" borderId="0" applyNumberFormat="0" applyBorder="0" applyAlignment="0" applyProtection="0">
      <alignment vertical="center"/>
    </xf>
    <xf numFmtId="0" fontId="113" fillId="7" borderId="0" applyNumberFormat="0" applyBorder="0" applyAlignment="0" applyProtection="0">
      <alignment vertical="center"/>
    </xf>
    <xf numFmtId="0" fontId="113" fillId="7" borderId="0" applyNumberFormat="0" applyBorder="0" applyAlignment="0" applyProtection="0">
      <alignment vertical="center"/>
    </xf>
    <xf numFmtId="0" fontId="113" fillId="7" borderId="0" applyNumberFormat="0" applyBorder="0" applyAlignment="0" applyProtection="0">
      <alignment vertical="center"/>
    </xf>
    <xf numFmtId="0" fontId="113" fillId="7" borderId="0" applyNumberFormat="0" applyBorder="0" applyAlignment="0" applyProtection="0">
      <alignment vertical="center"/>
    </xf>
    <xf numFmtId="0" fontId="113" fillId="56" borderId="0" applyNumberFormat="0" applyBorder="0" applyAlignment="0" applyProtection="0">
      <alignment vertical="center"/>
    </xf>
    <xf numFmtId="0" fontId="112" fillId="56" borderId="0" applyNumberFormat="0" applyBorder="0" applyAlignment="0" applyProtection="0">
      <alignment vertical="center"/>
    </xf>
    <xf numFmtId="0" fontId="113" fillId="7" borderId="0" applyNumberFormat="0" applyBorder="0" applyAlignment="0" applyProtection="0">
      <alignment vertical="center"/>
    </xf>
    <xf numFmtId="0" fontId="115" fillId="2" borderId="0" applyNumberFormat="0" applyBorder="0" applyAlignment="0" applyProtection="0">
      <alignment vertical="center"/>
    </xf>
    <xf numFmtId="0" fontId="116" fillId="7" borderId="0" applyNumberFormat="0" applyBorder="0" applyAlignment="0" applyProtection="0">
      <alignment vertical="center"/>
    </xf>
    <xf numFmtId="0" fontId="114" fillId="7" borderId="0" applyNumberFormat="0" applyBorder="0" applyAlignment="0" applyProtection="0">
      <alignment vertical="center"/>
    </xf>
    <xf numFmtId="0" fontId="112" fillId="56" borderId="0" applyNumberFormat="0" applyBorder="0" applyAlignment="0" applyProtection="0">
      <alignment vertical="center"/>
    </xf>
    <xf numFmtId="0" fontId="113" fillId="56" borderId="0" applyNumberFormat="0" applyBorder="0" applyAlignment="0" applyProtection="0">
      <alignment vertical="center"/>
    </xf>
    <xf numFmtId="0" fontId="112" fillId="56" borderId="0" applyNumberFormat="0" applyBorder="0" applyAlignment="0" applyProtection="0">
      <alignment vertical="center"/>
    </xf>
    <xf numFmtId="0" fontId="112" fillId="56" borderId="0" applyNumberFormat="0" applyBorder="0" applyAlignment="0" applyProtection="0">
      <alignment vertical="center"/>
    </xf>
    <xf numFmtId="0" fontId="112" fillId="56" borderId="0" applyNumberFormat="0" applyBorder="0" applyAlignment="0" applyProtection="0">
      <alignment vertical="center"/>
    </xf>
    <xf numFmtId="0" fontId="117" fillId="57" borderId="0" applyNumberFormat="0" applyBorder="0" applyAlignment="0" applyProtection="0">
      <alignment vertical="center"/>
    </xf>
    <xf numFmtId="0" fontId="112" fillId="56" borderId="0" applyNumberFormat="0" applyBorder="0" applyAlignment="0" applyProtection="0">
      <alignment vertical="center"/>
    </xf>
    <xf numFmtId="0" fontId="117" fillId="57" borderId="0" applyNumberFormat="0" applyBorder="0" applyAlignment="0" applyProtection="0">
      <alignment vertical="center"/>
    </xf>
    <xf numFmtId="0" fontId="113" fillId="56" borderId="0" applyNumberFormat="0" applyBorder="0" applyAlignment="0" applyProtection="0">
      <alignment vertical="center"/>
    </xf>
    <xf numFmtId="0" fontId="112" fillId="56" borderId="0" applyNumberFormat="0" applyBorder="0" applyAlignment="0" applyProtection="0">
      <alignment vertical="center"/>
    </xf>
    <xf numFmtId="0" fontId="112" fillId="56" borderId="0" applyNumberFormat="0" applyBorder="0" applyAlignment="0" applyProtection="0">
      <alignment vertical="center"/>
    </xf>
    <xf numFmtId="0" fontId="113" fillId="7" borderId="0" applyNumberFormat="0" applyBorder="0" applyAlignment="0" applyProtection="0">
      <alignment vertical="center"/>
    </xf>
    <xf numFmtId="0" fontId="112" fillId="56" borderId="0" applyNumberFormat="0" applyBorder="0" applyAlignment="0" applyProtection="0">
      <alignment vertical="center"/>
    </xf>
    <xf numFmtId="0" fontId="113" fillId="7" borderId="0" applyNumberFormat="0" applyBorder="0" applyAlignment="0" applyProtection="0">
      <alignment vertical="center"/>
    </xf>
    <xf numFmtId="0" fontId="112" fillId="56" borderId="0" applyNumberFormat="0" applyBorder="0" applyAlignment="0" applyProtection="0">
      <alignment vertical="center"/>
    </xf>
    <xf numFmtId="0" fontId="113" fillId="56" borderId="0" applyNumberFormat="0" applyBorder="0" applyAlignment="0" applyProtection="0">
      <alignment vertical="center"/>
    </xf>
    <xf numFmtId="0" fontId="112" fillId="56" borderId="0" applyNumberFormat="0" applyBorder="0" applyAlignment="0" applyProtection="0">
      <alignment vertical="center"/>
    </xf>
    <xf numFmtId="0" fontId="113" fillId="56" borderId="0" applyNumberFormat="0" applyBorder="0" applyAlignment="0" applyProtection="0">
      <alignment vertical="center"/>
    </xf>
    <xf numFmtId="0" fontId="112" fillId="56" borderId="0" applyNumberFormat="0" applyBorder="0" applyAlignment="0" applyProtection="0">
      <alignment vertical="center"/>
    </xf>
    <xf numFmtId="0" fontId="112" fillId="56" borderId="0" applyNumberFormat="0" applyBorder="0" applyAlignment="0" applyProtection="0">
      <alignment vertical="center"/>
    </xf>
    <xf numFmtId="0" fontId="112" fillId="56" borderId="0" applyNumberFormat="0" applyBorder="0" applyAlignment="0" applyProtection="0">
      <alignment vertical="center"/>
    </xf>
    <xf numFmtId="0" fontId="112" fillId="56" borderId="0" applyNumberFormat="0" applyBorder="0" applyAlignment="0" applyProtection="0">
      <alignment vertical="center"/>
    </xf>
    <xf numFmtId="0" fontId="113" fillId="56" borderId="0" applyNumberFormat="0" applyBorder="0" applyAlignment="0" applyProtection="0">
      <alignment vertical="center"/>
    </xf>
    <xf numFmtId="0" fontId="112" fillId="56" borderId="0" applyNumberFormat="0" applyBorder="0" applyAlignment="0" applyProtection="0">
      <alignment vertical="center"/>
    </xf>
    <xf numFmtId="0" fontId="112" fillId="56" borderId="0" applyNumberFormat="0" applyBorder="0" applyAlignment="0" applyProtection="0">
      <alignment vertical="center"/>
    </xf>
    <xf numFmtId="0" fontId="113" fillId="56" borderId="0" applyNumberFormat="0" applyBorder="0" applyAlignment="0" applyProtection="0">
      <alignment vertical="center"/>
    </xf>
    <xf numFmtId="0" fontId="112" fillId="56" borderId="0" applyNumberFormat="0" applyBorder="0" applyAlignment="0" applyProtection="0">
      <alignment vertical="center"/>
    </xf>
    <xf numFmtId="0" fontId="112" fillId="56" borderId="0" applyNumberFormat="0" applyBorder="0" applyAlignment="0" applyProtection="0">
      <alignment vertical="center"/>
    </xf>
    <xf numFmtId="0" fontId="113" fillId="56" borderId="0" applyNumberFormat="0" applyBorder="0" applyAlignment="0" applyProtection="0">
      <alignment vertical="center"/>
    </xf>
    <xf numFmtId="0" fontId="112" fillId="56" borderId="0" applyNumberFormat="0" applyBorder="0" applyAlignment="0" applyProtection="0">
      <alignment vertical="center"/>
    </xf>
    <xf numFmtId="0" fontId="113" fillId="58" borderId="0" applyNumberFormat="0" applyBorder="0" applyAlignment="0" applyProtection="0">
      <alignment vertical="center"/>
    </xf>
    <xf numFmtId="0" fontId="112" fillId="56" borderId="0" applyNumberFormat="0" applyBorder="0" applyAlignment="0" applyProtection="0">
      <alignment vertical="center"/>
    </xf>
    <xf numFmtId="0" fontId="117" fillId="57" borderId="0" applyNumberFormat="0" applyBorder="0" applyAlignment="0" applyProtection="0">
      <alignment vertical="center"/>
    </xf>
    <xf numFmtId="0" fontId="112" fillId="56" borderId="0" applyNumberFormat="0" applyBorder="0" applyAlignment="0" applyProtection="0">
      <alignment vertical="center"/>
    </xf>
    <xf numFmtId="0" fontId="117" fillId="57" borderId="0" applyNumberFormat="0" applyBorder="0" applyAlignment="0" applyProtection="0">
      <alignment vertical="center"/>
    </xf>
    <xf numFmtId="0" fontId="113" fillId="56" borderId="0" applyNumberFormat="0" applyBorder="0" applyAlignment="0" applyProtection="0">
      <alignment vertical="center"/>
    </xf>
    <xf numFmtId="0" fontId="116" fillId="9" borderId="0" applyNumberFormat="0" applyBorder="0" applyAlignment="0" applyProtection="0">
      <alignment vertical="center"/>
    </xf>
    <xf numFmtId="4" fontId="94" fillId="0" borderId="0" applyFont="0" applyFill="0" applyBorder="0" applyAlignment="0" applyProtection="0"/>
    <xf numFmtId="41" fontId="25" fillId="0" borderId="0" applyFont="0" applyFill="0" applyBorder="0" applyAlignment="0" applyProtection="0"/>
    <xf numFmtId="227" fontId="118" fillId="0" borderId="0" applyFont="0" applyFill="0" applyBorder="0" applyAlignment="0" applyProtection="0"/>
    <xf numFmtId="228" fontId="118" fillId="0" borderId="0" applyFont="0" applyFill="0" applyBorder="0" applyAlignment="0" applyProtection="0"/>
    <xf numFmtId="229" fontId="25" fillId="0" borderId="0" applyFont="0" applyFill="0" applyBorder="0" applyAlignment="0" applyProtection="0"/>
    <xf numFmtId="230" fontId="25" fillId="0" borderId="0" applyFont="0" applyFill="0" applyBorder="0" applyAlignment="0" applyProtection="0"/>
    <xf numFmtId="0" fontId="12" fillId="0" borderId="0"/>
    <xf numFmtId="1" fontId="12" fillId="0" borderId="0"/>
    <xf numFmtId="231" fontId="119" fillId="0" borderId="0" applyFont="0" applyFill="0" applyBorder="0" applyAlignment="0" applyProtection="0"/>
    <xf numFmtId="232" fontId="119" fillId="0" borderId="0" applyFont="0" applyFill="0" applyBorder="0" applyAlignment="0" applyProtection="0"/>
    <xf numFmtId="227" fontId="12" fillId="0" borderId="0" applyFont="0" applyFill="0" applyBorder="0" applyAlignment="0" applyProtection="0"/>
    <xf numFmtId="228" fontId="12" fillId="0" borderId="0" applyFont="0" applyFill="0" applyBorder="0" applyAlignment="0" applyProtection="0"/>
    <xf numFmtId="0" fontId="28" fillId="0" borderId="0"/>
    <xf numFmtId="41" fontId="28" fillId="0" borderId="0" applyFont="0" applyFill="0" applyBorder="0" applyAlignment="0" applyProtection="0"/>
    <xf numFmtId="43" fontId="28" fillId="0" borderId="0" applyFont="0" applyFill="0" applyBorder="0" applyAlignment="0" applyProtection="0"/>
    <xf numFmtId="41" fontId="12" fillId="0" borderId="0" applyFont="0" applyFill="0" applyBorder="0" applyAlignment="0" applyProtection="0"/>
    <xf numFmtId="43" fontId="12" fillId="0" borderId="0" applyFont="0" applyFill="0" applyBorder="0" applyAlignment="0" applyProtection="0"/>
    <xf numFmtId="43" fontId="2" fillId="0" borderId="0" applyFont="0" applyFill="0" applyBorder="0" applyAlignment="0" applyProtection="0">
      <alignment vertical="center"/>
    </xf>
    <xf numFmtId="43" fontId="2" fillId="0" borderId="0" applyFont="0" applyFill="0" applyBorder="0" applyAlignment="0" applyProtection="0"/>
    <xf numFmtId="43" fontId="2" fillId="0" borderId="0" applyFont="0" applyFill="0" applyBorder="0" applyAlignment="0" applyProtection="0">
      <alignment vertical="center"/>
    </xf>
    <xf numFmtId="43" fontId="2" fillId="0" borderId="0" applyFont="0" applyFill="0" applyBorder="0" applyAlignment="0" applyProtection="0">
      <alignment vertical="center"/>
    </xf>
    <xf numFmtId="43" fontId="2" fillId="0" borderId="0" applyFont="0" applyFill="0" applyBorder="0" applyAlignment="0" applyProtection="0"/>
    <xf numFmtId="43" fontId="11" fillId="0" borderId="0" applyFont="0" applyFill="0" applyBorder="0" applyAlignment="0" applyProtection="0"/>
    <xf numFmtId="43" fontId="2" fillId="0" borderId="0" applyFont="0" applyFill="0" applyBorder="0" applyAlignment="0" applyProtection="0"/>
    <xf numFmtId="0" fontId="25" fillId="0" borderId="0" applyFont="0" applyFill="0" applyBorder="0" applyAlignment="0" applyProtection="0"/>
    <xf numFmtId="43" fontId="2" fillId="0" borderId="0" applyFont="0" applyFill="0" applyBorder="0" applyAlignment="0" applyProtection="0"/>
    <xf numFmtId="43" fontId="106" fillId="0" borderId="0" applyFont="0" applyFill="0" applyBorder="0" applyAlignment="0" applyProtection="0">
      <alignment vertical="center"/>
    </xf>
    <xf numFmtId="41" fontId="2" fillId="0" borderId="0" applyFont="0" applyFill="0" applyBorder="0" applyAlignment="0" applyProtection="0"/>
    <xf numFmtId="0" fontId="120" fillId="0" borderId="0"/>
    <xf numFmtId="0" fontId="121" fillId="59" borderId="0" applyNumberFormat="0" applyBorder="0" applyAlignment="0" applyProtection="0"/>
    <xf numFmtId="0" fontId="121" fillId="60" borderId="0" applyNumberFormat="0" applyBorder="0" applyAlignment="0" applyProtection="0"/>
    <xf numFmtId="0" fontId="121" fillId="61" borderId="0" applyNumberFormat="0" applyBorder="0" applyAlignment="0" applyProtection="0"/>
    <xf numFmtId="209" fontId="25" fillId="0" borderId="0" applyFont="0" applyFill="0" applyBorder="0" applyAlignment="0" applyProtection="0"/>
    <xf numFmtId="233" fontId="94" fillId="0" borderId="0" applyFont="0" applyFill="0" applyBorder="0" applyAlignment="0" applyProtection="0"/>
    <xf numFmtId="0" fontId="29" fillId="0" borderId="0">
      <alignment vertical="top"/>
    </xf>
    <xf numFmtId="0" fontId="29" fillId="0" borderId="0">
      <alignment vertical="top"/>
    </xf>
    <xf numFmtId="176" fontId="29" fillId="0" borderId="0">
      <alignment vertical="top"/>
    </xf>
    <xf numFmtId="0" fontId="118" fillId="0" borderId="0"/>
    <xf numFmtId="0" fontId="122" fillId="0" borderId="0"/>
    <xf numFmtId="40" fontId="96" fillId="0" borderId="0" applyFont="0" applyFill="0" applyBorder="0" applyAlignment="0" applyProtection="0"/>
    <xf numFmtId="38" fontId="96" fillId="0" borderId="0" applyFont="0" applyFill="0" applyBorder="0" applyAlignment="0" applyProtection="0"/>
    <xf numFmtId="226" fontId="25" fillId="0" borderId="14" applyNumberFormat="0"/>
    <xf numFmtId="226" fontId="25" fillId="0" borderId="14" applyNumberFormat="0"/>
    <xf numFmtId="38" fontId="26" fillId="0" borderId="0" applyFont="0" applyFill="0" applyBorder="0" applyAlignment="0" applyProtection="0"/>
    <xf numFmtId="40" fontId="26" fillId="0" borderId="0" applyFont="0" applyFill="0" applyBorder="0" applyAlignment="0" applyProtection="0"/>
    <xf numFmtId="0" fontId="26" fillId="0" borderId="0" applyFont="0" applyFill="0" applyBorder="0" applyAlignment="0" applyProtection="0"/>
    <xf numFmtId="0" fontId="26" fillId="0" borderId="0" applyFont="0" applyFill="0" applyBorder="0" applyAlignment="0" applyProtection="0"/>
    <xf numFmtId="0" fontId="123" fillId="0" borderId="0"/>
    <xf numFmtId="0" fontId="2" fillId="0" borderId="0">
      <protection locked="0"/>
    </xf>
    <xf numFmtId="0" fontId="130" fillId="0" borderId="0" applyNumberFormat="0" applyFill="0" applyBorder="0" applyAlignment="0" applyProtection="0">
      <alignment vertical="center"/>
    </xf>
    <xf numFmtId="235" fontId="2" fillId="0" borderId="0" applyFill="0" applyBorder="0" applyAlignment="0"/>
    <xf numFmtId="0" fontId="12" fillId="0" borderId="0"/>
    <xf numFmtId="43" fontId="12" fillId="0" borderId="0" applyFont="0" applyFill="0" applyBorder="0" applyAlignment="0" applyProtection="0"/>
    <xf numFmtId="234" fontId="12" fillId="0" borderId="0" applyFont="0" applyFill="0" applyBorder="0" applyAlignment="0" applyProtection="0"/>
    <xf numFmtId="0" fontId="29" fillId="0" borderId="0">
      <alignment vertical="top"/>
      <protection locked="0"/>
    </xf>
    <xf numFmtId="191" fontId="43" fillId="0" borderId="42" applyAlignment="0" applyProtection="0"/>
    <xf numFmtId="0" fontId="36" fillId="0" borderId="41">
      <alignment horizontal="center"/>
    </xf>
    <xf numFmtId="10" fontId="56" fillId="38" borderId="41" applyNumberFormat="0" applyBorder="0" applyAlignment="0" applyProtection="0"/>
    <xf numFmtId="176" fontId="56" fillId="35" borderId="41"/>
    <xf numFmtId="226" fontId="25" fillId="0" borderId="41" applyNumberFormat="0"/>
    <xf numFmtId="176" fontId="56" fillId="36" borderId="41"/>
    <xf numFmtId="176" fontId="87" fillId="0" borderId="41">
      <alignment horizontal="center"/>
    </xf>
    <xf numFmtId="0" fontId="56" fillId="35" borderId="41"/>
    <xf numFmtId="0" fontId="56" fillId="36" borderId="41"/>
    <xf numFmtId="0" fontId="87" fillId="0" borderId="41">
      <alignment horizontal="center"/>
    </xf>
    <xf numFmtId="9" fontId="1" fillId="0" borderId="0" applyFont="0" applyFill="0" applyBorder="0" applyAlignment="0" applyProtection="0">
      <alignment vertical="center"/>
    </xf>
    <xf numFmtId="0" fontId="106" fillId="0" borderId="0">
      <alignment vertical="center"/>
    </xf>
    <xf numFmtId="43" fontId="108" fillId="0" borderId="0" applyFont="0" applyFill="0" applyBorder="0" applyAlignment="0" applyProtection="0">
      <alignment vertical="center"/>
    </xf>
    <xf numFmtId="176" fontId="2" fillId="0" borderId="0">
      <protection locked="0"/>
    </xf>
  </cellStyleXfs>
  <cellXfs count="397">
    <xf numFmtId="0" fontId="0" fillId="0" borderId="0" xfId="0">
      <alignment vertical="center"/>
    </xf>
    <xf numFmtId="49" fontId="6" fillId="0" borderId="0" xfId="2" applyNumberFormat="1" applyFont="1" applyBorder="1" applyAlignment="1">
      <alignment vertical="center" wrapText="1"/>
    </xf>
    <xf numFmtId="43" fontId="6" fillId="0" borderId="0" xfId="2" applyNumberFormat="1" applyFont="1" applyBorder="1" applyAlignment="1">
      <alignment vertical="center"/>
    </xf>
    <xf numFmtId="49" fontId="10" fillId="0" borderId="0" xfId="2" applyNumberFormat="1" applyFont="1" applyBorder="1" applyAlignment="1">
      <alignment vertical="center" wrapText="1"/>
    </xf>
    <xf numFmtId="43" fontId="10" fillId="0" borderId="0" xfId="2" applyNumberFormat="1" applyFont="1" applyBorder="1" applyAlignment="1">
      <alignment vertical="center"/>
    </xf>
    <xf numFmtId="43" fontId="6" fillId="0" borderId="0" xfId="2" applyNumberFormat="1" applyFont="1" applyBorder="1" applyAlignment="1">
      <alignment horizontal="left" vertical="center"/>
    </xf>
    <xf numFmtId="43" fontId="11" fillId="0" borderId="0" xfId="2" applyNumberFormat="1" applyFont="1" applyBorder="1" applyAlignment="1">
      <alignment vertical="center"/>
    </xf>
    <xf numFmtId="0" fontId="4" fillId="0" borderId="0" xfId="4" applyFont="1" applyAlignment="1">
      <alignment vertical="center"/>
      <protection locked="0"/>
    </xf>
    <xf numFmtId="0" fontId="6" fillId="0" borderId="0" xfId="5" applyFont="1" applyBorder="1" applyAlignment="1">
      <alignment vertical="center"/>
    </xf>
    <xf numFmtId="0" fontId="14" fillId="4" borderId="4" xfId="5" applyFont="1" applyFill="1" applyBorder="1" applyAlignment="1">
      <alignment horizontal="center" vertical="center"/>
    </xf>
    <xf numFmtId="49" fontId="11" fillId="0" borderId="0" xfId="2" applyNumberFormat="1" applyFont="1" applyBorder="1" applyAlignment="1">
      <alignment vertical="center" wrapText="1"/>
    </xf>
    <xf numFmtId="0" fontId="11" fillId="0" borderId="0" xfId="4" applyFont="1" applyAlignment="1">
      <alignment vertical="center"/>
      <protection locked="0"/>
    </xf>
    <xf numFmtId="0" fontId="6" fillId="0" borderId="0" xfId="4" applyFont="1" applyAlignment="1">
      <alignment horizontal="center" vertical="center" wrapText="1"/>
      <protection locked="0"/>
    </xf>
    <xf numFmtId="0" fontId="2" fillId="0" borderId="0" xfId="6">
      <protection locked="0"/>
    </xf>
    <xf numFmtId="43" fontId="22" fillId="0" borderId="0" xfId="2" applyNumberFormat="1" applyFont="1" applyBorder="1" applyAlignment="1">
      <alignment vertical="center"/>
    </xf>
    <xf numFmtId="43" fontId="24" fillId="0" borderId="0" xfId="2" applyNumberFormat="1" applyFont="1" applyBorder="1" applyAlignment="1">
      <alignment vertical="center"/>
    </xf>
    <xf numFmtId="49" fontId="24" fillId="0" borderId="0" xfId="2" applyNumberFormat="1" applyFont="1" applyBorder="1" applyAlignment="1">
      <alignment vertical="center"/>
    </xf>
    <xf numFmtId="49" fontId="6" fillId="0" borderId="0" xfId="2" applyNumberFormat="1" applyFont="1" applyBorder="1" applyAlignment="1">
      <alignment vertical="center"/>
    </xf>
    <xf numFmtId="0" fontId="16" fillId="0" borderId="4" xfId="4" applyFont="1" applyFill="1" applyBorder="1" applyAlignment="1">
      <alignment horizontal="justify" vertical="center" wrapText="1"/>
      <protection locked="0"/>
    </xf>
    <xf numFmtId="0" fontId="15" fillId="0" borderId="4" xfId="4" applyFont="1" applyFill="1" applyBorder="1" applyAlignment="1">
      <alignment horizontal="justify" vertical="center" wrapText="1"/>
      <protection locked="0"/>
    </xf>
    <xf numFmtId="0" fontId="2" fillId="0" borderId="0" xfId="764">
      <protection locked="0"/>
    </xf>
    <xf numFmtId="0" fontId="52" fillId="0" borderId="0" xfId="764" applyFont="1">
      <protection locked="0"/>
    </xf>
    <xf numFmtId="0" fontId="52" fillId="0" borderId="0" xfId="6" applyFont="1">
      <protection locked="0"/>
    </xf>
    <xf numFmtId="0" fontId="2" fillId="0" borderId="0" xfId="6" applyFont="1" applyAlignment="1">
      <alignment horizontal="left"/>
      <protection locked="0"/>
    </xf>
    <xf numFmtId="0" fontId="2" fillId="0" borderId="0" xfId="6" applyFont="1" applyAlignment="1">
      <alignment horizontal="justify" wrapText="1"/>
      <protection locked="0"/>
    </xf>
    <xf numFmtId="0" fontId="61" fillId="0" borderId="0" xfId="6" applyFont="1" applyAlignment="1">
      <alignment horizontal="justify"/>
      <protection locked="0"/>
    </xf>
    <xf numFmtId="0" fontId="2" fillId="0" borderId="0" xfId="6" applyFont="1">
      <protection locked="0"/>
    </xf>
    <xf numFmtId="0" fontId="2" fillId="0" borderId="0" xfId="6" applyFont="1" applyAlignment="1">
      <alignment horizontal="justify"/>
      <protection locked="0"/>
    </xf>
    <xf numFmtId="0" fontId="126" fillId="0" borderId="0" xfId="6" applyFont="1" applyAlignment="1">
      <alignment horizontal="center"/>
      <protection locked="0"/>
    </xf>
    <xf numFmtId="0" fontId="90" fillId="0" borderId="0" xfId="6" applyFont="1" applyAlignment="1">
      <alignment horizontal="justify"/>
      <protection locked="0"/>
    </xf>
    <xf numFmtId="0" fontId="2" fillId="0" borderId="0" xfId="764" applyBorder="1">
      <protection locked="0"/>
    </xf>
    <xf numFmtId="0" fontId="11" fillId="62" borderId="0" xfId="764" applyFont="1" applyFill="1" applyBorder="1" applyAlignment="1">
      <alignment horizontal="justify" vertical="center" wrapText="1"/>
      <protection locked="0"/>
    </xf>
    <xf numFmtId="0" fontId="127" fillId="0" borderId="0" xfId="764" applyFont="1" applyBorder="1" applyAlignment="1">
      <alignment horizontal="justify" wrapText="1"/>
      <protection locked="0"/>
    </xf>
    <xf numFmtId="0" fontId="128" fillId="0" borderId="0" xfId="764" applyFont="1" applyBorder="1" applyAlignment="1">
      <alignment horizontal="justify" wrapText="1"/>
      <protection locked="0"/>
    </xf>
    <xf numFmtId="0" fontId="52" fillId="0" borderId="0" xfId="764" applyFont="1" applyBorder="1">
      <protection locked="0"/>
    </xf>
    <xf numFmtId="0" fontId="128" fillId="0" borderId="0" xfId="764" applyFont="1" applyBorder="1" applyAlignment="1">
      <alignment horizontal="justify" vertical="top" wrapText="1"/>
      <protection locked="0"/>
    </xf>
    <xf numFmtId="0" fontId="129" fillId="0" borderId="0" xfId="764" applyFont="1" applyBorder="1" applyAlignment="1">
      <alignment horizontal="justify" wrapText="1"/>
      <protection locked="0"/>
    </xf>
    <xf numFmtId="0" fontId="2" fillId="0" borderId="0" xfId="764" applyAlignment="1">
      <alignment vertical="center"/>
      <protection locked="0"/>
    </xf>
    <xf numFmtId="0" fontId="2" fillId="0" borderId="0" xfId="764" applyFont="1" applyAlignment="1">
      <alignment vertical="center"/>
      <protection locked="0"/>
    </xf>
    <xf numFmtId="0" fontId="52" fillId="0" borderId="0" xfId="764" applyFont="1" applyAlignment="1">
      <alignment vertical="center"/>
      <protection locked="0"/>
    </xf>
    <xf numFmtId="0" fontId="7" fillId="0" borderId="0" xfId="764" applyFont="1" applyAlignment="1">
      <alignment vertical="center"/>
      <protection locked="0"/>
    </xf>
    <xf numFmtId="0" fontId="2" fillId="0" borderId="0" xfId="6" applyBorder="1" applyAlignment="1">
      <alignment vertical="center"/>
      <protection locked="0"/>
    </xf>
    <xf numFmtId="0" fontId="11" fillId="0" borderId="0" xfId="6" applyFont="1" applyBorder="1" applyAlignment="1">
      <alignment vertical="center"/>
      <protection locked="0"/>
    </xf>
    <xf numFmtId="0" fontId="11" fillId="0" borderId="0" xfId="6" applyFont="1" applyBorder="1" applyAlignment="1">
      <alignment horizontal="center" vertical="center"/>
      <protection locked="0"/>
    </xf>
    <xf numFmtId="0" fontId="11" fillId="0" borderId="0" xfId="6" applyFont="1" applyBorder="1" applyAlignment="1">
      <alignment horizontal="right" vertical="center"/>
      <protection locked="0"/>
    </xf>
    <xf numFmtId="0" fontId="11" fillId="0" borderId="0" xfId="6" applyFont="1" applyBorder="1" applyAlignment="1">
      <alignment horizontal="left" vertical="center"/>
      <protection locked="0"/>
    </xf>
    <xf numFmtId="0" fontId="28" fillId="0" borderId="0" xfId="6" applyFont="1" applyBorder="1" applyAlignment="1">
      <alignment horizontal="center" vertical="center"/>
      <protection locked="0"/>
    </xf>
    <xf numFmtId="0" fontId="11" fillId="0" borderId="0" xfId="6" applyFont="1" applyBorder="1" applyAlignment="1">
      <alignment horizontal="centerContinuous" vertical="center"/>
      <protection locked="0"/>
    </xf>
    <xf numFmtId="0" fontId="2" fillId="0" borderId="0" xfId="6" applyFont="1" applyBorder="1" applyAlignment="1">
      <alignment vertical="center"/>
      <protection locked="0"/>
    </xf>
    <xf numFmtId="0" fontId="11" fillId="0" borderId="4" xfId="6" applyFont="1" applyBorder="1" applyAlignment="1">
      <alignment vertical="center"/>
      <protection locked="0"/>
    </xf>
    <xf numFmtId="0" fontId="4" fillId="0" borderId="4" xfId="6" applyFont="1" applyBorder="1" applyAlignment="1">
      <alignment horizontal="centerContinuous" vertical="center"/>
      <protection locked="0"/>
    </xf>
    <xf numFmtId="0" fontId="2" fillId="0" borderId="0" xfId="6" applyBorder="1">
      <protection locked="0"/>
    </xf>
    <xf numFmtId="0" fontId="132" fillId="0" borderId="4" xfId="5" applyFont="1" applyBorder="1" applyAlignment="1">
      <alignment vertical="center"/>
    </xf>
    <xf numFmtId="43" fontId="11" fillId="0" borderId="4" xfId="1" applyFont="1" applyBorder="1" applyAlignment="1">
      <alignment vertical="center"/>
    </xf>
    <xf numFmtId="0" fontId="132" fillId="0" borderId="4" xfId="5" applyFont="1" applyBorder="1" applyAlignment="1">
      <alignment vertical="center" wrapText="1"/>
    </xf>
    <xf numFmtId="0" fontId="4" fillId="0" borderId="4" xfId="5" applyFont="1" applyBorder="1" applyAlignment="1">
      <alignment horizontal="center" vertical="center" wrapText="1"/>
    </xf>
    <xf numFmtId="0" fontId="4" fillId="0" borderId="4" xfId="4" applyFont="1" applyBorder="1" applyAlignment="1">
      <alignment horizontal="center" vertical="center" wrapText="1"/>
      <protection locked="0"/>
    </xf>
    <xf numFmtId="0" fontId="11" fillId="0" borderId="4" xfId="5" applyFont="1" applyBorder="1" applyAlignment="1">
      <alignment vertical="center" wrapText="1"/>
    </xf>
    <xf numFmtId="0" fontId="11" fillId="0" borderId="4" xfId="5" applyFont="1" applyBorder="1" applyAlignment="1">
      <alignment vertical="center"/>
    </xf>
    <xf numFmtId="0" fontId="130" fillId="0" borderId="32" xfId="765" applyBorder="1" applyAlignment="1" applyProtection="1">
      <protection locked="0"/>
    </xf>
    <xf numFmtId="0" fontId="130" fillId="0" borderId="36" xfId="765" applyBorder="1" applyAlignment="1" applyProtection="1">
      <protection locked="0"/>
    </xf>
    <xf numFmtId="43" fontId="6" fillId="0" borderId="4" xfId="1" quotePrefix="1" applyFont="1" applyBorder="1" applyAlignment="1">
      <alignment horizontal="center" vertical="center"/>
    </xf>
    <xf numFmtId="43" fontId="0" fillId="0" borderId="4" xfId="1" applyFont="1" applyBorder="1" applyAlignment="1">
      <alignment vertical="center" wrapText="1"/>
    </xf>
    <xf numFmtId="0" fontId="143" fillId="0" borderId="32" xfId="654" applyFont="1" applyBorder="1" applyAlignment="1">
      <protection locked="0"/>
    </xf>
    <xf numFmtId="0" fontId="143" fillId="0" borderId="36" xfId="654" applyFont="1" applyBorder="1" applyAlignment="1">
      <protection locked="0"/>
    </xf>
    <xf numFmtId="0" fontId="6" fillId="0" borderId="4" xfId="5" applyFont="1" applyBorder="1" applyAlignment="1">
      <alignment horizontal="center" vertical="center"/>
    </xf>
    <xf numFmtId="49" fontId="3" fillId="0" borderId="0" xfId="2" applyNumberFormat="1" applyFont="1" applyBorder="1" applyAlignment="1">
      <alignment vertical="center" wrapText="1"/>
    </xf>
    <xf numFmtId="0" fontId="6" fillId="0" borderId="4" xfId="5" applyFont="1" applyFill="1" applyBorder="1" applyAlignment="1">
      <alignment vertical="center" wrapText="1"/>
    </xf>
    <xf numFmtId="0" fontId="131" fillId="0" borderId="0" xfId="764" applyFont="1" applyAlignment="1">
      <alignment horizontal="center" vertical="center"/>
      <protection locked="0"/>
    </xf>
    <xf numFmtId="0" fontId="137" fillId="0" borderId="37" xfId="764" applyFont="1" applyBorder="1" applyAlignment="1">
      <alignment horizontal="center"/>
      <protection locked="0"/>
    </xf>
    <xf numFmtId="0" fontId="137" fillId="0" borderId="35" xfId="764" applyFont="1" applyBorder="1" applyAlignment="1">
      <alignment horizontal="center"/>
      <protection locked="0"/>
    </xf>
    <xf numFmtId="236" fontId="14" fillId="4" borderId="4" xfId="5" applyNumberFormat="1" applyFont="1" applyFill="1" applyBorder="1" applyAlignment="1">
      <alignment horizontal="center" vertical="center" wrapText="1"/>
    </xf>
    <xf numFmtId="43" fontId="3" fillId="0" borderId="4" xfId="1" applyFont="1" applyBorder="1" applyAlignment="1">
      <alignment vertical="center"/>
    </xf>
    <xf numFmtId="49" fontId="133" fillId="0" borderId="4" xfId="1" applyNumberFormat="1" applyFont="1" applyBorder="1" applyAlignment="1">
      <alignment vertical="center" wrapText="1"/>
    </xf>
    <xf numFmtId="49" fontId="132" fillId="0" borderId="4" xfId="1" applyNumberFormat="1" applyFont="1" applyBorder="1" applyAlignment="1">
      <alignment vertical="center" wrapText="1"/>
    </xf>
    <xf numFmtId="236" fontId="14" fillId="4" borderId="4" xfId="5" applyNumberFormat="1" applyFont="1" applyFill="1" applyBorder="1" applyAlignment="1">
      <alignment horizontal="center" vertical="center"/>
    </xf>
    <xf numFmtId="49" fontId="4" fillId="0" borderId="0" xfId="2" applyNumberFormat="1" applyFont="1" applyBorder="1" applyAlignment="1">
      <alignment vertical="center" wrapText="1"/>
    </xf>
    <xf numFmtId="0" fontId="18" fillId="0" borderId="4" xfId="5" applyFont="1" applyFill="1" applyBorder="1" applyAlignment="1">
      <alignment vertical="center" wrapText="1"/>
    </xf>
    <xf numFmtId="0" fontId="13" fillId="4" borderId="4" xfId="4" applyFont="1" applyFill="1" applyBorder="1" applyAlignment="1">
      <alignment horizontal="center" vertical="center" shrinkToFit="1"/>
      <protection locked="0"/>
    </xf>
    <xf numFmtId="0" fontId="16" fillId="0" borderId="4" xfId="5" applyFont="1" applyFill="1" applyBorder="1" applyAlignment="1">
      <alignment horizontal="center" vertical="center"/>
    </xf>
    <xf numFmtId="0" fontId="137" fillId="0" borderId="33" xfId="764" applyFont="1" applyBorder="1" applyAlignment="1">
      <alignment horizontal="center"/>
      <protection locked="0"/>
    </xf>
    <xf numFmtId="0" fontId="143" fillId="0" borderId="34" xfId="654" applyFont="1" applyBorder="1" applyAlignment="1">
      <protection locked="0"/>
    </xf>
    <xf numFmtId="0" fontId="137" fillId="0" borderId="35" xfId="764" applyFont="1" applyBorder="1" applyAlignment="1">
      <alignment horizontal="center" wrapText="1"/>
      <protection locked="0"/>
    </xf>
    <xf numFmtId="0" fontId="137" fillId="0" borderId="37" xfId="764" applyFont="1" applyBorder="1" applyAlignment="1">
      <alignment horizontal="center" wrapText="1"/>
      <protection locked="0"/>
    </xf>
    <xf numFmtId="0" fontId="141" fillId="0" borderId="0" xfId="764" applyFont="1">
      <protection locked="0"/>
    </xf>
    <xf numFmtId="0" fontId="6" fillId="0" borderId="0" xfId="5" applyFont="1" applyBorder="1" applyAlignment="1">
      <alignment vertical="center"/>
    </xf>
    <xf numFmtId="43" fontId="24" fillId="0" borderId="0" xfId="2" applyNumberFormat="1" applyFont="1" applyBorder="1" applyAlignment="1">
      <alignment vertical="center"/>
    </xf>
    <xf numFmtId="43" fontId="6" fillId="0" borderId="0" xfId="2" applyNumberFormat="1" applyFont="1" applyBorder="1" applyAlignment="1">
      <alignment vertical="center"/>
    </xf>
    <xf numFmtId="43" fontId="10" fillId="0" borderId="0" xfId="2" applyNumberFormat="1" applyFont="1" applyBorder="1" applyAlignment="1">
      <alignment vertical="center"/>
    </xf>
    <xf numFmtId="43" fontId="6" fillId="0" borderId="0" xfId="2" applyNumberFormat="1" applyFont="1" applyBorder="1" applyAlignment="1">
      <alignment horizontal="left" vertical="center"/>
    </xf>
    <xf numFmtId="49" fontId="6" fillId="0" borderId="0" xfId="2" applyNumberFormat="1" applyFont="1" applyBorder="1" applyAlignment="1">
      <alignment vertical="center"/>
    </xf>
    <xf numFmtId="43" fontId="6" fillId="0" borderId="4" xfId="1" applyFont="1" applyBorder="1" applyAlignment="1">
      <alignment vertical="center"/>
    </xf>
    <xf numFmtId="43" fontId="22" fillId="0" borderId="0" xfId="2" applyNumberFormat="1" applyFont="1" applyBorder="1" applyAlignment="1">
      <alignment vertical="center"/>
    </xf>
    <xf numFmtId="43" fontId="11" fillId="0" borderId="0" xfId="2" applyNumberFormat="1" applyFont="1" applyBorder="1" applyAlignment="1">
      <alignment vertical="center"/>
    </xf>
    <xf numFmtId="0" fontId="6" fillId="0" borderId="4" xfId="5" applyFont="1" applyBorder="1" applyAlignment="1">
      <alignment vertical="center"/>
    </xf>
    <xf numFmtId="0" fontId="2" fillId="0" borderId="0" xfId="6">
      <protection locked="0"/>
    </xf>
    <xf numFmtId="0" fontId="14" fillId="4" borderId="4" xfId="5" applyFont="1" applyFill="1" applyBorder="1" applyAlignment="1">
      <alignment horizontal="center" vertical="center"/>
    </xf>
    <xf numFmtId="0" fontId="4" fillId="0" borderId="0" xfId="4" applyFont="1" applyAlignment="1">
      <alignment vertical="center"/>
      <protection locked="0"/>
    </xf>
    <xf numFmtId="0" fontId="6" fillId="0" borderId="0" xfId="4" applyFont="1" applyAlignment="1">
      <alignment horizontal="center" vertical="center" wrapText="1"/>
      <protection locked="0"/>
    </xf>
    <xf numFmtId="0" fontId="11" fillId="0" borderId="0" xfId="4" applyFont="1" applyAlignment="1">
      <alignment vertical="center"/>
      <protection locked="0"/>
    </xf>
    <xf numFmtId="0" fontId="19" fillId="0" borderId="0" xfId="5" applyFont="1" applyBorder="1" applyAlignment="1">
      <alignment horizontal="center" vertical="center"/>
    </xf>
    <xf numFmtId="0" fontId="18" fillId="0" borderId="0" xfId="5" applyFont="1" applyBorder="1" applyAlignment="1">
      <alignment horizontal="center" vertical="center"/>
    </xf>
    <xf numFmtId="49" fontId="11" fillId="0" borderId="0" xfId="2" applyNumberFormat="1" applyFont="1" applyBorder="1" applyAlignment="1">
      <alignment vertical="center" wrapText="1"/>
    </xf>
    <xf numFmtId="49" fontId="6" fillId="0" borderId="0" xfId="2" applyNumberFormat="1" applyFont="1" applyBorder="1" applyAlignment="1">
      <alignment vertical="center" wrapText="1"/>
    </xf>
    <xf numFmtId="49" fontId="10" fillId="0" borderId="0" xfId="2" applyNumberFormat="1" applyFont="1" applyBorder="1" applyAlignment="1">
      <alignment vertical="center" wrapText="1"/>
    </xf>
    <xf numFmtId="49" fontId="24" fillId="0" borderId="0" xfId="2" applyNumberFormat="1" applyFont="1" applyBorder="1" applyAlignment="1">
      <alignment vertical="center"/>
    </xf>
    <xf numFmtId="0" fontId="132" fillId="0" borderId="4" xfId="4" applyFont="1" applyBorder="1" applyAlignment="1">
      <alignment vertical="center" wrapText="1"/>
      <protection locked="0"/>
    </xf>
    <xf numFmtId="0" fontId="14" fillId="4" borderId="4" xfId="5" applyFont="1" applyFill="1" applyBorder="1" applyAlignment="1">
      <alignment horizontal="center" vertical="center" wrapText="1"/>
    </xf>
    <xf numFmtId="0" fontId="6" fillId="0" borderId="0" xfId="782" applyFont="1" applyFill="1" applyProtection="1">
      <alignment vertical="center"/>
      <protection locked="0"/>
    </xf>
    <xf numFmtId="43" fontId="6" fillId="0" borderId="0" xfId="783" applyFont="1" applyFill="1" applyProtection="1">
      <alignment vertical="center"/>
      <protection locked="0"/>
    </xf>
    <xf numFmtId="0" fontId="6" fillId="0" borderId="0" xfId="782" applyFont="1" applyFill="1" applyAlignment="1" applyProtection="1">
      <alignment horizontal="center" vertical="center"/>
      <protection locked="0"/>
    </xf>
    <xf numFmtId="0" fontId="6" fillId="0" borderId="0" xfId="782" applyFont="1" applyFill="1" applyBorder="1" applyProtection="1">
      <alignment vertical="center"/>
      <protection locked="0"/>
    </xf>
    <xf numFmtId="41" fontId="6" fillId="0" borderId="0" xfId="782" applyNumberFormat="1" applyFont="1" applyFill="1" applyBorder="1" applyAlignment="1" applyProtection="1">
      <alignment horizontal="center" vertical="center"/>
      <protection locked="0"/>
    </xf>
    <xf numFmtId="43" fontId="6" fillId="0" borderId="0" xfId="782" applyNumberFormat="1" applyFont="1" applyFill="1" applyBorder="1" applyProtection="1">
      <alignment vertical="center"/>
      <protection locked="0"/>
    </xf>
    <xf numFmtId="41" fontId="3" fillId="0" borderId="0" xfId="782" applyNumberFormat="1" applyFont="1" applyFill="1" applyBorder="1" applyAlignment="1" applyProtection="1">
      <alignment horizontal="center" vertical="center"/>
      <protection locked="0"/>
    </xf>
    <xf numFmtId="176" fontId="6" fillId="0" borderId="0" xfId="597" applyFont="1" applyAlignment="1">
      <alignment vertical="center"/>
      <protection locked="0"/>
    </xf>
    <xf numFmtId="176" fontId="8" fillId="0" borderId="0" xfId="606" applyFont="1" applyFill="1" applyAlignment="1" applyProtection="1">
      <alignment horizontal="centerContinuous" vertical="center"/>
      <protection locked="0"/>
    </xf>
    <xf numFmtId="176" fontId="8" fillId="0" borderId="0" xfId="606" applyFont="1" applyFill="1" applyAlignment="1" applyProtection="1">
      <alignment horizontal="centerContinuous" vertical="center" wrapText="1"/>
      <protection locked="0"/>
    </xf>
    <xf numFmtId="176" fontId="147" fillId="0" borderId="0" xfId="606" applyFont="1" applyFill="1" applyAlignment="1" applyProtection="1">
      <alignment horizontal="left" vertical="center" wrapText="1"/>
      <protection locked="0"/>
    </xf>
    <xf numFmtId="49" fontId="3" fillId="0" borderId="0" xfId="1" applyNumberFormat="1" applyFont="1" applyFill="1" applyAlignment="1" applyProtection="1">
      <alignment horizontal="right" vertical="center" shrinkToFit="1"/>
    </xf>
    <xf numFmtId="176" fontId="148" fillId="0" borderId="0" xfId="784" applyFont="1" applyFill="1" applyAlignment="1" applyProtection="1">
      <alignment vertical="center"/>
    </xf>
    <xf numFmtId="176" fontId="8" fillId="0" borderId="0" xfId="606" applyFont="1" applyFill="1" applyAlignment="1" applyProtection="1">
      <alignment horizontal="left" vertical="center"/>
      <protection locked="0"/>
    </xf>
    <xf numFmtId="176" fontId="8" fillId="0" borderId="0" xfId="606" applyFont="1" applyFill="1" applyAlignment="1" applyProtection="1">
      <alignment vertical="center"/>
      <protection locked="0"/>
    </xf>
    <xf numFmtId="176" fontId="8" fillId="0" borderId="0" xfId="606" applyFont="1" applyFill="1" applyAlignment="1" applyProtection="1">
      <alignment vertical="center" wrapText="1"/>
      <protection locked="0"/>
    </xf>
    <xf numFmtId="176" fontId="2" fillId="0" borderId="0" xfId="606" applyFont="1" applyBorder="1" applyAlignment="1" applyProtection="1">
      <alignment horizontal="left" vertical="center"/>
    </xf>
    <xf numFmtId="0" fontId="3" fillId="0" borderId="0" xfId="782" applyFont="1" applyFill="1" applyBorder="1" applyProtection="1">
      <alignment vertical="center"/>
      <protection locked="0"/>
    </xf>
    <xf numFmtId="237" fontId="3" fillId="0" borderId="0" xfId="782" applyNumberFormat="1" applyFont="1" applyFill="1" applyBorder="1" applyAlignment="1" applyProtection="1">
      <alignment horizontal="right" vertical="center"/>
      <protection locked="0"/>
    </xf>
    <xf numFmtId="43" fontId="3" fillId="0" borderId="0" xfId="1" applyFont="1" applyFill="1" applyBorder="1" applyAlignment="1" applyProtection="1">
      <alignment horizontal="right" vertical="center"/>
    </xf>
    <xf numFmtId="43" fontId="3" fillId="0" borderId="0" xfId="1" applyFont="1" applyFill="1" applyBorder="1" applyAlignment="1" applyProtection="1">
      <alignment horizontal="center" vertical="center"/>
    </xf>
    <xf numFmtId="238" fontId="3" fillId="0" borderId="0" xfId="782" applyNumberFormat="1" applyFont="1" applyFill="1" applyBorder="1" applyAlignment="1" applyProtection="1">
      <alignment horizontal="center" vertical="center"/>
      <protection locked="0"/>
    </xf>
    <xf numFmtId="0" fontId="6" fillId="0" borderId="0" xfId="782" applyFont="1" applyFill="1" applyBorder="1" applyAlignment="1" applyProtection="1">
      <alignment horizontal="center" vertical="center"/>
      <protection locked="0"/>
    </xf>
    <xf numFmtId="43" fontId="3" fillId="63" borderId="41" xfId="1" applyFont="1" applyFill="1" applyBorder="1" applyAlignment="1" applyProtection="1">
      <alignment horizontal="right" vertical="center"/>
    </xf>
    <xf numFmtId="43" fontId="3" fillId="63" borderId="41" xfId="1" applyFont="1" applyFill="1" applyBorder="1" applyAlignment="1" applyProtection="1">
      <alignment horizontal="center" vertical="center"/>
    </xf>
    <xf numFmtId="238" fontId="3" fillId="63" borderId="41" xfId="782" applyNumberFormat="1" applyFont="1" applyFill="1" applyBorder="1" applyAlignment="1" applyProtection="1">
      <alignment horizontal="center" vertical="center"/>
      <protection locked="0"/>
    </xf>
    <xf numFmtId="0" fontId="6" fillId="63" borderId="41" xfId="782" applyFont="1" applyFill="1" applyBorder="1" applyAlignment="1" applyProtection="1">
      <alignment horizontal="center" vertical="center"/>
      <protection locked="0"/>
    </xf>
    <xf numFmtId="238" fontId="6" fillId="0" borderId="0" xfId="782" applyNumberFormat="1" applyFont="1" applyFill="1" applyBorder="1" applyAlignment="1" applyProtection="1">
      <alignment horizontal="right" vertical="center"/>
      <protection locked="0"/>
    </xf>
    <xf numFmtId="43" fontId="6" fillId="63" borderId="41" xfId="1" applyFont="1" applyFill="1" applyBorder="1" applyAlignment="1" applyProtection="1">
      <alignment horizontal="right" vertical="center"/>
    </xf>
    <xf numFmtId="43" fontId="6" fillId="0" borderId="41" xfId="1" applyFont="1" applyFill="1" applyBorder="1" applyAlignment="1" applyProtection="1">
      <alignment horizontal="center" vertical="center"/>
      <protection locked="0"/>
    </xf>
    <xf numFmtId="239" fontId="6" fillId="0" borderId="41" xfId="782" applyNumberFormat="1" applyFont="1" applyFill="1" applyBorder="1" applyAlignment="1" applyProtection="1">
      <alignment horizontal="center" vertical="center"/>
      <protection locked="0"/>
    </xf>
    <xf numFmtId="240" fontId="6" fillId="63" borderId="41" xfId="782" applyNumberFormat="1" applyFont="1" applyFill="1" applyBorder="1" applyAlignment="1" applyProtection="1">
      <alignment horizontal="center" vertical="center"/>
    </xf>
    <xf numFmtId="0" fontId="6" fillId="63" borderId="41" xfId="782" applyFont="1" applyFill="1" applyBorder="1" applyAlignment="1" applyProtection="1">
      <alignment horizontal="center" vertical="center"/>
    </xf>
    <xf numFmtId="43" fontId="6" fillId="0" borderId="0" xfId="1" applyFont="1" applyFill="1" applyBorder="1" applyAlignment="1" applyProtection="1">
      <alignment horizontal="right" vertical="center"/>
      <protection locked="0"/>
    </xf>
    <xf numFmtId="241" fontId="6" fillId="0" borderId="0" xfId="782" applyNumberFormat="1" applyFont="1" applyFill="1" applyBorder="1" applyProtection="1">
      <alignment vertical="center"/>
      <protection locked="0"/>
    </xf>
    <xf numFmtId="0" fontId="150" fillId="0" borderId="0" xfId="782" applyFont="1" applyFill="1" applyBorder="1" applyProtection="1">
      <alignment vertical="center"/>
      <protection locked="0"/>
    </xf>
    <xf numFmtId="241" fontId="150" fillId="0" borderId="0" xfId="782" applyNumberFormat="1" applyFont="1" applyFill="1" applyBorder="1" applyProtection="1">
      <alignment vertical="center"/>
      <protection locked="0"/>
    </xf>
    <xf numFmtId="43" fontId="150" fillId="0" borderId="41" xfId="1" applyFont="1" applyFill="1" applyBorder="1" applyAlignment="1" applyProtection="1">
      <alignment horizontal="center" vertical="center"/>
      <protection locked="0"/>
    </xf>
    <xf numFmtId="239" fontId="151" fillId="0" borderId="41" xfId="782" applyNumberFormat="1" applyFont="1" applyFill="1" applyBorder="1" applyAlignment="1" applyProtection="1">
      <alignment horizontal="center" vertical="center"/>
      <protection locked="0"/>
    </xf>
    <xf numFmtId="14" fontId="6" fillId="0" borderId="41" xfId="1" applyNumberFormat="1" applyFont="1" applyFill="1" applyBorder="1" applyAlignment="1" applyProtection="1">
      <alignment horizontal="center" vertical="center"/>
      <protection locked="0"/>
    </xf>
    <xf numFmtId="239" fontId="6" fillId="0" borderId="43" xfId="782" applyNumberFormat="1" applyFont="1" applyFill="1" applyBorder="1" applyAlignment="1" applyProtection="1">
      <alignment horizontal="center" vertical="center"/>
      <protection locked="0"/>
    </xf>
    <xf numFmtId="43" fontId="6" fillId="0" borderId="41" xfId="1" applyFont="1" applyFill="1" applyBorder="1" applyAlignment="1" applyProtection="1">
      <alignment vertical="center" wrapText="1"/>
      <protection locked="0"/>
    </xf>
    <xf numFmtId="43" fontId="6" fillId="0" borderId="41" xfId="1" applyFont="1" applyFill="1" applyBorder="1" applyAlignment="1" applyProtection="1">
      <alignment vertical="center"/>
      <protection locked="0"/>
    </xf>
    <xf numFmtId="0" fontId="6" fillId="0" borderId="0" xfId="782" applyFont="1" applyFill="1" applyBorder="1" applyAlignment="1" applyProtection="1">
      <alignment vertical="center" wrapText="1"/>
      <protection locked="0"/>
    </xf>
    <xf numFmtId="43" fontId="6" fillId="63" borderId="43" xfId="1" applyFont="1" applyFill="1" applyBorder="1" applyAlignment="1" applyProtection="1">
      <alignment horizontal="right" vertical="center"/>
    </xf>
    <xf numFmtId="43" fontId="6" fillId="0" borderId="43" xfId="1" applyFont="1" applyFill="1" applyBorder="1" applyAlignment="1" applyProtection="1">
      <alignment vertical="center"/>
      <protection locked="0"/>
    </xf>
    <xf numFmtId="0" fontId="6" fillId="0" borderId="0" xfId="782" applyFont="1" applyFill="1" applyBorder="1" applyAlignment="1" applyProtection="1">
      <alignment horizontal="center" vertical="center" wrapText="1"/>
      <protection locked="0"/>
    </xf>
    <xf numFmtId="0" fontId="3" fillId="0" borderId="0" xfId="782" applyFont="1" applyFill="1" applyProtection="1">
      <alignment vertical="center"/>
      <protection locked="0"/>
    </xf>
    <xf numFmtId="43" fontId="3" fillId="0" borderId="0" xfId="783" applyFont="1" applyFill="1" applyProtection="1">
      <alignment vertical="center"/>
      <protection locked="0"/>
    </xf>
    <xf numFmtId="43" fontId="6" fillId="0" borderId="41" xfId="1" applyFont="1" applyFill="1" applyBorder="1" applyAlignment="1" applyProtection="1">
      <alignment vertical="center"/>
    </xf>
    <xf numFmtId="14" fontId="3" fillId="0" borderId="41" xfId="782" applyNumberFormat="1" applyFont="1" applyFill="1" applyBorder="1" applyAlignment="1" applyProtection="1">
      <alignment horizontal="center" vertical="center"/>
      <protection locked="0"/>
    </xf>
    <xf numFmtId="0" fontId="6" fillId="0" borderId="0" xfId="782" applyFont="1" applyFill="1" applyAlignment="1" applyProtection="1">
      <alignment horizontal="left" vertical="center"/>
      <protection locked="0"/>
    </xf>
    <xf numFmtId="176" fontId="11" fillId="0" borderId="0" xfId="597" applyFont="1" applyBorder="1" applyAlignment="1">
      <alignment vertical="center"/>
      <protection locked="0"/>
    </xf>
    <xf numFmtId="0" fontId="157" fillId="0" borderId="0" xfId="782" applyFont="1" applyFill="1" applyBorder="1" applyAlignment="1">
      <alignment vertical="center"/>
    </xf>
    <xf numFmtId="176" fontId="6" fillId="0" borderId="0" xfId="597" applyFont="1" applyAlignment="1">
      <alignment horizontal="right" vertical="center"/>
      <protection locked="0"/>
    </xf>
    <xf numFmtId="0" fontId="157" fillId="0" borderId="0" xfId="782" applyFont="1" applyFill="1" applyBorder="1" applyAlignment="1" applyProtection="1">
      <alignment vertical="center"/>
      <protection locked="0"/>
    </xf>
    <xf numFmtId="176" fontId="6" fillId="0" borderId="0" xfId="597" applyFont="1" applyAlignment="1">
      <alignment vertical="center" wrapText="1"/>
      <protection locked="0"/>
    </xf>
    <xf numFmtId="176" fontId="146" fillId="0" borderId="0" xfId="597" applyFont="1" applyAlignment="1" applyProtection="1">
      <alignment vertical="center"/>
    </xf>
    <xf numFmtId="0" fontId="149" fillId="0" borderId="0" xfId="782" applyFont="1" applyFill="1" applyBorder="1" applyAlignment="1" applyProtection="1">
      <alignment vertical="center"/>
      <protection locked="0"/>
    </xf>
    <xf numFmtId="176" fontId="6" fillId="0" borderId="0" xfId="597" applyFont="1" applyBorder="1" applyAlignment="1">
      <alignment vertical="center"/>
      <protection locked="0"/>
    </xf>
    <xf numFmtId="176" fontId="11" fillId="0" borderId="0" xfId="597" applyFont="1" applyBorder="1" applyAlignment="1">
      <alignment horizontal="left" vertical="center"/>
      <protection locked="0"/>
    </xf>
    <xf numFmtId="176" fontId="3" fillId="0" borderId="0" xfId="597" applyFont="1" applyAlignment="1">
      <alignment vertical="center"/>
      <protection locked="0"/>
    </xf>
    <xf numFmtId="43" fontId="4" fillId="0" borderId="0" xfId="2" applyNumberFormat="1" applyFont="1" applyBorder="1" applyAlignment="1">
      <alignment vertical="center"/>
    </xf>
    <xf numFmtId="43" fontId="3" fillId="0" borderId="0" xfId="2" applyNumberFormat="1" applyFont="1" applyBorder="1" applyAlignment="1">
      <alignment vertical="center"/>
    </xf>
    <xf numFmtId="237" fontId="159" fillId="0" borderId="0" xfId="0" applyNumberFormat="1" applyFont="1">
      <alignment vertical="center"/>
    </xf>
    <xf numFmtId="0" fontId="21" fillId="0" borderId="4" xfId="4" applyFont="1" applyBorder="1" applyAlignment="1">
      <alignment vertical="center" wrapText="1"/>
      <protection locked="0"/>
    </xf>
    <xf numFmtId="14" fontId="151" fillId="0" borderId="4" xfId="0" applyNumberFormat="1" applyFont="1" applyBorder="1" applyAlignment="1">
      <alignment horizontal="center" vertical="center" wrapText="1"/>
    </xf>
    <xf numFmtId="0" fontId="133" fillId="0" borderId="4" xfId="0" applyFont="1" applyBorder="1" applyAlignment="1">
      <alignment horizontal="center" vertical="center" wrapText="1"/>
    </xf>
    <xf numFmtId="14" fontId="6" fillId="0" borderId="0" xfId="5" applyNumberFormat="1" applyFont="1" applyBorder="1" applyAlignment="1">
      <alignment horizontal="center" vertical="center"/>
    </xf>
    <xf numFmtId="240" fontId="11" fillId="0" borderId="0" xfId="4" applyNumberFormat="1" applyFont="1" applyAlignment="1">
      <alignment vertical="center"/>
      <protection locked="0"/>
    </xf>
    <xf numFmtId="0" fontId="6" fillId="0" borderId="0" xfId="2" applyNumberFormat="1" applyFont="1" applyBorder="1" applyAlignment="1">
      <alignment horizontal="center" vertical="center"/>
    </xf>
    <xf numFmtId="0" fontId="11" fillId="0" borderId="0" xfId="5" applyFont="1" applyBorder="1" applyAlignment="1">
      <alignment vertical="center"/>
    </xf>
    <xf numFmtId="0" fontId="6" fillId="0" borderId="4" xfId="2" applyNumberFormat="1" applyFont="1" applyBorder="1" applyAlignment="1">
      <alignment horizontal="center" vertical="center"/>
    </xf>
    <xf numFmtId="0" fontId="6" fillId="0" borderId="4" xfId="1" applyNumberFormat="1" applyFont="1" applyBorder="1" applyAlignment="1">
      <alignment horizontal="center" vertical="center"/>
    </xf>
    <xf numFmtId="244" fontId="6" fillId="0" borderId="4" xfId="1" applyNumberFormat="1" applyFont="1" applyBorder="1" applyAlignment="1">
      <alignment vertical="center"/>
    </xf>
    <xf numFmtId="43" fontId="3" fillId="4" borderId="4" xfId="1" applyFont="1" applyFill="1" applyBorder="1" applyAlignment="1">
      <alignment horizontal="center" vertical="center" wrapText="1"/>
    </xf>
    <xf numFmtId="0" fontId="160" fillId="4" borderId="4" xfId="5" applyFont="1" applyFill="1" applyBorder="1" applyAlignment="1">
      <alignment horizontal="center" vertical="center" wrapText="1"/>
    </xf>
    <xf numFmtId="43" fontId="155" fillId="0" borderId="4" xfId="1" applyFont="1" applyFill="1" applyBorder="1" applyAlignment="1">
      <alignment vertical="center"/>
    </xf>
    <xf numFmtId="43" fontId="151" fillId="0" borderId="4" xfId="1" applyFont="1" applyFill="1" applyBorder="1" applyAlignment="1">
      <alignment vertical="center"/>
    </xf>
    <xf numFmtId="0" fontId="14" fillId="66" borderId="4" xfId="5" applyFont="1" applyFill="1" applyBorder="1" applyAlignment="1">
      <alignment horizontal="center" vertical="center" wrapText="1"/>
    </xf>
    <xf numFmtId="0" fontId="3" fillId="0" borderId="0" xfId="2" applyNumberFormat="1" applyFont="1" applyBorder="1" applyAlignment="1">
      <alignment horizontal="left" vertical="center"/>
    </xf>
    <xf numFmtId="43" fontId="6" fillId="0" borderId="0" xfId="5" applyNumberFormat="1" applyFont="1" applyBorder="1" applyAlignment="1">
      <alignment vertical="center"/>
    </xf>
    <xf numFmtId="14" fontId="20" fillId="0" borderId="4" xfId="0" applyNumberFormat="1" applyFont="1" applyBorder="1" applyAlignment="1">
      <alignment horizontal="center" vertical="center" wrapText="1"/>
    </xf>
    <xf numFmtId="0" fontId="20" fillId="0" borderId="4" xfId="5" applyFont="1" applyBorder="1" applyAlignment="1">
      <alignment horizontal="center" vertical="center"/>
    </xf>
    <xf numFmtId="10" fontId="20" fillId="0" borderId="4" xfId="781" applyNumberFormat="1" applyFont="1" applyBorder="1" applyAlignment="1">
      <alignment vertical="center"/>
    </xf>
    <xf numFmtId="0" fontId="20" fillId="0" borderId="4" xfId="1" applyNumberFormat="1" applyFont="1" applyBorder="1" applyAlignment="1">
      <alignment horizontal="center" vertical="center"/>
    </xf>
    <xf numFmtId="240" fontId="20" fillId="0" borderId="4" xfId="4" applyNumberFormat="1" applyFont="1" applyBorder="1" applyAlignment="1">
      <alignment horizontal="center" vertical="center"/>
      <protection locked="0"/>
    </xf>
    <xf numFmtId="43" fontId="3" fillId="66" borderId="4" xfId="1" applyFont="1" applyFill="1" applyBorder="1" applyAlignment="1">
      <alignment horizontal="center" vertical="center" wrapText="1"/>
    </xf>
    <xf numFmtId="0" fontId="6" fillId="4" borderId="4" xfId="2" applyNumberFormat="1" applyFont="1" applyFill="1" applyBorder="1" applyAlignment="1">
      <alignment horizontal="center" vertical="center"/>
    </xf>
    <xf numFmtId="43" fontId="155" fillId="4" borderId="4" xfId="1" applyFont="1" applyFill="1" applyBorder="1" applyAlignment="1">
      <alignment vertical="center"/>
    </xf>
    <xf numFmtId="43" fontId="151" fillId="4" borderId="4" xfId="1" applyFont="1" applyFill="1" applyBorder="1" applyAlignment="1">
      <alignment vertical="center"/>
    </xf>
    <xf numFmtId="43" fontId="6" fillId="4" borderId="4" xfId="1" applyFont="1" applyFill="1" applyBorder="1" applyAlignment="1">
      <alignment horizontal="center" vertical="center"/>
    </xf>
    <xf numFmtId="43" fontId="6" fillId="4" borderId="4" xfId="1" applyFont="1" applyFill="1" applyBorder="1" applyAlignment="1">
      <alignment vertical="center"/>
    </xf>
    <xf numFmtId="0" fontId="6" fillId="4" borderId="4" xfId="5" applyFont="1" applyFill="1" applyBorder="1" applyAlignment="1">
      <alignment vertical="center"/>
    </xf>
    <xf numFmtId="244" fontId="6" fillId="4" borderId="4" xfId="1" applyNumberFormat="1" applyFont="1" applyFill="1" applyBorder="1" applyAlignment="1">
      <alignment vertical="center"/>
    </xf>
    <xf numFmtId="240" fontId="20" fillId="4" borderId="4" xfId="4" applyNumberFormat="1" applyFont="1" applyFill="1" applyBorder="1" applyAlignment="1">
      <alignment horizontal="center" vertical="center"/>
      <protection locked="0"/>
    </xf>
    <xf numFmtId="43" fontId="151" fillId="66" borderId="4" xfId="1" applyFont="1" applyFill="1" applyBorder="1" applyAlignment="1">
      <alignment vertical="center"/>
    </xf>
    <xf numFmtId="0" fontId="6" fillId="66" borderId="4" xfId="5" applyFont="1" applyFill="1" applyBorder="1" applyAlignment="1">
      <alignment horizontal="center" vertical="center"/>
    </xf>
    <xf numFmtId="43" fontId="6" fillId="66" borderId="4" xfId="1" applyFont="1" applyFill="1" applyBorder="1" applyAlignment="1">
      <alignment vertical="center"/>
    </xf>
    <xf numFmtId="240" fontId="20" fillId="0" borderId="4" xfId="4" applyNumberFormat="1" applyFont="1" applyFill="1" applyBorder="1" applyAlignment="1">
      <alignment horizontal="center" vertical="center"/>
      <protection locked="0"/>
    </xf>
    <xf numFmtId="43" fontId="3" fillId="0" borderId="42" xfId="5" applyNumberFormat="1" applyFont="1" applyBorder="1" applyAlignment="1">
      <alignment vertical="center"/>
    </xf>
    <xf numFmtId="43" fontId="6" fillId="0" borderId="0" xfId="1" applyFont="1" applyBorder="1" applyAlignment="1">
      <alignment vertical="center"/>
    </xf>
    <xf numFmtId="0" fontId="130" fillId="0" borderId="32" xfId="765" applyFont="1" applyBorder="1" applyAlignment="1" applyProtection="1">
      <protection locked="0"/>
    </xf>
    <xf numFmtId="0" fontId="52" fillId="0" borderId="35" xfId="764" applyFont="1" applyBorder="1" applyAlignment="1">
      <alignment horizontal="center"/>
      <protection locked="0"/>
    </xf>
    <xf numFmtId="0" fontId="52" fillId="0" borderId="33" xfId="764" applyFont="1" applyBorder="1" applyAlignment="1">
      <alignment horizontal="center"/>
      <protection locked="0"/>
    </xf>
    <xf numFmtId="0" fontId="130" fillId="0" borderId="34" xfId="765" applyBorder="1" applyAlignment="1" applyProtection="1">
      <protection locked="0"/>
    </xf>
    <xf numFmtId="0" fontId="6" fillId="0" borderId="4" xfId="1" applyNumberFormat="1" applyFont="1" applyFill="1" applyBorder="1" applyAlignment="1">
      <alignment horizontal="center" vertical="center"/>
    </xf>
    <xf numFmtId="43" fontId="151" fillId="67" borderId="4" xfId="1" applyFont="1" applyFill="1" applyBorder="1" applyAlignment="1">
      <alignment vertical="center"/>
    </xf>
    <xf numFmtId="43" fontId="6" fillId="0" borderId="43" xfId="1" applyFont="1" applyFill="1" applyBorder="1" applyAlignment="1" applyProtection="1">
      <alignment horizontal="right" vertical="center"/>
      <protection locked="0"/>
    </xf>
    <xf numFmtId="43" fontId="6" fillId="0" borderId="41" xfId="1" applyFont="1" applyFill="1" applyBorder="1" applyAlignment="1" applyProtection="1">
      <alignment horizontal="right" vertical="center"/>
      <protection locked="0"/>
    </xf>
    <xf numFmtId="0" fontId="6" fillId="4" borderId="43" xfId="782" applyFont="1" applyFill="1" applyBorder="1" applyAlignment="1" applyProtection="1">
      <alignment horizontal="center" vertical="center"/>
      <protection locked="0"/>
    </xf>
    <xf numFmtId="240" fontId="6" fillId="4" borderId="43" xfId="782" applyNumberFormat="1" applyFont="1" applyFill="1" applyBorder="1" applyAlignment="1" applyProtection="1">
      <alignment horizontal="center" vertical="center"/>
    </xf>
    <xf numFmtId="0" fontId="6" fillId="4" borderId="41" xfId="782" applyFont="1" applyFill="1" applyBorder="1" applyAlignment="1" applyProtection="1">
      <alignment horizontal="center" vertical="center"/>
    </xf>
    <xf numFmtId="240" fontId="6" fillId="4" borderId="41" xfId="782" applyNumberFormat="1" applyFont="1" applyFill="1" applyBorder="1" applyAlignment="1" applyProtection="1">
      <alignment horizontal="center" vertical="center"/>
    </xf>
    <xf numFmtId="43" fontId="6" fillId="4" borderId="43" xfId="1" applyFont="1" applyFill="1" applyBorder="1" applyAlignment="1" applyProtection="1">
      <alignment horizontal="right" vertical="center"/>
    </xf>
    <xf numFmtId="43" fontId="6" fillId="4" borderId="41" xfId="1" applyFont="1" applyFill="1" applyBorder="1" applyAlignment="1" applyProtection="1">
      <alignment horizontal="right" vertical="center"/>
    </xf>
    <xf numFmtId="43" fontId="6" fillId="4" borderId="43" xfId="1" applyFont="1" applyFill="1" applyBorder="1" applyAlignment="1" applyProtection="1">
      <alignment horizontal="right" vertical="center"/>
      <protection locked="0"/>
    </xf>
    <xf numFmtId="43" fontId="6" fillId="0" borderId="50" xfId="1" applyFont="1" applyFill="1" applyBorder="1" applyAlignment="1" applyProtection="1">
      <alignment vertical="center"/>
    </xf>
    <xf numFmtId="0" fontId="3" fillId="0" borderId="32" xfId="782" applyFont="1" applyFill="1" applyBorder="1" applyAlignment="1" applyProtection="1">
      <alignment horizontal="left" vertical="center"/>
      <protection locked="0"/>
    </xf>
    <xf numFmtId="41" fontId="11" fillId="0" borderId="0" xfId="782" applyNumberFormat="1" applyFont="1" applyFill="1" applyBorder="1" applyAlignment="1" applyProtection="1">
      <alignment horizontal="center" vertical="center"/>
      <protection locked="0"/>
    </xf>
    <xf numFmtId="0" fontId="6" fillId="0" borderId="52" xfId="782" applyFont="1" applyFill="1" applyBorder="1" applyAlignment="1" applyProtection="1">
      <alignment horizontal="center" vertical="center"/>
      <protection locked="0"/>
    </xf>
    <xf numFmtId="14" fontId="6" fillId="0" borderId="53" xfId="782" applyNumberFormat="1" applyFont="1" applyFill="1" applyBorder="1" applyAlignment="1" applyProtection="1">
      <alignment horizontal="center" vertical="center"/>
      <protection locked="0"/>
    </xf>
    <xf numFmtId="10" fontId="6" fillId="0" borderId="53" xfId="782" applyNumberFormat="1" applyFont="1" applyFill="1" applyBorder="1" applyAlignment="1" applyProtection="1">
      <alignment horizontal="center" vertical="center"/>
      <protection locked="0"/>
    </xf>
    <xf numFmtId="243" fontId="152" fillId="65" borderId="53" xfId="597" applyNumberFormat="1" applyFont="1" applyFill="1" applyBorder="1" applyAlignment="1" applyProtection="1">
      <alignment horizontal="center" vertical="center"/>
    </xf>
    <xf numFmtId="243" fontId="152" fillId="65" borderId="54" xfId="597" applyNumberFormat="1" applyFont="1" applyFill="1" applyBorder="1" applyAlignment="1" applyProtection="1">
      <alignment horizontal="center" vertical="center"/>
    </xf>
    <xf numFmtId="0" fontId="3" fillId="0" borderId="55" xfId="782" applyFont="1" applyFill="1" applyBorder="1" applyAlignment="1" applyProtection="1">
      <alignment horizontal="left" vertical="center"/>
      <protection locked="0"/>
    </xf>
    <xf numFmtId="43" fontId="6" fillId="0" borderId="0" xfId="783" applyFont="1" applyFill="1" applyBorder="1" applyProtection="1">
      <alignment vertical="center"/>
      <protection locked="0"/>
    </xf>
    <xf numFmtId="43" fontId="6" fillId="0" borderId="56" xfId="783" applyFont="1" applyFill="1" applyBorder="1" applyProtection="1">
      <alignment vertical="center"/>
      <protection locked="0"/>
    </xf>
    <xf numFmtId="14" fontId="6" fillId="4" borderId="57" xfId="782" applyNumberFormat="1" applyFont="1" applyFill="1" applyBorder="1" applyAlignment="1" applyProtection="1">
      <alignment horizontal="center" vertical="center"/>
      <protection locked="0"/>
    </xf>
    <xf numFmtId="14" fontId="3" fillId="0" borderId="53" xfId="782" applyNumberFormat="1" applyFont="1" applyFill="1" applyBorder="1" applyAlignment="1" applyProtection="1">
      <alignment horizontal="center" vertical="center"/>
      <protection locked="0"/>
    </xf>
    <xf numFmtId="41" fontId="3" fillId="4" borderId="57" xfId="782" applyNumberFormat="1" applyFont="1" applyFill="1" applyBorder="1" applyAlignment="1" applyProtection="1">
      <alignment horizontal="center" vertical="center"/>
      <protection locked="0"/>
    </xf>
    <xf numFmtId="43" fontId="6" fillId="0" borderId="53" xfId="1" applyFont="1" applyFill="1" applyBorder="1" applyAlignment="1" applyProtection="1">
      <alignment vertical="center"/>
    </xf>
    <xf numFmtId="0" fontId="3" fillId="4" borderId="57" xfId="782" applyFont="1" applyFill="1" applyBorder="1" applyAlignment="1" applyProtection="1">
      <alignment horizontal="center" vertical="center"/>
      <protection locked="0"/>
    </xf>
    <xf numFmtId="0" fontId="4" fillId="4" borderId="58" xfId="782" applyFont="1" applyFill="1" applyBorder="1" applyAlignment="1" applyProtection="1">
      <alignment horizontal="center" vertical="center"/>
      <protection locked="0"/>
    </xf>
    <xf numFmtId="0" fontId="3" fillId="0" borderId="59" xfId="782" applyFont="1" applyFill="1" applyBorder="1" applyProtection="1">
      <alignment vertical="center"/>
      <protection locked="0"/>
    </xf>
    <xf numFmtId="43" fontId="6" fillId="0" borderId="54" xfId="1" applyFont="1" applyFill="1" applyBorder="1" applyAlignment="1" applyProtection="1">
      <alignment vertical="center"/>
    </xf>
    <xf numFmtId="0" fontId="3" fillId="64" borderId="60" xfId="782" applyFont="1" applyFill="1" applyBorder="1" applyAlignment="1" applyProtection="1">
      <alignment horizontal="center" vertical="center" wrapText="1"/>
      <protection locked="0"/>
    </xf>
    <xf numFmtId="242" fontId="3" fillId="64" borderId="61" xfId="782" applyNumberFormat="1" applyFont="1" applyFill="1" applyBorder="1" applyAlignment="1" applyProtection="1">
      <alignment horizontal="center" vertical="center" wrapText="1"/>
      <protection locked="0"/>
    </xf>
    <xf numFmtId="0" fontId="149" fillId="64" borderId="61" xfId="782" applyFont="1" applyFill="1" applyBorder="1" applyAlignment="1" applyProtection="1">
      <alignment horizontal="center" vertical="center" wrapText="1"/>
      <protection locked="0"/>
    </xf>
    <xf numFmtId="41" fontId="3" fillId="64" borderId="61" xfId="782" applyNumberFormat="1" applyFont="1" applyFill="1" applyBorder="1" applyAlignment="1" applyProtection="1">
      <alignment horizontal="center" vertical="center" wrapText="1"/>
      <protection locked="0"/>
    </xf>
    <xf numFmtId="41" fontId="149" fillId="64" borderId="61" xfId="782" applyNumberFormat="1" applyFont="1" applyFill="1" applyBorder="1" applyAlignment="1" applyProtection="1">
      <alignment horizontal="center" vertical="center" wrapText="1"/>
      <protection locked="0"/>
    </xf>
    <xf numFmtId="41" fontId="3" fillId="64" borderId="51" xfId="782" applyNumberFormat="1" applyFont="1" applyFill="1" applyBorder="1" applyAlignment="1" applyProtection="1">
      <alignment horizontal="center" vertical="center" wrapText="1"/>
      <protection locked="0"/>
    </xf>
    <xf numFmtId="0" fontId="131" fillId="0" borderId="0" xfId="764" applyFont="1">
      <protection locked="0"/>
    </xf>
    <xf numFmtId="0" fontId="4" fillId="0" borderId="0" xfId="6" applyFont="1" applyFill="1" applyBorder="1" applyAlignment="1">
      <alignment horizontal="center" vertical="center"/>
      <protection locked="0"/>
    </xf>
    <xf numFmtId="0" fontId="11" fillId="0" borderId="0" xfId="6" applyFont="1" applyBorder="1" applyAlignment="1">
      <alignment vertical="center"/>
      <protection locked="0"/>
    </xf>
    <xf numFmtId="0" fontId="2" fillId="0" borderId="0" xfId="6" applyFont="1" applyBorder="1" applyAlignment="1">
      <alignment vertical="center"/>
      <protection locked="0"/>
    </xf>
    <xf numFmtId="0" fontId="7" fillId="0" borderId="0" xfId="6" applyFont="1" applyFill="1" applyBorder="1" applyAlignment="1">
      <alignment horizontal="center" vertical="center"/>
      <protection locked="0"/>
    </xf>
    <xf numFmtId="0" fontId="4" fillId="0" borderId="0" xfId="6" applyFont="1" applyAlignment="1">
      <alignment horizontal="center" vertical="center"/>
      <protection locked="0"/>
    </xf>
    <xf numFmtId="0" fontId="125" fillId="0" borderId="0" xfId="6" quotePrefix="1" applyFont="1" applyFill="1" applyBorder="1" applyAlignment="1">
      <alignment horizontal="center" vertical="center"/>
      <protection locked="0"/>
    </xf>
    <xf numFmtId="0" fontId="11" fillId="0" borderId="4" xfId="6" applyFont="1" applyBorder="1" applyAlignment="1">
      <alignment vertical="center" wrapText="1"/>
      <protection locked="0"/>
    </xf>
    <xf numFmtId="0" fontId="4" fillId="0" borderId="4" xfId="6" applyFont="1" applyBorder="1" applyAlignment="1">
      <alignment vertical="center"/>
      <protection locked="0"/>
    </xf>
    <xf numFmtId="0" fontId="4" fillId="0" borderId="0" xfId="6" applyFont="1" applyBorder="1" applyAlignment="1">
      <alignment horizontal="left" vertical="center"/>
      <protection locked="0"/>
    </xf>
    <xf numFmtId="0" fontId="11" fillId="0" borderId="0" xfId="6" applyFont="1" applyBorder="1" applyAlignment="1">
      <alignment horizontal="left" vertical="center"/>
      <protection locked="0"/>
    </xf>
    <xf numFmtId="0" fontId="11" fillId="0" borderId="4" xfId="6" applyFont="1" applyBorder="1" applyAlignment="1">
      <alignment horizontal="left" vertical="center" wrapText="1" indent="1"/>
      <protection locked="0"/>
    </xf>
    <xf numFmtId="0" fontId="11" fillId="0" borderId="4" xfId="6" applyFont="1" applyBorder="1" applyAlignment="1">
      <alignment horizontal="left" vertical="center" indent="1"/>
      <protection locked="0"/>
    </xf>
    <xf numFmtId="0" fontId="4" fillId="0" borderId="0" xfId="6" applyFont="1" applyBorder="1" applyAlignment="1">
      <alignment vertical="center"/>
      <protection locked="0"/>
    </xf>
    <xf numFmtId="0" fontId="11" fillId="0" borderId="0" xfId="6" quotePrefix="1" applyFont="1" applyBorder="1" applyAlignment="1">
      <alignment horizontal="left" vertical="center"/>
      <protection locked="0"/>
    </xf>
    <xf numFmtId="0" fontId="4" fillId="0" borderId="4" xfId="6" applyFont="1" applyBorder="1" applyAlignment="1">
      <alignment vertical="center" wrapText="1"/>
      <protection locked="0"/>
    </xf>
    <xf numFmtId="43" fontId="3" fillId="0" borderId="0" xfId="2" applyNumberFormat="1" applyFont="1" applyBorder="1" applyAlignment="1">
      <alignment horizontal="center" vertical="center"/>
    </xf>
    <xf numFmtId="43" fontId="7" fillId="0" borderId="0" xfId="2" applyNumberFormat="1" applyFont="1" applyBorder="1" applyAlignment="1">
      <alignment horizontal="center" vertical="center" wrapText="1"/>
    </xf>
    <xf numFmtId="43" fontId="9" fillId="0" borderId="0" xfId="2" applyNumberFormat="1" applyFont="1" applyBorder="1" applyAlignment="1">
      <alignment horizontal="center" vertical="center"/>
    </xf>
    <xf numFmtId="0" fontId="3" fillId="0" borderId="0" xfId="3" applyFont="1" applyBorder="1" applyAlignment="1">
      <alignment horizontal="left" vertical="center"/>
    </xf>
    <xf numFmtId="0" fontId="11" fillId="0" borderId="0" xfId="4" applyFont="1" applyBorder="1" applyAlignment="1">
      <alignment vertical="center" wrapText="1"/>
      <protection locked="0"/>
    </xf>
    <xf numFmtId="0" fontId="4" fillId="0" borderId="1" xfId="5" applyFont="1" applyBorder="1" applyAlignment="1">
      <alignment horizontal="center" vertical="center" wrapText="1"/>
    </xf>
    <xf numFmtId="0" fontId="135" fillId="0" borderId="3" xfId="0" applyFont="1" applyBorder="1" applyAlignment="1">
      <alignment horizontal="center" vertical="center" wrapText="1"/>
    </xf>
    <xf numFmtId="0" fontId="135" fillId="0" borderId="2" xfId="0" applyFont="1" applyBorder="1" applyAlignment="1">
      <alignment horizontal="center" vertical="center" wrapText="1"/>
    </xf>
    <xf numFmtId="0" fontId="132" fillId="0" borderId="8" xfId="583" applyFont="1" applyBorder="1" applyAlignment="1">
      <alignment horizontal="center" vertical="center" wrapText="1"/>
      <protection locked="0"/>
    </xf>
    <xf numFmtId="0" fontId="138" fillId="0" borderId="39" xfId="0" applyFont="1" applyBorder="1" applyAlignment="1">
      <alignment horizontal="center" vertical="center" wrapText="1"/>
    </xf>
    <xf numFmtId="0" fontId="138" fillId="0" borderId="12" xfId="0" applyFont="1" applyBorder="1" applyAlignment="1">
      <alignment horizontal="center" vertical="center" wrapText="1"/>
    </xf>
    <xf numFmtId="0" fontId="11" fillId="0" borderId="8" xfId="583" applyFont="1" applyBorder="1" applyAlignment="1">
      <alignment horizontal="center" vertical="center" wrapText="1"/>
      <protection locked="0"/>
    </xf>
    <xf numFmtId="0" fontId="136" fillId="0" borderId="39" xfId="0" applyFont="1" applyBorder="1" applyAlignment="1">
      <alignment horizontal="center" vertical="center" wrapText="1"/>
    </xf>
    <xf numFmtId="0" fontId="136" fillId="0" borderId="12" xfId="0" applyFont="1" applyBorder="1" applyAlignment="1">
      <alignment horizontal="center" vertical="center" wrapText="1"/>
    </xf>
    <xf numFmtId="0" fontId="11" fillId="0" borderId="5" xfId="583" applyFont="1" applyBorder="1" applyAlignment="1">
      <alignment horizontal="left" vertical="center" wrapText="1"/>
      <protection locked="0"/>
    </xf>
    <xf numFmtId="0" fontId="134" fillId="0" borderId="6" xfId="0" applyFont="1" applyBorder="1" applyAlignment="1">
      <alignment vertical="center" wrapText="1"/>
    </xf>
    <xf numFmtId="0" fontId="134" fillId="0" borderId="7" xfId="0" applyFont="1" applyBorder="1" applyAlignment="1">
      <alignment vertical="center" wrapText="1"/>
    </xf>
    <xf numFmtId="0" fontId="0" fillId="0" borderId="13" xfId="0" applyBorder="1" applyAlignment="1">
      <alignment vertical="center" wrapText="1"/>
    </xf>
    <xf numFmtId="0" fontId="0" fillId="0" borderId="0" xfId="0" applyAlignment="1">
      <alignment vertical="center" wrapText="1"/>
    </xf>
    <xf numFmtId="0" fontId="0" fillId="0" borderId="38" xfId="0" applyBorder="1" applyAlignment="1">
      <alignment vertical="center" wrapText="1"/>
    </xf>
    <xf numFmtId="0" fontId="0" fillId="0" borderId="9" xfId="0" applyBorder="1" applyAlignment="1">
      <alignment vertical="center" wrapText="1"/>
    </xf>
    <xf numFmtId="0" fontId="0" fillId="0" borderId="10" xfId="0" applyBorder="1" applyAlignment="1">
      <alignment vertical="center" wrapText="1"/>
    </xf>
    <xf numFmtId="0" fontId="0" fillId="0" borderId="11" xfId="0" applyBorder="1" applyAlignment="1">
      <alignment vertical="center" wrapText="1"/>
    </xf>
    <xf numFmtId="0" fontId="132" fillId="0" borderId="39" xfId="583" applyFont="1" applyBorder="1" applyAlignment="1">
      <alignment horizontal="center" vertical="center" wrapText="1"/>
      <protection locked="0"/>
    </xf>
    <xf numFmtId="0" fontId="11" fillId="0" borderId="39" xfId="583" applyFont="1" applyBorder="1" applyAlignment="1">
      <alignment horizontal="center" vertical="center" wrapText="1"/>
      <protection locked="0"/>
    </xf>
    <xf numFmtId="0" fontId="11" fillId="0" borderId="13" xfId="583" applyFont="1" applyBorder="1" applyAlignment="1">
      <alignment horizontal="left" vertical="center" wrapText="1"/>
      <protection locked="0"/>
    </xf>
    <xf numFmtId="0" fontId="134" fillId="0" borderId="0" xfId="0" applyFont="1" applyBorder="1" applyAlignment="1">
      <alignment vertical="center" wrapText="1"/>
    </xf>
    <xf numFmtId="0" fontId="134" fillId="0" borderId="38" xfId="0" applyFont="1" applyBorder="1" applyAlignment="1">
      <alignment vertical="center" wrapText="1"/>
    </xf>
    <xf numFmtId="49" fontId="11" fillId="0" borderId="0" xfId="2" applyNumberFormat="1" applyFont="1" applyBorder="1" applyAlignment="1">
      <alignment vertical="center" wrapText="1"/>
    </xf>
    <xf numFmtId="0" fontId="14" fillId="4" borderId="4" xfId="5" applyFont="1" applyFill="1" applyBorder="1" applyAlignment="1">
      <alignment horizontal="center" vertical="center" wrapText="1"/>
    </xf>
    <xf numFmtId="0" fontId="0" fillId="0" borderId="4" xfId="0" applyBorder="1" applyAlignment="1">
      <alignment horizontal="center" vertical="center" wrapText="1"/>
    </xf>
    <xf numFmtId="236" fontId="14" fillId="4" borderId="1" xfId="5" applyNumberFormat="1" applyFont="1" applyFill="1" applyBorder="1" applyAlignment="1">
      <alignment horizontal="center" vertical="center"/>
    </xf>
    <xf numFmtId="0" fontId="0" fillId="0" borderId="2" xfId="0" applyBorder="1" applyAlignment="1">
      <alignment horizontal="center" vertical="center"/>
    </xf>
    <xf numFmtId="0" fontId="132" fillId="0" borderId="4" xfId="4" applyFont="1" applyBorder="1" applyAlignment="1">
      <alignment vertical="center" wrapText="1"/>
      <protection locked="0"/>
    </xf>
    <xf numFmtId="0" fontId="138" fillId="0" borderId="4" xfId="0" applyFont="1" applyBorder="1" applyAlignment="1">
      <alignment vertical="center" wrapText="1"/>
    </xf>
    <xf numFmtId="43" fontId="6" fillId="0" borderId="1" xfId="1" applyFont="1" applyBorder="1" applyAlignment="1">
      <alignment vertical="center"/>
    </xf>
    <xf numFmtId="43" fontId="0" fillId="0" borderId="2" xfId="1" applyFont="1" applyBorder="1" applyAlignment="1">
      <alignment vertical="center"/>
    </xf>
    <xf numFmtId="0" fontId="11" fillId="0" borderId="4" xfId="4" applyFont="1" applyBorder="1" applyAlignment="1">
      <alignment vertical="center" wrapText="1"/>
      <protection locked="0"/>
    </xf>
    <xf numFmtId="0" fontId="136" fillId="0" borderId="4" xfId="0" applyFont="1" applyBorder="1" applyAlignment="1">
      <alignment vertical="center" wrapText="1"/>
    </xf>
    <xf numFmtId="43" fontId="6" fillId="0" borderId="1" xfId="1" applyFont="1" applyBorder="1" applyAlignment="1">
      <alignment horizontal="center" vertical="center"/>
    </xf>
    <xf numFmtId="43" fontId="0" fillId="0" borderId="2" xfId="1" applyFont="1" applyBorder="1" applyAlignment="1">
      <alignment horizontal="center" vertical="center"/>
    </xf>
    <xf numFmtId="0" fontId="0" fillId="0" borderId="4" xfId="0" applyBorder="1" applyAlignment="1">
      <alignment vertical="center" wrapText="1"/>
    </xf>
    <xf numFmtId="0" fontId="21" fillId="0" borderId="0" xfId="4" applyFont="1" applyAlignment="1">
      <alignment horizontal="left" vertical="center" wrapText="1"/>
      <protection locked="0"/>
    </xf>
    <xf numFmtId="0" fontId="20" fillId="0" borderId="0" xfId="4" applyFont="1" applyAlignment="1">
      <alignment horizontal="left" vertical="center" wrapText="1"/>
      <protection locked="0"/>
    </xf>
    <xf numFmtId="0" fontId="11" fillId="0" borderId="0" xfId="4" applyFont="1" applyAlignment="1">
      <alignment horizontal="left" vertical="center" wrapText="1"/>
      <protection locked="0"/>
    </xf>
    <xf numFmtId="0" fontId="6" fillId="0" borderId="0" xfId="4" applyFont="1" applyAlignment="1">
      <alignment horizontal="left" vertical="center" wrapText="1"/>
      <protection locked="0"/>
    </xf>
    <xf numFmtId="0" fontId="14" fillId="4" borderId="4" xfId="5" applyFont="1" applyFill="1" applyBorder="1" applyAlignment="1">
      <alignment horizontal="center" vertical="center"/>
    </xf>
    <xf numFmtId="0" fontId="0" fillId="0" borderId="4" xfId="0" applyBorder="1" applyAlignment="1">
      <alignment horizontal="center" vertical="center"/>
    </xf>
    <xf numFmtId="49" fontId="132" fillId="0" borderId="5" xfId="4" applyNumberFormat="1" applyFont="1" applyBorder="1" applyAlignment="1">
      <alignment vertical="center" wrapText="1"/>
      <protection locked="0"/>
    </xf>
    <xf numFmtId="49" fontId="138" fillId="0" borderId="7" xfId="0" applyNumberFormat="1" applyFont="1" applyBorder="1" applyAlignment="1">
      <alignment vertical="center" wrapText="1"/>
    </xf>
    <xf numFmtId="49" fontId="0" fillId="0" borderId="9" xfId="0" applyNumberFormat="1" applyBorder="1" applyAlignment="1">
      <alignment vertical="center" wrapText="1"/>
    </xf>
    <xf numFmtId="49" fontId="0" fillId="0" borderId="11" xfId="0" applyNumberFormat="1" applyBorder="1" applyAlignment="1">
      <alignment vertical="center" wrapText="1"/>
    </xf>
    <xf numFmtId="49" fontId="0" fillId="0" borderId="13" xfId="0" applyNumberFormat="1" applyBorder="1" applyAlignment="1">
      <alignment vertical="center" wrapText="1"/>
    </xf>
    <xf numFmtId="49" fontId="0" fillId="0" borderId="38" xfId="0" applyNumberFormat="1" applyBorder="1" applyAlignment="1">
      <alignment vertical="center" wrapText="1"/>
    </xf>
    <xf numFmtId="0" fontId="14" fillId="4" borderId="1" xfId="5" applyFont="1" applyFill="1" applyBorder="1" applyAlignment="1">
      <alignment horizontal="center" vertical="center" wrapText="1"/>
    </xf>
    <xf numFmtId="0" fontId="0" fillId="0" borderId="3" xfId="0" applyBorder="1" applyAlignment="1">
      <alignment horizontal="center" vertical="center" wrapText="1"/>
    </xf>
    <xf numFmtId="0" fontId="0" fillId="0" borderId="3" xfId="0" applyBorder="1" applyAlignment="1">
      <alignment horizontal="center" vertical="center"/>
    </xf>
    <xf numFmtId="43" fontId="0" fillId="0" borderId="8" xfId="1" applyFont="1" applyBorder="1" applyAlignment="1">
      <alignment vertical="center" wrapText="1"/>
    </xf>
    <xf numFmtId="0" fontId="0" fillId="0" borderId="12" xfId="0" applyBorder="1" applyAlignment="1">
      <alignment vertical="center" wrapText="1"/>
    </xf>
    <xf numFmtId="49" fontId="132" fillId="0" borderId="5" xfId="5" applyNumberFormat="1" applyFont="1" applyBorder="1" applyAlignment="1">
      <alignment horizontal="left" vertical="center" wrapText="1"/>
    </xf>
    <xf numFmtId="0" fontId="0" fillId="0" borderId="40" xfId="0" applyBorder="1" applyAlignment="1">
      <alignment horizontal="left" vertical="center" wrapText="1"/>
    </xf>
    <xf numFmtId="0" fontId="0" fillId="0" borderId="7" xfId="0" applyBorder="1" applyAlignment="1">
      <alignment horizontal="left" vertical="center" wrapText="1"/>
    </xf>
    <xf numFmtId="0" fontId="0" fillId="0" borderId="9" xfId="0" applyBorder="1" applyAlignment="1">
      <alignment horizontal="left" vertical="center" wrapText="1"/>
    </xf>
    <xf numFmtId="0" fontId="0" fillId="0" borderId="10" xfId="0" applyBorder="1" applyAlignment="1">
      <alignment horizontal="left" vertical="center" wrapText="1"/>
    </xf>
    <xf numFmtId="0" fontId="0" fillId="0" borderId="11" xfId="0" applyBorder="1" applyAlignment="1">
      <alignment horizontal="left" vertical="center" wrapText="1"/>
    </xf>
    <xf numFmtId="49" fontId="144" fillId="0" borderId="40" xfId="0" applyNumberFormat="1" applyFont="1" applyBorder="1" applyAlignment="1">
      <alignment horizontal="left" vertical="center" wrapText="1"/>
    </xf>
    <xf numFmtId="49" fontId="0" fillId="0" borderId="7" xfId="0" applyNumberFormat="1" applyBorder="1" applyAlignment="1">
      <alignment horizontal="left" vertical="center" wrapText="1"/>
    </xf>
    <xf numFmtId="43" fontId="6" fillId="0" borderId="8" xfId="1" applyFont="1" applyBorder="1" applyAlignment="1">
      <alignment vertical="center"/>
    </xf>
    <xf numFmtId="0" fontId="0" fillId="0" borderId="12" xfId="0" applyBorder="1" applyAlignment="1">
      <alignment vertical="center"/>
    </xf>
    <xf numFmtId="49" fontId="132" fillId="0" borderId="1" xfId="5" applyNumberFormat="1" applyFont="1" applyBorder="1" applyAlignment="1">
      <alignment horizontal="left" vertical="center" wrapText="1"/>
    </xf>
    <xf numFmtId="49" fontId="144" fillId="0" borderId="3" xfId="0" applyNumberFormat="1" applyFont="1" applyBorder="1" applyAlignment="1">
      <alignment horizontal="left" vertical="center" wrapText="1"/>
    </xf>
    <xf numFmtId="49" fontId="0" fillId="0" borderId="2" xfId="0" applyNumberFormat="1" applyBorder="1" applyAlignment="1">
      <alignment horizontal="left" vertical="center" wrapText="1"/>
    </xf>
    <xf numFmtId="236" fontId="14" fillId="4" borderId="1" xfId="5" applyNumberFormat="1" applyFont="1" applyFill="1" applyBorder="1" applyAlignment="1">
      <alignment horizontal="center" vertical="center" wrapText="1"/>
    </xf>
    <xf numFmtId="49" fontId="0" fillId="0" borderId="9" xfId="0" applyNumberFormat="1" applyBorder="1" applyAlignment="1">
      <alignment horizontal="left" vertical="center" wrapText="1"/>
    </xf>
    <xf numFmtId="49" fontId="0" fillId="0" borderId="10" xfId="0" applyNumberFormat="1" applyBorder="1" applyAlignment="1">
      <alignment horizontal="left" vertical="center" wrapText="1"/>
    </xf>
    <xf numFmtId="49" fontId="0" fillId="0" borderId="11" xfId="0" applyNumberFormat="1" applyBorder="1" applyAlignment="1">
      <alignment horizontal="left" vertical="center" wrapText="1"/>
    </xf>
    <xf numFmtId="49" fontId="132" fillId="0" borderId="4" xfId="4" applyNumberFormat="1" applyFont="1" applyBorder="1" applyAlignment="1">
      <alignment vertical="center" wrapText="1"/>
      <protection locked="0"/>
    </xf>
    <xf numFmtId="49" fontId="138" fillId="0" borderId="4" xfId="0" applyNumberFormat="1" applyFont="1" applyBorder="1" applyAlignment="1">
      <alignment vertical="center" wrapText="1"/>
    </xf>
    <xf numFmtId="49" fontId="132" fillId="0" borderId="13" xfId="4" applyNumberFormat="1" applyFont="1" applyBorder="1" applyAlignment="1">
      <alignment vertical="center" wrapText="1"/>
      <protection locked="0"/>
    </xf>
    <xf numFmtId="49" fontId="138" fillId="0" borderId="38" xfId="0" applyNumberFormat="1" applyFont="1" applyBorder="1" applyAlignment="1">
      <alignment vertical="center" wrapText="1"/>
    </xf>
    <xf numFmtId="49" fontId="132" fillId="0" borderId="13" xfId="5" applyNumberFormat="1" applyFont="1" applyBorder="1" applyAlignment="1">
      <alignment horizontal="left" vertical="center" wrapText="1"/>
    </xf>
    <xf numFmtId="49" fontId="144" fillId="0" borderId="0" xfId="0" applyNumberFormat="1" applyFont="1" applyBorder="1" applyAlignment="1">
      <alignment horizontal="left" vertical="center" wrapText="1"/>
    </xf>
    <xf numFmtId="49" fontId="0" fillId="0" borderId="38" xfId="0" applyNumberFormat="1" applyBorder="1" applyAlignment="1">
      <alignment horizontal="left" vertical="center" wrapText="1"/>
    </xf>
    <xf numFmtId="43" fontId="6" fillId="0" borderId="39" xfId="1" applyFont="1" applyBorder="1" applyAlignment="1">
      <alignment vertical="center"/>
    </xf>
    <xf numFmtId="0" fontId="13" fillId="4" borderId="1" xfId="4" applyFont="1" applyFill="1" applyBorder="1" applyAlignment="1">
      <alignment horizontal="center" vertical="center" wrapText="1"/>
      <protection locked="0"/>
    </xf>
    <xf numFmtId="0" fontId="7" fillId="4" borderId="2" xfId="4" applyFont="1" applyFill="1" applyBorder="1" applyAlignment="1">
      <alignment horizontal="center" vertical="center"/>
      <protection locked="0"/>
    </xf>
    <xf numFmtId="0" fontId="16" fillId="0" borderId="1" xfId="4" applyFont="1" applyFill="1" applyBorder="1" applyAlignment="1">
      <alignment horizontal="justify" vertical="center" wrapText="1"/>
      <protection locked="0"/>
    </xf>
    <xf numFmtId="0" fontId="16" fillId="0" borderId="3" xfId="0" applyFont="1" applyBorder="1" applyAlignment="1">
      <alignment horizontal="justify" vertical="center" wrapText="1"/>
    </xf>
    <xf numFmtId="0" fontId="16" fillId="0" borderId="2" xfId="0" applyFont="1" applyBorder="1" applyAlignment="1">
      <alignment horizontal="justify" vertical="center" wrapText="1"/>
    </xf>
    <xf numFmtId="0" fontId="16" fillId="0" borderId="4" xfId="4" applyFont="1" applyFill="1" applyBorder="1" applyAlignment="1">
      <alignment horizontal="justify" vertical="center" wrapText="1"/>
      <protection locked="0"/>
    </xf>
    <xf numFmtId="0" fontId="16" fillId="0" borderId="4" xfId="4" applyFont="1" applyFill="1" applyBorder="1" applyAlignment="1">
      <alignment vertical="center"/>
      <protection locked="0"/>
    </xf>
    <xf numFmtId="0" fontId="17" fillId="0" borderId="4" xfId="4" applyFont="1" applyFill="1" applyBorder="1" applyAlignment="1">
      <alignment vertical="center"/>
      <protection locked="0"/>
    </xf>
    <xf numFmtId="0" fontId="0" fillId="0" borderId="2" xfId="0" applyBorder="1" applyAlignment="1">
      <alignment horizontal="center" vertical="center" wrapText="1"/>
    </xf>
    <xf numFmtId="0" fontId="18" fillId="0" borderId="1" xfId="4" applyFont="1" applyFill="1" applyBorder="1" applyAlignment="1">
      <alignment horizontal="justify" vertical="center" wrapText="1"/>
      <protection locked="0"/>
    </xf>
    <xf numFmtId="0" fontId="139" fillId="0" borderId="3" xfId="0" applyFont="1" applyBorder="1" applyAlignment="1">
      <alignment horizontal="justify" vertical="center" wrapText="1"/>
    </xf>
    <xf numFmtId="0" fontId="139" fillId="0" borderId="2" xfId="0" applyFont="1" applyBorder="1" applyAlignment="1">
      <alignment horizontal="justify" vertical="center" wrapText="1"/>
    </xf>
    <xf numFmtId="0" fontId="2" fillId="0" borderId="1" xfId="4" applyFill="1" applyBorder="1" applyAlignment="1">
      <alignment horizontal="justify" vertical="center" wrapText="1"/>
      <protection locked="0"/>
    </xf>
    <xf numFmtId="0" fontId="0" fillId="0" borderId="3" xfId="0" applyBorder="1" applyAlignment="1">
      <alignment horizontal="justify" vertical="center" wrapText="1"/>
    </xf>
    <xf numFmtId="0" fontId="0" fillId="0" borderId="2" xfId="0" applyBorder="1" applyAlignment="1">
      <alignment horizontal="justify" vertical="center" wrapText="1"/>
    </xf>
    <xf numFmtId="0" fontId="6" fillId="0" borderId="1" xfId="5" applyFont="1" applyFill="1" applyBorder="1" applyAlignment="1">
      <alignment vertical="center" wrapText="1"/>
    </xf>
    <xf numFmtId="0" fontId="0" fillId="0" borderId="3" xfId="0" applyBorder="1" applyAlignment="1">
      <alignment vertical="center"/>
    </xf>
    <xf numFmtId="0" fontId="0" fillId="0" borderId="2" xfId="0" applyBorder="1" applyAlignment="1">
      <alignment vertical="center"/>
    </xf>
    <xf numFmtId="0" fontId="16" fillId="0" borderId="1" xfId="5" applyFont="1" applyFill="1" applyBorder="1" applyAlignment="1">
      <alignment vertical="center" wrapText="1"/>
    </xf>
    <xf numFmtId="0" fontId="140" fillId="0" borderId="3" xfId="0" applyFont="1" applyBorder="1" applyAlignment="1">
      <alignment vertical="center"/>
    </xf>
    <xf numFmtId="0" fontId="140" fillId="0" borderId="2" xfId="0" applyFont="1" applyBorder="1" applyAlignment="1">
      <alignment vertical="center"/>
    </xf>
    <xf numFmtId="0" fontId="6" fillId="0" borderId="4" xfId="5" applyFont="1" applyBorder="1" applyAlignment="1">
      <alignment vertical="center" wrapText="1"/>
    </xf>
    <xf numFmtId="0" fontId="145" fillId="4" borderId="4" xfId="0" applyFont="1" applyFill="1" applyBorder="1" applyAlignment="1">
      <alignment horizontal="center" vertical="center"/>
    </xf>
    <xf numFmtId="43" fontId="6" fillId="0" borderId="1" xfId="1" quotePrefix="1" applyFont="1" applyBorder="1" applyAlignment="1">
      <alignment horizontal="center" vertical="center"/>
    </xf>
    <xf numFmtId="0" fontId="14" fillId="4" borderId="4" xfId="4" applyFont="1" applyFill="1" applyBorder="1" applyAlignment="1">
      <alignment horizontal="center" vertical="center"/>
      <protection locked="0"/>
    </xf>
    <xf numFmtId="49" fontId="11" fillId="0" borderId="13" xfId="2" applyNumberFormat="1" applyFont="1" applyBorder="1" applyAlignment="1">
      <alignment vertical="center" wrapText="1"/>
    </xf>
    <xf numFmtId="0" fontId="160" fillId="4" borderId="4" xfId="0" applyFont="1" applyFill="1" applyBorder="1" applyAlignment="1">
      <alignment horizontal="center" vertical="center" wrapText="1"/>
    </xf>
    <xf numFmtId="0" fontId="146" fillId="4" borderId="4" xfId="0" applyFont="1" applyFill="1" applyBorder="1" applyAlignment="1">
      <alignment horizontal="center" vertical="center" wrapText="1"/>
    </xf>
    <xf numFmtId="237" fontId="160" fillId="66" borderId="4" xfId="0" applyNumberFormat="1" applyFont="1" applyFill="1" applyBorder="1" applyAlignment="1">
      <alignment horizontal="center" vertical="center" wrapText="1"/>
    </xf>
    <xf numFmtId="0" fontId="0" fillId="66" borderId="4" xfId="0" applyFill="1" applyBorder="1" applyAlignment="1">
      <alignment horizontal="center" vertical="center" wrapText="1"/>
    </xf>
    <xf numFmtId="0" fontId="149" fillId="65" borderId="41" xfId="782" applyFont="1" applyFill="1" applyBorder="1" applyAlignment="1" applyProtection="1">
      <alignment horizontal="left" vertical="center"/>
      <protection locked="0"/>
    </xf>
    <xf numFmtId="0" fontId="3" fillId="65" borderId="41" xfId="782" applyFont="1" applyFill="1" applyBorder="1" applyAlignment="1" applyProtection="1">
      <alignment horizontal="left" vertical="center"/>
      <protection locked="0"/>
    </xf>
    <xf numFmtId="0" fontId="149" fillId="65" borderId="47" xfId="782" applyFont="1" applyFill="1" applyBorder="1" applyAlignment="1" applyProtection="1">
      <alignment horizontal="left" vertical="center"/>
      <protection locked="0"/>
    </xf>
    <xf numFmtId="0" fontId="3" fillId="65" borderId="46" xfId="782" applyFont="1" applyFill="1" applyBorder="1" applyAlignment="1" applyProtection="1">
      <alignment horizontal="left" vertical="center"/>
      <protection locked="0"/>
    </xf>
    <xf numFmtId="0" fontId="3" fillId="65" borderId="47" xfId="782" applyFont="1" applyFill="1" applyBorder="1" applyAlignment="1" applyProtection="1">
      <alignment horizontal="left" vertical="center"/>
      <protection locked="0"/>
    </xf>
    <xf numFmtId="176" fontId="7" fillId="0" borderId="0" xfId="597" applyFont="1" applyAlignment="1">
      <alignment horizontal="center" vertical="center"/>
      <protection locked="0"/>
    </xf>
    <xf numFmtId="0" fontId="0" fillId="0" borderId="0" xfId="0" applyAlignment="1">
      <alignment vertical="center"/>
    </xf>
    <xf numFmtId="49" fontId="4" fillId="0" borderId="0" xfId="597" applyNumberFormat="1" applyFont="1" applyAlignment="1">
      <alignment horizontal="center" vertical="center"/>
      <protection locked="0"/>
    </xf>
    <xf numFmtId="176" fontId="155" fillId="4" borderId="45" xfId="597" applyFont="1" applyFill="1" applyBorder="1" applyAlignment="1" applyProtection="1">
      <alignment horizontal="center" vertical="center"/>
      <protection locked="0"/>
    </xf>
    <xf numFmtId="176" fontId="155" fillId="4" borderId="21" xfId="597" applyFont="1" applyFill="1" applyBorder="1" applyAlignment="1" applyProtection="1">
      <alignment horizontal="center" vertical="center"/>
      <protection locked="0"/>
    </xf>
    <xf numFmtId="0" fontId="0" fillId="0" borderId="21" xfId="0" applyBorder="1" applyAlignment="1">
      <alignment vertical="center"/>
    </xf>
    <xf numFmtId="0" fontId="0" fillId="0" borderId="44" xfId="0" applyBorder="1" applyAlignment="1">
      <alignment vertical="center"/>
    </xf>
    <xf numFmtId="176" fontId="155" fillId="65" borderId="45" xfId="597" applyFont="1" applyFill="1" applyBorder="1" applyAlignment="1" applyProtection="1">
      <alignment horizontal="center" vertical="center"/>
      <protection locked="0"/>
    </xf>
    <xf numFmtId="176" fontId="155" fillId="65" borderId="21" xfId="597" applyFont="1" applyFill="1" applyBorder="1" applyAlignment="1" applyProtection="1">
      <alignment horizontal="center" vertical="center"/>
      <protection locked="0"/>
    </xf>
    <xf numFmtId="176" fontId="155" fillId="65" borderId="44" xfId="597" applyFont="1" applyFill="1" applyBorder="1" applyAlignment="1" applyProtection="1">
      <alignment horizontal="center" vertical="center"/>
      <protection locked="0"/>
    </xf>
    <xf numFmtId="0" fontId="149" fillId="65" borderId="49" xfId="782" applyFont="1" applyFill="1" applyBorder="1" applyAlignment="1" applyProtection="1">
      <alignment horizontal="left" vertical="center"/>
      <protection locked="0"/>
    </xf>
    <xf numFmtId="0" fontId="3" fillId="65" borderId="48" xfId="782" applyFont="1" applyFill="1" applyBorder="1" applyAlignment="1" applyProtection="1">
      <alignment horizontal="left" vertical="center"/>
      <protection locked="0"/>
    </xf>
  </cellXfs>
  <cellStyles count="785">
    <cellStyle name="_x000a_mouse.drv=lm" xfId="7" xr:uid="{00000000-0005-0000-0000-000000000000}"/>
    <cellStyle name="%" xfId="8" xr:uid="{00000000-0005-0000-0000-000001000000}"/>
    <cellStyle name="% 2" xfId="9" xr:uid="{00000000-0005-0000-0000-000002000000}"/>
    <cellStyle name="?" xfId="10" xr:uid="{00000000-0005-0000-0000-000003000000}"/>
    <cellStyle name="? 2" xfId="11" xr:uid="{00000000-0005-0000-0000-000004000000}"/>
    <cellStyle name="? 3" xfId="12" xr:uid="{00000000-0005-0000-0000-000005000000}"/>
    <cellStyle name="??" xfId="13" xr:uid="{00000000-0005-0000-0000-000006000000}"/>
    <cellStyle name="?? [0]" xfId="14" xr:uid="{00000000-0005-0000-0000-000007000000}"/>
    <cellStyle name="??_0N-HANDLING " xfId="15" xr:uid="{00000000-0005-0000-0000-000008000000}"/>
    <cellStyle name="?餡_x000c_k" xfId="16" xr:uid="{00000000-0005-0000-0000-000009000000}"/>
    <cellStyle name="?餡_x000c_k 2" xfId="17" xr:uid="{00000000-0005-0000-0000-00000A000000}"/>
    <cellStyle name="?餡_x000c_k 3" xfId="18" xr:uid="{00000000-0005-0000-0000-00000B000000}"/>
    <cellStyle name="?餡_x000c_k?_x000d_^" xfId="19" xr:uid="{00000000-0005-0000-0000-00000C000000}"/>
    <cellStyle name="?餡_x000c_k?_x000d_^ 2" xfId="20" xr:uid="{00000000-0005-0000-0000-00000D000000}"/>
    <cellStyle name="?餡_x000c_k?_x000d_^ 3" xfId="21" xr:uid="{00000000-0005-0000-0000-00000E000000}"/>
    <cellStyle name="?餡_x000c_k?_x000d_^黇_x0001_??_x0007__x0001__x0001_" xfId="22" xr:uid="{00000000-0005-0000-0000-00000F000000}"/>
    <cellStyle name="?餡_x000c_k?_x000d_^黇_x0001_??_x0007__x0001__x0001_ 2" xfId="23" xr:uid="{00000000-0005-0000-0000-000010000000}"/>
    <cellStyle name="?餡_x000c_k?_x000d_^黇_x0001_??_x0007__x0001__x0001_ 3" xfId="24" xr:uid="{00000000-0005-0000-0000-000011000000}"/>
    <cellStyle name="@_text" xfId="25" xr:uid="{00000000-0005-0000-0000-000012000000}"/>
    <cellStyle name="@_text_子公司附注汇总(房开公司)" xfId="26" xr:uid="{00000000-0005-0000-0000-000013000000}"/>
    <cellStyle name="_(本部)2006年年报审计PBC表" xfId="27" xr:uid="{00000000-0005-0000-0000-000014000000}"/>
    <cellStyle name="_07930建造合同" xfId="28" xr:uid="{00000000-0005-0000-0000-000015000000}"/>
    <cellStyle name="_12月项目部访问及审计-德勤" xfId="29" xr:uid="{00000000-0005-0000-0000-000016000000}"/>
    <cellStyle name="_2005-08-31审计底稿－李" xfId="30" xr:uid="{00000000-0005-0000-0000-000017000000}"/>
    <cellStyle name="_2005年工作底稿" xfId="31" xr:uid="{00000000-0005-0000-0000-000018000000}"/>
    <cellStyle name="_2005年工作底稿_3-2-A1B-银行存款" xfId="32" xr:uid="{00000000-0005-0000-0000-000019000000}"/>
    <cellStyle name="_2005年工作底稿_3-2-Z17A-固定资产" xfId="33" xr:uid="{00000000-0005-0000-0000-00001A000000}"/>
    <cellStyle name="_2005年工作底稿_Sheet1" xfId="34" xr:uid="{00000000-0005-0000-0000-00001B000000}"/>
    <cellStyle name="_2005审计报表及附注-中国建材股份模板（房屋）" xfId="35" xr:uid="{00000000-0005-0000-0000-00001C000000}"/>
    <cellStyle name="_2005审计报表及附注-中国建材股份模板（房屋） 2" xfId="36" xr:uid="{00000000-0005-0000-0000-00001D000000}"/>
    <cellStyle name="_2005审计报表及附注-中国建材股份模板（房屋） 3" xfId="37" xr:uid="{00000000-0005-0000-0000-00001E000000}"/>
    <cellStyle name="_2006年年报审计PBC表（合并）" xfId="38" xr:uid="{00000000-0005-0000-0000-00001F000000}"/>
    <cellStyle name="_2006年年报审计PBC表-XX" xfId="39" xr:uid="{00000000-0005-0000-0000-000020000000}"/>
    <cellStyle name="_2006年年报审计PBC表-XXX" xfId="40" xr:uid="{00000000-0005-0000-0000-000021000000}"/>
    <cellStyle name="_2006年年报审计PBC表-XXX 2" xfId="41" xr:uid="{00000000-0005-0000-0000-000022000000}"/>
    <cellStyle name="_2006年年报审计PBC表-XXX 3" xfId="42" xr:uid="{00000000-0005-0000-0000-000023000000}"/>
    <cellStyle name="_2006年年报审计PBC表-福州分公司" xfId="43" xr:uid="{00000000-0005-0000-0000-000024000000}"/>
    <cellStyle name="_2006年年报审计PBC表-云南分公司" xfId="44" xr:uid="{00000000-0005-0000-0000-000025000000}"/>
    <cellStyle name="_2006年年报审计填报资料" xfId="45" xr:uid="{00000000-0005-0000-0000-000026000000}"/>
    <cellStyle name="_2006年年报审计填报资料 2" xfId="46" xr:uid="{00000000-0005-0000-0000-000027000000}"/>
    <cellStyle name="_2006年年报审计填报资料 3" xfId="47" xr:uid="{00000000-0005-0000-0000-000028000000}"/>
    <cellStyle name="_2007调整分录-鲁佳" xfId="48" xr:uid="{00000000-0005-0000-0000-000029000000}"/>
    <cellStyle name="_3-2-A22-无形资产" xfId="49" xr:uid="{00000000-0005-0000-0000-00002A000000}"/>
    <cellStyle name="_3-2-A4-应收账款" xfId="50" xr:uid="{00000000-0005-0000-0000-00002B000000}"/>
    <cellStyle name="_A17固定资产" xfId="51" xr:uid="{00000000-0005-0000-0000-00002C000000}"/>
    <cellStyle name="_A23无形资产" xfId="52" xr:uid="{00000000-0005-0000-0000-00002D000000}"/>
    <cellStyle name="_A3应收票据" xfId="53" xr:uid="{00000000-0005-0000-0000-00002E000000}"/>
    <cellStyle name="_A6应收账款" xfId="54" xr:uid="{00000000-0005-0000-0000-00002F000000}"/>
    <cellStyle name="_A6应收账款_3-2-A1B-银行存款" xfId="55" xr:uid="{00000000-0005-0000-0000-000030000000}"/>
    <cellStyle name="_A6应收账款_3-2-Z17A-固定资产" xfId="56" xr:uid="{00000000-0005-0000-0000-000031000000}"/>
    <cellStyle name="_A6应收账款_Sheet1" xfId="57" xr:uid="{00000000-0005-0000-0000-000032000000}"/>
    <cellStyle name="_B10其他未交款" xfId="58" xr:uid="{00000000-0005-0000-0000-000033000000}"/>
    <cellStyle name="_B13预收账款2005" xfId="59" xr:uid="{00000000-0005-0000-0000-000034000000}"/>
    <cellStyle name="_B6应付工资" xfId="60" xr:uid="{00000000-0005-0000-0000-000035000000}"/>
    <cellStyle name="_B7应付福利费" xfId="61" xr:uid="{00000000-0005-0000-0000-000036000000}"/>
    <cellStyle name="_B9应交税金2005" xfId="62" xr:uid="{00000000-0005-0000-0000-000037000000}"/>
    <cellStyle name="_Book1" xfId="63" xr:uid="{00000000-0005-0000-0000-000038000000}"/>
    <cellStyle name="_Book1 2" xfId="64" xr:uid="{00000000-0005-0000-0000-000039000000}"/>
    <cellStyle name="_Book1 3" xfId="65" xr:uid="{00000000-0005-0000-0000-00003A000000}"/>
    <cellStyle name="_CREC(Huo" xfId="66" xr:uid="{00000000-0005-0000-0000-00003B000000}"/>
    <cellStyle name="_D11营业外支出" xfId="67" xr:uid="{00000000-0005-0000-0000-00003C000000}"/>
    <cellStyle name="_D12所得税2005" xfId="68" xr:uid="{00000000-0005-0000-0000-00003D000000}"/>
    <cellStyle name="_D1主营业务收入" xfId="69" xr:uid="{00000000-0005-0000-0000-00003E000000}"/>
    <cellStyle name="_D3主营业务税金及附加" xfId="70" xr:uid="{00000000-0005-0000-0000-00003F000000}"/>
    <cellStyle name="_D4其他业务利润" xfId="71" xr:uid="{00000000-0005-0000-0000-000040000000}"/>
    <cellStyle name="_ET_STYLE_NoName_00_" xfId="72" xr:uid="{00000000-0005-0000-0000-000041000000}"/>
    <cellStyle name="_ET_STYLE_NoName_00__2007调整分录-鲁佳" xfId="73" xr:uid="{00000000-0005-0000-0000-000042000000}"/>
    <cellStyle name="_ET_STYLE_NoName_00__股份本部" xfId="74" xr:uid="{00000000-0005-0000-0000-000043000000}"/>
    <cellStyle name="_ET_STYLE_NoName_00__股份本部_1" xfId="75" xr:uid="{00000000-0005-0000-0000-000044000000}"/>
    <cellStyle name="_ET_STYLE_NoName_00__股份本部_3" xfId="76" xr:uid="{00000000-0005-0000-0000-000045000000}"/>
    <cellStyle name="_ET_STYLE_NoName_00__股份本部_6_股份本部_2" xfId="77" xr:uid="{00000000-0005-0000-0000-000046000000}"/>
    <cellStyle name="_ET_STYLE_NoName_00__股份本部_7_股份本部_3" xfId="78" xr:uid="{00000000-0005-0000-0000-000047000000}"/>
    <cellStyle name="_J1000-存货-ZHHG" xfId="79" xr:uid="{00000000-0005-0000-0000-000048000000}"/>
    <cellStyle name="_PBC审核提示" xfId="80" xr:uid="{00000000-0005-0000-0000-000049000000}"/>
    <cellStyle name="_PBC审核提示 2" xfId="81" xr:uid="{00000000-0005-0000-0000-00004A000000}"/>
    <cellStyle name="_PBC审核提示 3" xfId="82" xr:uid="{00000000-0005-0000-0000-00004B000000}"/>
    <cellStyle name="_Sheet1" xfId="83" xr:uid="{00000000-0005-0000-0000-00004C000000}"/>
    <cellStyle name="_宝丽华房地产20051231" xfId="84" xr:uid="{00000000-0005-0000-0000-00004D000000}"/>
    <cellStyle name="_宝丽华房地产20051231 2" xfId="85" xr:uid="{00000000-0005-0000-0000-00004E000000}"/>
    <cellStyle name="_宝丽华房地产20051231 3" xfId="86" xr:uid="{00000000-0005-0000-0000-00004F000000}"/>
    <cellStyle name="_保证金-企业填写部分" xfId="87" xr:uid="{00000000-0005-0000-0000-000050000000}"/>
    <cellStyle name="_保证金-企业填写部分 2" xfId="88" xr:uid="{00000000-0005-0000-0000-000051000000}"/>
    <cellStyle name="_保证金-企业填写部分 3" xfId="89" xr:uid="{00000000-0005-0000-0000-000052000000}"/>
    <cellStyle name="_北新房屋2004年审-刘" xfId="90" xr:uid="{00000000-0005-0000-0000-000053000000}"/>
    <cellStyle name="_北新房屋2004年审-刘 2" xfId="91" xr:uid="{00000000-0005-0000-0000-000054000000}"/>
    <cellStyle name="_北新房屋2004年审-刘 3" xfId="92" xr:uid="{00000000-0005-0000-0000-000055000000}"/>
    <cellStyle name="_北新股份2005年审工作底稿" xfId="93" xr:uid="{00000000-0005-0000-0000-000056000000}"/>
    <cellStyle name="_北新股份2005年审工作底稿 2" xfId="94" xr:uid="{00000000-0005-0000-0000-000057000000}"/>
    <cellStyle name="_北新股份2005年审工作底稿 3" xfId="95" xr:uid="{00000000-0005-0000-0000-000058000000}"/>
    <cellStyle name="_北新建材关连交易基础表051230（10－12月版）更新稿" xfId="96" xr:uid="{00000000-0005-0000-0000-000059000000}"/>
    <cellStyle name="_北新建材关连交易基础表051230（10－12月版）更新稿 2" xfId="97" xr:uid="{00000000-0005-0000-0000-00005A000000}"/>
    <cellStyle name="_北新建材关连交易基础表051230（10－12月版）更新稿 3" xfId="98" xr:uid="{00000000-0005-0000-0000-00005B000000}"/>
    <cellStyle name="_北新建材-会计报表附注模版" xfId="99" xr:uid="{00000000-0005-0000-0000-00005C000000}"/>
    <cellStyle name="_北新建材-会计报表附注模版 2" xfId="100" xr:uid="{00000000-0005-0000-0000-00005D000000}"/>
    <cellStyle name="_北新建材-会计报表附注模版 3" xfId="101" xr:uid="{00000000-0005-0000-0000-00005E000000}"/>
    <cellStyle name="_北新龙之星2004年审工作底稿" xfId="102" xr:uid="{00000000-0005-0000-0000-00005F000000}"/>
    <cellStyle name="_北新龙之星2004年审工作底稿 2" xfId="103" xr:uid="{00000000-0005-0000-0000-000060000000}"/>
    <cellStyle name="_北新龙之星2004年审工作底稿 3" xfId="104" xr:uid="{00000000-0005-0000-0000-000061000000}"/>
    <cellStyle name="_北新物流2005底稿-刘" xfId="105" xr:uid="{00000000-0005-0000-0000-000062000000}"/>
    <cellStyle name="_北新物流2005底稿-刘 2" xfId="106" xr:uid="{00000000-0005-0000-0000-000063000000}"/>
    <cellStyle name="_北新物流2005底稿-刘 3" xfId="107" xr:uid="{00000000-0005-0000-0000-000064000000}"/>
    <cellStyle name="_北新置换memo" xfId="108" xr:uid="{00000000-0005-0000-0000-000065000000}"/>
    <cellStyle name="_北新置换memo 2" xfId="109" xr:uid="{00000000-0005-0000-0000-000066000000}"/>
    <cellStyle name="_北新置换memo 3" xfId="110" xr:uid="{00000000-0005-0000-0000-000067000000}"/>
    <cellStyle name="_本部其他应收应付年审底稿--鲁佳pb" xfId="111" xr:uid="{00000000-0005-0000-0000-000068000000}"/>
    <cellStyle name="_存货结转测试" xfId="112" xr:uid="{00000000-0005-0000-0000-000069000000}"/>
    <cellStyle name="_存货结转测试 2" xfId="113" xr:uid="{00000000-0005-0000-0000-00006A000000}"/>
    <cellStyle name="_存货结转测试 3" xfId="114" xr:uid="{00000000-0005-0000-0000-00006B000000}"/>
    <cellStyle name="_存货数量与明细05.12" xfId="115" xr:uid="{00000000-0005-0000-0000-00006C000000}"/>
    <cellStyle name="_存货数量与明细05.12 2" xfId="116" xr:uid="{00000000-0005-0000-0000-00006D000000}"/>
    <cellStyle name="_存货数量与明细05.12 3" xfId="117" xr:uid="{00000000-0005-0000-0000-00006E000000}"/>
    <cellStyle name="_动力厂2004年审工作底稿-刘" xfId="118" xr:uid="{00000000-0005-0000-0000-00006F000000}"/>
    <cellStyle name="_动力厂2004年审工作底稿-刘 2" xfId="119" xr:uid="{00000000-0005-0000-0000-000070000000}"/>
    <cellStyle name="_动力厂2004年审工作底稿-刘 3" xfId="120" xr:uid="{00000000-0005-0000-0000-000071000000}"/>
    <cellStyle name="_分工" xfId="121" xr:uid="{00000000-0005-0000-0000-000072000000}"/>
    <cellStyle name="_分工 2" xfId="122" xr:uid="{00000000-0005-0000-0000-000073000000}"/>
    <cellStyle name="_分工 3" xfId="123" xr:uid="{00000000-0005-0000-0000-000074000000}"/>
    <cellStyle name="_封面" xfId="124" xr:uid="{00000000-0005-0000-0000-000075000000}"/>
    <cellStyle name="_工程施工项目现场审计提示" xfId="125" xr:uid="{00000000-0005-0000-0000-000076000000}"/>
    <cellStyle name="_工程施工项目现场审计提示 2" xfId="126" xr:uid="{00000000-0005-0000-0000-000077000000}"/>
    <cellStyle name="_工程施工项目现场审计提示 3" xfId="127" xr:uid="{00000000-0005-0000-0000-000078000000}"/>
    <cellStyle name="_公司填表" xfId="128" xr:uid="{00000000-0005-0000-0000-000079000000}"/>
    <cellStyle name="_公司填表-2005蔡" xfId="129" xr:uid="{00000000-0005-0000-0000-00007A000000}"/>
    <cellStyle name="_公司填表-2005李志刚" xfId="130" xr:uid="{00000000-0005-0000-0000-00007B000000}"/>
    <cellStyle name="_公司填表2005-吴" xfId="131" xr:uid="{00000000-0005-0000-0000-00007C000000}"/>
    <cellStyle name="_公司填表2005-吴_3-2-A1B-银行存款" xfId="132" xr:uid="{00000000-0005-0000-0000-00007D000000}"/>
    <cellStyle name="_公司填表2005-吴_3-2-Z17A-固定资产" xfId="133" xr:uid="{00000000-0005-0000-0000-00007E000000}"/>
    <cellStyle name="_公司填表2005-吴_Sheet1" xfId="134" xr:uid="{00000000-0005-0000-0000-00007F000000}"/>
    <cellStyle name="_公司填表2005-修改" xfId="135" xr:uid="{00000000-0005-0000-0000-000080000000}"/>
    <cellStyle name="_公司填表2005-修改_3-2-A1B-银行存款" xfId="136" xr:uid="{00000000-0005-0000-0000-000081000000}"/>
    <cellStyle name="_公司填表2005-修改_3-2-Z17A-固定资产" xfId="137" xr:uid="{00000000-0005-0000-0000-000082000000}"/>
    <cellStyle name="_公司填表2005-修改_Sheet1" xfId="138" xr:uid="{00000000-0005-0000-0000-000083000000}"/>
    <cellStyle name="_公司填表2005-修改后" xfId="139" xr:uid="{00000000-0005-0000-0000-000084000000}"/>
    <cellStyle name="_公司填表2005-修改后_3-2-A1B-银行存款" xfId="140" xr:uid="{00000000-0005-0000-0000-000085000000}"/>
    <cellStyle name="_公司填表2005-修改后_3-2-Z17A-固定资产" xfId="141" xr:uid="{00000000-0005-0000-0000-000086000000}"/>
    <cellStyle name="_公司填表2005-修改后_Sheet1" xfId="142" xr:uid="{00000000-0005-0000-0000-000087000000}"/>
    <cellStyle name="_公司填表-2005杨" xfId="143" xr:uid="{00000000-0005-0000-0000-000088000000}"/>
    <cellStyle name="_关联交易" xfId="144" xr:uid="{00000000-0005-0000-0000-000089000000}"/>
    <cellStyle name="_关联交易 2" xfId="145" xr:uid="{00000000-0005-0000-0000-00008A000000}"/>
    <cellStyle name="_关联交易 3" xfId="146" xr:uid="{00000000-0005-0000-0000-00008B000000}"/>
    <cellStyle name="_关联交易、往来统计表" xfId="147" xr:uid="{00000000-0005-0000-0000-00008C000000}"/>
    <cellStyle name="_关联交易、往来统计表 2" xfId="148" xr:uid="{00000000-0005-0000-0000-00008D000000}"/>
    <cellStyle name="_关联交易、往来统计表 3" xfId="149" xr:uid="{00000000-0005-0000-0000-00008E000000}"/>
    <cellStyle name="_合并报表审计调整模板(CREC)" xfId="150" xr:uid="{00000000-0005-0000-0000-00008F000000}"/>
    <cellStyle name="_合并公司2006年度科目明细表(定稿)" xfId="151" xr:uid="{00000000-0005-0000-0000-000090000000}"/>
    <cellStyle name="_建造合同-宜万指（正式版）" xfId="152" xr:uid="{00000000-0005-0000-0000-000091000000}"/>
    <cellStyle name="_建造合同-宜万指（正式版） 2" xfId="153" xr:uid="{00000000-0005-0000-0000-000092000000}"/>
    <cellStyle name="_建造合同-宜万指（正式版） 3" xfId="154" xr:uid="{00000000-0005-0000-0000-000093000000}"/>
    <cellStyle name="_科目核对表" xfId="155" xr:uid="{00000000-0005-0000-0000-000094000000}"/>
    <cellStyle name="_科目核对表 2" xfId="156" xr:uid="{00000000-0005-0000-0000-000095000000}"/>
    <cellStyle name="_科目核对表 3" xfId="157" xr:uid="{00000000-0005-0000-0000-000096000000}"/>
    <cellStyle name="_刘青分工填列信息统计" xfId="158" xr:uid="{00000000-0005-0000-0000-000097000000}"/>
    <cellStyle name="_刘青分工－子公司审计模板-电务" xfId="159" xr:uid="{00000000-0005-0000-0000-000098000000}"/>
    <cellStyle name="_刘青分工－子公司审计模板－铁达本部" xfId="160" xr:uid="{00000000-0005-0000-0000-000099000000}"/>
    <cellStyle name="_母PL" xfId="161" xr:uid="{00000000-0005-0000-0000-00009A000000}"/>
    <cellStyle name="_母PL 2" xfId="162" xr:uid="{00000000-0005-0000-0000-00009B000000}"/>
    <cellStyle name="_母PL 3" xfId="163" xr:uid="{00000000-0005-0000-0000-00009C000000}"/>
    <cellStyle name="_母公司底稿-鲁佳" xfId="164" xr:uid="{00000000-0005-0000-0000-00009D000000}"/>
    <cellStyle name="_年审筹资循环资料清单" xfId="165" xr:uid="{00000000-0005-0000-0000-00009E000000}"/>
    <cellStyle name="_凭证抽查-05年" xfId="166" xr:uid="{00000000-0005-0000-0000-00009F000000}"/>
    <cellStyle name="_人员分工备忘录" xfId="167" xr:uid="{00000000-0005-0000-0000-0000A0000000}"/>
    <cellStyle name="_人员分工备忘录 2" xfId="168" xr:uid="{00000000-0005-0000-0000-0000A1000000}"/>
    <cellStyle name="_人员分工备忘录 3" xfId="169" xr:uid="{00000000-0005-0000-0000-0000A2000000}"/>
    <cellStyle name="_审计底稿-轩" xfId="170" xr:uid="{00000000-0005-0000-0000-0000A3000000}"/>
    <cellStyle name="_审计所需资料清单－子公司" xfId="171" xr:uid="{00000000-0005-0000-0000-0000A4000000}"/>
    <cellStyle name="_审计所需资料清单－子公司 2" xfId="172" xr:uid="{00000000-0005-0000-0000-0000A5000000}"/>
    <cellStyle name="_审计所需资料清单－子公司 3" xfId="173" xr:uid="{00000000-0005-0000-0000-0000A6000000}"/>
    <cellStyle name="_审计提示模版" xfId="174" xr:uid="{00000000-0005-0000-0000-0000A7000000}"/>
    <cellStyle name="_审计提示模版-母公司部分" xfId="175" xr:uid="{00000000-0005-0000-0000-0000A8000000}"/>
    <cellStyle name="_铁鸿源－刘青分工－子公司审计模板" xfId="176" xr:uid="{00000000-0005-0000-0000-0000A9000000}"/>
    <cellStyle name="_兴华审计成本" xfId="177" xr:uid="{00000000-0005-0000-0000-0000AA000000}"/>
    <cellStyle name="_岩土长投--急0121报王占学" xfId="178" xr:uid="{00000000-0005-0000-0000-0000AB000000}"/>
    <cellStyle name="_一公司建造合同前5名" xfId="179" xr:uid="{00000000-0005-0000-0000-0000AC000000}"/>
    <cellStyle name="_一公司建造合同前5名 2" xfId="180" xr:uid="{00000000-0005-0000-0000-0000AD000000}"/>
    <cellStyle name="_一公司建造合同前5名 3" xfId="181" xr:uid="{00000000-0005-0000-0000-0000AE000000}"/>
    <cellStyle name="_一公司－刘丰收" xfId="182" xr:uid="{00000000-0005-0000-0000-0000AF000000}"/>
    <cellStyle name="_一公司－刘丰收 2" xfId="183" xr:uid="{00000000-0005-0000-0000-0000B0000000}"/>
    <cellStyle name="_一公司－刘丰收 3" xfId="184" xr:uid="{00000000-0005-0000-0000-0000B1000000}"/>
    <cellStyle name="_银行询证函统计－大表" xfId="185" xr:uid="{00000000-0005-0000-0000-0000B2000000}"/>
    <cellStyle name="_应收账款账龄--04、05" xfId="186" xr:uid="{00000000-0005-0000-0000-0000B3000000}"/>
    <cellStyle name="_长期借款－江阴" xfId="187" xr:uid="{00000000-0005-0000-0000-0000B4000000}"/>
    <cellStyle name="_长期借款－江阴 2" xfId="188" xr:uid="{00000000-0005-0000-0000-0000B5000000}"/>
    <cellStyle name="_长期借款－江阴 3" xfId="189" xr:uid="{00000000-0005-0000-0000-0000B6000000}"/>
    <cellStyle name="_子公司筹资循环－刘青" xfId="190" xr:uid="{00000000-0005-0000-0000-0000B7000000}"/>
    <cellStyle name="_子公司审计提示模版-Liufs" xfId="191" xr:uid="{00000000-0005-0000-0000-0000B8000000}"/>
    <cellStyle name="_子公司审计提示模版-Liufs 2" xfId="192" xr:uid="{00000000-0005-0000-0000-0000B9000000}"/>
    <cellStyle name="_子公司审计提示模版-Liufs 3" xfId="193" xr:uid="{00000000-0005-0000-0000-0000BA000000}"/>
    <cellStyle name="_子公司填表" xfId="194" xr:uid="{00000000-0005-0000-0000-0000BB000000}"/>
    <cellStyle name="{Comma [0]}" xfId="195" xr:uid="{00000000-0005-0000-0000-0000BC000000}"/>
    <cellStyle name="{Comma}" xfId="196" xr:uid="{00000000-0005-0000-0000-0000BD000000}"/>
    <cellStyle name="{Date}" xfId="197" xr:uid="{00000000-0005-0000-0000-0000BE000000}"/>
    <cellStyle name="{Month}" xfId="198" xr:uid="{00000000-0005-0000-0000-0000BF000000}"/>
    <cellStyle name="{Percent}" xfId="199" xr:uid="{00000000-0005-0000-0000-0000C0000000}"/>
    <cellStyle name="{Thousand [0]}" xfId="200" xr:uid="{00000000-0005-0000-0000-0000C1000000}"/>
    <cellStyle name="{Thousand}" xfId="201" xr:uid="{00000000-0005-0000-0000-0000C2000000}"/>
    <cellStyle name="{Z'0000(1 dec)}" xfId="202" xr:uid="{00000000-0005-0000-0000-0000C3000000}"/>
    <cellStyle name="{Z'0000(4 dec)}" xfId="203" xr:uid="{00000000-0005-0000-0000-0000C4000000}"/>
    <cellStyle name="0%" xfId="204" xr:uid="{00000000-0005-0000-0000-0000C5000000}"/>
    <cellStyle name="0,0_x000d__x000a_NA_x000d__x000a_" xfId="205" xr:uid="{00000000-0005-0000-0000-0000C6000000}"/>
    <cellStyle name="0.0%" xfId="206" xr:uid="{00000000-0005-0000-0000-0000C7000000}"/>
    <cellStyle name="0.00%" xfId="207" xr:uid="{00000000-0005-0000-0000-0000C8000000}"/>
    <cellStyle name="00" xfId="208" xr:uid="{00000000-0005-0000-0000-0000C9000000}"/>
    <cellStyle name="20% - Accent1" xfId="209" xr:uid="{00000000-0005-0000-0000-0000CA000000}"/>
    <cellStyle name="20% - Accent2" xfId="210" xr:uid="{00000000-0005-0000-0000-0000CB000000}"/>
    <cellStyle name="20% - Accent3" xfId="211" xr:uid="{00000000-0005-0000-0000-0000CC000000}"/>
    <cellStyle name="20% - Accent4" xfId="212" xr:uid="{00000000-0005-0000-0000-0000CD000000}"/>
    <cellStyle name="20% - Accent5" xfId="213" xr:uid="{00000000-0005-0000-0000-0000CE000000}"/>
    <cellStyle name="20% - Accent6" xfId="214" xr:uid="{00000000-0005-0000-0000-0000CF000000}"/>
    <cellStyle name="40% - Accent1" xfId="215" xr:uid="{00000000-0005-0000-0000-0000D0000000}"/>
    <cellStyle name="40% - Accent2" xfId="216" xr:uid="{00000000-0005-0000-0000-0000D1000000}"/>
    <cellStyle name="40% - Accent3" xfId="217" xr:uid="{00000000-0005-0000-0000-0000D2000000}"/>
    <cellStyle name="40% - Accent4" xfId="218" xr:uid="{00000000-0005-0000-0000-0000D3000000}"/>
    <cellStyle name="40% - Accent5" xfId="219" xr:uid="{00000000-0005-0000-0000-0000D4000000}"/>
    <cellStyle name="40% - Accent6" xfId="220" xr:uid="{00000000-0005-0000-0000-0000D5000000}"/>
    <cellStyle name="60% - Accent1" xfId="221" xr:uid="{00000000-0005-0000-0000-0000D6000000}"/>
    <cellStyle name="60% - Accent2" xfId="222" xr:uid="{00000000-0005-0000-0000-0000D7000000}"/>
    <cellStyle name="60% - Accent3" xfId="223" xr:uid="{00000000-0005-0000-0000-0000D8000000}"/>
    <cellStyle name="60% - Accent4" xfId="224" xr:uid="{00000000-0005-0000-0000-0000D9000000}"/>
    <cellStyle name="60% - Accent5" xfId="225" xr:uid="{00000000-0005-0000-0000-0000DA000000}"/>
    <cellStyle name="60% - Accent6" xfId="226" xr:uid="{00000000-0005-0000-0000-0000DB000000}"/>
    <cellStyle name="AA FRAME" xfId="227" xr:uid="{00000000-0005-0000-0000-0000DC000000}"/>
    <cellStyle name="AA FRAME 2" xfId="228" xr:uid="{00000000-0005-0000-0000-0000DD000000}"/>
    <cellStyle name="AA FRAME 2 2" xfId="772" xr:uid="{00000000-0005-0000-0000-0000DE000000}"/>
    <cellStyle name="AA HEADING" xfId="229" xr:uid="{00000000-0005-0000-0000-0000DF000000}"/>
    <cellStyle name="AA INITIALS" xfId="230" xr:uid="{00000000-0005-0000-0000-0000E0000000}"/>
    <cellStyle name="AA INPUT" xfId="231" xr:uid="{00000000-0005-0000-0000-0000E1000000}"/>
    <cellStyle name="AA LOCK" xfId="232" xr:uid="{00000000-0005-0000-0000-0000E2000000}"/>
    <cellStyle name="AA MGR NAME" xfId="233" xr:uid="{00000000-0005-0000-0000-0000E3000000}"/>
    <cellStyle name="AA NORMAL" xfId="234" xr:uid="{00000000-0005-0000-0000-0000E4000000}"/>
    <cellStyle name="AA NUMBER" xfId="235" xr:uid="{00000000-0005-0000-0000-0000E5000000}"/>
    <cellStyle name="AA NUMBER2" xfId="236" xr:uid="{00000000-0005-0000-0000-0000E6000000}"/>
    <cellStyle name="AA QUESTION" xfId="237" xr:uid="{00000000-0005-0000-0000-0000E7000000}"/>
    <cellStyle name="AA SHADE" xfId="238" xr:uid="{00000000-0005-0000-0000-0000E8000000}"/>
    <cellStyle name="Accent1" xfId="239" xr:uid="{00000000-0005-0000-0000-0000E9000000}"/>
    <cellStyle name="Accent1 - 20%" xfId="240" xr:uid="{00000000-0005-0000-0000-0000EA000000}"/>
    <cellStyle name="Accent1 - 40%" xfId="241" xr:uid="{00000000-0005-0000-0000-0000EB000000}"/>
    <cellStyle name="Accent1 - 60%" xfId="242" xr:uid="{00000000-0005-0000-0000-0000EC000000}"/>
    <cellStyle name="Accent2" xfId="243" xr:uid="{00000000-0005-0000-0000-0000ED000000}"/>
    <cellStyle name="Accent2 - 20%" xfId="244" xr:uid="{00000000-0005-0000-0000-0000EE000000}"/>
    <cellStyle name="Accent2 - 40%" xfId="245" xr:uid="{00000000-0005-0000-0000-0000EF000000}"/>
    <cellStyle name="Accent2 - 60%" xfId="246" xr:uid="{00000000-0005-0000-0000-0000F0000000}"/>
    <cellStyle name="Accent3" xfId="247" xr:uid="{00000000-0005-0000-0000-0000F1000000}"/>
    <cellStyle name="Accent3 - 20%" xfId="248" xr:uid="{00000000-0005-0000-0000-0000F2000000}"/>
    <cellStyle name="Accent3 - 40%" xfId="249" xr:uid="{00000000-0005-0000-0000-0000F3000000}"/>
    <cellStyle name="Accent3 - 60%" xfId="250" xr:uid="{00000000-0005-0000-0000-0000F4000000}"/>
    <cellStyle name="Accent4" xfId="251" xr:uid="{00000000-0005-0000-0000-0000F5000000}"/>
    <cellStyle name="Accent4 - 20%" xfId="252" xr:uid="{00000000-0005-0000-0000-0000F6000000}"/>
    <cellStyle name="Accent4 - 40%" xfId="253" xr:uid="{00000000-0005-0000-0000-0000F7000000}"/>
    <cellStyle name="Accent4 - 60%" xfId="254" xr:uid="{00000000-0005-0000-0000-0000F8000000}"/>
    <cellStyle name="Accent5" xfId="255" xr:uid="{00000000-0005-0000-0000-0000F9000000}"/>
    <cellStyle name="Accent5 - 20%" xfId="256" xr:uid="{00000000-0005-0000-0000-0000FA000000}"/>
    <cellStyle name="Accent5 - 40%" xfId="257" xr:uid="{00000000-0005-0000-0000-0000FB000000}"/>
    <cellStyle name="Accent5 - 60%" xfId="258" xr:uid="{00000000-0005-0000-0000-0000FC000000}"/>
    <cellStyle name="Accent6" xfId="259" xr:uid="{00000000-0005-0000-0000-0000FD000000}"/>
    <cellStyle name="Accent6 - 20%" xfId="260" xr:uid="{00000000-0005-0000-0000-0000FE000000}"/>
    <cellStyle name="Accent6 - 40%" xfId="261" xr:uid="{00000000-0005-0000-0000-0000FF000000}"/>
    <cellStyle name="Accent6 - 60%" xfId="262" xr:uid="{00000000-0005-0000-0000-000000010000}"/>
    <cellStyle name="args.style" xfId="263" xr:uid="{00000000-0005-0000-0000-000001010000}"/>
    <cellStyle name="Bad" xfId="264" xr:uid="{00000000-0005-0000-0000-000002010000}"/>
    <cellStyle name="Black" xfId="265" xr:uid="{00000000-0005-0000-0000-000003010000}"/>
    <cellStyle name="Border" xfId="266" xr:uid="{00000000-0005-0000-0000-000004010000}"/>
    <cellStyle name="Border 2" xfId="267" xr:uid="{00000000-0005-0000-0000-000005010000}"/>
    <cellStyle name="Border 2 2" xfId="771" xr:uid="{00000000-0005-0000-0000-000006010000}"/>
    <cellStyle name="Calc Currency (0)" xfId="268" xr:uid="{00000000-0005-0000-0000-000007010000}"/>
    <cellStyle name="Calc Currency (0) 2" xfId="766" xr:uid="{00000000-0005-0000-0000-000008010000}"/>
    <cellStyle name="Calc Currency (2)" xfId="269" xr:uid="{00000000-0005-0000-0000-000009010000}"/>
    <cellStyle name="Calc Percent (0)" xfId="270" xr:uid="{00000000-0005-0000-0000-00000A010000}"/>
    <cellStyle name="Calc Percent (1)" xfId="271" xr:uid="{00000000-0005-0000-0000-00000B010000}"/>
    <cellStyle name="Calc Percent (2)" xfId="272" xr:uid="{00000000-0005-0000-0000-00000C010000}"/>
    <cellStyle name="Calc Units (0)" xfId="273" xr:uid="{00000000-0005-0000-0000-00000D010000}"/>
    <cellStyle name="Calc Units (1)" xfId="274" xr:uid="{00000000-0005-0000-0000-00000E010000}"/>
    <cellStyle name="Calc Units (2)" xfId="275" xr:uid="{00000000-0005-0000-0000-00000F010000}"/>
    <cellStyle name="Calculation" xfId="276" xr:uid="{00000000-0005-0000-0000-000010010000}"/>
    <cellStyle name="category" xfId="277" xr:uid="{00000000-0005-0000-0000-000011010000}"/>
    <cellStyle name="Check Cell" xfId="278" xr:uid="{00000000-0005-0000-0000-000012010000}"/>
    <cellStyle name="Col Heads" xfId="279" xr:uid="{00000000-0005-0000-0000-000013010000}"/>
    <cellStyle name="Column_Title" xfId="280" xr:uid="{00000000-0005-0000-0000-000014010000}"/>
    <cellStyle name="Comma  - Style1" xfId="281" xr:uid="{00000000-0005-0000-0000-000015010000}"/>
    <cellStyle name="Comma  - Style2" xfId="282" xr:uid="{00000000-0005-0000-0000-000016010000}"/>
    <cellStyle name="Comma  - Style3" xfId="283" xr:uid="{00000000-0005-0000-0000-000017010000}"/>
    <cellStyle name="Comma  - Style4" xfId="284" xr:uid="{00000000-0005-0000-0000-000018010000}"/>
    <cellStyle name="Comma  - Style5" xfId="285" xr:uid="{00000000-0005-0000-0000-000019010000}"/>
    <cellStyle name="Comma  - Style6" xfId="286" xr:uid="{00000000-0005-0000-0000-00001A010000}"/>
    <cellStyle name="Comma  - Style7" xfId="287" xr:uid="{00000000-0005-0000-0000-00001B010000}"/>
    <cellStyle name="Comma  - Style8" xfId="288" xr:uid="{00000000-0005-0000-0000-00001C010000}"/>
    <cellStyle name="Comma [0]" xfId="289" xr:uid="{00000000-0005-0000-0000-00001D010000}"/>
    <cellStyle name="Comma [00]" xfId="290" xr:uid="{00000000-0005-0000-0000-00001E010000}"/>
    <cellStyle name="Comma 28" xfId="291" xr:uid="{00000000-0005-0000-0000-00001F010000}"/>
    <cellStyle name="Comma 28 2" xfId="292" xr:uid="{00000000-0005-0000-0000-000020010000}"/>
    <cellStyle name="comma zerodec" xfId="293" xr:uid="{00000000-0005-0000-0000-000021010000}"/>
    <cellStyle name="Comma,0" xfId="294" xr:uid="{00000000-0005-0000-0000-000022010000}"/>
    <cellStyle name="Comma,1" xfId="295" xr:uid="{00000000-0005-0000-0000-000023010000}"/>
    <cellStyle name="Comma,2" xfId="296" xr:uid="{00000000-0005-0000-0000-000024010000}"/>
    <cellStyle name="Comma_ rislugp" xfId="297" xr:uid="{00000000-0005-0000-0000-000025010000}"/>
    <cellStyle name="Copied" xfId="298" xr:uid="{00000000-0005-0000-0000-000026010000}"/>
    <cellStyle name="COST1" xfId="299" xr:uid="{00000000-0005-0000-0000-000027010000}"/>
    <cellStyle name="Currency [0]" xfId="300" xr:uid="{00000000-0005-0000-0000-000028010000}"/>
    <cellStyle name="Currency [00]" xfId="301" xr:uid="{00000000-0005-0000-0000-000029010000}"/>
    <cellStyle name="Currency,0" xfId="302" xr:uid="{00000000-0005-0000-0000-00002A010000}"/>
    <cellStyle name="Currency,2" xfId="303" xr:uid="{00000000-0005-0000-0000-00002B010000}"/>
    <cellStyle name="Currency_ rislugp" xfId="304" xr:uid="{00000000-0005-0000-0000-00002C010000}"/>
    <cellStyle name="Currency1" xfId="305" xr:uid="{00000000-0005-0000-0000-00002D010000}"/>
    <cellStyle name="Date" xfId="306" xr:uid="{00000000-0005-0000-0000-00002E010000}"/>
    <cellStyle name="Date 2" xfId="307" xr:uid="{00000000-0005-0000-0000-00002F010000}"/>
    <cellStyle name="Date Short" xfId="308" xr:uid="{00000000-0005-0000-0000-000030010000}"/>
    <cellStyle name="Date_ A1-货币资金审定表" xfId="309" xr:uid="{00000000-0005-0000-0000-000031010000}"/>
    <cellStyle name="Dezimal [0]_laroux" xfId="310" xr:uid="{00000000-0005-0000-0000-000032010000}"/>
    <cellStyle name="Dezimal_laroux" xfId="311" xr:uid="{00000000-0005-0000-0000-000033010000}"/>
    <cellStyle name="Dollar (zero dec)" xfId="312" xr:uid="{00000000-0005-0000-0000-000034010000}"/>
    <cellStyle name="E&amp;Y House" xfId="313" xr:uid="{00000000-0005-0000-0000-000035010000}"/>
    <cellStyle name="Enter Currency (0)" xfId="314" xr:uid="{00000000-0005-0000-0000-000036010000}"/>
    <cellStyle name="Enter Currency (2)" xfId="315" xr:uid="{00000000-0005-0000-0000-000037010000}"/>
    <cellStyle name="Enter Units (0)" xfId="316" xr:uid="{00000000-0005-0000-0000-000038010000}"/>
    <cellStyle name="Enter Units (1)" xfId="317" xr:uid="{00000000-0005-0000-0000-000039010000}"/>
    <cellStyle name="Enter Units (2)" xfId="318" xr:uid="{00000000-0005-0000-0000-00003A010000}"/>
    <cellStyle name="Entered" xfId="319" xr:uid="{00000000-0005-0000-0000-00003B010000}"/>
    <cellStyle name="entry" xfId="320" xr:uid="{00000000-0005-0000-0000-00003C010000}"/>
    <cellStyle name="entry 2" xfId="321" xr:uid="{00000000-0005-0000-0000-00003D010000}"/>
    <cellStyle name="entry 3" xfId="322" xr:uid="{00000000-0005-0000-0000-00003E010000}"/>
    <cellStyle name="entry box" xfId="323" xr:uid="{00000000-0005-0000-0000-00003F010000}"/>
    <cellStyle name="entry box 2" xfId="324" xr:uid="{00000000-0005-0000-0000-000040010000}"/>
    <cellStyle name="entry box 2 2" xfId="325" xr:uid="{00000000-0005-0000-0000-000041010000}"/>
    <cellStyle name="entry box 2 2 2" xfId="778" xr:uid="{00000000-0005-0000-0000-000042010000}"/>
    <cellStyle name="entry box 3" xfId="326" xr:uid="{00000000-0005-0000-0000-000043010000}"/>
    <cellStyle name="entry box 4" xfId="327" xr:uid="{00000000-0005-0000-0000-000044010000}"/>
    <cellStyle name="entry box 4 2" xfId="774" xr:uid="{00000000-0005-0000-0000-000045010000}"/>
    <cellStyle name="Euro" xfId="328" xr:uid="{00000000-0005-0000-0000-000046010000}"/>
    <cellStyle name="Explanatory Text" xfId="329" xr:uid="{00000000-0005-0000-0000-000047010000}"/>
    <cellStyle name="F2" xfId="330" xr:uid="{00000000-0005-0000-0000-000048010000}"/>
    <cellStyle name="F3" xfId="331" xr:uid="{00000000-0005-0000-0000-000049010000}"/>
    <cellStyle name="F4" xfId="332" xr:uid="{00000000-0005-0000-0000-00004A010000}"/>
    <cellStyle name="F5" xfId="333" xr:uid="{00000000-0005-0000-0000-00004B010000}"/>
    <cellStyle name="F6" xfId="334" xr:uid="{00000000-0005-0000-0000-00004C010000}"/>
    <cellStyle name="F7" xfId="335" xr:uid="{00000000-0005-0000-0000-00004D010000}"/>
    <cellStyle name="F8" xfId="336" xr:uid="{00000000-0005-0000-0000-00004E010000}"/>
    <cellStyle name="Fixed" xfId="337" xr:uid="{00000000-0005-0000-0000-00004F010000}"/>
    <cellStyle name="Followed Hyperlink_AheadBehind.xls Chart 23" xfId="338" xr:uid="{00000000-0005-0000-0000-000050010000}"/>
    <cellStyle name="Good" xfId="339" xr:uid="{00000000-0005-0000-0000-000051010000}"/>
    <cellStyle name="Grey" xfId="340" xr:uid="{00000000-0005-0000-0000-000052010000}"/>
    <cellStyle name="HEADER" xfId="341" xr:uid="{00000000-0005-0000-0000-000053010000}"/>
    <cellStyle name="Header1" xfId="342" xr:uid="{00000000-0005-0000-0000-000054010000}"/>
    <cellStyle name="Header1 2" xfId="343" xr:uid="{00000000-0005-0000-0000-000055010000}"/>
    <cellStyle name="Header1 3" xfId="344" xr:uid="{00000000-0005-0000-0000-000056010000}"/>
    <cellStyle name="Header2" xfId="345" xr:uid="{00000000-0005-0000-0000-000057010000}"/>
    <cellStyle name="Header2 2" xfId="346" xr:uid="{00000000-0005-0000-0000-000058010000}"/>
    <cellStyle name="Header2 3" xfId="347" xr:uid="{00000000-0005-0000-0000-000059010000}"/>
    <cellStyle name="Heading" xfId="348" xr:uid="{00000000-0005-0000-0000-00005A010000}"/>
    <cellStyle name="Heading 1" xfId="349" xr:uid="{00000000-0005-0000-0000-00005B010000}"/>
    <cellStyle name="Heading 2" xfId="350" xr:uid="{00000000-0005-0000-0000-00005C010000}"/>
    <cellStyle name="Heading 3" xfId="351" xr:uid="{00000000-0005-0000-0000-00005D010000}"/>
    <cellStyle name="Heading 4" xfId="352" xr:uid="{00000000-0005-0000-0000-00005E010000}"/>
    <cellStyle name="Heading1" xfId="353" xr:uid="{00000000-0005-0000-0000-00005F010000}"/>
    <cellStyle name="Heading2" xfId="354" xr:uid="{00000000-0005-0000-0000-000060010000}"/>
    <cellStyle name="Hyperlink_AheadBehind.xls Chart 23" xfId="355" xr:uid="{00000000-0005-0000-0000-000061010000}"/>
    <cellStyle name="Input" xfId="356" xr:uid="{00000000-0005-0000-0000-000062010000}"/>
    <cellStyle name="Input [yellow]" xfId="357" xr:uid="{00000000-0005-0000-0000-000063010000}"/>
    <cellStyle name="Input [yellow] 2" xfId="358" xr:uid="{00000000-0005-0000-0000-000064010000}"/>
    <cellStyle name="Input [yellow] 2 2" xfId="773" xr:uid="{00000000-0005-0000-0000-000065010000}"/>
    <cellStyle name="Input Cells" xfId="359" xr:uid="{00000000-0005-0000-0000-000066010000}"/>
    <cellStyle name="Input Cells 2" xfId="360" xr:uid="{00000000-0005-0000-0000-000067010000}"/>
    <cellStyle name="left" xfId="361" xr:uid="{00000000-0005-0000-0000-000068010000}"/>
    <cellStyle name="left 2" xfId="362" xr:uid="{00000000-0005-0000-0000-000069010000}"/>
    <cellStyle name="left 3" xfId="363" xr:uid="{00000000-0005-0000-0000-00006A010000}"/>
    <cellStyle name="Link Currency (0)" xfId="364" xr:uid="{00000000-0005-0000-0000-00006B010000}"/>
    <cellStyle name="Link Currency (2)" xfId="365" xr:uid="{00000000-0005-0000-0000-00006C010000}"/>
    <cellStyle name="Link Units (0)" xfId="366" xr:uid="{00000000-0005-0000-0000-00006D010000}"/>
    <cellStyle name="Link Units (1)" xfId="367" xr:uid="{00000000-0005-0000-0000-00006E010000}"/>
    <cellStyle name="Link Units (2)" xfId="368" xr:uid="{00000000-0005-0000-0000-00006F010000}"/>
    <cellStyle name="Linked Cell" xfId="369" xr:uid="{00000000-0005-0000-0000-000070010000}"/>
    <cellStyle name="Linked Cells" xfId="370" xr:uid="{00000000-0005-0000-0000-000071010000}"/>
    <cellStyle name="Linked Cells 2" xfId="371" xr:uid="{00000000-0005-0000-0000-000072010000}"/>
    <cellStyle name="Millares [0]_laroux" xfId="372" xr:uid="{00000000-0005-0000-0000-000073010000}"/>
    <cellStyle name="Millares_laroux" xfId="373" xr:uid="{00000000-0005-0000-0000-000074010000}"/>
    <cellStyle name="Milliers [0]_!!!GO" xfId="374" xr:uid="{00000000-0005-0000-0000-000075010000}"/>
    <cellStyle name="Milliers_!!!GO" xfId="375" xr:uid="{00000000-0005-0000-0000-000076010000}"/>
    <cellStyle name="Model" xfId="376" xr:uid="{00000000-0005-0000-0000-000077010000}"/>
    <cellStyle name="Moneda [0]_laroux" xfId="377" xr:uid="{00000000-0005-0000-0000-000078010000}"/>
    <cellStyle name="Moneda_laroux" xfId="378" xr:uid="{00000000-0005-0000-0000-000079010000}"/>
    <cellStyle name="Monétaire [0]_!!!GO" xfId="379" xr:uid="{00000000-0005-0000-0000-00007A010000}"/>
    <cellStyle name="Monétaire_!!!GO" xfId="380" xr:uid="{00000000-0005-0000-0000-00007B010000}"/>
    <cellStyle name="Mon閠aire [0]_laroux" xfId="381" xr:uid="{00000000-0005-0000-0000-00007C010000}"/>
    <cellStyle name="Mon閠aire_laroux" xfId="382" xr:uid="{00000000-0005-0000-0000-00007D010000}"/>
    <cellStyle name="Neutral" xfId="383" xr:uid="{00000000-0005-0000-0000-00007E010000}"/>
    <cellStyle name="New Times Roman" xfId="384" xr:uid="{00000000-0005-0000-0000-00007F010000}"/>
    <cellStyle name="no dec" xfId="385" xr:uid="{00000000-0005-0000-0000-000080010000}"/>
    <cellStyle name="Non défini" xfId="386" xr:uid="{00000000-0005-0000-0000-000081010000}"/>
    <cellStyle name="Normal - Style1" xfId="387" xr:uid="{00000000-0005-0000-0000-000082010000}"/>
    <cellStyle name="Normal - Style1 2" xfId="388" xr:uid="{00000000-0005-0000-0000-000083010000}"/>
    <cellStyle name="Normal 2" xfId="389" xr:uid="{00000000-0005-0000-0000-000084010000}"/>
    <cellStyle name="Normal 2 2" xfId="390" xr:uid="{00000000-0005-0000-0000-000085010000}"/>
    <cellStyle name="Normal 21" xfId="391" xr:uid="{00000000-0005-0000-0000-000086010000}"/>
    <cellStyle name="Normal 21 2" xfId="392" xr:uid="{00000000-0005-0000-0000-000087010000}"/>
    <cellStyle name="Normal 3 2" xfId="393" xr:uid="{00000000-0005-0000-0000-000088010000}"/>
    <cellStyle name="Normal_ rislugp" xfId="394" xr:uid="{00000000-0005-0000-0000-000089010000}"/>
    <cellStyle name="Normalny_Arkusz1" xfId="395" xr:uid="{00000000-0005-0000-0000-00008A010000}"/>
    <cellStyle name="Note" xfId="396" xr:uid="{00000000-0005-0000-0000-00008B010000}"/>
    <cellStyle name="Œ…‹æØ‚è [0.00]_Region Orders (2)" xfId="397" xr:uid="{00000000-0005-0000-0000-00008C010000}"/>
    <cellStyle name="Œ…‹æØ‚è_Region Orders (2)" xfId="398" xr:uid="{00000000-0005-0000-0000-00008D010000}"/>
    <cellStyle name="Output" xfId="399" xr:uid="{00000000-0005-0000-0000-00008E010000}"/>
    <cellStyle name="per.style" xfId="400" xr:uid="{00000000-0005-0000-0000-00008F010000}"/>
    <cellStyle name="Percent (0)" xfId="401" xr:uid="{00000000-0005-0000-0000-000090010000}"/>
    <cellStyle name="Percent [0]" xfId="402" xr:uid="{00000000-0005-0000-0000-000091010000}"/>
    <cellStyle name="Percent [00]" xfId="403" xr:uid="{00000000-0005-0000-0000-000092010000}"/>
    <cellStyle name="Percent [2]" xfId="404" xr:uid="{00000000-0005-0000-0000-000093010000}"/>
    <cellStyle name="Percent_!!!GO" xfId="405" xr:uid="{00000000-0005-0000-0000-000094010000}"/>
    <cellStyle name="Pourcentage_pldt" xfId="406" xr:uid="{00000000-0005-0000-0000-000095010000}"/>
    <cellStyle name="Prefilled" xfId="407" xr:uid="{00000000-0005-0000-0000-000096010000}"/>
    <cellStyle name="Prefilled 2" xfId="408" xr:uid="{00000000-0005-0000-0000-000097010000}"/>
    <cellStyle name="Prefilled 2 2" xfId="409" xr:uid="{00000000-0005-0000-0000-000098010000}"/>
    <cellStyle name="Prefilled 2 2 2" xfId="779" xr:uid="{00000000-0005-0000-0000-000099010000}"/>
    <cellStyle name="Prefilled 3" xfId="410" xr:uid="{00000000-0005-0000-0000-00009A010000}"/>
    <cellStyle name="Prefilled 4" xfId="411" xr:uid="{00000000-0005-0000-0000-00009B010000}"/>
    <cellStyle name="Prefilled 4 2" xfId="776" xr:uid="{00000000-0005-0000-0000-00009C010000}"/>
    <cellStyle name="PrePop Currency (0)" xfId="412" xr:uid="{00000000-0005-0000-0000-00009D010000}"/>
    <cellStyle name="PrePop Currency (2)" xfId="413" xr:uid="{00000000-0005-0000-0000-00009E010000}"/>
    <cellStyle name="PrePop Units (0)" xfId="414" xr:uid="{00000000-0005-0000-0000-00009F010000}"/>
    <cellStyle name="PrePop Units (1)" xfId="415" xr:uid="{00000000-0005-0000-0000-0000A0010000}"/>
    <cellStyle name="PrePop Units (2)" xfId="416" xr:uid="{00000000-0005-0000-0000-0000A1010000}"/>
    <cellStyle name="price" xfId="417" xr:uid="{00000000-0005-0000-0000-0000A2010000}"/>
    <cellStyle name="pricing" xfId="418" xr:uid="{00000000-0005-0000-0000-0000A3010000}"/>
    <cellStyle name="pricing 2" xfId="419" xr:uid="{00000000-0005-0000-0000-0000A4010000}"/>
    <cellStyle name="PSChar" xfId="420" xr:uid="{00000000-0005-0000-0000-0000A5010000}"/>
    <cellStyle name="PSHeading" xfId="421" xr:uid="{00000000-0005-0000-0000-0000A6010000}"/>
    <cellStyle name="Red" xfId="422" xr:uid="{00000000-0005-0000-0000-0000A7010000}"/>
    <cellStyle name="revised" xfId="423" xr:uid="{00000000-0005-0000-0000-0000A8010000}"/>
    <cellStyle name="RevList" xfId="424" xr:uid="{00000000-0005-0000-0000-0000A9010000}"/>
    <cellStyle name="RevList 2" xfId="425" xr:uid="{00000000-0005-0000-0000-0000AA010000}"/>
    <cellStyle name="row_def_array" xfId="426" xr:uid="{00000000-0005-0000-0000-0000AB010000}"/>
    <cellStyle name="S4" xfId="427" xr:uid="{00000000-0005-0000-0000-0000AC010000}"/>
    <cellStyle name="S5" xfId="428" xr:uid="{00000000-0005-0000-0000-0000AD010000}"/>
    <cellStyle name="SAPBEXaggData" xfId="429" xr:uid="{00000000-0005-0000-0000-0000AE010000}"/>
    <cellStyle name="SAPBEXaggDataEmph" xfId="430" xr:uid="{00000000-0005-0000-0000-0000AF010000}"/>
    <cellStyle name="SAPBEXaggItem" xfId="431" xr:uid="{00000000-0005-0000-0000-0000B0010000}"/>
    <cellStyle name="SAPBEXaggItemX" xfId="432" xr:uid="{00000000-0005-0000-0000-0000B1010000}"/>
    <cellStyle name="SAPBEXchaText" xfId="433" xr:uid="{00000000-0005-0000-0000-0000B2010000}"/>
    <cellStyle name="SAPBEXexcBad7" xfId="434" xr:uid="{00000000-0005-0000-0000-0000B3010000}"/>
    <cellStyle name="SAPBEXexcBad8" xfId="435" xr:uid="{00000000-0005-0000-0000-0000B4010000}"/>
    <cellStyle name="SAPBEXexcBad9" xfId="436" xr:uid="{00000000-0005-0000-0000-0000B5010000}"/>
    <cellStyle name="SAPBEXexcCritical4" xfId="437" xr:uid="{00000000-0005-0000-0000-0000B6010000}"/>
    <cellStyle name="SAPBEXexcCritical5" xfId="438" xr:uid="{00000000-0005-0000-0000-0000B7010000}"/>
    <cellStyle name="SAPBEXexcCritical6" xfId="439" xr:uid="{00000000-0005-0000-0000-0000B8010000}"/>
    <cellStyle name="SAPBEXexcGood1" xfId="440" xr:uid="{00000000-0005-0000-0000-0000B9010000}"/>
    <cellStyle name="SAPBEXexcGood2" xfId="441" xr:uid="{00000000-0005-0000-0000-0000BA010000}"/>
    <cellStyle name="SAPBEXexcGood3" xfId="442" xr:uid="{00000000-0005-0000-0000-0000BB010000}"/>
    <cellStyle name="SAPBEXfilterDrill" xfId="443" xr:uid="{00000000-0005-0000-0000-0000BC010000}"/>
    <cellStyle name="SAPBEXfilterItem" xfId="444" xr:uid="{00000000-0005-0000-0000-0000BD010000}"/>
    <cellStyle name="SAPBEXfilterText" xfId="445" xr:uid="{00000000-0005-0000-0000-0000BE010000}"/>
    <cellStyle name="SAPBEXformats" xfId="446" xr:uid="{00000000-0005-0000-0000-0000BF010000}"/>
    <cellStyle name="SAPBEXheaderItem" xfId="447" xr:uid="{00000000-0005-0000-0000-0000C0010000}"/>
    <cellStyle name="SAPBEXheaderText" xfId="448" xr:uid="{00000000-0005-0000-0000-0000C1010000}"/>
    <cellStyle name="SAPBEXHLevel0" xfId="449" xr:uid="{00000000-0005-0000-0000-0000C2010000}"/>
    <cellStyle name="SAPBEXHLevel0X" xfId="450" xr:uid="{00000000-0005-0000-0000-0000C3010000}"/>
    <cellStyle name="SAPBEXHLevel1" xfId="451" xr:uid="{00000000-0005-0000-0000-0000C4010000}"/>
    <cellStyle name="SAPBEXHLevel1X" xfId="452" xr:uid="{00000000-0005-0000-0000-0000C5010000}"/>
    <cellStyle name="SAPBEXHLevel2" xfId="453" xr:uid="{00000000-0005-0000-0000-0000C6010000}"/>
    <cellStyle name="SAPBEXHLevel2X" xfId="454" xr:uid="{00000000-0005-0000-0000-0000C7010000}"/>
    <cellStyle name="SAPBEXHLevel3" xfId="455" xr:uid="{00000000-0005-0000-0000-0000C8010000}"/>
    <cellStyle name="SAPBEXHLevel3X" xfId="456" xr:uid="{00000000-0005-0000-0000-0000C9010000}"/>
    <cellStyle name="SAPBEXresData" xfId="457" xr:uid="{00000000-0005-0000-0000-0000CA010000}"/>
    <cellStyle name="SAPBEXresDataEmph" xfId="458" xr:uid="{00000000-0005-0000-0000-0000CB010000}"/>
    <cellStyle name="SAPBEXresItem" xfId="459" xr:uid="{00000000-0005-0000-0000-0000CC010000}"/>
    <cellStyle name="SAPBEXresItemX" xfId="460" xr:uid="{00000000-0005-0000-0000-0000CD010000}"/>
    <cellStyle name="SAPBEXstdData" xfId="461" xr:uid="{00000000-0005-0000-0000-0000CE010000}"/>
    <cellStyle name="SAPBEXstdDataEmph" xfId="462" xr:uid="{00000000-0005-0000-0000-0000CF010000}"/>
    <cellStyle name="SAPBEXstdItem" xfId="463" xr:uid="{00000000-0005-0000-0000-0000D0010000}"/>
    <cellStyle name="SAPBEXstdItemX" xfId="464" xr:uid="{00000000-0005-0000-0000-0000D1010000}"/>
    <cellStyle name="SAPBEXtitle" xfId="465" xr:uid="{00000000-0005-0000-0000-0000D2010000}"/>
    <cellStyle name="SAPBEXundefined" xfId="466" xr:uid="{00000000-0005-0000-0000-0000D3010000}"/>
    <cellStyle name="section" xfId="467" xr:uid="{00000000-0005-0000-0000-0000D4010000}"/>
    <cellStyle name="section 2" xfId="468" xr:uid="{00000000-0005-0000-0000-0000D5010000}"/>
    <cellStyle name="section 3" xfId="469" xr:uid="{00000000-0005-0000-0000-0000D6010000}"/>
    <cellStyle name="SOR" xfId="470" xr:uid="{00000000-0005-0000-0000-0000D7010000}"/>
    <cellStyle name="Standard_AREAS" xfId="471" xr:uid="{00000000-0005-0000-0000-0000D8010000}"/>
    <cellStyle name="style" xfId="472" xr:uid="{00000000-0005-0000-0000-0000D9010000}"/>
    <cellStyle name="style 2" xfId="473" xr:uid="{00000000-0005-0000-0000-0000DA010000}"/>
    <cellStyle name="style 2 2" xfId="474" xr:uid="{00000000-0005-0000-0000-0000DB010000}"/>
    <cellStyle name="style 2 2 2" xfId="780" xr:uid="{00000000-0005-0000-0000-0000DC010000}"/>
    <cellStyle name="style 3" xfId="475" xr:uid="{00000000-0005-0000-0000-0000DD010000}"/>
    <cellStyle name="style 4" xfId="476" xr:uid="{00000000-0005-0000-0000-0000DE010000}"/>
    <cellStyle name="style 4 2" xfId="777" xr:uid="{00000000-0005-0000-0000-0000DF010000}"/>
    <cellStyle name="style1" xfId="477" xr:uid="{00000000-0005-0000-0000-0000E0010000}"/>
    <cellStyle name="style1 2" xfId="478" xr:uid="{00000000-0005-0000-0000-0000E1010000}"/>
    <cellStyle name="style1 3" xfId="479" xr:uid="{00000000-0005-0000-0000-0000E2010000}"/>
    <cellStyle name="style2" xfId="480" xr:uid="{00000000-0005-0000-0000-0000E3010000}"/>
    <cellStyle name="style2 2" xfId="481" xr:uid="{00000000-0005-0000-0000-0000E4010000}"/>
    <cellStyle name="style2 3" xfId="482" xr:uid="{00000000-0005-0000-0000-0000E5010000}"/>
    <cellStyle name="subhead" xfId="483" xr:uid="{00000000-0005-0000-0000-0000E6010000}"/>
    <cellStyle name="Subtotal" xfId="484" xr:uid="{00000000-0005-0000-0000-0000E7010000}"/>
    <cellStyle name="Text Indent A" xfId="485" xr:uid="{00000000-0005-0000-0000-0000E8010000}"/>
    <cellStyle name="Text Indent B" xfId="486" xr:uid="{00000000-0005-0000-0000-0000E9010000}"/>
    <cellStyle name="Text Indent C" xfId="487" xr:uid="{00000000-0005-0000-0000-0000EA010000}"/>
    <cellStyle name="Tickmark" xfId="488" xr:uid="{00000000-0005-0000-0000-0000EB010000}"/>
    <cellStyle name="Tickmark 2" xfId="489" xr:uid="{00000000-0005-0000-0000-0000EC010000}"/>
    <cellStyle name="Tickmark 3" xfId="490" xr:uid="{00000000-0005-0000-0000-0000ED010000}"/>
    <cellStyle name="title" xfId="491" xr:uid="{00000000-0005-0000-0000-0000EE010000}"/>
    <cellStyle name="title 2" xfId="492" xr:uid="{00000000-0005-0000-0000-0000EF010000}"/>
    <cellStyle name="title 3" xfId="493" xr:uid="{00000000-0005-0000-0000-0000F0010000}"/>
    <cellStyle name="Total" xfId="494" xr:uid="{00000000-0005-0000-0000-0000F1010000}"/>
    <cellStyle name="Tusental (0)_pldt" xfId="495" xr:uid="{00000000-0005-0000-0000-0000F2010000}"/>
    <cellStyle name="Tusental_pldt" xfId="496" xr:uid="{00000000-0005-0000-0000-0000F3010000}"/>
    <cellStyle name="Valuta (0)_pldt" xfId="497" xr:uid="{00000000-0005-0000-0000-0000F4010000}"/>
    <cellStyle name="Valuta_pldt" xfId="498" xr:uid="{00000000-0005-0000-0000-0000F5010000}"/>
    <cellStyle name="Warning Text" xfId="499" xr:uid="{00000000-0005-0000-0000-0000F6010000}"/>
    <cellStyle name="wrap" xfId="500" xr:uid="{00000000-0005-0000-0000-0000F7010000}"/>
    <cellStyle name="wrap 2" xfId="501" xr:uid="{00000000-0005-0000-0000-0000F8010000}"/>
    <cellStyle name="wrap 3" xfId="502" xr:uid="{00000000-0005-0000-0000-0000F9010000}"/>
    <cellStyle name="パーセント_laroux" xfId="503" xr:uid="{00000000-0005-0000-0000-0000FA010000}"/>
    <cellStyle name="_PLDT" xfId="504" xr:uid="{00000000-0005-0000-0000-0000FB010000}"/>
    <cellStyle name="_laroux" xfId="505" xr:uid="{00000000-0005-0000-0000-0000FC010000}"/>
    <cellStyle name="だ[0]_PLDT" xfId="506" xr:uid="{00000000-0005-0000-0000-0000FD010000}"/>
    <cellStyle name="だ_PLDT" xfId="507" xr:uid="{00000000-0005-0000-0000-0000FE010000}"/>
    <cellStyle name="だ[0]_Total (2)" xfId="508" xr:uid="{00000000-0005-0000-0000-0000FF010000}"/>
    <cellStyle name="だ_laroux" xfId="509" xr:uid="{00000000-0005-0000-0000-000000020000}"/>
    <cellStyle name="百分比" xfId="781" builtinId="5"/>
    <cellStyle name="百分比 2" xfId="510" xr:uid="{00000000-0005-0000-0000-000002020000}"/>
    <cellStyle name="百分比 2 2" xfId="511" xr:uid="{00000000-0005-0000-0000-000003020000}"/>
    <cellStyle name="百分比 2 3" xfId="512" xr:uid="{00000000-0005-0000-0000-000004020000}"/>
    <cellStyle name="百分比 3" xfId="513" xr:uid="{00000000-0005-0000-0000-000005020000}"/>
    <cellStyle name="百分比 4" xfId="514" xr:uid="{00000000-0005-0000-0000-000006020000}"/>
    <cellStyle name="捠壿 [0.00]_PRODUCT DETAIL Q1" xfId="515" xr:uid="{00000000-0005-0000-0000-000007020000}"/>
    <cellStyle name="捠壿_PRODUCT DETAIL Q1" xfId="516" xr:uid="{00000000-0005-0000-0000-000008020000}"/>
    <cellStyle name="標準_１１月価格表" xfId="517" xr:uid="{00000000-0005-0000-0000-000009020000}"/>
    <cellStyle name="表标题" xfId="518" xr:uid="{00000000-0005-0000-0000-00000A020000}"/>
    <cellStyle name="差_10存货" xfId="519" xr:uid="{00000000-0005-0000-0000-00000B020000}"/>
    <cellStyle name="差_19-无形资产（空白模板）" xfId="520" xr:uid="{00000000-0005-0000-0000-00000C020000}"/>
    <cellStyle name="差_2-交易性金融资产（空白模板）" xfId="521" xr:uid="{00000000-0005-0000-0000-00000D020000}"/>
    <cellStyle name="差_2应收账款" xfId="522" xr:uid="{00000000-0005-0000-0000-00000E020000}"/>
    <cellStyle name="差_3-2 进一步审计程序-采购与付款循环" xfId="523" xr:uid="{00000000-0005-0000-0000-00000F020000}"/>
    <cellStyle name="差_3-3 进一步审计程序-存货与生产循环" xfId="524" xr:uid="{00000000-0005-0000-0000-000010020000}"/>
    <cellStyle name="差_37-长期借款（空白模板）" xfId="525" xr:uid="{00000000-0005-0000-0000-000011020000}"/>
    <cellStyle name="差_49-营业收入（空白模板）" xfId="526" xr:uid="{00000000-0005-0000-0000-000012020000}"/>
    <cellStyle name="差_4-应收账款（空白模板）" xfId="527" xr:uid="{00000000-0005-0000-0000-000013020000}"/>
    <cellStyle name="差_50-营业成本（空白模板）" xfId="528" xr:uid="{00000000-0005-0000-0000-000014020000}"/>
    <cellStyle name="差_51-营业税金及附加（空白模板）" xfId="529" xr:uid="{00000000-0005-0000-0000-000015020000}"/>
    <cellStyle name="差_54-财务费用（空白模板）" xfId="530" xr:uid="{00000000-0005-0000-0000-000016020000}"/>
    <cellStyle name="差_55-资产减值损失（空白模板）" xfId="531" xr:uid="{00000000-0005-0000-0000-000017020000}"/>
    <cellStyle name="差_9管理费用" xfId="532" xr:uid="{00000000-0005-0000-0000-000018020000}"/>
    <cellStyle name="差_Book2" xfId="533" xr:uid="{00000000-0005-0000-0000-000019020000}"/>
    <cellStyle name="差_dxn底稿目录" xfId="534" xr:uid="{00000000-0005-0000-0000-00001A020000}"/>
    <cellStyle name="差_Sheet1" xfId="535" xr:uid="{00000000-0005-0000-0000-00001B020000}"/>
    <cellStyle name="差_StartUp" xfId="536" xr:uid="{00000000-0005-0000-0000-00001C020000}"/>
    <cellStyle name="差_T1000-主营业务收入-LJCH" xfId="537" xr:uid="{00000000-0005-0000-0000-00001D020000}"/>
    <cellStyle name="差_Z14-长期应收款（函证汇总表样本）" xfId="538" xr:uid="{00000000-0005-0000-0000-00001E020000}"/>
    <cellStyle name="差_ZA0货币资金审定表 " xfId="539" xr:uid="{00000000-0005-0000-0000-00001F020000}"/>
    <cellStyle name="差_财务费用" xfId="540" xr:uid="{00000000-0005-0000-0000-000020020000}"/>
    <cellStyle name="差_程序表模版" xfId="541" xr:uid="{00000000-0005-0000-0000-000021020000}"/>
    <cellStyle name="差_存货" xfId="542" xr:uid="{00000000-0005-0000-0000-000022020000}"/>
    <cellStyle name="差_大信底稿目录" xfId="543" xr:uid="{00000000-0005-0000-0000-000023020000}"/>
    <cellStyle name="差_底稿设置宏" xfId="544" xr:uid="{00000000-0005-0000-0000-000024020000}"/>
    <cellStyle name="差_管理费用" xfId="545" xr:uid="{00000000-0005-0000-0000-000025020000}"/>
    <cellStyle name="差_货币资金" xfId="546" xr:uid="{00000000-0005-0000-0000-000026020000}"/>
    <cellStyle name="差_货币资金 天职" xfId="547" xr:uid="{00000000-0005-0000-0000-000027020000}"/>
    <cellStyle name="差_货币资金 岳华" xfId="548" xr:uid="{00000000-0005-0000-0000-000028020000}"/>
    <cellStyle name="差_其他应付款" xfId="549" xr:uid="{00000000-0005-0000-0000-000029020000}"/>
    <cellStyle name="差_其他应付款—YH" xfId="550" xr:uid="{00000000-0005-0000-0000-00002A020000}"/>
    <cellStyle name="差_未分配利润" xfId="551" xr:uid="{00000000-0005-0000-0000-00002B020000}"/>
    <cellStyle name="差_无形资产" xfId="552" xr:uid="{00000000-0005-0000-0000-00002C020000}"/>
    <cellStyle name="差_应付账款" xfId="553" xr:uid="{00000000-0005-0000-0000-00002D020000}"/>
    <cellStyle name="差_应付职工薪酬" xfId="554" xr:uid="{00000000-0005-0000-0000-00002E020000}"/>
    <cellStyle name="差_应收账款" xfId="555" xr:uid="{00000000-0005-0000-0000-00002F020000}"/>
    <cellStyle name="差_盈余公积" xfId="556" xr:uid="{00000000-0005-0000-0000-000030020000}"/>
    <cellStyle name="差_长期应付款" xfId="557" xr:uid="{00000000-0005-0000-0000-000031020000}"/>
    <cellStyle name="差_账项明细表" xfId="558" xr:uid="{00000000-0005-0000-0000-000032020000}"/>
    <cellStyle name="差_资本公积" xfId="559" xr:uid="{00000000-0005-0000-0000-000033020000}"/>
    <cellStyle name="差_资产负债标准底稿" xfId="560" xr:uid="{00000000-0005-0000-0000-000034020000}"/>
    <cellStyle name="差_资产负债类底稿模版" xfId="561" xr:uid="{00000000-0005-0000-0000-000035020000}"/>
    <cellStyle name="差_子公司附注汇总(房开公司)" xfId="562" xr:uid="{00000000-0005-0000-0000-000036020000}"/>
    <cellStyle name="常规" xfId="0" builtinId="0"/>
    <cellStyle name="常规 10" xfId="563" xr:uid="{00000000-0005-0000-0000-000038020000}"/>
    <cellStyle name="常规 10 2" xfId="564" xr:uid="{00000000-0005-0000-0000-000039020000}"/>
    <cellStyle name="常规 10 3" xfId="565" xr:uid="{00000000-0005-0000-0000-00003A020000}"/>
    <cellStyle name="常规 10 4" xfId="566" xr:uid="{00000000-0005-0000-0000-00003B020000}"/>
    <cellStyle name="常规 10 5" xfId="567" xr:uid="{00000000-0005-0000-0000-00003C020000}"/>
    <cellStyle name="常规 11" xfId="568" xr:uid="{00000000-0005-0000-0000-00003D020000}"/>
    <cellStyle name="常规 11 2" xfId="569" xr:uid="{00000000-0005-0000-0000-00003E020000}"/>
    <cellStyle name="常规 11 3" xfId="570" xr:uid="{00000000-0005-0000-0000-00003F020000}"/>
    <cellStyle name="常规 11 4" xfId="571" xr:uid="{00000000-0005-0000-0000-000040020000}"/>
    <cellStyle name="常规 12 2" xfId="572" xr:uid="{00000000-0005-0000-0000-000041020000}"/>
    <cellStyle name="常规 12 3" xfId="573" xr:uid="{00000000-0005-0000-0000-000042020000}"/>
    <cellStyle name="常规 12 4" xfId="574" xr:uid="{00000000-0005-0000-0000-000043020000}"/>
    <cellStyle name="常规 13 2" xfId="575" xr:uid="{00000000-0005-0000-0000-000044020000}"/>
    <cellStyle name="常规 13 3" xfId="576" xr:uid="{00000000-0005-0000-0000-000045020000}"/>
    <cellStyle name="常规 13 4" xfId="577" xr:uid="{00000000-0005-0000-0000-000046020000}"/>
    <cellStyle name="常规 2" xfId="578" xr:uid="{00000000-0005-0000-0000-000047020000}"/>
    <cellStyle name="常规 2 10" xfId="784" xr:uid="{00000000-0005-0000-0000-000048020000}"/>
    <cellStyle name="常规 2 2" xfId="579" xr:uid="{00000000-0005-0000-0000-000049020000}"/>
    <cellStyle name="常规 2 2 2" xfId="580" xr:uid="{00000000-0005-0000-0000-00004A020000}"/>
    <cellStyle name="常规 2 2 2 2" xfId="581" xr:uid="{00000000-0005-0000-0000-00004B020000}"/>
    <cellStyle name="常规 2 2 3" xfId="582" xr:uid="{00000000-0005-0000-0000-00004C020000}"/>
    <cellStyle name="常规 2 2 3 2" xfId="583" xr:uid="{00000000-0005-0000-0000-00004D020000}"/>
    <cellStyle name="常规 2 2 4" xfId="584" xr:uid="{00000000-0005-0000-0000-00004E020000}"/>
    <cellStyle name="常规 2 2 5" xfId="585" xr:uid="{00000000-0005-0000-0000-00004F020000}"/>
    <cellStyle name="常规 2 3" xfId="586" xr:uid="{00000000-0005-0000-0000-000050020000}"/>
    <cellStyle name="常规 2 3 2" xfId="587" xr:uid="{00000000-0005-0000-0000-000051020000}"/>
    <cellStyle name="常规 2 3 3" xfId="588" xr:uid="{00000000-0005-0000-0000-000052020000}"/>
    <cellStyle name="常规 2 4" xfId="589" xr:uid="{00000000-0005-0000-0000-000053020000}"/>
    <cellStyle name="常规 2 4 2" xfId="590" xr:uid="{00000000-0005-0000-0000-000054020000}"/>
    <cellStyle name="常规 2 5" xfId="591" xr:uid="{00000000-0005-0000-0000-000055020000}"/>
    <cellStyle name="常规 2 6" xfId="592" xr:uid="{00000000-0005-0000-0000-000056020000}"/>
    <cellStyle name="常规 2 7" xfId="593" xr:uid="{00000000-0005-0000-0000-000057020000}"/>
    <cellStyle name="常规 2 8" xfId="6" xr:uid="{00000000-0005-0000-0000-000058020000}"/>
    <cellStyle name="常规 2 9" xfId="767" xr:uid="{00000000-0005-0000-0000-000059020000}"/>
    <cellStyle name="常规 2_10存货" xfId="594" xr:uid="{00000000-0005-0000-0000-00005A020000}"/>
    <cellStyle name="常规 3" xfId="595" xr:uid="{00000000-0005-0000-0000-00005B020000}"/>
    <cellStyle name="常规 3 2" xfId="596" xr:uid="{00000000-0005-0000-0000-00005C020000}"/>
    <cellStyle name="常规 3 2 2" xfId="4" xr:uid="{00000000-0005-0000-0000-00005D020000}"/>
    <cellStyle name="常规 3 2 3" xfId="597" xr:uid="{00000000-0005-0000-0000-00005E020000}"/>
    <cellStyle name="常规 3 2 4" xfId="598" xr:uid="{00000000-0005-0000-0000-00005F020000}"/>
    <cellStyle name="常规 3 3" xfId="599" xr:uid="{00000000-0005-0000-0000-000060020000}"/>
    <cellStyle name="常规 3 3 2" xfId="600" xr:uid="{00000000-0005-0000-0000-000061020000}"/>
    <cellStyle name="常规 3 3 3" xfId="782" xr:uid="{00000000-0005-0000-0000-000062020000}"/>
    <cellStyle name="常规 3 4" xfId="601" xr:uid="{00000000-0005-0000-0000-000063020000}"/>
    <cellStyle name="常规 3 4 2" xfId="602" xr:uid="{00000000-0005-0000-0000-000064020000}"/>
    <cellStyle name="常规 3_10存货" xfId="603" xr:uid="{00000000-0005-0000-0000-000065020000}"/>
    <cellStyle name="常规 4" xfId="604" xr:uid="{00000000-0005-0000-0000-000066020000}"/>
    <cellStyle name="常规 4 2" xfId="605" xr:uid="{00000000-0005-0000-0000-000067020000}"/>
    <cellStyle name="常规 4 2 2" xfId="606" xr:uid="{00000000-0005-0000-0000-000068020000}"/>
    <cellStyle name="常规 4 3" xfId="607" xr:uid="{00000000-0005-0000-0000-000069020000}"/>
    <cellStyle name="常规 4 3 2" xfId="608" xr:uid="{00000000-0005-0000-0000-00006A020000}"/>
    <cellStyle name="常规 4 4" xfId="609" xr:uid="{00000000-0005-0000-0000-00006B020000}"/>
    <cellStyle name="常规 4 5" xfId="610" xr:uid="{00000000-0005-0000-0000-00006C020000}"/>
    <cellStyle name="常规 5" xfId="611" xr:uid="{00000000-0005-0000-0000-00006D020000}"/>
    <cellStyle name="常规 5 2" xfId="612" xr:uid="{00000000-0005-0000-0000-00006E020000}"/>
    <cellStyle name="常规 5 3" xfId="613" xr:uid="{00000000-0005-0000-0000-00006F020000}"/>
    <cellStyle name="常规 5 3 2" xfId="614" xr:uid="{00000000-0005-0000-0000-000070020000}"/>
    <cellStyle name="常规 5 4" xfId="615" xr:uid="{00000000-0005-0000-0000-000071020000}"/>
    <cellStyle name="常规 5 5" xfId="616" xr:uid="{00000000-0005-0000-0000-000072020000}"/>
    <cellStyle name="常规 6" xfId="617" xr:uid="{00000000-0005-0000-0000-000073020000}"/>
    <cellStyle name="常规 6 2" xfId="618" xr:uid="{00000000-0005-0000-0000-000074020000}"/>
    <cellStyle name="常规 6 2 2" xfId="619" xr:uid="{00000000-0005-0000-0000-000075020000}"/>
    <cellStyle name="常规 6 2 3" xfId="620" xr:uid="{00000000-0005-0000-0000-000076020000}"/>
    <cellStyle name="常规 6 2 4" xfId="621" xr:uid="{00000000-0005-0000-0000-000077020000}"/>
    <cellStyle name="常规 6 3" xfId="622" xr:uid="{00000000-0005-0000-0000-000078020000}"/>
    <cellStyle name="常规 6 3 2" xfId="623" xr:uid="{00000000-0005-0000-0000-000079020000}"/>
    <cellStyle name="常规 6 3 2 2" xfId="624" xr:uid="{00000000-0005-0000-0000-00007A020000}"/>
    <cellStyle name="常规 6 3 3" xfId="625" xr:uid="{00000000-0005-0000-0000-00007B020000}"/>
    <cellStyle name="常规 6 3 4" xfId="626" xr:uid="{00000000-0005-0000-0000-00007C020000}"/>
    <cellStyle name="常规 6 4" xfId="627" xr:uid="{00000000-0005-0000-0000-00007D020000}"/>
    <cellStyle name="常规 6 4 2" xfId="628" xr:uid="{00000000-0005-0000-0000-00007E020000}"/>
    <cellStyle name="常规 6 4 3" xfId="629" xr:uid="{00000000-0005-0000-0000-00007F020000}"/>
    <cellStyle name="常规 6 5" xfId="630" xr:uid="{00000000-0005-0000-0000-000080020000}"/>
    <cellStyle name="常规 6 5 2" xfId="631" xr:uid="{00000000-0005-0000-0000-000081020000}"/>
    <cellStyle name="常规 6 6" xfId="632" xr:uid="{00000000-0005-0000-0000-000082020000}"/>
    <cellStyle name="常规 6 7" xfId="633" xr:uid="{00000000-0005-0000-0000-000083020000}"/>
    <cellStyle name="常规 7" xfId="634" xr:uid="{00000000-0005-0000-0000-000084020000}"/>
    <cellStyle name="常规 7 2" xfId="635" xr:uid="{00000000-0005-0000-0000-000085020000}"/>
    <cellStyle name="常规 7 2 2" xfId="636" xr:uid="{00000000-0005-0000-0000-000086020000}"/>
    <cellStyle name="常规 7 2 3" xfId="637" xr:uid="{00000000-0005-0000-0000-000087020000}"/>
    <cellStyle name="常规 7 3" xfId="638" xr:uid="{00000000-0005-0000-0000-000088020000}"/>
    <cellStyle name="常规 7 3 2" xfId="639" xr:uid="{00000000-0005-0000-0000-000089020000}"/>
    <cellStyle name="常规 7 4" xfId="640" xr:uid="{00000000-0005-0000-0000-00008A020000}"/>
    <cellStyle name="常规 7 5" xfId="641" xr:uid="{00000000-0005-0000-0000-00008B020000}"/>
    <cellStyle name="常规 8" xfId="642" xr:uid="{00000000-0005-0000-0000-00008C020000}"/>
    <cellStyle name="常规 8 2" xfId="643" xr:uid="{00000000-0005-0000-0000-00008D020000}"/>
    <cellStyle name="常规 8 3" xfId="644" xr:uid="{00000000-0005-0000-0000-00008E020000}"/>
    <cellStyle name="常规 8 4" xfId="645" xr:uid="{00000000-0005-0000-0000-00008F020000}"/>
    <cellStyle name="常规 9" xfId="646" xr:uid="{00000000-0005-0000-0000-000090020000}"/>
    <cellStyle name="常规 9 2" xfId="647" xr:uid="{00000000-0005-0000-0000-000091020000}"/>
    <cellStyle name="常规 9 3" xfId="648" xr:uid="{00000000-0005-0000-0000-000092020000}"/>
    <cellStyle name="常规 9 4" xfId="649" xr:uid="{00000000-0005-0000-0000-000093020000}"/>
    <cellStyle name="常规 9 5" xfId="650" xr:uid="{00000000-0005-0000-0000-000094020000}"/>
    <cellStyle name="常规_c-资产类" xfId="5" xr:uid="{00000000-0005-0000-0000-000095020000}"/>
    <cellStyle name="常规_进一步审计程序--销售与收款循环" xfId="3" xr:uid="{00000000-0005-0000-0000-000096020000}"/>
    <cellStyle name="常规_通用表" xfId="764" xr:uid="{00000000-0005-0000-0000-000097020000}"/>
    <cellStyle name="常规_新审定表 2" xfId="2" xr:uid="{00000000-0005-0000-0000-000098020000}"/>
    <cellStyle name="超级链接_A4应收账款" xfId="651" xr:uid="{00000000-0005-0000-0000-000099020000}"/>
    <cellStyle name="超链接" xfId="765" builtinId="8"/>
    <cellStyle name="超链接 2" xfId="652" xr:uid="{00000000-0005-0000-0000-00009B020000}"/>
    <cellStyle name="超链接 2 2" xfId="653" xr:uid="{00000000-0005-0000-0000-00009C020000}"/>
    <cellStyle name="超链接 2 3" xfId="654" xr:uid="{00000000-0005-0000-0000-00009D020000}"/>
    <cellStyle name="超链接 3" xfId="655" xr:uid="{00000000-0005-0000-0000-00009E020000}"/>
    <cellStyle name="分级显示行_1_4附件二凯旋评估表" xfId="656" xr:uid="{00000000-0005-0000-0000-00009F020000}"/>
    <cellStyle name="好_10存货" xfId="657" xr:uid="{00000000-0005-0000-0000-0000A0020000}"/>
    <cellStyle name="好_19-无形资产（空白模板）" xfId="658" xr:uid="{00000000-0005-0000-0000-0000A1020000}"/>
    <cellStyle name="好_1财务费用" xfId="659" xr:uid="{00000000-0005-0000-0000-0000A2020000}"/>
    <cellStyle name="好_1营业收入" xfId="660" xr:uid="{00000000-0005-0000-0000-0000A3020000}"/>
    <cellStyle name="好_1资产减值损失" xfId="661" xr:uid="{00000000-0005-0000-0000-0000A4020000}"/>
    <cellStyle name="好_2-交易性金融资产（空白模板）" xfId="662" xr:uid="{00000000-0005-0000-0000-0000A5020000}"/>
    <cellStyle name="好_2应收账款" xfId="663" xr:uid="{00000000-0005-0000-0000-0000A6020000}"/>
    <cellStyle name="好_3-2 进一步审计程序-采购与付款循环" xfId="664" xr:uid="{00000000-0005-0000-0000-0000A7020000}"/>
    <cellStyle name="好_3-3 进一步审计程序-存货与生产循环" xfId="665" xr:uid="{00000000-0005-0000-0000-0000A8020000}"/>
    <cellStyle name="好_37-长期借款（空白模板）" xfId="666" xr:uid="{00000000-0005-0000-0000-0000A9020000}"/>
    <cellStyle name="好_49-营业收入（空白模板）" xfId="667" xr:uid="{00000000-0005-0000-0000-0000AA020000}"/>
    <cellStyle name="好_4-应收账款（空白模板）" xfId="668" xr:uid="{00000000-0005-0000-0000-0000AB020000}"/>
    <cellStyle name="好_50-营业成本（空白模板）" xfId="669" xr:uid="{00000000-0005-0000-0000-0000AC020000}"/>
    <cellStyle name="好_51-营业税金及附加（空白模板）" xfId="670" xr:uid="{00000000-0005-0000-0000-0000AD020000}"/>
    <cellStyle name="好_54-财务费用（空白模板）" xfId="671" xr:uid="{00000000-0005-0000-0000-0000AE020000}"/>
    <cellStyle name="好_55-资产减值损失（空白模板）" xfId="672" xr:uid="{00000000-0005-0000-0000-0000AF020000}"/>
    <cellStyle name="好_9管理费用" xfId="673" xr:uid="{00000000-0005-0000-0000-0000B0020000}"/>
    <cellStyle name="好_Book2" xfId="674" xr:uid="{00000000-0005-0000-0000-0000B1020000}"/>
    <cellStyle name="好_Sheet1" xfId="675" xr:uid="{00000000-0005-0000-0000-0000B2020000}"/>
    <cellStyle name="好_StartUp" xfId="676" xr:uid="{00000000-0005-0000-0000-0000B3020000}"/>
    <cellStyle name="好_T1000-主营业务收入" xfId="677" xr:uid="{00000000-0005-0000-0000-0000B4020000}"/>
    <cellStyle name="好_Z14-长期应收款（函证汇总表样本）" xfId="678" xr:uid="{00000000-0005-0000-0000-0000B5020000}"/>
    <cellStyle name="好_ZA0货币资金审定表 " xfId="679" xr:uid="{00000000-0005-0000-0000-0000B6020000}"/>
    <cellStyle name="好_财务费用" xfId="680" xr:uid="{00000000-0005-0000-0000-0000B7020000}"/>
    <cellStyle name="好_程序表模版" xfId="681" xr:uid="{00000000-0005-0000-0000-0000B8020000}"/>
    <cellStyle name="好_存货" xfId="682" xr:uid="{00000000-0005-0000-0000-0000B9020000}"/>
    <cellStyle name="好_存货 - 复制" xfId="683" xr:uid="{00000000-0005-0000-0000-0000BA020000}"/>
    <cellStyle name="好_大信底稿目录" xfId="684" xr:uid="{00000000-0005-0000-0000-0000BB020000}"/>
    <cellStyle name="好_底稿设置宏" xfId="685" xr:uid="{00000000-0005-0000-0000-0000BC020000}"/>
    <cellStyle name="好_底稿设置宏_大信底稿目录" xfId="686" xr:uid="{00000000-0005-0000-0000-0000BD020000}"/>
    <cellStyle name="好_管理费用" xfId="687" xr:uid="{00000000-0005-0000-0000-0000BE020000}"/>
    <cellStyle name="好_货币资金" xfId="688" xr:uid="{00000000-0005-0000-0000-0000BF020000}"/>
    <cellStyle name="好_货币资金 天职" xfId="689" xr:uid="{00000000-0005-0000-0000-0000C0020000}"/>
    <cellStyle name="好_货币资金 岳华" xfId="690" xr:uid="{00000000-0005-0000-0000-0000C1020000}"/>
    <cellStyle name="好_其他应付款" xfId="691" xr:uid="{00000000-0005-0000-0000-0000C2020000}"/>
    <cellStyle name="好_其他应付款—YH" xfId="692" xr:uid="{00000000-0005-0000-0000-0000C3020000}"/>
    <cellStyle name="好_其他应收款" xfId="693" xr:uid="{00000000-0005-0000-0000-0000C4020000}"/>
    <cellStyle name="好_实收资本(股本)" xfId="694" xr:uid="{00000000-0005-0000-0000-0000C5020000}"/>
    <cellStyle name="好_未分配利润" xfId="695" xr:uid="{00000000-0005-0000-0000-0000C6020000}"/>
    <cellStyle name="好_无形资产" xfId="696" xr:uid="{00000000-0005-0000-0000-0000C7020000}"/>
    <cellStyle name="好_银行函证结果汇总表" xfId="697" xr:uid="{00000000-0005-0000-0000-0000C8020000}"/>
    <cellStyle name="好_应付债券" xfId="698" xr:uid="{00000000-0005-0000-0000-0000C9020000}"/>
    <cellStyle name="好_应付账款" xfId="699" xr:uid="{00000000-0005-0000-0000-0000CA020000}"/>
    <cellStyle name="好_应付职工薪酬" xfId="700" xr:uid="{00000000-0005-0000-0000-0000CB020000}"/>
    <cellStyle name="好_应收利息" xfId="701" xr:uid="{00000000-0005-0000-0000-0000CC020000}"/>
    <cellStyle name="好_应收账款" xfId="702" xr:uid="{00000000-0005-0000-0000-0000CD020000}"/>
    <cellStyle name="好_盈余公积" xfId="703" xr:uid="{00000000-0005-0000-0000-0000CE020000}"/>
    <cellStyle name="好_营业收入" xfId="704" xr:uid="{00000000-0005-0000-0000-0000CF020000}"/>
    <cellStyle name="好_预收款项" xfId="705" xr:uid="{00000000-0005-0000-0000-0000D0020000}"/>
    <cellStyle name="好_长期借款—TZ" xfId="706" xr:uid="{00000000-0005-0000-0000-0000D1020000}"/>
    <cellStyle name="好_长期应付款" xfId="707" xr:uid="{00000000-0005-0000-0000-0000D2020000}"/>
    <cellStyle name="好_账项明细表" xfId="708" xr:uid="{00000000-0005-0000-0000-0000D3020000}"/>
    <cellStyle name="好_资本公积" xfId="709" xr:uid="{00000000-0005-0000-0000-0000D4020000}"/>
    <cellStyle name="好_资产负债标准底稿" xfId="710" xr:uid="{00000000-0005-0000-0000-0000D5020000}"/>
    <cellStyle name="好_资产负债标准底稿_大信底稿目录" xfId="711" xr:uid="{00000000-0005-0000-0000-0000D6020000}"/>
    <cellStyle name="好_资产负债类底稿模版" xfId="712" xr:uid="{00000000-0005-0000-0000-0000D7020000}"/>
    <cellStyle name="好_资产负债类底稿模版_大信底稿目录" xfId="713" xr:uid="{00000000-0005-0000-0000-0000D8020000}"/>
    <cellStyle name="好_资产减值损失" xfId="714" xr:uid="{00000000-0005-0000-0000-0000D9020000}"/>
    <cellStyle name="好_子公司附注汇总(房开公司)" xfId="715" xr:uid="{00000000-0005-0000-0000-0000DA020000}"/>
    <cellStyle name="桁区切り [0.00]_１１月価格表" xfId="716" xr:uid="{00000000-0005-0000-0000-0000DB020000}"/>
    <cellStyle name="桁区切り_１１月価格表" xfId="717" xr:uid="{00000000-0005-0000-0000-0000DC020000}"/>
    <cellStyle name="貨幣 [0]_SGV" xfId="718" xr:uid="{00000000-0005-0000-0000-0000DD020000}"/>
    <cellStyle name="貨幣_SGV" xfId="719" xr:uid="{00000000-0005-0000-0000-0000DE020000}"/>
    <cellStyle name="霓付 [0]_1202" xfId="720" xr:uid="{00000000-0005-0000-0000-0000DF020000}"/>
    <cellStyle name="霓付_1202" xfId="721" xr:uid="{00000000-0005-0000-0000-0000E0020000}"/>
    <cellStyle name="妞" xfId="722" xr:uid="{00000000-0005-0000-0000-0000E1020000}"/>
    <cellStyle name="欧" xfId="723" xr:uid="{00000000-0005-0000-0000-0000E2020000}"/>
    <cellStyle name="烹拳 [0]_1202" xfId="724" xr:uid="{00000000-0005-0000-0000-0000E3020000}"/>
    <cellStyle name="烹拳_1202" xfId="725" xr:uid="{00000000-0005-0000-0000-0000E4020000}"/>
    <cellStyle name="砯刽 [0]_PLDT" xfId="726" xr:uid="{00000000-0005-0000-0000-0000E5020000}"/>
    <cellStyle name="砯刽_PLDT" xfId="727" xr:uid="{00000000-0005-0000-0000-0000E6020000}"/>
    <cellStyle name="普通_ 白土" xfId="728" xr:uid="{00000000-0005-0000-0000-0000E7020000}"/>
    <cellStyle name="千分位[0]_ 白土" xfId="729" xr:uid="{00000000-0005-0000-0000-0000E8020000}"/>
    <cellStyle name="千分位_ 白土" xfId="730" xr:uid="{00000000-0005-0000-0000-0000E9020000}"/>
    <cellStyle name="千位[0]_ 应交税金审定表" xfId="731" xr:uid="{00000000-0005-0000-0000-0000EA020000}"/>
    <cellStyle name="千位_ 应交税金审定表" xfId="732" xr:uid="{00000000-0005-0000-0000-0000EB020000}"/>
    <cellStyle name="千位分隔" xfId="1" builtinId="3"/>
    <cellStyle name="千位分隔 2" xfId="733" xr:uid="{00000000-0005-0000-0000-0000ED020000}"/>
    <cellStyle name="千位分隔 2 2" xfId="734" xr:uid="{00000000-0005-0000-0000-0000EE020000}"/>
    <cellStyle name="千位分隔 2 3" xfId="735" xr:uid="{00000000-0005-0000-0000-0000EF020000}"/>
    <cellStyle name="千位分隔 2 4" xfId="736" xr:uid="{00000000-0005-0000-0000-0000F0020000}"/>
    <cellStyle name="千位分隔 2 4 2" xfId="783" xr:uid="{00000000-0005-0000-0000-0000F1020000}"/>
    <cellStyle name="千位分隔 2 5" xfId="768" xr:uid="{00000000-0005-0000-0000-0000F2020000}"/>
    <cellStyle name="千位分隔 3" xfId="737" xr:uid="{00000000-0005-0000-0000-0000F3020000}"/>
    <cellStyle name="千位分隔 3 2" xfId="738" xr:uid="{00000000-0005-0000-0000-0000F4020000}"/>
    <cellStyle name="千位分隔 3 3" xfId="739" xr:uid="{00000000-0005-0000-0000-0000F5020000}"/>
    <cellStyle name="千位分隔 3 4" xfId="740" xr:uid="{00000000-0005-0000-0000-0000F6020000}"/>
    <cellStyle name="千位分隔 4" xfId="741" xr:uid="{00000000-0005-0000-0000-0000F7020000}"/>
    <cellStyle name="千位分隔 5" xfId="742" xr:uid="{00000000-0005-0000-0000-0000F8020000}"/>
    <cellStyle name="千位分隔[0] 2" xfId="743" xr:uid="{00000000-0005-0000-0000-0000F9020000}"/>
    <cellStyle name="千位分隔[0] 2 2" xfId="769" xr:uid="{00000000-0005-0000-0000-0000FA020000}"/>
    <cellStyle name="钎霖_(沥焊何巩)岿喊牢盔拌裙" xfId="744" xr:uid="{00000000-0005-0000-0000-0000FB020000}"/>
    <cellStyle name="强调 1" xfId="745" xr:uid="{00000000-0005-0000-0000-0000FC020000}"/>
    <cellStyle name="强调 2" xfId="746" xr:uid="{00000000-0005-0000-0000-0000FD020000}"/>
    <cellStyle name="强调 3" xfId="747" xr:uid="{00000000-0005-0000-0000-0000FE020000}"/>
    <cellStyle name="通貨 [0.00]_１１月価格表" xfId="748" xr:uid="{00000000-0005-0000-0000-0000FF020000}"/>
    <cellStyle name="通貨_１１月価格表" xfId="749" xr:uid="{00000000-0005-0000-0000-000000030000}"/>
    <cellStyle name="样式 1" xfId="750" xr:uid="{00000000-0005-0000-0000-000001030000}"/>
    <cellStyle name="样式 1 2" xfId="751" xr:uid="{00000000-0005-0000-0000-000002030000}"/>
    <cellStyle name="样式 1 3" xfId="752" xr:uid="{00000000-0005-0000-0000-000003030000}"/>
    <cellStyle name="样式 1 4" xfId="770" xr:uid="{00000000-0005-0000-0000-000004030000}"/>
    <cellStyle name="一般_SGV" xfId="753" xr:uid="{00000000-0005-0000-0000-000005030000}"/>
    <cellStyle name="昗弨_BOOKSHIP" xfId="754" xr:uid="{00000000-0005-0000-0000-000006030000}"/>
    <cellStyle name="寘嬫愗傝 [0.00]_PRODUCT DETAIL Q1" xfId="755" xr:uid="{00000000-0005-0000-0000-000007030000}"/>
    <cellStyle name="寘嬫愗傝_PRODUCT DETAIL Q1" xfId="756" xr:uid="{00000000-0005-0000-0000-000008030000}"/>
    <cellStyle name="资产" xfId="757" xr:uid="{00000000-0005-0000-0000-000009030000}"/>
    <cellStyle name="资产 2" xfId="758" xr:uid="{00000000-0005-0000-0000-00000A030000}"/>
    <cellStyle name="资产 2 2" xfId="775" xr:uid="{00000000-0005-0000-0000-00000B030000}"/>
    <cellStyle name="콤마 [0]_BOILER-CO1" xfId="759" xr:uid="{00000000-0005-0000-0000-00000C030000}"/>
    <cellStyle name="콤마_BOILER-CO1" xfId="760" xr:uid="{00000000-0005-0000-0000-00000D030000}"/>
    <cellStyle name="통화 [0]_BOILER-CO1" xfId="761" xr:uid="{00000000-0005-0000-0000-00000E030000}"/>
    <cellStyle name="통화_BOILER-CO1" xfId="762" xr:uid="{00000000-0005-0000-0000-00000F030000}"/>
    <cellStyle name="표준_0N-HANDLING " xfId="763" xr:uid="{00000000-0005-0000-0000-000010030000}"/>
  </cellStyles>
  <dxfs count="0"/>
  <tableStyles count="0" defaultTableStyle="TableStyleMedium2" defaultPivotStyle="PivotStyleLight16"/>
  <colors>
    <mruColors>
      <color rgb="FFFFFFCC"/>
      <color rgb="FFDCD5E5"/>
      <color rgb="FFCCEDF0"/>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2.xml"/><Relationship Id="rId18" Type="http://schemas.openxmlformats.org/officeDocument/2006/relationships/externalLink" Target="externalLinks/externalLink7.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externalLink" Target="externalLinks/externalLink6.xml"/><Relationship Id="rId2" Type="http://schemas.openxmlformats.org/officeDocument/2006/relationships/worksheet" Target="worksheets/sheet2.xml"/><Relationship Id="rId16" Type="http://schemas.openxmlformats.org/officeDocument/2006/relationships/externalLink" Target="externalLinks/externalLink5.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4.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3.xml"/><Relationship Id="rId22"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A:\&#20998;&#26512;&#34920;.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5440%20Inventory"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Worksheet%20in%208240%20COS%20breakdown"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Documents%20and%20Settings/Administrator/&#26700;&#38754;/to&#65293;&#20869;&#37096;&#25511;&#21046;&#32452;/&#20854;&#20182;&#25152;/&#22825;&#24314;/&#22269;&#36152;_2005_&#38543;&#20415;.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24037;&#20316;/10&#24180;&#24037;&#20316;/&#27468;&#21326;/&#40718;&#35270;/&#21152;&#24037;&#36134;-&#40718;&#35270;.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20844;&#21496;/&#25191;&#19994;&#35268;&#31243;/&#20998;&#26512;&#34920;.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A:\EXCEL\&#23457;&#26680;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 val="科纳特成本按项目明细-10"/>
      <sheetName val="本期报表"/>
      <sheetName val="M_5A"/>
      <sheetName val="M_5C"/>
      <sheetName val="表头"/>
      <sheetName val="科目名称表"/>
      <sheetName val="08"/>
      <sheetName val="03"/>
      <sheetName val="05"/>
      <sheetName val="06"/>
      <sheetName val="10"/>
      <sheetName val="04"/>
      <sheetName val="09"/>
      <sheetName val="02"/>
      <sheetName val="07"/>
      <sheetName val="凭证核对内容"/>
      <sheetName val="短期借款余额表"/>
      <sheetName val="_REF!"/>
      <sheetName val="应收账款贷方余额表"/>
      <sheetName val="应收账款借方余额表"/>
      <sheetName val="应收账款余额表"/>
      <sheetName val="W"/>
      <sheetName val="累计产销存"/>
      <sheetName val="完"/>
      <sheetName val="B"/>
      <sheetName val="Sheet3"/>
      <sheetName val="科目余额表"/>
      <sheetName val="库存商品"/>
      <sheetName val="余额表"/>
      <sheetName val="表头信息"/>
      <sheetName val="laroux"/>
      <sheetName val="Investment Property"/>
      <sheetName val="科目表"/>
      <sheetName val="Statistics {pbe}"/>
      <sheetName val="Allow {pbe}"/>
      <sheetName val="附注汇总"/>
      <sheetName val="Summary"/>
      <sheetName val="Pre-operating Exp"/>
      <sheetName val="Miscellaneous Exp."/>
      <sheetName val="Rental 2002"/>
      <sheetName val="Rental 2001"/>
      <sheetName val="_3220"/>
      <sheetName val="*REF!"/>
      <sheetName val="收入截止测试D4-8"/>
      <sheetName val="表头（请先填写）"/>
      <sheetName val="收入确认政策检查D4-4"/>
      <sheetName val="收入函证结果汇总D4-5"/>
      <sheetName val="Source"/>
    </sheetNames>
    <sheetDataSet>
      <sheetData sheetId="0"/>
      <sheetData sheetId="1"/>
      <sheetData sheetId="2"/>
      <sheetData sheetId="3"/>
      <sheetData sheetId="4"/>
      <sheetData sheetId="5"/>
      <sheetData sheetId="6"/>
      <sheetData sheetId="7"/>
      <sheetData sheetId="8"/>
      <sheetData sheetId="9" refreshError="1">
        <row r="6">
          <cell r="C6">
            <v>0</v>
          </cell>
        </row>
        <row r="20">
          <cell r="E20">
            <v>0</v>
          </cell>
          <cell r="F20">
            <v>0</v>
          </cell>
        </row>
      </sheetData>
      <sheetData sheetId="10"/>
      <sheetData sheetId="11" refreshError="1">
        <row r="10">
          <cell r="B10">
            <v>0</v>
          </cell>
        </row>
      </sheetData>
      <sheetData sheetId="12"/>
      <sheetData sheetId="13" refreshError="1"/>
      <sheetData sheetId="14" refreshError="1"/>
      <sheetData sheetId="15" refreshError="1"/>
      <sheetData sheetId="16"/>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eakdown"/>
      <sheetName val="徐淮分部"/>
      <sheetName val="Stock turnover"/>
      <sheetName val="Prov-Mvmt"/>
      <sheetName val="Obsolete Stock List"/>
      <sheetName val="Negative sales"/>
      <sheetName val="XREF"/>
      <sheetName val="Tickmarks"/>
      <sheetName val="B"/>
      <sheetName val="2009年受限统计表"/>
      <sheetName val="银行存款"/>
      <sheetName val="04"/>
      <sheetName val="03"/>
      <sheetName val="表头"/>
      <sheetName val="其他应收个人"/>
      <sheetName val="Summary"/>
      <sheetName val="35.1租赁明细"/>
      <sheetName val="1"/>
      <sheetName val="2"/>
      <sheetName val="3"/>
      <sheetName val="4"/>
      <sheetName val="5"/>
      <sheetName val="6"/>
      <sheetName val="7"/>
      <sheetName val="8"/>
      <sheetName val="9"/>
      <sheetName val="10"/>
      <sheetName val="11"/>
      <sheetName val="12"/>
      <sheetName val="1-12"/>
      <sheetName val="3 (2)"/>
      <sheetName val="4 (2)"/>
      <sheetName val="5 (2)"/>
      <sheetName val="6 (2)"/>
      <sheetName val="7 (2)"/>
      <sheetName val="8 (2)"/>
      <sheetName val="9 (2)"/>
      <sheetName val="10 (2)"/>
      <sheetName val="11 (2)"/>
      <sheetName val="12 (2)"/>
      <sheetName val="1 (2)"/>
      <sheetName val="2 (2)"/>
      <sheetName val="5月"/>
      <sheetName val="6月"/>
      <sheetName val="1-10月明细表"/>
      <sheetName val="索引"/>
      <sheetName val="Investment Property"/>
      <sheetName val="대외공문"/>
      <sheetName val="2004"/>
      <sheetName val="资产负债表"/>
      <sheetName val="营业费用测试"/>
      <sheetName val="利润及分配表"/>
      <sheetName val="资产方"/>
      <sheetName val="减值准备表"/>
      <sheetName val="负债方"/>
      <sheetName val="系统参数设置"/>
      <sheetName val="固定资产清单"/>
      <sheetName val="#REF!"/>
      <sheetName val="预收帐款明细"/>
      <sheetName val="项目成本-制作成本明细G1-6"/>
      <sheetName val="固定资产明细"/>
      <sheetName val="kmmc"/>
      <sheetName val="科目表"/>
      <sheetName val="现金明细（勿删）"/>
      <sheetName val="选择键"/>
      <sheetName val="&lt;原报&gt;资产负债表"/>
      <sheetName val="W"/>
      <sheetName val="其他应收款－个人借款明细"/>
      <sheetName val="无正式发票的支出"/>
      <sheetName val="E1020"/>
      <sheetName val="UFPrn20080707101342"/>
      <sheetName val="库龄"/>
      <sheetName val="Audit Sampling Table"/>
      <sheetName val="For Ref"/>
      <sheetName val="Inventory"/>
      <sheetName val="PFS"/>
      <sheetName val="土地"/>
      <sheetName val="建筑工程"/>
      <sheetName val="装潢工程"/>
      <sheetName val="间接费用"/>
      <sheetName val="利息资本化"/>
      <sheetName val="配套工程"/>
      <sheetName val="机电工程"/>
      <sheetName val="Payment test"/>
      <sheetName val="RM"/>
      <sheetName val="在途物资"/>
      <sheetName val="WIP"/>
      <sheetName val="FG"/>
      <sheetName val="跌价准备"/>
      <sheetName val="跌价准备清单"/>
      <sheetName val="Sample Design"/>
      <sheetName val="审计调整"/>
      <sheetName val="生产成本"/>
      <sheetName val="完"/>
      <sheetName val="企业表一"/>
      <sheetName val="M-5C"/>
      <sheetName val="M-5A"/>
      <sheetName val="表头（请先填写）"/>
      <sheetName val="200)年受限统计表"/>
      <sheetName val="35.1租赁明滆"/>
      <sheetName val="PER SALES ORG"/>
      <sheetName val="eqpmad2"/>
      <sheetName val="本期报表"/>
      <sheetName val="Repayment Summary"/>
      <sheetName val="Breakdown-本部"/>
      <sheetName val="DATA"/>
      <sheetName val="UFPrn20061113135115"/>
      <sheetName val="KM"/>
      <sheetName val="inventory list index"/>
      <sheetName val="costing"/>
      <sheetName val="差异分摊计算表"/>
      <sheetName val="调整分录汇总"/>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eakdown"/>
      <sheetName val="2004"/>
      <sheetName val="test on帐面补差"/>
      <sheetName val="XREF"/>
      <sheetName val="Tickmarks"/>
      <sheetName val="企业表一"/>
      <sheetName val="M-5C"/>
      <sheetName val="M-5A"/>
      <sheetName val="科目表"/>
      <sheetName val="机关财务营业费用"/>
      <sheetName val="存栏2"/>
      <sheetName val="索引"/>
      <sheetName val="生产成本账"/>
      <sheetName val="系统参数设置"/>
      <sheetName val="固定资产清单"/>
      <sheetName val="示范99tzfl"/>
      <sheetName val="#REF!"/>
      <sheetName val="明细科目余额表"/>
      <sheetName val="现金明细（勿删）"/>
      <sheetName val="本期报表"/>
      <sheetName val="XL4Poppy"/>
      <sheetName val="1"/>
      <sheetName val="2"/>
      <sheetName val="3"/>
      <sheetName val="4"/>
      <sheetName val="5"/>
      <sheetName val="6"/>
      <sheetName val="7"/>
      <sheetName val="8"/>
      <sheetName val="9"/>
      <sheetName val="10"/>
      <sheetName val="11"/>
      <sheetName val="12"/>
      <sheetName val="1-12"/>
      <sheetName val="3 (2)"/>
      <sheetName val="4 (2)"/>
      <sheetName val="5 (2)"/>
      <sheetName val="6 (2)"/>
      <sheetName val="7 (2)"/>
      <sheetName val="8 (2)"/>
      <sheetName val="9 (2)"/>
      <sheetName val="10 (2)"/>
      <sheetName val="11 (2)"/>
      <sheetName val="12 (2)"/>
      <sheetName val="1 (2)"/>
      <sheetName val="2 (2)"/>
      <sheetName val="Raw materials"/>
      <sheetName val="Investment Property"/>
      <sheetName val="基本参数"/>
      <sheetName val="W"/>
      <sheetName val="生产成本"/>
      <sheetName val="&lt;原报&gt;资产负债表"/>
      <sheetName val="PER SALES ORG"/>
      <sheetName val="Bilanz Aktiva"/>
      <sheetName val="Bil.Zu-Abgang"/>
      <sheetName val="Cash Flow"/>
      <sheetName val="GuV"/>
      <sheetName val="Bilanz Passiva"/>
      <sheetName val="差异调整97"/>
      <sheetName val="差异调整95"/>
      <sheetName val="差异调整96"/>
      <sheetName val="1－5月余额表"/>
      <sheetName val="1－10月余额表"/>
      <sheetName val="预付账款Dy"/>
      <sheetName val="Source"/>
      <sheetName val="Bal Sheet"/>
      <sheetName val="DATA"/>
      <sheetName val="UFPrn20061113135115"/>
      <sheetName val="基本信息"/>
      <sheetName val="35.1租赁明细"/>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索引"/>
      <sheetName val="货币资金Cx"/>
      <sheetName val="货币资金Mx"/>
      <sheetName val="分录"/>
      <sheetName val="标本-资产"/>
    </sheetNames>
    <sheetDataSet>
      <sheetData sheetId="0" refreshError="1">
        <row r="15">
          <cell r="D15" t="str">
            <v>货币资金</v>
          </cell>
        </row>
      </sheetData>
      <sheetData sheetId="1" refreshError="1"/>
      <sheetData sheetId="2" refreshError="1"/>
      <sheetData sheetId="3" refreshError="1"/>
      <sheetData sheetId="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表头"/>
      <sheetName val="其他表"/>
      <sheetName val="余额表"/>
      <sheetName val="联查凭证"/>
      <sheetName val="序时账"/>
      <sheetName val="库存现金1A"/>
      <sheetName val="我的凭证"/>
    </sheetNames>
    <sheetDataSet>
      <sheetData sheetId="0" refreshError="1">
        <row r="1">
          <cell r="B1" t="str">
            <v>鼎视</v>
          </cell>
        </row>
        <row r="2">
          <cell r="B2">
            <v>40359</v>
          </cell>
        </row>
        <row r="3">
          <cell r="B3" t="str">
            <v>郝</v>
          </cell>
        </row>
        <row r="4">
          <cell r="B4" t="str">
            <v>宏</v>
          </cell>
        </row>
        <row r="5">
          <cell r="B5">
            <v>40378</v>
          </cell>
        </row>
        <row r="6">
          <cell r="B6">
            <v>40381</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s>
    <sheetDataSet>
      <sheetData sheetId="0"/>
      <sheetData sheetId="1"/>
      <sheetData sheetId="2"/>
      <sheetData sheetId="3"/>
      <sheetData sheetId="4"/>
      <sheetData sheetId="5"/>
      <sheetData sheetId="6"/>
      <sheetData sheetId="7"/>
      <sheetData sheetId="8"/>
      <sheetData sheetId="9">
        <row r="6">
          <cell r="C6">
            <v>0</v>
          </cell>
          <cell r="D6">
            <v>0</v>
          </cell>
          <cell r="E6">
            <v>0</v>
          </cell>
          <cell r="F6">
            <v>0</v>
          </cell>
          <cell r="G6">
            <v>0</v>
          </cell>
          <cell r="H6">
            <v>0</v>
          </cell>
        </row>
        <row r="7">
          <cell r="C7">
            <v>0</v>
          </cell>
          <cell r="D7">
            <v>0</v>
          </cell>
          <cell r="E7">
            <v>0</v>
          </cell>
          <cell r="F7">
            <v>0</v>
          </cell>
          <cell r="G7">
            <v>0</v>
          </cell>
          <cell r="H7">
            <v>0</v>
          </cell>
        </row>
        <row r="14">
          <cell r="C14">
            <v>0</v>
          </cell>
          <cell r="D14">
            <v>0</v>
          </cell>
          <cell r="E14">
            <v>0</v>
          </cell>
          <cell r="F14">
            <v>0</v>
          </cell>
          <cell r="G14">
            <v>0</v>
          </cell>
          <cell r="H14">
            <v>0</v>
          </cell>
        </row>
        <row r="15">
          <cell r="D15">
            <v>0</v>
          </cell>
          <cell r="F15">
            <v>0</v>
          </cell>
          <cell r="H15">
            <v>0</v>
          </cell>
        </row>
        <row r="17">
          <cell r="D17">
            <v>0</v>
          </cell>
          <cell r="F17">
            <v>0</v>
          </cell>
          <cell r="H17">
            <v>0</v>
          </cell>
        </row>
        <row r="20">
          <cell r="C20">
            <v>0</v>
          </cell>
          <cell r="D20">
            <v>0</v>
          </cell>
          <cell r="E20">
            <v>0</v>
          </cell>
          <cell r="F20">
            <v>0</v>
          </cell>
          <cell r="G20">
            <v>0</v>
          </cell>
          <cell r="H20">
            <v>0</v>
          </cell>
        </row>
      </sheetData>
      <sheetData sheetId="10"/>
      <sheetData sheetId="11">
        <row r="10">
          <cell r="B10">
            <v>0</v>
          </cell>
          <cell r="C10">
            <v>0</v>
          </cell>
          <cell r="D10">
            <v>0</v>
          </cell>
        </row>
        <row r="14">
          <cell r="B14">
            <v>0</v>
          </cell>
          <cell r="C14">
            <v>0</v>
          </cell>
          <cell r="D14">
            <v>0</v>
          </cell>
        </row>
        <row r="15">
          <cell r="B15">
            <v>0</v>
          </cell>
          <cell r="C15">
            <v>0</v>
          </cell>
          <cell r="D15">
            <v>0</v>
          </cell>
        </row>
      </sheetData>
      <sheetData sheetId="12"/>
      <sheetData sheetId="13">
        <row r="24">
          <cell r="B24">
            <v>0</v>
          </cell>
          <cell r="D24">
            <v>0</v>
          </cell>
          <cell r="F24">
            <v>0</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徐"/>
      <sheetName val="管理文件清单"/>
      <sheetName val="B"/>
      <sheetName val="其他应收款－个人借款明细"/>
      <sheetName val="Sheet1"/>
      <sheetName val="Sheet2"/>
      <sheetName val="Sheet3"/>
      <sheetName val="目录"/>
      <sheetName val="应收票据"/>
      <sheetName val="应收账款"/>
      <sheetName val="预收账款"/>
      <sheetName val="应交税金"/>
      <sheetName val="其他应交款"/>
      <sheetName val="主营业务收入"/>
      <sheetName val="主营业务税金及附加"/>
      <sheetName val="其他业务利润"/>
      <sheetName val="营业费用"/>
      <sheetName val="预付账款"/>
      <sheetName val="固及累"/>
      <sheetName val="固减值"/>
      <sheetName val="工程物资"/>
      <sheetName val="在建工程"/>
      <sheetName val="在建减值"/>
      <sheetName val="固定清理"/>
      <sheetName val="应付票据"/>
      <sheetName val="应付账款"/>
      <sheetName val="存货"/>
      <sheetName val="生产成本"/>
      <sheetName val="制造费用"/>
      <sheetName val="劳务成本"/>
      <sheetName val="存货跌价准备"/>
      <sheetName val="代销商品款"/>
      <sheetName val="待摊费用"/>
      <sheetName val="应付工资"/>
      <sheetName val="应付福利费"/>
      <sheetName val="预提费用"/>
      <sheetName val="主营业务成本"/>
      <sheetName val="货币资金"/>
      <sheetName val="短期投资"/>
      <sheetName val="短期投资-委托贷款"/>
      <sheetName val="应收股利"/>
      <sheetName val="应收利息"/>
      <sheetName val="应收补贴款"/>
      <sheetName val="其他应收款"/>
      <sheetName val="长期股权投资"/>
      <sheetName val="长期股权投资明细表"/>
      <sheetName val="长期股权投资-减值准备"/>
      <sheetName val="长期债权投资"/>
      <sheetName val="长期债权投资减值准备"/>
      <sheetName val="无形资产"/>
      <sheetName val="长期待摊费用"/>
      <sheetName val="短期借款"/>
      <sheetName val="应付股利"/>
      <sheetName val="其他应付款"/>
      <sheetName val="内部往来"/>
      <sheetName val="预计负债"/>
      <sheetName val="长期借款"/>
      <sheetName val="应付债券"/>
      <sheetName val="长期应付款"/>
      <sheetName val="专项应付款"/>
      <sheetName val="其他长期负债"/>
      <sheetName val="递延税款"/>
      <sheetName val="一年内到期"/>
      <sheetName val="股本"/>
      <sheetName val="资本公积"/>
      <sheetName val="盈余公积"/>
      <sheetName val="未分配利润"/>
      <sheetName val="管理费用"/>
      <sheetName val="财务费用"/>
      <sheetName val="投资收益"/>
      <sheetName val="补贴收入"/>
      <sheetName val="营业外收入"/>
      <sheetName val="营业外支出"/>
      <sheetName val="所得税"/>
      <sheetName val="以前年度损益"/>
      <sheetName val="减值准备"/>
      <sheetName val="股东权益增减变动表"/>
      <sheetName val="Main"/>
      <sheetName val="表头信息"/>
      <sheetName val="生产成本账"/>
      <sheetName val="上期报表"/>
      <sheetName val="企业表一"/>
      <sheetName val="M-5C"/>
      <sheetName val="M-5A"/>
      <sheetName val="Sheet2 (3)"/>
      <sheetName val="设备部房屋"/>
      <sheetName val="总分类账"/>
      <sheetName val="for disclosure"/>
      <sheetName val="核算项目余额表"/>
      <sheetName val="审核2"/>
      <sheetName val="所得税凭证抽查"/>
      <sheetName val="Sheet9"/>
      <sheetName val="资产负债表"/>
      <sheetName val="完"/>
      <sheetName val="产销存"/>
      <sheetName val="1-6累计销售"/>
      <sheetName val="收入个月"/>
      <sheetName val="表头"/>
      <sheetName val="明细表E6-2"/>
      <sheetName val="客户余额表"/>
      <sheetName val="其他货币资金.dbf"/>
      <sheetName val="银行存款.dbf"/>
      <sheetName val="XL4Poppy"/>
      <sheetName val="detail"/>
      <sheetName val="标实对比表"/>
      <sheetName val="客户基本概况表"/>
      <sheetName val="银行借款询证"/>
      <sheetName val="E1020"/>
      <sheetName val="物资公司"/>
      <sheetName val="负债完成横向"/>
      <sheetName val="资产完成横向"/>
      <sheetName val="索引"/>
      <sheetName val="序时帐"/>
      <sheetName val="期后回款"/>
      <sheetName val="存货赌价准备"/>
      <sheetName val="其乖帔乘款"/>
      <sheetName val="頄謡负债"/>
      <sheetName val="清单12.31"/>
      <sheetName val="Part_Datum"/>
      <sheetName val="loan database"/>
      <sheetName val="科目表"/>
      <sheetName val="2004"/>
      <sheetName val="科目余额表"/>
      <sheetName val="FA Breakdown"/>
      <sheetName val="XREF"/>
      <sheetName val="#REF!"/>
      <sheetName val="other comments"/>
      <sheetName val="提足折旧"/>
      <sheetName val="三家其他应付公司"/>
      <sheetName val="应付职工薪酬"/>
      <sheetName val="炼钢"/>
      <sheetName val="GA"/>
      <sheetName val="AR"/>
      <sheetName val="销售"/>
      <sheetName val="Expense summary"/>
      <sheetName val="2008.10.27-31日实际出库明细"/>
      <sheetName val="Sales ADJ 2008.1-10"/>
      <sheetName val="盘存还原"/>
      <sheetName val="外汇付款计划"/>
      <sheetName val="Third party"/>
      <sheetName val="Summary"/>
      <sheetName val="2002年关联方余额及交易"/>
      <sheetName val="56271-2"/>
      <sheetName val="summary "/>
      <sheetName val="应收款"/>
      <sheetName val="预付款"/>
      <sheetName val="利润表"/>
      <sheetName val="表头（请先填写）"/>
      <sheetName val="科目名称表"/>
      <sheetName val="短期投资股票投资.dbf"/>
      <sheetName val="短期投资国债投资.dbf"/>
      <sheetName val="股票投资收益.dbf"/>
      <sheetName val="其他货币海通.dbf"/>
      <sheetName val="其他货币零领路.dbf"/>
      <sheetName val="投资收益债券.dbf"/>
      <sheetName val="原报调整分录"/>
      <sheetName val="审计调整分录"/>
      <sheetName val="应收票据函证控制表"/>
      <sheetName val="DTCT"/>
      <sheetName val="广告费测试表"/>
      <sheetName val="eqpmad2"/>
      <sheetName val="POWER ASSUMPTIONS"/>
      <sheetName val="房屋及建筑物"/>
      <sheetName val="包增减变动"/>
      <sheetName val="Mp-team 1"/>
      <sheetName val="UFPrn20030305081341"/>
      <sheetName val="明细分类账"/>
      <sheetName val="BS"/>
      <sheetName val="PL"/>
      <sheetName val="TB"/>
      <sheetName val="Movement"/>
      <sheetName val="土建-全钢一期二期"/>
      <sheetName val="其他土建"/>
      <sheetName val="G.1R-Shou COP Gf"/>
      <sheetName val="盈余公积Dy"/>
      <sheetName val="_______"/>
      <sheetName val="SW-TEO"/>
      <sheetName val="Toolbox"/>
      <sheetName val="Sale breakdown"/>
      <sheetName val="1_阿联酋_迪拜"/>
      <sheetName val="固定资产清单"/>
      <sheetName val="车辆价值计算表"/>
      <sheetName val="科目余额表1"/>
      <sheetName val="Financ. Overview"/>
      <sheetName val="٥Ā应"/>
      <sheetName val="YS02-02"/>
      <sheetName val="资产负债表(本部原报)"/>
      <sheetName val="科目余额表正式"/>
      <sheetName val="erp测算"/>
      <sheetName val="营业收入审定表"/>
      <sheetName val="dxnsjtempsheet"/>
      <sheetName val="PIT"/>
      <sheetName val="Links"/>
      <sheetName val="Lead"/>
      <sheetName val="应付账款04"/>
      <sheetName val="预付账款04"/>
      <sheetName val="固定资产04"/>
      <sheetName val="累计折旧04"/>
      <sheetName val="固定资产清理04"/>
      <sheetName val="在建工程-杏花镇"/>
      <sheetName val="在建工程-新厂区"/>
      <sheetName val="应付票据04"/>
      <sheetName val="56330-账面 (2)"/>
      <sheetName val="Open"/>
      <sheetName val="南通对尚玛可销售开票汇总表"/>
      <sheetName val="存货程序表"/>
      <sheetName val="基本信息"/>
      <sheetName val="会计科目"/>
      <sheetName val="余良卿9月"/>
      <sheetName val="PER SALES ORG"/>
      <sheetName val="盈余公积 （合并)"/>
      <sheetName val="审计调整"/>
      <sheetName val="Tickmarks"/>
      <sheetName val="Sales branch breakdown"/>
      <sheetName val="审定BS"/>
      <sheetName val="审定IN"/>
      <sheetName val="函证汇总表"/>
      <sheetName val="Sheet1 (11)"/>
      <sheetName val="应缴增值税测算明细表（按月）"/>
      <sheetName val="营业费用Dy"/>
      <sheetName val="主营业务收入Dy"/>
      <sheetName val="应付帐款明细表1-12月"/>
      <sheetName val="Validation source"/>
      <sheetName val="标本-资产"/>
      <sheetName val="合"/>
      <sheetName val="其他科目"/>
      <sheetName val="2007年其他应收款明细表 (2)"/>
      <sheetName val="原材料（系统）"/>
      <sheetName val="权益变动"/>
      <sheetName val="管理费用程序表"/>
      <sheetName val="Sale summary"/>
      <sheetName val="本部固定明细"/>
      <sheetName val="预付账款明细表"/>
      <sheetName val="内部购进明细表"/>
      <sheetName val="客户编码"/>
    </sheetNames>
    <sheetDataSet>
      <sheetData sheetId="0" refreshError="1"/>
      <sheetData sheetId="1" refreshError="1"/>
      <sheetData sheetId="2"/>
      <sheetData sheetId="3" refreshError="1"/>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refreshError="1"/>
      <sheetData sheetId="79" refreshError="1"/>
      <sheetData sheetId="80" refreshError="1"/>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G20"/>
  <sheetViews>
    <sheetView tabSelected="1" workbookViewId="0">
      <selection activeCell="E16" sqref="E16"/>
    </sheetView>
  </sheetViews>
  <sheetFormatPr defaultColWidth="9" defaultRowHeight="20.100000000000001" customHeight="1"/>
  <cols>
    <col min="1" max="1" width="77.6640625" style="21" customWidth="1"/>
    <col min="2" max="2" width="2" style="21" customWidth="1"/>
    <col min="3" max="3" width="2.109375" style="21" customWidth="1"/>
    <col min="4" max="4" width="6.109375" style="21" customWidth="1"/>
    <col min="5" max="5" width="35.88671875" style="21" customWidth="1"/>
    <col min="6" max="6" width="11.44140625" style="20" customWidth="1"/>
    <col min="7" max="16384" width="9" style="20"/>
  </cols>
  <sheetData>
    <row r="1" spans="1:7" s="37" customFormat="1" ht="20.100000000000001" customHeight="1">
      <c r="A1" s="40" t="s">
        <v>30</v>
      </c>
      <c r="B1" s="39"/>
      <c r="C1" s="39"/>
      <c r="D1" s="38"/>
      <c r="E1" s="38"/>
    </row>
    <row r="2" spans="1:7" ht="20.100000000000001" customHeight="1">
      <c r="A2" s="31" t="s">
        <v>29</v>
      </c>
      <c r="B2" s="36"/>
      <c r="C2" s="36"/>
      <c r="D2" s="68" t="s">
        <v>28</v>
      </c>
      <c r="E2" s="68" t="s">
        <v>27</v>
      </c>
      <c r="F2" s="33"/>
      <c r="G2" s="33"/>
    </row>
    <row r="3" spans="1:7" ht="20.100000000000001" customHeight="1">
      <c r="A3" s="31" t="s">
        <v>685</v>
      </c>
      <c r="B3" s="36"/>
      <c r="C3" s="36"/>
      <c r="D3" s="83">
        <v>1</v>
      </c>
      <c r="E3" s="64" t="s">
        <v>26</v>
      </c>
      <c r="F3" s="33"/>
      <c r="G3" s="35"/>
    </row>
    <row r="4" spans="1:7" ht="20.100000000000001" customHeight="1">
      <c r="A4" s="31" t="s">
        <v>25</v>
      </c>
      <c r="B4" s="34"/>
      <c r="C4" s="34"/>
      <c r="D4" s="70">
        <v>2</v>
      </c>
      <c r="E4" s="81" t="s">
        <v>24</v>
      </c>
      <c r="F4" s="33"/>
      <c r="G4" s="32"/>
    </row>
    <row r="5" spans="1:7" ht="20.100000000000001" customHeight="1">
      <c r="A5" s="31" t="s">
        <v>23</v>
      </c>
      <c r="D5" s="82">
        <v>3</v>
      </c>
      <c r="E5" s="81" t="s">
        <v>22</v>
      </c>
      <c r="F5" s="30"/>
      <c r="G5" s="30"/>
    </row>
    <row r="6" spans="1:7" ht="20.100000000000001" customHeight="1">
      <c r="A6" s="29"/>
      <c r="D6" s="80">
        <v>4</v>
      </c>
      <c r="E6" s="63" t="s">
        <v>21</v>
      </c>
    </row>
    <row r="7" spans="1:7" ht="20.100000000000001" customHeight="1">
      <c r="A7" s="25"/>
      <c r="D7" s="69">
        <v>5</v>
      </c>
      <c r="E7" s="60" t="s">
        <v>462</v>
      </c>
    </row>
    <row r="8" spans="1:7" ht="20.100000000000001" customHeight="1">
      <c r="A8" s="22"/>
      <c r="D8" s="80">
        <v>6</v>
      </c>
      <c r="E8" s="210" t="s">
        <v>251</v>
      </c>
    </row>
    <row r="9" spans="1:7" ht="20.100000000000001" customHeight="1">
      <c r="A9" s="28" t="s">
        <v>20</v>
      </c>
      <c r="D9" s="69">
        <v>7</v>
      </c>
      <c r="E9" s="60" t="s">
        <v>548</v>
      </c>
    </row>
    <row r="10" spans="1:7" ht="20.100000000000001" customHeight="1">
      <c r="A10" s="25" t="s">
        <v>19</v>
      </c>
      <c r="D10" s="211">
        <v>8</v>
      </c>
      <c r="E10" s="213" t="s">
        <v>660</v>
      </c>
    </row>
    <row r="11" spans="1:7" ht="20.100000000000001" customHeight="1">
      <c r="A11" s="25"/>
      <c r="D11" s="211">
        <v>9</v>
      </c>
      <c r="E11" s="213" t="s">
        <v>661</v>
      </c>
    </row>
    <row r="12" spans="1:7" ht="20.100000000000001" customHeight="1">
      <c r="A12" s="27" t="s">
        <v>18</v>
      </c>
      <c r="D12" s="212">
        <v>10</v>
      </c>
      <c r="E12" s="59" t="s">
        <v>674</v>
      </c>
      <c r="F12" s="250" t="s">
        <v>673</v>
      </c>
    </row>
    <row r="13" spans="1:7" ht="20.100000000000001" customHeight="1">
      <c r="A13" s="25" t="s">
        <v>17</v>
      </c>
      <c r="E13" s="84"/>
    </row>
    <row r="14" spans="1:7" ht="20.100000000000001" customHeight="1">
      <c r="A14" s="27" t="s">
        <v>16</v>
      </c>
      <c r="E14" s="84"/>
    </row>
    <row r="15" spans="1:7" ht="20.100000000000001" customHeight="1">
      <c r="A15" s="26" t="s">
        <v>15</v>
      </c>
      <c r="E15" s="84"/>
    </row>
    <row r="16" spans="1:7" ht="20.100000000000001" customHeight="1">
      <c r="A16" s="26" t="s">
        <v>14</v>
      </c>
      <c r="E16" s="84"/>
    </row>
    <row r="17" spans="1:1" ht="31.8">
      <c r="A17" s="25" t="s">
        <v>13</v>
      </c>
    </row>
    <row r="18" spans="1:1" ht="46.8">
      <c r="A18" s="24" t="s">
        <v>12</v>
      </c>
    </row>
    <row r="19" spans="1:1" ht="20.100000000000001" customHeight="1">
      <c r="A19" s="23"/>
    </row>
    <row r="20" spans="1:1" ht="20.100000000000001" customHeight="1">
      <c r="A20" s="22"/>
    </row>
  </sheetData>
  <phoneticPr fontId="5" type="noConversion"/>
  <hyperlinks>
    <hyperlink ref="E3" location="'表头（请先填写）'!A1" display="'表头（请先填写）'!A1" xr:uid="{00000000-0004-0000-0000-000000000000}"/>
    <hyperlink ref="E4" location="'审定表'!A1" display="'审定表'!A1" xr:uid="{00000000-0004-0000-0000-000001000000}"/>
    <hyperlink ref="E5" location="'会计政策变更和前期差错更正S2-1'!A1" display="'会计政策变更和前期差错更正S2-1'!A1" xr:uid="{00000000-0004-0000-0000-000002000000}"/>
    <hyperlink ref="E6" location="'会计估计变更审计程序S2-2'!A1" display="'会计估计变更审计程序S2-2'!A1" xr:uid="{00000000-0004-0000-0000-000003000000}"/>
    <hyperlink ref="E8" location="'首次执行新收入准则的调整S3-6'!A1" display="首次执行新收入准则的调整S-6" xr:uid="{00000000-0004-0000-0000-000004000000}"/>
    <hyperlink ref="E7" location="'首次执行新金融工具准则的调整S3-4'!A1" display="首次执行新金融工具准则的调整S-4" xr:uid="{00000000-0004-0000-0000-000005000000}"/>
    <hyperlink ref="E9" location="'首次执行新租赁准则的调整S3-8'!A1" display="首次执行新租赁准则的调整S-8" xr:uid="{00000000-0004-0000-0000-000006000000}"/>
    <hyperlink ref="E10" location="'简化的追溯调整法（1）S3-9'!A1" display="简化的追溯调整法（1）S3-9" xr:uid="{00000000-0004-0000-0000-000007000000}"/>
    <hyperlink ref="E11" location="'简化的追溯调整法（2）S3-10'!A1" display="简化的追溯调整法（2）S3-10" xr:uid="{00000000-0004-0000-0000-000008000000}"/>
    <hyperlink ref="E12" location="'参考-简化的追溯调整法（首次执行日）'!A1" display="参考-简化的追溯调整法（首次执行日）" xr:uid="{00000000-0004-0000-0000-000009000000}"/>
  </hyperlinks>
  <pageMargins left="0.75" right="0.75" top="1" bottom="1" header="0.5" footer="0.5"/>
  <pageSetup paperSize="9" orientation="portrait" horizontalDpi="1200" verticalDpi="120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G17"/>
  <sheetViews>
    <sheetView topLeftCell="A13" zoomScaleNormal="100" workbookViewId="0">
      <selection activeCell="E15" sqref="E15"/>
    </sheetView>
  </sheetViews>
  <sheetFormatPr defaultColWidth="9" defaultRowHeight="20.100000000000001" customHeight="1"/>
  <cols>
    <col min="1" max="1" width="21.109375" style="41" customWidth="1"/>
    <col min="2" max="6" width="9" style="41"/>
    <col min="7" max="7" width="8" style="41" customWidth="1"/>
    <col min="8" max="16384" width="9" style="41"/>
  </cols>
  <sheetData>
    <row r="1" spans="1:7" s="48" customFormat="1" ht="24" customHeight="1">
      <c r="A1" s="251" t="s">
        <v>40</v>
      </c>
      <c r="B1" s="252"/>
      <c r="C1" s="252"/>
      <c r="D1" s="252"/>
      <c r="E1" s="252"/>
      <c r="F1" s="253"/>
      <c r="G1" s="253"/>
    </row>
    <row r="2" spans="1:7" s="48" customFormat="1" ht="24" customHeight="1">
      <c r="A2" s="254" t="s">
        <v>39</v>
      </c>
      <c r="B2" s="253"/>
      <c r="C2" s="253"/>
      <c r="D2" s="253"/>
      <c r="E2" s="253"/>
      <c r="F2" s="253"/>
      <c r="G2" s="253"/>
    </row>
    <row r="3" spans="1:7" ht="22.5" customHeight="1">
      <c r="A3" s="42" t="str">
        <f>'表头（请先填写）'!A2</f>
        <v>客户名称：</v>
      </c>
      <c r="B3" s="45" t="str">
        <f>'表头（请先填写）'!A4</f>
        <v>编制人：</v>
      </c>
      <c r="C3" s="46"/>
      <c r="D3" s="45" t="str">
        <f>'表头（请先填写）'!A5</f>
        <v>日期：</v>
      </c>
      <c r="F3" s="44" t="s">
        <v>38</v>
      </c>
      <c r="G3" s="47" t="s">
        <v>37</v>
      </c>
    </row>
    <row r="4" spans="1:7" ht="22.5" customHeight="1">
      <c r="A4" s="42" t="str">
        <f>'表头（请先填写）'!A3</f>
        <v>会计期间：2023年度</v>
      </c>
      <c r="B4" s="45" t="s">
        <v>36</v>
      </c>
      <c r="C4" s="46"/>
      <c r="D4" s="45" t="s">
        <v>35</v>
      </c>
      <c r="F4" s="44" t="s">
        <v>34</v>
      </c>
      <c r="G4" s="43">
        <v>1</v>
      </c>
    </row>
    <row r="6" spans="1:7" ht="20.100000000000001" customHeight="1">
      <c r="A6" s="42" t="s">
        <v>33</v>
      </c>
    </row>
    <row r="7" spans="1:7" ht="20.100000000000001" customHeight="1">
      <c r="A7" s="42"/>
    </row>
    <row r="8" spans="1:7" ht="20.100000000000001" customHeight="1">
      <c r="A8" s="42"/>
    </row>
    <row r="9" spans="1:7" ht="20.100000000000001" customHeight="1">
      <c r="A9" s="42"/>
    </row>
    <row r="10" spans="1:7" ht="20.100000000000001" customHeight="1">
      <c r="A10" s="42"/>
    </row>
    <row r="11" spans="1:7" ht="20.100000000000001" customHeight="1">
      <c r="A11" s="42" t="s">
        <v>32</v>
      </c>
    </row>
    <row r="12" spans="1:7" ht="20.100000000000001" customHeight="1">
      <c r="A12" s="42"/>
    </row>
    <row r="13" spans="1:7" ht="20.100000000000001" customHeight="1">
      <c r="A13" s="42"/>
    </row>
    <row r="14" spans="1:7" ht="20.100000000000001" customHeight="1">
      <c r="A14" s="42"/>
    </row>
    <row r="15" spans="1:7" ht="20.100000000000001" customHeight="1">
      <c r="A15" s="42"/>
    </row>
    <row r="16" spans="1:7" ht="20.100000000000001" customHeight="1">
      <c r="A16" s="42" t="s">
        <v>31</v>
      </c>
    </row>
    <row r="17" spans="1:1" ht="20.100000000000001" customHeight="1">
      <c r="A17" s="42"/>
    </row>
  </sheetData>
  <mergeCells count="2">
    <mergeCell ref="A1:G1"/>
    <mergeCell ref="A2:G2"/>
  </mergeCells>
  <phoneticPr fontId="5" type="noConversion"/>
  <printOptions horizontalCentered="1"/>
  <pageMargins left="0.98425196850393704" right="0.74803149606299202" top="0.98425196850393704" bottom="0.98425196850393704" header="0.511811023622047" footer="0.511811023622047"/>
  <pageSetup paperSize="9" fitToHeight="100" orientation="portrait" cellComments="atEnd"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E25"/>
  <sheetViews>
    <sheetView showGridLines="0" zoomScaleNormal="100" workbookViewId="0">
      <selection activeCell="A2" sqref="A2:E2"/>
    </sheetView>
  </sheetViews>
  <sheetFormatPr defaultColWidth="9" defaultRowHeight="20.100000000000001" customHeight="1"/>
  <cols>
    <col min="1" max="1" width="32.6640625" style="13" customWidth="1"/>
    <col min="2" max="2" width="23.44140625" style="13" customWidth="1"/>
    <col min="3" max="3" width="23.88671875" style="13" customWidth="1"/>
    <col min="4" max="4" width="8" style="13" bestFit="1" customWidth="1"/>
    <col min="5" max="5" width="6.77734375" style="13" bestFit="1" customWidth="1"/>
    <col min="6" max="16384" width="9" style="13"/>
  </cols>
  <sheetData>
    <row r="1" spans="1:5" s="26" customFormat="1" ht="24" customHeight="1">
      <c r="A1" s="255" t="s">
        <v>40</v>
      </c>
      <c r="B1" s="255"/>
      <c r="C1" s="255"/>
      <c r="D1" s="255"/>
      <c r="E1" s="255"/>
    </row>
    <row r="2" spans="1:5" s="26" customFormat="1" ht="24" customHeight="1">
      <c r="A2" s="254" t="s">
        <v>66</v>
      </c>
      <c r="B2" s="256"/>
      <c r="C2" s="256"/>
      <c r="D2" s="256"/>
      <c r="E2" s="256"/>
    </row>
    <row r="3" spans="1:5" ht="24" customHeight="1">
      <c r="A3" s="45" t="str">
        <f>'表头（请先填写）'!A2</f>
        <v>客户名称：</v>
      </c>
      <c r="B3" s="45" t="str">
        <f>'表头（请先填写）'!A4</f>
        <v>编制人：</v>
      </c>
      <c r="C3" s="45" t="str">
        <f>'表头（请先填写）'!A5</f>
        <v>日期：</v>
      </c>
      <c r="D3" s="44" t="s">
        <v>38</v>
      </c>
      <c r="E3" s="47" t="s">
        <v>65</v>
      </c>
    </row>
    <row r="4" spans="1:5" ht="24" customHeight="1">
      <c r="A4" s="45" t="str">
        <f>'表头（请先填写）'!A3</f>
        <v>会计期间：2023年度</v>
      </c>
      <c r="B4" s="45" t="s">
        <v>36</v>
      </c>
      <c r="C4" s="45" t="s">
        <v>64</v>
      </c>
      <c r="D4" s="44" t="s">
        <v>63</v>
      </c>
      <c r="E4" s="47">
        <v>1</v>
      </c>
    </row>
    <row r="5" spans="1:5" s="51" customFormat="1" ht="20.100000000000001" customHeight="1">
      <c r="A5" s="259" t="s">
        <v>62</v>
      </c>
      <c r="B5" s="259"/>
      <c r="C5" s="259"/>
      <c r="D5" s="259"/>
      <c r="E5" s="259"/>
    </row>
    <row r="6" spans="1:5" s="51" customFormat="1" ht="20.100000000000001" customHeight="1">
      <c r="A6" s="260" t="s">
        <v>61</v>
      </c>
      <c r="B6" s="260"/>
      <c r="C6" s="260"/>
      <c r="D6" s="260"/>
      <c r="E6" s="260"/>
    </row>
    <row r="7" spans="1:5" s="51" customFormat="1" ht="20.100000000000001" customHeight="1">
      <c r="A7" s="260" t="s">
        <v>60</v>
      </c>
      <c r="B7" s="260"/>
      <c r="C7" s="260"/>
      <c r="D7" s="260"/>
      <c r="E7" s="260"/>
    </row>
    <row r="8" spans="1:5" s="51" customFormat="1" ht="20.100000000000001" customHeight="1">
      <c r="A8" s="260" t="s">
        <v>59</v>
      </c>
      <c r="B8" s="260"/>
      <c r="C8" s="260"/>
      <c r="D8" s="260"/>
      <c r="E8" s="260"/>
    </row>
    <row r="9" spans="1:5" s="51" customFormat="1" ht="5.25" customHeight="1">
      <c r="A9" s="45"/>
      <c r="B9" s="45"/>
      <c r="C9" s="45"/>
      <c r="D9" s="45"/>
      <c r="E9" s="45"/>
    </row>
    <row r="10" spans="1:5" ht="20.100000000000001" customHeight="1">
      <c r="A10" s="258" t="s">
        <v>58</v>
      </c>
      <c r="B10" s="258"/>
      <c r="C10" s="258"/>
      <c r="D10" s="50" t="s">
        <v>57</v>
      </c>
      <c r="E10" s="50" t="s">
        <v>56</v>
      </c>
    </row>
    <row r="11" spans="1:5" ht="29.25" customHeight="1">
      <c r="A11" s="257" t="s">
        <v>55</v>
      </c>
      <c r="B11" s="257"/>
      <c r="C11" s="257"/>
      <c r="D11" s="49"/>
      <c r="E11" s="49"/>
    </row>
    <row r="12" spans="1:5" ht="34.5" customHeight="1">
      <c r="A12" s="257" t="s">
        <v>54</v>
      </c>
      <c r="B12" s="257"/>
      <c r="C12" s="257"/>
      <c r="D12" s="49"/>
      <c r="E12" s="49"/>
    </row>
    <row r="13" spans="1:5" ht="34.5" customHeight="1">
      <c r="A13" s="261" t="s">
        <v>53</v>
      </c>
      <c r="B13" s="261"/>
      <c r="C13" s="261"/>
      <c r="D13" s="49"/>
      <c r="E13" s="49"/>
    </row>
    <row r="14" spans="1:5" ht="43.5" customHeight="1">
      <c r="A14" s="261" t="s">
        <v>52</v>
      </c>
      <c r="B14" s="262"/>
      <c r="C14" s="262"/>
      <c r="D14" s="49"/>
      <c r="E14" s="49"/>
    </row>
    <row r="15" spans="1:5" ht="33" customHeight="1">
      <c r="A15" s="261" t="s">
        <v>51</v>
      </c>
      <c r="B15" s="261"/>
      <c r="C15" s="261"/>
      <c r="D15" s="49"/>
      <c r="E15" s="49"/>
    </row>
    <row r="16" spans="1:5" ht="62.25" customHeight="1">
      <c r="A16" s="261" t="s">
        <v>50</v>
      </c>
      <c r="B16" s="261"/>
      <c r="C16" s="261"/>
      <c r="D16" s="49"/>
      <c r="E16" s="49"/>
    </row>
    <row r="17" spans="1:5" ht="60" customHeight="1">
      <c r="A17" s="261" t="s">
        <v>49</v>
      </c>
      <c r="B17" s="261"/>
      <c r="C17" s="261"/>
      <c r="D17" s="49"/>
      <c r="E17" s="49"/>
    </row>
    <row r="18" spans="1:5" ht="42" customHeight="1">
      <c r="A18" s="257" t="s">
        <v>48</v>
      </c>
      <c r="B18" s="257"/>
      <c r="C18" s="257"/>
      <c r="D18" s="49"/>
      <c r="E18" s="49"/>
    </row>
    <row r="19" spans="1:5" ht="27" customHeight="1">
      <c r="A19" s="261" t="s">
        <v>47</v>
      </c>
      <c r="B19" s="261"/>
      <c r="C19" s="261"/>
      <c r="D19" s="49"/>
      <c r="E19" s="49"/>
    </row>
    <row r="20" spans="1:5" ht="34.5" customHeight="1">
      <c r="A20" s="261" t="s">
        <v>46</v>
      </c>
      <c r="B20" s="261"/>
      <c r="C20" s="261"/>
      <c r="D20" s="49"/>
      <c r="E20" s="49"/>
    </row>
    <row r="21" spans="1:5" ht="17.25" customHeight="1">
      <c r="A21" s="261" t="s">
        <v>45</v>
      </c>
      <c r="B21" s="261"/>
      <c r="C21" s="261"/>
      <c r="D21" s="49"/>
      <c r="E21" s="49"/>
    </row>
    <row r="22" spans="1:5" ht="22.5" customHeight="1">
      <c r="A22" s="257" t="s">
        <v>44</v>
      </c>
      <c r="B22" s="257"/>
      <c r="C22" s="257"/>
      <c r="D22" s="49"/>
      <c r="E22" s="49"/>
    </row>
    <row r="23" spans="1:5" ht="33" customHeight="1">
      <c r="A23" s="257" t="s">
        <v>43</v>
      </c>
      <c r="B23" s="257"/>
      <c r="C23" s="257"/>
      <c r="D23" s="49"/>
      <c r="E23" s="49"/>
    </row>
    <row r="24" spans="1:5" ht="58.5" customHeight="1">
      <c r="A24" s="257" t="s">
        <v>42</v>
      </c>
      <c r="B24" s="257"/>
      <c r="C24" s="257"/>
      <c r="D24" s="49"/>
      <c r="E24" s="49"/>
    </row>
    <row r="25" spans="1:5" ht="20.100000000000001" customHeight="1">
      <c r="A25" s="257" t="s">
        <v>41</v>
      </c>
      <c r="B25" s="257"/>
      <c r="C25" s="257"/>
      <c r="D25" s="49"/>
      <c r="E25" s="49"/>
    </row>
  </sheetData>
  <mergeCells count="22">
    <mergeCell ref="A14:C14"/>
    <mergeCell ref="A16:C16"/>
    <mergeCell ref="A17:C17"/>
    <mergeCell ref="A13:C13"/>
    <mergeCell ref="A15:C15"/>
    <mergeCell ref="A23:C23"/>
    <mergeCell ref="A24:C24"/>
    <mergeCell ref="A25:C25"/>
    <mergeCell ref="A18:C18"/>
    <mergeCell ref="A19:C19"/>
    <mergeCell ref="A20:C20"/>
    <mergeCell ref="A21:C21"/>
    <mergeCell ref="A22:C22"/>
    <mergeCell ref="A1:E1"/>
    <mergeCell ref="A2:E2"/>
    <mergeCell ref="A11:C11"/>
    <mergeCell ref="A12:C12"/>
    <mergeCell ref="A10:C10"/>
    <mergeCell ref="A5:E5"/>
    <mergeCell ref="A6:E6"/>
    <mergeCell ref="A7:E7"/>
    <mergeCell ref="A8:E8"/>
  </mergeCells>
  <phoneticPr fontId="5" type="noConversion"/>
  <printOptions horizontalCentered="1"/>
  <pageMargins left="0.98425196850393704" right="0.74803149606299202" top="0.98425196850393704" bottom="0.98425196850393704" header="0.511811023622047" footer="0.511811023622047"/>
  <pageSetup paperSize="9" scale="81" fitToHeight="100" orientation="portrait" cellComments="atEnd"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1:E26"/>
  <sheetViews>
    <sheetView zoomScaleNormal="100" workbookViewId="0">
      <selection activeCell="A2" sqref="A2:E2"/>
    </sheetView>
  </sheetViews>
  <sheetFormatPr defaultColWidth="9" defaultRowHeight="20.100000000000001" customHeight="1"/>
  <cols>
    <col min="1" max="1" width="32.44140625" style="13" customWidth="1"/>
    <col min="2" max="2" width="17.77734375" style="13" customWidth="1"/>
    <col min="3" max="3" width="15.33203125" style="13" customWidth="1"/>
    <col min="4" max="4" width="9.88671875" style="13" customWidth="1"/>
    <col min="5" max="5" width="6.77734375" style="13" bestFit="1" customWidth="1"/>
    <col min="6" max="10" width="9" style="13"/>
    <col min="11" max="11" width="18.88671875" style="13" customWidth="1"/>
    <col min="12" max="16384" width="9" style="13"/>
  </cols>
  <sheetData>
    <row r="1" spans="1:5" s="26" customFormat="1" ht="24" customHeight="1">
      <c r="A1" s="251" t="s">
        <v>40</v>
      </c>
      <c r="B1" s="251"/>
      <c r="C1" s="251"/>
      <c r="D1" s="251"/>
      <c r="E1" s="251"/>
    </row>
    <row r="2" spans="1:5" s="26" customFormat="1" ht="24" customHeight="1">
      <c r="A2" s="254" t="s">
        <v>91</v>
      </c>
      <c r="B2" s="256"/>
      <c r="C2" s="256"/>
      <c r="D2" s="256"/>
      <c r="E2" s="256"/>
    </row>
    <row r="3" spans="1:5" ht="24" customHeight="1">
      <c r="A3" s="45" t="str">
        <f>'表头（请先填写）'!A2</f>
        <v>客户名称：</v>
      </c>
      <c r="B3" s="45" t="str">
        <f>'表头（请先填写）'!A4</f>
        <v>编制人：</v>
      </c>
      <c r="C3" s="45" t="str">
        <f>'表头（请先填写）'!A5</f>
        <v>日期：</v>
      </c>
      <c r="D3" s="44" t="s">
        <v>90</v>
      </c>
      <c r="E3" s="47" t="s">
        <v>89</v>
      </c>
    </row>
    <row r="4" spans="1:5" ht="24" customHeight="1">
      <c r="A4" s="45" t="str">
        <f>'表头（请先填写）'!A3</f>
        <v>会计期间：2023年度</v>
      </c>
      <c r="B4" s="45" t="s">
        <v>88</v>
      </c>
      <c r="C4" s="45" t="s">
        <v>35</v>
      </c>
      <c r="D4" s="44" t="s">
        <v>87</v>
      </c>
      <c r="E4" s="47">
        <v>1</v>
      </c>
    </row>
    <row r="5" spans="1:5" s="51" customFormat="1" ht="20.100000000000001" customHeight="1">
      <c r="A5" s="263" t="s">
        <v>62</v>
      </c>
      <c r="B5" s="263"/>
      <c r="C5" s="263"/>
      <c r="D5" s="263"/>
      <c r="E5" s="263"/>
    </row>
    <row r="6" spans="1:5" s="51" customFormat="1" ht="20.100000000000001" customHeight="1">
      <c r="A6" s="260" t="s">
        <v>86</v>
      </c>
      <c r="B6" s="264"/>
      <c r="C6" s="252"/>
      <c r="D6" s="252"/>
      <c r="E6" s="252"/>
    </row>
    <row r="7" spans="1:5" s="51" customFormat="1" ht="20.100000000000001" customHeight="1">
      <c r="A7" s="260" t="s">
        <v>85</v>
      </c>
      <c r="B7" s="252"/>
      <c r="C7" s="252"/>
      <c r="D7" s="252"/>
      <c r="E7" s="252"/>
    </row>
    <row r="8" spans="1:5" s="51" customFormat="1" ht="20.100000000000001" customHeight="1">
      <c r="A8" s="260" t="s">
        <v>84</v>
      </c>
      <c r="B8" s="252"/>
      <c r="C8" s="252"/>
      <c r="D8" s="252"/>
      <c r="E8" s="252"/>
    </row>
    <row r="9" spans="1:5" s="51" customFormat="1" ht="20.100000000000001" customHeight="1">
      <c r="A9" s="260" t="s">
        <v>83</v>
      </c>
      <c r="B9" s="252"/>
      <c r="C9" s="252"/>
      <c r="D9" s="252"/>
      <c r="E9" s="252"/>
    </row>
    <row r="10" spans="1:5" s="51" customFormat="1" ht="3.75" customHeight="1">
      <c r="A10" s="45"/>
      <c r="B10" s="42"/>
      <c r="C10" s="42"/>
      <c r="D10" s="42"/>
      <c r="E10" s="42"/>
    </row>
    <row r="11" spans="1:5" ht="20.100000000000001" customHeight="1">
      <c r="A11" s="265" t="s">
        <v>58</v>
      </c>
      <c r="B11" s="265"/>
      <c r="C11" s="265"/>
      <c r="D11" s="50" t="s">
        <v>82</v>
      </c>
      <c r="E11" s="50" t="s">
        <v>56</v>
      </c>
    </row>
    <row r="12" spans="1:5" ht="19.5" customHeight="1">
      <c r="A12" s="257" t="s">
        <v>81</v>
      </c>
      <c r="B12" s="257"/>
      <c r="C12" s="257"/>
      <c r="D12" s="49"/>
      <c r="E12" s="49"/>
    </row>
    <row r="13" spans="1:5" ht="30.75" customHeight="1">
      <c r="A13" s="257" t="s">
        <v>80</v>
      </c>
      <c r="B13" s="257"/>
      <c r="C13" s="257"/>
      <c r="D13" s="49"/>
      <c r="E13" s="49"/>
    </row>
    <row r="14" spans="1:5" ht="49.5" customHeight="1">
      <c r="A14" s="261" t="s">
        <v>79</v>
      </c>
      <c r="B14" s="261"/>
      <c r="C14" s="261"/>
      <c r="D14" s="49"/>
      <c r="E14" s="49"/>
    </row>
    <row r="15" spans="1:5" ht="20.100000000000001" customHeight="1">
      <c r="A15" s="261" t="s">
        <v>78</v>
      </c>
      <c r="B15" s="261"/>
      <c r="C15" s="261"/>
      <c r="D15" s="49"/>
      <c r="E15" s="49"/>
    </row>
    <row r="16" spans="1:5" ht="20.100000000000001" customHeight="1">
      <c r="A16" s="261" t="s">
        <v>77</v>
      </c>
      <c r="B16" s="261"/>
      <c r="C16" s="261"/>
      <c r="D16" s="49"/>
      <c r="E16" s="49"/>
    </row>
    <row r="17" spans="1:5" ht="20.100000000000001" customHeight="1">
      <c r="A17" s="261" t="s">
        <v>76</v>
      </c>
      <c r="B17" s="261"/>
      <c r="C17" s="261"/>
      <c r="D17" s="49"/>
      <c r="E17" s="49"/>
    </row>
    <row r="18" spans="1:5" ht="34.5" customHeight="1">
      <c r="A18" s="257" t="s">
        <v>75</v>
      </c>
      <c r="B18" s="257"/>
      <c r="C18" s="257"/>
      <c r="D18" s="49"/>
      <c r="E18" s="49"/>
    </row>
    <row r="19" spans="1:5" ht="20.100000000000001" customHeight="1">
      <c r="A19" s="257" t="s">
        <v>74</v>
      </c>
      <c r="B19" s="257"/>
      <c r="C19" s="257"/>
      <c r="D19" s="49"/>
      <c r="E19" s="49"/>
    </row>
    <row r="20" spans="1:5" ht="53.25" customHeight="1">
      <c r="A20" s="257" t="s">
        <v>73</v>
      </c>
      <c r="B20" s="257"/>
      <c r="C20" s="257"/>
      <c r="D20" s="49"/>
      <c r="E20" s="49"/>
    </row>
    <row r="21" spans="1:5" ht="42" customHeight="1">
      <c r="A21" s="261" t="s">
        <v>72</v>
      </c>
      <c r="B21" s="261"/>
      <c r="C21" s="261"/>
      <c r="D21" s="49"/>
      <c r="E21" s="49"/>
    </row>
    <row r="22" spans="1:5" ht="20.100000000000001" customHeight="1">
      <c r="A22" s="261" t="s">
        <v>71</v>
      </c>
      <c r="B22" s="261"/>
      <c r="C22" s="261"/>
      <c r="D22" s="49"/>
      <c r="E22" s="49"/>
    </row>
    <row r="23" spans="1:5" ht="34.5" customHeight="1">
      <c r="A23" s="261" t="s">
        <v>70</v>
      </c>
      <c r="B23" s="261"/>
      <c r="C23" s="261"/>
      <c r="D23" s="49"/>
      <c r="E23" s="49"/>
    </row>
    <row r="24" spans="1:5" ht="39.75" customHeight="1">
      <c r="A24" s="257" t="s">
        <v>69</v>
      </c>
      <c r="B24" s="257"/>
      <c r="C24" s="257"/>
      <c r="D24" s="49"/>
      <c r="E24" s="49"/>
    </row>
    <row r="25" spans="1:5" ht="47.25" customHeight="1">
      <c r="A25" s="257" t="s">
        <v>68</v>
      </c>
      <c r="B25" s="257"/>
      <c r="C25" s="257"/>
      <c r="D25" s="49"/>
      <c r="E25" s="49"/>
    </row>
    <row r="26" spans="1:5" ht="20.100000000000001" customHeight="1">
      <c r="A26" s="257" t="s">
        <v>67</v>
      </c>
      <c r="B26" s="257"/>
      <c r="C26" s="257"/>
      <c r="D26" s="49"/>
      <c r="E26" s="49"/>
    </row>
  </sheetData>
  <mergeCells count="23">
    <mergeCell ref="A16:C16"/>
    <mergeCell ref="A17:C17"/>
    <mergeCell ref="A18:C18"/>
    <mergeCell ref="A26:C26"/>
    <mergeCell ref="A23:C23"/>
    <mergeCell ref="A24:C24"/>
    <mergeCell ref="A25:C25"/>
    <mergeCell ref="A19:C19"/>
    <mergeCell ref="A20:C20"/>
    <mergeCell ref="A21:C21"/>
    <mergeCell ref="A22:C22"/>
    <mergeCell ref="A11:C11"/>
    <mergeCell ref="A12:C12"/>
    <mergeCell ref="A13:C13"/>
    <mergeCell ref="A14:C14"/>
    <mergeCell ref="A15:C15"/>
    <mergeCell ref="A1:E1"/>
    <mergeCell ref="A7:E7"/>
    <mergeCell ref="A8:E8"/>
    <mergeCell ref="A9:E9"/>
    <mergeCell ref="A2:E2"/>
    <mergeCell ref="A5:E5"/>
    <mergeCell ref="A6:E6"/>
  </mergeCells>
  <phoneticPr fontId="5" type="noConversion"/>
  <printOptions horizontalCentered="1"/>
  <pageMargins left="0.98425196850393704" right="0.74803149606299202" top="0.98425196850393704" bottom="0.98425196850393704" header="0.511811023622047" footer="0.511811023622047"/>
  <pageSetup paperSize="9" scale="94" fitToHeight="100" orientation="portrait" cellComments="atEnd"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5">
    <tabColor theme="7" tint="-0.249977111117893"/>
    <pageSetUpPr fitToPage="1"/>
  </sheetPr>
  <dimension ref="A1:J228"/>
  <sheetViews>
    <sheetView view="pageBreakPreview" zoomScaleNormal="130" zoomScaleSheetLayoutView="100" workbookViewId="0">
      <selection activeCell="A2" sqref="A2:I2"/>
    </sheetView>
  </sheetViews>
  <sheetFormatPr defaultColWidth="9" defaultRowHeight="13.8"/>
  <cols>
    <col min="1" max="1" width="12.33203125" style="87" customWidth="1"/>
    <col min="2" max="2" width="8.33203125" style="87" customWidth="1"/>
    <col min="3" max="4" width="7.88671875" style="87" customWidth="1"/>
    <col min="5" max="5" width="12.77734375" style="87" customWidth="1"/>
    <col min="6" max="6" width="16.109375" style="87" customWidth="1"/>
    <col min="7" max="7" width="13.6640625" style="87" customWidth="1"/>
    <col min="8" max="8" width="17.109375" style="87" customWidth="1"/>
    <col min="9" max="9" width="12.21875" style="87" customWidth="1"/>
    <col min="10" max="10" width="54.109375" style="90" customWidth="1"/>
    <col min="11" max="16384" width="9" style="87"/>
  </cols>
  <sheetData>
    <row r="1" spans="1:10" ht="20.100000000000001" customHeight="1">
      <c r="A1" s="266" t="s">
        <v>0</v>
      </c>
      <c r="B1" s="266"/>
      <c r="C1" s="266"/>
      <c r="D1" s="266"/>
      <c r="E1" s="266"/>
      <c r="F1" s="266"/>
      <c r="G1" s="266"/>
      <c r="H1" s="266"/>
      <c r="I1" s="266"/>
      <c r="J1" s="103"/>
    </row>
    <row r="2" spans="1:10" s="88" customFormat="1" ht="24.9" customHeight="1">
      <c r="A2" s="267" t="s">
        <v>253</v>
      </c>
      <c r="B2" s="268"/>
      <c r="C2" s="268"/>
      <c r="D2" s="268"/>
      <c r="E2" s="268"/>
      <c r="F2" s="268"/>
      <c r="G2" s="268"/>
      <c r="H2" s="268"/>
      <c r="I2" s="268"/>
      <c r="J2" s="104"/>
    </row>
    <row r="3" spans="1:10" ht="20.100000000000001" customHeight="1">
      <c r="A3" s="87" t="str">
        <f>审定表!A3</f>
        <v>客户名称：</v>
      </c>
      <c r="E3" s="89" t="str">
        <f>'表头（请先填写）'!A4</f>
        <v>编制人：</v>
      </c>
      <c r="G3" s="87" t="str">
        <f>'表头（请先填写）'!A5</f>
        <v>日期：</v>
      </c>
      <c r="I3" s="87" t="s">
        <v>252</v>
      </c>
      <c r="J3" s="103"/>
    </row>
    <row r="4" spans="1:10" ht="20.100000000000001" customHeight="1">
      <c r="A4" s="87" t="str">
        <f>审定表!A4</f>
        <v>会计期间：2023年度</v>
      </c>
      <c r="E4" s="89" t="s">
        <v>1</v>
      </c>
      <c r="G4" s="87" t="s">
        <v>2</v>
      </c>
      <c r="I4" s="93" t="s">
        <v>250</v>
      </c>
      <c r="J4" s="103"/>
    </row>
    <row r="5" spans="1:10" ht="20.100000000000001" customHeight="1">
      <c r="A5" s="269" t="s">
        <v>3</v>
      </c>
      <c r="B5" s="269"/>
      <c r="C5" s="269"/>
      <c r="D5" s="269"/>
      <c r="E5" s="269"/>
      <c r="F5" s="269"/>
      <c r="G5" s="269"/>
      <c r="H5" s="269"/>
      <c r="I5" s="269"/>
      <c r="J5" s="103" t="s">
        <v>463</v>
      </c>
    </row>
    <row r="6" spans="1:10" ht="21" customHeight="1">
      <c r="A6" s="270" t="s">
        <v>93</v>
      </c>
      <c r="B6" s="270"/>
      <c r="C6" s="270"/>
      <c r="D6" s="270"/>
      <c r="E6" s="270"/>
      <c r="F6" s="270"/>
      <c r="G6" s="270"/>
      <c r="H6" s="270"/>
      <c r="I6" s="270"/>
      <c r="J6" s="102" t="s">
        <v>464</v>
      </c>
    </row>
    <row r="7" spans="1:10" ht="20.100000000000001" customHeight="1">
      <c r="A7" s="269" t="s">
        <v>4</v>
      </c>
      <c r="B7" s="269"/>
      <c r="C7" s="269"/>
      <c r="D7" s="269"/>
      <c r="E7" s="269"/>
      <c r="F7" s="269"/>
      <c r="G7" s="269"/>
      <c r="H7" s="269"/>
      <c r="I7" s="269"/>
      <c r="J7" s="66" t="s">
        <v>465</v>
      </c>
    </row>
    <row r="8" spans="1:10" ht="19.5" customHeight="1">
      <c r="A8" s="97" t="s">
        <v>366</v>
      </c>
      <c r="B8" s="85"/>
      <c r="C8" s="85"/>
      <c r="D8" s="85"/>
      <c r="E8" s="85"/>
      <c r="F8" s="85"/>
      <c r="G8" s="85"/>
      <c r="H8" s="85"/>
      <c r="I8" s="85"/>
      <c r="J8" s="103"/>
    </row>
    <row r="9" spans="1:10" ht="31.5" customHeight="1">
      <c r="A9" s="56" t="s">
        <v>96</v>
      </c>
      <c r="B9" s="55" t="s">
        <v>104</v>
      </c>
      <c r="C9" s="271" t="s">
        <v>97</v>
      </c>
      <c r="D9" s="272"/>
      <c r="E9" s="273"/>
      <c r="F9" s="55" t="s">
        <v>132</v>
      </c>
      <c r="G9" s="55" t="s">
        <v>98</v>
      </c>
      <c r="H9" s="55" t="s">
        <v>99</v>
      </c>
      <c r="I9" s="55" t="s">
        <v>100</v>
      </c>
      <c r="J9" s="103"/>
    </row>
    <row r="10" spans="1:10" ht="30" customHeight="1">
      <c r="A10" s="274" t="s">
        <v>254</v>
      </c>
      <c r="B10" s="277" t="s">
        <v>257</v>
      </c>
      <c r="C10" s="280" t="s">
        <v>255</v>
      </c>
      <c r="D10" s="281"/>
      <c r="E10" s="282"/>
      <c r="F10" s="54" t="s">
        <v>258</v>
      </c>
      <c r="G10" s="53"/>
      <c r="H10" s="54"/>
      <c r="I10" s="53"/>
      <c r="J10" s="103"/>
    </row>
    <row r="11" spans="1:10" ht="26.25" customHeight="1">
      <c r="A11" s="275"/>
      <c r="B11" s="278"/>
      <c r="C11" s="283"/>
      <c r="D11" s="284"/>
      <c r="E11" s="285"/>
      <c r="F11" s="54" t="s">
        <v>259</v>
      </c>
      <c r="G11" s="53"/>
      <c r="H11" s="54"/>
      <c r="I11" s="53"/>
      <c r="J11" s="102"/>
    </row>
    <row r="12" spans="1:10" ht="47.25" customHeight="1">
      <c r="A12" s="275"/>
      <c r="B12" s="278"/>
      <c r="C12" s="283"/>
      <c r="D12" s="284"/>
      <c r="E12" s="285"/>
      <c r="F12" s="54" t="s">
        <v>260</v>
      </c>
      <c r="G12" s="53"/>
      <c r="H12" s="52"/>
      <c r="I12" s="53"/>
      <c r="J12" s="103"/>
    </row>
    <row r="13" spans="1:10" ht="52.5" customHeight="1">
      <c r="A13" s="276"/>
      <c r="B13" s="279"/>
      <c r="C13" s="286"/>
      <c r="D13" s="287"/>
      <c r="E13" s="288"/>
      <c r="F13" s="54" t="s">
        <v>261</v>
      </c>
      <c r="G13" s="53"/>
      <c r="H13" s="58"/>
      <c r="I13" s="53"/>
      <c r="J13" s="103"/>
    </row>
    <row r="14" spans="1:10" ht="27.75" customHeight="1">
      <c r="A14" s="274" t="s">
        <v>269</v>
      </c>
      <c r="B14" s="277" t="s">
        <v>256</v>
      </c>
      <c r="C14" s="280" t="s">
        <v>266</v>
      </c>
      <c r="D14" s="281"/>
      <c r="E14" s="282"/>
      <c r="F14" s="54" t="s">
        <v>258</v>
      </c>
      <c r="G14" s="58"/>
      <c r="H14" s="58"/>
      <c r="I14" s="53"/>
      <c r="J14" s="103"/>
    </row>
    <row r="15" spans="1:10" ht="27.75" customHeight="1">
      <c r="A15" s="275"/>
      <c r="B15" s="278"/>
      <c r="C15" s="283"/>
      <c r="D15" s="284"/>
      <c r="E15" s="285"/>
      <c r="F15" s="54" t="s">
        <v>259</v>
      </c>
      <c r="G15" s="58"/>
      <c r="H15" s="58"/>
      <c r="I15" s="53"/>
      <c r="J15" s="103"/>
    </row>
    <row r="16" spans="1:10" ht="22.5" customHeight="1">
      <c r="A16" s="275"/>
      <c r="B16" s="278"/>
      <c r="C16" s="283"/>
      <c r="D16" s="284"/>
      <c r="E16" s="285"/>
      <c r="F16" s="54" t="s">
        <v>262</v>
      </c>
      <c r="G16" s="58"/>
      <c r="H16" s="58"/>
      <c r="I16" s="53"/>
      <c r="J16" s="102"/>
    </row>
    <row r="17" spans="1:10" ht="25.5" customHeight="1">
      <c r="A17" s="275"/>
      <c r="B17" s="278"/>
      <c r="C17" s="283"/>
      <c r="D17" s="284"/>
      <c r="E17" s="285"/>
      <c r="F17" s="54" t="s">
        <v>263</v>
      </c>
      <c r="G17" s="58"/>
      <c r="H17" s="58"/>
      <c r="I17" s="53"/>
      <c r="J17" s="102"/>
    </row>
    <row r="18" spans="1:10" ht="25.5" customHeight="1">
      <c r="A18" s="275"/>
      <c r="B18" s="278"/>
      <c r="C18" s="283"/>
      <c r="D18" s="284"/>
      <c r="E18" s="285"/>
      <c r="F18" s="54" t="s">
        <v>264</v>
      </c>
      <c r="G18" s="58"/>
      <c r="H18" s="58"/>
      <c r="I18" s="53"/>
      <c r="J18" s="102"/>
    </row>
    <row r="19" spans="1:10" ht="19.5" customHeight="1">
      <c r="A19" s="275"/>
      <c r="B19" s="278"/>
      <c r="C19" s="283"/>
      <c r="D19" s="284"/>
      <c r="E19" s="285"/>
      <c r="F19" s="54" t="s">
        <v>265</v>
      </c>
      <c r="G19" s="58"/>
      <c r="H19" s="58"/>
      <c r="I19" s="53"/>
      <c r="J19" s="103"/>
    </row>
    <row r="20" spans="1:10" ht="27.75" customHeight="1">
      <c r="A20" s="276"/>
      <c r="B20" s="279"/>
      <c r="C20" s="286"/>
      <c r="D20" s="287"/>
      <c r="E20" s="288"/>
      <c r="F20" s="57"/>
      <c r="G20" s="58"/>
      <c r="H20" s="58"/>
      <c r="I20" s="53"/>
      <c r="J20" s="102"/>
    </row>
    <row r="21" spans="1:10" ht="27" customHeight="1">
      <c r="A21" s="274" t="s">
        <v>277</v>
      </c>
      <c r="B21" s="277" t="s">
        <v>270</v>
      </c>
      <c r="C21" s="280" t="s">
        <v>267</v>
      </c>
      <c r="D21" s="281"/>
      <c r="E21" s="282"/>
      <c r="F21" s="54" t="s">
        <v>258</v>
      </c>
      <c r="G21" s="58"/>
      <c r="H21" s="54" t="s">
        <v>258</v>
      </c>
      <c r="I21" s="53"/>
      <c r="J21" s="103"/>
    </row>
    <row r="22" spans="1:10" ht="27" customHeight="1">
      <c r="A22" s="275"/>
      <c r="B22" s="278"/>
      <c r="C22" s="283"/>
      <c r="D22" s="284"/>
      <c r="E22" s="285"/>
      <c r="F22" s="54" t="s">
        <v>259</v>
      </c>
      <c r="G22" s="58"/>
      <c r="H22" s="54" t="s">
        <v>259</v>
      </c>
      <c r="I22" s="53"/>
      <c r="J22" s="103"/>
    </row>
    <row r="23" spans="1:10" ht="27" customHeight="1">
      <c r="A23" s="275"/>
      <c r="B23" s="278"/>
      <c r="C23" s="283"/>
      <c r="D23" s="284"/>
      <c r="E23" s="285"/>
      <c r="F23" s="54" t="s">
        <v>271</v>
      </c>
      <c r="G23" s="58"/>
      <c r="H23" s="54" t="s">
        <v>271</v>
      </c>
      <c r="I23" s="53"/>
      <c r="J23" s="102"/>
    </row>
    <row r="24" spans="1:10" ht="27" customHeight="1">
      <c r="A24" s="275"/>
      <c r="B24" s="278"/>
      <c r="C24" s="283"/>
      <c r="D24" s="284"/>
      <c r="E24" s="285"/>
      <c r="F24" s="54" t="s">
        <v>272</v>
      </c>
      <c r="G24" s="58"/>
      <c r="H24" s="54" t="s">
        <v>273</v>
      </c>
      <c r="I24" s="53"/>
      <c r="J24" s="103" t="s">
        <v>274</v>
      </c>
    </row>
    <row r="25" spans="1:10" ht="27" customHeight="1">
      <c r="A25" s="275"/>
      <c r="B25" s="278"/>
      <c r="C25" s="283"/>
      <c r="D25" s="284"/>
      <c r="E25" s="285"/>
      <c r="F25" s="54" t="s">
        <v>263</v>
      </c>
      <c r="G25" s="58"/>
      <c r="H25" s="54" t="s">
        <v>275</v>
      </c>
      <c r="I25" s="53"/>
      <c r="J25" s="103" t="s">
        <v>276</v>
      </c>
    </row>
    <row r="26" spans="1:10" ht="27" customHeight="1">
      <c r="A26" s="275"/>
      <c r="B26" s="278"/>
      <c r="C26" s="283"/>
      <c r="D26" s="284"/>
      <c r="E26" s="285"/>
      <c r="F26" s="54" t="s">
        <v>264</v>
      </c>
      <c r="G26" s="58"/>
      <c r="H26" s="54" t="s">
        <v>301</v>
      </c>
      <c r="I26" s="53"/>
      <c r="J26" s="103"/>
    </row>
    <row r="27" spans="1:10" ht="27" customHeight="1">
      <c r="A27" s="275"/>
      <c r="B27" s="278"/>
      <c r="C27" s="283"/>
      <c r="D27" s="284"/>
      <c r="E27" s="285"/>
      <c r="F27" s="54" t="s">
        <v>271</v>
      </c>
      <c r="G27" s="58"/>
      <c r="H27" s="54" t="s">
        <v>307</v>
      </c>
      <c r="I27" s="53"/>
      <c r="J27" s="103"/>
    </row>
    <row r="28" spans="1:10" ht="27" customHeight="1">
      <c r="A28" s="276"/>
      <c r="B28" s="279"/>
      <c r="C28" s="286"/>
      <c r="D28" s="287"/>
      <c r="E28" s="288"/>
      <c r="F28" s="54" t="s">
        <v>272</v>
      </c>
      <c r="G28" s="58"/>
      <c r="H28" s="54" t="s">
        <v>306</v>
      </c>
      <c r="I28" s="53"/>
      <c r="J28" s="102" t="s">
        <v>309</v>
      </c>
    </row>
    <row r="29" spans="1:10" ht="19.5" customHeight="1">
      <c r="A29" s="274" t="s">
        <v>278</v>
      </c>
      <c r="B29" s="277" t="s">
        <v>280</v>
      </c>
      <c r="C29" s="280" t="s">
        <v>279</v>
      </c>
      <c r="D29" s="281"/>
      <c r="E29" s="282"/>
      <c r="F29" s="54"/>
      <c r="G29" s="58"/>
      <c r="H29" s="54" t="s">
        <v>281</v>
      </c>
      <c r="I29" s="53"/>
      <c r="J29" s="102"/>
    </row>
    <row r="30" spans="1:10" ht="29.25" customHeight="1">
      <c r="A30" s="289"/>
      <c r="B30" s="290"/>
      <c r="C30" s="291"/>
      <c r="D30" s="292"/>
      <c r="E30" s="293"/>
      <c r="F30" s="54"/>
      <c r="G30" s="58"/>
      <c r="H30" s="54" t="s">
        <v>282</v>
      </c>
      <c r="I30" s="53"/>
      <c r="J30" s="102"/>
    </row>
    <row r="31" spans="1:10" ht="22.5" customHeight="1">
      <c r="A31" s="289"/>
      <c r="B31" s="290"/>
      <c r="C31" s="291"/>
      <c r="D31" s="292"/>
      <c r="E31" s="293"/>
      <c r="F31" s="54"/>
      <c r="G31" s="58"/>
      <c r="H31" s="54" t="s">
        <v>304</v>
      </c>
      <c r="I31" s="53"/>
      <c r="J31" s="102" t="s">
        <v>283</v>
      </c>
    </row>
    <row r="32" spans="1:10" ht="22.5" customHeight="1">
      <c r="A32" s="289"/>
      <c r="B32" s="290"/>
      <c r="C32" s="291"/>
      <c r="D32" s="292"/>
      <c r="E32" s="293"/>
      <c r="F32" s="54"/>
      <c r="G32" s="58"/>
      <c r="H32" s="54" t="s">
        <v>305</v>
      </c>
      <c r="I32" s="53"/>
      <c r="J32" s="102"/>
    </row>
    <row r="33" spans="1:10" ht="22.5" customHeight="1">
      <c r="A33" s="289"/>
      <c r="B33" s="290"/>
      <c r="C33" s="291"/>
      <c r="D33" s="292"/>
      <c r="E33" s="293"/>
      <c r="F33" s="54"/>
      <c r="G33" s="58"/>
      <c r="H33" s="54" t="s">
        <v>306</v>
      </c>
      <c r="I33" s="53"/>
      <c r="J33" s="102" t="s">
        <v>309</v>
      </c>
    </row>
    <row r="34" spans="1:10" ht="29.25" customHeight="1">
      <c r="A34" s="289"/>
      <c r="B34" s="290"/>
      <c r="C34" s="291"/>
      <c r="D34" s="292"/>
      <c r="E34" s="293"/>
      <c r="F34" s="54"/>
      <c r="G34" s="58"/>
      <c r="H34" s="54"/>
      <c r="I34" s="53"/>
      <c r="J34" s="102"/>
    </row>
    <row r="35" spans="1:10" ht="21.75" customHeight="1">
      <c r="A35" s="289"/>
      <c r="B35" s="290"/>
      <c r="C35" s="291"/>
      <c r="D35" s="292"/>
      <c r="E35" s="293"/>
      <c r="F35" s="54"/>
      <c r="G35" s="58"/>
      <c r="H35" s="54" t="s">
        <v>303</v>
      </c>
      <c r="I35" s="53"/>
      <c r="J35" s="102"/>
    </row>
    <row r="36" spans="1:10" ht="21.75" customHeight="1">
      <c r="A36" s="289"/>
      <c r="B36" s="290"/>
      <c r="C36" s="291"/>
      <c r="D36" s="292"/>
      <c r="E36" s="293"/>
      <c r="F36" s="54"/>
      <c r="G36" s="58"/>
      <c r="H36" s="54" t="s">
        <v>284</v>
      </c>
      <c r="I36" s="53"/>
      <c r="J36" s="102" t="s">
        <v>285</v>
      </c>
    </row>
    <row r="37" spans="1:10" ht="37.5" customHeight="1">
      <c r="A37" s="276"/>
      <c r="B37" s="279"/>
      <c r="C37" s="286"/>
      <c r="D37" s="287"/>
      <c r="E37" s="288"/>
      <c r="F37" s="57"/>
      <c r="G37" s="58"/>
      <c r="H37" s="54" t="s">
        <v>275</v>
      </c>
      <c r="I37" s="53"/>
      <c r="J37" s="102" t="s">
        <v>286</v>
      </c>
    </row>
    <row r="38" spans="1:10" ht="19.5" customHeight="1">
      <c r="A38" s="274" t="s">
        <v>288</v>
      </c>
      <c r="B38" s="277" t="s">
        <v>289</v>
      </c>
      <c r="C38" s="280" t="s">
        <v>287</v>
      </c>
      <c r="D38" s="281"/>
      <c r="E38" s="282"/>
      <c r="F38" s="54"/>
      <c r="G38" s="58"/>
      <c r="H38" s="54" t="s">
        <v>290</v>
      </c>
      <c r="I38" s="53"/>
      <c r="J38" s="102" t="s">
        <v>293</v>
      </c>
    </row>
    <row r="39" spans="1:10" ht="29.25" customHeight="1">
      <c r="A39" s="289"/>
      <c r="B39" s="290"/>
      <c r="C39" s="291"/>
      <c r="D39" s="292"/>
      <c r="E39" s="293"/>
      <c r="F39" s="54"/>
      <c r="G39" s="58"/>
      <c r="H39" s="54" t="s">
        <v>291</v>
      </c>
      <c r="I39" s="53"/>
      <c r="J39" s="102" t="s">
        <v>294</v>
      </c>
    </row>
    <row r="40" spans="1:10" ht="20.25" customHeight="1">
      <c r="A40" s="289"/>
      <c r="B40" s="290"/>
      <c r="C40" s="291"/>
      <c r="D40" s="292"/>
      <c r="E40" s="293"/>
      <c r="F40" s="54"/>
      <c r="G40" s="58"/>
      <c r="H40" s="54" t="s">
        <v>292</v>
      </c>
      <c r="I40" s="53"/>
      <c r="J40" s="102"/>
    </row>
    <row r="41" spans="1:10" ht="22.5" customHeight="1">
      <c r="A41" s="289"/>
      <c r="B41" s="290"/>
      <c r="C41" s="291"/>
      <c r="D41" s="292"/>
      <c r="E41" s="293"/>
      <c r="F41" s="54"/>
      <c r="G41" s="58"/>
      <c r="H41" s="54" t="s">
        <v>308</v>
      </c>
      <c r="I41" s="53"/>
      <c r="J41" s="102" t="s">
        <v>309</v>
      </c>
    </row>
    <row r="42" spans="1:10" ht="22.5" customHeight="1">
      <c r="A42" s="289"/>
      <c r="B42" s="290"/>
      <c r="C42" s="291"/>
      <c r="D42" s="292"/>
      <c r="E42" s="293"/>
      <c r="F42" s="54"/>
      <c r="G42" s="58"/>
      <c r="H42" s="54" t="s">
        <v>284</v>
      </c>
      <c r="I42" s="53"/>
      <c r="J42" s="102"/>
    </row>
    <row r="43" spans="1:10" ht="30" customHeight="1">
      <c r="A43" s="276"/>
      <c r="B43" s="279"/>
      <c r="C43" s="286"/>
      <c r="D43" s="287"/>
      <c r="E43" s="288"/>
      <c r="F43" s="57"/>
      <c r="G43" s="58"/>
      <c r="H43" s="54" t="s">
        <v>275</v>
      </c>
      <c r="I43" s="53"/>
      <c r="J43" s="103"/>
    </row>
    <row r="44" spans="1:10" ht="19.5" customHeight="1">
      <c r="A44" s="274" t="s">
        <v>295</v>
      </c>
      <c r="B44" s="277" t="s">
        <v>296</v>
      </c>
      <c r="C44" s="280" t="s">
        <v>297</v>
      </c>
      <c r="D44" s="281"/>
      <c r="E44" s="282"/>
      <c r="F44" s="54" t="s">
        <v>298</v>
      </c>
      <c r="G44" s="58"/>
      <c r="H44" s="54" t="s">
        <v>290</v>
      </c>
      <c r="I44" s="53"/>
      <c r="J44" s="102" t="s">
        <v>293</v>
      </c>
    </row>
    <row r="45" spans="1:10" ht="41.25" customHeight="1">
      <c r="A45" s="289"/>
      <c r="B45" s="290"/>
      <c r="C45" s="291"/>
      <c r="D45" s="292"/>
      <c r="E45" s="293"/>
      <c r="F45" s="54" t="s">
        <v>299</v>
      </c>
      <c r="G45" s="58"/>
      <c r="H45" s="54" t="s">
        <v>291</v>
      </c>
      <c r="I45" s="53"/>
      <c r="J45" s="102" t="s">
        <v>294</v>
      </c>
    </row>
    <row r="46" spans="1:10" ht="32.25" customHeight="1">
      <c r="A46" s="289"/>
      <c r="B46" s="290"/>
      <c r="C46" s="291"/>
      <c r="D46" s="292"/>
      <c r="E46" s="293"/>
      <c r="F46" s="54" t="s">
        <v>300</v>
      </c>
      <c r="G46" s="58"/>
      <c r="H46" s="54" t="s">
        <v>302</v>
      </c>
      <c r="I46" s="53"/>
      <c r="J46" s="102"/>
    </row>
    <row r="47" spans="1:10" ht="24.75" customHeight="1">
      <c r="A47" s="289"/>
      <c r="B47" s="290"/>
      <c r="C47" s="291"/>
      <c r="D47" s="292"/>
      <c r="E47" s="293"/>
      <c r="F47" s="54" t="s">
        <v>310</v>
      </c>
      <c r="G47" s="58"/>
      <c r="H47" s="54" t="s">
        <v>308</v>
      </c>
      <c r="I47" s="53"/>
      <c r="J47" s="102" t="s">
        <v>309</v>
      </c>
    </row>
    <row r="48" spans="1:10" ht="24.75" customHeight="1">
      <c r="A48" s="289"/>
      <c r="B48" s="290"/>
      <c r="C48" s="291"/>
      <c r="D48" s="292"/>
      <c r="E48" s="293"/>
      <c r="F48" s="54" t="s">
        <v>311</v>
      </c>
      <c r="G48" s="58"/>
      <c r="H48" s="54" t="s">
        <v>312</v>
      </c>
      <c r="I48" s="53"/>
      <c r="J48" s="102"/>
    </row>
    <row r="49" spans="1:10" ht="30" customHeight="1">
      <c r="A49" s="276"/>
      <c r="B49" s="279"/>
      <c r="C49" s="286"/>
      <c r="D49" s="287"/>
      <c r="E49" s="288"/>
      <c r="F49" s="54"/>
      <c r="G49" s="58"/>
      <c r="H49" s="54" t="s">
        <v>313</v>
      </c>
      <c r="I49" s="53"/>
      <c r="J49" s="103"/>
    </row>
    <row r="50" spans="1:10" ht="19.5" customHeight="1">
      <c r="A50" s="274" t="s">
        <v>314</v>
      </c>
      <c r="B50" s="277" t="s">
        <v>315</v>
      </c>
      <c r="C50" s="280" t="s">
        <v>316</v>
      </c>
      <c r="D50" s="281"/>
      <c r="E50" s="282"/>
      <c r="F50" s="54" t="s">
        <v>317</v>
      </c>
      <c r="G50" s="58"/>
      <c r="H50" s="54" t="s">
        <v>290</v>
      </c>
      <c r="I50" s="53"/>
      <c r="J50" s="102" t="s">
        <v>293</v>
      </c>
    </row>
    <row r="51" spans="1:10" ht="31.5" customHeight="1">
      <c r="A51" s="289"/>
      <c r="B51" s="290"/>
      <c r="C51" s="291"/>
      <c r="D51" s="292"/>
      <c r="E51" s="293"/>
      <c r="F51" s="54" t="s">
        <v>318</v>
      </c>
      <c r="G51" s="58"/>
      <c r="H51" s="54" t="s">
        <v>291</v>
      </c>
      <c r="I51" s="53"/>
      <c r="J51" s="102" t="s">
        <v>294</v>
      </c>
    </row>
    <row r="52" spans="1:10" ht="32.25" customHeight="1">
      <c r="A52" s="289"/>
      <c r="B52" s="290"/>
      <c r="C52" s="291"/>
      <c r="D52" s="292"/>
      <c r="E52" s="293"/>
      <c r="F52" s="54" t="s">
        <v>319</v>
      </c>
      <c r="G52" s="58"/>
      <c r="H52" s="54" t="s">
        <v>321</v>
      </c>
      <c r="I52" s="53"/>
      <c r="J52" s="102"/>
    </row>
    <row r="53" spans="1:10" ht="24.75" customHeight="1">
      <c r="A53" s="289"/>
      <c r="B53" s="290"/>
      <c r="C53" s="291"/>
      <c r="D53" s="292"/>
      <c r="E53" s="293"/>
      <c r="F53" s="54" t="s">
        <v>320</v>
      </c>
      <c r="G53" s="58"/>
      <c r="H53" s="54" t="s">
        <v>308</v>
      </c>
      <c r="I53" s="53"/>
      <c r="J53" s="102" t="s">
        <v>309</v>
      </c>
    </row>
    <row r="54" spans="1:10" ht="24.75" customHeight="1">
      <c r="A54" s="289"/>
      <c r="B54" s="290"/>
      <c r="C54" s="291"/>
      <c r="D54" s="292"/>
      <c r="E54" s="293"/>
      <c r="F54" s="54"/>
      <c r="G54" s="58"/>
      <c r="H54" s="54" t="s">
        <v>312</v>
      </c>
      <c r="I54" s="53"/>
      <c r="J54" s="102"/>
    </row>
    <row r="55" spans="1:10" ht="30" customHeight="1">
      <c r="A55" s="276"/>
      <c r="B55" s="279"/>
      <c r="C55" s="286"/>
      <c r="D55" s="287"/>
      <c r="E55" s="288"/>
      <c r="F55" s="54"/>
      <c r="G55" s="58"/>
      <c r="H55" s="54" t="s">
        <v>313</v>
      </c>
      <c r="I55" s="53"/>
      <c r="J55" s="103"/>
    </row>
    <row r="56" spans="1:10" ht="28.5" customHeight="1">
      <c r="A56" s="274" t="s">
        <v>322</v>
      </c>
      <c r="B56" s="277" t="s">
        <v>323</v>
      </c>
      <c r="C56" s="280" t="s">
        <v>324</v>
      </c>
      <c r="D56" s="281"/>
      <c r="E56" s="282"/>
      <c r="F56" s="54" t="s">
        <v>680</v>
      </c>
      <c r="G56" s="58"/>
      <c r="H56" s="54" t="s">
        <v>290</v>
      </c>
      <c r="I56" s="53"/>
      <c r="J56" s="102" t="s">
        <v>293</v>
      </c>
    </row>
    <row r="57" spans="1:10" ht="28.5" customHeight="1">
      <c r="A57" s="289"/>
      <c r="B57" s="290"/>
      <c r="C57" s="291"/>
      <c r="D57" s="292"/>
      <c r="E57" s="293"/>
      <c r="F57" s="54" t="s">
        <v>681</v>
      </c>
      <c r="G57" s="58"/>
      <c r="H57" s="54" t="s">
        <v>291</v>
      </c>
      <c r="I57" s="53"/>
      <c r="J57" s="102" t="s">
        <v>294</v>
      </c>
    </row>
    <row r="58" spans="1:10" ht="28.5" customHeight="1">
      <c r="A58" s="289"/>
      <c r="B58" s="290"/>
      <c r="C58" s="291"/>
      <c r="D58" s="292"/>
      <c r="E58" s="293"/>
      <c r="F58" s="54" t="s">
        <v>682</v>
      </c>
      <c r="G58" s="58"/>
      <c r="H58" s="54" t="s">
        <v>302</v>
      </c>
      <c r="I58" s="53"/>
      <c r="J58" s="102"/>
    </row>
    <row r="59" spans="1:10" ht="28.5" customHeight="1">
      <c r="A59" s="289"/>
      <c r="B59" s="290"/>
      <c r="C59" s="291"/>
      <c r="D59" s="292"/>
      <c r="E59" s="293"/>
      <c r="F59" s="54" t="s">
        <v>683</v>
      </c>
      <c r="G59" s="58"/>
      <c r="H59" s="54" t="s">
        <v>308</v>
      </c>
      <c r="I59" s="53"/>
      <c r="J59" s="102" t="s">
        <v>309</v>
      </c>
    </row>
    <row r="60" spans="1:10" ht="28.5" customHeight="1">
      <c r="A60" s="289"/>
      <c r="B60" s="290"/>
      <c r="C60" s="291"/>
      <c r="D60" s="292"/>
      <c r="E60" s="293"/>
      <c r="F60" s="54" t="s">
        <v>684</v>
      </c>
      <c r="G60" s="58"/>
      <c r="H60" s="54" t="s">
        <v>312</v>
      </c>
      <c r="I60" s="53"/>
      <c r="J60" s="102"/>
    </row>
    <row r="61" spans="1:10" ht="30" customHeight="1">
      <c r="A61" s="276"/>
      <c r="B61" s="279"/>
      <c r="C61" s="286"/>
      <c r="D61" s="287"/>
      <c r="E61" s="288"/>
      <c r="F61" s="54" t="s">
        <v>679</v>
      </c>
      <c r="G61" s="58"/>
      <c r="H61" s="54" t="s">
        <v>313</v>
      </c>
      <c r="I61" s="53"/>
      <c r="J61" s="103"/>
    </row>
    <row r="62" spans="1:10" ht="42" customHeight="1">
      <c r="A62" s="274" t="s">
        <v>325</v>
      </c>
      <c r="B62" s="277" t="s">
        <v>326</v>
      </c>
      <c r="C62" s="280" t="s">
        <v>327</v>
      </c>
      <c r="D62" s="281"/>
      <c r="E62" s="282"/>
      <c r="F62" s="54" t="s">
        <v>328</v>
      </c>
      <c r="G62" s="53"/>
      <c r="H62" s="54"/>
      <c r="I62" s="53"/>
      <c r="J62" s="103"/>
    </row>
    <row r="63" spans="1:10" ht="57.75" customHeight="1">
      <c r="A63" s="275"/>
      <c r="B63" s="278"/>
      <c r="C63" s="283"/>
      <c r="D63" s="284"/>
      <c r="E63" s="285"/>
      <c r="F63" s="54" t="s">
        <v>329</v>
      </c>
      <c r="G63" s="53"/>
      <c r="H63" s="54"/>
      <c r="I63" s="53"/>
      <c r="J63" s="102"/>
    </row>
    <row r="64" spans="1:10" ht="28.5" customHeight="1">
      <c r="A64" s="275"/>
      <c r="B64" s="278"/>
      <c r="C64" s="283"/>
      <c r="D64" s="284"/>
      <c r="E64" s="285"/>
      <c r="F64" s="54" t="s">
        <v>330</v>
      </c>
      <c r="G64" s="53"/>
      <c r="H64" s="52"/>
      <c r="I64" s="53"/>
      <c r="J64" s="103"/>
    </row>
    <row r="65" spans="1:10" ht="33" customHeight="1">
      <c r="A65" s="276"/>
      <c r="B65" s="279"/>
      <c r="C65" s="286"/>
      <c r="D65" s="287"/>
      <c r="E65" s="288"/>
      <c r="F65" s="54" t="s">
        <v>331</v>
      </c>
      <c r="G65" s="53"/>
      <c r="H65" s="58"/>
      <c r="I65" s="53"/>
      <c r="J65" s="103"/>
    </row>
    <row r="66" spans="1:10" ht="30.75" customHeight="1">
      <c r="A66" s="274" t="s">
        <v>403</v>
      </c>
      <c r="B66" s="277" t="s">
        <v>407</v>
      </c>
      <c r="C66" s="280" t="s">
        <v>408</v>
      </c>
      <c r="D66" s="281"/>
      <c r="E66" s="282"/>
      <c r="F66" s="54" t="s">
        <v>422</v>
      </c>
      <c r="G66" s="58"/>
      <c r="H66" s="54"/>
      <c r="I66" s="53"/>
      <c r="J66" s="102"/>
    </row>
    <row r="67" spans="1:10" ht="29.25" customHeight="1">
      <c r="A67" s="289"/>
      <c r="B67" s="290"/>
      <c r="C67" s="291"/>
      <c r="D67" s="292"/>
      <c r="E67" s="293"/>
      <c r="F67" s="54" t="s">
        <v>409</v>
      </c>
      <c r="G67" s="58"/>
      <c r="H67" s="54"/>
      <c r="I67" s="53"/>
      <c r="J67" s="102"/>
    </row>
    <row r="68" spans="1:10" ht="31.5" customHeight="1">
      <c r="A68" s="289"/>
      <c r="B68" s="290"/>
      <c r="C68" s="291"/>
      <c r="D68" s="292"/>
      <c r="E68" s="293"/>
      <c r="F68" s="54" t="s">
        <v>423</v>
      </c>
      <c r="G68" s="58"/>
      <c r="H68" s="54"/>
      <c r="I68" s="53"/>
      <c r="J68" s="102" t="s">
        <v>424</v>
      </c>
    </row>
    <row r="69" spans="1:10" ht="30" customHeight="1">
      <c r="A69" s="276"/>
      <c r="B69" s="279"/>
      <c r="C69" s="286"/>
      <c r="D69" s="287"/>
      <c r="E69" s="288"/>
      <c r="F69" s="54" t="s">
        <v>409</v>
      </c>
      <c r="G69" s="58"/>
      <c r="H69" s="57"/>
      <c r="I69" s="53"/>
      <c r="J69" s="103"/>
    </row>
    <row r="70" spans="1:10" ht="32.25" customHeight="1">
      <c r="A70" s="274" t="s">
        <v>404</v>
      </c>
      <c r="B70" s="277" t="s">
        <v>405</v>
      </c>
      <c r="C70" s="280" t="s">
        <v>406</v>
      </c>
      <c r="D70" s="281"/>
      <c r="E70" s="282"/>
      <c r="F70" s="54" t="s">
        <v>410</v>
      </c>
      <c r="G70" s="58"/>
      <c r="H70" s="54"/>
      <c r="I70" s="53"/>
      <c r="J70" s="102"/>
    </row>
    <row r="71" spans="1:10" ht="29.25" customHeight="1">
      <c r="A71" s="289"/>
      <c r="B71" s="290"/>
      <c r="C71" s="291"/>
      <c r="D71" s="292"/>
      <c r="E71" s="293"/>
      <c r="F71" s="54" t="s">
        <v>411</v>
      </c>
      <c r="G71" s="58"/>
      <c r="H71" s="54"/>
      <c r="I71" s="53"/>
      <c r="J71" s="102"/>
    </row>
    <row r="72" spans="1:10" ht="29.25" customHeight="1">
      <c r="A72" s="289"/>
      <c r="B72" s="290"/>
      <c r="C72" s="291"/>
      <c r="D72" s="292"/>
      <c r="E72" s="293"/>
      <c r="F72" s="54" t="s">
        <v>410</v>
      </c>
      <c r="G72" s="58"/>
      <c r="H72" s="54"/>
      <c r="I72" s="53"/>
      <c r="J72" s="102"/>
    </row>
    <row r="73" spans="1:10" ht="43.5" customHeight="1">
      <c r="A73" s="276"/>
      <c r="B73" s="279"/>
      <c r="C73" s="286"/>
      <c r="D73" s="287"/>
      <c r="E73" s="288"/>
      <c r="F73" s="54" t="s">
        <v>421</v>
      </c>
      <c r="G73" s="58"/>
      <c r="H73" s="57"/>
      <c r="I73" s="53"/>
      <c r="J73" s="102" t="s">
        <v>425</v>
      </c>
    </row>
    <row r="74" spans="1:10" ht="19.5" customHeight="1">
      <c r="A74" s="99"/>
      <c r="B74" s="85"/>
      <c r="C74" s="85"/>
      <c r="D74" s="85"/>
      <c r="E74" s="85"/>
      <c r="F74" s="85"/>
      <c r="G74" s="85"/>
      <c r="H74" s="85"/>
      <c r="I74" s="85"/>
      <c r="J74" s="103"/>
    </row>
    <row r="75" spans="1:10" ht="20.100000000000001" customHeight="1">
      <c r="A75" s="99"/>
      <c r="B75" s="85"/>
      <c r="C75" s="85"/>
      <c r="D75" s="85"/>
      <c r="E75" s="85"/>
      <c r="F75" s="85"/>
      <c r="G75" s="85"/>
      <c r="H75" s="85"/>
      <c r="I75" s="85"/>
      <c r="J75" s="103"/>
    </row>
    <row r="76" spans="1:10" ht="20.100000000000001" customHeight="1">
      <c r="A76" s="97" t="s">
        <v>332</v>
      </c>
      <c r="B76" s="85"/>
      <c r="C76" s="85"/>
      <c r="D76" s="85"/>
      <c r="E76" s="85"/>
      <c r="F76" s="85"/>
      <c r="G76" s="85"/>
      <c r="H76" s="85"/>
      <c r="I76" s="85"/>
      <c r="J76" s="103"/>
    </row>
    <row r="77" spans="1:10" ht="20.100000000000001" customHeight="1">
      <c r="A77" s="320" t="s">
        <v>337</v>
      </c>
      <c r="B77" s="321"/>
      <c r="C77" s="322"/>
      <c r="D77" s="322"/>
      <c r="E77" s="322"/>
      <c r="F77" s="298"/>
      <c r="G77" s="312" t="s">
        <v>338</v>
      </c>
      <c r="H77" s="313"/>
      <c r="I77" s="313"/>
      <c r="J77" s="103"/>
    </row>
    <row r="78" spans="1:10" ht="20.100000000000001" customHeight="1">
      <c r="A78" s="295" t="s">
        <v>335</v>
      </c>
      <c r="B78" s="296"/>
      <c r="C78" s="338" t="s">
        <v>333</v>
      </c>
      <c r="D78" s="322"/>
      <c r="E78" s="298"/>
      <c r="F78" s="96" t="s">
        <v>336</v>
      </c>
      <c r="G78" s="96" t="s">
        <v>335</v>
      </c>
      <c r="H78" s="75" t="s">
        <v>333</v>
      </c>
      <c r="I78" s="96" t="s">
        <v>334</v>
      </c>
      <c r="J78" s="103"/>
    </row>
    <row r="79" spans="1:10" ht="30.75" customHeight="1">
      <c r="A79" s="314" t="s">
        <v>254</v>
      </c>
      <c r="B79" s="315"/>
      <c r="C79" s="325" t="s">
        <v>339</v>
      </c>
      <c r="D79" s="331"/>
      <c r="E79" s="332"/>
      <c r="F79" s="323"/>
      <c r="G79" s="74" t="s">
        <v>340</v>
      </c>
      <c r="H79" s="74" t="s">
        <v>339</v>
      </c>
      <c r="I79" s="91"/>
      <c r="J79" s="103"/>
    </row>
    <row r="80" spans="1:10" ht="30" customHeight="1">
      <c r="A80" s="316"/>
      <c r="B80" s="317"/>
      <c r="C80" s="339"/>
      <c r="D80" s="340"/>
      <c r="E80" s="341"/>
      <c r="F80" s="324"/>
      <c r="G80" s="74" t="s">
        <v>341</v>
      </c>
      <c r="H80" s="74" t="s">
        <v>339</v>
      </c>
      <c r="I80" s="91"/>
      <c r="J80" s="103"/>
    </row>
    <row r="81" spans="1:10" ht="30" customHeight="1">
      <c r="A81" s="314" t="s">
        <v>342</v>
      </c>
      <c r="B81" s="315"/>
      <c r="C81" s="335" t="s">
        <v>343</v>
      </c>
      <c r="D81" s="336"/>
      <c r="E81" s="337"/>
      <c r="F81" s="62"/>
      <c r="G81" s="74" t="s">
        <v>346</v>
      </c>
      <c r="H81" s="74" t="s">
        <v>339</v>
      </c>
      <c r="I81" s="91"/>
      <c r="J81" s="103"/>
    </row>
    <row r="82" spans="1:10" ht="30" customHeight="1">
      <c r="A82" s="318"/>
      <c r="B82" s="319"/>
      <c r="C82" s="325" t="s">
        <v>344</v>
      </c>
      <c r="D82" s="331"/>
      <c r="E82" s="332"/>
      <c r="F82" s="323"/>
      <c r="G82" s="74" t="s">
        <v>347</v>
      </c>
      <c r="H82" s="74" t="s">
        <v>339</v>
      </c>
      <c r="I82" s="91"/>
      <c r="J82" s="103"/>
    </row>
    <row r="83" spans="1:10" ht="30" customHeight="1">
      <c r="A83" s="318"/>
      <c r="B83" s="319"/>
      <c r="C83" s="328"/>
      <c r="D83" s="329"/>
      <c r="E83" s="330"/>
      <c r="F83" s="324"/>
      <c r="G83" s="74" t="s">
        <v>280</v>
      </c>
      <c r="H83" s="74" t="s">
        <v>348</v>
      </c>
      <c r="I83" s="91"/>
      <c r="J83" s="103"/>
    </row>
    <row r="84" spans="1:10" ht="30" customHeight="1">
      <c r="A84" s="318"/>
      <c r="B84" s="319"/>
      <c r="C84" s="325" t="s">
        <v>345</v>
      </c>
      <c r="D84" s="326"/>
      <c r="E84" s="327"/>
      <c r="F84" s="323"/>
      <c r="G84" s="74" t="s">
        <v>349</v>
      </c>
      <c r="H84" s="74" t="s">
        <v>339</v>
      </c>
      <c r="I84" s="91"/>
      <c r="J84" s="103"/>
    </row>
    <row r="85" spans="1:10" ht="30" customHeight="1">
      <c r="A85" s="316"/>
      <c r="B85" s="317"/>
      <c r="C85" s="328"/>
      <c r="D85" s="329"/>
      <c r="E85" s="330"/>
      <c r="F85" s="324"/>
      <c r="G85" s="74" t="s">
        <v>280</v>
      </c>
      <c r="H85" s="74" t="s">
        <v>348</v>
      </c>
      <c r="I85" s="91"/>
      <c r="J85" s="103"/>
    </row>
    <row r="86" spans="1:10" ht="30" customHeight="1">
      <c r="A86" s="314" t="s">
        <v>350</v>
      </c>
      <c r="B86" s="315"/>
      <c r="C86" s="325" t="s">
        <v>351</v>
      </c>
      <c r="D86" s="331"/>
      <c r="E86" s="332"/>
      <c r="F86" s="333"/>
      <c r="G86" s="74" t="s">
        <v>352</v>
      </c>
      <c r="H86" s="74" t="s">
        <v>354</v>
      </c>
      <c r="I86" s="91"/>
      <c r="J86" s="103"/>
    </row>
    <row r="87" spans="1:10" ht="30" customHeight="1">
      <c r="A87" s="286"/>
      <c r="B87" s="288"/>
      <c r="C87" s="328"/>
      <c r="D87" s="329"/>
      <c r="E87" s="330"/>
      <c r="F87" s="334"/>
      <c r="G87" s="74" t="s">
        <v>353</v>
      </c>
      <c r="H87" s="74" t="s">
        <v>348</v>
      </c>
      <c r="I87" s="91"/>
      <c r="J87" s="103"/>
    </row>
    <row r="88" spans="1:10" ht="30" customHeight="1">
      <c r="A88" s="314" t="s">
        <v>355</v>
      </c>
      <c r="B88" s="315"/>
      <c r="C88" s="325" t="s">
        <v>354</v>
      </c>
      <c r="D88" s="331"/>
      <c r="E88" s="332"/>
      <c r="F88" s="333"/>
      <c r="G88" s="74" t="s">
        <v>355</v>
      </c>
      <c r="H88" s="74" t="s">
        <v>354</v>
      </c>
      <c r="I88" s="91"/>
      <c r="J88" s="103"/>
    </row>
    <row r="89" spans="1:10" ht="30" customHeight="1">
      <c r="A89" s="286"/>
      <c r="B89" s="288"/>
      <c r="C89" s="328"/>
      <c r="D89" s="329"/>
      <c r="E89" s="330"/>
      <c r="F89" s="334"/>
      <c r="G89" s="74" t="s">
        <v>353</v>
      </c>
      <c r="H89" s="74" t="s">
        <v>348</v>
      </c>
      <c r="I89" s="91"/>
      <c r="J89" s="103"/>
    </row>
    <row r="90" spans="1:10" ht="30" customHeight="1">
      <c r="A90" s="314" t="s">
        <v>356</v>
      </c>
      <c r="B90" s="315"/>
      <c r="C90" s="325" t="s">
        <v>351</v>
      </c>
      <c r="D90" s="331"/>
      <c r="E90" s="332"/>
      <c r="F90" s="333"/>
      <c r="G90" s="74" t="s">
        <v>358</v>
      </c>
      <c r="H90" s="74" t="s">
        <v>354</v>
      </c>
      <c r="I90" s="91"/>
      <c r="J90" s="103"/>
    </row>
    <row r="91" spans="1:10" ht="30" customHeight="1">
      <c r="A91" s="286"/>
      <c r="B91" s="288"/>
      <c r="C91" s="328"/>
      <c r="D91" s="329"/>
      <c r="E91" s="330"/>
      <c r="F91" s="334"/>
      <c r="G91" s="74" t="s">
        <v>357</v>
      </c>
      <c r="H91" s="74" t="s">
        <v>354</v>
      </c>
      <c r="I91" s="91"/>
      <c r="J91" s="103"/>
    </row>
    <row r="92" spans="1:10" ht="30" customHeight="1">
      <c r="A92" s="314" t="s">
        <v>359</v>
      </c>
      <c r="B92" s="315"/>
      <c r="C92" s="325" t="s">
        <v>413</v>
      </c>
      <c r="D92" s="331"/>
      <c r="E92" s="332"/>
      <c r="F92" s="333"/>
      <c r="G92" s="74" t="s">
        <v>360</v>
      </c>
      <c r="H92" s="74" t="s">
        <v>354</v>
      </c>
      <c r="I92" s="91"/>
      <c r="J92" s="103"/>
    </row>
    <row r="93" spans="1:10" ht="30" customHeight="1">
      <c r="A93" s="344"/>
      <c r="B93" s="345"/>
      <c r="C93" s="346"/>
      <c r="D93" s="347"/>
      <c r="E93" s="348"/>
      <c r="F93" s="349"/>
      <c r="G93" s="74" t="s">
        <v>361</v>
      </c>
      <c r="H93" s="74" t="s">
        <v>339</v>
      </c>
      <c r="I93" s="91"/>
      <c r="J93" s="103"/>
    </row>
    <row r="94" spans="1:10" ht="30" customHeight="1">
      <c r="A94" s="286"/>
      <c r="B94" s="288"/>
      <c r="C94" s="328"/>
      <c r="D94" s="329"/>
      <c r="E94" s="330"/>
      <c r="F94" s="334"/>
      <c r="G94" s="74" t="s">
        <v>315</v>
      </c>
      <c r="H94" s="74" t="s">
        <v>354</v>
      </c>
      <c r="I94" s="91"/>
      <c r="J94" s="103"/>
    </row>
    <row r="95" spans="1:10" ht="30" customHeight="1">
      <c r="A95" s="342" t="s">
        <v>412</v>
      </c>
      <c r="B95" s="343"/>
      <c r="C95" s="335" t="s">
        <v>351</v>
      </c>
      <c r="D95" s="336"/>
      <c r="E95" s="337"/>
      <c r="F95" s="91"/>
      <c r="G95" s="74" t="s">
        <v>414</v>
      </c>
      <c r="H95" s="74" t="s">
        <v>354</v>
      </c>
      <c r="I95" s="91"/>
      <c r="J95" s="103"/>
    </row>
    <row r="96" spans="1:10" ht="30" customHeight="1">
      <c r="A96" s="314" t="s">
        <v>404</v>
      </c>
      <c r="B96" s="315"/>
      <c r="C96" s="325" t="s">
        <v>351</v>
      </c>
      <c r="D96" s="331"/>
      <c r="E96" s="332"/>
      <c r="F96" s="333"/>
      <c r="G96" s="74" t="s">
        <v>415</v>
      </c>
      <c r="H96" s="74" t="s">
        <v>354</v>
      </c>
      <c r="I96" s="91"/>
      <c r="J96" s="103"/>
    </row>
    <row r="97" spans="1:10" ht="30" customHeight="1">
      <c r="A97" s="286"/>
      <c r="B97" s="288"/>
      <c r="C97" s="328"/>
      <c r="D97" s="329"/>
      <c r="E97" s="330"/>
      <c r="F97" s="334"/>
      <c r="G97" s="74" t="s">
        <v>416</v>
      </c>
      <c r="H97" s="74" t="s">
        <v>354</v>
      </c>
      <c r="I97" s="91"/>
      <c r="J97" s="102" t="s">
        <v>417</v>
      </c>
    </row>
    <row r="98" spans="1:10" ht="30" customHeight="1">
      <c r="A98" s="342"/>
      <c r="B98" s="343"/>
      <c r="C98" s="335"/>
      <c r="D98" s="336"/>
      <c r="E98" s="337"/>
      <c r="F98" s="91"/>
      <c r="G98" s="73"/>
      <c r="H98" s="73"/>
      <c r="I98" s="91"/>
      <c r="J98" s="103"/>
    </row>
    <row r="99" spans="1:10" ht="20.100000000000001" customHeight="1">
      <c r="A99" s="99"/>
      <c r="B99" s="85"/>
      <c r="C99" s="85"/>
      <c r="D99" s="85"/>
      <c r="E99" s="85"/>
      <c r="F99" s="85"/>
      <c r="G99" s="85"/>
      <c r="H99" s="85"/>
      <c r="I99" s="85"/>
      <c r="J99" s="103"/>
    </row>
    <row r="100" spans="1:10" ht="20.100000000000001" customHeight="1">
      <c r="A100" s="99"/>
      <c r="B100" s="85"/>
      <c r="C100" s="85"/>
      <c r="D100" s="85"/>
      <c r="E100" s="85"/>
      <c r="F100" s="85"/>
      <c r="G100" s="85"/>
      <c r="H100" s="85"/>
      <c r="I100" s="85"/>
      <c r="J100" s="103"/>
    </row>
    <row r="101" spans="1:10" ht="20.100000000000001" customHeight="1">
      <c r="A101" s="97" t="s">
        <v>362</v>
      </c>
      <c r="B101" s="85"/>
      <c r="C101" s="85"/>
      <c r="D101" s="85"/>
      <c r="E101" s="85"/>
      <c r="F101" s="85"/>
      <c r="G101" s="85"/>
      <c r="H101" s="85"/>
      <c r="I101" s="85"/>
      <c r="J101" s="103"/>
    </row>
    <row r="102" spans="1:10" ht="35.25" customHeight="1">
      <c r="A102" s="295" t="s">
        <v>216</v>
      </c>
      <c r="B102" s="296"/>
      <c r="C102" s="96" t="s">
        <v>217</v>
      </c>
      <c r="D102" s="338" t="s">
        <v>363</v>
      </c>
      <c r="E102" s="298"/>
      <c r="F102" s="96" t="s">
        <v>218</v>
      </c>
      <c r="G102" s="96" t="s">
        <v>219</v>
      </c>
      <c r="H102" s="71" t="s">
        <v>364</v>
      </c>
      <c r="I102" s="96" t="s">
        <v>220</v>
      </c>
      <c r="J102" s="103"/>
    </row>
    <row r="103" spans="1:10" ht="20.100000000000001" customHeight="1">
      <c r="A103" s="303" t="s">
        <v>365</v>
      </c>
      <c r="B103" s="307"/>
      <c r="C103" s="65"/>
      <c r="D103" s="301"/>
      <c r="E103" s="302"/>
      <c r="F103" s="91"/>
      <c r="G103" s="91"/>
      <c r="H103" s="91"/>
      <c r="I103" s="94"/>
      <c r="J103" s="103"/>
    </row>
    <row r="104" spans="1:10" ht="19.5" customHeight="1">
      <c r="A104" s="299" t="s">
        <v>402</v>
      </c>
      <c r="B104" s="300"/>
      <c r="C104" s="65"/>
      <c r="D104" s="301"/>
      <c r="E104" s="302"/>
      <c r="F104" s="91"/>
      <c r="G104" s="61"/>
      <c r="H104" s="61"/>
      <c r="I104" s="94"/>
      <c r="J104" s="103"/>
    </row>
    <row r="105" spans="1:10" ht="30" customHeight="1">
      <c r="A105" s="299" t="s">
        <v>367</v>
      </c>
      <c r="B105" s="300"/>
      <c r="C105" s="65"/>
      <c r="D105" s="301"/>
      <c r="E105" s="302"/>
      <c r="F105" s="91"/>
      <c r="G105" s="61" t="s">
        <v>369</v>
      </c>
      <c r="H105" s="61" t="s">
        <v>369</v>
      </c>
      <c r="I105" s="94"/>
      <c r="J105" s="103"/>
    </row>
    <row r="106" spans="1:10" ht="20.100000000000001" customHeight="1">
      <c r="A106" s="299" t="s">
        <v>370</v>
      </c>
      <c r="B106" s="300"/>
      <c r="C106" s="65"/>
      <c r="D106" s="305" t="s">
        <v>368</v>
      </c>
      <c r="E106" s="306"/>
      <c r="F106" s="91"/>
      <c r="G106" s="91"/>
      <c r="H106" s="91"/>
      <c r="I106" s="94"/>
      <c r="J106" s="103"/>
    </row>
    <row r="107" spans="1:10" ht="20.100000000000001" customHeight="1">
      <c r="A107" s="299" t="s">
        <v>350</v>
      </c>
      <c r="B107" s="300"/>
      <c r="C107" s="65"/>
      <c r="D107" s="301"/>
      <c r="E107" s="302"/>
      <c r="F107" s="91"/>
      <c r="G107" s="91"/>
      <c r="H107" s="91"/>
      <c r="I107" s="94"/>
      <c r="J107" s="103"/>
    </row>
    <row r="108" spans="1:10" ht="20.100000000000001" customHeight="1">
      <c r="A108" s="299" t="s">
        <v>371</v>
      </c>
      <c r="B108" s="300"/>
      <c r="C108" s="65"/>
      <c r="D108" s="301"/>
      <c r="E108" s="302"/>
      <c r="F108" s="91"/>
      <c r="G108" s="91"/>
      <c r="H108" s="91"/>
      <c r="I108" s="94"/>
      <c r="J108" s="103"/>
    </row>
    <row r="109" spans="1:10" ht="20.100000000000001" customHeight="1">
      <c r="A109" s="299" t="s">
        <v>353</v>
      </c>
      <c r="B109" s="300"/>
      <c r="C109" s="65"/>
      <c r="D109" s="301"/>
      <c r="E109" s="302"/>
      <c r="F109" s="91"/>
      <c r="G109" s="91"/>
      <c r="H109" s="91"/>
      <c r="I109" s="94"/>
      <c r="J109" s="103"/>
    </row>
    <row r="110" spans="1:10" ht="20.100000000000001" customHeight="1">
      <c r="A110" s="299" t="s">
        <v>358</v>
      </c>
      <c r="B110" s="300"/>
      <c r="C110" s="65"/>
      <c r="D110" s="301"/>
      <c r="E110" s="302"/>
      <c r="F110" s="91"/>
      <c r="G110" s="91"/>
      <c r="H110" s="91"/>
      <c r="I110" s="94"/>
      <c r="J110" s="102" t="s">
        <v>420</v>
      </c>
    </row>
    <row r="111" spans="1:10" ht="20.100000000000001" customHeight="1">
      <c r="A111" s="299" t="s">
        <v>372</v>
      </c>
      <c r="B111" s="300"/>
      <c r="C111" s="65"/>
      <c r="D111" s="301"/>
      <c r="E111" s="302"/>
      <c r="F111" s="91"/>
      <c r="G111" s="91"/>
      <c r="H111" s="91"/>
      <c r="I111" s="94"/>
      <c r="J111" s="103"/>
    </row>
    <row r="112" spans="1:10" ht="20.100000000000001" customHeight="1">
      <c r="A112" s="299" t="s">
        <v>373</v>
      </c>
      <c r="B112" s="300"/>
      <c r="C112" s="65"/>
      <c r="D112" s="301"/>
      <c r="E112" s="302"/>
      <c r="F112" s="91"/>
      <c r="G112" s="91"/>
      <c r="H112" s="91"/>
      <c r="I112" s="94"/>
      <c r="J112" s="103"/>
    </row>
    <row r="113" spans="1:10" ht="33" customHeight="1">
      <c r="A113" s="299" t="s">
        <v>374</v>
      </c>
      <c r="B113" s="300"/>
      <c r="C113" s="65"/>
      <c r="D113" s="301"/>
      <c r="E113" s="302"/>
      <c r="F113" s="91"/>
      <c r="G113" s="91"/>
      <c r="H113" s="91"/>
      <c r="I113" s="94"/>
      <c r="J113" s="103"/>
    </row>
    <row r="114" spans="1:10" ht="20.100000000000001" customHeight="1">
      <c r="A114" s="299" t="s">
        <v>375</v>
      </c>
      <c r="B114" s="300"/>
      <c r="C114" s="65"/>
      <c r="D114" s="301"/>
      <c r="E114" s="302"/>
      <c r="F114" s="91"/>
      <c r="G114" s="91"/>
      <c r="H114" s="91"/>
      <c r="I114" s="94"/>
      <c r="J114" s="103"/>
    </row>
    <row r="115" spans="1:10" ht="20.100000000000001" customHeight="1">
      <c r="A115" s="299" t="s">
        <v>376</v>
      </c>
      <c r="B115" s="300"/>
      <c r="C115" s="65"/>
      <c r="D115" s="301"/>
      <c r="E115" s="302"/>
      <c r="F115" s="91"/>
      <c r="G115" s="91"/>
      <c r="H115" s="91"/>
      <c r="I115" s="94"/>
      <c r="J115" s="103"/>
    </row>
    <row r="116" spans="1:10" ht="20.100000000000001" customHeight="1">
      <c r="A116" s="299" t="s">
        <v>342</v>
      </c>
      <c r="B116" s="300"/>
      <c r="C116" s="65"/>
      <c r="D116" s="301"/>
      <c r="E116" s="302"/>
      <c r="F116" s="91"/>
      <c r="G116" s="61" t="s">
        <v>369</v>
      </c>
      <c r="H116" s="61" t="s">
        <v>369</v>
      </c>
      <c r="I116" s="94"/>
      <c r="J116" s="103"/>
    </row>
    <row r="117" spans="1:10" ht="20.100000000000001" customHeight="1">
      <c r="A117" s="299" t="s">
        <v>377</v>
      </c>
      <c r="B117" s="300"/>
      <c r="C117" s="65"/>
      <c r="D117" s="301"/>
      <c r="E117" s="302"/>
      <c r="F117" s="91"/>
      <c r="G117" s="61" t="s">
        <v>369</v>
      </c>
      <c r="H117" s="61" t="s">
        <v>369</v>
      </c>
      <c r="I117" s="94"/>
      <c r="J117" s="103"/>
    </row>
    <row r="118" spans="1:10" ht="20.100000000000001" customHeight="1">
      <c r="A118" s="299" t="s">
        <v>378</v>
      </c>
      <c r="B118" s="300"/>
      <c r="C118" s="65"/>
      <c r="D118" s="305" t="s">
        <v>368</v>
      </c>
      <c r="E118" s="306"/>
      <c r="F118" s="91"/>
      <c r="G118" s="91"/>
      <c r="H118" s="91"/>
      <c r="I118" s="94"/>
      <c r="J118" s="103"/>
    </row>
    <row r="119" spans="1:10" ht="20.100000000000001" customHeight="1">
      <c r="A119" s="299" t="s">
        <v>379</v>
      </c>
      <c r="B119" s="300"/>
      <c r="C119" s="65"/>
      <c r="D119" s="305" t="s">
        <v>368</v>
      </c>
      <c r="E119" s="306"/>
      <c r="F119" s="91"/>
      <c r="G119" s="91"/>
      <c r="H119" s="91"/>
      <c r="I119" s="94"/>
      <c r="J119" s="103"/>
    </row>
    <row r="120" spans="1:10" ht="20.100000000000001" customHeight="1">
      <c r="A120" s="299" t="s">
        <v>360</v>
      </c>
      <c r="B120" s="300"/>
      <c r="C120" s="65"/>
      <c r="D120" s="301"/>
      <c r="E120" s="302"/>
      <c r="F120" s="91"/>
      <c r="G120" s="91"/>
      <c r="H120" s="91"/>
      <c r="I120" s="94"/>
      <c r="J120" s="103"/>
    </row>
    <row r="121" spans="1:10" ht="20.100000000000001" customHeight="1">
      <c r="A121" s="299" t="s">
        <v>380</v>
      </c>
      <c r="B121" s="300"/>
      <c r="C121" s="65"/>
      <c r="D121" s="305" t="s">
        <v>368</v>
      </c>
      <c r="E121" s="306"/>
      <c r="F121" s="91"/>
      <c r="G121" s="91"/>
      <c r="H121" s="91"/>
      <c r="I121" s="94"/>
      <c r="J121" s="103"/>
    </row>
    <row r="122" spans="1:10" ht="20.100000000000001" customHeight="1">
      <c r="A122" s="299" t="s">
        <v>361</v>
      </c>
      <c r="B122" s="300"/>
      <c r="C122" s="65"/>
      <c r="D122" s="305" t="s">
        <v>368</v>
      </c>
      <c r="E122" s="306"/>
      <c r="F122" s="91"/>
      <c r="G122" s="91"/>
      <c r="H122" s="91"/>
      <c r="I122" s="94"/>
      <c r="J122" s="103"/>
    </row>
    <row r="123" spans="1:10" ht="20.100000000000001" customHeight="1">
      <c r="A123" s="303" t="s">
        <v>381</v>
      </c>
      <c r="B123" s="304"/>
      <c r="C123" s="65"/>
      <c r="D123" s="301"/>
      <c r="E123" s="302"/>
      <c r="F123" s="91"/>
      <c r="G123" s="91"/>
      <c r="H123" s="91"/>
      <c r="I123" s="94"/>
      <c r="J123" s="103"/>
    </row>
    <row r="124" spans="1:10" ht="29.25" customHeight="1">
      <c r="A124" s="299" t="s">
        <v>382</v>
      </c>
      <c r="B124" s="300"/>
      <c r="C124" s="65"/>
      <c r="D124" s="301"/>
      <c r="E124" s="302"/>
      <c r="F124" s="91"/>
      <c r="G124" s="61" t="s">
        <v>369</v>
      </c>
      <c r="H124" s="61" t="s">
        <v>369</v>
      </c>
      <c r="I124" s="94"/>
      <c r="J124" s="103"/>
    </row>
    <row r="125" spans="1:10" ht="20.100000000000001" customHeight="1">
      <c r="A125" s="299" t="s">
        <v>326</v>
      </c>
      <c r="B125" s="300"/>
      <c r="C125" s="65"/>
      <c r="D125" s="305" t="s">
        <v>368</v>
      </c>
      <c r="E125" s="306"/>
      <c r="F125" s="91"/>
      <c r="G125" s="91"/>
      <c r="H125" s="91"/>
      <c r="I125" s="94"/>
      <c r="J125" s="103"/>
    </row>
    <row r="126" spans="1:10" ht="20.100000000000001" customHeight="1">
      <c r="A126" s="299" t="s">
        <v>418</v>
      </c>
      <c r="B126" s="300"/>
      <c r="C126" s="65"/>
      <c r="D126" s="301"/>
      <c r="E126" s="302"/>
      <c r="F126" s="91"/>
      <c r="G126" s="91"/>
      <c r="H126" s="91"/>
      <c r="I126" s="94"/>
      <c r="J126" s="102" t="s">
        <v>419</v>
      </c>
    </row>
    <row r="127" spans="1:10" ht="20.100000000000001" customHeight="1">
      <c r="A127" s="299" t="s">
        <v>426</v>
      </c>
      <c r="B127" s="300"/>
      <c r="C127" s="65"/>
      <c r="D127" s="301"/>
      <c r="E127" s="302"/>
      <c r="F127" s="91"/>
      <c r="G127" s="91"/>
      <c r="H127" s="91"/>
      <c r="I127" s="94"/>
      <c r="J127" s="102"/>
    </row>
    <row r="128" spans="1:10" ht="20.100000000000001" customHeight="1">
      <c r="A128" s="303" t="s">
        <v>383</v>
      </c>
      <c r="B128" s="304"/>
      <c r="C128" s="65"/>
      <c r="D128" s="301"/>
      <c r="E128" s="302"/>
      <c r="F128" s="91"/>
      <c r="G128" s="91"/>
      <c r="H128" s="91"/>
      <c r="I128" s="94"/>
      <c r="J128" s="103"/>
    </row>
    <row r="129" spans="1:10" ht="20.100000000000001" customHeight="1">
      <c r="A129" s="299" t="s">
        <v>384</v>
      </c>
      <c r="B129" s="300"/>
      <c r="C129" s="65"/>
      <c r="D129" s="301"/>
      <c r="E129" s="302"/>
      <c r="F129" s="91"/>
      <c r="G129" s="91"/>
      <c r="H129" s="91"/>
      <c r="I129" s="94"/>
      <c r="J129" s="103"/>
    </row>
    <row r="130" spans="1:10" ht="20.100000000000001" customHeight="1">
      <c r="A130" s="299" t="s">
        <v>385</v>
      </c>
      <c r="B130" s="300"/>
      <c r="C130" s="65"/>
      <c r="D130" s="301"/>
      <c r="E130" s="302"/>
      <c r="F130" s="91"/>
      <c r="G130" s="91"/>
      <c r="H130" s="91"/>
      <c r="I130" s="94"/>
      <c r="J130" s="103"/>
    </row>
    <row r="131" spans="1:10" ht="20.100000000000001" customHeight="1">
      <c r="A131" s="299" t="s">
        <v>386</v>
      </c>
      <c r="B131" s="300"/>
      <c r="C131" s="65"/>
      <c r="D131" s="301"/>
      <c r="E131" s="302"/>
      <c r="F131" s="91"/>
      <c r="G131" s="91"/>
      <c r="H131" s="91"/>
      <c r="I131" s="94"/>
      <c r="J131" s="103"/>
    </row>
    <row r="132" spans="1:10" ht="20.100000000000001" customHeight="1">
      <c r="A132" s="299" t="s">
        <v>387</v>
      </c>
      <c r="B132" s="300"/>
      <c r="C132" s="65"/>
      <c r="D132" s="301"/>
      <c r="E132" s="302"/>
      <c r="F132" s="91"/>
      <c r="G132" s="91"/>
      <c r="H132" s="91"/>
      <c r="I132" s="94"/>
      <c r="J132" s="103"/>
    </row>
    <row r="133" spans="1:10" ht="20.100000000000001" customHeight="1">
      <c r="A133" s="299"/>
      <c r="B133" s="300"/>
      <c r="C133" s="65"/>
      <c r="D133" s="301"/>
      <c r="E133" s="302"/>
      <c r="F133" s="91"/>
      <c r="G133" s="91"/>
      <c r="H133" s="91"/>
      <c r="I133" s="94"/>
      <c r="J133" s="103"/>
    </row>
    <row r="134" spans="1:10" ht="20.100000000000001" customHeight="1">
      <c r="A134" s="99"/>
      <c r="B134" s="85"/>
      <c r="C134" s="85"/>
      <c r="D134" s="85"/>
      <c r="E134" s="85"/>
      <c r="F134" s="85"/>
      <c r="G134" s="85"/>
      <c r="H134" s="85"/>
      <c r="I134" s="85"/>
      <c r="J134" s="103"/>
    </row>
    <row r="135" spans="1:10" ht="20.100000000000001" customHeight="1">
      <c r="A135" s="99"/>
      <c r="B135" s="85"/>
      <c r="C135" s="85"/>
      <c r="D135" s="85"/>
      <c r="E135" s="85"/>
      <c r="F135" s="85"/>
      <c r="G135" s="85"/>
      <c r="H135" s="85"/>
      <c r="I135" s="85"/>
      <c r="J135" s="103"/>
    </row>
    <row r="136" spans="1:10" ht="20.100000000000001" customHeight="1">
      <c r="A136" s="97" t="s">
        <v>388</v>
      </c>
      <c r="B136" s="85"/>
      <c r="C136" s="85"/>
      <c r="D136" s="85"/>
      <c r="E136" s="85"/>
      <c r="F136" s="85"/>
      <c r="G136" s="85"/>
      <c r="H136" s="85"/>
      <c r="I136" s="85"/>
      <c r="J136" s="103"/>
    </row>
    <row r="137" spans="1:10" ht="29.25" customHeight="1">
      <c r="A137" s="295" t="s">
        <v>216</v>
      </c>
      <c r="B137" s="296"/>
      <c r="C137" s="96" t="s">
        <v>217</v>
      </c>
      <c r="D137" s="338" t="s">
        <v>389</v>
      </c>
      <c r="E137" s="298"/>
      <c r="F137" s="96" t="s">
        <v>218</v>
      </c>
      <c r="G137" s="96" t="s">
        <v>219</v>
      </c>
      <c r="H137" s="71" t="s">
        <v>364</v>
      </c>
      <c r="I137" s="96" t="s">
        <v>220</v>
      </c>
      <c r="J137" s="103"/>
    </row>
    <row r="138" spans="1:10" ht="20.100000000000001" customHeight="1">
      <c r="A138" s="299" t="s">
        <v>390</v>
      </c>
      <c r="B138" s="300"/>
      <c r="C138" s="65"/>
      <c r="D138" s="301"/>
      <c r="E138" s="302"/>
      <c r="F138" s="91"/>
      <c r="G138" s="91"/>
      <c r="H138" s="91"/>
      <c r="I138" s="94"/>
      <c r="J138" s="103"/>
    </row>
    <row r="139" spans="1:10" ht="20.100000000000001" customHeight="1">
      <c r="A139" s="299" t="s">
        <v>391</v>
      </c>
      <c r="B139" s="300"/>
      <c r="C139" s="65"/>
      <c r="D139" s="301"/>
      <c r="E139" s="302"/>
      <c r="F139" s="91"/>
      <c r="G139" s="91"/>
      <c r="H139" s="91"/>
      <c r="I139" s="94"/>
      <c r="J139" s="103"/>
    </row>
    <row r="140" spans="1:10" ht="20.100000000000001" customHeight="1">
      <c r="A140" s="299" t="s">
        <v>392</v>
      </c>
      <c r="B140" s="300"/>
      <c r="C140" s="65"/>
      <c r="D140" s="301"/>
      <c r="E140" s="302"/>
      <c r="F140" s="91"/>
      <c r="G140" s="91"/>
      <c r="H140" s="91"/>
      <c r="I140" s="94"/>
      <c r="J140" s="103"/>
    </row>
    <row r="141" spans="1:10" ht="20.100000000000001" customHeight="1">
      <c r="A141" s="299" t="s">
        <v>393</v>
      </c>
      <c r="B141" s="300"/>
      <c r="C141" s="65"/>
      <c r="D141" s="301"/>
      <c r="E141" s="302"/>
      <c r="F141" s="91"/>
      <c r="G141" s="91"/>
      <c r="H141" s="91"/>
      <c r="I141" s="94"/>
      <c r="J141" s="103"/>
    </row>
    <row r="142" spans="1:10" ht="20.100000000000001" customHeight="1">
      <c r="A142" s="299" t="s">
        <v>394</v>
      </c>
      <c r="B142" s="300"/>
      <c r="C142" s="65"/>
      <c r="D142" s="301"/>
      <c r="E142" s="302"/>
      <c r="F142" s="91"/>
      <c r="G142" s="91"/>
      <c r="H142" s="91"/>
      <c r="I142" s="94"/>
      <c r="J142" s="103"/>
    </row>
    <row r="143" spans="1:10" ht="20.100000000000001" customHeight="1">
      <c r="A143" s="299"/>
      <c r="B143" s="300"/>
      <c r="C143" s="65"/>
      <c r="D143" s="301"/>
      <c r="E143" s="302"/>
      <c r="F143" s="91"/>
      <c r="G143" s="91"/>
      <c r="H143" s="91"/>
      <c r="I143" s="94"/>
      <c r="J143" s="103"/>
    </row>
    <row r="144" spans="1:10" ht="20.100000000000001" customHeight="1">
      <c r="A144" s="99"/>
      <c r="B144" s="85"/>
      <c r="C144" s="85"/>
      <c r="D144" s="85"/>
      <c r="E144" s="85"/>
      <c r="F144" s="85"/>
      <c r="G144" s="85"/>
      <c r="H144" s="85"/>
      <c r="I144" s="85"/>
      <c r="J144" s="103"/>
    </row>
    <row r="145" spans="1:10" ht="20.100000000000001" customHeight="1">
      <c r="A145" s="99"/>
      <c r="B145" s="85"/>
      <c r="C145" s="85"/>
      <c r="D145" s="85"/>
      <c r="E145" s="85"/>
      <c r="F145" s="85"/>
      <c r="G145" s="85"/>
      <c r="H145" s="85"/>
      <c r="I145" s="85"/>
      <c r="J145" s="103"/>
    </row>
    <row r="146" spans="1:10" ht="20.100000000000001" customHeight="1">
      <c r="A146" s="97" t="s">
        <v>395</v>
      </c>
      <c r="B146" s="85"/>
      <c r="C146" s="85"/>
      <c r="D146" s="85"/>
      <c r="E146" s="85"/>
      <c r="F146" s="85"/>
      <c r="G146" s="85"/>
      <c r="H146" s="85"/>
      <c r="I146" s="85"/>
      <c r="J146" s="294"/>
    </row>
    <row r="147" spans="1:10" ht="20.100000000000001" customHeight="1">
      <c r="A147" s="97" t="s">
        <v>396</v>
      </c>
      <c r="B147" s="85"/>
      <c r="C147" s="85"/>
      <c r="D147" s="85"/>
      <c r="E147" s="85"/>
      <c r="F147" s="85"/>
      <c r="G147" s="85"/>
      <c r="H147" s="85"/>
      <c r="I147" s="85"/>
      <c r="J147" s="284"/>
    </row>
    <row r="148" spans="1:10" ht="20.100000000000001" customHeight="1">
      <c r="A148" s="295" t="s">
        <v>216</v>
      </c>
      <c r="B148" s="296"/>
      <c r="C148" s="96" t="s">
        <v>217</v>
      </c>
      <c r="D148" s="297">
        <v>44196</v>
      </c>
      <c r="E148" s="298"/>
      <c r="F148" s="75">
        <v>44197</v>
      </c>
      <c r="G148" s="96" t="s">
        <v>397</v>
      </c>
      <c r="H148" s="75" t="s">
        <v>399</v>
      </c>
      <c r="I148" s="96" t="s">
        <v>398</v>
      </c>
      <c r="J148" s="103"/>
    </row>
    <row r="149" spans="1:10" ht="20.100000000000001" customHeight="1">
      <c r="A149" s="303" t="s">
        <v>221</v>
      </c>
      <c r="B149" s="307"/>
      <c r="C149" s="65"/>
      <c r="D149" s="301"/>
      <c r="E149" s="302"/>
      <c r="F149" s="91"/>
      <c r="G149" s="91"/>
      <c r="H149" s="91"/>
      <c r="I149" s="94"/>
      <c r="J149" s="103"/>
    </row>
    <row r="150" spans="1:10" ht="20.100000000000001" customHeight="1">
      <c r="A150" s="299" t="s">
        <v>401</v>
      </c>
      <c r="B150" s="300"/>
      <c r="C150" s="65"/>
      <c r="D150" s="305"/>
      <c r="E150" s="306"/>
      <c r="F150" s="91"/>
      <c r="G150" s="91">
        <f>F150-D150</f>
        <v>0</v>
      </c>
      <c r="H150" s="91"/>
      <c r="I150" s="94"/>
      <c r="J150" s="103"/>
    </row>
    <row r="151" spans="1:10" ht="20.100000000000001" customHeight="1">
      <c r="A151" s="299" t="s">
        <v>347</v>
      </c>
      <c r="B151" s="300"/>
      <c r="C151" s="65"/>
      <c r="D151" s="305" t="s">
        <v>368</v>
      </c>
      <c r="E151" s="306"/>
      <c r="F151" s="91"/>
      <c r="G151" s="91">
        <f>F151</f>
        <v>0</v>
      </c>
      <c r="H151" s="91"/>
      <c r="I151" s="94"/>
      <c r="J151" s="103"/>
    </row>
    <row r="152" spans="1:10" ht="31.5" customHeight="1">
      <c r="A152" s="299" t="s">
        <v>254</v>
      </c>
      <c r="B152" s="300"/>
      <c r="C152" s="65"/>
      <c r="D152" s="301"/>
      <c r="E152" s="302"/>
      <c r="F152" s="61" t="s">
        <v>369</v>
      </c>
      <c r="G152" s="61">
        <f>-D152</f>
        <v>0</v>
      </c>
      <c r="H152" s="61"/>
      <c r="I152" s="94"/>
      <c r="J152" s="103"/>
    </row>
    <row r="153" spans="1:10" ht="20.100000000000001" customHeight="1">
      <c r="A153" s="299" t="s">
        <v>400</v>
      </c>
      <c r="B153" s="300"/>
      <c r="C153" s="65"/>
      <c r="D153" s="301"/>
      <c r="E153" s="302"/>
      <c r="F153" s="91"/>
      <c r="G153" s="91">
        <f t="shared" ref="G153:G161" si="0">F153-D153</f>
        <v>0</v>
      </c>
      <c r="H153" s="91"/>
      <c r="I153" s="94"/>
      <c r="J153" s="103"/>
    </row>
    <row r="154" spans="1:10" ht="20.100000000000001" customHeight="1">
      <c r="A154" s="299" t="s">
        <v>427</v>
      </c>
      <c r="B154" s="300"/>
      <c r="C154" s="65"/>
      <c r="D154" s="301"/>
      <c r="E154" s="302"/>
      <c r="F154" s="91"/>
      <c r="G154" s="91">
        <f t="shared" si="0"/>
        <v>0</v>
      </c>
      <c r="H154" s="91"/>
      <c r="I154" s="94"/>
      <c r="J154" s="103"/>
    </row>
    <row r="155" spans="1:10" ht="20.100000000000001" customHeight="1">
      <c r="A155" s="299" t="s">
        <v>428</v>
      </c>
      <c r="B155" s="300"/>
      <c r="C155" s="65"/>
      <c r="D155" s="301"/>
      <c r="E155" s="302"/>
      <c r="F155" s="91"/>
      <c r="G155" s="91">
        <f t="shared" si="0"/>
        <v>0</v>
      </c>
      <c r="H155" s="91"/>
      <c r="I155" s="94"/>
      <c r="J155" s="103"/>
    </row>
    <row r="156" spans="1:10" ht="20.100000000000001" customHeight="1">
      <c r="A156" s="299" t="s">
        <v>296</v>
      </c>
      <c r="B156" s="300"/>
      <c r="C156" s="65"/>
      <c r="D156" s="305" t="s">
        <v>368</v>
      </c>
      <c r="E156" s="306"/>
      <c r="F156" s="91"/>
      <c r="G156" s="91">
        <f>F156</f>
        <v>0</v>
      </c>
      <c r="H156" s="91"/>
      <c r="I156" s="94"/>
      <c r="J156" s="103"/>
    </row>
    <row r="157" spans="1:10" ht="20.100000000000001" customHeight="1">
      <c r="A157" s="299" t="s">
        <v>429</v>
      </c>
      <c r="B157" s="300"/>
      <c r="C157" s="65"/>
      <c r="D157" s="301"/>
      <c r="E157" s="302"/>
      <c r="F157" s="91"/>
      <c r="G157" s="91">
        <f t="shared" si="0"/>
        <v>0</v>
      </c>
      <c r="H157" s="91"/>
      <c r="I157" s="94"/>
      <c r="J157" s="103"/>
    </row>
    <row r="158" spans="1:10" ht="20.100000000000001" customHeight="1">
      <c r="A158" s="299" t="s">
        <v>430</v>
      </c>
      <c r="B158" s="300"/>
      <c r="C158" s="65"/>
      <c r="D158" s="301"/>
      <c r="E158" s="302"/>
      <c r="F158" s="91"/>
      <c r="G158" s="91">
        <f t="shared" si="0"/>
        <v>0</v>
      </c>
      <c r="H158" s="91"/>
      <c r="I158" s="94"/>
      <c r="J158" s="103"/>
    </row>
    <row r="159" spans="1:10" ht="20.100000000000001" customHeight="1">
      <c r="A159" s="299" t="s">
        <v>372</v>
      </c>
      <c r="B159" s="300"/>
      <c r="C159" s="65"/>
      <c r="D159" s="301"/>
      <c r="E159" s="302"/>
      <c r="F159" s="91"/>
      <c r="G159" s="91">
        <f t="shared" si="0"/>
        <v>0</v>
      </c>
      <c r="H159" s="91"/>
      <c r="I159" s="94"/>
      <c r="J159" s="103"/>
    </row>
    <row r="160" spans="1:10" ht="20.100000000000001" customHeight="1">
      <c r="A160" s="299" t="s">
        <v>431</v>
      </c>
      <c r="B160" s="300"/>
      <c r="C160" s="65"/>
      <c r="D160" s="301"/>
      <c r="E160" s="302"/>
      <c r="F160" s="91"/>
      <c r="G160" s="91">
        <f t="shared" si="0"/>
        <v>0</v>
      </c>
      <c r="H160" s="91"/>
      <c r="I160" s="94"/>
      <c r="J160" s="103"/>
    </row>
    <row r="161" spans="1:10" ht="20.100000000000001" customHeight="1">
      <c r="A161" s="299"/>
      <c r="B161" s="300"/>
      <c r="C161" s="65"/>
      <c r="D161" s="301"/>
      <c r="E161" s="302"/>
      <c r="F161" s="91"/>
      <c r="G161" s="91">
        <f t="shared" si="0"/>
        <v>0</v>
      </c>
      <c r="H161" s="91"/>
      <c r="I161" s="94"/>
      <c r="J161" s="103"/>
    </row>
    <row r="162" spans="1:10" ht="20.100000000000001" customHeight="1">
      <c r="A162" s="303" t="s">
        <v>227</v>
      </c>
      <c r="B162" s="307"/>
      <c r="C162" s="65"/>
      <c r="D162" s="301"/>
      <c r="E162" s="302"/>
      <c r="F162" s="91"/>
      <c r="G162" s="91"/>
      <c r="H162" s="91"/>
      <c r="I162" s="94"/>
      <c r="J162" s="103"/>
    </row>
    <row r="163" spans="1:10" ht="20.100000000000001" customHeight="1">
      <c r="A163" s="299" t="s">
        <v>432</v>
      </c>
      <c r="B163" s="300"/>
      <c r="C163" s="65"/>
      <c r="D163" s="305" t="s">
        <v>368</v>
      </c>
      <c r="E163" s="306"/>
      <c r="F163" s="91"/>
      <c r="G163" s="91">
        <f>F163</f>
        <v>0</v>
      </c>
      <c r="H163" s="91"/>
      <c r="I163" s="94"/>
      <c r="J163" s="103"/>
    </row>
    <row r="164" spans="1:10" ht="20.100000000000001" customHeight="1">
      <c r="A164" s="299" t="s">
        <v>268</v>
      </c>
      <c r="B164" s="300"/>
      <c r="C164" s="65"/>
      <c r="D164" s="301"/>
      <c r="E164" s="302"/>
      <c r="F164" s="61" t="s">
        <v>369</v>
      </c>
      <c r="G164" s="61">
        <f>-D164</f>
        <v>0</v>
      </c>
      <c r="H164" s="91"/>
      <c r="I164" s="94"/>
      <c r="J164" s="103"/>
    </row>
    <row r="165" spans="1:10" ht="20.100000000000001" customHeight="1">
      <c r="A165" s="299" t="s">
        <v>433</v>
      </c>
      <c r="B165" s="300"/>
      <c r="C165" s="65"/>
      <c r="D165" s="305" t="s">
        <v>368</v>
      </c>
      <c r="E165" s="306"/>
      <c r="F165" s="91"/>
      <c r="G165" s="91">
        <f>F165</f>
        <v>0</v>
      </c>
      <c r="H165" s="91"/>
      <c r="I165" s="94"/>
      <c r="J165" s="103"/>
    </row>
    <row r="166" spans="1:10" ht="20.100000000000001" customHeight="1">
      <c r="A166" s="299" t="s">
        <v>377</v>
      </c>
      <c r="B166" s="300"/>
      <c r="C166" s="65"/>
      <c r="D166" s="301"/>
      <c r="E166" s="302"/>
      <c r="F166" s="61" t="s">
        <v>369</v>
      </c>
      <c r="G166" s="61">
        <f>-D166</f>
        <v>0</v>
      </c>
      <c r="H166" s="91"/>
      <c r="I166" s="94"/>
      <c r="J166" s="103"/>
    </row>
    <row r="167" spans="1:10" ht="20.100000000000001" customHeight="1">
      <c r="A167" s="299" t="s">
        <v>359</v>
      </c>
      <c r="B167" s="300"/>
      <c r="C167" s="65"/>
      <c r="D167" s="301"/>
      <c r="E167" s="302"/>
      <c r="F167" s="91"/>
      <c r="G167" s="91">
        <f t="shared" ref="G167" si="1">F167-D167</f>
        <v>0</v>
      </c>
      <c r="H167" s="91"/>
      <c r="I167" s="94"/>
      <c r="J167" s="103"/>
    </row>
    <row r="168" spans="1:10" ht="20.100000000000001" customHeight="1">
      <c r="A168" s="299" t="s">
        <v>280</v>
      </c>
      <c r="B168" s="300"/>
      <c r="C168" s="65"/>
      <c r="D168" s="305" t="s">
        <v>368</v>
      </c>
      <c r="E168" s="306"/>
      <c r="F168" s="91"/>
      <c r="G168" s="91">
        <f>F168</f>
        <v>0</v>
      </c>
      <c r="H168" s="91"/>
      <c r="I168" s="94"/>
      <c r="J168" s="103"/>
    </row>
    <row r="169" spans="1:10" ht="20.100000000000001" customHeight="1">
      <c r="A169" s="299" t="s">
        <v>361</v>
      </c>
      <c r="B169" s="300"/>
      <c r="C169" s="65"/>
      <c r="D169" s="305" t="s">
        <v>368</v>
      </c>
      <c r="E169" s="306"/>
      <c r="F169" s="91"/>
      <c r="G169" s="91">
        <f>F169</f>
        <v>0</v>
      </c>
      <c r="H169" s="91"/>
      <c r="I169" s="94"/>
      <c r="J169" s="103"/>
    </row>
    <row r="170" spans="1:10" ht="20.100000000000001" customHeight="1">
      <c r="A170" s="299" t="s">
        <v>229</v>
      </c>
      <c r="B170" s="300"/>
      <c r="C170" s="65"/>
      <c r="D170" s="301"/>
      <c r="E170" s="302"/>
      <c r="F170" s="91"/>
      <c r="G170" s="91">
        <f t="shared" ref="G170:G173" si="2">F170-D170</f>
        <v>0</v>
      </c>
      <c r="H170" s="91"/>
      <c r="I170" s="94"/>
      <c r="J170" s="103"/>
    </row>
    <row r="171" spans="1:10" ht="20.100000000000001" customHeight="1">
      <c r="A171" s="299"/>
      <c r="B171" s="300"/>
      <c r="C171" s="65"/>
      <c r="D171" s="301"/>
      <c r="E171" s="302"/>
      <c r="F171" s="91"/>
      <c r="G171" s="91">
        <f t="shared" si="2"/>
        <v>0</v>
      </c>
      <c r="H171" s="91"/>
      <c r="I171" s="94"/>
      <c r="J171" s="103"/>
    </row>
    <row r="172" spans="1:10" ht="20.100000000000001" customHeight="1">
      <c r="A172" s="303" t="s">
        <v>230</v>
      </c>
      <c r="B172" s="304"/>
      <c r="C172" s="65"/>
      <c r="D172" s="301"/>
      <c r="E172" s="302"/>
      <c r="F172" s="91"/>
      <c r="G172" s="91"/>
      <c r="H172" s="91"/>
      <c r="I172" s="94"/>
      <c r="J172" s="103"/>
    </row>
    <row r="173" spans="1:10" ht="20.100000000000001" customHeight="1">
      <c r="A173" s="299" t="s">
        <v>434</v>
      </c>
      <c r="B173" s="300"/>
      <c r="C173" s="65"/>
      <c r="D173" s="301"/>
      <c r="E173" s="302"/>
      <c r="F173" s="91"/>
      <c r="G173" s="91">
        <f t="shared" si="2"/>
        <v>0</v>
      </c>
      <c r="H173" s="91"/>
      <c r="I173" s="94"/>
      <c r="J173" s="103"/>
    </row>
    <row r="174" spans="1:10" ht="20.100000000000001" customHeight="1">
      <c r="A174" s="299" t="s">
        <v>435</v>
      </c>
      <c r="B174" s="300"/>
      <c r="C174" s="65"/>
      <c r="D174" s="305" t="s">
        <v>368</v>
      </c>
      <c r="E174" s="306"/>
      <c r="F174" s="91"/>
      <c r="G174" s="91">
        <f>F174</f>
        <v>0</v>
      </c>
      <c r="H174" s="91"/>
      <c r="I174" s="94"/>
      <c r="J174" s="103"/>
    </row>
    <row r="175" spans="1:10" ht="28.5" customHeight="1">
      <c r="A175" s="299" t="s">
        <v>436</v>
      </c>
      <c r="B175" s="300"/>
      <c r="C175" s="65"/>
      <c r="D175" s="301"/>
      <c r="E175" s="302"/>
      <c r="F175" s="61" t="s">
        <v>369</v>
      </c>
      <c r="G175" s="61">
        <f>-D175</f>
        <v>0</v>
      </c>
      <c r="H175" s="91"/>
      <c r="I175" s="94"/>
      <c r="J175" s="103"/>
    </row>
    <row r="176" spans="1:10" ht="20.100000000000001" customHeight="1">
      <c r="A176" s="299" t="s">
        <v>437</v>
      </c>
      <c r="B176" s="300"/>
      <c r="C176" s="65"/>
      <c r="D176" s="301"/>
      <c r="E176" s="302"/>
      <c r="F176" s="91"/>
      <c r="G176" s="91">
        <f t="shared" ref="G176:G180" si="3">F176-D176</f>
        <v>0</v>
      </c>
      <c r="H176" s="91"/>
      <c r="I176" s="94"/>
      <c r="J176" s="103"/>
    </row>
    <row r="177" spans="1:10" ht="20.100000000000001" customHeight="1">
      <c r="A177" s="299" t="s">
        <v>438</v>
      </c>
      <c r="B177" s="300"/>
      <c r="C177" s="65"/>
      <c r="D177" s="301"/>
      <c r="E177" s="302"/>
      <c r="F177" s="91"/>
      <c r="G177" s="91">
        <f t="shared" si="3"/>
        <v>0</v>
      </c>
      <c r="H177" s="91"/>
      <c r="I177" s="94"/>
      <c r="J177" s="103"/>
    </row>
    <row r="178" spans="1:10" ht="20.100000000000001" customHeight="1">
      <c r="A178" s="299" t="s">
        <v>439</v>
      </c>
      <c r="B178" s="300"/>
      <c r="C178" s="65"/>
      <c r="D178" s="301"/>
      <c r="E178" s="302"/>
      <c r="F178" s="91"/>
      <c r="G178" s="91">
        <f t="shared" si="3"/>
        <v>0</v>
      </c>
      <c r="H178" s="91"/>
      <c r="I178" s="94"/>
      <c r="J178" s="103"/>
    </row>
    <row r="179" spans="1:10" ht="20.100000000000001" customHeight="1">
      <c r="A179" s="299" t="s">
        <v>440</v>
      </c>
      <c r="B179" s="300"/>
      <c r="C179" s="65"/>
      <c r="D179" s="301"/>
      <c r="E179" s="302"/>
      <c r="F179" s="91"/>
      <c r="G179" s="91">
        <f t="shared" si="3"/>
        <v>0</v>
      </c>
      <c r="H179" s="91"/>
      <c r="I179" s="94"/>
      <c r="J179" s="103"/>
    </row>
    <row r="180" spans="1:10" ht="20.100000000000001" customHeight="1">
      <c r="A180" s="299" t="s">
        <v>441</v>
      </c>
      <c r="B180" s="300"/>
      <c r="C180" s="65"/>
      <c r="D180" s="301"/>
      <c r="E180" s="302"/>
      <c r="F180" s="91"/>
      <c r="G180" s="91">
        <f t="shared" si="3"/>
        <v>0</v>
      </c>
      <c r="H180" s="91"/>
      <c r="I180" s="94"/>
      <c r="J180" s="103"/>
    </row>
    <row r="181" spans="1:10" ht="20.100000000000001" customHeight="1">
      <c r="A181" s="299"/>
      <c r="B181" s="300"/>
      <c r="C181" s="65"/>
      <c r="D181" s="301"/>
      <c r="E181" s="302"/>
      <c r="F181" s="91"/>
      <c r="G181" s="91"/>
      <c r="H181" s="91"/>
      <c r="I181" s="94"/>
      <c r="J181" s="103"/>
    </row>
    <row r="182" spans="1:10" ht="20.100000000000001" customHeight="1">
      <c r="A182" s="303" t="s">
        <v>234</v>
      </c>
      <c r="B182" s="304"/>
      <c r="C182" s="65"/>
      <c r="D182" s="301"/>
      <c r="E182" s="302"/>
      <c r="F182" s="91"/>
      <c r="G182" s="91"/>
      <c r="H182" s="91"/>
      <c r="I182" s="94"/>
      <c r="J182" s="103"/>
    </row>
    <row r="183" spans="1:10" ht="20.100000000000001" customHeight="1">
      <c r="A183" s="299" t="s">
        <v>442</v>
      </c>
      <c r="B183" s="300"/>
      <c r="C183" s="65"/>
      <c r="D183" s="301"/>
      <c r="E183" s="302"/>
      <c r="F183" s="91"/>
      <c r="G183" s="91">
        <f t="shared" ref="G183:G186" si="4">F183-D183</f>
        <v>0</v>
      </c>
      <c r="H183" s="91"/>
      <c r="I183" s="94"/>
      <c r="J183" s="103"/>
    </row>
    <row r="184" spans="1:10" ht="20.100000000000001" customHeight="1">
      <c r="A184" s="299" t="s">
        <v>443</v>
      </c>
      <c r="B184" s="300"/>
      <c r="C184" s="65"/>
      <c r="D184" s="301"/>
      <c r="E184" s="302"/>
      <c r="F184" s="91"/>
      <c r="G184" s="91">
        <f t="shared" si="4"/>
        <v>0</v>
      </c>
      <c r="H184" s="91"/>
      <c r="I184" s="94"/>
      <c r="J184" s="103"/>
    </row>
    <row r="185" spans="1:10" ht="20.100000000000001" customHeight="1">
      <c r="A185" s="299" t="s">
        <v>444</v>
      </c>
      <c r="B185" s="300"/>
      <c r="C185" s="65"/>
      <c r="D185" s="301"/>
      <c r="E185" s="302"/>
      <c r="F185" s="91"/>
      <c r="G185" s="91">
        <f t="shared" si="4"/>
        <v>0</v>
      </c>
      <c r="H185" s="91"/>
      <c r="I185" s="94"/>
      <c r="J185" s="103"/>
    </row>
    <row r="186" spans="1:10" ht="20.100000000000001" customHeight="1">
      <c r="A186" s="299"/>
      <c r="B186" s="300"/>
      <c r="C186" s="65"/>
      <c r="D186" s="301"/>
      <c r="E186" s="302"/>
      <c r="F186" s="91"/>
      <c r="G186" s="91">
        <f t="shared" si="4"/>
        <v>0</v>
      </c>
      <c r="H186" s="91"/>
      <c r="I186" s="94"/>
      <c r="J186" s="103"/>
    </row>
    <row r="187" spans="1:10" ht="19.5" customHeight="1">
      <c r="A187" s="303" t="s">
        <v>445</v>
      </c>
      <c r="B187" s="304"/>
      <c r="C187" s="65"/>
      <c r="D187" s="301"/>
      <c r="E187" s="302"/>
      <c r="F187" s="91"/>
      <c r="G187" s="91"/>
      <c r="H187" s="91"/>
      <c r="I187" s="94"/>
      <c r="J187" s="103"/>
    </row>
    <row r="188" spans="1:10" ht="20.100000000000001" customHeight="1">
      <c r="A188" s="299" t="s">
        <v>446</v>
      </c>
      <c r="B188" s="300"/>
      <c r="C188" s="65"/>
      <c r="D188" s="301"/>
      <c r="E188" s="302"/>
      <c r="F188" s="91"/>
      <c r="G188" s="91">
        <f t="shared" ref="G188:G191" si="5">F188-D188</f>
        <v>0</v>
      </c>
      <c r="H188" s="91"/>
      <c r="I188" s="94"/>
      <c r="J188" s="103"/>
    </row>
    <row r="189" spans="1:10" ht="20.100000000000001" customHeight="1">
      <c r="A189" s="299" t="s">
        <v>447</v>
      </c>
      <c r="B189" s="300"/>
      <c r="C189" s="65"/>
      <c r="D189" s="301"/>
      <c r="E189" s="302"/>
      <c r="F189" s="91"/>
      <c r="G189" s="91">
        <f t="shared" si="5"/>
        <v>0</v>
      </c>
      <c r="H189" s="91"/>
      <c r="I189" s="94"/>
      <c r="J189" s="103"/>
    </row>
    <row r="190" spans="1:10" ht="20.100000000000001" customHeight="1">
      <c r="A190" s="299" t="s">
        <v>386</v>
      </c>
      <c r="B190" s="300"/>
      <c r="C190" s="65"/>
      <c r="D190" s="301"/>
      <c r="E190" s="302"/>
      <c r="F190" s="91"/>
      <c r="G190" s="91">
        <f t="shared" si="5"/>
        <v>0</v>
      </c>
      <c r="H190" s="91"/>
      <c r="I190" s="94"/>
      <c r="J190" s="103"/>
    </row>
    <row r="191" spans="1:10" ht="20.100000000000001" customHeight="1">
      <c r="A191" s="299" t="s">
        <v>448</v>
      </c>
      <c r="B191" s="300"/>
      <c r="C191" s="65"/>
      <c r="D191" s="301"/>
      <c r="E191" s="302"/>
      <c r="F191" s="91"/>
      <c r="G191" s="91">
        <f t="shared" si="5"/>
        <v>0</v>
      </c>
      <c r="H191" s="91"/>
      <c r="I191" s="94"/>
      <c r="J191" s="103"/>
    </row>
    <row r="192" spans="1:10" ht="20.100000000000001" customHeight="1">
      <c r="A192" s="99"/>
      <c r="B192" s="85"/>
      <c r="C192" s="85"/>
      <c r="D192" s="85"/>
      <c r="E192" s="85"/>
      <c r="F192" s="85"/>
      <c r="G192" s="85"/>
      <c r="H192" s="85"/>
      <c r="I192" s="85"/>
      <c r="J192" s="103"/>
    </row>
    <row r="193" spans="1:10" ht="20.100000000000001" customHeight="1">
      <c r="A193" s="99"/>
      <c r="B193" s="85"/>
      <c r="C193" s="85"/>
      <c r="D193" s="85"/>
      <c r="E193" s="85"/>
      <c r="F193" s="85"/>
      <c r="G193" s="85"/>
      <c r="H193" s="85"/>
      <c r="I193" s="85"/>
      <c r="J193" s="103"/>
    </row>
    <row r="194" spans="1:10" ht="20.100000000000001" customHeight="1">
      <c r="A194" s="97" t="s">
        <v>449</v>
      </c>
      <c r="B194" s="85"/>
      <c r="C194" s="85"/>
      <c r="D194" s="85"/>
      <c r="E194" s="85"/>
      <c r="F194" s="85"/>
      <c r="G194" s="85"/>
      <c r="H194" s="85"/>
      <c r="I194" s="85"/>
      <c r="J194" s="103"/>
    </row>
    <row r="195" spans="1:10" ht="34.5" customHeight="1">
      <c r="A195" s="295" t="s">
        <v>216</v>
      </c>
      <c r="B195" s="296"/>
      <c r="C195" s="96" t="s">
        <v>217</v>
      </c>
      <c r="D195" s="297">
        <v>44196</v>
      </c>
      <c r="E195" s="298"/>
      <c r="F195" s="75">
        <v>44197</v>
      </c>
      <c r="G195" s="96" t="s">
        <v>397</v>
      </c>
      <c r="H195" s="75" t="s">
        <v>399</v>
      </c>
      <c r="I195" s="96" t="s">
        <v>398</v>
      </c>
      <c r="J195" s="103"/>
    </row>
    <row r="196" spans="1:10" ht="20.100000000000001" customHeight="1">
      <c r="A196" s="303" t="s">
        <v>221</v>
      </c>
      <c r="B196" s="307"/>
      <c r="C196" s="65"/>
      <c r="D196" s="301"/>
      <c r="E196" s="302"/>
      <c r="F196" s="91"/>
      <c r="G196" s="91"/>
      <c r="H196" s="91"/>
      <c r="I196" s="94"/>
      <c r="J196" s="103"/>
    </row>
    <row r="197" spans="1:10" ht="20.100000000000001" customHeight="1">
      <c r="A197" s="299"/>
      <c r="B197" s="300"/>
      <c r="C197" s="65"/>
      <c r="D197" s="301"/>
      <c r="E197" s="302"/>
      <c r="F197" s="91"/>
      <c r="G197" s="91"/>
      <c r="H197" s="91"/>
      <c r="I197" s="94"/>
      <c r="J197" s="103"/>
    </row>
    <row r="198" spans="1:10" ht="20.100000000000001" customHeight="1">
      <c r="A198" s="299"/>
      <c r="B198" s="300"/>
      <c r="C198" s="65"/>
      <c r="D198" s="301"/>
      <c r="E198" s="302"/>
      <c r="F198" s="91"/>
      <c r="G198" s="91"/>
      <c r="H198" s="91"/>
      <c r="I198" s="94"/>
      <c r="J198" s="103"/>
    </row>
    <row r="199" spans="1:10" ht="20.100000000000001" customHeight="1">
      <c r="A199" s="299"/>
      <c r="B199" s="300"/>
      <c r="C199" s="65"/>
      <c r="D199" s="301"/>
      <c r="E199" s="302"/>
      <c r="F199" s="91"/>
      <c r="G199" s="91"/>
      <c r="H199" s="91"/>
      <c r="I199" s="94"/>
      <c r="J199" s="103"/>
    </row>
    <row r="200" spans="1:10" ht="20.100000000000001" customHeight="1">
      <c r="A200" s="299"/>
      <c r="B200" s="300"/>
      <c r="C200" s="65"/>
      <c r="D200" s="301"/>
      <c r="E200" s="302"/>
      <c r="F200" s="91"/>
      <c r="G200" s="91"/>
      <c r="H200" s="91"/>
      <c r="I200" s="94"/>
      <c r="J200" s="103"/>
    </row>
    <row r="201" spans="1:10" ht="20.100000000000001" customHeight="1">
      <c r="A201" s="299"/>
      <c r="B201" s="300"/>
      <c r="C201" s="65"/>
      <c r="D201" s="301"/>
      <c r="E201" s="302"/>
      <c r="F201" s="91"/>
      <c r="G201" s="91"/>
      <c r="H201" s="91"/>
      <c r="I201" s="94"/>
      <c r="J201" s="103"/>
    </row>
    <row r="202" spans="1:10" ht="20.100000000000001" customHeight="1">
      <c r="A202" s="303" t="s">
        <v>230</v>
      </c>
      <c r="B202" s="304"/>
      <c r="C202" s="65"/>
      <c r="D202" s="301"/>
      <c r="E202" s="302"/>
      <c r="F202" s="91"/>
      <c r="G202" s="91"/>
      <c r="H202" s="91"/>
      <c r="I202" s="94"/>
      <c r="J202" s="103"/>
    </row>
    <row r="203" spans="1:10" ht="20.100000000000001" customHeight="1">
      <c r="A203" s="299"/>
      <c r="B203" s="300"/>
      <c r="C203" s="65"/>
      <c r="D203" s="301"/>
      <c r="E203" s="302"/>
      <c r="F203" s="91"/>
      <c r="G203" s="91"/>
      <c r="H203" s="91"/>
      <c r="I203" s="94"/>
      <c r="J203" s="103"/>
    </row>
    <row r="204" spans="1:10" ht="20.100000000000001" customHeight="1">
      <c r="A204" s="299"/>
      <c r="B204" s="300"/>
      <c r="C204" s="65"/>
      <c r="D204" s="301"/>
      <c r="E204" s="302"/>
      <c r="F204" s="91"/>
      <c r="G204" s="91"/>
      <c r="H204" s="91"/>
      <c r="I204" s="94"/>
      <c r="J204" s="103"/>
    </row>
    <row r="205" spans="1:10" ht="20.100000000000001" customHeight="1">
      <c r="A205" s="299"/>
      <c r="B205" s="300"/>
      <c r="C205" s="65"/>
      <c r="D205" s="301"/>
      <c r="E205" s="302"/>
      <c r="F205" s="91"/>
      <c r="G205" s="91"/>
      <c r="H205" s="91"/>
      <c r="I205" s="94"/>
      <c r="J205" s="103"/>
    </row>
    <row r="206" spans="1:10" ht="20.100000000000001" customHeight="1">
      <c r="A206" s="299" t="s">
        <v>249</v>
      </c>
      <c r="B206" s="300"/>
      <c r="C206" s="65"/>
      <c r="D206" s="301"/>
      <c r="E206" s="302"/>
      <c r="F206" s="91"/>
      <c r="G206" s="91"/>
      <c r="H206" s="91"/>
      <c r="I206" s="94"/>
      <c r="J206" s="103"/>
    </row>
    <row r="207" spans="1:10" ht="20.100000000000001" customHeight="1">
      <c r="A207" s="99"/>
      <c r="B207" s="85"/>
      <c r="C207" s="85"/>
      <c r="D207" s="85"/>
      <c r="E207" s="85"/>
      <c r="F207" s="85"/>
      <c r="G207" s="85"/>
      <c r="H207" s="85"/>
      <c r="I207" s="85"/>
      <c r="J207" s="103"/>
    </row>
    <row r="208" spans="1:10" ht="20.100000000000001" customHeight="1">
      <c r="A208" s="99"/>
      <c r="B208" s="85"/>
      <c r="C208" s="85"/>
      <c r="D208" s="85"/>
      <c r="E208" s="85"/>
      <c r="F208" s="85"/>
      <c r="G208" s="85"/>
      <c r="H208" s="85"/>
      <c r="I208" s="85"/>
      <c r="J208" s="103"/>
    </row>
    <row r="209" spans="1:10" ht="20.100000000000001" customHeight="1">
      <c r="A209" s="269" t="s">
        <v>8</v>
      </c>
      <c r="B209" s="269"/>
      <c r="C209" s="269"/>
      <c r="D209" s="269"/>
      <c r="E209" s="269"/>
      <c r="F209" s="269"/>
      <c r="G209" s="269"/>
      <c r="H209" s="269"/>
      <c r="I209" s="269"/>
      <c r="J209" s="103"/>
    </row>
    <row r="210" spans="1:10" ht="20.100000000000001" customHeight="1">
      <c r="A210" s="310"/>
      <c r="B210" s="311"/>
      <c r="C210" s="311"/>
      <c r="D210" s="311"/>
      <c r="E210" s="311"/>
      <c r="F210" s="311"/>
      <c r="G210" s="311"/>
      <c r="H210" s="311"/>
      <c r="I210" s="311"/>
      <c r="J210" s="103"/>
    </row>
    <row r="211" spans="1:10" ht="20.100000000000001" customHeight="1">
      <c r="A211" s="98"/>
      <c r="B211" s="98"/>
      <c r="C211" s="98"/>
      <c r="D211" s="98"/>
      <c r="E211" s="98"/>
      <c r="F211" s="98"/>
      <c r="G211" s="98"/>
      <c r="H211" s="98"/>
      <c r="I211" s="95"/>
      <c r="J211" s="103"/>
    </row>
    <row r="212" spans="1:10" ht="20.100000000000001" customHeight="1">
      <c r="A212" s="269" t="s">
        <v>9</v>
      </c>
      <c r="B212" s="269"/>
      <c r="C212" s="269"/>
      <c r="D212" s="269"/>
      <c r="E212" s="269"/>
      <c r="F212" s="269"/>
      <c r="G212" s="269"/>
      <c r="H212" s="269"/>
      <c r="I212" s="269"/>
      <c r="J212" s="103"/>
    </row>
    <row r="213" spans="1:10" ht="49.5" customHeight="1">
      <c r="A213" s="308"/>
      <c r="B213" s="309"/>
      <c r="C213" s="309"/>
      <c r="D213" s="309"/>
      <c r="E213" s="309"/>
      <c r="F213" s="309"/>
      <c r="G213" s="309"/>
      <c r="H213" s="309"/>
      <c r="I213" s="309"/>
      <c r="J213" s="103"/>
    </row>
    <row r="215" spans="1:10" s="86" customFormat="1" ht="18" customHeight="1">
      <c r="A215" s="92" t="s">
        <v>10</v>
      </c>
      <c r="J215" s="105"/>
    </row>
    <row r="216" spans="1:10" s="86" customFormat="1" ht="18" customHeight="1">
      <c r="A216" s="93" t="s">
        <v>450</v>
      </c>
      <c r="J216" s="105"/>
    </row>
    <row r="217" spans="1:10" s="86" customFormat="1" ht="18" customHeight="1">
      <c r="A217" s="93" t="s">
        <v>451</v>
      </c>
      <c r="J217" s="105"/>
    </row>
    <row r="218" spans="1:10" s="86" customFormat="1" ht="18" customHeight="1">
      <c r="A218" s="93" t="s">
        <v>452</v>
      </c>
      <c r="J218" s="105"/>
    </row>
    <row r="219" spans="1:10" s="86" customFormat="1" ht="18" customHeight="1">
      <c r="A219" s="93" t="s">
        <v>453</v>
      </c>
      <c r="J219" s="105"/>
    </row>
    <row r="220" spans="1:10" s="86" customFormat="1" ht="18" customHeight="1">
      <c r="A220" s="93"/>
      <c r="J220" s="105"/>
    </row>
    <row r="221" spans="1:10" s="86" customFormat="1" ht="18" customHeight="1">
      <c r="A221" s="93" t="s">
        <v>454</v>
      </c>
      <c r="J221" s="105"/>
    </row>
    <row r="222" spans="1:10" s="86" customFormat="1" ht="18" customHeight="1">
      <c r="A222" s="93" t="s">
        <v>455</v>
      </c>
      <c r="J222" s="105"/>
    </row>
    <row r="223" spans="1:10" ht="18" customHeight="1"/>
    <row r="224" spans="1:10" ht="18" customHeight="1">
      <c r="A224" s="93" t="s">
        <v>456</v>
      </c>
    </row>
    <row r="225" spans="1:1" ht="18" customHeight="1">
      <c r="A225" s="93" t="s">
        <v>457</v>
      </c>
    </row>
    <row r="226" spans="1:1" ht="18" customHeight="1"/>
    <row r="227" spans="1:1" ht="18" customHeight="1">
      <c r="A227" s="93" t="s">
        <v>458</v>
      </c>
    </row>
    <row r="228" spans="1:1" ht="18" customHeight="1">
      <c r="A228" s="93" t="s">
        <v>459</v>
      </c>
    </row>
  </sheetData>
  <mergeCells count="266">
    <mergeCell ref="A187:B187"/>
    <mergeCell ref="D187:E187"/>
    <mergeCell ref="A185:B185"/>
    <mergeCell ref="D185:E185"/>
    <mergeCell ref="A186:B186"/>
    <mergeCell ref="D186:E186"/>
    <mergeCell ref="A184:B184"/>
    <mergeCell ref="D184:E184"/>
    <mergeCell ref="A169:B169"/>
    <mergeCell ref="D169:E169"/>
    <mergeCell ref="A170:B170"/>
    <mergeCell ref="D170:E170"/>
    <mergeCell ref="A171:B171"/>
    <mergeCell ref="D171:E171"/>
    <mergeCell ref="A172:B172"/>
    <mergeCell ref="D172:E172"/>
    <mergeCell ref="A173:B173"/>
    <mergeCell ref="D173:E173"/>
    <mergeCell ref="A176:B176"/>
    <mergeCell ref="D176:E176"/>
    <mergeCell ref="A174:B174"/>
    <mergeCell ref="D174:E174"/>
    <mergeCell ref="A175:B175"/>
    <mergeCell ref="D175:E175"/>
    <mergeCell ref="A96:B97"/>
    <mergeCell ref="C96:E97"/>
    <mergeCell ref="F96:F97"/>
    <mergeCell ref="A157:B157"/>
    <mergeCell ref="D157:E157"/>
    <mergeCell ref="A150:B150"/>
    <mergeCell ref="D150:E150"/>
    <mergeCell ref="A104:B104"/>
    <mergeCell ref="D104:E104"/>
    <mergeCell ref="A126:B126"/>
    <mergeCell ref="D126:E126"/>
    <mergeCell ref="A127:B127"/>
    <mergeCell ref="D127:E127"/>
    <mergeCell ref="A154:B154"/>
    <mergeCell ref="D154:E154"/>
    <mergeCell ref="A155:B155"/>
    <mergeCell ref="D155:E155"/>
    <mergeCell ref="A156:B156"/>
    <mergeCell ref="D151:E151"/>
    <mergeCell ref="A152:B152"/>
    <mergeCell ref="D152:E152"/>
    <mergeCell ref="D139:E139"/>
    <mergeCell ref="A140:B140"/>
    <mergeCell ref="D140:E140"/>
    <mergeCell ref="A166:B166"/>
    <mergeCell ref="D166:E166"/>
    <mergeCell ref="A167:B167"/>
    <mergeCell ref="D167:E167"/>
    <mergeCell ref="A168:B168"/>
    <mergeCell ref="D168:E168"/>
    <mergeCell ref="A131:B131"/>
    <mergeCell ref="D131:E131"/>
    <mergeCell ref="A133:B133"/>
    <mergeCell ref="D133:E133"/>
    <mergeCell ref="A137:B137"/>
    <mergeCell ref="D137:E137"/>
    <mergeCell ref="A132:B132"/>
    <mergeCell ref="D132:E132"/>
    <mergeCell ref="D156:E156"/>
    <mergeCell ref="A141:B141"/>
    <mergeCell ref="D141:E141"/>
    <mergeCell ref="A142:B142"/>
    <mergeCell ref="D142:E142"/>
    <mergeCell ref="A143:B143"/>
    <mergeCell ref="D143:E143"/>
    <mergeCell ref="A138:B138"/>
    <mergeCell ref="D138:E138"/>
    <mergeCell ref="A139:B139"/>
    <mergeCell ref="A149:B149"/>
    <mergeCell ref="D149:E149"/>
    <mergeCell ref="A151:B151"/>
    <mergeCell ref="D119:E119"/>
    <mergeCell ref="A130:B130"/>
    <mergeCell ref="D130:E130"/>
    <mergeCell ref="A128:B128"/>
    <mergeCell ref="D128:E128"/>
    <mergeCell ref="A129:B129"/>
    <mergeCell ref="D129:E129"/>
    <mergeCell ref="A120:B120"/>
    <mergeCell ref="D120:E120"/>
    <mergeCell ref="A121:B121"/>
    <mergeCell ref="D121:E121"/>
    <mergeCell ref="A124:B124"/>
    <mergeCell ref="D124:E124"/>
    <mergeCell ref="A125:B125"/>
    <mergeCell ref="D125:E125"/>
    <mergeCell ref="A102:B102"/>
    <mergeCell ref="D102:E102"/>
    <mergeCell ref="A98:B98"/>
    <mergeCell ref="C98:E98"/>
    <mergeCell ref="A110:B110"/>
    <mergeCell ref="D110:E110"/>
    <mergeCell ref="A111:B111"/>
    <mergeCell ref="D111:E111"/>
    <mergeCell ref="A112:B112"/>
    <mergeCell ref="D112:E112"/>
    <mergeCell ref="A108:B108"/>
    <mergeCell ref="D108:E108"/>
    <mergeCell ref="A109:B109"/>
    <mergeCell ref="D109:E109"/>
    <mergeCell ref="A103:B103"/>
    <mergeCell ref="D103:E103"/>
    <mergeCell ref="A105:B105"/>
    <mergeCell ref="D105:E105"/>
    <mergeCell ref="A86:B87"/>
    <mergeCell ref="C86:E87"/>
    <mergeCell ref="F86:F87"/>
    <mergeCell ref="C95:E95"/>
    <mergeCell ref="C88:E89"/>
    <mergeCell ref="C78:E78"/>
    <mergeCell ref="C79:E80"/>
    <mergeCell ref="C81:E81"/>
    <mergeCell ref="C82:E83"/>
    <mergeCell ref="A88:B89"/>
    <mergeCell ref="A95:B95"/>
    <mergeCell ref="F88:F89"/>
    <mergeCell ref="A90:B91"/>
    <mergeCell ref="C90:E91"/>
    <mergeCell ref="F90:F91"/>
    <mergeCell ref="A92:B94"/>
    <mergeCell ref="C92:E94"/>
    <mergeCell ref="F92:F94"/>
    <mergeCell ref="G77:I77"/>
    <mergeCell ref="A79:B80"/>
    <mergeCell ref="A81:B85"/>
    <mergeCell ref="A78:B78"/>
    <mergeCell ref="A70:A73"/>
    <mergeCell ref="B70:B73"/>
    <mergeCell ref="A77:F77"/>
    <mergeCell ref="C66:E69"/>
    <mergeCell ref="A50:A55"/>
    <mergeCell ref="B50:B55"/>
    <mergeCell ref="C50:E55"/>
    <mergeCell ref="A56:A61"/>
    <mergeCell ref="B56:B61"/>
    <mergeCell ref="C56:E61"/>
    <mergeCell ref="A62:A65"/>
    <mergeCell ref="B62:B65"/>
    <mergeCell ref="C62:E65"/>
    <mergeCell ref="F79:F80"/>
    <mergeCell ref="F82:F83"/>
    <mergeCell ref="C84:E85"/>
    <mergeCell ref="F84:F85"/>
    <mergeCell ref="C70:E73"/>
    <mergeCell ref="A212:I212"/>
    <mergeCell ref="A213:I213"/>
    <mergeCell ref="A38:A43"/>
    <mergeCell ref="B38:B43"/>
    <mergeCell ref="C38:E43"/>
    <mergeCell ref="A44:A49"/>
    <mergeCell ref="B44:B49"/>
    <mergeCell ref="C44:E49"/>
    <mergeCell ref="A66:A69"/>
    <mergeCell ref="B66:B69"/>
    <mergeCell ref="A209:I209"/>
    <mergeCell ref="A210:I210"/>
    <mergeCell ref="A205:B205"/>
    <mergeCell ref="D205:E205"/>
    <mergeCell ref="A206:B206"/>
    <mergeCell ref="D206:E206"/>
    <mergeCell ref="A202:B202"/>
    <mergeCell ref="D202:E202"/>
    <mergeCell ref="A203:B203"/>
    <mergeCell ref="D203:E203"/>
    <mergeCell ref="A204:B204"/>
    <mergeCell ref="D204:E204"/>
    <mergeCell ref="A199:B199"/>
    <mergeCell ref="D199:E199"/>
    <mergeCell ref="A200:B200"/>
    <mergeCell ref="D200:E200"/>
    <mergeCell ref="A201:B201"/>
    <mergeCell ref="D201:E201"/>
    <mergeCell ref="A196:B196"/>
    <mergeCell ref="D196:E196"/>
    <mergeCell ref="A197:B197"/>
    <mergeCell ref="D197:E197"/>
    <mergeCell ref="A198:B198"/>
    <mergeCell ref="D198:E198"/>
    <mergeCell ref="A195:B195"/>
    <mergeCell ref="D195:E195"/>
    <mergeCell ref="A191:B191"/>
    <mergeCell ref="D191:E191"/>
    <mergeCell ref="A190:B190"/>
    <mergeCell ref="D190:E190"/>
    <mergeCell ref="A177:B177"/>
    <mergeCell ref="D177:E177"/>
    <mergeCell ref="A182:B182"/>
    <mergeCell ref="D182:E182"/>
    <mergeCell ref="A183:B183"/>
    <mergeCell ref="D183:E183"/>
    <mergeCell ref="A178:B178"/>
    <mergeCell ref="D178:E178"/>
    <mergeCell ref="A179:B179"/>
    <mergeCell ref="D179:E179"/>
    <mergeCell ref="A188:B188"/>
    <mergeCell ref="D188:E188"/>
    <mergeCell ref="A189:B189"/>
    <mergeCell ref="D189:E189"/>
    <mergeCell ref="A180:B180"/>
    <mergeCell ref="D180:E180"/>
    <mergeCell ref="A181:B181"/>
    <mergeCell ref="D181:E181"/>
    <mergeCell ref="A162:B162"/>
    <mergeCell ref="D162:E162"/>
    <mergeCell ref="A163:B163"/>
    <mergeCell ref="D163:E163"/>
    <mergeCell ref="A164:B164"/>
    <mergeCell ref="D164:E164"/>
    <mergeCell ref="A165:B165"/>
    <mergeCell ref="D165:E165"/>
    <mergeCell ref="A153:B153"/>
    <mergeCell ref="D153:E153"/>
    <mergeCell ref="A160:B160"/>
    <mergeCell ref="D160:E160"/>
    <mergeCell ref="A161:B161"/>
    <mergeCell ref="D161:E161"/>
    <mergeCell ref="A158:B158"/>
    <mergeCell ref="D158:E158"/>
    <mergeCell ref="A159:B159"/>
    <mergeCell ref="D159:E159"/>
    <mergeCell ref="J146:J147"/>
    <mergeCell ref="A148:B148"/>
    <mergeCell ref="D148:E148"/>
    <mergeCell ref="A116:B116"/>
    <mergeCell ref="D116:E116"/>
    <mergeCell ref="A123:B123"/>
    <mergeCell ref="D123:E123"/>
    <mergeCell ref="A106:B106"/>
    <mergeCell ref="D106:E106"/>
    <mergeCell ref="A107:B107"/>
    <mergeCell ref="D107:E107"/>
    <mergeCell ref="A115:B115"/>
    <mergeCell ref="D115:E115"/>
    <mergeCell ref="A113:B113"/>
    <mergeCell ref="D113:E113"/>
    <mergeCell ref="A114:B114"/>
    <mergeCell ref="D114:E114"/>
    <mergeCell ref="A122:B122"/>
    <mergeCell ref="D122:E122"/>
    <mergeCell ref="A117:B117"/>
    <mergeCell ref="D117:E117"/>
    <mergeCell ref="A118:B118"/>
    <mergeCell ref="D118:E118"/>
    <mergeCell ref="A119:B119"/>
    <mergeCell ref="A29:A37"/>
    <mergeCell ref="B29:B37"/>
    <mergeCell ref="C29:E37"/>
    <mergeCell ref="A10:A13"/>
    <mergeCell ref="B10:B13"/>
    <mergeCell ref="C10:E13"/>
    <mergeCell ref="A14:A20"/>
    <mergeCell ref="B14:B20"/>
    <mergeCell ref="C14:E20"/>
    <mergeCell ref="A1:I1"/>
    <mergeCell ref="A2:I2"/>
    <mergeCell ref="A5:I5"/>
    <mergeCell ref="A6:I6"/>
    <mergeCell ref="A7:I7"/>
    <mergeCell ref="C9:E9"/>
    <mergeCell ref="A21:A28"/>
    <mergeCell ref="B21:B28"/>
    <mergeCell ref="C21:E28"/>
  </mergeCells>
  <phoneticPr fontId="5" type="noConversion"/>
  <printOptions horizontalCentered="1"/>
  <pageMargins left="0.94488188976377963" right="0.27559055118110237" top="0.62992125984251968" bottom="0.51181102362204722" header="0.51181102362204722" footer="0.35433070866141736"/>
  <pageSetup paperSize="9" scale="84" fitToHeight="0" orientation="portrait" blackAndWhite="1" cellComments="atEnd"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4">
    <tabColor theme="7" tint="-0.249977111117893"/>
    <pageSetUpPr fitToPage="1"/>
  </sheetPr>
  <dimension ref="A1:J154"/>
  <sheetViews>
    <sheetView view="pageBreakPreview" zoomScaleNormal="130" zoomScaleSheetLayoutView="100" workbookViewId="0">
      <selection activeCell="A2" sqref="A2:I2"/>
    </sheetView>
  </sheetViews>
  <sheetFormatPr defaultColWidth="9" defaultRowHeight="13.8"/>
  <cols>
    <col min="1" max="1" width="12.33203125" style="2" customWidth="1"/>
    <col min="2" max="2" width="8.33203125" style="2" customWidth="1"/>
    <col min="3" max="4" width="7.88671875" style="2" customWidth="1"/>
    <col min="5" max="5" width="12.77734375" style="2" customWidth="1"/>
    <col min="6" max="6" width="16.109375" style="2" customWidth="1"/>
    <col min="7" max="7" width="13.6640625" style="2" customWidth="1"/>
    <col min="8" max="8" width="17.109375" style="2" customWidth="1"/>
    <col min="9" max="9" width="12.21875" style="2" customWidth="1"/>
    <col min="10" max="10" width="54.109375" style="17" customWidth="1"/>
    <col min="11" max="16384" width="9" style="2"/>
  </cols>
  <sheetData>
    <row r="1" spans="1:10" ht="20.100000000000001" customHeight="1">
      <c r="A1" s="266" t="s">
        <v>0</v>
      </c>
      <c r="B1" s="266"/>
      <c r="C1" s="266"/>
      <c r="D1" s="266"/>
      <c r="E1" s="266"/>
      <c r="F1" s="266"/>
      <c r="G1" s="266"/>
      <c r="H1" s="266"/>
      <c r="I1" s="266"/>
      <c r="J1" s="1"/>
    </row>
    <row r="2" spans="1:10" s="4" customFormat="1" ht="24.9" customHeight="1">
      <c r="A2" s="267" t="s">
        <v>11</v>
      </c>
      <c r="B2" s="268"/>
      <c r="C2" s="268"/>
      <c r="D2" s="268"/>
      <c r="E2" s="268"/>
      <c r="F2" s="268"/>
      <c r="G2" s="268"/>
      <c r="H2" s="268"/>
      <c r="I2" s="268"/>
      <c r="J2" s="3"/>
    </row>
    <row r="3" spans="1:10" ht="20.100000000000001" customHeight="1">
      <c r="A3" s="2" t="str">
        <f>审定表!A3</f>
        <v>客户名称：</v>
      </c>
      <c r="E3" s="5" t="str">
        <f>'表头（请先填写）'!A4</f>
        <v>编制人：</v>
      </c>
      <c r="G3" s="2" t="str">
        <f>'表头（请先填写）'!A5</f>
        <v>日期：</v>
      </c>
      <c r="I3" s="2" t="s">
        <v>92</v>
      </c>
      <c r="J3" s="1"/>
    </row>
    <row r="4" spans="1:10" ht="20.100000000000001" customHeight="1">
      <c r="A4" s="2" t="str">
        <f>审定表!A4</f>
        <v>会计期间：2023年度</v>
      </c>
      <c r="E4" s="5" t="s">
        <v>1</v>
      </c>
      <c r="G4" s="2" t="s">
        <v>2</v>
      </c>
      <c r="I4" s="6" t="s">
        <v>250</v>
      </c>
      <c r="J4" s="1"/>
    </row>
    <row r="5" spans="1:10" ht="20.100000000000001" customHeight="1">
      <c r="A5" s="269" t="s">
        <v>3</v>
      </c>
      <c r="B5" s="269"/>
      <c r="C5" s="269"/>
      <c r="D5" s="269"/>
      <c r="E5" s="269"/>
      <c r="F5" s="269"/>
      <c r="G5" s="269"/>
      <c r="H5" s="269"/>
      <c r="I5" s="269"/>
      <c r="J5" s="1" t="s">
        <v>466</v>
      </c>
    </row>
    <row r="6" spans="1:10" ht="21" customHeight="1">
      <c r="A6" s="270" t="s">
        <v>93</v>
      </c>
      <c r="B6" s="270"/>
      <c r="C6" s="270"/>
      <c r="D6" s="270"/>
      <c r="E6" s="270"/>
      <c r="F6" s="270"/>
      <c r="G6" s="270"/>
      <c r="H6" s="270"/>
      <c r="I6" s="270"/>
      <c r="J6" s="76" t="s">
        <v>467</v>
      </c>
    </row>
    <row r="7" spans="1:10" ht="20.100000000000001" customHeight="1">
      <c r="A7" s="269" t="s">
        <v>4</v>
      </c>
      <c r="B7" s="269"/>
      <c r="C7" s="269"/>
      <c r="D7" s="269"/>
      <c r="E7" s="269"/>
      <c r="F7" s="269"/>
      <c r="G7" s="269"/>
      <c r="H7" s="269"/>
      <c r="I7" s="269"/>
      <c r="J7" s="1" t="s">
        <v>468</v>
      </c>
    </row>
    <row r="8" spans="1:10" ht="19.5" customHeight="1">
      <c r="A8" s="7" t="s">
        <v>366</v>
      </c>
      <c r="B8" s="8"/>
      <c r="C8" s="8"/>
      <c r="D8" s="8"/>
      <c r="E8" s="8"/>
      <c r="F8" s="8"/>
      <c r="G8" s="8"/>
      <c r="H8" s="8"/>
      <c r="I8" s="8"/>
      <c r="J8" s="1"/>
    </row>
    <row r="9" spans="1:10" ht="31.5" customHeight="1">
      <c r="A9" s="56" t="s">
        <v>96</v>
      </c>
      <c r="B9" s="55" t="s">
        <v>104</v>
      </c>
      <c r="C9" s="271" t="s">
        <v>97</v>
      </c>
      <c r="D9" s="272"/>
      <c r="E9" s="273"/>
      <c r="F9" s="55" t="s">
        <v>132</v>
      </c>
      <c r="G9" s="55" t="s">
        <v>98</v>
      </c>
      <c r="H9" s="55" t="s">
        <v>99</v>
      </c>
      <c r="I9" s="55" t="s">
        <v>100</v>
      </c>
      <c r="J9" s="1"/>
    </row>
    <row r="10" spans="1:10" ht="20.25" customHeight="1">
      <c r="A10" s="274" t="s">
        <v>133</v>
      </c>
      <c r="B10" s="277" t="s">
        <v>94</v>
      </c>
      <c r="C10" s="280" t="s">
        <v>95</v>
      </c>
      <c r="D10" s="281"/>
      <c r="E10" s="282"/>
      <c r="F10" s="54" t="s">
        <v>101</v>
      </c>
      <c r="G10" s="53"/>
      <c r="H10" s="54" t="s">
        <v>105</v>
      </c>
      <c r="I10" s="53"/>
      <c r="J10" s="1"/>
    </row>
    <row r="11" spans="1:10" ht="26.25" customHeight="1">
      <c r="A11" s="275"/>
      <c r="B11" s="278"/>
      <c r="C11" s="283"/>
      <c r="D11" s="284"/>
      <c r="E11" s="285"/>
      <c r="F11" s="54" t="s">
        <v>102</v>
      </c>
      <c r="G11" s="53"/>
      <c r="H11" s="54" t="s">
        <v>106</v>
      </c>
      <c r="I11" s="53"/>
      <c r="J11" s="102" t="s">
        <v>120</v>
      </c>
    </row>
    <row r="12" spans="1:10" ht="20.25" customHeight="1">
      <c r="A12" s="275"/>
      <c r="B12" s="278"/>
      <c r="C12" s="283"/>
      <c r="D12" s="284"/>
      <c r="E12" s="285"/>
      <c r="F12" s="54" t="s">
        <v>103</v>
      </c>
      <c r="G12" s="53"/>
      <c r="H12" s="52" t="s">
        <v>107</v>
      </c>
      <c r="I12" s="53"/>
      <c r="J12" s="1"/>
    </row>
    <row r="13" spans="1:10" ht="20.25" customHeight="1">
      <c r="A13" s="275"/>
      <c r="B13" s="278"/>
      <c r="C13" s="283"/>
      <c r="D13" s="284"/>
      <c r="E13" s="285"/>
      <c r="F13" s="54" t="s">
        <v>134</v>
      </c>
      <c r="G13" s="53"/>
      <c r="H13" s="52"/>
      <c r="I13" s="53"/>
      <c r="J13" s="10"/>
    </row>
    <row r="14" spans="1:10" ht="20.25" customHeight="1">
      <c r="A14" s="276"/>
      <c r="B14" s="279"/>
      <c r="C14" s="286"/>
      <c r="D14" s="287"/>
      <c r="E14" s="288"/>
      <c r="F14" s="54" t="s">
        <v>135</v>
      </c>
      <c r="G14" s="53"/>
      <c r="H14" s="58"/>
      <c r="I14" s="53"/>
      <c r="J14" s="1"/>
    </row>
    <row r="15" spans="1:10" ht="22.5" customHeight="1">
      <c r="A15" s="274" t="s">
        <v>136</v>
      </c>
      <c r="B15" s="277" t="s">
        <v>108</v>
      </c>
      <c r="C15" s="280" t="s">
        <v>109</v>
      </c>
      <c r="D15" s="281"/>
      <c r="E15" s="282"/>
      <c r="F15" s="54" t="s">
        <v>110</v>
      </c>
      <c r="G15" s="58"/>
      <c r="H15" s="58"/>
      <c r="I15" s="53"/>
      <c r="J15" s="1"/>
    </row>
    <row r="16" spans="1:10" ht="22.5" customHeight="1">
      <c r="A16" s="275"/>
      <c r="B16" s="278"/>
      <c r="C16" s="283"/>
      <c r="D16" s="284"/>
      <c r="E16" s="285"/>
      <c r="F16" s="54" t="s">
        <v>111</v>
      </c>
      <c r="G16" s="58"/>
      <c r="H16" s="58"/>
      <c r="I16" s="53"/>
      <c r="J16" s="1"/>
    </row>
    <row r="17" spans="1:10" ht="22.5" customHeight="1">
      <c r="A17" s="275"/>
      <c r="B17" s="278"/>
      <c r="C17" s="283"/>
      <c r="D17" s="284"/>
      <c r="E17" s="285"/>
      <c r="F17" s="54" t="s">
        <v>112</v>
      </c>
      <c r="G17" s="58"/>
      <c r="H17" s="58"/>
      <c r="I17" s="53"/>
      <c r="J17" s="10"/>
    </row>
    <row r="18" spans="1:10" ht="19.5" customHeight="1">
      <c r="A18" s="275"/>
      <c r="B18" s="278"/>
      <c r="C18" s="283"/>
      <c r="D18" s="284"/>
      <c r="E18" s="285"/>
      <c r="F18" s="54" t="s">
        <v>113</v>
      </c>
      <c r="G18" s="58"/>
      <c r="H18" s="58"/>
      <c r="I18" s="53"/>
      <c r="J18" s="1"/>
    </row>
    <row r="19" spans="1:10" ht="27.75" customHeight="1">
      <c r="A19" s="276"/>
      <c r="B19" s="279"/>
      <c r="C19" s="286"/>
      <c r="D19" s="287"/>
      <c r="E19" s="288"/>
      <c r="F19" s="57" t="s">
        <v>148</v>
      </c>
      <c r="G19" s="58"/>
      <c r="H19" s="58"/>
      <c r="I19" s="53"/>
      <c r="J19" s="102" t="s">
        <v>178</v>
      </c>
    </row>
    <row r="20" spans="1:10" s="87" customFormat="1" ht="27" customHeight="1">
      <c r="A20" s="274" t="s">
        <v>140</v>
      </c>
      <c r="B20" s="277" t="s">
        <v>150</v>
      </c>
      <c r="C20" s="280" t="s">
        <v>138</v>
      </c>
      <c r="D20" s="281"/>
      <c r="E20" s="282"/>
      <c r="F20" s="54" t="s">
        <v>139</v>
      </c>
      <c r="G20" s="58"/>
      <c r="H20" s="58"/>
      <c r="I20" s="53"/>
      <c r="J20" s="103"/>
    </row>
    <row r="21" spans="1:10" s="87" customFormat="1" ht="27" customHeight="1">
      <c r="A21" s="275"/>
      <c r="B21" s="278"/>
      <c r="C21" s="283"/>
      <c r="D21" s="284"/>
      <c r="E21" s="285"/>
      <c r="F21" s="54" t="s">
        <v>142</v>
      </c>
      <c r="G21" s="58"/>
      <c r="H21" s="58"/>
      <c r="I21" s="53"/>
      <c r="J21" s="103"/>
    </row>
    <row r="22" spans="1:10" s="87" customFormat="1" ht="27" customHeight="1">
      <c r="A22" s="275"/>
      <c r="B22" s="278"/>
      <c r="C22" s="283"/>
      <c r="D22" s="284"/>
      <c r="E22" s="285"/>
      <c r="F22" s="54" t="s">
        <v>141</v>
      </c>
      <c r="G22" s="58"/>
      <c r="H22" s="58"/>
      <c r="I22" s="53"/>
      <c r="J22" s="102"/>
    </row>
    <row r="23" spans="1:10" s="87" customFormat="1" ht="27" customHeight="1">
      <c r="A23" s="275"/>
      <c r="B23" s="278"/>
      <c r="C23" s="283"/>
      <c r="D23" s="284"/>
      <c r="E23" s="285"/>
      <c r="F23" s="54" t="s">
        <v>137</v>
      </c>
      <c r="G23" s="58"/>
      <c r="H23" s="58"/>
      <c r="I23" s="53"/>
      <c r="J23" s="103"/>
    </row>
    <row r="24" spans="1:10" s="87" customFormat="1" ht="27" customHeight="1">
      <c r="A24" s="275"/>
      <c r="B24" s="278"/>
      <c r="C24" s="283"/>
      <c r="D24" s="284"/>
      <c r="E24" s="285"/>
      <c r="F24" s="54" t="s">
        <v>142</v>
      </c>
      <c r="G24" s="58"/>
      <c r="H24" s="58"/>
      <c r="I24" s="53"/>
      <c r="J24" s="103"/>
    </row>
    <row r="25" spans="1:10" s="87" customFormat="1" ht="27" customHeight="1">
      <c r="A25" s="276"/>
      <c r="B25" s="279"/>
      <c r="C25" s="286"/>
      <c r="D25" s="287"/>
      <c r="E25" s="288"/>
      <c r="F25" s="54" t="s">
        <v>141</v>
      </c>
      <c r="G25" s="58"/>
      <c r="H25" s="58"/>
      <c r="I25" s="53"/>
      <c r="J25" s="103"/>
    </row>
    <row r="26" spans="1:10" s="87" customFormat="1" ht="35.25" customHeight="1">
      <c r="A26" s="274" t="s">
        <v>143</v>
      </c>
      <c r="B26" s="277" t="s">
        <v>144</v>
      </c>
      <c r="C26" s="280" t="s">
        <v>145</v>
      </c>
      <c r="D26" s="281"/>
      <c r="E26" s="282"/>
      <c r="F26" s="54" t="s">
        <v>146</v>
      </c>
      <c r="G26" s="58"/>
      <c r="H26" s="58"/>
      <c r="I26" s="53"/>
      <c r="J26" s="10" t="s">
        <v>149</v>
      </c>
    </row>
    <row r="27" spans="1:10" s="87" customFormat="1" ht="32.25" customHeight="1">
      <c r="A27" s="276"/>
      <c r="B27" s="279"/>
      <c r="C27" s="286"/>
      <c r="D27" s="287"/>
      <c r="E27" s="288"/>
      <c r="F27" s="57" t="s">
        <v>147</v>
      </c>
      <c r="G27" s="58"/>
      <c r="H27" s="58"/>
      <c r="I27" s="53"/>
      <c r="J27" s="103"/>
    </row>
    <row r="28" spans="1:10" ht="19.5" customHeight="1">
      <c r="A28" s="11" t="s">
        <v>121</v>
      </c>
      <c r="B28" s="8"/>
      <c r="C28" s="8"/>
      <c r="D28" s="8"/>
      <c r="E28" s="8"/>
      <c r="F28" s="8"/>
      <c r="G28" s="8"/>
      <c r="H28" s="8"/>
      <c r="I28" s="8"/>
      <c r="J28" s="1"/>
    </row>
    <row r="29" spans="1:10" ht="19.5" customHeight="1">
      <c r="A29" s="11" t="s">
        <v>122</v>
      </c>
      <c r="B29" s="8"/>
      <c r="C29" s="8"/>
      <c r="D29" s="8"/>
      <c r="E29" s="8"/>
      <c r="F29" s="8"/>
      <c r="G29" s="8"/>
      <c r="H29" s="8"/>
      <c r="I29" s="8"/>
      <c r="J29" s="1"/>
    </row>
    <row r="30" spans="1:10" ht="19.5" customHeight="1">
      <c r="A30" s="11"/>
      <c r="B30" s="8"/>
      <c r="C30" s="8"/>
      <c r="D30" s="8"/>
      <c r="E30" s="8"/>
      <c r="F30" s="8"/>
      <c r="G30" s="8"/>
      <c r="H30" s="8"/>
      <c r="I30" s="8"/>
      <c r="J30" s="1"/>
    </row>
    <row r="31" spans="1:10" ht="20.100000000000001" customHeight="1">
      <c r="A31" s="7" t="s">
        <v>165</v>
      </c>
      <c r="B31" s="8"/>
      <c r="C31" s="8"/>
      <c r="D31" s="8"/>
      <c r="E31" s="101" t="s">
        <v>123</v>
      </c>
      <c r="F31" s="100" t="s">
        <v>7</v>
      </c>
      <c r="G31" s="8"/>
      <c r="H31" s="8"/>
      <c r="I31" s="8"/>
      <c r="J31" s="1"/>
    </row>
    <row r="32" spans="1:10" ht="20.100000000000001" customHeight="1">
      <c r="A32" s="78" t="s">
        <v>128</v>
      </c>
      <c r="B32" s="350" t="s">
        <v>129</v>
      </c>
      <c r="C32" s="321"/>
      <c r="D32" s="321"/>
      <c r="E32" s="358"/>
      <c r="F32" s="9" t="s">
        <v>124</v>
      </c>
      <c r="G32" s="350" t="s">
        <v>130</v>
      </c>
      <c r="H32" s="351"/>
      <c r="I32" s="9" t="s">
        <v>5</v>
      </c>
      <c r="J32" s="1"/>
    </row>
    <row r="33" spans="1:10" ht="68.25" customHeight="1">
      <c r="A33" s="19"/>
      <c r="B33" s="362"/>
      <c r="C33" s="363"/>
      <c r="D33" s="363"/>
      <c r="E33" s="364"/>
      <c r="F33" s="79" t="s">
        <v>7</v>
      </c>
      <c r="G33" s="355"/>
      <c r="H33" s="357"/>
      <c r="I33" s="67"/>
      <c r="J33" s="10" t="s">
        <v>125</v>
      </c>
    </row>
    <row r="34" spans="1:10" ht="27.75" customHeight="1">
      <c r="A34" s="19"/>
      <c r="B34" s="362"/>
      <c r="C34" s="363"/>
      <c r="D34" s="363"/>
      <c r="E34" s="364"/>
      <c r="F34" s="79" t="s">
        <v>7</v>
      </c>
      <c r="G34" s="355"/>
      <c r="H34" s="357"/>
      <c r="I34" s="67"/>
      <c r="J34" s="10"/>
    </row>
    <row r="35" spans="1:10" ht="81" customHeight="1">
      <c r="A35" s="18" t="s">
        <v>127</v>
      </c>
      <c r="B35" s="352" t="s">
        <v>126</v>
      </c>
      <c r="C35" s="363"/>
      <c r="D35" s="363"/>
      <c r="E35" s="364"/>
      <c r="F35" s="79" t="s">
        <v>6</v>
      </c>
      <c r="G35" s="355" t="s">
        <v>214</v>
      </c>
      <c r="H35" s="357"/>
      <c r="I35" s="67"/>
      <c r="J35" s="10"/>
    </row>
    <row r="36" spans="1:10" ht="20.100000000000001" customHeight="1">
      <c r="A36" s="11" t="s">
        <v>131</v>
      </c>
      <c r="B36" s="8"/>
      <c r="C36" s="8"/>
      <c r="D36" s="8"/>
      <c r="E36" s="8"/>
      <c r="F36" s="8"/>
      <c r="G36" s="8"/>
      <c r="H36" s="8"/>
      <c r="I36" s="8"/>
      <c r="J36" s="1"/>
    </row>
    <row r="37" spans="1:10" ht="20.100000000000001" customHeight="1">
      <c r="A37" s="11"/>
      <c r="B37" s="8"/>
      <c r="C37" s="8"/>
      <c r="D37" s="8"/>
      <c r="E37" s="8"/>
      <c r="F37" s="8"/>
      <c r="G37" s="8"/>
      <c r="H37" s="8"/>
      <c r="I37" s="8"/>
      <c r="J37" s="1"/>
    </row>
    <row r="38" spans="1:10" s="87" customFormat="1" ht="20.100000000000001" customHeight="1">
      <c r="A38" s="97" t="s">
        <v>166</v>
      </c>
      <c r="B38" s="85"/>
      <c r="C38" s="85"/>
      <c r="D38" s="85"/>
      <c r="E38" s="85"/>
      <c r="F38" s="85"/>
      <c r="G38" s="85"/>
      <c r="H38" s="85"/>
      <c r="I38" s="85"/>
      <c r="J38" s="10"/>
    </row>
    <row r="39" spans="1:10" s="87" customFormat="1" ht="20.100000000000001" customHeight="1">
      <c r="A39" s="97" t="s">
        <v>167</v>
      </c>
      <c r="B39" s="85"/>
      <c r="C39" s="85"/>
      <c r="D39" s="85"/>
      <c r="E39" s="85"/>
      <c r="F39" s="85"/>
      <c r="G39" s="85"/>
      <c r="H39" s="85"/>
      <c r="I39" s="85"/>
      <c r="J39" s="76" t="s">
        <v>173</v>
      </c>
    </row>
    <row r="40" spans="1:10" s="87" customFormat="1" ht="20.100000000000001" customHeight="1">
      <c r="A40" s="78" t="s">
        <v>128</v>
      </c>
      <c r="B40" s="350" t="s">
        <v>152</v>
      </c>
      <c r="C40" s="321"/>
      <c r="D40" s="358"/>
      <c r="E40" s="350" t="s">
        <v>164</v>
      </c>
      <c r="F40" s="358"/>
      <c r="G40" s="350" t="s">
        <v>130</v>
      </c>
      <c r="H40" s="351"/>
      <c r="I40" s="96" t="s">
        <v>5</v>
      </c>
      <c r="J40" s="103" t="s">
        <v>176</v>
      </c>
    </row>
    <row r="41" spans="1:10" s="87" customFormat="1" ht="52.5" customHeight="1">
      <c r="A41" s="19"/>
      <c r="B41" s="359"/>
      <c r="C41" s="360"/>
      <c r="D41" s="361"/>
      <c r="E41" s="359"/>
      <c r="F41" s="361"/>
      <c r="G41" s="355"/>
      <c r="H41" s="356"/>
      <c r="I41" s="77"/>
      <c r="J41" s="10" t="s">
        <v>174</v>
      </c>
    </row>
    <row r="42" spans="1:10" s="87" customFormat="1" ht="39.75" customHeight="1">
      <c r="A42" s="18" t="s">
        <v>190</v>
      </c>
      <c r="B42" s="352" t="s">
        <v>192</v>
      </c>
      <c r="C42" s="353"/>
      <c r="D42" s="354"/>
      <c r="E42" s="352" t="s">
        <v>191</v>
      </c>
      <c r="F42" s="354"/>
      <c r="G42" s="355"/>
      <c r="H42" s="356"/>
      <c r="I42" s="77"/>
      <c r="J42" s="10" t="s">
        <v>175</v>
      </c>
    </row>
    <row r="43" spans="1:10" s="87" customFormat="1" ht="51" customHeight="1">
      <c r="A43" s="18" t="s">
        <v>155</v>
      </c>
      <c r="B43" s="352" t="s">
        <v>151</v>
      </c>
      <c r="C43" s="353"/>
      <c r="D43" s="354"/>
      <c r="E43" s="352" t="s">
        <v>153</v>
      </c>
      <c r="F43" s="354"/>
      <c r="G43" s="355"/>
      <c r="H43" s="356"/>
      <c r="I43" s="77"/>
      <c r="J43" s="103" t="s">
        <v>154</v>
      </c>
    </row>
    <row r="44" spans="1:10" s="87" customFormat="1" ht="20.100000000000001" customHeight="1">
      <c r="A44" s="99"/>
      <c r="B44" s="85"/>
      <c r="C44" s="85"/>
      <c r="D44" s="85"/>
      <c r="E44" s="85"/>
      <c r="F44" s="85"/>
      <c r="G44" s="85"/>
      <c r="H44" s="85"/>
      <c r="I44" s="85"/>
      <c r="J44" s="103"/>
    </row>
    <row r="45" spans="1:10" s="87" customFormat="1" ht="20.100000000000001" customHeight="1">
      <c r="A45" s="97" t="s">
        <v>168</v>
      </c>
      <c r="B45" s="85"/>
      <c r="C45" s="85"/>
      <c r="D45" s="85"/>
      <c r="E45" s="85"/>
      <c r="F45" s="85"/>
      <c r="G45" s="85"/>
      <c r="H45" s="85"/>
      <c r="I45" s="85"/>
      <c r="J45" s="103"/>
    </row>
    <row r="46" spans="1:10" s="87" customFormat="1" ht="20.100000000000001" customHeight="1">
      <c r="A46" s="78" t="s">
        <v>128</v>
      </c>
      <c r="B46" s="350" t="s">
        <v>152</v>
      </c>
      <c r="C46" s="321"/>
      <c r="D46" s="358"/>
      <c r="E46" s="350" t="s">
        <v>164</v>
      </c>
      <c r="F46" s="358"/>
      <c r="G46" s="350" t="s">
        <v>130</v>
      </c>
      <c r="H46" s="351"/>
      <c r="I46" s="96" t="s">
        <v>5</v>
      </c>
      <c r="J46" s="103"/>
    </row>
    <row r="47" spans="1:10" s="87" customFormat="1" ht="30.75" customHeight="1">
      <c r="A47" s="19"/>
      <c r="B47" s="359"/>
      <c r="C47" s="360"/>
      <c r="D47" s="361"/>
      <c r="E47" s="359"/>
      <c r="F47" s="361"/>
      <c r="G47" s="355"/>
      <c r="H47" s="356"/>
      <c r="I47" s="77"/>
      <c r="J47" s="103"/>
    </row>
    <row r="48" spans="1:10" s="87" customFormat="1" ht="30.75" customHeight="1">
      <c r="A48" s="19"/>
      <c r="B48" s="359"/>
      <c r="C48" s="360"/>
      <c r="D48" s="361"/>
      <c r="E48" s="359"/>
      <c r="F48" s="361"/>
      <c r="G48" s="355"/>
      <c r="H48" s="356"/>
      <c r="I48" s="77"/>
      <c r="J48" s="103"/>
    </row>
    <row r="49" spans="1:10" s="87" customFormat="1" ht="46.5" customHeight="1">
      <c r="A49" s="18" t="s">
        <v>156</v>
      </c>
      <c r="B49" s="352" t="s">
        <v>157</v>
      </c>
      <c r="C49" s="353"/>
      <c r="D49" s="354"/>
      <c r="E49" s="352" t="s">
        <v>158</v>
      </c>
      <c r="F49" s="354"/>
      <c r="G49" s="355"/>
      <c r="H49" s="356"/>
      <c r="I49" s="77"/>
      <c r="J49" s="103"/>
    </row>
    <row r="50" spans="1:10" s="87" customFormat="1" ht="20.100000000000001" customHeight="1">
      <c r="A50" s="99"/>
      <c r="B50" s="85"/>
      <c r="C50" s="85"/>
      <c r="D50" s="85"/>
      <c r="E50" s="85"/>
      <c r="F50" s="85"/>
      <c r="G50" s="85"/>
      <c r="H50" s="85"/>
      <c r="I50" s="85"/>
      <c r="J50" s="103"/>
    </row>
    <row r="51" spans="1:10" s="87" customFormat="1" ht="20.100000000000001" customHeight="1">
      <c r="A51" s="97" t="s">
        <v>169</v>
      </c>
      <c r="B51" s="85"/>
      <c r="C51" s="85"/>
      <c r="D51" s="85"/>
      <c r="E51" s="85"/>
      <c r="F51" s="85"/>
      <c r="G51" s="85"/>
      <c r="H51" s="85"/>
      <c r="I51" s="85"/>
      <c r="J51" s="103"/>
    </row>
    <row r="52" spans="1:10" s="87" customFormat="1" ht="20.100000000000001" customHeight="1">
      <c r="A52" s="78" t="s">
        <v>128</v>
      </c>
      <c r="B52" s="350" t="s">
        <v>152</v>
      </c>
      <c r="C52" s="321"/>
      <c r="D52" s="358"/>
      <c r="E52" s="350" t="s">
        <v>164</v>
      </c>
      <c r="F52" s="358"/>
      <c r="G52" s="350" t="s">
        <v>130</v>
      </c>
      <c r="H52" s="351"/>
      <c r="I52" s="96" t="s">
        <v>5</v>
      </c>
      <c r="J52" s="103"/>
    </row>
    <row r="53" spans="1:10" s="87" customFormat="1" ht="30.75" customHeight="1">
      <c r="A53" s="19"/>
      <c r="B53" s="359"/>
      <c r="C53" s="360"/>
      <c r="D53" s="361"/>
      <c r="E53" s="359"/>
      <c r="F53" s="361"/>
      <c r="G53" s="355"/>
      <c r="H53" s="356"/>
      <c r="I53" s="77"/>
      <c r="J53" s="103"/>
    </row>
    <row r="54" spans="1:10" s="87" customFormat="1" ht="30.75" customHeight="1">
      <c r="A54" s="19"/>
      <c r="B54" s="359"/>
      <c r="C54" s="360"/>
      <c r="D54" s="361"/>
      <c r="E54" s="359"/>
      <c r="F54" s="361"/>
      <c r="G54" s="355"/>
      <c r="H54" s="356"/>
      <c r="I54" s="77"/>
      <c r="J54" s="103"/>
    </row>
    <row r="55" spans="1:10" s="87" customFormat="1" ht="46.5" customHeight="1">
      <c r="A55" s="18" t="s">
        <v>160</v>
      </c>
      <c r="B55" s="352" t="s">
        <v>550</v>
      </c>
      <c r="C55" s="353"/>
      <c r="D55" s="354"/>
      <c r="E55" s="352" t="s">
        <v>162</v>
      </c>
      <c r="F55" s="354"/>
      <c r="G55" s="355"/>
      <c r="H55" s="356"/>
      <c r="I55" s="77"/>
      <c r="J55" s="102" t="s">
        <v>201</v>
      </c>
    </row>
    <row r="56" spans="1:10" s="87" customFormat="1" ht="55.5" customHeight="1">
      <c r="A56" s="18" t="s">
        <v>159</v>
      </c>
      <c r="B56" s="352" t="s">
        <v>161</v>
      </c>
      <c r="C56" s="353"/>
      <c r="D56" s="354"/>
      <c r="E56" s="352" t="s">
        <v>163</v>
      </c>
      <c r="F56" s="354"/>
      <c r="G56" s="355"/>
      <c r="H56" s="356"/>
      <c r="I56" s="77"/>
      <c r="J56" s="102" t="s">
        <v>202</v>
      </c>
    </row>
    <row r="57" spans="1:10" s="87" customFormat="1" ht="20.100000000000001" customHeight="1">
      <c r="A57" s="99"/>
      <c r="B57" s="85"/>
      <c r="C57" s="85"/>
      <c r="D57" s="85"/>
      <c r="E57" s="85"/>
      <c r="F57" s="85"/>
      <c r="G57" s="85"/>
      <c r="H57" s="85"/>
      <c r="I57" s="85"/>
      <c r="J57" s="103"/>
    </row>
    <row r="58" spans="1:10" s="87" customFormat="1" ht="20.100000000000001" customHeight="1">
      <c r="A58" s="97" t="s">
        <v>183</v>
      </c>
      <c r="B58" s="85"/>
      <c r="C58" s="85"/>
      <c r="D58" s="85"/>
      <c r="E58" s="85"/>
      <c r="F58" s="85"/>
      <c r="G58" s="85"/>
      <c r="H58" s="85"/>
      <c r="I58" s="85"/>
      <c r="J58" s="103"/>
    </row>
    <row r="59" spans="1:10" s="87" customFormat="1" ht="20.100000000000001" customHeight="1">
      <c r="A59" s="78" t="s">
        <v>128</v>
      </c>
      <c r="B59" s="350" t="s">
        <v>152</v>
      </c>
      <c r="C59" s="321"/>
      <c r="D59" s="358"/>
      <c r="E59" s="350" t="s">
        <v>164</v>
      </c>
      <c r="F59" s="358"/>
      <c r="G59" s="350" t="s">
        <v>130</v>
      </c>
      <c r="H59" s="351"/>
      <c r="I59" s="96" t="s">
        <v>5</v>
      </c>
      <c r="J59" s="103"/>
    </row>
    <row r="60" spans="1:10" s="87" customFormat="1" ht="30.75" customHeight="1">
      <c r="A60" s="19"/>
      <c r="B60" s="359"/>
      <c r="C60" s="360"/>
      <c r="D60" s="361"/>
      <c r="E60" s="359"/>
      <c r="F60" s="361"/>
      <c r="G60" s="355"/>
      <c r="H60" s="356"/>
      <c r="I60" s="77"/>
      <c r="J60" s="103"/>
    </row>
    <row r="61" spans="1:10" s="87" customFormat="1" ht="30.75" customHeight="1">
      <c r="A61" s="19"/>
      <c r="B61" s="359"/>
      <c r="C61" s="360"/>
      <c r="D61" s="361"/>
      <c r="E61" s="359"/>
      <c r="F61" s="361"/>
      <c r="G61" s="355"/>
      <c r="H61" s="356"/>
      <c r="I61" s="77"/>
      <c r="J61" s="103"/>
    </row>
    <row r="62" spans="1:10" s="87" customFormat="1" ht="58.5" customHeight="1">
      <c r="A62" s="18" t="s">
        <v>188</v>
      </c>
      <c r="B62" s="352" t="s">
        <v>189</v>
      </c>
      <c r="C62" s="353"/>
      <c r="D62" s="354"/>
      <c r="E62" s="352" t="s">
        <v>187</v>
      </c>
      <c r="F62" s="354"/>
      <c r="G62" s="355"/>
      <c r="H62" s="356"/>
      <c r="I62" s="77"/>
      <c r="J62" s="102" t="s">
        <v>203</v>
      </c>
    </row>
    <row r="63" spans="1:10" s="87" customFormat="1" ht="20.100000000000001" customHeight="1">
      <c r="A63" s="99"/>
      <c r="B63" s="85"/>
      <c r="C63" s="85"/>
      <c r="D63" s="85"/>
      <c r="E63" s="85"/>
      <c r="F63" s="85"/>
      <c r="G63" s="85"/>
      <c r="H63" s="85"/>
      <c r="I63" s="85"/>
      <c r="J63" s="103"/>
    </row>
    <row r="64" spans="1:10" s="87" customFormat="1" ht="20.100000000000001" customHeight="1">
      <c r="A64" s="97" t="s">
        <v>184</v>
      </c>
      <c r="B64" s="85"/>
      <c r="C64" s="85"/>
      <c r="D64" s="85"/>
      <c r="E64" s="85"/>
      <c r="F64" s="85"/>
      <c r="G64" s="85"/>
      <c r="H64" s="85"/>
      <c r="I64" s="85"/>
      <c r="J64" s="103"/>
    </row>
    <row r="65" spans="1:10" s="87" customFormat="1" ht="20.100000000000001" customHeight="1">
      <c r="A65" s="78" t="s">
        <v>128</v>
      </c>
      <c r="B65" s="350" t="s">
        <v>152</v>
      </c>
      <c r="C65" s="321"/>
      <c r="D65" s="358"/>
      <c r="E65" s="350" t="s">
        <v>164</v>
      </c>
      <c r="F65" s="358"/>
      <c r="G65" s="350" t="s">
        <v>130</v>
      </c>
      <c r="H65" s="351"/>
      <c r="I65" s="96" t="s">
        <v>5</v>
      </c>
      <c r="J65" s="103"/>
    </row>
    <row r="66" spans="1:10" s="87" customFormat="1" ht="30.75" customHeight="1">
      <c r="A66" s="19"/>
      <c r="B66" s="359"/>
      <c r="C66" s="360"/>
      <c r="D66" s="361"/>
      <c r="E66" s="359"/>
      <c r="F66" s="361"/>
      <c r="G66" s="355"/>
      <c r="H66" s="356"/>
      <c r="I66" s="77"/>
      <c r="J66" s="103"/>
    </row>
    <row r="67" spans="1:10" s="87" customFormat="1" ht="30.75" customHeight="1">
      <c r="A67" s="19"/>
      <c r="B67" s="359"/>
      <c r="C67" s="360"/>
      <c r="D67" s="361"/>
      <c r="E67" s="359"/>
      <c r="F67" s="361"/>
      <c r="G67" s="355"/>
      <c r="H67" s="356"/>
      <c r="I67" s="77"/>
      <c r="J67" s="103"/>
    </row>
    <row r="68" spans="1:10" s="87" customFormat="1" ht="58.5" customHeight="1">
      <c r="A68" s="18" t="s">
        <v>171</v>
      </c>
      <c r="B68" s="352" t="s">
        <v>170</v>
      </c>
      <c r="C68" s="353"/>
      <c r="D68" s="354"/>
      <c r="E68" s="352" t="s">
        <v>172</v>
      </c>
      <c r="F68" s="354"/>
      <c r="G68" s="355"/>
      <c r="H68" s="356"/>
      <c r="I68" s="77"/>
      <c r="J68" s="102" t="s">
        <v>204</v>
      </c>
    </row>
    <row r="69" spans="1:10" s="87" customFormat="1" ht="20.100000000000001" customHeight="1">
      <c r="A69" s="99"/>
      <c r="B69" s="85"/>
      <c r="C69" s="85"/>
      <c r="D69" s="85"/>
      <c r="E69" s="85"/>
      <c r="F69" s="85"/>
      <c r="G69" s="85"/>
      <c r="H69" s="85"/>
      <c r="I69" s="85"/>
      <c r="J69" s="103"/>
    </row>
    <row r="70" spans="1:10" s="87" customFormat="1" ht="20.100000000000001" customHeight="1">
      <c r="A70" s="97" t="s">
        <v>185</v>
      </c>
      <c r="B70" s="85"/>
      <c r="C70" s="85"/>
      <c r="D70" s="85"/>
      <c r="E70" s="85"/>
      <c r="F70" s="85"/>
      <c r="G70" s="85"/>
      <c r="H70" s="85"/>
      <c r="I70" s="85"/>
      <c r="J70" s="103"/>
    </row>
    <row r="71" spans="1:10" s="87" customFormat="1" ht="20.100000000000001" customHeight="1">
      <c r="A71" s="78" t="s">
        <v>128</v>
      </c>
      <c r="B71" s="350" t="s">
        <v>152</v>
      </c>
      <c r="C71" s="321"/>
      <c r="D71" s="358"/>
      <c r="E71" s="350" t="s">
        <v>164</v>
      </c>
      <c r="F71" s="358"/>
      <c r="G71" s="350" t="s">
        <v>130</v>
      </c>
      <c r="H71" s="351"/>
      <c r="I71" s="96" t="s">
        <v>5</v>
      </c>
      <c r="J71" s="103"/>
    </row>
    <row r="72" spans="1:10" s="87" customFormat="1" ht="30.75" customHeight="1">
      <c r="A72" s="19"/>
      <c r="B72" s="359"/>
      <c r="C72" s="360"/>
      <c r="D72" s="361"/>
      <c r="E72" s="359"/>
      <c r="F72" s="361"/>
      <c r="G72" s="355"/>
      <c r="H72" s="356"/>
      <c r="I72" s="77"/>
      <c r="J72" s="103"/>
    </row>
    <row r="73" spans="1:10" s="87" customFormat="1" ht="30.75" customHeight="1">
      <c r="A73" s="19"/>
      <c r="B73" s="359"/>
      <c r="C73" s="360"/>
      <c r="D73" s="361"/>
      <c r="E73" s="359"/>
      <c r="F73" s="361"/>
      <c r="G73" s="355"/>
      <c r="H73" s="356"/>
      <c r="I73" s="77"/>
      <c r="J73" s="103"/>
    </row>
    <row r="74" spans="1:10" s="87" customFormat="1" ht="58.5" customHeight="1">
      <c r="A74" s="18" t="s">
        <v>193</v>
      </c>
      <c r="B74" s="352" t="s">
        <v>194</v>
      </c>
      <c r="C74" s="353"/>
      <c r="D74" s="354"/>
      <c r="E74" s="352" t="s">
        <v>195</v>
      </c>
      <c r="F74" s="354"/>
      <c r="G74" s="355"/>
      <c r="H74" s="356"/>
      <c r="I74" s="77"/>
      <c r="J74" s="102" t="s">
        <v>200</v>
      </c>
    </row>
    <row r="75" spans="1:10" s="87" customFormat="1" ht="20.100000000000001" customHeight="1">
      <c r="A75" s="99"/>
      <c r="B75" s="85"/>
      <c r="C75" s="85"/>
      <c r="D75" s="85"/>
      <c r="E75" s="85"/>
      <c r="F75" s="85"/>
      <c r="G75" s="85"/>
      <c r="H75" s="85"/>
      <c r="I75" s="85"/>
      <c r="J75" s="103"/>
    </row>
    <row r="76" spans="1:10" s="87" customFormat="1" ht="20.100000000000001" customHeight="1">
      <c r="A76" s="97" t="s">
        <v>179</v>
      </c>
      <c r="B76" s="85"/>
      <c r="C76" s="85"/>
      <c r="D76" s="85"/>
      <c r="E76" s="85"/>
      <c r="F76" s="85"/>
      <c r="G76" s="85"/>
      <c r="H76" s="85"/>
      <c r="I76" s="85"/>
      <c r="J76" s="103"/>
    </row>
    <row r="77" spans="1:10" s="87" customFormat="1" ht="20.100000000000001" customHeight="1">
      <c r="A77" s="78" t="s">
        <v>128</v>
      </c>
      <c r="B77" s="350" t="s">
        <v>152</v>
      </c>
      <c r="C77" s="321"/>
      <c r="D77" s="358"/>
      <c r="E77" s="350" t="s">
        <v>164</v>
      </c>
      <c r="F77" s="358"/>
      <c r="G77" s="350" t="s">
        <v>130</v>
      </c>
      <c r="H77" s="351"/>
      <c r="I77" s="96" t="s">
        <v>5</v>
      </c>
      <c r="J77" s="103"/>
    </row>
    <row r="78" spans="1:10" s="87" customFormat="1" ht="30.75" customHeight="1">
      <c r="A78" s="19"/>
      <c r="B78" s="359"/>
      <c r="C78" s="360"/>
      <c r="D78" s="361"/>
      <c r="E78" s="359"/>
      <c r="F78" s="361"/>
      <c r="G78" s="355"/>
      <c r="H78" s="356"/>
      <c r="I78" s="77"/>
      <c r="J78" s="103"/>
    </row>
    <row r="79" spans="1:10" s="87" customFormat="1" ht="30.75" customHeight="1">
      <c r="A79" s="19"/>
      <c r="B79" s="359"/>
      <c r="C79" s="360"/>
      <c r="D79" s="361"/>
      <c r="E79" s="359"/>
      <c r="F79" s="361"/>
      <c r="G79" s="355"/>
      <c r="H79" s="356"/>
      <c r="I79" s="77"/>
      <c r="J79" s="103"/>
    </row>
    <row r="80" spans="1:10" s="87" customFormat="1" ht="75" customHeight="1">
      <c r="A80" s="18" t="s">
        <v>196</v>
      </c>
      <c r="B80" s="352" t="s">
        <v>197</v>
      </c>
      <c r="C80" s="353"/>
      <c r="D80" s="354"/>
      <c r="E80" s="352" t="s">
        <v>198</v>
      </c>
      <c r="F80" s="354"/>
      <c r="G80" s="355"/>
      <c r="H80" s="356"/>
      <c r="I80" s="77"/>
      <c r="J80" s="102" t="s">
        <v>199</v>
      </c>
    </row>
    <row r="81" spans="1:10" s="87" customFormat="1" ht="20.100000000000001" customHeight="1">
      <c r="A81" s="99"/>
      <c r="B81" s="85"/>
      <c r="C81" s="85"/>
      <c r="D81" s="85"/>
      <c r="E81" s="85"/>
      <c r="F81" s="85"/>
      <c r="G81" s="85"/>
      <c r="H81" s="85"/>
      <c r="I81" s="85"/>
      <c r="J81" s="103"/>
    </row>
    <row r="82" spans="1:10" s="87" customFormat="1" ht="20.100000000000001" customHeight="1">
      <c r="A82" s="97" t="s">
        <v>186</v>
      </c>
      <c r="B82" s="85"/>
      <c r="C82" s="85"/>
      <c r="D82" s="85"/>
      <c r="E82" s="85"/>
      <c r="F82" s="85"/>
      <c r="G82" s="85"/>
      <c r="H82" s="85"/>
      <c r="I82" s="85"/>
      <c r="J82" s="103"/>
    </row>
    <row r="83" spans="1:10" s="87" customFormat="1" ht="20.100000000000001" customHeight="1">
      <c r="A83" s="78" t="s">
        <v>128</v>
      </c>
      <c r="B83" s="350" t="s">
        <v>152</v>
      </c>
      <c r="C83" s="321"/>
      <c r="D83" s="358"/>
      <c r="E83" s="350" t="s">
        <v>164</v>
      </c>
      <c r="F83" s="358"/>
      <c r="G83" s="350" t="s">
        <v>130</v>
      </c>
      <c r="H83" s="351"/>
      <c r="I83" s="96" t="s">
        <v>5</v>
      </c>
      <c r="J83" s="103"/>
    </row>
    <row r="84" spans="1:10" s="87" customFormat="1" ht="30.75" customHeight="1">
      <c r="A84" s="19"/>
      <c r="B84" s="359"/>
      <c r="C84" s="360"/>
      <c r="D84" s="361"/>
      <c r="E84" s="359"/>
      <c r="F84" s="361"/>
      <c r="G84" s="355"/>
      <c r="H84" s="356"/>
      <c r="I84" s="77"/>
      <c r="J84" s="103"/>
    </row>
    <row r="85" spans="1:10" s="87" customFormat="1" ht="30.75" customHeight="1">
      <c r="A85" s="19"/>
      <c r="B85" s="359"/>
      <c r="C85" s="360"/>
      <c r="D85" s="361"/>
      <c r="E85" s="359"/>
      <c r="F85" s="361"/>
      <c r="G85" s="355"/>
      <c r="H85" s="356"/>
      <c r="I85" s="77"/>
      <c r="J85" s="103"/>
    </row>
    <row r="86" spans="1:10" s="87" customFormat="1" ht="58.5" customHeight="1">
      <c r="A86" s="18" t="s">
        <v>180</v>
      </c>
      <c r="B86" s="352" t="s">
        <v>182</v>
      </c>
      <c r="C86" s="353"/>
      <c r="D86" s="354"/>
      <c r="E86" s="352" t="s">
        <v>181</v>
      </c>
      <c r="F86" s="354"/>
      <c r="G86" s="355"/>
      <c r="H86" s="356"/>
      <c r="I86" s="77"/>
      <c r="J86" s="103"/>
    </row>
    <row r="87" spans="1:10" s="87" customFormat="1" ht="20.100000000000001" customHeight="1">
      <c r="A87" s="99"/>
      <c r="B87" s="85"/>
      <c r="C87" s="85"/>
      <c r="D87" s="85"/>
      <c r="E87" s="85"/>
      <c r="F87" s="85"/>
      <c r="G87" s="85"/>
      <c r="H87" s="85"/>
      <c r="I87" s="85"/>
      <c r="J87" s="103"/>
    </row>
    <row r="88" spans="1:10" s="87" customFormat="1" ht="20.100000000000001" customHeight="1">
      <c r="A88" s="97" t="s">
        <v>207</v>
      </c>
      <c r="B88" s="85"/>
      <c r="C88" s="85"/>
      <c r="D88" s="85"/>
      <c r="E88" s="85"/>
      <c r="F88" s="85"/>
      <c r="G88" s="85"/>
      <c r="H88" s="85"/>
      <c r="I88" s="85"/>
      <c r="J88" s="294" t="s">
        <v>205</v>
      </c>
    </row>
    <row r="89" spans="1:10" s="87" customFormat="1" ht="20.100000000000001" customHeight="1">
      <c r="A89" s="78" t="s">
        <v>128</v>
      </c>
      <c r="B89" s="350" t="s">
        <v>206</v>
      </c>
      <c r="C89" s="321"/>
      <c r="D89" s="321"/>
      <c r="E89" s="358"/>
      <c r="F89" s="350" t="s">
        <v>208</v>
      </c>
      <c r="G89" s="322"/>
      <c r="H89" s="298"/>
      <c r="I89" s="96" t="s">
        <v>5</v>
      </c>
      <c r="J89" s="284"/>
    </row>
    <row r="90" spans="1:10" s="87" customFormat="1" ht="20.100000000000001" customHeight="1">
      <c r="A90" s="19"/>
      <c r="B90" s="362"/>
      <c r="C90" s="363"/>
      <c r="D90" s="363"/>
      <c r="E90" s="364"/>
      <c r="F90" s="365"/>
      <c r="G90" s="366"/>
      <c r="H90" s="367"/>
      <c r="I90" s="67"/>
      <c r="J90" s="284"/>
    </row>
    <row r="91" spans="1:10" s="87" customFormat="1" ht="20.100000000000001" customHeight="1">
      <c r="A91" s="19"/>
      <c r="B91" s="362"/>
      <c r="C91" s="363"/>
      <c r="D91" s="363"/>
      <c r="E91" s="364"/>
      <c r="F91" s="365"/>
      <c r="G91" s="366"/>
      <c r="H91" s="367"/>
      <c r="I91" s="67"/>
      <c r="J91" s="103"/>
    </row>
    <row r="92" spans="1:10" s="87" customFormat="1" ht="146.25" customHeight="1">
      <c r="A92" s="18" t="s">
        <v>211</v>
      </c>
      <c r="B92" s="352" t="s">
        <v>209</v>
      </c>
      <c r="C92" s="363"/>
      <c r="D92" s="363"/>
      <c r="E92" s="364"/>
      <c r="F92" s="368" t="s">
        <v>210</v>
      </c>
      <c r="G92" s="369"/>
      <c r="H92" s="370"/>
      <c r="I92" s="67"/>
      <c r="J92" s="103"/>
    </row>
    <row r="93" spans="1:10" s="87" customFormat="1" ht="20.100000000000001" customHeight="1">
      <c r="A93" s="99"/>
      <c r="B93" s="85"/>
      <c r="C93" s="85"/>
      <c r="D93" s="85"/>
      <c r="E93" s="85"/>
      <c r="F93" s="85"/>
      <c r="G93" s="85"/>
      <c r="H93" s="85"/>
      <c r="I93" s="85"/>
      <c r="J93" s="103"/>
    </row>
    <row r="94" spans="1:10" s="87" customFormat="1" ht="20.100000000000001" customHeight="1">
      <c r="A94" s="97" t="s">
        <v>213</v>
      </c>
      <c r="B94" s="85"/>
      <c r="C94" s="85"/>
      <c r="D94" s="85"/>
      <c r="E94" s="85"/>
      <c r="F94" s="85"/>
      <c r="G94" s="85"/>
      <c r="H94" s="85"/>
      <c r="I94" s="85"/>
      <c r="J94" s="294" t="s">
        <v>212</v>
      </c>
    </row>
    <row r="95" spans="1:10" s="87" customFormat="1" ht="20.100000000000001" customHeight="1">
      <c r="A95" s="97" t="s">
        <v>215</v>
      </c>
      <c r="B95" s="85"/>
      <c r="C95" s="85"/>
      <c r="D95" s="85"/>
      <c r="E95" s="85"/>
      <c r="F95" s="85"/>
      <c r="G95" s="85"/>
      <c r="H95" s="85"/>
      <c r="I95" s="85"/>
      <c r="J95" s="284"/>
    </row>
    <row r="96" spans="1:10" s="87" customFormat="1" ht="20.100000000000001" customHeight="1">
      <c r="A96" s="295" t="s">
        <v>216</v>
      </c>
      <c r="B96" s="296"/>
      <c r="C96" s="96" t="s">
        <v>217</v>
      </c>
      <c r="D96" s="297">
        <v>43830</v>
      </c>
      <c r="E96" s="298"/>
      <c r="F96" s="96" t="s">
        <v>218</v>
      </c>
      <c r="G96" s="96" t="s">
        <v>219</v>
      </c>
      <c r="H96" s="75">
        <v>43831</v>
      </c>
      <c r="I96" s="96" t="s">
        <v>220</v>
      </c>
      <c r="J96" s="103"/>
    </row>
    <row r="97" spans="1:10" s="87" customFormat="1" ht="20.100000000000001" customHeight="1">
      <c r="A97" s="303" t="s">
        <v>221</v>
      </c>
      <c r="B97" s="307"/>
      <c r="C97" s="65"/>
      <c r="D97" s="301"/>
      <c r="E97" s="302"/>
      <c r="F97" s="91"/>
      <c r="G97" s="91"/>
      <c r="H97" s="91"/>
      <c r="I97" s="94"/>
      <c r="J97" s="103"/>
    </row>
    <row r="98" spans="1:10" s="87" customFormat="1" ht="20.100000000000001" customHeight="1">
      <c r="A98" s="299" t="s">
        <v>222</v>
      </c>
      <c r="B98" s="300"/>
      <c r="C98" s="65"/>
      <c r="D98" s="301"/>
      <c r="E98" s="302"/>
      <c r="F98" s="91"/>
      <c r="G98" s="91"/>
      <c r="H98" s="91"/>
      <c r="I98" s="94"/>
      <c r="J98" s="103"/>
    </row>
    <row r="99" spans="1:10" s="87" customFormat="1" ht="20.100000000000001" customHeight="1">
      <c r="A99" s="299" t="s">
        <v>223</v>
      </c>
      <c r="B99" s="300"/>
      <c r="C99" s="65"/>
      <c r="D99" s="301"/>
      <c r="E99" s="302"/>
      <c r="F99" s="91"/>
      <c r="G99" s="91"/>
      <c r="H99" s="91"/>
      <c r="I99" s="94"/>
      <c r="J99" s="103"/>
    </row>
    <row r="100" spans="1:10" s="87" customFormat="1" ht="20.100000000000001" customHeight="1">
      <c r="A100" s="299" t="s">
        <v>224</v>
      </c>
      <c r="B100" s="300"/>
      <c r="C100" s="65"/>
      <c r="D100" s="301"/>
      <c r="E100" s="302"/>
      <c r="F100" s="91"/>
      <c r="G100" s="91"/>
      <c r="H100" s="91"/>
      <c r="I100" s="94"/>
      <c r="J100" s="103"/>
    </row>
    <row r="101" spans="1:10" s="87" customFormat="1" ht="20.100000000000001" customHeight="1">
      <c r="A101" s="299" t="s">
        <v>225</v>
      </c>
      <c r="B101" s="300"/>
      <c r="C101" s="65"/>
      <c r="D101" s="301"/>
      <c r="E101" s="302"/>
      <c r="F101" s="91"/>
      <c r="G101" s="91"/>
      <c r="H101" s="91"/>
      <c r="I101" s="94"/>
      <c r="J101" s="103"/>
    </row>
    <row r="102" spans="1:10" s="87" customFormat="1" ht="20.100000000000001" customHeight="1">
      <c r="A102" s="299" t="s">
        <v>226</v>
      </c>
      <c r="B102" s="300"/>
      <c r="C102" s="65"/>
      <c r="D102" s="301"/>
      <c r="E102" s="302"/>
      <c r="F102" s="91"/>
      <c r="G102" s="91"/>
      <c r="H102" s="91"/>
      <c r="I102" s="94"/>
      <c r="J102" s="103"/>
    </row>
    <row r="103" spans="1:10" s="87" customFormat="1" ht="20.100000000000001" customHeight="1">
      <c r="A103" s="303" t="s">
        <v>227</v>
      </c>
      <c r="B103" s="307"/>
      <c r="C103" s="65"/>
      <c r="D103" s="301"/>
      <c r="E103" s="302"/>
      <c r="F103" s="91"/>
      <c r="G103" s="91"/>
      <c r="H103" s="91"/>
      <c r="I103" s="94"/>
      <c r="J103" s="103"/>
    </row>
    <row r="104" spans="1:10" s="87" customFormat="1" ht="20.100000000000001" customHeight="1">
      <c r="A104" s="299" t="s">
        <v>228</v>
      </c>
      <c r="B104" s="300"/>
      <c r="C104" s="65"/>
      <c r="D104" s="301"/>
      <c r="E104" s="302"/>
      <c r="F104" s="91"/>
      <c r="G104" s="91"/>
      <c r="H104" s="91"/>
      <c r="I104" s="94"/>
      <c r="J104" s="103"/>
    </row>
    <row r="105" spans="1:10" s="87" customFormat="1" ht="20.100000000000001" customHeight="1">
      <c r="A105" s="299" t="s">
        <v>229</v>
      </c>
      <c r="B105" s="300"/>
      <c r="C105" s="65"/>
      <c r="D105" s="301"/>
      <c r="E105" s="302"/>
      <c r="F105" s="91"/>
      <c r="G105" s="91"/>
      <c r="H105" s="91"/>
      <c r="I105" s="94"/>
      <c r="J105" s="103"/>
    </row>
    <row r="106" spans="1:10" s="87" customFormat="1" ht="20.100000000000001" customHeight="1">
      <c r="A106" s="303" t="s">
        <v>230</v>
      </c>
      <c r="B106" s="304"/>
      <c r="C106" s="65"/>
      <c r="D106" s="301"/>
      <c r="E106" s="302"/>
      <c r="F106" s="91"/>
      <c r="G106" s="91"/>
      <c r="H106" s="91"/>
      <c r="I106" s="94"/>
      <c r="J106" s="103"/>
    </row>
    <row r="107" spans="1:10" s="87" customFormat="1" ht="20.100000000000001" customHeight="1">
      <c r="A107" s="299" t="s">
        <v>231</v>
      </c>
      <c r="B107" s="300"/>
      <c r="C107" s="65"/>
      <c r="D107" s="301"/>
      <c r="E107" s="302"/>
      <c r="F107" s="91"/>
      <c r="G107" s="91"/>
      <c r="H107" s="91"/>
      <c r="I107" s="94"/>
      <c r="J107" s="103"/>
    </row>
    <row r="108" spans="1:10" s="87" customFormat="1" ht="20.100000000000001" customHeight="1">
      <c r="A108" s="299" t="s">
        <v>232</v>
      </c>
      <c r="B108" s="300"/>
      <c r="C108" s="65"/>
      <c r="D108" s="301"/>
      <c r="E108" s="302"/>
      <c r="F108" s="91"/>
      <c r="G108" s="91"/>
      <c r="H108" s="91"/>
      <c r="I108" s="94"/>
      <c r="J108" s="103"/>
    </row>
    <row r="109" spans="1:10" s="87" customFormat="1" ht="20.100000000000001" customHeight="1">
      <c r="A109" s="299" t="s">
        <v>233</v>
      </c>
      <c r="B109" s="300"/>
      <c r="C109" s="65"/>
      <c r="D109" s="301"/>
      <c r="E109" s="302"/>
      <c r="F109" s="91"/>
      <c r="G109" s="91"/>
      <c r="H109" s="91"/>
      <c r="I109" s="94"/>
      <c r="J109" s="103"/>
    </row>
    <row r="110" spans="1:10" s="87" customFormat="1" ht="20.100000000000001" customHeight="1">
      <c r="A110" s="303" t="s">
        <v>234</v>
      </c>
      <c r="B110" s="304"/>
      <c r="C110" s="65"/>
      <c r="D110" s="301"/>
      <c r="E110" s="302"/>
      <c r="F110" s="91"/>
      <c r="G110" s="91"/>
      <c r="H110" s="91"/>
      <c r="I110" s="94"/>
      <c r="J110" s="103"/>
    </row>
    <row r="111" spans="1:10" s="87" customFormat="1" ht="20.100000000000001" customHeight="1">
      <c r="A111" s="299" t="s">
        <v>235</v>
      </c>
      <c r="B111" s="300"/>
      <c r="C111" s="65"/>
      <c r="D111" s="301"/>
      <c r="E111" s="302"/>
      <c r="F111" s="91"/>
      <c r="G111" s="91"/>
      <c r="H111" s="91"/>
      <c r="I111" s="94"/>
      <c r="J111" s="103"/>
    </row>
    <row r="112" spans="1:10" s="87" customFormat="1" ht="20.100000000000001" customHeight="1">
      <c r="A112" s="299" t="s">
        <v>236</v>
      </c>
      <c r="B112" s="300"/>
      <c r="C112" s="65"/>
      <c r="D112" s="301"/>
      <c r="E112" s="302"/>
      <c r="F112" s="91"/>
      <c r="G112" s="91"/>
      <c r="H112" s="91"/>
      <c r="I112" s="94"/>
      <c r="J112" s="103"/>
    </row>
    <row r="113" spans="1:10" s="87" customFormat="1" ht="20.100000000000001" customHeight="1">
      <c r="A113" s="299" t="s">
        <v>249</v>
      </c>
      <c r="B113" s="300"/>
      <c r="C113" s="65"/>
      <c r="D113" s="301"/>
      <c r="E113" s="302"/>
      <c r="F113" s="91"/>
      <c r="G113" s="91"/>
      <c r="H113" s="91"/>
      <c r="I113" s="94"/>
      <c r="J113" s="103"/>
    </row>
    <row r="114" spans="1:10" s="87" customFormat="1" ht="20.100000000000001" customHeight="1">
      <c r="A114" s="99"/>
      <c r="B114" s="85"/>
      <c r="C114" s="85"/>
      <c r="D114" s="85"/>
      <c r="E114" s="85"/>
      <c r="F114" s="85"/>
      <c r="G114" s="85"/>
      <c r="H114" s="85"/>
      <c r="I114" s="85"/>
      <c r="J114" s="103"/>
    </row>
    <row r="115" spans="1:10" ht="20.100000000000001" customHeight="1">
      <c r="A115" s="11"/>
      <c r="B115" s="8"/>
      <c r="C115" s="8"/>
      <c r="D115" s="8"/>
      <c r="E115" s="8"/>
      <c r="F115" s="8"/>
      <c r="G115" s="8"/>
      <c r="H115" s="8"/>
      <c r="I115" s="8"/>
      <c r="J115" s="1"/>
    </row>
    <row r="116" spans="1:10" s="87" customFormat="1" ht="20.100000000000001" customHeight="1">
      <c r="A116" s="97" t="s">
        <v>237</v>
      </c>
      <c r="B116" s="85"/>
      <c r="C116" s="85"/>
      <c r="D116" s="85"/>
      <c r="E116" s="85"/>
      <c r="F116" s="85"/>
      <c r="G116" s="85"/>
      <c r="H116" s="85"/>
      <c r="I116" s="85"/>
      <c r="J116" s="103"/>
    </row>
    <row r="117" spans="1:10" s="87" customFormat="1" ht="20.100000000000001" customHeight="1">
      <c r="A117" s="99" t="s">
        <v>238</v>
      </c>
      <c r="B117" s="85"/>
      <c r="C117" s="85"/>
      <c r="D117" s="85"/>
      <c r="E117" s="85"/>
      <c r="F117" s="85"/>
      <c r="G117" s="85"/>
      <c r="H117" s="85"/>
      <c r="I117" s="85"/>
      <c r="J117" s="103"/>
    </row>
    <row r="118" spans="1:10" s="87" customFormat="1" ht="34.5" customHeight="1">
      <c r="A118" s="295" t="s">
        <v>216</v>
      </c>
      <c r="B118" s="296"/>
      <c r="C118" s="96" t="s">
        <v>217</v>
      </c>
      <c r="D118" s="338" t="s">
        <v>240</v>
      </c>
      <c r="E118" s="358"/>
      <c r="F118" s="96" t="s">
        <v>239</v>
      </c>
      <c r="G118" s="96" t="s">
        <v>242</v>
      </c>
      <c r="H118" s="71" t="s">
        <v>241</v>
      </c>
      <c r="I118" s="96" t="s">
        <v>220</v>
      </c>
      <c r="J118" s="102" t="s">
        <v>177</v>
      </c>
    </row>
    <row r="119" spans="1:10" s="87" customFormat="1" ht="20.100000000000001" customHeight="1">
      <c r="A119" s="303" t="s">
        <v>221</v>
      </c>
      <c r="B119" s="307"/>
      <c r="C119" s="65"/>
      <c r="D119" s="301"/>
      <c r="E119" s="302"/>
      <c r="F119" s="91"/>
      <c r="G119" s="91"/>
      <c r="H119" s="91"/>
      <c r="I119" s="94"/>
      <c r="J119" s="103"/>
    </row>
    <row r="120" spans="1:10" s="87" customFormat="1" ht="20.100000000000001" customHeight="1">
      <c r="A120" s="299" t="s">
        <v>222</v>
      </c>
      <c r="B120" s="300"/>
      <c r="C120" s="65"/>
      <c r="D120" s="301"/>
      <c r="E120" s="302"/>
      <c r="F120" s="91"/>
      <c r="G120" s="91"/>
      <c r="H120" s="91"/>
      <c r="I120" s="94"/>
      <c r="J120" s="103"/>
    </row>
    <row r="121" spans="1:10" s="87" customFormat="1" ht="20.100000000000001" customHeight="1">
      <c r="A121" s="299" t="s">
        <v>223</v>
      </c>
      <c r="B121" s="300"/>
      <c r="C121" s="65"/>
      <c r="D121" s="301"/>
      <c r="E121" s="302"/>
      <c r="F121" s="91"/>
      <c r="G121" s="91"/>
      <c r="H121" s="91"/>
      <c r="I121" s="94"/>
      <c r="J121" s="103"/>
    </row>
    <row r="122" spans="1:10" s="87" customFormat="1" ht="20.100000000000001" customHeight="1">
      <c r="A122" s="299" t="s">
        <v>224</v>
      </c>
      <c r="B122" s="300"/>
      <c r="C122" s="65"/>
      <c r="D122" s="301"/>
      <c r="E122" s="302"/>
      <c r="F122" s="91"/>
      <c r="G122" s="91"/>
      <c r="H122" s="91"/>
      <c r="I122" s="94"/>
      <c r="J122" s="103"/>
    </row>
    <row r="123" spans="1:10" s="87" customFormat="1" ht="20.100000000000001" customHeight="1">
      <c r="A123" s="299" t="s">
        <v>225</v>
      </c>
      <c r="B123" s="300"/>
      <c r="C123" s="65"/>
      <c r="D123" s="301"/>
      <c r="E123" s="302"/>
      <c r="F123" s="91"/>
      <c r="G123" s="91"/>
      <c r="H123" s="91"/>
      <c r="I123" s="94"/>
      <c r="J123" s="103"/>
    </row>
    <row r="124" spans="1:10" s="87" customFormat="1" ht="20.100000000000001" customHeight="1">
      <c r="A124" s="299" t="s">
        <v>226</v>
      </c>
      <c r="B124" s="300"/>
      <c r="C124" s="65"/>
      <c r="D124" s="301"/>
      <c r="E124" s="302"/>
      <c r="F124" s="91"/>
      <c r="G124" s="91"/>
      <c r="H124" s="91"/>
      <c r="I124" s="94"/>
      <c r="J124" s="103"/>
    </row>
    <row r="125" spans="1:10" s="87" customFormat="1" ht="20.100000000000001" customHeight="1">
      <c r="A125" s="303" t="s">
        <v>230</v>
      </c>
      <c r="B125" s="304"/>
      <c r="C125" s="65"/>
      <c r="D125" s="301"/>
      <c r="E125" s="302"/>
      <c r="F125" s="91"/>
      <c r="G125" s="91"/>
      <c r="H125" s="91"/>
      <c r="I125" s="94"/>
      <c r="J125" s="103"/>
    </row>
    <row r="126" spans="1:10" s="87" customFormat="1" ht="20.100000000000001" customHeight="1">
      <c r="A126" s="299" t="s">
        <v>231</v>
      </c>
      <c r="B126" s="300"/>
      <c r="C126" s="65"/>
      <c r="D126" s="301"/>
      <c r="E126" s="302"/>
      <c r="F126" s="91"/>
      <c r="G126" s="91"/>
      <c r="H126" s="91"/>
      <c r="I126" s="94"/>
      <c r="J126" s="103"/>
    </row>
    <row r="127" spans="1:10" s="87" customFormat="1" ht="20.100000000000001" customHeight="1">
      <c r="A127" s="299" t="s">
        <v>232</v>
      </c>
      <c r="B127" s="300"/>
      <c r="C127" s="65"/>
      <c r="D127" s="301"/>
      <c r="E127" s="302"/>
      <c r="F127" s="91"/>
      <c r="G127" s="91"/>
      <c r="H127" s="91"/>
      <c r="I127" s="94"/>
      <c r="J127" s="103"/>
    </row>
    <row r="128" spans="1:10" s="87" customFormat="1" ht="20.100000000000001" customHeight="1">
      <c r="A128" s="299" t="s">
        <v>233</v>
      </c>
      <c r="B128" s="300"/>
      <c r="C128" s="65"/>
      <c r="D128" s="301"/>
      <c r="E128" s="302"/>
      <c r="F128" s="91"/>
      <c r="G128" s="91"/>
      <c r="H128" s="91"/>
      <c r="I128" s="94"/>
      <c r="J128" s="103"/>
    </row>
    <row r="129" spans="1:10" s="87" customFormat="1" ht="20.100000000000001" customHeight="1">
      <c r="A129" s="299" t="s">
        <v>249</v>
      </c>
      <c r="B129" s="300"/>
      <c r="C129" s="65"/>
      <c r="D129" s="301"/>
      <c r="E129" s="302"/>
      <c r="F129" s="91"/>
      <c r="G129" s="91"/>
      <c r="H129" s="91"/>
      <c r="I129" s="94"/>
      <c r="J129" s="103"/>
    </row>
    <row r="130" spans="1:10" s="87" customFormat="1" ht="20.100000000000001" customHeight="1">
      <c r="A130" s="99"/>
      <c r="B130" s="85"/>
      <c r="C130" s="85"/>
      <c r="D130" s="85"/>
      <c r="E130" s="85"/>
      <c r="F130" s="85"/>
      <c r="G130" s="85"/>
      <c r="H130" s="85"/>
      <c r="I130" s="85"/>
      <c r="J130" s="103"/>
    </row>
    <row r="131" spans="1:10" s="87" customFormat="1" ht="20.100000000000001" customHeight="1">
      <c r="A131" s="99"/>
      <c r="B131" s="85"/>
      <c r="C131" s="85"/>
      <c r="D131" s="85"/>
      <c r="E131" s="85"/>
      <c r="F131" s="85"/>
      <c r="G131" s="85"/>
      <c r="H131" s="85"/>
      <c r="I131" s="85"/>
      <c r="J131" s="103"/>
    </row>
    <row r="132" spans="1:10" s="87" customFormat="1" ht="20.100000000000001" customHeight="1">
      <c r="A132" s="99" t="s">
        <v>243</v>
      </c>
      <c r="B132" s="85"/>
      <c r="C132" s="85"/>
      <c r="D132" s="85"/>
      <c r="E132" s="85"/>
      <c r="F132" s="85"/>
      <c r="G132" s="85"/>
      <c r="H132" s="85"/>
      <c r="I132" s="85"/>
      <c r="J132" s="103"/>
    </row>
    <row r="133" spans="1:10" s="87" customFormat="1" ht="40.5" customHeight="1">
      <c r="A133" s="295" t="s">
        <v>216</v>
      </c>
      <c r="B133" s="296"/>
      <c r="C133" s="96" t="s">
        <v>217</v>
      </c>
      <c r="D133" s="338" t="s">
        <v>244</v>
      </c>
      <c r="E133" s="358"/>
      <c r="F133" s="96" t="s">
        <v>239</v>
      </c>
      <c r="G133" s="96" t="s">
        <v>242</v>
      </c>
      <c r="H133" s="71" t="s">
        <v>245</v>
      </c>
      <c r="I133" s="96" t="s">
        <v>220</v>
      </c>
      <c r="J133" s="103"/>
    </row>
    <row r="134" spans="1:10" s="87" customFormat="1" ht="20.100000000000001" customHeight="1">
      <c r="A134" s="299" t="s">
        <v>246</v>
      </c>
      <c r="B134" s="300"/>
      <c r="C134" s="65"/>
      <c r="D134" s="301"/>
      <c r="E134" s="302"/>
      <c r="F134" s="91"/>
      <c r="G134" s="91"/>
      <c r="H134" s="91"/>
      <c r="I134" s="94"/>
      <c r="J134" s="103"/>
    </row>
    <row r="135" spans="1:10" s="87" customFormat="1" ht="20.100000000000001" customHeight="1">
      <c r="A135" s="299" t="s">
        <v>247</v>
      </c>
      <c r="B135" s="300"/>
      <c r="C135" s="65"/>
      <c r="D135" s="301"/>
      <c r="E135" s="302"/>
      <c r="F135" s="91"/>
      <c r="G135" s="91"/>
      <c r="H135" s="91"/>
      <c r="I135" s="94"/>
      <c r="J135" s="103"/>
    </row>
    <row r="136" spans="1:10" s="87" customFormat="1" ht="20.100000000000001" customHeight="1">
      <c r="A136" s="299" t="s">
        <v>248</v>
      </c>
      <c r="B136" s="300"/>
      <c r="C136" s="65"/>
      <c r="D136" s="301"/>
      <c r="E136" s="302"/>
      <c r="F136" s="91"/>
      <c r="G136" s="91"/>
      <c r="H136" s="91"/>
      <c r="I136" s="94"/>
      <c r="J136" s="103"/>
    </row>
    <row r="137" spans="1:10" s="87" customFormat="1" ht="20.100000000000001" customHeight="1">
      <c r="A137" s="299"/>
      <c r="B137" s="300"/>
      <c r="C137" s="65"/>
      <c r="D137" s="301"/>
      <c r="E137" s="302"/>
      <c r="F137" s="91"/>
      <c r="G137" s="91"/>
      <c r="H137" s="91"/>
      <c r="I137" s="94"/>
      <c r="J137" s="103"/>
    </row>
    <row r="138" spans="1:10" s="87" customFormat="1" ht="20.100000000000001" customHeight="1">
      <c r="A138" s="299" t="s">
        <v>249</v>
      </c>
      <c r="B138" s="300"/>
      <c r="C138" s="65"/>
      <c r="D138" s="301"/>
      <c r="E138" s="302"/>
      <c r="F138" s="91"/>
      <c r="G138" s="91"/>
      <c r="H138" s="91"/>
      <c r="I138" s="94"/>
      <c r="J138" s="103"/>
    </row>
    <row r="139" spans="1:10" s="87" customFormat="1" ht="20.100000000000001" customHeight="1">
      <c r="A139" s="99"/>
      <c r="B139" s="85"/>
      <c r="C139" s="85"/>
      <c r="D139" s="85"/>
      <c r="E139" s="85"/>
      <c r="F139" s="85"/>
      <c r="G139" s="85"/>
      <c r="H139" s="85"/>
      <c r="I139" s="85"/>
      <c r="J139" s="103"/>
    </row>
    <row r="140" spans="1:10" s="87" customFormat="1" ht="20.100000000000001" customHeight="1">
      <c r="A140" s="99"/>
      <c r="B140" s="85"/>
      <c r="C140" s="85"/>
      <c r="D140" s="85"/>
      <c r="E140" s="85"/>
      <c r="F140" s="85"/>
      <c r="G140" s="85"/>
      <c r="H140" s="85"/>
      <c r="I140" s="85"/>
      <c r="J140" s="103"/>
    </row>
    <row r="141" spans="1:10" ht="20.100000000000001" customHeight="1">
      <c r="A141" s="269" t="s">
        <v>8</v>
      </c>
      <c r="B141" s="269"/>
      <c r="C141" s="269"/>
      <c r="D141" s="269"/>
      <c r="E141" s="269"/>
      <c r="F141" s="269"/>
      <c r="G141" s="269"/>
      <c r="H141" s="269"/>
      <c r="I141" s="269"/>
      <c r="J141" s="1"/>
    </row>
    <row r="142" spans="1:10" ht="20.100000000000001" customHeight="1">
      <c r="A142" s="310"/>
      <c r="B142" s="311"/>
      <c r="C142" s="311"/>
      <c r="D142" s="311"/>
      <c r="E142" s="311"/>
      <c r="F142" s="311"/>
      <c r="G142" s="311"/>
      <c r="H142" s="311"/>
      <c r="I142" s="311"/>
      <c r="J142" s="1"/>
    </row>
    <row r="143" spans="1:10" ht="20.100000000000001" customHeight="1">
      <c r="A143" s="12"/>
      <c r="B143" s="12"/>
      <c r="C143" s="12"/>
      <c r="D143" s="12"/>
      <c r="E143" s="12"/>
      <c r="F143" s="12"/>
      <c r="G143" s="12"/>
      <c r="H143" s="12"/>
      <c r="I143" s="13"/>
      <c r="J143" s="1"/>
    </row>
    <row r="144" spans="1:10" ht="20.100000000000001" customHeight="1">
      <c r="A144" s="269" t="s">
        <v>9</v>
      </c>
      <c r="B144" s="269"/>
      <c r="C144" s="269"/>
      <c r="D144" s="269"/>
      <c r="E144" s="269"/>
      <c r="F144" s="269"/>
      <c r="G144" s="269"/>
      <c r="H144" s="269"/>
      <c r="I144" s="269"/>
      <c r="J144" s="1"/>
    </row>
    <row r="145" spans="1:10" ht="49.5" customHeight="1">
      <c r="A145" s="308"/>
      <c r="B145" s="309"/>
      <c r="C145" s="309"/>
      <c r="D145" s="309"/>
      <c r="E145" s="309"/>
      <c r="F145" s="309"/>
      <c r="G145" s="309"/>
      <c r="H145" s="309"/>
      <c r="I145" s="309"/>
      <c r="J145" s="1"/>
    </row>
    <row r="147" spans="1:10" s="15" customFormat="1" ht="18" customHeight="1">
      <c r="A147" s="14" t="s">
        <v>10</v>
      </c>
      <c r="J147" s="16"/>
    </row>
    <row r="148" spans="1:10" s="15" customFormat="1" ht="18" customHeight="1">
      <c r="A148" s="6" t="s">
        <v>114</v>
      </c>
      <c r="J148" s="16"/>
    </row>
    <row r="149" spans="1:10" s="15" customFormat="1" ht="18" customHeight="1">
      <c r="A149" s="6" t="s">
        <v>115</v>
      </c>
      <c r="J149" s="16"/>
    </row>
    <row r="150" spans="1:10" s="15" customFormat="1" ht="18" customHeight="1">
      <c r="A150" s="6" t="s">
        <v>116</v>
      </c>
      <c r="J150" s="16"/>
    </row>
    <row r="151" spans="1:10" s="15" customFormat="1" ht="18" customHeight="1">
      <c r="A151" s="6"/>
      <c r="J151" s="16"/>
    </row>
    <row r="152" spans="1:10" s="15" customFormat="1" ht="18" customHeight="1">
      <c r="A152" s="6" t="s">
        <v>117</v>
      </c>
      <c r="J152" s="16"/>
    </row>
    <row r="153" spans="1:10" s="15" customFormat="1" ht="18" customHeight="1">
      <c r="A153" s="6" t="s">
        <v>118</v>
      </c>
      <c r="J153" s="16"/>
    </row>
    <row r="154" spans="1:10" s="15" customFormat="1" ht="18" customHeight="1">
      <c r="A154" s="6" t="s">
        <v>119</v>
      </c>
      <c r="J154" s="16"/>
    </row>
  </sheetData>
  <mergeCells count="211">
    <mergeCell ref="D133:E133"/>
    <mergeCell ref="D134:E134"/>
    <mergeCell ref="D135:E135"/>
    <mergeCell ref="A136:B136"/>
    <mergeCell ref="D136:E136"/>
    <mergeCell ref="A137:B137"/>
    <mergeCell ref="D137:E137"/>
    <mergeCell ref="A138:B138"/>
    <mergeCell ref="D138:E138"/>
    <mergeCell ref="A125:B125"/>
    <mergeCell ref="D125:E125"/>
    <mergeCell ref="A126:B126"/>
    <mergeCell ref="D126:E126"/>
    <mergeCell ref="A127:B127"/>
    <mergeCell ref="D127:E127"/>
    <mergeCell ref="A129:B129"/>
    <mergeCell ref="D129:E129"/>
    <mergeCell ref="A128:B128"/>
    <mergeCell ref="D128:E128"/>
    <mergeCell ref="A120:B120"/>
    <mergeCell ref="D120:E120"/>
    <mergeCell ref="A121:B121"/>
    <mergeCell ref="D121:E121"/>
    <mergeCell ref="A122:B122"/>
    <mergeCell ref="D122:E122"/>
    <mergeCell ref="A123:B123"/>
    <mergeCell ref="D123:E123"/>
    <mergeCell ref="A124:B124"/>
    <mergeCell ref="D124:E124"/>
    <mergeCell ref="A118:B118"/>
    <mergeCell ref="D118:E118"/>
    <mergeCell ref="A119:B119"/>
    <mergeCell ref="D119:E119"/>
    <mergeCell ref="A111:B111"/>
    <mergeCell ref="A112:B112"/>
    <mergeCell ref="A113:B113"/>
    <mergeCell ref="D111:E111"/>
    <mergeCell ref="D112:E112"/>
    <mergeCell ref="D113:E113"/>
    <mergeCell ref="J94:J95"/>
    <mergeCell ref="A98:B98"/>
    <mergeCell ref="D98:E98"/>
    <mergeCell ref="A99:B99"/>
    <mergeCell ref="D99:E99"/>
    <mergeCell ref="A100:B100"/>
    <mergeCell ref="D100:E100"/>
    <mergeCell ref="A101:B101"/>
    <mergeCell ref="D101:E101"/>
    <mergeCell ref="A96:B96"/>
    <mergeCell ref="A97:B97"/>
    <mergeCell ref="J88:J90"/>
    <mergeCell ref="B89:E89"/>
    <mergeCell ref="B90:E90"/>
    <mergeCell ref="B91:E91"/>
    <mergeCell ref="B92:E92"/>
    <mergeCell ref="F89:H89"/>
    <mergeCell ref="F90:H90"/>
    <mergeCell ref="F91:H91"/>
    <mergeCell ref="F92:H92"/>
    <mergeCell ref="A141:I141"/>
    <mergeCell ref="A142:I142"/>
    <mergeCell ref="A144:I144"/>
    <mergeCell ref="A145:I145"/>
    <mergeCell ref="A134:B134"/>
    <mergeCell ref="A135:B135"/>
    <mergeCell ref="A20:A25"/>
    <mergeCell ref="B20:B25"/>
    <mergeCell ref="C20:E25"/>
    <mergeCell ref="A26:A27"/>
    <mergeCell ref="B26:B27"/>
    <mergeCell ref="C26:E27"/>
    <mergeCell ref="B32:E32"/>
    <mergeCell ref="B33:E33"/>
    <mergeCell ref="B34:E34"/>
    <mergeCell ref="B35:E35"/>
    <mergeCell ref="G40:H40"/>
    <mergeCell ref="G41:H41"/>
    <mergeCell ref="G42:H42"/>
    <mergeCell ref="G43:H43"/>
    <mergeCell ref="A133:B133"/>
    <mergeCell ref="B40:D40"/>
    <mergeCell ref="B41:D41"/>
    <mergeCell ref="B42:D42"/>
    <mergeCell ref="B43:D43"/>
    <mergeCell ref="E40:F40"/>
    <mergeCell ref="E41:F41"/>
    <mergeCell ref="E42:F42"/>
    <mergeCell ref="E43:F43"/>
    <mergeCell ref="B46:D46"/>
    <mergeCell ref="E46:F46"/>
    <mergeCell ref="G46:H46"/>
    <mergeCell ref="B47:D47"/>
    <mergeCell ref="E47:F47"/>
    <mergeCell ref="G47:H47"/>
    <mergeCell ref="B48:D48"/>
    <mergeCell ref="E48:F48"/>
    <mergeCell ref="G48:H48"/>
    <mergeCell ref="B49:D49"/>
    <mergeCell ref="E49:F49"/>
    <mergeCell ref="G49:H49"/>
    <mergeCell ref="B52:D52"/>
    <mergeCell ref="E52:F52"/>
    <mergeCell ref="G52:H52"/>
    <mergeCell ref="B53:D53"/>
    <mergeCell ref="E53:F53"/>
    <mergeCell ref="G53:H53"/>
    <mergeCell ref="B54:D54"/>
    <mergeCell ref="E54:F54"/>
    <mergeCell ref="G54:H54"/>
    <mergeCell ref="B56:D56"/>
    <mergeCell ref="E56:F56"/>
    <mergeCell ref="G56:H56"/>
    <mergeCell ref="B55:D55"/>
    <mergeCell ref="E55:F55"/>
    <mergeCell ref="G55:H55"/>
    <mergeCell ref="B65:D65"/>
    <mergeCell ref="E65:F65"/>
    <mergeCell ref="G65:H65"/>
    <mergeCell ref="B66:D66"/>
    <mergeCell ref="E66:F66"/>
    <mergeCell ref="G66:H66"/>
    <mergeCell ref="B67:D67"/>
    <mergeCell ref="E67:F67"/>
    <mergeCell ref="G67:H67"/>
    <mergeCell ref="B68:D68"/>
    <mergeCell ref="E68:F68"/>
    <mergeCell ref="G68:H68"/>
    <mergeCell ref="B71:D71"/>
    <mergeCell ref="E71:F71"/>
    <mergeCell ref="G71:H71"/>
    <mergeCell ref="B72:D72"/>
    <mergeCell ref="E72:F72"/>
    <mergeCell ref="G72:H72"/>
    <mergeCell ref="B73:D73"/>
    <mergeCell ref="E73:F73"/>
    <mergeCell ref="G73:H73"/>
    <mergeCell ref="B74:D74"/>
    <mergeCell ref="E74:F74"/>
    <mergeCell ref="G74:H74"/>
    <mergeCell ref="B77:D77"/>
    <mergeCell ref="E77:F77"/>
    <mergeCell ref="G77:H77"/>
    <mergeCell ref="E84:F84"/>
    <mergeCell ref="G84:H84"/>
    <mergeCell ref="E85:F85"/>
    <mergeCell ref="G85:H85"/>
    <mergeCell ref="E86:F86"/>
    <mergeCell ref="G86:H86"/>
    <mergeCell ref="B78:D78"/>
    <mergeCell ref="E78:F78"/>
    <mergeCell ref="G78:H78"/>
    <mergeCell ref="B79:D79"/>
    <mergeCell ref="E79:F79"/>
    <mergeCell ref="G79:H79"/>
    <mergeCell ref="B80:D80"/>
    <mergeCell ref="E80:F80"/>
    <mergeCell ref="G80:H80"/>
    <mergeCell ref="B85:D85"/>
    <mergeCell ref="B86:D86"/>
    <mergeCell ref="A110:B110"/>
    <mergeCell ref="D96:E96"/>
    <mergeCell ref="D97:E97"/>
    <mergeCell ref="D110:E110"/>
    <mergeCell ref="A102:B102"/>
    <mergeCell ref="D103:E103"/>
    <mergeCell ref="A104:B104"/>
    <mergeCell ref="D102:E102"/>
    <mergeCell ref="A103:B103"/>
    <mergeCell ref="A107:B107"/>
    <mergeCell ref="D107:E107"/>
    <mergeCell ref="A108:B108"/>
    <mergeCell ref="D108:E108"/>
    <mergeCell ref="A109:B109"/>
    <mergeCell ref="D109:E109"/>
    <mergeCell ref="B62:D62"/>
    <mergeCell ref="E62:F62"/>
    <mergeCell ref="G62:H62"/>
    <mergeCell ref="D104:E104"/>
    <mergeCell ref="A105:B105"/>
    <mergeCell ref="D105:E105"/>
    <mergeCell ref="A106:B106"/>
    <mergeCell ref="D106:E106"/>
    <mergeCell ref="G33:H33"/>
    <mergeCell ref="G34:H34"/>
    <mergeCell ref="G35:H35"/>
    <mergeCell ref="B59:D59"/>
    <mergeCell ref="E59:F59"/>
    <mergeCell ref="G59:H59"/>
    <mergeCell ref="B60:D60"/>
    <mergeCell ref="E60:F60"/>
    <mergeCell ref="G60:H60"/>
    <mergeCell ref="B61:D61"/>
    <mergeCell ref="E61:F61"/>
    <mergeCell ref="G61:H61"/>
    <mergeCell ref="B83:D83"/>
    <mergeCell ref="E83:F83"/>
    <mergeCell ref="G83:H83"/>
    <mergeCell ref="B84:D84"/>
    <mergeCell ref="G32:H32"/>
    <mergeCell ref="A1:I1"/>
    <mergeCell ref="A2:I2"/>
    <mergeCell ref="A5:I5"/>
    <mergeCell ref="A6:I6"/>
    <mergeCell ref="A7:I7"/>
    <mergeCell ref="C9:E9"/>
    <mergeCell ref="C10:E14"/>
    <mergeCell ref="A10:A14"/>
    <mergeCell ref="B10:B14"/>
    <mergeCell ref="A15:A19"/>
    <mergeCell ref="B15:B19"/>
    <mergeCell ref="C15:E19"/>
  </mergeCells>
  <phoneticPr fontId="8" type="noConversion"/>
  <dataValidations count="1">
    <dataValidation type="list" allowBlank="1" showInputMessage="1" showErrorMessage="1" sqref="F33:F35" xr:uid="{00000000-0002-0000-0500-000000000000}">
      <formula1>"是,否"</formula1>
    </dataValidation>
  </dataValidations>
  <printOptions horizontalCentered="1"/>
  <pageMargins left="0.94488188976377963" right="0.27559055118110237" top="0.62992125984251968" bottom="0.51181102362204722" header="0.51181102362204722" footer="0.35433070866141736"/>
  <pageSetup paperSize="9" scale="84" fitToHeight="0" orientation="portrait" blackAndWhite="1" cellComments="atEnd"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6">
    <tabColor theme="7" tint="-0.249977111117893"/>
    <pageSetUpPr fitToPage="1"/>
  </sheetPr>
  <dimension ref="A1:J115"/>
  <sheetViews>
    <sheetView view="pageBreakPreview" zoomScaleNormal="130" zoomScaleSheetLayoutView="100" workbookViewId="0">
      <selection sqref="A1:I1"/>
    </sheetView>
  </sheetViews>
  <sheetFormatPr defaultColWidth="9" defaultRowHeight="13.8"/>
  <cols>
    <col min="1" max="1" width="12.33203125" style="87" customWidth="1"/>
    <col min="2" max="2" width="8.33203125" style="87" customWidth="1"/>
    <col min="3" max="4" width="7.88671875" style="87" customWidth="1"/>
    <col min="5" max="5" width="12.77734375" style="87" customWidth="1"/>
    <col min="6" max="6" width="16.109375" style="87" customWidth="1"/>
    <col min="7" max="7" width="13.6640625" style="87" customWidth="1"/>
    <col min="8" max="8" width="17.109375" style="87" customWidth="1"/>
    <col min="9" max="9" width="12.21875" style="87" customWidth="1"/>
    <col min="10" max="10" width="54.109375" style="90" customWidth="1"/>
    <col min="11" max="16384" width="9" style="87"/>
  </cols>
  <sheetData>
    <row r="1" spans="1:10" ht="20.100000000000001" customHeight="1">
      <c r="A1" s="266" t="s">
        <v>0</v>
      </c>
      <c r="B1" s="266"/>
      <c r="C1" s="266"/>
      <c r="D1" s="266"/>
      <c r="E1" s="266"/>
      <c r="F1" s="266"/>
      <c r="G1" s="266"/>
      <c r="H1" s="266"/>
      <c r="I1" s="266"/>
      <c r="J1" s="103"/>
    </row>
    <row r="2" spans="1:10" s="88" customFormat="1" ht="24.9" customHeight="1">
      <c r="A2" s="267" t="s">
        <v>460</v>
      </c>
      <c r="B2" s="268"/>
      <c r="C2" s="268"/>
      <c r="D2" s="268"/>
      <c r="E2" s="268"/>
      <c r="F2" s="268"/>
      <c r="G2" s="268"/>
      <c r="H2" s="268"/>
      <c r="I2" s="268"/>
      <c r="J2" s="104"/>
    </row>
    <row r="3" spans="1:10" ht="20.100000000000001" customHeight="1">
      <c r="A3" s="87" t="str">
        <f>审定表!A3</f>
        <v>客户名称：</v>
      </c>
      <c r="E3" s="89" t="str">
        <f>'表头（请先填写）'!A4</f>
        <v>编制人：</v>
      </c>
      <c r="G3" s="87" t="str">
        <f>'表头（请先填写）'!A5</f>
        <v>日期：</v>
      </c>
      <c r="I3" s="87" t="s">
        <v>461</v>
      </c>
      <c r="J3" s="103"/>
    </row>
    <row r="4" spans="1:10" ht="20.100000000000001" customHeight="1">
      <c r="A4" s="87" t="str">
        <f>审定表!A4</f>
        <v>会计期间：2023年度</v>
      </c>
      <c r="E4" s="89" t="s">
        <v>1</v>
      </c>
      <c r="G4" s="87" t="s">
        <v>2</v>
      </c>
      <c r="I4" s="93" t="s">
        <v>250</v>
      </c>
      <c r="J4" s="103"/>
    </row>
    <row r="5" spans="1:10" ht="20.100000000000001" customHeight="1">
      <c r="A5" s="269" t="s">
        <v>3</v>
      </c>
      <c r="B5" s="269"/>
      <c r="C5" s="269"/>
      <c r="D5" s="269"/>
      <c r="E5" s="269"/>
      <c r="F5" s="269"/>
      <c r="G5" s="269"/>
      <c r="H5" s="269"/>
      <c r="I5" s="269"/>
      <c r="J5" s="103" t="s">
        <v>469</v>
      </c>
    </row>
    <row r="6" spans="1:10" ht="21" customHeight="1">
      <c r="A6" s="270" t="s">
        <v>93</v>
      </c>
      <c r="B6" s="270"/>
      <c r="C6" s="270"/>
      <c r="D6" s="270"/>
      <c r="E6" s="270"/>
      <c r="F6" s="270"/>
      <c r="G6" s="270"/>
      <c r="H6" s="270"/>
      <c r="I6" s="270"/>
      <c r="J6" s="76" t="s">
        <v>470</v>
      </c>
    </row>
    <row r="7" spans="1:10" ht="20.100000000000001" customHeight="1">
      <c r="A7" s="269" t="s">
        <v>4</v>
      </c>
      <c r="B7" s="269"/>
      <c r="C7" s="269"/>
      <c r="D7" s="269"/>
      <c r="E7" s="269"/>
      <c r="F7" s="269"/>
      <c r="G7" s="269"/>
      <c r="H7" s="269"/>
      <c r="I7" s="269"/>
      <c r="J7" s="103"/>
    </row>
    <row r="8" spans="1:10" ht="19.5" customHeight="1">
      <c r="A8" s="97" t="s">
        <v>366</v>
      </c>
      <c r="B8" s="85"/>
      <c r="C8" s="85"/>
      <c r="D8" s="85"/>
      <c r="E8" s="85"/>
      <c r="F8" s="85"/>
      <c r="G8" s="85"/>
      <c r="H8" s="85"/>
      <c r="I8" s="85"/>
      <c r="J8" s="103"/>
    </row>
    <row r="9" spans="1:10" ht="31.5" customHeight="1">
      <c r="A9" s="56" t="s">
        <v>96</v>
      </c>
      <c r="B9" s="55" t="s">
        <v>104</v>
      </c>
      <c r="C9" s="271" t="s">
        <v>97</v>
      </c>
      <c r="D9" s="272"/>
      <c r="E9" s="273"/>
      <c r="F9" s="55" t="s">
        <v>132</v>
      </c>
      <c r="G9" s="55" t="s">
        <v>98</v>
      </c>
      <c r="H9" s="55" t="s">
        <v>99</v>
      </c>
      <c r="I9" s="55" t="s">
        <v>100</v>
      </c>
      <c r="J9" s="103"/>
    </row>
    <row r="10" spans="1:10" ht="27.75" customHeight="1">
      <c r="A10" s="274" t="s">
        <v>471</v>
      </c>
      <c r="B10" s="277" t="s">
        <v>472</v>
      </c>
      <c r="C10" s="280" t="s">
        <v>477</v>
      </c>
      <c r="D10" s="281"/>
      <c r="E10" s="282"/>
      <c r="F10" s="54" t="s">
        <v>473</v>
      </c>
      <c r="G10" s="53"/>
      <c r="H10" s="54"/>
      <c r="I10" s="53"/>
      <c r="J10" s="103"/>
    </row>
    <row r="11" spans="1:10" ht="27.75" customHeight="1">
      <c r="A11" s="275"/>
      <c r="B11" s="278"/>
      <c r="C11" s="283"/>
      <c r="D11" s="284"/>
      <c r="E11" s="285"/>
      <c r="F11" s="54" t="s">
        <v>474</v>
      </c>
      <c r="G11" s="53"/>
      <c r="H11" s="54"/>
      <c r="I11" s="53"/>
      <c r="J11" s="102"/>
    </row>
    <row r="12" spans="1:10" ht="27.75" customHeight="1">
      <c r="A12" s="275"/>
      <c r="B12" s="278"/>
      <c r="C12" s="283"/>
      <c r="D12" s="284"/>
      <c r="E12" s="285"/>
      <c r="F12" s="54" t="s">
        <v>475</v>
      </c>
      <c r="G12" s="53"/>
      <c r="H12" s="52"/>
      <c r="I12" s="53"/>
      <c r="J12" s="103"/>
    </row>
    <row r="13" spans="1:10" ht="27.75" customHeight="1">
      <c r="A13" s="276"/>
      <c r="B13" s="279"/>
      <c r="C13" s="286"/>
      <c r="D13" s="287"/>
      <c r="E13" s="288"/>
      <c r="F13" s="54" t="s">
        <v>476</v>
      </c>
      <c r="G13" s="53"/>
      <c r="H13" s="58"/>
      <c r="I13" s="53"/>
      <c r="J13" s="103"/>
    </row>
    <row r="14" spans="1:10" ht="29.25" customHeight="1">
      <c r="A14" s="274" t="s">
        <v>478</v>
      </c>
      <c r="B14" s="277" t="s">
        <v>479</v>
      </c>
      <c r="C14" s="280" t="s">
        <v>480</v>
      </c>
      <c r="D14" s="281"/>
      <c r="E14" s="282"/>
      <c r="F14" s="54" t="s">
        <v>481</v>
      </c>
      <c r="G14" s="58"/>
      <c r="H14" s="58"/>
      <c r="I14" s="53"/>
      <c r="J14" s="103"/>
    </row>
    <row r="15" spans="1:10" ht="29.25" customHeight="1">
      <c r="A15" s="275"/>
      <c r="B15" s="278"/>
      <c r="C15" s="283"/>
      <c r="D15" s="284"/>
      <c r="E15" s="285"/>
      <c r="F15" s="54" t="s">
        <v>482</v>
      </c>
      <c r="G15" s="58"/>
      <c r="H15" s="58"/>
      <c r="I15" s="53"/>
      <c r="J15" s="103"/>
    </row>
    <row r="16" spans="1:10" ht="29.25" customHeight="1">
      <c r="A16" s="275"/>
      <c r="B16" s="278"/>
      <c r="C16" s="283"/>
      <c r="D16" s="284"/>
      <c r="E16" s="285"/>
      <c r="F16" s="54" t="s">
        <v>483</v>
      </c>
      <c r="G16" s="58"/>
      <c r="H16" s="58"/>
      <c r="I16" s="53"/>
      <c r="J16" s="102"/>
    </row>
    <row r="17" spans="1:10" ht="29.25" customHeight="1">
      <c r="A17" s="276"/>
      <c r="B17" s="279"/>
      <c r="C17" s="286"/>
      <c r="D17" s="287"/>
      <c r="E17" s="288"/>
      <c r="F17" s="54" t="s">
        <v>484</v>
      </c>
      <c r="G17" s="58"/>
      <c r="H17" s="58"/>
      <c r="I17" s="53"/>
      <c r="J17" s="102"/>
    </row>
    <row r="18" spans="1:10" ht="27" customHeight="1">
      <c r="A18" s="274" t="s">
        <v>486</v>
      </c>
      <c r="B18" s="277" t="s">
        <v>485</v>
      </c>
      <c r="C18" s="280" t="s">
        <v>487</v>
      </c>
      <c r="D18" s="281"/>
      <c r="E18" s="282"/>
      <c r="F18" s="52" t="s">
        <v>552</v>
      </c>
      <c r="G18" s="58"/>
      <c r="H18" s="54" t="s">
        <v>491</v>
      </c>
      <c r="I18" s="53"/>
      <c r="J18" s="375" t="s">
        <v>553</v>
      </c>
    </row>
    <row r="19" spans="1:10" ht="27" customHeight="1">
      <c r="A19" s="275"/>
      <c r="B19" s="278"/>
      <c r="C19" s="283"/>
      <c r="D19" s="284"/>
      <c r="E19" s="285"/>
      <c r="F19" s="54"/>
      <c r="G19" s="58"/>
      <c r="H19" s="54" t="s">
        <v>492</v>
      </c>
      <c r="I19" s="53"/>
      <c r="J19" s="283"/>
    </row>
    <row r="20" spans="1:10" ht="27" customHeight="1">
      <c r="A20" s="275"/>
      <c r="B20" s="278"/>
      <c r="C20" s="283"/>
      <c r="D20" s="284"/>
      <c r="E20" s="285"/>
      <c r="F20" s="54"/>
      <c r="G20" s="58"/>
      <c r="H20" s="54" t="s">
        <v>493</v>
      </c>
      <c r="I20" s="53"/>
      <c r="J20" s="102"/>
    </row>
    <row r="21" spans="1:10" ht="27" customHeight="1">
      <c r="A21" s="275"/>
      <c r="B21" s="278"/>
      <c r="C21" s="283"/>
      <c r="D21" s="284"/>
      <c r="E21" s="285"/>
      <c r="F21" s="54"/>
      <c r="G21" s="58"/>
      <c r="H21" s="54" t="s">
        <v>494</v>
      </c>
      <c r="I21" s="53"/>
      <c r="J21" s="103"/>
    </row>
    <row r="22" spans="1:10" ht="27" customHeight="1">
      <c r="A22" s="275"/>
      <c r="B22" s="278"/>
      <c r="C22" s="283"/>
      <c r="D22" s="284"/>
      <c r="E22" s="285"/>
      <c r="F22" s="54"/>
      <c r="G22" s="58"/>
      <c r="H22" s="54" t="s">
        <v>495</v>
      </c>
      <c r="I22" s="53"/>
      <c r="J22" s="103"/>
    </row>
    <row r="23" spans="1:10" ht="27" customHeight="1">
      <c r="A23" s="276"/>
      <c r="B23" s="279"/>
      <c r="C23" s="286"/>
      <c r="D23" s="287"/>
      <c r="E23" s="288"/>
      <c r="F23" s="54"/>
      <c r="G23" s="58"/>
      <c r="H23" s="54" t="s">
        <v>496</v>
      </c>
      <c r="I23" s="53"/>
      <c r="J23" s="103"/>
    </row>
    <row r="24" spans="1:10" ht="27" customHeight="1">
      <c r="A24" s="274" t="s">
        <v>486</v>
      </c>
      <c r="B24" s="277" t="s">
        <v>485</v>
      </c>
      <c r="C24" s="280" t="s">
        <v>487</v>
      </c>
      <c r="D24" s="281"/>
      <c r="E24" s="282"/>
      <c r="F24" s="52" t="s">
        <v>551</v>
      </c>
      <c r="G24" s="58"/>
      <c r="H24" s="58"/>
      <c r="I24" s="53"/>
      <c r="J24" s="103"/>
    </row>
    <row r="25" spans="1:10" ht="27" customHeight="1">
      <c r="A25" s="275"/>
      <c r="B25" s="278"/>
      <c r="C25" s="283"/>
      <c r="D25" s="284"/>
      <c r="E25" s="285"/>
      <c r="F25" s="54"/>
      <c r="G25" s="58"/>
      <c r="H25" s="54" t="s">
        <v>488</v>
      </c>
      <c r="I25" s="53"/>
      <c r="J25" s="103"/>
    </row>
    <row r="26" spans="1:10" ht="27" customHeight="1">
      <c r="A26" s="275"/>
      <c r="B26" s="278"/>
      <c r="C26" s="283"/>
      <c r="D26" s="284"/>
      <c r="E26" s="285"/>
      <c r="F26" s="54"/>
      <c r="G26" s="58"/>
      <c r="H26" s="54" t="s">
        <v>489</v>
      </c>
      <c r="I26" s="53"/>
      <c r="J26" s="102"/>
    </row>
    <row r="27" spans="1:10" ht="27" customHeight="1">
      <c r="A27" s="275"/>
      <c r="B27" s="278"/>
      <c r="C27" s="283"/>
      <c r="D27" s="284"/>
      <c r="E27" s="285"/>
      <c r="F27" s="54"/>
      <c r="G27" s="58"/>
      <c r="H27" s="54" t="s">
        <v>490</v>
      </c>
      <c r="I27" s="53"/>
      <c r="J27" s="103"/>
    </row>
    <row r="28" spans="1:10" ht="27" customHeight="1">
      <c r="A28" s="275"/>
      <c r="B28" s="278"/>
      <c r="C28" s="283"/>
      <c r="D28" s="284"/>
      <c r="E28" s="285"/>
      <c r="F28" s="54"/>
      <c r="G28" s="58"/>
      <c r="H28" s="54"/>
      <c r="I28" s="53"/>
      <c r="J28" s="103"/>
    </row>
    <row r="29" spans="1:10" ht="27" customHeight="1">
      <c r="A29" s="276"/>
      <c r="B29" s="279"/>
      <c r="C29" s="286"/>
      <c r="D29" s="287"/>
      <c r="E29" s="288"/>
      <c r="F29" s="54"/>
      <c r="G29" s="58"/>
      <c r="H29" s="54"/>
      <c r="I29" s="53"/>
      <c r="J29" s="103"/>
    </row>
    <row r="30" spans="1:10" ht="35.25" customHeight="1">
      <c r="A30" s="274"/>
      <c r="B30" s="277"/>
      <c r="C30" s="280"/>
      <c r="D30" s="281"/>
      <c r="E30" s="282"/>
      <c r="F30" s="54"/>
      <c r="G30" s="58"/>
      <c r="H30" s="54"/>
      <c r="I30" s="53"/>
      <c r="J30" s="102"/>
    </row>
    <row r="31" spans="1:10" ht="32.25" customHeight="1">
      <c r="A31" s="276"/>
      <c r="B31" s="279"/>
      <c r="C31" s="286"/>
      <c r="D31" s="287"/>
      <c r="E31" s="288"/>
      <c r="F31" s="57"/>
      <c r="G31" s="58"/>
      <c r="H31" s="54"/>
      <c r="I31" s="53"/>
      <c r="J31" s="103"/>
    </row>
    <row r="32" spans="1:10" ht="19.5" customHeight="1">
      <c r="A32" s="99"/>
      <c r="B32" s="85"/>
      <c r="C32" s="85"/>
      <c r="D32" s="85"/>
      <c r="E32" s="85"/>
      <c r="F32" s="85"/>
      <c r="G32" s="85"/>
      <c r="H32" s="85"/>
      <c r="I32" s="85"/>
      <c r="J32" s="103"/>
    </row>
    <row r="33" spans="1:10" ht="20.100000000000001" customHeight="1">
      <c r="A33" s="99"/>
      <c r="B33" s="85"/>
      <c r="C33" s="85"/>
      <c r="D33" s="85"/>
      <c r="E33" s="85"/>
      <c r="F33" s="85"/>
      <c r="G33" s="85"/>
      <c r="H33" s="85"/>
      <c r="I33" s="85"/>
      <c r="J33" s="103"/>
    </row>
    <row r="34" spans="1:10" ht="20.100000000000001" customHeight="1">
      <c r="A34" s="97" t="s">
        <v>503</v>
      </c>
      <c r="B34" s="85"/>
      <c r="C34" s="85"/>
      <c r="D34" s="85"/>
      <c r="E34" s="85"/>
      <c r="F34" s="85"/>
      <c r="G34" s="85"/>
      <c r="H34" s="85"/>
      <c r="I34" s="85"/>
      <c r="J34" s="102"/>
    </row>
    <row r="35" spans="1:10" ht="20.100000000000001" customHeight="1">
      <c r="A35" s="295" t="s">
        <v>216</v>
      </c>
      <c r="B35" s="296"/>
      <c r="C35" s="96" t="s">
        <v>217</v>
      </c>
      <c r="D35" s="297">
        <v>44196</v>
      </c>
      <c r="E35" s="298"/>
      <c r="F35" s="96" t="s">
        <v>218</v>
      </c>
      <c r="G35" s="96" t="s">
        <v>219</v>
      </c>
      <c r="H35" s="75">
        <v>44197</v>
      </c>
      <c r="I35" s="96" t="s">
        <v>220</v>
      </c>
      <c r="J35" s="103"/>
    </row>
    <row r="36" spans="1:10" ht="20.100000000000001" customHeight="1">
      <c r="A36" s="303" t="s">
        <v>365</v>
      </c>
      <c r="B36" s="307"/>
      <c r="C36" s="65"/>
      <c r="D36" s="301"/>
      <c r="E36" s="302"/>
      <c r="F36" s="91"/>
      <c r="G36" s="91"/>
      <c r="H36" s="91"/>
      <c r="I36" s="94"/>
      <c r="J36" s="103"/>
    </row>
    <row r="37" spans="1:10" ht="20.100000000000001" customHeight="1">
      <c r="A37" s="299" t="s">
        <v>498</v>
      </c>
      <c r="B37" s="300"/>
      <c r="C37" s="65"/>
      <c r="D37" s="301"/>
      <c r="E37" s="302"/>
      <c r="F37" s="91"/>
      <c r="G37" s="91"/>
      <c r="H37" s="91"/>
      <c r="I37" s="94"/>
      <c r="J37" s="103"/>
    </row>
    <row r="38" spans="1:10" ht="20.100000000000001" customHeight="1">
      <c r="A38" s="299" t="s">
        <v>485</v>
      </c>
      <c r="B38" s="300"/>
      <c r="C38" s="65"/>
      <c r="D38" s="373" t="s">
        <v>499</v>
      </c>
      <c r="E38" s="306"/>
      <c r="F38" s="91"/>
      <c r="G38" s="91"/>
      <c r="H38" s="91"/>
      <c r="I38" s="94"/>
      <c r="J38" s="103"/>
    </row>
    <row r="39" spans="1:10" ht="20.100000000000001" customHeight="1">
      <c r="A39" s="299" t="s">
        <v>500</v>
      </c>
      <c r="B39" s="300"/>
      <c r="C39" s="65"/>
      <c r="D39" s="301"/>
      <c r="E39" s="302"/>
      <c r="F39" s="91"/>
      <c r="G39" s="91"/>
      <c r="H39" s="91"/>
      <c r="I39" s="94"/>
      <c r="J39" s="103"/>
    </row>
    <row r="40" spans="1:10" ht="20.100000000000001" customHeight="1">
      <c r="A40" s="299"/>
      <c r="B40" s="300"/>
      <c r="C40" s="65"/>
      <c r="D40" s="301"/>
      <c r="E40" s="302"/>
      <c r="F40" s="91"/>
      <c r="G40" s="91"/>
      <c r="H40" s="91"/>
      <c r="I40" s="94"/>
      <c r="J40" s="103"/>
    </row>
    <row r="41" spans="1:10" ht="20.100000000000001" customHeight="1">
      <c r="A41" s="299" t="s">
        <v>508</v>
      </c>
      <c r="B41" s="300"/>
      <c r="C41" s="65"/>
      <c r="D41" s="301"/>
      <c r="E41" s="302"/>
      <c r="F41" s="91"/>
      <c r="G41" s="91"/>
      <c r="H41" s="91"/>
      <c r="I41" s="94"/>
      <c r="J41" s="103"/>
    </row>
    <row r="42" spans="1:10" ht="20.100000000000001" customHeight="1">
      <c r="A42" s="303" t="s">
        <v>497</v>
      </c>
      <c r="B42" s="304"/>
      <c r="C42" s="65"/>
      <c r="D42" s="301"/>
      <c r="E42" s="302"/>
      <c r="F42" s="91"/>
      <c r="G42" s="91"/>
      <c r="H42" s="91"/>
      <c r="I42" s="94"/>
      <c r="J42" s="103"/>
    </row>
    <row r="43" spans="1:10" ht="20.100000000000001" customHeight="1">
      <c r="A43" s="299" t="s">
        <v>440</v>
      </c>
      <c r="B43" s="300"/>
      <c r="C43" s="65"/>
      <c r="D43" s="301"/>
      <c r="E43" s="302"/>
      <c r="F43" s="91"/>
      <c r="G43" s="91"/>
      <c r="H43" s="91"/>
      <c r="I43" s="94"/>
      <c r="J43" s="103"/>
    </row>
    <row r="44" spans="1:10" ht="20.100000000000001" customHeight="1">
      <c r="A44" s="299" t="s">
        <v>501</v>
      </c>
      <c r="B44" s="300"/>
      <c r="C44" s="65"/>
      <c r="D44" s="373" t="s">
        <v>499</v>
      </c>
      <c r="E44" s="306"/>
      <c r="F44" s="91"/>
      <c r="G44" s="91"/>
      <c r="H44" s="91"/>
      <c r="I44" s="94"/>
      <c r="J44" s="103"/>
    </row>
    <row r="45" spans="1:10" ht="20.100000000000001" customHeight="1">
      <c r="A45" s="299" t="s">
        <v>478</v>
      </c>
      <c r="B45" s="300"/>
      <c r="C45" s="65"/>
      <c r="D45" s="301"/>
      <c r="E45" s="302"/>
      <c r="F45" s="91"/>
      <c r="G45" s="91"/>
      <c r="H45" s="91"/>
      <c r="I45" s="94"/>
      <c r="J45" s="103"/>
    </row>
    <row r="46" spans="1:10" ht="20.100000000000001" customHeight="1">
      <c r="A46" s="299" t="s">
        <v>502</v>
      </c>
      <c r="B46" s="300"/>
      <c r="C46" s="65"/>
      <c r="D46" s="301"/>
      <c r="E46" s="302"/>
      <c r="F46" s="91"/>
      <c r="G46" s="91"/>
      <c r="H46" s="91"/>
      <c r="I46" s="94"/>
      <c r="J46" s="103"/>
    </row>
    <row r="47" spans="1:10" ht="20.100000000000001" customHeight="1">
      <c r="A47" s="299"/>
      <c r="B47" s="300"/>
      <c r="C47" s="65"/>
      <c r="D47" s="301"/>
      <c r="E47" s="302"/>
      <c r="F47" s="91"/>
      <c r="G47" s="91"/>
      <c r="H47" s="91"/>
      <c r="I47" s="94"/>
      <c r="J47" s="103"/>
    </row>
    <row r="48" spans="1:10" ht="20.100000000000001" customHeight="1">
      <c r="A48" s="299" t="s">
        <v>510</v>
      </c>
      <c r="B48" s="300"/>
      <c r="C48" s="65"/>
      <c r="D48" s="301"/>
      <c r="E48" s="302"/>
      <c r="F48" s="91"/>
      <c r="G48" s="91"/>
      <c r="H48" s="91"/>
      <c r="I48" s="94"/>
      <c r="J48" s="103"/>
    </row>
    <row r="49" spans="1:10" ht="20.100000000000001" customHeight="1">
      <c r="A49" s="99"/>
      <c r="B49" s="85"/>
      <c r="C49" s="85"/>
      <c r="D49" s="85"/>
      <c r="E49" s="85"/>
      <c r="F49" s="85"/>
      <c r="G49" s="85"/>
      <c r="H49" s="85"/>
      <c r="I49" s="85"/>
      <c r="J49" s="103"/>
    </row>
    <row r="50" spans="1:10" ht="20.100000000000001" customHeight="1">
      <c r="A50" s="99"/>
      <c r="B50" s="85"/>
      <c r="C50" s="85"/>
      <c r="D50" s="85"/>
      <c r="E50" s="85"/>
      <c r="F50" s="85"/>
      <c r="G50" s="85"/>
      <c r="H50" s="85"/>
      <c r="I50" s="85"/>
      <c r="J50" s="103"/>
    </row>
    <row r="51" spans="1:10" ht="20.100000000000001" customHeight="1">
      <c r="A51" s="97" t="s">
        <v>528</v>
      </c>
      <c r="B51" s="85"/>
      <c r="C51" s="85"/>
      <c r="D51" s="85"/>
      <c r="E51" s="85"/>
      <c r="F51" s="85"/>
      <c r="G51" s="85"/>
      <c r="H51" s="85"/>
      <c r="I51" s="85"/>
      <c r="J51" s="103"/>
    </row>
    <row r="52" spans="1:10" ht="20.100000000000001" customHeight="1">
      <c r="A52" s="374" t="s">
        <v>531</v>
      </c>
      <c r="B52" s="372"/>
      <c r="C52" s="372"/>
      <c r="D52" s="372"/>
      <c r="E52" s="372"/>
      <c r="F52" s="96" t="s">
        <v>529</v>
      </c>
      <c r="G52" s="312" t="s">
        <v>530</v>
      </c>
      <c r="H52" s="372"/>
      <c r="I52" s="96" t="s">
        <v>532</v>
      </c>
      <c r="J52" s="103"/>
    </row>
    <row r="53" spans="1:10" ht="20.100000000000001" customHeight="1">
      <c r="A53" s="303" t="s">
        <v>533</v>
      </c>
      <c r="B53" s="307"/>
      <c r="C53" s="307"/>
      <c r="D53" s="307"/>
      <c r="E53" s="307"/>
      <c r="F53" s="91"/>
      <c r="G53" s="371"/>
      <c r="H53" s="307"/>
      <c r="I53" s="94"/>
      <c r="J53" s="103"/>
    </row>
    <row r="54" spans="1:10" ht="20.100000000000001" customHeight="1">
      <c r="A54" s="303" t="s">
        <v>537</v>
      </c>
      <c r="B54" s="307"/>
      <c r="C54" s="307"/>
      <c r="D54" s="307"/>
      <c r="E54" s="307"/>
      <c r="F54" s="91"/>
      <c r="G54" s="371"/>
      <c r="H54" s="307"/>
      <c r="I54" s="94"/>
      <c r="J54" s="103"/>
    </row>
    <row r="55" spans="1:10" ht="20.100000000000001" customHeight="1">
      <c r="A55" s="303" t="s">
        <v>534</v>
      </c>
      <c r="B55" s="307"/>
      <c r="C55" s="307"/>
      <c r="D55" s="307"/>
      <c r="E55" s="307"/>
      <c r="F55" s="72">
        <f>F53-F54</f>
        <v>0</v>
      </c>
      <c r="G55" s="371"/>
      <c r="H55" s="307"/>
      <c r="I55" s="94"/>
      <c r="J55" s="103"/>
    </row>
    <row r="56" spans="1:10" ht="20.100000000000001" customHeight="1">
      <c r="A56" s="303" t="s">
        <v>535</v>
      </c>
      <c r="B56" s="307"/>
      <c r="C56" s="307"/>
      <c r="D56" s="307"/>
      <c r="E56" s="307"/>
      <c r="F56" s="91"/>
      <c r="G56" s="371" t="s">
        <v>546</v>
      </c>
      <c r="H56" s="307"/>
      <c r="I56" s="94"/>
      <c r="J56" s="103"/>
    </row>
    <row r="57" spans="1:10" ht="20.100000000000001" customHeight="1">
      <c r="A57" s="303" t="s">
        <v>536</v>
      </c>
      <c r="B57" s="307"/>
      <c r="C57" s="307"/>
      <c r="D57" s="307"/>
      <c r="E57" s="307"/>
      <c r="F57" s="91"/>
      <c r="G57" s="371"/>
      <c r="H57" s="307"/>
      <c r="I57" s="94"/>
      <c r="J57" s="103"/>
    </row>
    <row r="58" spans="1:10" ht="20.100000000000001" customHeight="1">
      <c r="A58" s="303" t="s">
        <v>545</v>
      </c>
      <c r="B58" s="307"/>
      <c r="C58" s="307"/>
      <c r="D58" s="307"/>
      <c r="E58" s="307"/>
      <c r="F58" s="91"/>
      <c r="G58" s="371"/>
      <c r="H58" s="307"/>
      <c r="I58" s="94"/>
      <c r="J58" s="103"/>
    </row>
    <row r="59" spans="1:10" ht="20.100000000000001" customHeight="1">
      <c r="A59" s="303" t="s">
        <v>538</v>
      </c>
      <c r="B59" s="307"/>
      <c r="C59" s="307"/>
      <c r="D59" s="307"/>
      <c r="E59" s="307"/>
      <c r="F59" s="91"/>
      <c r="G59" s="371"/>
      <c r="H59" s="307"/>
      <c r="I59" s="94"/>
      <c r="J59" s="103"/>
    </row>
    <row r="60" spans="1:10" ht="20.100000000000001" customHeight="1">
      <c r="A60" s="303" t="s">
        <v>544</v>
      </c>
      <c r="B60" s="307"/>
      <c r="C60" s="307"/>
      <c r="D60" s="307"/>
      <c r="E60" s="307"/>
      <c r="F60" s="91"/>
      <c r="G60" s="371"/>
      <c r="H60" s="307"/>
      <c r="I60" s="94"/>
      <c r="J60" s="103"/>
    </row>
    <row r="61" spans="1:10" ht="20.100000000000001" customHeight="1">
      <c r="A61" s="303" t="s">
        <v>539</v>
      </c>
      <c r="B61" s="307"/>
      <c r="C61" s="307"/>
      <c r="D61" s="307"/>
      <c r="E61" s="307"/>
      <c r="F61" s="91"/>
      <c r="G61" s="371"/>
      <c r="H61" s="307"/>
      <c r="I61" s="94"/>
      <c r="J61" s="103"/>
    </row>
    <row r="62" spans="1:10" ht="20.100000000000001" customHeight="1">
      <c r="A62" s="303" t="s">
        <v>547</v>
      </c>
      <c r="B62" s="307"/>
      <c r="C62" s="307"/>
      <c r="D62" s="307"/>
      <c r="E62" s="307"/>
      <c r="F62" s="91"/>
      <c r="G62" s="371"/>
      <c r="H62" s="307"/>
      <c r="I62" s="94"/>
      <c r="J62" s="103"/>
    </row>
    <row r="63" spans="1:10" ht="20.100000000000001" customHeight="1">
      <c r="A63" s="303" t="s">
        <v>540</v>
      </c>
      <c r="B63" s="307"/>
      <c r="C63" s="307"/>
      <c r="D63" s="307"/>
      <c r="E63" s="307"/>
      <c r="F63" s="91">
        <f>F56+F57+F58-F59-F60-F61-F62</f>
        <v>0</v>
      </c>
      <c r="G63" s="371"/>
      <c r="H63" s="307"/>
      <c r="I63" s="94"/>
      <c r="J63" s="103"/>
    </row>
    <row r="64" spans="1:10" ht="20.100000000000001" customHeight="1">
      <c r="A64" s="303" t="s">
        <v>541</v>
      </c>
      <c r="B64" s="307"/>
      <c r="C64" s="307"/>
      <c r="D64" s="307"/>
      <c r="E64" s="307"/>
      <c r="F64" s="72"/>
      <c r="G64" s="371"/>
      <c r="H64" s="307"/>
      <c r="I64" s="94"/>
      <c r="J64" s="103"/>
    </row>
    <row r="65" spans="1:10" ht="20.100000000000001" customHeight="1">
      <c r="A65" s="303" t="s">
        <v>542</v>
      </c>
      <c r="B65" s="307"/>
      <c r="C65" s="307"/>
      <c r="D65" s="307"/>
      <c r="E65" s="307"/>
      <c r="F65" s="91"/>
      <c r="G65" s="371"/>
      <c r="H65" s="307"/>
      <c r="I65" s="94"/>
      <c r="J65" s="103"/>
    </row>
    <row r="66" spans="1:10" ht="20.100000000000001" customHeight="1">
      <c r="A66" s="303" t="s">
        <v>543</v>
      </c>
      <c r="B66" s="307"/>
      <c r="C66" s="307"/>
      <c r="D66" s="307"/>
      <c r="E66" s="307"/>
      <c r="F66" s="91"/>
      <c r="G66" s="371"/>
      <c r="H66" s="307"/>
      <c r="I66" s="94"/>
      <c r="J66" s="103"/>
    </row>
    <row r="67" spans="1:10" ht="20.100000000000001" customHeight="1">
      <c r="A67" s="99"/>
      <c r="B67" s="85"/>
      <c r="C67" s="85"/>
      <c r="D67" s="85"/>
      <c r="E67" s="85"/>
      <c r="F67" s="85"/>
      <c r="G67" s="85"/>
      <c r="H67" s="85"/>
      <c r="I67" s="85"/>
      <c r="J67" s="103"/>
    </row>
    <row r="68" spans="1:10" ht="20.100000000000001" customHeight="1">
      <c r="A68" s="99"/>
      <c r="B68" s="85"/>
      <c r="C68" s="85"/>
      <c r="D68" s="85"/>
      <c r="E68" s="85"/>
      <c r="F68" s="85"/>
      <c r="G68" s="85"/>
      <c r="H68" s="85"/>
      <c r="I68" s="85"/>
      <c r="J68" s="103"/>
    </row>
    <row r="69" spans="1:10" ht="20.100000000000001" customHeight="1">
      <c r="A69" s="97" t="s">
        <v>504</v>
      </c>
      <c r="B69" s="85"/>
      <c r="C69" s="85"/>
      <c r="D69" s="85"/>
      <c r="E69" s="85"/>
      <c r="F69" s="85"/>
      <c r="G69" s="85"/>
      <c r="H69" s="85"/>
      <c r="I69" s="85"/>
      <c r="J69" s="102" t="s">
        <v>549</v>
      </c>
    </row>
    <row r="70" spans="1:10" ht="20.100000000000001" customHeight="1">
      <c r="A70" s="99" t="s">
        <v>505</v>
      </c>
      <c r="B70" s="85"/>
      <c r="C70" s="85"/>
      <c r="D70" s="85"/>
      <c r="E70" s="85"/>
      <c r="F70" s="85"/>
      <c r="G70" s="85"/>
      <c r="H70" s="85"/>
      <c r="I70" s="85"/>
      <c r="J70" s="103"/>
    </row>
    <row r="71" spans="1:10" ht="34.5" customHeight="1">
      <c r="A71" s="295" t="s">
        <v>216</v>
      </c>
      <c r="B71" s="296"/>
      <c r="C71" s="96" t="s">
        <v>217</v>
      </c>
      <c r="D71" s="338" t="s">
        <v>506</v>
      </c>
      <c r="E71" s="358"/>
      <c r="F71" s="96" t="s">
        <v>239</v>
      </c>
      <c r="G71" s="96" t="s">
        <v>242</v>
      </c>
      <c r="H71" s="71" t="s">
        <v>507</v>
      </c>
      <c r="I71" s="96" t="s">
        <v>220</v>
      </c>
      <c r="J71" s="103"/>
    </row>
    <row r="72" spans="1:10" ht="20.100000000000001" customHeight="1">
      <c r="A72" s="303" t="s">
        <v>365</v>
      </c>
      <c r="B72" s="307"/>
      <c r="C72" s="65"/>
      <c r="D72" s="301"/>
      <c r="E72" s="302"/>
      <c r="F72" s="91"/>
      <c r="G72" s="91"/>
      <c r="H72" s="91"/>
      <c r="I72" s="94"/>
      <c r="J72" s="103"/>
    </row>
    <row r="73" spans="1:10" ht="20.100000000000001" customHeight="1">
      <c r="A73" s="299" t="s">
        <v>498</v>
      </c>
      <c r="B73" s="300"/>
      <c r="C73" s="65"/>
      <c r="D73" s="301"/>
      <c r="E73" s="302"/>
      <c r="F73" s="91"/>
      <c r="G73" s="91"/>
      <c r="H73" s="91"/>
      <c r="I73" s="94"/>
      <c r="J73" s="103"/>
    </row>
    <row r="74" spans="1:10" ht="20.100000000000001" customHeight="1">
      <c r="A74" s="299" t="s">
        <v>485</v>
      </c>
      <c r="B74" s="300"/>
      <c r="C74" s="65"/>
      <c r="D74" s="301"/>
      <c r="E74" s="302"/>
      <c r="F74" s="91"/>
      <c r="G74" s="91"/>
      <c r="H74" s="91"/>
      <c r="I74" s="94"/>
      <c r="J74" s="103"/>
    </row>
    <row r="75" spans="1:10" ht="20.100000000000001" customHeight="1">
      <c r="A75" s="299" t="s">
        <v>500</v>
      </c>
      <c r="B75" s="300"/>
      <c r="C75" s="65"/>
      <c r="D75" s="301"/>
      <c r="E75" s="302"/>
      <c r="F75" s="91"/>
      <c r="G75" s="91"/>
      <c r="H75" s="91"/>
      <c r="I75" s="94"/>
      <c r="J75" s="103"/>
    </row>
    <row r="76" spans="1:10" ht="20.100000000000001" customHeight="1">
      <c r="A76" s="299"/>
      <c r="B76" s="300"/>
      <c r="C76" s="65"/>
      <c r="D76" s="301"/>
      <c r="E76" s="302"/>
      <c r="F76" s="91"/>
      <c r="G76" s="91"/>
      <c r="H76" s="91"/>
      <c r="I76" s="94"/>
      <c r="J76" s="103"/>
    </row>
    <row r="77" spans="1:10" ht="20.100000000000001" customHeight="1">
      <c r="A77" s="299" t="s">
        <v>508</v>
      </c>
      <c r="B77" s="300"/>
      <c r="C77" s="65"/>
      <c r="D77" s="301"/>
      <c r="E77" s="302"/>
      <c r="F77" s="91"/>
      <c r="G77" s="91"/>
      <c r="H77" s="91"/>
      <c r="I77" s="94"/>
      <c r="J77" s="103"/>
    </row>
    <row r="78" spans="1:10" ht="20.100000000000001" customHeight="1">
      <c r="A78" s="303" t="s">
        <v>497</v>
      </c>
      <c r="B78" s="304"/>
      <c r="C78" s="65"/>
      <c r="D78" s="301"/>
      <c r="E78" s="302"/>
      <c r="F78" s="91"/>
      <c r="G78" s="91"/>
      <c r="H78" s="91"/>
      <c r="I78" s="94"/>
      <c r="J78" s="103"/>
    </row>
    <row r="79" spans="1:10" ht="20.100000000000001" customHeight="1">
      <c r="A79" s="299" t="s">
        <v>440</v>
      </c>
      <c r="B79" s="300"/>
      <c r="C79" s="65"/>
      <c r="D79" s="301"/>
      <c r="E79" s="302"/>
      <c r="F79" s="91"/>
      <c r="G79" s="91"/>
      <c r="H79" s="91"/>
      <c r="I79" s="94"/>
      <c r="J79" s="103"/>
    </row>
    <row r="80" spans="1:10" ht="20.100000000000001" customHeight="1">
      <c r="A80" s="299" t="s">
        <v>501</v>
      </c>
      <c r="B80" s="300"/>
      <c r="C80" s="65"/>
      <c r="D80" s="301"/>
      <c r="E80" s="302"/>
      <c r="F80" s="91"/>
      <c r="G80" s="91"/>
      <c r="H80" s="91"/>
      <c r="I80" s="94"/>
      <c r="J80" s="103"/>
    </row>
    <row r="81" spans="1:10" ht="20.100000000000001" customHeight="1">
      <c r="A81" s="299" t="s">
        <v>478</v>
      </c>
      <c r="B81" s="300"/>
      <c r="C81" s="65"/>
      <c r="D81" s="301"/>
      <c r="E81" s="302"/>
      <c r="F81" s="91"/>
      <c r="G81" s="91"/>
      <c r="H81" s="91"/>
      <c r="I81" s="94"/>
      <c r="J81" s="103"/>
    </row>
    <row r="82" spans="1:10" ht="20.100000000000001" customHeight="1">
      <c r="A82" s="299" t="s">
        <v>502</v>
      </c>
      <c r="B82" s="300"/>
      <c r="C82" s="65"/>
      <c r="D82" s="301"/>
      <c r="E82" s="302"/>
      <c r="F82" s="91"/>
      <c r="G82" s="91"/>
      <c r="H82" s="91"/>
      <c r="I82" s="94"/>
      <c r="J82" s="103"/>
    </row>
    <row r="83" spans="1:10" ht="20.100000000000001" customHeight="1">
      <c r="A83" s="299"/>
      <c r="B83" s="300"/>
      <c r="C83" s="65"/>
      <c r="D83" s="301"/>
      <c r="E83" s="302"/>
      <c r="F83" s="91"/>
      <c r="G83" s="91"/>
      <c r="H83" s="91"/>
      <c r="I83" s="94"/>
      <c r="J83" s="103"/>
    </row>
    <row r="84" spans="1:10" ht="20.100000000000001" customHeight="1">
      <c r="A84" s="299" t="s">
        <v>509</v>
      </c>
      <c r="B84" s="300"/>
      <c r="C84" s="65"/>
      <c r="D84" s="301"/>
      <c r="E84" s="302"/>
      <c r="F84" s="91"/>
      <c r="G84" s="91"/>
      <c r="H84" s="91"/>
      <c r="I84" s="94"/>
      <c r="J84" s="103"/>
    </row>
    <row r="85" spans="1:10" ht="20.100000000000001" customHeight="1">
      <c r="A85" s="85"/>
      <c r="B85" s="85"/>
      <c r="C85" s="85"/>
      <c r="D85" s="85"/>
      <c r="E85" s="85"/>
      <c r="F85" s="85"/>
      <c r="G85" s="85"/>
      <c r="H85" s="85"/>
      <c r="I85" s="85"/>
      <c r="J85" s="103"/>
    </row>
    <row r="86" spans="1:10" ht="20.100000000000001" customHeight="1">
      <c r="A86" s="85"/>
      <c r="B86" s="85"/>
      <c r="C86" s="85"/>
      <c r="D86" s="85"/>
      <c r="E86" s="85"/>
      <c r="F86" s="85"/>
      <c r="G86" s="85"/>
      <c r="H86" s="85"/>
      <c r="I86" s="85"/>
      <c r="J86" s="103"/>
    </row>
    <row r="87" spans="1:10" ht="20.100000000000001" customHeight="1">
      <c r="A87" s="99" t="s">
        <v>511</v>
      </c>
      <c r="B87" s="85"/>
      <c r="C87" s="85"/>
      <c r="D87" s="85"/>
      <c r="E87" s="85"/>
      <c r="F87" s="85"/>
      <c r="G87" s="85"/>
      <c r="H87" s="85"/>
      <c r="I87" s="85"/>
      <c r="J87" s="103"/>
    </row>
    <row r="88" spans="1:10" ht="40.5" customHeight="1">
      <c r="A88" s="295" t="s">
        <v>216</v>
      </c>
      <c r="B88" s="296"/>
      <c r="C88" s="96" t="s">
        <v>217</v>
      </c>
      <c r="D88" s="338" t="s">
        <v>512</v>
      </c>
      <c r="E88" s="358"/>
      <c r="F88" s="96" t="s">
        <v>239</v>
      </c>
      <c r="G88" s="96" t="s">
        <v>242</v>
      </c>
      <c r="H88" s="71" t="s">
        <v>513</v>
      </c>
      <c r="I88" s="96" t="s">
        <v>220</v>
      </c>
      <c r="J88" s="103"/>
    </row>
    <row r="89" spans="1:10" ht="20.100000000000001" customHeight="1">
      <c r="A89" s="299" t="s">
        <v>247</v>
      </c>
      <c r="B89" s="300"/>
      <c r="C89" s="65"/>
      <c r="D89" s="301"/>
      <c r="E89" s="302"/>
      <c r="F89" s="91"/>
      <c r="G89" s="91"/>
      <c r="H89" s="91"/>
      <c r="I89" s="94"/>
      <c r="J89" s="103"/>
    </row>
    <row r="90" spans="1:10" ht="20.100000000000001" customHeight="1">
      <c r="A90" s="299" t="s">
        <v>514</v>
      </c>
      <c r="B90" s="300"/>
      <c r="C90" s="65"/>
      <c r="D90" s="301"/>
      <c r="E90" s="302"/>
      <c r="F90" s="91"/>
      <c r="G90" s="91"/>
      <c r="H90" s="91"/>
      <c r="I90" s="94"/>
      <c r="J90" s="103"/>
    </row>
    <row r="91" spans="1:10" ht="20.100000000000001" customHeight="1">
      <c r="A91" s="299" t="s">
        <v>515</v>
      </c>
      <c r="B91" s="300"/>
      <c r="C91" s="65"/>
      <c r="D91" s="301"/>
      <c r="E91" s="302"/>
      <c r="F91" s="91"/>
      <c r="G91" s="91"/>
      <c r="H91" s="91"/>
      <c r="I91" s="94"/>
      <c r="J91" s="103"/>
    </row>
    <row r="92" spans="1:10" ht="20.100000000000001" customHeight="1">
      <c r="A92" s="299" t="s">
        <v>516</v>
      </c>
      <c r="B92" s="300"/>
      <c r="C92" s="65"/>
      <c r="D92" s="301"/>
      <c r="E92" s="302"/>
      <c r="F92" s="91"/>
      <c r="G92" s="91"/>
      <c r="H92" s="91"/>
      <c r="I92" s="94"/>
      <c r="J92" s="103"/>
    </row>
    <row r="93" spans="1:10" ht="20.100000000000001" customHeight="1">
      <c r="A93" s="299" t="s">
        <v>249</v>
      </c>
      <c r="B93" s="300"/>
      <c r="C93" s="65"/>
      <c r="D93" s="301"/>
      <c r="E93" s="302"/>
      <c r="F93" s="91"/>
      <c r="G93" s="91"/>
      <c r="H93" s="91"/>
      <c r="I93" s="94"/>
      <c r="J93" s="103"/>
    </row>
    <row r="94" spans="1:10" ht="20.100000000000001" customHeight="1">
      <c r="A94" s="99"/>
      <c r="B94" s="85"/>
      <c r="C94" s="85"/>
      <c r="D94" s="85"/>
      <c r="E94" s="85"/>
      <c r="F94" s="85"/>
      <c r="G94" s="85"/>
      <c r="H94" s="85"/>
      <c r="I94" s="85"/>
      <c r="J94" s="103"/>
    </row>
    <row r="95" spans="1:10" ht="20.100000000000001" customHeight="1">
      <c r="A95" s="99"/>
      <c r="B95" s="85"/>
      <c r="C95" s="85"/>
      <c r="D95" s="85"/>
      <c r="E95" s="85"/>
      <c r="F95" s="85"/>
      <c r="G95" s="85"/>
      <c r="H95" s="85"/>
      <c r="I95" s="85"/>
      <c r="J95" s="103"/>
    </row>
    <row r="96" spans="1:10" ht="20.100000000000001" customHeight="1">
      <c r="A96" s="269" t="s">
        <v>8</v>
      </c>
      <c r="B96" s="269"/>
      <c r="C96" s="269"/>
      <c r="D96" s="269"/>
      <c r="E96" s="269"/>
      <c r="F96" s="269"/>
      <c r="G96" s="269"/>
      <c r="H96" s="269"/>
      <c r="I96" s="269"/>
      <c r="J96" s="103"/>
    </row>
    <row r="97" spans="1:10" ht="20.100000000000001" customHeight="1">
      <c r="A97" s="310"/>
      <c r="B97" s="311"/>
      <c r="C97" s="311"/>
      <c r="D97" s="311"/>
      <c r="E97" s="311"/>
      <c r="F97" s="311"/>
      <c r="G97" s="311"/>
      <c r="H97" s="311"/>
      <c r="I97" s="311"/>
      <c r="J97" s="103"/>
    </row>
    <row r="98" spans="1:10" ht="20.100000000000001" customHeight="1">
      <c r="A98" s="98"/>
      <c r="B98" s="98"/>
      <c r="C98" s="98"/>
      <c r="D98" s="98"/>
      <c r="E98" s="98"/>
      <c r="F98" s="98"/>
      <c r="G98" s="98"/>
      <c r="H98" s="98"/>
      <c r="I98" s="95"/>
      <c r="J98" s="103"/>
    </row>
    <row r="99" spans="1:10" ht="20.100000000000001" customHeight="1">
      <c r="A99" s="269" t="s">
        <v>9</v>
      </c>
      <c r="B99" s="269"/>
      <c r="C99" s="269"/>
      <c r="D99" s="269"/>
      <c r="E99" s="269"/>
      <c r="F99" s="269"/>
      <c r="G99" s="269"/>
      <c r="H99" s="269"/>
      <c r="I99" s="269"/>
      <c r="J99" s="103"/>
    </row>
    <row r="100" spans="1:10" ht="49.5" customHeight="1">
      <c r="A100" s="308"/>
      <c r="B100" s="309"/>
      <c r="C100" s="309"/>
      <c r="D100" s="309"/>
      <c r="E100" s="309"/>
      <c r="F100" s="309"/>
      <c r="G100" s="309"/>
      <c r="H100" s="309"/>
      <c r="I100" s="309"/>
      <c r="J100" s="103"/>
    </row>
    <row r="102" spans="1:10" s="86" customFormat="1" ht="18" customHeight="1">
      <c r="A102" s="92" t="s">
        <v>10</v>
      </c>
      <c r="J102" s="105"/>
    </row>
    <row r="103" spans="1:10" s="86" customFormat="1" ht="18" customHeight="1">
      <c r="A103" s="93" t="s">
        <v>517</v>
      </c>
      <c r="J103" s="105"/>
    </row>
    <row r="104" spans="1:10" s="86" customFormat="1" ht="18" customHeight="1">
      <c r="A104" s="93"/>
      <c r="J104" s="105"/>
    </row>
    <row r="105" spans="1:10" s="86" customFormat="1" ht="18" customHeight="1">
      <c r="A105" s="93" t="s">
        <v>518</v>
      </c>
      <c r="J105" s="105"/>
    </row>
    <row r="106" spans="1:10" s="86" customFormat="1" ht="18" customHeight="1">
      <c r="A106" s="93" t="s">
        <v>519</v>
      </c>
      <c r="J106" s="105"/>
    </row>
    <row r="107" spans="1:10" s="86" customFormat="1" ht="18" customHeight="1">
      <c r="A107" s="93" t="s">
        <v>520</v>
      </c>
      <c r="J107" s="105"/>
    </row>
    <row r="108" spans="1:10" s="86" customFormat="1" ht="18" customHeight="1">
      <c r="A108" s="93" t="s">
        <v>521</v>
      </c>
      <c r="J108" s="105"/>
    </row>
    <row r="109" spans="1:10" s="86" customFormat="1" ht="18" customHeight="1">
      <c r="A109" s="93" t="s">
        <v>522</v>
      </c>
      <c r="J109" s="105"/>
    </row>
    <row r="110" spans="1:10" ht="18.75" customHeight="1">
      <c r="A110" s="87" t="s">
        <v>523</v>
      </c>
    </row>
    <row r="111" spans="1:10" ht="18.75" customHeight="1">
      <c r="A111" s="87" t="s">
        <v>524</v>
      </c>
    </row>
    <row r="112" spans="1:10" ht="18.75" customHeight="1"/>
    <row r="113" spans="1:1" ht="18.75" customHeight="1">
      <c r="A113" s="93" t="s">
        <v>525</v>
      </c>
    </row>
    <row r="114" spans="1:1" ht="17.25" customHeight="1">
      <c r="A114" s="93" t="s">
        <v>526</v>
      </c>
    </row>
    <row r="115" spans="1:1" ht="17.25" customHeight="1">
      <c r="A115" s="93" t="s">
        <v>527</v>
      </c>
    </row>
  </sheetData>
  <mergeCells count="124">
    <mergeCell ref="G64:H64"/>
    <mergeCell ref="A65:E65"/>
    <mergeCell ref="A60:E60"/>
    <mergeCell ref="G60:H60"/>
    <mergeCell ref="A58:E58"/>
    <mergeCell ref="G58:H58"/>
    <mergeCell ref="A62:E62"/>
    <mergeCell ref="G62:H62"/>
    <mergeCell ref="A18:A23"/>
    <mergeCell ref="B18:B23"/>
    <mergeCell ref="C18:E23"/>
    <mergeCell ref="A45:B45"/>
    <mergeCell ref="D45:E45"/>
    <mergeCell ref="A46:B46"/>
    <mergeCell ref="D46:E46"/>
    <mergeCell ref="A42:B42"/>
    <mergeCell ref="D42:E42"/>
    <mergeCell ref="A43:B43"/>
    <mergeCell ref="D43:E43"/>
    <mergeCell ref="A44:B44"/>
    <mergeCell ref="D44:E44"/>
    <mergeCell ref="A39:B39"/>
    <mergeCell ref="D39:E39"/>
    <mergeCell ref="A40:B40"/>
    <mergeCell ref="J18:J19"/>
    <mergeCell ref="A99:I99"/>
    <mergeCell ref="A100:I100"/>
    <mergeCell ref="A92:B92"/>
    <mergeCell ref="D92:E92"/>
    <mergeCell ref="A93:B93"/>
    <mergeCell ref="D93:E93"/>
    <mergeCell ref="A96:I96"/>
    <mergeCell ref="A97:I97"/>
    <mergeCell ref="A89:B89"/>
    <mergeCell ref="D89:E89"/>
    <mergeCell ref="A90:B90"/>
    <mergeCell ref="D90:E90"/>
    <mergeCell ref="A91:B91"/>
    <mergeCell ref="D91:E91"/>
    <mergeCell ref="A81:B81"/>
    <mergeCell ref="D81:E81"/>
    <mergeCell ref="A82:B82"/>
    <mergeCell ref="D82:E82"/>
    <mergeCell ref="A88:B88"/>
    <mergeCell ref="D88:E88"/>
    <mergeCell ref="A83:B83"/>
    <mergeCell ref="D83:E83"/>
    <mergeCell ref="A84:B84"/>
    <mergeCell ref="D84:E84"/>
    <mergeCell ref="A78:B78"/>
    <mergeCell ref="D78:E78"/>
    <mergeCell ref="A79:B79"/>
    <mergeCell ref="D79:E79"/>
    <mergeCell ref="A80:B80"/>
    <mergeCell ref="D80:E80"/>
    <mergeCell ref="A75:B75"/>
    <mergeCell ref="D75:E75"/>
    <mergeCell ref="A76:B76"/>
    <mergeCell ref="D76:E76"/>
    <mergeCell ref="A77:B77"/>
    <mergeCell ref="D77:E77"/>
    <mergeCell ref="A74:B74"/>
    <mergeCell ref="D74:E74"/>
    <mergeCell ref="A47:B47"/>
    <mergeCell ref="D47:E47"/>
    <mergeCell ref="A48:B48"/>
    <mergeCell ref="D48:E48"/>
    <mergeCell ref="A71:B71"/>
    <mergeCell ref="D71:E71"/>
    <mergeCell ref="A52:E52"/>
    <mergeCell ref="A53:E53"/>
    <mergeCell ref="A54:E54"/>
    <mergeCell ref="A55:E55"/>
    <mergeCell ref="D36:E36"/>
    <mergeCell ref="A37:B37"/>
    <mergeCell ref="D37:E37"/>
    <mergeCell ref="A38:B38"/>
    <mergeCell ref="D38:E38"/>
    <mergeCell ref="A72:B72"/>
    <mergeCell ref="D72:E72"/>
    <mergeCell ref="A73:B73"/>
    <mergeCell ref="D73:E73"/>
    <mergeCell ref="A35:B35"/>
    <mergeCell ref="D35:E35"/>
    <mergeCell ref="G53:H53"/>
    <mergeCell ref="G54:H54"/>
    <mergeCell ref="A56:E56"/>
    <mergeCell ref="G66:H66"/>
    <mergeCell ref="G65:H65"/>
    <mergeCell ref="A66:E66"/>
    <mergeCell ref="A61:E61"/>
    <mergeCell ref="G61:H61"/>
    <mergeCell ref="A64:E64"/>
    <mergeCell ref="G57:H57"/>
    <mergeCell ref="G63:H63"/>
    <mergeCell ref="A57:E57"/>
    <mergeCell ref="A63:E63"/>
    <mergeCell ref="A59:E59"/>
    <mergeCell ref="G59:H59"/>
    <mergeCell ref="G55:H55"/>
    <mergeCell ref="G56:H56"/>
    <mergeCell ref="G52:H52"/>
    <mergeCell ref="D40:E40"/>
    <mergeCell ref="A41:B41"/>
    <mergeCell ref="D41:E41"/>
    <mergeCell ref="A36:B36"/>
    <mergeCell ref="A30:A31"/>
    <mergeCell ref="B30:B31"/>
    <mergeCell ref="C30:E31"/>
    <mergeCell ref="A10:A13"/>
    <mergeCell ref="B10:B13"/>
    <mergeCell ref="C10:E13"/>
    <mergeCell ref="A14:A17"/>
    <mergeCell ref="B14:B17"/>
    <mergeCell ref="C14:E17"/>
    <mergeCell ref="A1:I1"/>
    <mergeCell ref="A2:I2"/>
    <mergeCell ref="A5:I5"/>
    <mergeCell ref="A6:I6"/>
    <mergeCell ref="A7:I7"/>
    <mergeCell ref="C9:E9"/>
    <mergeCell ref="A24:A29"/>
    <mergeCell ref="B24:B29"/>
    <mergeCell ref="C24:E29"/>
  </mergeCells>
  <phoneticPr fontId="5" type="noConversion"/>
  <printOptions horizontalCentered="1"/>
  <pageMargins left="0.94488188976377963" right="0.27559055118110237" top="0.62992125984251968" bottom="0.51181102362204722" header="0.51181102362204722" footer="0.35433070866141736"/>
  <pageSetup paperSize="9" scale="84" fitToHeight="0" orientation="portrait" blackAndWhite="1" cellComments="atEnd"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9">
    <tabColor theme="7" tint="-0.249977111117893"/>
    <pageSetUpPr fitToPage="1"/>
  </sheetPr>
  <dimension ref="A1:L68"/>
  <sheetViews>
    <sheetView view="pageBreakPreview" zoomScaleNormal="130" zoomScaleSheetLayoutView="100" workbookViewId="0">
      <selection activeCell="A2" sqref="A2:I2"/>
    </sheetView>
  </sheetViews>
  <sheetFormatPr defaultColWidth="9" defaultRowHeight="13.8"/>
  <cols>
    <col min="1" max="1" width="14.88671875" style="87" customWidth="1"/>
    <col min="2" max="2" width="11.21875" style="87" customWidth="1"/>
    <col min="3" max="3" width="10.88671875" style="87" customWidth="1"/>
    <col min="4" max="4" width="11.109375" style="87" customWidth="1"/>
    <col min="5" max="5" width="10" style="87" customWidth="1"/>
    <col min="6" max="6" width="11.21875" style="87" customWidth="1"/>
    <col min="7" max="7" width="10.44140625" style="87" customWidth="1"/>
    <col min="8" max="8" width="10.21875" style="87" customWidth="1"/>
    <col min="9" max="9" width="12.21875" style="87" customWidth="1"/>
    <col min="10" max="10" width="60.44140625" style="90" customWidth="1"/>
    <col min="11" max="16384" width="9" style="87"/>
  </cols>
  <sheetData>
    <row r="1" spans="1:10" ht="20.100000000000001" customHeight="1">
      <c r="A1" s="266" t="s">
        <v>0</v>
      </c>
      <c r="B1" s="266"/>
      <c r="C1" s="266"/>
      <c r="D1" s="266"/>
      <c r="E1" s="266"/>
      <c r="F1" s="266"/>
      <c r="G1" s="266"/>
      <c r="H1" s="266"/>
      <c r="I1" s="266"/>
      <c r="J1" s="103"/>
    </row>
    <row r="2" spans="1:10" s="88" customFormat="1" ht="24.9" customHeight="1">
      <c r="A2" s="267" t="s">
        <v>636</v>
      </c>
      <c r="B2" s="268"/>
      <c r="C2" s="268"/>
      <c r="D2" s="268"/>
      <c r="E2" s="268"/>
      <c r="F2" s="268"/>
      <c r="G2" s="268"/>
      <c r="H2" s="268"/>
      <c r="I2" s="268"/>
      <c r="J2" s="104"/>
    </row>
    <row r="3" spans="1:10" ht="20.100000000000001" customHeight="1">
      <c r="A3" s="87" t="str">
        <f>审定表!A3</f>
        <v>客户名称：</v>
      </c>
      <c r="D3" s="89" t="str">
        <f>'表头（请先填写）'!A4</f>
        <v>编制人：</v>
      </c>
      <c r="G3" s="87" t="str">
        <f>'表头（请先填写）'!A5</f>
        <v>日期：</v>
      </c>
      <c r="I3" s="87" t="s">
        <v>588</v>
      </c>
      <c r="J3" s="103"/>
    </row>
    <row r="4" spans="1:10" ht="20.100000000000001" customHeight="1">
      <c r="A4" s="87" t="str">
        <f>审定表!A4</f>
        <v>会计期间：2023年度</v>
      </c>
      <c r="D4" s="89" t="s">
        <v>1</v>
      </c>
      <c r="G4" s="87" t="s">
        <v>2</v>
      </c>
      <c r="I4" s="93" t="s">
        <v>250</v>
      </c>
      <c r="J4" s="103"/>
    </row>
    <row r="5" spans="1:10" ht="20.100000000000001" customHeight="1">
      <c r="A5" s="269" t="s">
        <v>3</v>
      </c>
      <c r="B5" s="269"/>
      <c r="C5" s="269"/>
      <c r="D5" s="269"/>
      <c r="E5" s="269"/>
      <c r="F5" s="269"/>
      <c r="G5" s="269"/>
      <c r="H5" s="269"/>
      <c r="I5" s="269"/>
      <c r="J5" s="103"/>
    </row>
    <row r="6" spans="1:10" ht="21" customHeight="1">
      <c r="A6" s="270" t="s">
        <v>655</v>
      </c>
      <c r="B6" s="270"/>
      <c r="C6" s="270"/>
      <c r="D6" s="270"/>
      <c r="E6" s="270"/>
      <c r="F6" s="270"/>
      <c r="G6" s="270"/>
      <c r="H6" s="270"/>
      <c r="I6" s="270"/>
      <c r="J6" s="76"/>
    </row>
    <row r="7" spans="1:10" ht="20.100000000000001" customHeight="1">
      <c r="A7" s="269" t="s">
        <v>4</v>
      </c>
      <c r="B7" s="269"/>
      <c r="C7" s="269"/>
      <c r="D7" s="269"/>
      <c r="E7" s="269"/>
      <c r="F7" s="269"/>
      <c r="G7" s="269"/>
      <c r="H7" s="269"/>
      <c r="I7" s="269"/>
      <c r="J7" s="103"/>
    </row>
    <row r="8" spans="1:10" ht="19.5" customHeight="1">
      <c r="A8" s="97" t="s">
        <v>591</v>
      </c>
      <c r="B8" s="85"/>
      <c r="C8" s="85"/>
      <c r="D8" s="85"/>
      <c r="E8" s="85"/>
      <c r="G8" s="176">
        <v>44197</v>
      </c>
      <c r="H8" s="85"/>
      <c r="I8" s="85"/>
      <c r="J8" s="103"/>
    </row>
    <row r="9" spans="1:10" ht="36.75" customHeight="1">
      <c r="A9" s="107" t="s">
        <v>592</v>
      </c>
      <c r="B9" s="107" t="s">
        <v>593</v>
      </c>
      <c r="C9" s="107" t="s">
        <v>599</v>
      </c>
      <c r="D9" s="71" t="s">
        <v>600</v>
      </c>
      <c r="E9" s="107" t="s">
        <v>602</v>
      </c>
      <c r="F9" s="107" t="s">
        <v>603</v>
      </c>
      <c r="G9" s="71" t="s">
        <v>612</v>
      </c>
      <c r="H9" s="71" t="s">
        <v>630</v>
      </c>
      <c r="I9" s="107" t="s">
        <v>656</v>
      </c>
      <c r="J9" s="103" t="s">
        <v>596</v>
      </c>
    </row>
    <row r="10" spans="1:10" ht="19.5" customHeight="1">
      <c r="A10" s="173" t="s">
        <v>598</v>
      </c>
      <c r="B10" s="190">
        <v>43466</v>
      </c>
      <c r="C10" s="190">
        <v>46387</v>
      </c>
      <c r="D10" s="191">
        <f>2</f>
        <v>2</v>
      </c>
      <c r="E10" s="191">
        <f>(YEAR(C10)-YEAR(B10))+D10+(MONTH(C10)-MONTH(B10)+1)/12</f>
        <v>10</v>
      </c>
      <c r="F10" s="190">
        <f>DATE(YEAR(C10)+D10,MONTH(C10),DAY(C10))</f>
        <v>47118</v>
      </c>
      <c r="G10" s="191">
        <f>(YEAR(C10)-YEAR(G8))+D10+(MONTH(C10)-MONTH(G8)+1)/12</f>
        <v>8</v>
      </c>
      <c r="H10" s="192">
        <v>0.05</v>
      </c>
      <c r="I10" s="193">
        <v>10</v>
      </c>
      <c r="J10" s="103"/>
    </row>
    <row r="11" spans="1:10" ht="19.5" customHeight="1">
      <c r="A11" s="106"/>
      <c r="B11" s="175"/>
      <c r="C11" s="65"/>
      <c r="D11" s="65"/>
      <c r="E11" s="65"/>
      <c r="F11" s="174"/>
      <c r="G11" s="65"/>
      <c r="H11" s="181"/>
      <c r="I11" s="181"/>
      <c r="J11" s="103"/>
    </row>
    <row r="12" spans="1:10" ht="19.5" customHeight="1">
      <c r="A12" s="99"/>
      <c r="B12" s="85"/>
      <c r="C12" s="85"/>
      <c r="D12" s="85"/>
      <c r="E12" s="85"/>
      <c r="F12" s="85"/>
      <c r="G12" s="85"/>
      <c r="H12" s="85"/>
      <c r="I12" s="85"/>
      <c r="J12" s="103"/>
    </row>
    <row r="13" spans="1:10" ht="19.5" customHeight="1">
      <c r="A13" s="97" t="s">
        <v>644</v>
      </c>
      <c r="B13" s="85"/>
      <c r="C13" s="85"/>
      <c r="D13" s="85"/>
      <c r="E13" s="85"/>
      <c r="F13" s="85"/>
      <c r="G13" s="85"/>
      <c r="H13" s="85"/>
      <c r="I13" s="85"/>
      <c r="J13" s="87"/>
    </row>
    <row r="14" spans="1:10" ht="30.75" customHeight="1">
      <c r="A14" s="107" t="s">
        <v>601</v>
      </c>
      <c r="B14" s="107" t="s">
        <v>650</v>
      </c>
      <c r="C14" s="107" t="s">
        <v>649</v>
      </c>
      <c r="D14" s="107" t="s">
        <v>646</v>
      </c>
      <c r="E14" s="107" t="s">
        <v>643</v>
      </c>
      <c r="F14" s="107" t="s">
        <v>604</v>
      </c>
      <c r="G14" s="187" t="s">
        <v>631</v>
      </c>
      <c r="H14" s="187" t="s">
        <v>645</v>
      </c>
      <c r="I14" s="187" t="s">
        <v>610</v>
      </c>
      <c r="J14" s="170" t="s">
        <v>662</v>
      </c>
    </row>
    <row r="15" spans="1:10" ht="19.5" customHeight="1">
      <c r="A15" s="207">
        <v>43466</v>
      </c>
      <c r="B15" s="91">
        <v>50000</v>
      </c>
      <c r="C15" s="200"/>
      <c r="D15" s="201"/>
      <c r="E15" s="202"/>
      <c r="F15" s="200"/>
      <c r="G15" s="65">
        <v>0</v>
      </c>
      <c r="H15" s="182">
        <f>1/(1+$H$10)^G15</f>
        <v>1</v>
      </c>
      <c r="I15" s="91">
        <f>B15*H15</f>
        <v>50000</v>
      </c>
      <c r="J15" s="87"/>
    </row>
    <row r="16" spans="1:10" ht="19.5" customHeight="1">
      <c r="A16" s="207">
        <v>43831</v>
      </c>
      <c r="B16" s="91">
        <v>50000</v>
      </c>
      <c r="C16" s="200"/>
      <c r="D16" s="201"/>
      <c r="E16" s="202"/>
      <c r="F16" s="200"/>
      <c r="G16" s="65">
        <v>1</v>
      </c>
      <c r="H16" s="182">
        <f t="shared" ref="H16:H24" si="0">1/(1+$H$10)^G16</f>
        <v>0.95238095238095233</v>
      </c>
      <c r="I16" s="91">
        <f t="shared" ref="I16:I24" si="1">B16*H16</f>
        <v>47619.047619047618</v>
      </c>
      <c r="J16" s="87"/>
    </row>
    <row r="17" spans="1:12" ht="19.5" customHeight="1">
      <c r="A17" s="194">
        <v>44197</v>
      </c>
      <c r="B17" s="91">
        <v>50000</v>
      </c>
      <c r="C17" s="91">
        <f>IF(E17=1,0,B17)</f>
        <v>0</v>
      </c>
      <c r="D17" s="65">
        <v>0</v>
      </c>
      <c r="E17" s="182">
        <f>1/(1+$H$10)^D17</f>
        <v>1</v>
      </c>
      <c r="F17" s="91">
        <f t="shared" ref="F17:F24" si="2">IF(E17=1,0,B17*E17)</f>
        <v>0</v>
      </c>
      <c r="G17" s="65">
        <v>2</v>
      </c>
      <c r="H17" s="182">
        <f t="shared" si="0"/>
        <v>0.90702947845804982</v>
      </c>
      <c r="I17" s="91">
        <f t="shared" si="1"/>
        <v>45351.473922902493</v>
      </c>
      <c r="J17" s="87"/>
    </row>
    <row r="18" spans="1:12" ht="19.5" customHeight="1">
      <c r="A18" s="194">
        <v>44562</v>
      </c>
      <c r="B18" s="91">
        <v>50000</v>
      </c>
      <c r="C18" s="91">
        <f t="shared" ref="C18:C24" si="3">IF(E18=1,0,B18)</f>
        <v>50000</v>
      </c>
      <c r="D18" s="65">
        <f>D17+1</f>
        <v>1</v>
      </c>
      <c r="E18" s="182">
        <f>1/(1+$H$10)^D18</f>
        <v>0.95238095238095233</v>
      </c>
      <c r="F18" s="91">
        <f t="shared" si="2"/>
        <v>47619.047619047618</v>
      </c>
      <c r="G18" s="65">
        <v>3</v>
      </c>
      <c r="H18" s="182">
        <f t="shared" si="0"/>
        <v>0.86383759853147601</v>
      </c>
      <c r="I18" s="91">
        <f t="shared" si="1"/>
        <v>43191.879926573798</v>
      </c>
      <c r="J18" s="87"/>
    </row>
    <row r="19" spans="1:12" ht="19.5" customHeight="1">
      <c r="A19" s="194">
        <v>44927</v>
      </c>
      <c r="B19" s="91">
        <v>50000</v>
      </c>
      <c r="C19" s="91">
        <f t="shared" si="3"/>
        <v>50000</v>
      </c>
      <c r="D19" s="65">
        <f t="shared" ref="D19:D24" si="4">D18+1</f>
        <v>2</v>
      </c>
      <c r="E19" s="182">
        <f t="shared" ref="E19:E24" si="5">1/(1+$H$10)^D19</f>
        <v>0.90702947845804982</v>
      </c>
      <c r="F19" s="91">
        <f t="shared" si="2"/>
        <v>45351.473922902493</v>
      </c>
      <c r="G19" s="65">
        <v>4</v>
      </c>
      <c r="H19" s="182">
        <f t="shared" si="0"/>
        <v>0.82270247479188197</v>
      </c>
      <c r="I19" s="91">
        <f t="shared" si="1"/>
        <v>41135.123739594099</v>
      </c>
      <c r="J19" s="87"/>
    </row>
    <row r="20" spans="1:12" ht="19.5" customHeight="1">
      <c r="A20" s="194">
        <v>45292</v>
      </c>
      <c r="B20" s="91">
        <v>50000</v>
      </c>
      <c r="C20" s="91">
        <f t="shared" si="3"/>
        <v>50000</v>
      </c>
      <c r="D20" s="65">
        <f t="shared" si="4"/>
        <v>3</v>
      </c>
      <c r="E20" s="182">
        <f t="shared" si="5"/>
        <v>0.86383759853147601</v>
      </c>
      <c r="F20" s="91">
        <f t="shared" si="2"/>
        <v>43191.879926573798</v>
      </c>
      <c r="G20" s="65">
        <v>5</v>
      </c>
      <c r="H20" s="182">
        <f t="shared" si="0"/>
        <v>0.78352616646845896</v>
      </c>
      <c r="I20" s="91">
        <f t="shared" si="1"/>
        <v>39176.308323422949</v>
      </c>
      <c r="J20" s="172"/>
      <c r="K20" s="172"/>
      <c r="L20" s="172"/>
    </row>
    <row r="21" spans="1:12" ht="19.5" customHeight="1">
      <c r="A21" s="194">
        <v>45658</v>
      </c>
      <c r="B21" s="91">
        <v>50000</v>
      </c>
      <c r="C21" s="91">
        <f t="shared" si="3"/>
        <v>50000</v>
      </c>
      <c r="D21" s="65">
        <f t="shared" si="4"/>
        <v>4</v>
      </c>
      <c r="E21" s="182">
        <f t="shared" si="5"/>
        <v>0.82270247479188197</v>
      </c>
      <c r="F21" s="91">
        <f t="shared" si="2"/>
        <v>41135.123739594099</v>
      </c>
      <c r="G21" s="65">
        <v>6</v>
      </c>
      <c r="H21" s="182">
        <f t="shared" si="0"/>
        <v>0.74621539663662761</v>
      </c>
      <c r="I21" s="91">
        <f t="shared" si="1"/>
        <v>37310.769831831378</v>
      </c>
      <c r="J21" s="172"/>
      <c r="K21" s="172"/>
      <c r="L21" s="172"/>
    </row>
    <row r="22" spans="1:12" ht="19.5" customHeight="1">
      <c r="A22" s="194">
        <v>46023</v>
      </c>
      <c r="B22" s="91">
        <v>50000</v>
      </c>
      <c r="C22" s="91">
        <f t="shared" si="3"/>
        <v>50000</v>
      </c>
      <c r="D22" s="65">
        <f t="shared" si="4"/>
        <v>5</v>
      </c>
      <c r="E22" s="182">
        <f t="shared" si="5"/>
        <v>0.78352616646845896</v>
      </c>
      <c r="F22" s="91">
        <f t="shared" si="2"/>
        <v>39176.308323422949</v>
      </c>
      <c r="G22" s="65">
        <v>7</v>
      </c>
      <c r="H22" s="182">
        <f t="shared" si="0"/>
        <v>0.71068133013012147</v>
      </c>
      <c r="I22" s="91">
        <f t="shared" si="1"/>
        <v>35534.066506506075</v>
      </c>
      <c r="J22" s="103"/>
    </row>
    <row r="23" spans="1:12" ht="19.5" customHeight="1">
      <c r="A23" s="194">
        <v>46388</v>
      </c>
      <c r="B23" s="91">
        <v>50000</v>
      </c>
      <c r="C23" s="91">
        <f t="shared" si="3"/>
        <v>50000</v>
      </c>
      <c r="D23" s="65">
        <f t="shared" si="4"/>
        <v>6</v>
      </c>
      <c r="E23" s="182">
        <f t="shared" si="5"/>
        <v>0.74621539663662761</v>
      </c>
      <c r="F23" s="91">
        <f t="shared" si="2"/>
        <v>37310.769831831378</v>
      </c>
      <c r="G23" s="65">
        <v>8</v>
      </c>
      <c r="H23" s="182">
        <f t="shared" si="0"/>
        <v>0.67683936202868722</v>
      </c>
      <c r="I23" s="91">
        <f t="shared" si="1"/>
        <v>33841.968101434359</v>
      </c>
      <c r="J23" s="103"/>
    </row>
    <row r="24" spans="1:12" ht="19.5" customHeight="1">
      <c r="A24" s="194">
        <v>46753</v>
      </c>
      <c r="B24" s="91">
        <v>50000</v>
      </c>
      <c r="C24" s="91">
        <f t="shared" si="3"/>
        <v>50000</v>
      </c>
      <c r="D24" s="65">
        <f t="shared" si="4"/>
        <v>7</v>
      </c>
      <c r="E24" s="182">
        <f t="shared" si="5"/>
        <v>0.71068133013012147</v>
      </c>
      <c r="F24" s="91">
        <f t="shared" si="2"/>
        <v>35534.066506506075</v>
      </c>
      <c r="G24" s="65">
        <v>9</v>
      </c>
      <c r="H24" s="182">
        <f t="shared" si="0"/>
        <v>0.64460891621779726</v>
      </c>
      <c r="I24" s="91">
        <f t="shared" si="1"/>
        <v>32230.445810889862</v>
      </c>
      <c r="J24" s="103"/>
    </row>
    <row r="25" spans="1:12" ht="20.100000000000001" customHeight="1">
      <c r="A25" s="107" t="s">
        <v>605</v>
      </c>
      <c r="B25" s="183">
        <f>SUM(B15:B24)</f>
        <v>500000</v>
      </c>
      <c r="C25" s="183">
        <f>SUM(C15:C24)</f>
        <v>350000</v>
      </c>
      <c r="D25" s="183"/>
      <c r="E25" s="183"/>
      <c r="F25" s="183">
        <f>SUM(F17:F24)</f>
        <v>289318.66986987839</v>
      </c>
      <c r="G25" s="195"/>
      <c r="H25" s="195"/>
      <c r="I25" s="195">
        <f>SUM(I15:I24)</f>
        <v>405391.08378220268</v>
      </c>
      <c r="J25" s="103"/>
    </row>
    <row r="26" spans="1:12" ht="20.100000000000001" customHeight="1">
      <c r="A26" s="178"/>
      <c r="B26" s="177"/>
      <c r="C26" s="85"/>
      <c r="D26" s="85"/>
      <c r="E26" s="85"/>
      <c r="F26" s="85"/>
      <c r="G26" s="85"/>
      <c r="H26" s="85"/>
      <c r="I26" s="85"/>
      <c r="J26" s="103"/>
    </row>
    <row r="27" spans="1:12" ht="20.100000000000001" customHeight="1">
      <c r="A27" s="188" t="s">
        <v>633</v>
      </c>
      <c r="B27" s="177"/>
      <c r="C27" s="85"/>
      <c r="D27" s="85"/>
      <c r="E27" s="85"/>
      <c r="F27" s="85"/>
      <c r="G27" s="85"/>
      <c r="H27" s="85"/>
      <c r="I27" s="85"/>
      <c r="J27" s="103"/>
    </row>
    <row r="28" spans="1:12" ht="19.5" customHeight="1">
      <c r="A28" s="99" t="s">
        <v>606</v>
      </c>
      <c r="B28" s="85"/>
      <c r="C28" s="189">
        <f>I25</f>
        <v>405391.08378220268</v>
      </c>
      <c r="D28" s="85"/>
      <c r="E28" s="179" t="s">
        <v>653</v>
      </c>
      <c r="F28" s="85"/>
      <c r="G28" s="85"/>
      <c r="H28" s="85"/>
      <c r="I28" s="85"/>
      <c r="J28" s="103"/>
    </row>
    <row r="29" spans="1:12" ht="19.5" customHeight="1">
      <c r="A29" s="99" t="s">
        <v>637</v>
      </c>
      <c r="B29" s="85"/>
      <c r="C29" s="87">
        <f>(B41-(G41-D34))*10%</f>
        <v>1500.580284411629</v>
      </c>
      <c r="E29" s="85"/>
      <c r="F29" s="85"/>
      <c r="G29" s="85"/>
      <c r="H29" s="85"/>
      <c r="I29" s="85"/>
      <c r="J29" s="103"/>
    </row>
    <row r="30" spans="1:12" ht="19.5" customHeight="1">
      <c r="A30" s="99" t="s">
        <v>638</v>
      </c>
      <c r="B30" s="85"/>
      <c r="C30" s="209">
        <f>(B41-(G41-D34))*90%</f>
        <v>13505.222559704662</v>
      </c>
      <c r="E30" s="85"/>
      <c r="F30" s="85"/>
      <c r="G30" s="85"/>
      <c r="H30" s="85"/>
      <c r="I30" s="85"/>
      <c r="J30" s="103"/>
    </row>
    <row r="31" spans="1:12" ht="19.5" customHeight="1">
      <c r="A31" s="99" t="s">
        <v>607</v>
      </c>
      <c r="B31" s="85"/>
      <c r="C31" s="189">
        <f>E49</f>
        <v>60681.330130121569</v>
      </c>
      <c r="E31" s="189"/>
      <c r="F31" s="85"/>
      <c r="G31" s="85"/>
      <c r="H31" s="85"/>
      <c r="I31" s="85"/>
      <c r="J31" s="103"/>
    </row>
    <row r="32" spans="1:12" ht="20.100000000000001" customHeight="1">
      <c r="A32" s="99" t="s">
        <v>639</v>
      </c>
      <c r="B32" s="85"/>
      <c r="C32" s="85"/>
      <c r="D32" s="189">
        <f>H39+H40</f>
        <v>81078.216756440539</v>
      </c>
      <c r="E32" s="85"/>
      <c r="F32" s="85"/>
      <c r="G32" s="85"/>
      <c r="H32" s="85"/>
      <c r="I32" s="85"/>
      <c r="J32" s="103"/>
    </row>
    <row r="33" spans="1:10" ht="20.100000000000001" customHeight="1">
      <c r="A33" s="99" t="s">
        <v>490</v>
      </c>
      <c r="B33" s="85"/>
      <c r="C33" s="85"/>
      <c r="D33" s="189">
        <f>C25</f>
        <v>350000</v>
      </c>
      <c r="E33" s="179" t="s">
        <v>657</v>
      </c>
      <c r="F33" s="85"/>
      <c r="G33" s="85"/>
      <c r="H33" s="85"/>
      <c r="I33" s="85"/>
      <c r="J33" s="103"/>
    </row>
    <row r="34" spans="1:10" ht="20.100000000000001" customHeight="1">
      <c r="A34" s="99" t="s">
        <v>672</v>
      </c>
      <c r="B34" s="85"/>
      <c r="C34" s="85"/>
      <c r="D34" s="189">
        <f>SUM(B17:B24)-SUM(C17:C24)</f>
        <v>50000</v>
      </c>
      <c r="E34" s="179" t="s">
        <v>652</v>
      </c>
      <c r="F34" s="85"/>
      <c r="G34" s="85"/>
      <c r="H34" s="85"/>
      <c r="I34" s="85"/>
      <c r="J34" s="103"/>
    </row>
    <row r="35" spans="1:10" ht="20.100000000000001" customHeight="1">
      <c r="A35" s="99"/>
      <c r="B35" s="85"/>
      <c r="C35" s="208">
        <f>SUM(C28:C34)</f>
        <v>481078.21675644052</v>
      </c>
      <c r="D35" s="208">
        <f>SUM(D28:D34)</f>
        <v>481078.21675644052</v>
      </c>
      <c r="E35" s="189"/>
      <c r="F35" s="189"/>
      <c r="G35" s="85"/>
      <c r="H35" s="85"/>
      <c r="I35" s="85"/>
      <c r="J35" s="103"/>
    </row>
    <row r="36" spans="1:10" ht="20.100000000000001" customHeight="1">
      <c r="A36" s="97" t="s">
        <v>632</v>
      </c>
      <c r="B36" s="177"/>
      <c r="C36" s="85"/>
      <c r="D36" s="85"/>
      <c r="E36" s="85"/>
      <c r="F36" s="85"/>
      <c r="G36" s="85"/>
      <c r="H36" s="85"/>
      <c r="I36" s="85"/>
      <c r="J36" s="103"/>
    </row>
    <row r="37" spans="1:10" ht="20.100000000000001" customHeight="1">
      <c r="A37" s="376" t="s">
        <v>634</v>
      </c>
      <c r="B37" s="376" t="s">
        <v>613</v>
      </c>
      <c r="C37" s="377"/>
      <c r="D37" s="377"/>
      <c r="E37" s="377"/>
      <c r="F37" s="377"/>
      <c r="G37" s="378" t="s">
        <v>614</v>
      </c>
      <c r="H37" s="379"/>
      <c r="I37" s="379"/>
      <c r="J37" s="103"/>
    </row>
    <row r="38" spans="1:10" ht="32.25" customHeight="1">
      <c r="A38" s="377"/>
      <c r="B38" s="107" t="s">
        <v>619</v>
      </c>
      <c r="C38" s="184" t="s">
        <v>615</v>
      </c>
      <c r="D38" s="107" t="s">
        <v>629</v>
      </c>
      <c r="E38" s="107" t="s">
        <v>616</v>
      </c>
      <c r="F38" s="107" t="s">
        <v>617</v>
      </c>
      <c r="G38" s="187" t="s">
        <v>619</v>
      </c>
      <c r="H38" s="187" t="s">
        <v>618</v>
      </c>
      <c r="I38" s="187" t="s">
        <v>617</v>
      </c>
      <c r="J38" s="170" t="s">
        <v>662</v>
      </c>
    </row>
    <row r="39" spans="1:10" ht="19.5" customHeight="1">
      <c r="A39" s="196" t="s">
        <v>640</v>
      </c>
      <c r="B39" s="197"/>
      <c r="C39" s="198"/>
      <c r="D39" s="199"/>
      <c r="E39" s="198"/>
      <c r="F39" s="198"/>
      <c r="G39" s="185">
        <f>I25</f>
        <v>405391.08378220268</v>
      </c>
      <c r="H39" s="186">
        <f t="shared" ref="H39:H48" si="6">$I$25/$I$10</f>
        <v>40539.10837822027</v>
      </c>
      <c r="I39" s="186">
        <f>G39-H39</f>
        <v>364851.97540398239</v>
      </c>
      <c r="J39" s="103"/>
    </row>
    <row r="40" spans="1:10" ht="19.5" customHeight="1">
      <c r="A40" s="196" t="s">
        <v>641</v>
      </c>
      <c r="B40" s="198"/>
      <c r="C40" s="198"/>
      <c r="D40" s="199"/>
      <c r="E40" s="198"/>
      <c r="F40" s="198"/>
      <c r="G40" s="186">
        <f>I39</f>
        <v>364851.97540398239</v>
      </c>
      <c r="H40" s="186">
        <f t="shared" si="6"/>
        <v>40539.10837822027</v>
      </c>
      <c r="I40" s="186">
        <f>G40-H40</f>
        <v>324312.8670257621</v>
      </c>
      <c r="J40" s="103"/>
    </row>
    <row r="41" spans="1:10" ht="20.100000000000001" customHeight="1">
      <c r="A41" s="180" t="s">
        <v>620</v>
      </c>
      <c r="B41" s="185">
        <f>F25</f>
        <v>289318.66986987839</v>
      </c>
      <c r="C41" s="186">
        <f>C17</f>
        <v>0</v>
      </c>
      <c r="D41" s="214">
        <v>1</v>
      </c>
      <c r="E41" s="186">
        <f>(B41-C41)*$H$10</f>
        <v>14465.93349349392</v>
      </c>
      <c r="F41" s="186">
        <f t="shared" ref="F41:F48" si="7">B41-C41+E41</f>
        <v>303784.60336337233</v>
      </c>
      <c r="G41" s="185">
        <f t="shared" ref="G41:G48" si="8">I40</f>
        <v>324312.8670257621</v>
      </c>
      <c r="H41" s="186">
        <f t="shared" si="6"/>
        <v>40539.10837822027</v>
      </c>
      <c r="I41" s="186">
        <f t="shared" ref="I41:I48" si="9">G41-H41</f>
        <v>283773.75864754181</v>
      </c>
      <c r="J41" s="103"/>
    </row>
    <row r="42" spans="1:10" ht="20.100000000000001" customHeight="1">
      <c r="A42" s="180" t="s">
        <v>621</v>
      </c>
      <c r="B42" s="186">
        <f t="shared" ref="B42:B48" si="10">B41-C41+E41</f>
        <v>303784.60336337233</v>
      </c>
      <c r="C42" s="186">
        <f t="shared" ref="C42:C48" si="11">C18</f>
        <v>50000</v>
      </c>
      <c r="D42" s="214">
        <v>1</v>
      </c>
      <c r="E42" s="186">
        <f>(B42-C42)*$H$10</f>
        <v>12689.230168168617</v>
      </c>
      <c r="F42" s="186">
        <f t="shared" si="7"/>
        <v>266473.83353154093</v>
      </c>
      <c r="G42" s="186">
        <f t="shared" si="8"/>
        <v>283773.75864754181</v>
      </c>
      <c r="H42" s="186">
        <f t="shared" si="6"/>
        <v>40539.10837822027</v>
      </c>
      <c r="I42" s="186">
        <f t="shared" si="9"/>
        <v>243234.65026932154</v>
      </c>
      <c r="J42" s="103"/>
    </row>
    <row r="43" spans="1:10" ht="20.100000000000001" customHeight="1">
      <c r="A43" s="180" t="s">
        <v>622</v>
      </c>
      <c r="B43" s="186">
        <f t="shared" si="10"/>
        <v>266473.83353154093</v>
      </c>
      <c r="C43" s="186">
        <f t="shared" si="11"/>
        <v>50000</v>
      </c>
      <c r="D43" s="214">
        <v>1</v>
      </c>
      <c r="E43" s="186">
        <f t="shared" ref="E43:E48" si="12">(B43-C43)*$H$10</f>
        <v>10823.691676577047</v>
      </c>
      <c r="F43" s="186">
        <f t="shared" si="7"/>
        <v>227297.52520811799</v>
      </c>
      <c r="G43" s="186">
        <f t="shared" si="8"/>
        <v>243234.65026932154</v>
      </c>
      <c r="H43" s="186">
        <f t="shared" si="6"/>
        <v>40539.10837822027</v>
      </c>
      <c r="I43" s="186">
        <f t="shared" si="9"/>
        <v>202695.54189110128</v>
      </c>
      <c r="J43" s="103"/>
    </row>
    <row r="44" spans="1:10" ht="20.100000000000001" customHeight="1">
      <c r="A44" s="180" t="s">
        <v>623</v>
      </c>
      <c r="B44" s="186">
        <f t="shared" si="10"/>
        <v>227297.52520811799</v>
      </c>
      <c r="C44" s="186">
        <f t="shared" si="11"/>
        <v>50000</v>
      </c>
      <c r="D44" s="214">
        <v>1</v>
      </c>
      <c r="E44" s="186">
        <f t="shared" si="12"/>
        <v>8864.8762604058993</v>
      </c>
      <c r="F44" s="186">
        <f t="shared" si="7"/>
        <v>186162.40146852389</v>
      </c>
      <c r="G44" s="186">
        <f t="shared" si="8"/>
        <v>202695.54189110128</v>
      </c>
      <c r="H44" s="186">
        <f t="shared" si="6"/>
        <v>40539.10837822027</v>
      </c>
      <c r="I44" s="186">
        <f t="shared" si="9"/>
        <v>162156.43351288102</v>
      </c>
      <c r="J44" s="103"/>
    </row>
    <row r="45" spans="1:10" ht="20.100000000000001" customHeight="1">
      <c r="A45" s="180" t="s">
        <v>624</v>
      </c>
      <c r="B45" s="186">
        <f t="shared" si="10"/>
        <v>186162.40146852389</v>
      </c>
      <c r="C45" s="186">
        <f t="shared" si="11"/>
        <v>50000</v>
      </c>
      <c r="D45" s="214">
        <v>1</v>
      </c>
      <c r="E45" s="186">
        <f t="shared" si="12"/>
        <v>6808.1200734261947</v>
      </c>
      <c r="F45" s="186">
        <f t="shared" si="7"/>
        <v>142970.52154195009</v>
      </c>
      <c r="G45" s="186">
        <f t="shared" si="8"/>
        <v>162156.43351288102</v>
      </c>
      <c r="H45" s="186">
        <f t="shared" si="6"/>
        <v>40539.10837822027</v>
      </c>
      <c r="I45" s="186">
        <f t="shared" si="9"/>
        <v>121617.32513466076</v>
      </c>
      <c r="J45" s="103"/>
    </row>
    <row r="46" spans="1:10" ht="20.100000000000001" customHeight="1">
      <c r="A46" s="180" t="s">
        <v>625</v>
      </c>
      <c r="B46" s="186">
        <f t="shared" si="10"/>
        <v>142970.52154195009</v>
      </c>
      <c r="C46" s="186">
        <f t="shared" si="11"/>
        <v>50000</v>
      </c>
      <c r="D46" s="214">
        <v>1</v>
      </c>
      <c r="E46" s="186">
        <f t="shared" si="12"/>
        <v>4648.5260770975046</v>
      </c>
      <c r="F46" s="186">
        <f t="shared" si="7"/>
        <v>97619.047619047589</v>
      </c>
      <c r="G46" s="186">
        <f t="shared" si="8"/>
        <v>121617.32513466076</v>
      </c>
      <c r="H46" s="186">
        <f t="shared" si="6"/>
        <v>40539.10837822027</v>
      </c>
      <c r="I46" s="186">
        <f t="shared" si="9"/>
        <v>81078.216756440495</v>
      </c>
      <c r="J46" s="103"/>
    </row>
    <row r="47" spans="1:10" ht="20.100000000000001" customHeight="1">
      <c r="A47" s="180" t="s">
        <v>626</v>
      </c>
      <c r="B47" s="186">
        <f t="shared" si="10"/>
        <v>97619.047619047589</v>
      </c>
      <c r="C47" s="186">
        <f t="shared" si="11"/>
        <v>50000</v>
      </c>
      <c r="D47" s="214">
        <v>1</v>
      </c>
      <c r="E47" s="186">
        <f t="shared" si="12"/>
        <v>2380.9523809523794</v>
      </c>
      <c r="F47" s="186">
        <f t="shared" si="7"/>
        <v>49999.999999999971</v>
      </c>
      <c r="G47" s="186">
        <f t="shared" si="8"/>
        <v>81078.216756440495</v>
      </c>
      <c r="H47" s="186">
        <f t="shared" si="6"/>
        <v>40539.10837822027</v>
      </c>
      <c r="I47" s="186">
        <f t="shared" si="9"/>
        <v>40539.108378220226</v>
      </c>
      <c r="J47" s="103"/>
    </row>
    <row r="48" spans="1:10" ht="20.100000000000001" customHeight="1">
      <c r="A48" s="180" t="s">
        <v>627</v>
      </c>
      <c r="B48" s="186">
        <f t="shared" si="10"/>
        <v>49999.999999999971</v>
      </c>
      <c r="C48" s="186">
        <f t="shared" si="11"/>
        <v>50000</v>
      </c>
      <c r="D48" s="214">
        <v>1</v>
      </c>
      <c r="E48" s="186">
        <f t="shared" si="12"/>
        <v>-1.4551915228366853E-12</v>
      </c>
      <c r="F48" s="186">
        <f t="shared" si="7"/>
        <v>-3.055902197957039E-11</v>
      </c>
      <c r="G48" s="186">
        <f t="shared" si="8"/>
        <v>40539.108378220226</v>
      </c>
      <c r="H48" s="186">
        <f t="shared" si="6"/>
        <v>40539.10837822027</v>
      </c>
      <c r="I48" s="186">
        <f t="shared" si="9"/>
        <v>0</v>
      </c>
      <c r="J48" s="103"/>
    </row>
    <row r="49" spans="1:10" ht="20.100000000000001" customHeight="1">
      <c r="A49" s="107" t="s">
        <v>605</v>
      </c>
      <c r="B49" s="107"/>
      <c r="C49" s="183">
        <f>SUM(C41:C48)</f>
        <v>350000</v>
      </c>
      <c r="D49" s="183"/>
      <c r="E49" s="183">
        <f>SUM(E41:E48)</f>
        <v>60681.330130121569</v>
      </c>
      <c r="F49" s="183"/>
      <c r="G49" s="195"/>
      <c r="H49" s="195">
        <f>SUM(H39:H48)</f>
        <v>405391.08378220274</v>
      </c>
      <c r="I49" s="195"/>
      <c r="J49" s="103"/>
    </row>
    <row r="50" spans="1:10" ht="20.100000000000001" customHeight="1">
      <c r="A50" s="178"/>
      <c r="B50" s="177"/>
      <c r="C50" s="85"/>
      <c r="D50" s="85"/>
      <c r="E50" s="85"/>
      <c r="F50" s="85"/>
      <c r="G50" s="85"/>
      <c r="H50" s="85"/>
      <c r="I50" s="85"/>
      <c r="J50" s="103"/>
    </row>
    <row r="51" spans="1:10" ht="20.100000000000001" customHeight="1">
      <c r="A51" s="269" t="s">
        <v>8</v>
      </c>
      <c r="B51" s="269"/>
      <c r="C51" s="269"/>
      <c r="D51" s="269"/>
      <c r="E51" s="269"/>
      <c r="F51" s="269"/>
      <c r="G51" s="269"/>
      <c r="H51" s="269"/>
      <c r="I51" s="269"/>
      <c r="J51" s="103"/>
    </row>
    <row r="52" spans="1:10" ht="20.100000000000001" customHeight="1">
      <c r="A52" s="310"/>
      <c r="B52" s="311"/>
      <c r="C52" s="311"/>
      <c r="D52" s="311"/>
      <c r="E52" s="311"/>
      <c r="F52" s="311"/>
      <c r="G52" s="311"/>
      <c r="H52" s="311"/>
      <c r="I52" s="311"/>
      <c r="J52" s="103"/>
    </row>
    <row r="53" spans="1:10" ht="20.100000000000001" customHeight="1">
      <c r="A53" s="98"/>
      <c r="B53" s="98"/>
      <c r="C53" s="98"/>
      <c r="D53" s="98"/>
      <c r="E53" s="98"/>
      <c r="F53" s="98"/>
      <c r="G53" s="98"/>
      <c r="H53" s="98"/>
      <c r="I53" s="95"/>
      <c r="J53" s="103"/>
    </row>
    <row r="54" spans="1:10" ht="20.100000000000001" customHeight="1">
      <c r="A54" s="269" t="s">
        <v>9</v>
      </c>
      <c r="B54" s="269"/>
      <c r="C54" s="269"/>
      <c r="D54" s="269"/>
      <c r="E54" s="269"/>
      <c r="F54" s="269"/>
      <c r="G54" s="269"/>
      <c r="H54" s="269"/>
      <c r="I54" s="269"/>
      <c r="J54" s="103"/>
    </row>
    <row r="55" spans="1:10" ht="49.5" customHeight="1">
      <c r="A55" s="308"/>
      <c r="B55" s="309"/>
      <c r="C55" s="309"/>
      <c r="D55" s="309"/>
      <c r="E55" s="309"/>
      <c r="F55" s="309"/>
      <c r="G55" s="309"/>
      <c r="H55" s="309"/>
      <c r="I55" s="309"/>
      <c r="J55" s="103"/>
    </row>
    <row r="57" spans="1:10" s="86" customFormat="1" ht="18" customHeight="1">
      <c r="A57" s="92" t="s">
        <v>10</v>
      </c>
      <c r="J57" s="105"/>
    </row>
    <row r="58" spans="1:10" s="86" customFormat="1" ht="18" customHeight="1">
      <c r="A58" s="93" t="s">
        <v>518</v>
      </c>
      <c r="J58" s="105"/>
    </row>
    <row r="59" spans="1:10" s="86" customFormat="1" ht="18" customHeight="1">
      <c r="A59" s="93" t="s">
        <v>519</v>
      </c>
      <c r="J59" s="105"/>
    </row>
    <row r="60" spans="1:10" s="86" customFormat="1" ht="18" customHeight="1">
      <c r="A60" s="93" t="s">
        <v>520</v>
      </c>
      <c r="J60" s="105"/>
    </row>
    <row r="61" spans="1:10" s="86" customFormat="1" ht="18" customHeight="1">
      <c r="A61" s="93" t="s">
        <v>521</v>
      </c>
      <c r="J61" s="105"/>
    </row>
    <row r="62" spans="1:10" s="86" customFormat="1" ht="18" customHeight="1">
      <c r="A62" s="170" t="s">
        <v>522</v>
      </c>
      <c r="J62" s="105"/>
    </row>
    <row r="63" spans="1:10" ht="18.75" customHeight="1">
      <c r="A63" s="171" t="s">
        <v>589</v>
      </c>
    </row>
    <row r="64" spans="1:10" ht="18.75" customHeight="1">
      <c r="A64" s="171" t="s">
        <v>590</v>
      </c>
    </row>
    <row r="65" spans="1:1" ht="18.75" customHeight="1"/>
    <row r="66" spans="1:1" ht="18.75" customHeight="1">
      <c r="A66" s="93" t="s">
        <v>525</v>
      </c>
    </row>
    <row r="67" spans="1:1" ht="17.25" customHeight="1">
      <c r="A67" s="93" t="s">
        <v>526</v>
      </c>
    </row>
    <row r="68" spans="1:1" ht="17.25" customHeight="1">
      <c r="A68" s="93" t="s">
        <v>527</v>
      </c>
    </row>
  </sheetData>
  <mergeCells count="12">
    <mergeCell ref="A51:I51"/>
    <mergeCell ref="A52:I52"/>
    <mergeCell ref="A54:I54"/>
    <mergeCell ref="A55:I55"/>
    <mergeCell ref="A1:I1"/>
    <mergeCell ref="A2:I2"/>
    <mergeCell ref="A5:I5"/>
    <mergeCell ref="A6:I6"/>
    <mergeCell ref="A7:I7"/>
    <mergeCell ref="A37:A38"/>
    <mergeCell ref="B37:F37"/>
    <mergeCell ref="G37:I37"/>
  </mergeCells>
  <phoneticPr fontId="5" type="noConversion"/>
  <printOptions horizontalCentered="1"/>
  <pageMargins left="0.94488188976377963" right="0.27559055118110237" top="0.62992125984251968" bottom="0.51181102362204722" header="0.51181102362204722" footer="0.35433070866141736"/>
  <pageSetup paperSize="9" scale="89" fitToHeight="0" orientation="portrait" blackAndWhite="1" cellComments="atEnd"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8">
    <tabColor theme="7" tint="-0.249977111117893"/>
    <pageSetUpPr fitToPage="1"/>
  </sheetPr>
  <dimension ref="A1:K65"/>
  <sheetViews>
    <sheetView view="pageBreakPreview" zoomScaleNormal="130" zoomScaleSheetLayoutView="100" workbookViewId="0">
      <selection activeCell="A2" sqref="A2:I2"/>
    </sheetView>
  </sheetViews>
  <sheetFormatPr defaultColWidth="9" defaultRowHeight="13.8"/>
  <cols>
    <col min="1" max="1" width="14.88671875" style="87" customWidth="1"/>
    <col min="2" max="2" width="13.21875" style="87" customWidth="1"/>
    <col min="3" max="3" width="11.109375" style="87" customWidth="1"/>
    <col min="4" max="4" width="10.33203125" style="87" customWidth="1"/>
    <col min="5" max="5" width="11.6640625" style="87" customWidth="1"/>
    <col min="6" max="6" width="11.21875" style="87" customWidth="1"/>
    <col min="7" max="7" width="10.44140625" style="87" customWidth="1"/>
    <col min="8" max="8" width="9.33203125" style="87" customWidth="1"/>
    <col min="9" max="9" width="12.21875" style="87" customWidth="1"/>
    <col min="10" max="10" width="57.6640625" style="90" customWidth="1"/>
    <col min="11" max="16384" width="9" style="87"/>
  </cols>
  <sheetData>
    <row r="1" spans="1:10" ht="20.100000000000001" customHeight="1">
      <c r="A1" s="266" t="s">
        <v>0</v>
      </c>
      <c r="B1" s="266"/>
      <c r="C1" s="266"/>
      <c r="D1" s="266"/>
      <c r="E1" s="266"/>
      <c r="F1" s="266"/>
      <c r="G1" s="266"/>
      <c r="H1" s="266"/>
      <c r="I1" s="266"/>
      <c r="J1" s="103"/>
    </row>
    <row r="2" spans="1:10" s="88" customFormat="1" ht="24.9" customHeight="1">
      <c r="A2" s="267" t="s">
        <v>611</v>
      </c>
      <c r="B2" s="268"/>
      <c r="C2" s="268"/>
      <c r="D2" s="268"/>
      <c r="E2" s="268"/>
      <c r="F2" s="268"/>
      <c r="G2" s="268"/>
      <c r="H2" s="268"/>
      <c r="I2" s="268"/>
      <c r="J2" s="104"/>
    </row>
    <row r="3" spans="1:10" ht="20.100000000000001" customHeight="1">
      <c r="A3" s="87" t="str">
        <f>审定表!A3</f>
        <v>客户名称：</v>
      </c>
      <c r="D3" s="89" t="str">
        <f>'表头（请先填写）'!A4</f>
        <v>编制人：</v>
      </c>
      <c r="G3" s="87" t="str">
        <f>'表头（请先填写）'!A5</f>
        <v>日期：</v>
      </c>
      <c r="I3" s="87" t="s">
        <v>635</v>
      </c>
      <c r="J3" s="103"/>
    </row>
    <row r="4" spans="1:10" ht="20.100000000000001" customHeight="1">
      <c r="A4" s="87" t="str">
        <f>审定表!A4</f>
        <v>会计期间：2023年度</v>
      </c>
      <c r="D4" s="89" t="s">
        <v>1</v>
      </c>
      <c r="G4" s="87" t="s">
        <v>2</v>
      </c>
      <c r="I4" s="93" t="s">
        <v>250</v>
      </c>
      <c r="J4" s="103"/>
    </row>
    <row r="5" spans="1:10" ht="20.100000000000001" customHeight="1">
      <c r="A5" s="269" t="s">
        <v>3</v>
      </c>
      <c r="B5" s="269"/>
      <c r="C5" s="269"/>
      <c r="D5" s="269"/>
      <c r="E5" s="269"/>
      <c r="F5" s="269"/>
      <c r="G5" s="269"/>
      <c r="H5" s="269"/>
      <c r="I5" s="269"/>
      <c r="J5" s="103"/>
    </row>
    <row r="6" spans="1:10" ht="21" customHeight="1">
      <c r="A6" s="270" t="s">
        <v>654</v>
      </c>
      <c r="B6" s="270"/>
      <c r="C6" s="270"/>
      <c r="D6" s="270"/>
      <c r="E6" s="270"/>
      <c r="F6" s="270"/>
      <c r="G6" s="270"/>
      <c r="H6" s="270"/>
      <c r="I6" s="270"/>
      <c r="J6" s="76"/>
    </row>
    <row r="7" spans="1:10" ht="20.100000000000001" customHeight="1">
      <c r="A7" s="269" t="s">
        <v>4</v>
      </c>
      <c r="B7" s="269"/>
      <c r="C7" s="269"/>
      <c r="D7" s="269"/>
      <c r="E7" s="269"/>
      <c r="F7" s="269"/>
      <c r="G7" s="269"/>
      <c r="H7" s="269"/>
      <c r="I7" s="269"/>
      <c r="J7" s="103"/>
    </row>
    <row r="8" spans="1:10" ht="19.5" customHeight="1">
      <c r="A8" s="97" t="s">
        <v>591</v>
      </c>
      <c r="B8" s="85"/>
      <c r="C8" s="85"/>
      <c r="D8" s="85"/>
      <c r="E8" s="85"/>
      <c r="G8" s="176">
        <v>44197</v>
      </c>
      <c r="H8" s="85"/>
      <c r="I8" s="85"/>
      <c r="J8" s="103"/>
    </row>
    <row r="9" spans="1:10" ht="36.75" customHeight="1">
      <c r="A9" s="107" t="s">
        <v>592</v>
      </c>
      <c r="B9" s="107" t="s">
        <v>593</v>
      </c>
      <c r="C9" s="107" t="s">
        <v>599</v>
      </c>
      <c r="D9" s="71" t="s">
        <v>600</v>
      </c>
      <c r="E9" s="107" t="s">
        <v>602</v>
      </c>
      <c r="F9" s="107" t="s">
        <v>603</v>
      </c>
      <c r="G9" s="71" t="s">
        <v>612</v>
      </c>
      <c r="H9" s="71" t="s">
        <v>630</v>
      </c>
      <c r="I9" s="107" t="s">
        <v>656</v>
      </c>
      <c r="J9" s="103" t="s">
        <v>596</v>
      </c>
    </row>
    <row r="10" spans="1:10" ht="19.5" customHeight="1">
      <c r="A10" s="173" t="s">
        <v>598</v>
      </c>
      <c r="B10" s="190">
        <v>43466</v>
      </c>
      <c r="C10" s="190">
        <v>46387</v>
      </c>
      <c r="D10" s="191">
        <f>2</f>
        <v>2</v>
      </c>
      <c r="E10" s="191">
        <f>(YEAR(C10)-YEAR(B10))+D10+(MONTH(C10)-MONTH(B10)+1)/12</f>
        <v>10</v>
      </c>
      <c r="F10" s="190">
        <f>DATE(YEAR(C10)+D10,MONTH(C10),DAY(C10))</f>
        <v>47118</v>
      </c>
      <c r="G10" s="191">
        <f>(YEAR(C10)-YEAR(G8))+D10+(MONTH(C10)-MONTH(G8)+1)/12</f>
        <v>8</v>
      </c>
      <c r="H10" s="192">
        <v>0.05</v>
      </c>
      <c r="I10" s="193">
        <v>8</v>
      </c>
      <c r="J10" s="103"/>
    </row>
    <row r="11" spans="1:10" ht="19.5" customHeight="1">
      <c r="A11" s="106"/>
      <c r="B11" s="175"/>
      <c r="C11" s="65"/>
      <c r="D11" s="65"/>
      <c r="E11" s="65"/>
      <c r="F11" s="174"/>
      <c r="G11" s="65"/>
      <c r="H11" s="181"/>
      <c r="I11" s="181"/>
      <c r="J11" s="103"/>
    </row>
    <row r="12" spans="1:10" ht="19.5" customHeight="1">
      <c r="A12" s="99"/>
      <c r="B12" s="85"/>
      <c r="C12" s="85"/>
      <c r="D12" s="85"/>
      <c r="E12" s="85"/>
      <c r="F12" s="85"/>
      <c r="G12" s="85"/>
      <c r="H12" s="85"/>
      <c r="I12" s="85"/>
      <c r="J12" s="103"/>
    </row>
    <row r="13" spans="1:10" ht="19.5" customHeight="1">
      <c r="A13" s="97" t="s">
        <v>609</v>
      </c>
      <c r="B13" s="85"/>
      <c r="C13" s="85"/>
      <c r="D13" s="85"/>
      <c r="E13" s="85"/>
      <c r="F13" s="85"/>
      <c r="G13" s="85"/>
      <c r="H13" s="85"/>
      <c r="I13" s="85"/>
      <c r="J13" s="87"/>
    </row>
    <row r="14" spans="1:10" ht="30.75" customHeight="1">
      <c r="A14" s="107" t="s">
        <v>601</v>
      </c>
      <c r="B14" s="107" t="s">
        <v>642</v>
      </c>
      <c r="C14" s="107" t="s">
        <v>649</v>
      </c>
      <c r="D14" s="107" t="s">
        <v>646</v>
      </c>
      <c r="E14" s="107" t="s">
        <v>643</v>
      </c>
      <c r="F14" s="107" t="s">
        <v>604</v>
      </c>
      <c r="G14" s="187" t="s">
        <v>631</v>
      </c>
      <c r="H14" s="187" t="s">
        <v>645</v>
      </c>
      <c r="I14" s="187" t="s">
        <v>610</v>
      </c>
      <c r="J14" s="170" t="s">
        <v>662</v>
      </c>
    </row>
    <row r="15" spans="1:10" ht="19.5" customHeight="1">
      <c r="A15" s="203">
        <v>43466</v>
      </c>
      <c r="B15" s="200"/>
      <c r="C15" s="200"/>
      <c r="D15" s="201"/>
      <c r="E15" s="202"/>
      <c r="F15" s="200"/>
      <c r="G15" s="205"/>
      <c r="H15" s="206"/>
      <c r="I15" s="206"/>
      <c r="J15" s="87"/>
    </row>
    <row r="16" spans="1:10" ht="19.5" customHeight="1">
      <c r="A16" s="203">
        <v>43831</v>
      </c>
      <c r="B16" s="200"/>
      <c r="C16" s="200"/>
      <c r="D16" s="201"/>
      <c r="E16" s="202"/>
      <c r="F16" s="200"/>
      <c r="G16" s="205"/>
      <c r="H16" s="206"/>
      <c r="I16" s="206"/>
      <c r="J16" s="87"/>
    </row>
    <row r="17" spans="1:11" ht="19.5" customHeight="1">
      <c r="A17" s="194">
        <v>44197</v>
      </c>
      <c r="B17" s="91">
        <v>50000</v>
      </c>
      <c r="C17" s="91">
        <f t="shared" ref="C17:C24" si="0">IF(E17=1,0,B17)</f>
        <v>0</v>
      </c>
      <c r="D17" s="94">
        <v>0</v>
      </c>
      <c r="E17" s="182">
        <f>1/(1+$H$10)^D17</f>
        <v>1</v>
      </c>
      <c r="F17" s="91">
        <f t="shared" ref="F17:F24" si="1">IF(E17=1,0,B17*E17)</f>
        <v>0</v>
      </c>
      <c r="G17" s="65">
        <f>D17</f>
        <v>0</v>
      </c>
      <c r="H17" s="182">
        <f>E17</f>
        <v>1</v>
      </c>
      <c r="I17" s="91">
        <f>B17*H17</f>
        <v>50000</v>
      </c>
      <c r="J17" s="87"/>
    </row>
    <row r="18" spans="1:11" ht="19.5" customHeight="1">
      <c r="A18" s="194">
        <v>44562</v>
      </c>
      <c r="B18" s="91">
        <v>50000</v>
      </c>
      <c r="C18" s="91">
        <f t="shared" si="0"/>
        <v>50000</v>
      </c>
      <c r="D18" s="94">
        <f>D17+1</f>
        <v>1</v>
      </c>
      <c r="E18" s="182">
        <f>1/(1+$H$10)^D18</f>
        <v>0.95238095238095233</v>
      </c>
      <c r="F18" s="91">
        <f t="shared" si="1"/>
        <v>47619.047619047618</v>
      </c>
      <c r="G18" s="65">
        <f t="shared" ref="G18:G24" si="2">D18</f>
        <v>1</v>
      </c>
      <c r="H18" s="182">
        <f t="shared" ref="H18:H24" si="3">E18</f>
        <v>0.95238095238095233</v>
      </c>
      <c r="I18" s="91">
        <f t="shared" ref="I18:I24" si="4">B18*H18</f>
        <v>47619.047619047618</v>
      </c>
      <c r="J18" s="87"/>
    </row>
    <row r="19" spans="1:11" ht="19.5" customHeight="1">
      <c r="A19" s="194">
        <v>44927</v>
      </c>
      <c r="B19" s="91">
        <v>50000</v>
      </c>
      <c r="C19" s="91">
        <f t="shared" si="0"/>
        <v>50000</v>
      </c>
      <c r="D19" s="94">
        <f t="shared" ref="D19:D24" si="5">D18+1</f>
        <v>2</v>
      </c>
      <c r="E19" s="182">
        <f t="shared" ref="E19:E24" si="6">1/(1+$H$10)^D19</f>
        <v>0.90702947845804982</v>
      </c>
      <c r="F19" s="91">
        <f t="shared" si="1"/>
        <v>45351.473922902493</v>
      </c>
      <c r="G19" s="65">
        <f t="shared" si="2"/>
        <v>2</v>
      </c>
      <c r="H19" s="182">
        <f t="shared" si="3"/>
        <v>0.90702947845804982</v>
      </c>
      <c r="I19" s="91">
        <f t="shared" si="4"/>
        <v>45351.473922902493</v>
      </c>
      <c r="J19" s="87"/>
    </row>
    <row r="20" spans="1:11" ht="19.5" customHeight="1">
      <c r="A20" s="194">
        <v>45292</v>
      </c>
      <c r="B20" s="91">
        <v>50000</v>
      </c>
      <c r="C20" s="91">
        <f t="shared" si="0"/>
        <v>50000</v>
      </c>
      <c r="D20" s="94">
        <f t="shared" si="5"/>
        <v>3</v>
      </c>
      <c r="E20" s="182">
        <f t="shared" si="6"/>
        <v>0.86383759853147601</v>
      </c>
      <c r="F20" s="91">
        <f t="shared" si="1"/>
        <v>43191.879926573798</v>
      </c>
      <c r="G20" s="65">
        <f t="shared" si="2"/>
        <v>3</v>
      </c>
      <c r="H20" s="182">
        <f t="shared" si="3"/>
        <v>0.86383759853147601</v>
      </c>
      <c r="I20" s="91">
        <f t="shared" si="4"/>
        <v>43191.879926573798</v>
      </c>
      <c r="J20" s="172"/>
      <c r="K20" s="172"/>
    </row>
    <row r="21" spans="1:11" ht="19.5" customHeight="1">
      <c r="A21" s="194">
        <v>45658</v>
      </c>
      <c r="B21" s="91">
        <v>50000</v>
      </c>
      <c r="C21" s="91">
        <f t="shared" si="0"/>
        <v>50000</v>
      </c>
      <c r="D21" s="94">
        <f t="shared" si="5"/>
        <v>4</v>
      </c>
      <c r="E21" s="182">
        <f t="shared" si="6"/>
        <v>0.82270247479188197</v>
      </c>
      <c r="F21" s="91">
        <f t="shared" si="1"/>
        <v>41135.123739594099</v>
      </c>
      <c r="G21" s="65">
        <f t="shared" si="2"/>
        <v>4</v>
      </c>
      <c r="H21" s="182">
        <f t="shared" si="3"/>
        <v>0.82270247479188197</v>
      </c>
      <c r="I21" s="91">
        <f t="shared" si="4"/>
        <v>41135.123739594099</v>
      </c>
      <c r="J21" s="172"/>
      <c r="K21" s="172"/>
    </row>
    <row r="22" spans="1:11" ht="19.5" customHeight="1">
      <c r="A22" s="194">
        <v>46023</v>
      </c>
      <c r="B22" s="91">
        <v>50000</v>
      </c>
      <c r="C22" s="91">
        <f t="shared" si="0"/>
        <v>50000</v>
      </c>
      <c r="D22" s="94">
        <f t="shared" si="5"/>
        <v>5</v>
      </c>
      <c r="E22" s="182">
        <f t="shared" si="6"/>
        <v>0.78352616646845896</v>
      </c>
      <c r="F22" s="91">
        <f t="shared" si="1"/>
        <v>39176.308323422949</v>
      </c>
      <c r="G22" s="65">
        <f t="shared" si="2"/>
        <v>5</v>
      </c>
      <c r="H22" s="182">
        <f t="shared" si="3"/>
        <v>0.78352616646845896</v>
      </c>
      <c r="I22" s="91">
        <f t="shared" si="4"/>
        <v>39176.308323422949</v>
      </c>
      <c r="J22" s="87"/>
    </row>
    <row r="23" spans="1:11" ht="19.5" customHeight="1">
      <c r="A23" s="194">
        <v>46388</v>
      </c>
      <c r="B23" s="91">
        <v>50000</v>
      </c>
      <c r="C23" s="91">
        <f t="shared" si="0"/>
        <v>50000</v>
      </c>
      <c r="D23" s="94">
        <f t="shared" si="5"/>
        <v>6</v>
      </c>
      <c r="E23" s="182">
        <f t="shared" si="6"/>
        <v>0.74621539663662761</v>
      </c>
      <c r="F23" s="91">
        <f t="shared" si="1"/>
        <v>37310.769831831378</v>
      </c>
      <c r="G23" s="65">
        <f t="shared" si="2"/>
        <v>6</v>
      </c>
      <c r="H23" s="182">
        <f t="shared" si="3"/>
        <v>0.74621539663662761</v>
      </c>
      <c r="I23" s="91">
        <f t="shared" si="4"/>
        <v>37310.769831831378</v>
      </c>
      <c r="J23" s="87"/>
    </row>
    <row r="24" spans="1:11" ht="19.5" customHeight="1">
      <c r="A24" s="194">
        <v>46753</v>
      </c>
      <c r="B24" s="91">
        <v>50000</v>
      </c>
      <c r="C24" s="91">
        <f t="shared" si="0"/>
        <v>50000</v>
      </c>
      <c r="D24" s="94">
        <f t="shared" si="5"/>
        <v>7</v>
      </c>
      <c r="E24" s="182">
        <f t="shared" si="6"/>
        <v>0.71068133013012147</v>
      </c>
      <c r="F24" s="91">
        <f t="shared" si="1"/>
        <v>35534.066506506075</v>
      </c>
      <c r="G24" s="65">
        <f t="shared" si="2"/>
        <v>7</v>
      </c>
      <c r="H24" s="182">
        <f t="shared" si="3"/>
        <v>0.71068133013012147</v>
      </c>
      <c r="I24" s="91">
        <f t="shared" si="4"/>
        <v>35534.066506506075</v>
      </c>
      <c r="J24" s="87"/>
    </row>
    <row r="25" spans="1:11" ht="20.100000000000001" customHeight="1">
      <c r="A25" s="107" t="s">
        <v>605</v>
      </c>
      <c r="B25" s="183">
        <f>SUM(B17:B24)</f>
        <v>400000</v>
      </c>
      <c r="C25" s="183">
        <f>SUM(C15:C24)</f>
        <v>350000</v>
      </c>
      <c r="D25" s="183"/>
      <c r="E25" s="183"/>
      <c r="F25" s="183">
        <f>SUM(F17:F24)</f>
        <v>289318.66986987839</v>
      </c>
      <c r="G25" s="195"/>
      <c r="H25" s="195"/>
      <c r="I25" s="195">
        <f>SUM(I17:I24)</f>
        <v>339318.66986987845</v>
      </c>
      <c r="J25" s="87"/>
    </row>
    <row r="26" spans="1:11" ht="20.100000000000001" customHeight="1">
      <c r="A26" s="178"/>
      <c r="B26" s="177"/>
      <c r="C26" s="85"/>
      <c r="D26" s="85"/>
      <c r="E26" s="85"/>
      <c r="F26" s="85"/>
      <c r="G26" s="85"/>
      <c r="H26" s="85"/>
      <c r="I26" s="85"/>
      <c r="J26" s="103"/>
    </row>
    <row r="27" spans="1:11" ht="20.100000000000001" customHeight="1">
      <c r="A27" s="188" t="s">
        <v>633</v>
      </c>
      <c r="B27" s="177"/>
      <c r="C27" s="85"/>
      <c r="D27" s="85"/>
      <c r="E27" s="85"/>
      <c r="F27" s="85"/>
      <c r="G27" s="85"/>
      <c r="H27" s="85"/>
      <c r="I27" s="85"/>
      <c r="J27" s="103"/>
    </row>
    <row r="28" spans="1:11" ht="19.5" customHeight="1">
      <c r="A28" s="99" t="s">
        <v>606</v>
      </c>
      <c r="B28" s="85"/>
      <c r="C28" s="189">
        <f>I25</f>
        <v>339318.66986987845</v>
      </c>
      <c r="D28" s="85"/>
      <c r="E28" s="179" t="s">
        <v>651</v>
      </c>
      <c r="F28" s="85"/>
      <c r="G28" s="85"/>
      <c r="H28" s="85"/>
      <c r="I28" s="85"/>
      <c r="J28" s="103"/>
    </row>
    <row r="29" spans="1:11" ht="19.5" customHeight="1">
      <c r="A29" s="99" t="s">
        <v>607</v>
      </c>
      <c r="B29" s="85"/>
      <c r="C29" s="189">
        <f>E46</f>
        <v>60681.330130121569</v>
      </c>
      <c r="E29" s="85"/>
      <c r="F29" s="85"/>
      <c r="G29" s="85"/>
      <c r="H29" s="85"/>
      <c r="I29" s="85"/>
      <c r="J29" s="103"/>
    </row>
    <row r="30" spans="1:11" ht="19.5" customHeight="1">
      <c r="A30" s="99" t="s">
        <v>608</v>
      </c>
      <c r="B30" s="85"/>
      <c r="C30" s="85"/>
      <c r="D30" s="189">
        <f>C25</f>
        <v>350000</v>
      </c>
      <c r="E30" s="179" t="s">
        <v>657</v>
      </c>
      <c r="F30" s="85"/>
      <c r="G30" s="85"/>
      <c r="H30" s="85"/>
      <c r="I30" s="85"/>
      <c r="J30" s="103"/>
    </row>
    <row r="31" spans="1:11" ht="19.5" customHeight="1">
      <c r="A31" s="99" t="s">
        <v>672</v>
      </c>
      <c r="B31" s="85"/>
      <c r="C31" s="85"/>
      <c r="D31" s="189">
        <f>B25-C25</f>
        <v>50000</v>
      </c>
      <c r="E31" s="179" t="s">
        <v>652</v>
      </c>
      <c r="F31" s="85"/>
      <c r="G31" s="85"/>
      <c r="H31" s="85"/>
      <c r="I31" s="85"/>
      <c r="J31" s="103"/>
    </row>
    <row r="32" spans="1:11" ht="20.100000000000001" customHeight="1">
      <c r="A32" s="99"/>
      <c r="B32" s="85"/>
      <c r="C32" s="208">
        <f>SUM(C28:C31)</f>
        <v>400000</v>
      </c>
      <c r="D32" s="208">
        <f>SUM(D28:D31)</f>
        <v>400000</v>
      </c>
      <c r="E32" s="85"/>
      <c r="F32" s="85"/>
      <c r="G32" s="85"/>
      <c r="H32" s="85"/>
      <c r="I32" s="85"/>
      <c r="J32" s="103"/>
    </row>
    <row r="33" spans="1:10" ht="20.100000000000001" customHeight="1">
      <c r="A33" s="97" t="s">
        <v>632</v>
      </c>
      <c r="B33" s="177"/>
      <c r="C33" s="85"/>
      <c r="D33" s="85"/>
      <c r="E33" s="85"/>
      <c r="F33" s="85"/>
      <c r="G33" s="85"/>
      <c r="H33" s="85"/>
      <c r="I33" s="85"/>
      <c r="J33" s="103"/>
    </row>
    <row r="34" spans="1:10" ht="20.100000000000001" customHeight="1">
      <c r="A34" s="376" t="s">
        <v>634</v>
      </c>
      <c r="B34" s="376" t="s">
        <v>613</v>
      </c>
      <c r="C34" s="377"/>
      <c r="D34" s="377"/>
      <c r="E34" s="377"/>
      <c r="F34" s="377"/>
      <c r="G34" s="378" t="s">
        <v>614</v>
      </c>
      <c r="H34" s="379"/>
      <c r="I34" s="379"/>
      <c r="J34" s="103"/>
    </row>
    <row r="35" spans="1:10" ht="32.25" customHeight="1">
      <c r="A35" s="377"/>
      <c r="B35" s="107" t="s">
        <v>619</v>
      </c>
      <c r="C35" s="184" t="s">
        <v>615</v>
      </c>
      <c r="D35" s="107" t="s">
        <v>629</v>
      </c>
      <c r="E35" s="107" t="s">
        <v>616</v>
      </c>
      <c r="F35" s="107" t="s">
        <v>617</v>
      </c>
      <c r="G35" s="187" t="s">
        <v>619</v>
      </c>
      <c r="H35" s="187" t="s">
        <v>618</v>
      </c>
      <c r="I35" s="187" t="s">
        <v>617</v>
      </c>
      <c r="J35" s="170" t="s">
        <v>662</v>
      </c>
    </row>
    <row r="36" spans="1:10" ht="20.100000000000001" customHeight="1">
      <c r="A36" s="196" t="s">
        <v>647</v>
      </c>
      <c r="B36" s="198"/>
      <c r="C36" s="198"/>
      <c r="D36" s="199"/>
      <c r="E36" s="198"/>
      <c r="F36" s="198"/>
      <c r="G36" s="204"/>
      <c r="H36" s="204"/>
      <c r="I36" s="204"/>
      <c r="J36" s="103"/>
    </row>
    <row r="37" spans="1:10" ht="20.100000000000001" customHeight="1">
      <c r="A37" s="196" t="s">
        <v>648</v>
      </c>
      <c r="B37" s="198"/>
      <c r="C37" s="198"/>
      <c r="D37" s="200"/>
      <c r="E37" s="198"/>
      <c r="F37" s="198"/>
      <c r="G37" s="204"/>
      <c r="H37" s="204"/>
      <c r="I37" s="204"/>
      <c r="J37" s="103"/>
    </row>
    <row r="38" spans="1:10" ht="20.100000000000001" customHeight="1">
      <c r="A38" s="180" t="s">
        <v>620</v>
      </c>
      <c r="B38" s="185">
        <f>F25</f>
        <v>289318.66986987839</v>
      </c>
      <c r="C38" s="186">
        <f>C17</f>
        <v>0</v>
      </c>
      <c r="D38" s="214">
        <v>1</v>
      </c>
      <c r="E38" s="186">
        <f>(B38-C38)*$H$10</f>
        <v>14465.93349349392</v>
      </c>
      <c r="F38" s="186">
        <f t="shared" ref="F38:F45" si="7">B38-C38+E38</f>
        <v>303784.60336337233</v>
      </c>
      <c r="G38" s="185">
        <f>I25</f>
        <v>339318.66986987845</v>
      </c>
      <c r="H38" s="186">
        <f>$I$25/$I$10</f>
        <v>42414.833733734806</v>
      </c>
      <c r="I38" s="186">
        <f>G38-H38</f>
        <v>296903.83613614365</v>
      </c>
      <c r="J38" s="103"/>
    </row>
    <row r="39" spans="1:10" ht="20.100000000000001" customHeight="1">
      <c r="A39" s="180" t="s">
        <v>621</v>
      </c>
      <c r="B39" s="186">
        <f t="shared" ref="B39:B45" si="8">B38-C38+E38</f>
        <v>303784.60336337233</v>
      </c>
      <c r="C39" s="186">
        <f t="shared" ref="C39:C45" si="9">C18</f>
        <v>50000</v>
      </c>
      <c r="D39" s="214">
        <v>1</v>
      </c>
      <c r="E39" s="186">
        <f>(B39-C39)*$H$10</f>
        <v>12689.230168168617</v>
      </c>
      <c r="F39" s="186">
        <f t="shared" si="7"/>
        <v>266473.83353154093</v>
      </c>
      <c r="G39" s="186">
        <f>I38</f>
        <v>296903.83613614365</v>
      </c>
      <c r="H39" s="186">
        <f>H38</f>
        <v>42414.833733734806</v>
      </c>
      <c r="I39" s="186">
        <f>G39-H39</f>
        <v>254489.00240240886</v>
      </c>
      <c r="J39" s="103"/>
    </row>
    <row r="40" spans="1:10" ht="20.100000000000001" customHeight="1">
      <c r="A40" s="180" t="s">
        <v>622</v>
      </c>
      <c r="B40" s="186">
        <f t="shared" si="8"/>
        <v>266473.83353154093</v>
      </c>
      <c r="C40" s="186">
        <f t="shared" si="9"/>
        <v>50000</v>
      </c>
      <c r="D40" s="214">
        <v>1</v>
      </c>
      <c r="E40" s="186">
        <f t="shared" ref="E40:E45" si="10">(B40-C40)*$H$10</f>
        <v>10823.691676577047</v>
      </c>
      <c r="F40" s="186">
        <f t="shared" si="7"/>
        <v>227297.52520811799</v>
      </c>
      <c r="G40" s="186">
        <f t="shared" ref="G40:G45" si="11">I39</f>
        <v>254489.00240240886</v>
      </c>
      <c r="H40" s="186">
        <f t="shared" ref="H40:H45" si="12">H39</f>
        <v>42414.833733734806</v>
      </c>
      <c r="I40" s="186">
        <f t="shared" ref="I40:I45" si="13">G40-H40</f>
        <v>212074.16866867407</v>
      </c>
      <c r="J40" s="103"/>
    </row>
    <row r="41" spans="1:10" ht="20.100000000000001" customHeight="1">
      <c r="A41" s="180" t="s">
        <v>623</v>
      </c>
      <c r="B41" s="186">
        <f t="shared" si="8"/>
        <v>227297.52520811799</v>
      </c>
      <c r="C41" s="186">
        <f t="shared" si="9"/>
        <v>50000</v>
      </c>
      <c r="D41" s="214">
        <v>1</v>
      </c>
      <c r="E41" s="186">
        <f t="shared" si="10"/>
        <v>8864.8762604058993</v>
      </c>
      <c r="F41" s="186">
        <f t="shared" si="7"/>
        <v>186162.40146852389</v>
      </c>
      <c r="G41" s="186">
        <f t="shared" si="11"/>
        <v>212074.16866867407</v>
      </c>
      <c r="H41" s="186">
        <f t="shared" si="12"/>
        <v>42414.833733734806</v>
      </c>
      <c r="I41" s="186">
        <f t="shared" si="13"/>
        <v>169659.33493493928</v>
      </c>
      <c r="J41" s="103"/>
    </row>
    <row r="42" spans="1:10" ht="20.100000000000001" customHeight="1">
      <c r="A42" s="180" t="s">
        <v>624</v>
      </c>
      <c r="B42" s="186">
        <f t="shared" si="8"/>
        <v>186162.40146852389</v>
      </c>
      <c r="C42" s="186">
        <f t="shared" si="9"/>
        <v>50000</v>
      </c>
      <c r="D42" s="214">
        <v>1</v>
      </c>
      <c r="E42" s="186">
        <f t="shared" si="10"/>
        <v>6808.1200734261947</v>
      </c>
      <c r="F42" s="186">
        <f t="shared" si="7"/>
        <v>142970.52154195009</v>
      </c>
      <c r="G42" s="186">
        <f t="shared" si="11"/>
        <v>169659.33493493928</v>
      </c>
      <c r="H42" s="186">
        <f t="shared" si="12"/>
        <v>42414.833733734806</v>
      </c>
      <c r="I42" s="186">
        <f t="shared" si="13"/>
        <v>127244.50120120448</v>
      </c>
      <c r="J42" s="103"/>
    </row>
    <row r="43" spans="1:10" ht="20.100000000000001" customHeight="1">
      <c r="A43" s="180" t="s">
        <v>625</v>
      </c>
      <c r="B43" s="186">
        <f t="shared" si="8"/>
        <v>142970.52154195009</v>
      </c>
      <c r="C43" s="186">
        <f t="shared" si="9"/>
        <v>50000</v>
      </c>
      <c r="D43" s="214">
        <v>1</v>
      </c>
      <c r="E43" s="186">
        <f t="shared" si="10"/>
        <v>4648.5260770975046</v>
      </c>
      <c r="F43" s="186">
        <f t="shared" si="7"/>
        <v>97619.047619047589</v>
      </c>
      <c r="G43" s="186">
        <f t="shared" si="11"/>
        <v>127244.50120120448</v>
      </c>
      <c r="H43" s="186">
        <f t="shared" si="12"/>
        <v>42414.833733734806</v>
      </c>
      <c r="I43" s="186">
        <f t="shared" si="13"/>
        <v>84829.66746746967</v>
      </c>
      <c r="J43" s="103"/>
    </row>
    <row r="44" spans="1:10" ht="20.100000000000001" customHeight="1">
      <c r="A44" s="180" t="s">
        <v>626</v>
      </c>
      <c r="B44" s="186">
        <f t="shared" si="8"/>
        <v>97619.047619047589</v>
      </c>
      <c r="C44" s="186">
        <f t="shared" si="9"/>
        <v>50000</v>
      </c>
      <c r="D44" s="214">
        <v>1</v>
      </c>
      <c r="E44" s="186">
        <f t="shared" si="10"/>
        <v>2380.9523809523794</v>
      </c>
      <c r="F44" s="186">
        <f t="shared" si="7"/>
        <v>49999.999999999971</v>
      </c>
      <c r="G44" s="186">
        <f t="shared" si="11"/>
        <v>84829.66746746967</v>
      </c>
      <c r="H44" s="186">
        <f t="shared" si="12"/>
        <v>42414.833733734806</v>
      </c>
      <c r="I44" s="186">
        <f t="shared" si="13"/>
        <v>42414.833733734864</v>
      </c>
      <c r="J44" s="103"/>
    </row>
    <row r="45" spans="1:10" ht="20.100000000000001" customHeight="1">
      <c r="A45" s="180" t="s">
        <v>627</v>
      </c>
      <c r="B45" s="186">
        <f t="shared" si="8"/>
        <v>49999.999999999971</v>
      </c>
      <c r="C45" s="186">
        <f t="shared" si="9"/>
        <v>50000</v>
      </c>
      <c r="D45" s="214">
        <v>1</v>
      </c>
      <c r="E45" s="186">
        <f t="shared" si="10"/>
        <v>-1.4551915228366853E-12</v>
      </c>
      <c r="F45" s="186">
        <f t="shared" si="7"/>
        <v>-3.055902197957039E-11</v>
      </c>
      <c r="G45" s="186">
        <f t="shared" si="11"/>
        <v>42414.833733734864</v>
      </c>
      <c r="H45" s="186">
        <f t="shared" si="12"/>
        <v>42414.833733734806</v>
      </c>
      <c r="I45" s="186">
        <f t="shared" si="13"/>
        <v>5.8207660913467407E-11</v>
      </c>
      <c r="J45" s="103"/>
    </row>
    <row r="46" spans="1:10" ht="20.100000000000001" customHeight="1">
      <c r="A46" s="107" t="s">
        <v>605</v>
      </c>
      <c r="B46" s="107"/>
      <c r="C46" s="183">
        <f>SUM(C38:C45)</f>
        <v>350000</v>
      </c>
      <c r="D46" s="183"/>
      <c r="E46" s="183">
        <f>SUM(E38:E45)</f>
        <v>60681.330130121569</v>
      </c>
      <c r="F46" s="183"/>
      <c r="G46" s="195"/>
      <c r="H46" s="195">
        <f>SUM(H38:H45)</f>
        <v>339318.66986987839</v>
      </c>
      <c r="I46" s="195"/>
      <c r="J46" s="103"/>
    </row>
    <row r="47" spans="1:10" ht="20.100000000000001" customHeight="1">
      <c r="A47" s="178"/>
      <c r="B47" s="177"/>
      <c r="C47" s="85"/>
      <c r="D47" s="85"/>
      <c r="E47" s="85"/>
      <c r="F47" s="85"/>
      <c r="G47" s="85"/>
      <c r="H47" s="85"/>
      <c r="I47" s="85"/>
      <c r="J47" s="103"/>
    </row>
    <row r="48" spans="1:10" ht="20.100000000000001" customHeight="1">
      <c r="A48" s="269" t="s">
        <v>8</v>
      </c>
      <c r="B48" s="269"/>
      <c r="C48" s="269"/>
      <c r="D48" s="269"/>
      <c r="E48" s="269"/>
      <c r="F48" s="269"/>
      <c r="G48" s="269"/>
      <c r="H48" s="269"/>
      <c r="I48" s="269"/>
      <c r="J48" s="103"/>
    </row>
    <row r="49" spans="1:10" ht="20.100000000000001" customHeight="1">
      <c r="A49" s="310"/>
      <c r="B49" s="311"/>
      <c r="C49" s="311"/>
      <c r="D49" s="311"/>
      <c r="E49" s="311"/>
      <c r="F49" s="311"/>
      <c r="G49" s="311"/>
      <c r="H49" s="311"/>
      <c r="I49" s="311"/>
      <c r="J49" s="103"/>
    </row>
    <row r="50" spans="1:10" ht="20.100000000000001" customHeight="1">
      <c r="A50" s="98"/>
      <c r="B50" s="98"/>
      <c r="C50" s="98"/>
      <c r="D50" s="98"/>
      <c r="E50" s="98"/>
      <c r="F50" s="98"/>
      <c r="G50" s="98"/>
      <c r="H50" s="98"/>
      <c r="I50" s="95"/>
      <c r="J50" s="103"/>
    </row>
    <row r="51" spans="1:10" ht="20.100000000000001" customHeight="1">
      <c r="A51" s="269" t="s">
        <v>9</v>
      </c>
      <c r="B51" s="269"/>
      <c r="C51" s="269"/>
      <c r="D51" s="269"/>
      <c r="E51" s="269"/>
      <c r="F51" s="269"/>
      <c r="G51" s="269"/>
      <c r="H51" s="269"/>
      <c r="I51" s="269"/>
      <c r="J51" s="103"/>
    </row>
    <row r="52" spans="1:10" ht="49.5" customHeight="1">
      <c r="A52" s="308"/>
      <c r="B52" s="309"/>
      <c r="C52" s="309"/>
      <c r="D52" s="309"/>
      <c r="E52" s="309"/>
      <c r="F52" s="309"/>
      <c r="G52" s="309"/>
      <c r="H52" s="309"/>
      <c r="I52" s="309"/>
      <c r="J52" s="103"/>
    </row>
    <row r="54" spans="1:10" s="86" customFormat="1" ht="18" customHeight="1">
      <c r="A54" s="92" t="s">
        <v>10</v>
      </c>
      <c r="J54" s="105"/>
    </row>
    <row r="55" spans="1:10" s="86" customFormat="1" ht="18" customHeight="1">
      <c r="A55" s="93" t="s">
        <v>518</v>
      </c>
      <c r="J55" s="105"/>
    </row>
    <row r="56" spans="1:10" s="86" customFormat="1" ht="18" customHeight="1">
      <c r="A56" s="93" t="s">
        <v>519</v>
      </c>
      <c r="J56" s="105"/>
    </row>
    <row r="57" spans="1:10" s="86" customFormat="1" ht="18" customHeight="1">
      <c r="A57" s="93" t="s">
        <v>520</v>
      </c>
      <c r="J57" s="105"/>
    </row>
    <row r="58" spans="1:10" s="86" customFormat="1" ht="18" customHeight="1">
      <c r="A58" s="93" t="s">
        <v>521</v>
      </c>
      <c r="J58" s="105"/>
    </row>
    <row r="59" spans="1:10" s="86" customFormat="1" ht="18" customHeight="1">
      <c r="A59" s="170" t="s">
        <v>522</v>
      </c>
      <c r="J59" s="105"/>
    </row>
    <row r="60" spans="1:10" ht="18.75" customHeight="1">
      <c r="A60" s="171" t="s">
        <v>589</v>
      </c>
    </row>
    <row r="61" spans="1:10" ht="18.75" customHeight="1">
      <c r="A61" s="171" t="s">
        <v>590</v>
      </c>
    </row>
    <row r="62" spans="1:10" ht="18.75" customHeight="1"/>
    <row r="63" spans="1:10" ht="18.75" customHeight="1">
      <c r="A63" s="93" t="s">
        <v>525</v>
      </c>
    </row>
    <row r="64" spans="1:10" ht="17.25" customHeight="1">
      <c r="A64" s="93" t="s">
        <v>526</v>
      </c>
    </row>
    <row r="65" spans="1:1" ht="17.25" customHeight="1">
      <c r="A65" s="93" t="s">
        <v>527</v>
      </c>
    </row>
  </sheetData>
  <mergeCells count="12">
    <mergeCell ref="A1:I1"/>
    <mergeCell ref="A2:I2"/>
    <mergeCell ref="A5:I5"/>
    <mergeCell ref="A6:I6"/>
    <mergeCell ref="A7:I7"/>
    <mergeCell ref="A49:I49"/>
    <mergeCell ref="A51:I51"/>
    <mergeCell ref="A52:I52"/>
    <mergeCell ref="B34:F34"/>
    <mergeCell ref="G34:I34"/>
    <mergeCell ref="A34:A35"/>
    <mergeCell ref="A48:I48"/>
  </mergeCells>
  <phoneticPr fontId="5" type="noConversion"/>
  <printOptions horizontalCentered="1"/>
  <pageMargins left="0.94488188976377963" right="0.27559055118110237" top="0.62992125984251968" bottom="0.51181102362204722" header="0.51181102362204722" footer="0.35433070866141736"/>
  <pageSetup paperSize="9" scale="87" fitToHeight="0" orientation="portrait" blackAndWhite="1" cellComments="atEnd" r:id="rId1"/>
  <headerFooter alignWithMargins="0"/>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20">
    <tabColor theme="7" tint="-0.249977111117893"/>
    <pageSetUpPr fitToPage="1"/>
  </sheetPr>
  <dimension ref="A1:K66"/>
  <sheetViews>
    <sheetView view="pageBreakPreview" zoomScaleNormal="130" zoomScaleSheetLayoutView="100" workbookViewId="0">
      <selection activeCell="A2" sqref="A2:I2"/>
    </sheetView>
  </sheetViews>
  <sheetFormatPr defaultColWidth="9" defaultRowHeight="13.8"/>
  <cols>
    <col min="1" max="1" width="14.88671875" style="87" customWidth="1"/>
    <col min="2" max="2" width="13.21875" style="87" customWidth="1"/>
    <col min="3" max="3" width="11.109375" style="87" customWidth="1"/>
    <col min="4" max="4" width="10.33203125" style="87" customWidth="1"/>
    <col min="5" max="5" width="11.6640625" style="87" customWidth="1"/>
    <col min="6" max="6" width="11.21875" style="87" customWidth="1"/>
    <col min="7" max="7" width="10.44140625" style="87" customWidth="1"/>
    <col min="8" max="8" width="9.33203125" style="87" customWidth="1"/>
    <col min="9" max="9" width="12.21875" style="87" customWidth="1"/>
    <col min="10" max="10" width="57.6640625" style="90" customWidth="1"/>
    <col min="11" max="16384" width="9" style="87"/>
  </cols>
  <sheetData>
    <row r="1" spans="1:10" ht="20.100000000000001" customHeight="1">
      <c r="A1" s="266" t="s">
        <v>0</v>
      </c>
      <c r="B1" s="266"/>
      <c r="C1" s="266"/>
      <c r="D1" s="266"/>
      <c r="E1" s="266"/>
      <c r="F1" s="266"/>
      <c r="G1" s="266"/>
      <c r="H1" s="266"/>
      <c r="I1" s="266"/>
      <c r="J1" s="103"/>
    </row>
    <row r="2" spans="1:10" s="88" customFormat="1" ht="24.9" customHeight="1">
      <c r="A2" s="267" t="s">
        <v>611</v>
      </c>
      <c r="B2" s="268"/>
      <c r="C2" s="268"/>
      <c r="D2" s="268"/>
      <c r="E2" s="268"/>
      <c r="F2" s="268"/>
      <c r="G2" s="268"/>
      <c r="H2" s="268"/>
      <c r="I2" s="268"/>
      <c r="J2" s="104"/>
    </row>
    <row r="3" spans="1:10" ht="20.100000000000001" customHeight="1">
      <c r="A3" s="87" t="str">
        <f>审定表!A3</f>
        <v>客户名称：</v>
      </c>
      <c r="D3" s="89" t="str">
        <f>'表头（请先填写）'!A4</f>
        <v>编制人：</v>
      </c>
      <c r="G3" s="87" t="str">
        <f>'表头（请先填写）'!A5</f>
        <v>日期：</v>
      </c>
      <c r="I3" s="87" t="s">
        <v>635</v>
      </c>
      <c r="J3" s="103"/>
    </row>
    <row r="4" spans="1:10" ht="20.100000000000001" customHeight="1">
      <c r="A4" s="87" t="str">
        <f>审定表!A4</f>
        <v>会计期间：2023年度</v>
      </c>
      <c r="D4" s="89" t="s">
        <v>1</v>
      </c>
      <c r="G4" s="87" t="s">
        <v>2</v>
      </c>
      <c r="I4" s="93" t="s">
        <v>250</v>
      </c>
      <c r="J4" s="103"/>
    </row>
    <row r="5" spans="1:10" ht="20.100000000000001" customHeight="1">
      <c r="A5" s="269" t="s">
        <v>3</v>
      </c>
      <c r="B5" s="269"/>
      <c r="C5" s="269"/>
      <c r="D5" s="269"/>
      <c r="E5" s="269"/>
      <c r="F5" s="269"/>
      <c r="G5" s="269"/>
      <c r="H5" s="269"/>
      <c r="I5" s="269"/>
      <c r="J5" s="103"/>
    </row>
    <row r="6" spans="1:10" ht="21" customHeight="1">
      <c r="A6" s="270" t="s">
        <v>654</v>
      </c>
      <c r="B6" s="270"/>
      <c r="C6" s="270"/>
      <c r="D6" s="270"/>
      <c r="E6" s="270"/>
      <c r="F6" s="270"/>
      <c r="G6" s="270"/>
      <c r="H6" s="270"/>
      <c r="I6" s="270"/>
      <c r="J6" s="76"/>
    </row>
    <row r="7" spans="1:10" ht="20.100000000000001" customHeight="1">
      <c r="A7" s="269" t="s">
        <v>4</v>
      </c>
      <c r="B7" s="269"/>
      <c r="C7" s="269"/>
      <c r="D7" s="269"/>
      <c r="E7" s="269"/>
      <c r="F7" s="269"/>
      <c r="G7" s="269"/>
      <c r="H7" s="269"/>
      <c r="I7" s="269"/>
      <c r="J7" s="103"/>
    </row>
    <row r="8" spans="1:10" ht="19.5" customHeight="1">
      <c r="A8" s="97" t="s">
        <v>591</v>
      </c>
      <c r="B8" s="85"/>
      <c r="C8" s="85"/>
      <c r="D8" s="85"/>
      <c r="E8" s="85"/>
      <c r="G8" s="176">
        <v>44197</v>
      </c>
      <c r="H8" s="85"/>
      <c r="I8" s="85"/>
      <c r="J8" s="103"/>
    </row>
    <row r="9" spans="1:10" ht="36.75" customHeight="1">
      <c r="A9" s="107" t="s">
        <v>592</v>
      </c>
      <c r="B9" s="107" t="s">
        <v>593</v>
      </c>
      <c r="C9" s="107" t="s">
        <v>599</v>
      </c>
      <c r="D9" s="71" t="s">
        <v>600</v>
      </c>
      <c r="E9" s="107" t="s">
        <v>602</v>
      </c>
      <c r="F9" s="107" t="s">
        <v>603</v>
      </c>
      <c r="G9" s="71" t="s">
        <v>612</v>
      </c>
      <c r="H9" s="71" t="s">
        <v>630</v>
      </c>
      <c r="I9" s="107" t="s">
        <v>656</v>
      </c>
      <c r="J9" s="103" t="s">
        <v>596</v>
      </c>
    </row>
    <row r="10" spans="1:10" ht="19.5" customHeight="1">
      <c r="A10" s="173" t="s">
        <v>598</v>
      </c>
      <c r="B10" s="190">
        <v>43739</v>
      </c>
      <c r="C10" s="190">
        <v>46660</v>
      </c>
      <c r="D10" s="191">
        <f>2</f>
        <v>2</v>
      </c>
      <c r="E10" s="191">
        <f>(YEAR(C10)-YEAR(B10))+D10+(MONTH(C10)-MONTH(B10)+1)/12</f>
        <v>10</v>
      </c>
      <c r="F10" s="190">
        <f>DATE(YEAR(C10)+D10,MONTH(C10),DAY(C10))</f>
        <v>47391</v>
      </c>
      <c r="G10" s="191">
        <f>(YEAR(C10)-YEAR(G8))+D10+(MONTH(C10)-MONTH(G8)+1)/12</f>
        <v>8.75</v>
      </c>
      <c r="H10" s="192">
        <v>0.05</v>
      </c>
      <c r="I10" s="193">
        <v>8.75</v>
      </c>
      <c r="J10" s="103"/>
    </row>
    <row r="11" spans="1:10" ht="19.5" customHeight="1">
      <c r="A11" s="106"/>
      <c r="B11" s="175"/>
      <c r="C11" s="65"/>
      <c r="D11" s="65"/>
      <c r="E11" s="65"/>
      <c r="F11" s="174"/>
      <c r="G11" s="65"/>
      <c r="H11" s="181"/>
      <c r="I11" s="181"/>
      <c r="J11" s="103"/>
    </row>
    <row r="12" spans="1:10" ht="19.5" customHeight="1">
      <c r="A12" s="99"/>
      <c r="B12" s="85"/>
      <c r="C12" s="85"/>
      <c r="D12" s="85"/>
      <c r="E12" s="85"/>
      <c r="F12" s="85"/>
      <c r="G12" s="85"/>
      <c r="H12" s="85"/>
      <c r="I12" s="85"/>
      <c r="J12" s="103"/>
    </row>
    <row r="13" spans="1:10" ht="19.5" customHeight="1">
      <c r="A13" s="97" t="s">
        <v>609</v>
      </c>
      <c r="B13" s="85"/>
      <c r="C13" s="85"/>
      <c r="D13" s="85"/>
      <c r="E13" s="85"/>
      <c r="F13" s="85"/>
      <c r="G13" s="85"/>
      <c r="H13" s="85"/>
      <c r="I13" s="85"/>
      <c r="J13" s="87"/>
    </row>
    <row r="14" spans="1:10" ht="30.75" customHeight="1">
      <c r="A14" s="107" t="s">
        <v>601</v>
      </c>
      <c r="B14" s="107" t="s">
        <v>642</v>
      </c>
      <c r="C14" s="107" t="s">
        <v>649</v>
      </c>
      <c r="D14" s="107" t="s">
        <v>646</v>
      </c>
      <c r="E14" s="107" t="s">
        <v>643</v>
      </c>
      <c r="F14" s="107" t="s">
        <v>604</v>
      </c>
      <c r="G14" s="187" t="s">
        <v>631</v>
      </c>
      <c r="H14" s="187" t="s">
        <v>645</v>
      </c>
      <c r="I14" s="187" t="s">
        <v>610</v>
      </c>
      <c r="J14" s="170" t="s">
        <v>662</v>
      </c>
    </row>
    <row r="15" spans="1:10" ht="19.5" customHeight="1">
      <c r="A15" s="203">
        <v>43739</v>
      </c>
      <c r="B15" s="200"/>
      <c r="C15" s="200"/>
      <c r="D15" s="201"/>
      <c r="E15" s="202"/>
      <c r="F15" s="200"/>
      <c r="G15" s="205"/>
      <c r="H15" s="206"/>
      <c r="I15" s="206"/>
      <c r="J15" s="87"/>
    </row>
    <row r="16" spans="1:10" ht="19.5" customHeight="1">
      <c r="A16" s="203">
        <v>44105</v>
      </c>
      <c r="B16" s="200"/>
      <c r="C16" s="200"/>
      <c r="D16" s="201"/>
      <c r="E16" s="202"/>
      <c r="F16" s="200"/>
      <c r="G16" s="205"/>
      <c r="H16" s="206"/>
      <c r="I16" s="206"/>
      <c r="J16" s="87"/>
    </row>
    <row r="17" spans="1:11" ht="19.5" customHeight="1">
      <c r="A17" s="194">
        <v>44470</v>
      </c>
      <c r="B17" s="91">
        <v>50000</v>
      </c>
      <c r="C17" s="91">
        <f t="shared" ref="C17:C24" si="0">IF(E17=1,0,B17)</f>
        <v>50000</v>
      </c>
      <c r="D17" s="94">
        <f>9/12</f>
        <v>0.75</v>
      </c>
      <c r="E17" s="182">
        <f>1/(1+$H$10)^D17</f>
        <v>0.96406879469432316</v>
      </c>
      <c r="F17" s="91">
        <f t="shared" ref="F17:F24" si="1">IF(E17=1,0,B17*E17)</f>
        <v>48203.439734716158</v>
      </c>
      <c r="G17" s="65">
        <f>D17</f>
        <v>0.75</v>
      </c>
      <c r="H17" s="182">
        <f>E17</f>
        <v>0.96406879469432316</v>
      </c>
      <c r="I17" s="91">
        <f>B17*H17</f>
        <v>48203.439734716158</v>
      </c>
      <c r="J17" s="87"/>
    </row>
    <row r="18" spans="1:11" ht="19.5" customHeight="1">
      <c r="A18" s="194">
        <v>44835</v>
      </c>
      <c r="B18" s="91">
        <v>50000</v>
      </c>
      <c r="C18" s="91">
        <f t="shared" si="0"/>
        <v>50000</v>
      </c>
      <c r="D18" s="94">
        <f>D17+1</f>
        <v>1.75</v>
      </c>
      <c r="E18" s="182">
        <f>1/(1+$H$10)^D18</f>
        <v>0.91816075685173626</v>
      </c>
      <c r="F18" s="91">
        <f t="shared" si="1"/>
        <v>45908.037842586811</v>
      </c>
      <c r="G18" s="65">
        <f t="shared" ref="G18:H24" si="2">D18</f>
        <v>1.75</v>
      </c>
      <c r="H18" s="182">
        <f t="shared" si="2"/>
        <v>0.91816075685173626</v>
      </c>
      <c r="I18" s="91">
        <f t="shared" ref="I18:I24" si="3">B18*H18</f>
        <v>45908.037842586811</v>
      </c>
      <c r="J18" s="87"/>
    </row>
    <row r="19" spans="1:11" ht="19.5" customHeight="1">
      <c r="A19" s="194">
        <v>45200</v>
      </c>
      <c r="B19" s="91">
        <v>50000</v>
      </c>
      <c r="C19" s="91">
        <f t="shared" si="0"/>
        <v>50000</v>
      </c>
      <c r="D19" s="94">
        <f t="shared" ref="D19:D24" si="4">D18+1</f>
        <v>2.75</v>
      </c>
      <c r="E19" s="182">
        <f t="shared" ref="E19:E24" si="5">1/(1+$H$10)^D19</f>
        <v>0.87443881604927254</v>
      </c>
      <c r="F19" s="91">
        <f t="shared" si="1"/>
        <v>43721.940802463629</v>
      </c>
      <c r="G19" s="65">
        <f t="shared" si="2"/>
        <v>2.75</v>
      </c>
      <c r="H19" s="182">
        <f t="shared" si="2"/>
        <v>0.87443881604927254</v>
      </c>
      <c r="I19" s="91">
        <f t="shared" si="3"/>
        <v>43721.940802463629</v>
      </c>
      <c r="J19" s="87"/>
    </row>
    <row r="20" spans="1:11" ht="19.5" customHeight="1">
      <c r="A20" s="194">
        <v>45566</v>
      </c>
      <c r="B20" s="91">
        <v>50000</v>
      </c>
      <c r="C20" s="91">
        <f t="shared" si="0"/>
        <v>50000</v>
      </c>
      <c r="D20" s="94">
        <f t="shared" si="4"/>
        <v>3.75</v>
      </c>
      <c r="E20" s="182">
        <f t="shared" si="5"/>
        <v>0.83279887242787853</v>
      </c>
      <c r="F20" s="91">
        <f t="shared" si="1"/>
        <v>41639.943621393926</v>
      </c>
      <c r="G20" s="65">
        <f t="shared" si="2"/>
        <v>3.75</v>
      </c>
      <c r="H20" s="182">
        <f t="shared" si="2"/>
        <v>0.83279887242787853</v>
      </c>
      <c r="I20" s="91">
        <f t="shared" si="3"/>
        <v>41639.943621393926</v>
      </c>
      <c r="J20" s="172"/>
      <c r="K20" s="172"/>
    </row>
    <row r="21" spans="1:11" ht="19.5" customHeight="1">
      <c r="A21" s="194">
        <v>45931</v>
      </c>
      <c r="B21" s="91">
        <v>50000</v>
      </c>
      <c r="C21" s="91">
        <f t="shared" si="0"/>
        <v>50000</v>
      </c>
      <c r="D21" s="94">
        <f t="shared" si="4"/>
        <v>4.75</v>
      </c>
      <c r="E21" s="182">
        <f t="shared" si="5"/>
        <v>0.79314178326464624</v>
      </c>
      <c r="F21" s="91">
        <f t="shared" si="1"/>
        <v>39657.089163232311</v>
      </c>
      <c r="G21" s="65">
        <f t="shared" si="2"/>
        <v>4.75</v>
      </c>
      <c r="H21" s="182">
        <f t="shared" si="2"/>
        <v>0.79314178326464624</v>
      </c>
      <c r="I21" s="91">
        <f t="shared" si="3"/>
        <v>39657.089163232311</v>
      </c>
      <c r="J21" s="172"/>
      <c r="K21" s="172"/>
    </row>
    <row r="22" spans="1:11" ht="19.5" customHeight="1">
      <c r="A22" s="194">
        <v>46296</v>
      </c>
      <c r="B22" s="91">
        <v>50000</v>
      </c>
      <c r="C22" s="91">
        <f t="shared" si="0"/>
        <v>50000</v>
      </c>
      <c r="D22" s="94">
        <f t="shared" si="4"/>
        <v>5.75</v>
      </c>
      <c r="E22" s="182">
        <f t="shared" si="5"/>
        <v>0.75537312691871061</v>
      </c>
      <c r="F22" s="91">
        <f t="shared" si="1"/>
        <v>37768.656345935531</v>
      </c>
      <c r="G22" s="65">
        <f t="shared" si="2"/>
        <v>5.75</v>
      </c>
      <c r="H22" s="182">
        <f t="shared" si="2"/>
        <v>0.75537312691871061</v>
      </c>
      <c r="I22" s="91">
        <f t="shared" si="3"/>
        <v>37768.656345935531</v>
      </c>
      <c r="J22" s="87"/>
    </row>
    <row r="23" spans="1:11" ht="19.5" customHeight="1">
      <c r="A23" s="194">
        <v>46661</v>
      </c>
      <c r="B23" s="91">
        <v>50000</v>
      </c>
      <c r="C23" s="91">
        <f t="shared" si="0"/>
        <v>50000</v>
      </c>
      <c r="D23" s="94">
        <f t="shared" si="4"/>
        <v>6.75</v>
      </c>
      <c r="E23" s="182">
        <f t="shared" si="5"/>
        <v>0.71940297801781972</v>
      </c>
      <c r="F23" s="91">
        <f t="shared" si="1"/>
        <v>35970.148900890985</v>
      </c>
      <c r="G23" s="65">
        <f t="shared" si="2"/>
        <v>6.75</v>
      </c>
      <c r="H23" s="182">
        <f t="shared" si="2"/>
        <v>0.71940297801781972</v>
      </c>
      <c r="I23" s="91">
        <f t="shared" si="3"/>
        <v>35970.148900890985</v>
      </c>
      <c r="J23" s="87"/>
    </row>
    <row r="24" spans="1:11" ht="19.5" customHeight="1">
      <c r="A24" s="194">
        <v>47027</v>
      </c>
      <c r="B24" s="91">
        <v>50000</v>
      </c>
      <c r="C24" s="91">
        <f t="shared" si="0"/>
        <v>50000</v>
      </c>
      <c r="D24" s="94">
        <f t="shared" si="4"/>
        <v>7.75</v>
      </c>
      <c r="E24" s="182">
        <f t="shared" si="5"/>
        <v>0.6851456933503044</v>
      </c>
      <c r="F24" s="91">
        <f t="shared" si="1"/>
        <v>34257.284667515218</v>
      </c>
      <c r="G24" s="65">
        <f t="shared" si="2"/>
        <v>7.75</v>
      </c>
      <c r="H24" s="182">
        <f t="shared" si="2"/>
        <v>0.6851456933503044</v>
      </c>
      <c r="I24" s="91">
        <f t="shared" si="3"/>
        <v>34257.284667515218</v>
      </c>
      <c r="J24" s="87"/>
    </row>
    <row r="25" spans="1:11" ht="20.100000000000001" customHeight="1">
      <c r="A25" s="107" t="s">
        <v>605</v>
      </c>
      <c r="B25" s="183">
        <f>SUM(B17:B24)</f>
        <v>400000</v>
      </c>
      <c r="C25" s="183">
        <f>SUM(C15:C24)</f>
        <v>400000</v>
      </c>
      <c r="D25" s="183"/>
      <c r="E25" s="183"/>
      <c r="F25" s="183">
        <f>SUM(F17:F24)</f>
        <v>327126.54107873456</v>
      </c>
      <c r="G25" s="195"/>
      <c r="H25" s="195"/>
      <c r="I25" s="195">
        <f>SUM(I17:I24)</f>
        <v>327126.54107873456</v>
      </c>
      <c r="J25" s="87"/>
    </row>
    <row r="26" spans="1:11" ht="20.100000000000001" customHeight="1">
      <c r="A26" s="178"/>
      <c r="B26" s="177"/>
      <c r="C26" s="85"/>
      <c r="D26" s="85"/>
      <c r="E26" s="85"/>
      <c r="F26" s="85"/>
      <c r="G26" s="85"/>
      <c r="H26" s="85"/>
      <c r="I26" s="85"/>
      <c r="J26" s="103"/>
    </row>
    <row r="27" spans="1:11" ht="20.100000000000001" customHeight="1">
      <c r="A27" s="188" t="s">
        <v>633</v>
      </c>
      <c r="B27" s="177"/>
      <c r="C27" s="85"/>
      <c r="D27" s="85"/>
      <c r="E27" s="85"/>
      <c r="F27" s="85"/>
      <c r="G27" s="85"/>
      <c r="H27" s="85"/>
      <c r="I27" s="85"/>
      <c r="J27" s="103"/>
    </row>
    <row r="28" spans="1:11" ht="19.5" customHeight="1">
      <c r="A28" s="99" t="s">
        <v>606</v>
      </c>
      <c r="B28" s="85"/>
      <c r="C28" s="189">
        <f>I25+D31</f>
        <v>364626.54107873456</v>
      </c>
      <c r="D28" s="85"/>
      <c r="E28" s="179" t="s">
        <v>651</v>
      </c>
      <c r="F28" s="85"/>
      <c r="G28" s="85"/>
      <c r="H28" s="85"/>
      <c r="I28" s="85"/>
      <c r="J28" s="103"/>
    </row>
    <row r="29" spans="1:11" ht="19.5" customHeight="1">
      <c r="A29" s="99" t="s">
        <v>607</v>
      </c>
      <c r="B29" s="85"/>
      <c r="C29" s="189">
        <f>E47</f>
        <v>72873.458921265439</v>
      </c>
      <c r="E29" s="85"/>
      <c r="F29" s="85"/>
      <c r="G29" s="85"/>
      <c r="H29" s="85"/>
      <c r="I29" s="85"/>
      <c r="J29" s="103"/>
    </row>
    <row r="30" spans="1:11" ht="19.5" customHeight="1">
      <c r="A30" s="99" t="s">
        <v>608</v>
      </c>
      <c r="B30" s="85"/>
      <c r="C30" s="85"/>
      <c r="D30" s="189">
        <f>C25</f>
        <v>400000</v>
      </c>
      <c r="E30" s="179" t="s">
        <v>657</v>
      </c>
      <c r="F30" s="85"/>
      <c r="G30" s="85"/>
      <c r="H30" s="85"/>
      <c r="I30" s="85"/>
      <c r="J30" s="103"/>
    </row>
    <row r="31" spans="1:11" ht="19.5" customHeight="1">
      <c r="A31" s="99" t="s">
        <v>672</v>
      </c>
      <c r="B31" s="85"/>
      <c r="C31" s="85"/>
      <c r="D31" s="189">
        <f>50000/12*9</f>
        <v>37500</v>
      </c>
      <c r="E31" s="179" t="s">
        <v>652</v>
      </c>
      <c r="F31" s="85"/>
      <c r="G31" s="85"/>
      <c r="H31" s="85"/>
      <c r="I31" s="85"/>
      <c r="J31" s="103"/>
    </row>
    <row r="32" spans="1:11" ht="20.100000000000001" customHeight="1">
      <c r="A32" s="99"/>
      <c r="B32" s="85"/>
      <c r="C32" s="208">
        <f>SUM(C28:C31)</f>
        <v>437500</v>
      </c>
      <c r="D32" s="208">
        <f>SUM(D28:D31)</f>
        <v>437500</v>
      </c>
      <c r="E32" s="85"/>
      <c r="F32" s="85"/>
      <c r="G32" s="85"/>
      <c r="H32" s="85"/>
      <c r="I32" s="85"/>
      <c r="J32" s="103"/>
    </row>
    <row r="33" spans="1:10" ht="20.100000000000001" customHeight="1">
      <c r="A33" s="97" t="s">
        <v>632</v>
      </c>
      <c r="B33" s="177"/>
      <c r="C33" s="85"/>
      <c r="D33" s="85"/>
      <c r="E33" s="85"/>
      <c r="F33" s="85"/>
      <c r="G33" s="85"/>
      <c r="H33" s="85"/>
      <c r="I33" s="85"/>
      <c r="J33" s="103"/>
    </row>
    <row r="34" spans="1:10" ht="20.100000000000001" customHeight="1">
      <c r="A34" s="376" t="s">
        <v>634</v>
      </c>
      <c r="B34" s="376" t="s">
        <v>613</v>
      </c>
      <c r="C34" s="377"/>
      <c r="D34" s="377"/>
      <c r="E34" s="377"/>
      <c r="F34" s="377"/>
      <c r="G34" s="378" t="s">
        <v>614</v>
      </c>
      <c r="H34" s="379"/>
      <c r="I34" s="379"/>
      <c r="J34" s="103"/>
    </row>
    <row r="35" spans="1:10" ht="32.25" customHeight="1">
      <c r="A35" s="377"/>
      <c r="B35" s="107" t="s">
        <v>619</v>
      </c>
      <c r="C35" s="184" t="s">
        <v>615</v>
      </c>
      <c r="D35" s="107" t="s">
        <v>629</v>
      </c>
      <c r="E35" s="107" t="s">
        <v>616</v>
      </c>
      <c r="F35" s="107" t="s">
        <v>617</v>
      </c>
      <c r="G35" s="187" t="s">
        <v>619</v>
      </c>
      <c r="H35" s="187" t="s">
        <v>618</v>
      </c>
      <c r="I35" s="187" t="s">
        <v>617</v>
      </c>
      <c r="J35" s="170" t="s">
        <v>662</v>
      </c>
    </row>
    <row r="36" spans="1:10" ht="20.100000000000001" customHeight="1">
      <c r="A36" s="196" t="s">
        <v>664</v>
      </c>
      <c r="B36" s="198"/>
      <c r="C36" s="198"/>
      <c r="D36" s="199"/>
      <c r="E36" s="198"/>
      <c r="F36" s="198"/>
      <c r="G36" s="204"/>
      <c r="H36" s="204"/>
      <c r="I36" s="204"/>
      <c r="J36" s="103"/>
    </row>
    <row r="37" spans="1:10" ht="20.100000000000001" customHeight="1">
      <c r="A37" s="196" t="s">
        <v>648</v>
      </c>
      <c r="B37" s="198"/>
      <c r="C37" s="198"/>
      <c r="D37" s="200"/>
      <c r="E37" s="198"/>
      <c r="F37" s="198"/>
      <c r="G37" s="204"/>
      <c r="H37" s="204"/>
      <c r="I37" s="204"/>
      <c r="J37" s="103"/>
    </row>
    <row r="38" spans="1:10" ht="20.100000000000001" customHeight="1">
      <c r="A38" s="180" t="s">
        <v>620</v>
      </c>
      <c r="B38" s="185">
        <f>F25</f>
        <v>327126.54107873456</v>
      </c>
      <c r="C38" s="186">
        <v>50000</v>
      </c>
      <c r="D38" s="214">
        <v>10</v>
      </c>
      <c r="E38" s="186">
        <f>B38*$H$10/12*(10-1)+(B38-C38)*$H$10/12*(12-D38+1)</f>
        <v>15731.327053936729</v>
      </c>
      <c r="F38" s="186">
        <f t="shared" ref="F38:F46" si="6">B38-C38+E38</f>
        <v>292857.86813267128</v>
      </c>
      <c r="G38" s="185">
        <f>I25</f>
        <v>327126.54107873456</v>
      </c>
      <c r="H38" s="186">
        <f>($I$25/$I$10)/12*12</f>
        <v>37385.890408998239</v>
      </c>
      <c r="I38" s="186">
        <f>G38-H38</f>
        <v>289740.65066973632</v>
      </c>
      <c r="J38" s="103"/>
    </row>
    <row r="39" spans="1:10" ht="20.100000000000001" customHeight="1">
      <c r="A39" s="180" t="s">
        <v>621</v>
      </c>
      <c r="B39" s="186">
        <f t="shared" ref="B39:B46" si="7">B38-C38+E38</f>
        <v>292857.86813267128</v>
      </c>
      <c r="C39" s="186">
        <v>50000</v>
      </c>
      <c r="D39" s="214">
        <v>10</v>
      </c>
      <c r="E39" s="186">
        <f t="shared" ref="E39:E44" si="8">B39*$H$10/12*(10-1)+(B39-C39)*$H$10/12*(12-D39+1)</f>
        <v>14017.893406633564</v>
      </c>
      <c r="F39" s="186">
        <f t="shared" si="6"/>
        <v>256875.76153930486</v>
      </c>
      <c r="G39" s="186">
        <f>I38</f>
        <v>289740.65066973632</v>
      </c>
      <c r="H39" s="186">
        <f t="shared" ref="H39:H45" si="9">($I$25/$I$10)/12*12</f>
        <v>37385.890408998239</v>
      </c>
      <c r="I39" s="186">
        <f>G39-H39</f>
        <v>252354.76026073808</v>
      </c>
      <c r="J39" s="103"/>
    </row>
    <row r="40" spans="1:10" ht="20.100000000000001" customHeight="1">
      <c r="A40" s="180" t="s">
        <v>622</v>
      </c>
      <c r="B40" s="186">
        <f t="shared" si="7"/>
        <v>256875.76153930486</v>
      </c>
      <c r="C40" s="186">
        <v>50000</v>
      </c>
      <c r="D40" s="214">
        <v>10</v>
      </c>
      <c r="E40" s="186">
        <f t="shared" si="8"/>
        <v>12218.788076965244</v>
      </c>
      <c r="F40" s="186">
        <f t="shared" si="6"/>
        <v>219094.54961627012</v>
      </c>
      <c r="G40" s="186">
        <f t="shared" ref="G40:G45" si="10">I39</f>
        <v>252354.76026073808</v>
      </c>
      <c r="H40" s="186">
        <f t="shared" si="9"/>
        <v>37385.890408998239</v>
      </c>
      <c r="I40" s="186">
        <f t="shared" ref="I40:I45" si="11">G40-H40</f>
        <v>214968.86985173984</v>
      </c>
      <c r="J40" s="103"/>
    </row>
    <row r="41" spans="1:10" ht="20.100000000000001" customHeight="1">
      <c r="A41" s="180" t="s">
        <v>623</v>
      </c>
      <c r="B41" s="186">
        <f t="shared" si="7"/>
        <v>219094.54961627012</v>
      </c>
      <c r="C41" s="186">
        <v>50000</v>
      </c>
      <c r="D41" s="214">
        <v>10</v>
      </c>
      <c r="E41" s="186">
        <f t="shared" si="8"/>
        <v>10329.727480813506</v>
      </c>
      <c r="F41" s="186">
        <f t="shared" si="6"/>
        <v>179424.27709708363</v>
      </c>
      <c r="G41" s="186">
        <f t="shared" si="10"/>
        <v>214968.86985173984</v>
      </c>
      <c r="H41" s="186">
        <f t="shared" si="9"/>
        <v>37385.890408998239</v>
      </c>
      <c r="I41" s="186">
        <f t="shared" si="11"/>
        <v>177582.97944274161</v>
      </c>
      <c r="J41" s="103"/>
    </row>
    <row r="42" spans="1:10" ht="20.100000000000001" customHeight="1">
      <c r="A42" s="180" t="s">
        <v>624</v>
      </c>
      <c r="B42" s="186">
        <f t="shared" si="7"/>
        <v>179424.27709708363</v>
      </c>
      <c r="C42" s="186">
        <v>50000</v>
      </c>
      <c r="D42" s="214">
        <v>10</v>
      </c>
      <c r="E42" s="186">
        <f t="shared" si="8"/>
        <v>8346.2138548541825</v>
      </c>
      <c r="F42" s="186">
        <f t="shared" si="6"/>
        <v>137770.4909519378</v>
      </c>
      <c r="G42" s="186">
        <f t="shared" si="10"/>
        <v>177582.97944274161</v>
      </c>
      <c r="H42" s="186">
        <f t="shared" si="9"/>
        <v>37385.890408998239</v>
      </c>
      <c r="I42" s="186">
        <f t="shared" si="11"/>
        <v>140197.08903374337</v>
      </c>
      <c r="J42" s="103"/>
    </row>
    <row r="43" spans="1:10" ht="20.100000000000001" customHeight="1">
      <c r="A43" s="180" t="s">
        <v>625</v>
      </c>
      <c r="B43" s="186">
        <f t="shared" si="7"/>
        <v>137770.4909519378</v>
      </c>
      <c r="C43" s="186">
        <v>50000</v>
      </c>
      <c r="D43" s="214">
        <v>10</v>
      </c>
      <c r="E43" s="186">
        <f t="shared" si="8"/>
        <v>6263.5245475968904</v>
      </c>
      <c r="F43" s="186">
        <f t="shared" si="6"/>
        <v>94034.015499534682</v>
      </c>
      <c r="G43" s="186">
        <f t="shared" si="10"/>
        <v>140197.08903374337</v>
      </c>
      <c r="H43" s="186">
        <f t="shared" si="9"/>
        <v>37385.890408998239</v>
      </c>
      <c r="I43" s="186">
        <f t="shared" si="11"/>
        <v>102811.19862474513</v>
      </c>
      <c r="J43" s="103"/>
    </row>
    <row r="44" spans="1:10" ht="20.100000000000001" customHeight="1">
      <c r="A44" s="180" t="s">
        <v>626</v>
      </c>
      <c r="B44" s="186">
        <f t="shared" si="7"/>
        <v>94034.015499534682</v>
      </c>
      <c r="C44" s="186">
        <v>50000</v>
      </c>
      <c r="D44" s="214">
        <v>10</v>
      </c>
      <c r="E44" s="186">
        <f t="shared" si="8"/>
        <v>4076.7007749767345</v>
      </c>
      <c r="F44" s="186">
        <f t="shared" si="6"/>
        <v>48110.716274511418</v>
      </c>
      <c r="G44" s="186">
        <f t="shared" si="10"/>
        <v>102811.19862474513</v>
      </c>
      <c r="H44" s="186">
        <f t="shared" si="9"/>
        <v>37385.890408998239</v>
      </c>
      <c r="I44" s="186">
        <f t="shared" si="11"/>
        <v>65425.308215746889</v>
      </c>
      <c r="J44" s="103"/>
    </row>
    <row r="45" spans="1:10" ht="20.100000000000001" customHeight="1">
      <c r="A45" s="180" t="s">
        <v>663</v>
      </c>
      <c r="B45" s="186">
        <f t="shared" si="7"/>
        <v>48110.716274511418</v>
      </c>
      <c r="C45" s="186">
        <v>50000</v>
      </c>
      <c r="D45" s="214">
        <v>10</v>
      </c>
      <c r="E45" s="215">
        <f>C45-B45</f>
        <v>1889.2837254885817</v>
      </c>
      <c r="F45" s="186">
        <f t="shared" si="6"/>
        <v>0</v>
      </c>
      <c r="G45" s="186">
        <f t="shared" si="10"/>
        <v>65425.308215746889</v>
      </c>
      <c r="H45" s="186">
        <f t="shared" si="9"/>
        <v>37385.890408998239</v>
      </c>
      <c r="I45" s="186">
        <f t="shared" si="11"/>
        <v>28039.41780674865</v>
      </c>
      <c r="J45" s="103"/>
    </row>
    <row r="46" spans="1:10" ht="20.100000000000001" customHeight="1">
      <c r="A46" s="180" t="s">
        <v>628</v>
      </c>
      <c r="B46" s="186">
        <f t="shared" si="7"/>
        <v>0</v>
      </c>
      <c r="C46" s="186"/>
      <c r="D46" s="214"/>
      <c r="E46" s="186">
        <f>B46*$H$10/12*(10-1)</f>
        <v>0</v>
      </c>
      <c r="F46" s="186">
        <f t="shared" si="6"/>
        <v>0</v>
      </c>
      <c r="G46" s="186">
        <f t="shared" ref="G46" si="12">I45</f>
        <v>28039.41780674865</v>
      </c>
      <c r="H46" s="186">
        <f>($I$25/$I$10)/12*9</f>
        <v>28039.417806748679</v>
      </c>
      <c r="I46" s="186">
        <f t="shared" ref="I46" si="13">G46-H46</f>
        <v>-2.9103830456733704E-11</v>
      </c>
      <c r="J46" s="103"/>
    </row>
    <row r="47" spans="1:10" ht="20.100000000000001" customHeight="1">
      <c r="A47" s="107" t="s">
        <v>605</v>
      </c>
      <c r="B47" s="107"/>
      <c r="C47" s="183">
        <f>SUM(C38:C46)</f>
        <v>400000</v>
      </c>
      <c r="D47" s="183"/>
      <c r="E47" s="183">
        <f>SUM(E38:E46)</f>
        <v>72873.458921265439</v>
      </c>
      <c r="F47" s="183"/>
      <c r="G47" s="195"/>
      <c r="H47" s="195">
        <f>SUM(H38:H46)</f>
        <v>327126.54107873456</v>
      </c>
      <c r="I47" s="195"/>
      <c r="J47" s="103"/>
    </row>
    <row r="48" spans="1:10" ht="20.100000000000001" customHeight="1">
      <c r="A48" s="178"/>
      <c r="B48" s="177"/>
      <c r="C48" s="85"/>
      <c r="D48" s="85"/>
      <c r="E48" s="85"/>
      <c r="F48" s="85"/>
      <c r="G48" s="85"/>
      <c r="H48" s="85"/>
      <c r="I48" s="85"/>
      <c r="J48" s="103"/>
    </row>
    <row r="49" spans="1:10" ht="20.100000000000001" customHeight="1">
      <c r="A49" s="269" t="s">
        <v>8</v>
      </c>
      <c r="B49" s="269"/>
      <c r="C49" s="269"/>
      <c r="D49" s="269"/>
      <c r="E49" s="269"/>
      <c r="F49" s="269"/>
      <c r="G49" s="269"/>
      <c r="H49" s="269"/>
      <c r="I49" s="269"/>
      <c r="J49" s="103"/>
    </row>
    <row r="50" spans="1:10" ht="20.100000000000001" customHeight="1">
      <c r="A50" s="310"/>
      <c r="B50" s="311"/>
      <c r="C50" s="311"/>
      <c r="D50" s="311"/>
      <c r="E50" s="311"/>
      <c r="F50" s="311"/>
      <c r="G50" s="311"/>
      <c r="H50" s="311"/>
      <c r="I50" s="311"/>
      <c r="J50" s="103"/>
    </row>
    <row r="51" spans="1:10" ht="20.100000000000001" customHeight="1">
      <c r="A51" s="98"/>
      <c r="B51" s="98"/>
      <c r="C51" s="98"/>
      <c r="D51" s="98"/>
      <c r="E51" s="98"/>
      <c r="F51" s="98"/>
      <c r="G51" s="98"/>
      <c r="H51" s="98"/>
      <c r="I51" s="95"/>
      <c r="J51" s="103"/>
    </row>
    <row r="52" spans="1:10" ht="20.100000000000001" customHeight="1">
      <c r="A52" s="269" t="s">
        <v>9</v>
      </c>
      <c r="B52" s="269"/>
      <c r="C52" s="269"/>
      <c r="D52" s="269"/>
      <c r="E52" s="269"/>
      <c r="F52" s="269"/>
      <c r="G52" s="269"/>
      <c r="H52" s="269"/>
      <c r="I52" s="269"/>
      <c r="J52" s="103"/>
    </row>
    <row r="53" spans="1:10" ht="49.5" customHeight="1">
      <c r="A53" s="308"/>
      <c r="B53" s="309"/>
      <c r="C53" s="309"/>
      <c r="D53" s="309"/>
      <c r="E53" s="309"/>
      <c r="F53" s="309"/>
      <c r="G53" s="309"/>
      <c r="H53" s="309"/>
      <c r="I53" s="309"/>
      <c r="J53" s="103"/>
    </row>
    <row r="55" spans="1:10" s="86" customFormat="1" ht="18" customHeight="1">
      <c r="A55" s="92" t="s">
        <v>10</v>
      </c>
      <c r="J55" s="105"/>
    </row>
    <row r="56" spans="1:10" s="86" customFormat="1" ht="18" customHeight="1">
      <c r="A56" s="93" t="s">
        <v>518</v>
      </c>
      <c r="J56" s="105"/>
    </row>
    <row r="57" spans="1:10" s="86" customFormat="1" ht="18" customHeight="1">
      <c r="A57" s="93" t="s">
        <v>519</v>
      </c>
      <c r="J57" s="105"/>
    </row>
    <row r="58" spans="1:10" s="86" customFormat="1" ht="18" customHeight="1">
      <c r="A58" s="93" t="s">
        <v>520</v>
      </c>
      <c r="J58" s="105"/>
    </row>
    <row r="59" spans="1:10" s="86" customFormat="1" ht="18" customHeight="1">
      <c r="A59" s="93" t="s">
        <v>521</v>
      </c>
      <c r="J59" s="105"/>
    </row>
    <row r="60" spans="1:10" s="86" customFormat="1" ht="18" customHeight="1">
      <c r="A60" s="170" t="s">
        <v>522</v>
      </c>
      <c r="J60" s="105"/>
    </row>
    <row r="61" spans="1:10" ht="18.75" customHeight="1">
      <c r="A61" s="171" t="s">
        <v>589</v>
      </c>
    </row>
    <row r="62" spans="1:10" ht="18.75" customHeight="1">
      <c r="A62" s="171" t="s">
        <v>590</v>
      </c>
    </row>
    <row r="63" spans="1:10" ht="18.75" customHeight="1"/>
    <row r="64" spans="1:10" ht="18.75" customHeight="1">
      <c r="A64" s="93" t="s">
        <v>525</v>
      </c>
    </row>
    <row r="65" spans="1:1" ht="17.25" customHeight="1">
      <c r="A65" s="93" t="s">
        <v>526</v>
      </c>
    </row>
    <row r="66" spans="1:1" ht="17.25" customHeight="1">
      <c r="A66" s="93" t="s">
        <v>527</v>
      </c>
    </row>
  </sheetData>
  <mergeCells count="12">
    <mergeCell ref="A49:I49"/>
    <mergeCell ref="A50:I50"/>
    <mergeCell ref="A52:I52"/>
    <mergeCell ref="A53:I53"/>
    <mergeCell ref="A1:I1"/>
    <mergeCell ref="A2:I2"/>
    <mergeCell ref="A5:I5"/>
    <mergeCell ref="A6:I6"/>
    <mergeCell ref="A7:I7"/>
    <mergeCell ref="A34:A35"/>
    <mergeCell ref="B34:F34"/>
    <mergeCell ref="G34:I34"/>
  </mergeCells>
  <phoneticPr fontId="5" type="noConversion"/>
  <printOptions horizontalCentered="1"/>
  <pageMargins left="0.94488188976377963" right="0.27559055118110237" top="0.62992125984251968" bottom="0.51181102362204722" header="0.51181102362204722" footer="0.35433070866141736"/>
  <pageSetup paperSize="9" scale="87" fitToHeight="0" orientation="portrait" blackAndWhite="1" cellComments="atEnd" r:id="rId1"/>
  <headerFooter alignWithMargins="0"/>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5">
    <tabColor rgb="FF002060"/>
  </sheetPr>
  <dimension ref="A1:V363"/>
  <sheetViews>
    <sheetView view="pageBreakPreview" zoomScaleNormal="100" zoomScaleSheetLayoutView="100" workbookViewId="0">
      <selection sqref="A1:I1"/>
    </sheetView>
  </sheetViews>
  <sheetFormatPr defaultColWidth="0" defaultRowHeight="13.8" zeroHeight="1" outlineLevelRow="1"/>
  <cols>
    <col min="1" max="1" width="4.88671875" style="108" customWidth="1"/>
    <col min="2" max="2" width="16.109375" style="108" customWidth="1"/>
    <col min="3" max="3" width="11.77734375" style="110" customWidth="1"/>
    <col min="4" max="4" width="11.6640625" style="108" customWidth="1"/>
    <col min="5" max="5" width="12.6640625" style="109" customWidth="1"/>
    <col min="6" max="6" width="17.21875" style="108" customWidth="1"/>
    <col min="7" max="7" width="12" style="108" customWidth="1"/>
    <col min="8" max="8" width="11.109375" style="108" customWidth="1"/>
    <col min="9" max="9" width="11.77734375" style="109" customWidth="1"/>
    <col min="10" max="10" width="31.77734375" style="108" customWidth="1"/>
    <col min="11" max="13" width="8.109375" style="108" hidden="1" customWidth="1"/>
    <col min="14" max="22" width="0" style="108" hidden="1" customWidth="1"/>
    <col min="23" max="16384" width="8.109375" style="108" hidden="1"/>
  </cols>
  <sheetData>
    <row r="1" spans="1:9" s="169" customFormat="1" ht="20.100000000000001" customHeight="1">
      <c r="A1" s="387" t="s">
        <v>40</v>
      </c>
      <c r="B1" s="387"/>
      <c r="C1" s="387"/>
      <c r="D1" s="387"/>
      <c r="E1" s="387"/>
      <c r="F1" s="387"/>
      <c r="G1" s="387"/>
      <c r="H1" s="387"/>
      <c r="I1" s="386"/>
    </row>
    <row r="2" spans="1:9" s="169" customFormat="1" ht="24.9" customHeight="1">
      <c r="A2" s="385" t="s">
        <v>658</v>
      </c>
      <c r="B2" s="385"/>
      <c r="C2" s="385"/>
      <c r="D2" s="385"/>
      <c r="E2" s="385"/>
      <c r="F2" s="385"/>
      <c r="G2" s="385"/>
      <c r="H2" s="385"/>
      <c r="I2" s="386"/>
    </row>
    <row r="3" spans="1:9" s="115" customFormat="1" ht="20.100000000000001" customHeight="1">
      <c r="A3" s="167" t="str">
        <f>'表头（请先填写）'!A2</f>
        <v>客户名称：</v>
      </c>
      <c r="B3" s="167"/>
      <c r="C3" s="167"/>
      <c r="D3" s="167" t="str">
        <f>'表头（请先填写）'!A4</f>
        <v>编制人：</v>
      </c>
      <c r="F3" s="87" t="str">
        <f>'表头（请先填写）'!A5</f>
        <v>日期：</v>
      </c>
      <c r="I3" s="168" t="s">
        <v>668</v>
      </c>
    </row>
    <row r="4" spans="1:9" s="115" customFormat="1" ht="20.100000000000001" customHeight="1">
      <c r="A4" s="167" t="str">
        <f>'表头（请先填写）'!A3</f>
        <v>会计期间：2023年度</v>
      </c>
      <c r="B4" s="167"/>
      <c r="C4" s="167"/>
      <c r="D4" s="167" t="s">
        <v>584</v>
      </c>
      <c r="F4" s="87" t="s">
        <v>2</v>
      </c>
      <c r="I4" s="168" t="s">
        <v>585</v>
      </c>
    </row>
    <row r="5" spans="1:9" s="115" customFormat="1" ht="20.100000000000001" customHeight="1">
      <c r="A5" s="167"/>
      <c r="B5" s="167"/>
      <c r="C5" s="164"/>
      <c r="G5" s="160"/>
    </row>
    <row r="6" spans="1:9" s="115" customFormat="1" ht="15.6">
      <c r="A6" s="166" t="s">
        <v>583</v>
      </c>
      <c r="B6" s="165"/>
      <c r="C6" s="164"/>
      <c r="G6" s="160"/>
    </row>
    <row r="7" spans="1:9" s="115" customFormat="1" ht="15">
      <c r="A7" s="162" t="s">
        <v>582</v>
      </c>
      <c r="B7" s="161" t="s">
        <v>586</v>
      </c>
      <c r="C7" s="163" t="s">
        <v>581</v>
      </c>
      <c r="G7" s="160"/>
    </row>
    <row r="8" spans="1:9" s="115" customFormat="1" ht="15">
      <c r="A8" s="162" t="s">
        <v>580</v>
      </c>
      <c r="B8" s="161" t="s">
        <v>579</v>
      </c>
      <c r="C8" s="163" t="s">
        <v>578</v>
      </c>
      <c r="G8" s="160"/>
    </row>
    <row r="9" spans="1:9" s="115" customFormat="1" ht="15">
      <c r="A9" s="162" t="s">
        <v>577</v>
      </c>
      <c r="B9" s="161" t="s">
        <v>576</v>
      </c>
      <c r="C9" s="163" t="s">
        <v>677</v>
      </c>
      <c r="G9" s="160"/>
    </row>
    <row r="10" spans="1:9" s="115" customFormat="1" ht="15">
      <c r="A10" s="162" t="s">
        <v>575</v>
      </c>
      <c r="B10" s="161" t="s">
        <v>574</v>
      </c>
      <c r="C10" s="161" t="s">
        <v>573</v>
      </c>
      <c r="G10" s="160"/>
    </row>
    <row r="11" spans="1:9" s="115" customFormat="1" ht="15">
      <c r="A11" s="162" t="s">
        <v>572</v>
      </c>
      <c r="B11" s="161" t="s">
        <v>571</v>
      </c>
      <c r="C11" s="161" t="s">
        <v>570</v>
      </c>
      <c r="G11" s="160"/>
    </row>
    <row r="12" spans="1:9" s="115" customFormat="1" ht="15.6" thickBot="1">
      <c r="A12" s="161"/>
      <c r="C12" s="161"/>
      <c r="G12" s="160"/>
    </row>
    <row r="13" spans="1:9" ht="24.6" customHeight="1" thickBot="1">
      <c r="A13" s="392" t="s">
        <v>569</v>
      </c>
      <c r="B13" s="393"/>
      <c r="C13" s="394"/>
      <c r="D13" s="388" t="s">
        <v>670</v>
      </c>
      <c r="E13" s="389"/>
      <c r="F13" s="389"/>
      <c r="G13" s="390"/>
      <c r="H13" s="390"/>
      <c r="I13" s="391"/>
    </row>
    <row r="14" spans="1:9" s="159" customFormat="1" ht="15.75" customHeight="1">
      <c r="A14" s="395" t="s">
        <v>568</v>
      </c>
      <c r="B14" s="396"/>
      <c r="C14" s="228"/>
      <c r="D14" s="233"/>
      <c r="E14" s="227" t="s">
        <v>671</v>
      </c>
      <c r="F14" s="226"/>
      <c r="G14" s="234"/>
      <c r="H14" s="112" t="s">
        <v>669</v>
      </c>
      <c r="I14" s="235"/>
    </row>
    <row r="15" spans="1:9" ht="15.6">
      <c r="A15" s="382" t="s">
        <v>587</v>
      </c>
      <c r="B15" s="383"/>
      <c r="C15" s="229">
        <v>43739</v>
      </c>
      <c r="D15" s="236">
        <f>INDEX($B$21:B346,COUNTIF($B$21:B346,"&lt;2021年1月")+1)</f>
        <v>44197</v>
      </c>
      <c r="E15" s="158" t="s">
        <v>567</v>
      </c>
      <c r="F15" s="158" t="s">
        <v>566</v>
      </c>
      <c r="G15" s="111"/>
      <c r="H15" s="158" t="s">
        <v>567</v>
      </c>
      <c r="I15" s="237" t="s">
        <v>566</v>
      </c>
    </row>
    <row r="16" spans="1:9" ht="15.6">
      <c r="A16" s="384" t="s">
        <v>565</v>
      </c>
      <c r="B16" s="383"/>
      <c r="C16" s="229">
        <v>47391</v>
      </c>
      <c r="D16" s="238" t="s">
        <v>564</v>
      </c>
      <c r="E16" s="157">
        <f>VLOOKUP($D$15,$B$21:H347,7,0)-VLOOKUP($D$15,$B$21:G347,6,0)</f>
        <v>349299.35506945208</v>
      </c>
      <c r="F16" s="157"/>
      <c r="G16" s="111"/>
      <c r="H16" s="157">
        <f>I18+I19</f>
        <v>363185.60003631772</v>
      </c>
      <c r="I16" s="239"/>
    </row>
    <row r="17" spans="1:10" ht="15.6">
      <c r="A17" s="382" t="s">
        <v>594</v>
      </c>
      <c r="B17" s="383"/>
      <c r="C17" s="230">
        <v>0.05</v>
      </c>
      <c r="D17" s="238" t="s">
        <v>563</v>
      </c>
      <c r="E17" s="157">
        <f>F18+F19-E16</f>
        <v>13886.244966865634</v>
      </c>
      <c r="F17" s="157"/>
      <c r="G17" s="111"/>
      <c r="H17" s="157"/>
      <c r="I17" s="239"/>
    </row>
    <row r="18" spans="1:10" s="155" customFormat="1" ht="15.6">
      <c r="A18" s="380" t="s">
        <v>595</v>
      </c>
      <c r="B18" s="381"/>
      <c r="C18" s="231">
        <f>(YEAR($C$16)-YEAR($C$15))*12+MONTH($C$16)-MONTH($C$15)+1</f>
        <v>120</v>
      </c>
      <c r="D18" s="240" t="s">
        <v>562</v>
      </c>
      <c r="E18" s="157"/>
      <c r="F18" s="157">
        <f>I348</f>
        <v>325685.60003631772</v>
      </c>
      <c r="G18" s="125"/>
      <c r="H18" s="157"/>
      <c r="I18" s="239">
        <f>I348</f>
        <v>325685.60003631772</v>
      </c>
      <c r="J18" s="156"/>
    </row>
    <row r="19" spans="1:10" s="155" customFormat="1" ht="16.2" thickBot="1">
      <c r="A19" s="380"/>
      <c r="B19" s="381"/>
      <c r="C19" s="232"/>
      <c r="D19" s="241" t="s">
        <v>675</v>
      </c>
      <c r="E19" s="225"/>
      <c r="F19" s="225">
        <f>C33/12*9</f>
        <v>37500</v>
      </c>
      <c r="G19" s="242"/>
      <c r="H19" s="225"/>
      <c r="I19" s="243">
        <f>F19</f>
        <v>37500</v>
      </c>
      <c r="J19" s="156"/>
    </row>
    <row r="20" spans="1:10" s="154" customFormat="1" ht="63" thickBot="1">
      <c r="A20" s="244" t="s">
        <v>561</v>
      </c>
      <c r="B20" s="245" t="s">
        <v>560</v>
      </c>
      <c r="C20" s="246" t="s">
        <v>597</v>
      </c>
      <c r="D20" s="246" t="s">
        <v>659</v>
      </c>
      <c r="E20" s="247" t="s">
        <v>667</v>
      </c>
      <c r="F20" s="246" t="s">
        <v>678</v>
      </c>
      <c r="G20" s="248" t="s">
        <v>676</v>
      </c>
      <c r="H20" s="248" t="s">
        <v>666</v>
      </c>
      <c r="I20" s="249" t="s">
        <v>665</v>
      </c>
    </row>
    <row r="21" spans="1:10" s="151" customFormat="1" ht="13.5" customHeight="1">
      <c r="A21" s="218">
        <v>1</v>
      </c>
      <c r="B21" s="219">
        <f>C15</f>
        <v>43739</v>
      </c>
      <c r="C21" s="148"/>
      <c r="D21" s="153"/>
      <c r="E21" s="222">
        <f>(D21+C21)/(POWER((1+$C$17/12),A21-1))</f>
        <v>0</v>
      </c>
      <c r="F21" s="216">
        <v>50000</v>
      </c>
      <c r="G21" s="224"/>
      <c r="H21" s="222">
        <f>$E$348+$F$348-G21</f>
        <v>403559.44906082295</v>
      </c>
      <c r="I21" s="222">
        <f>IF(YEAR(B21)&lt;2021,0,C21/(POWER((1+$C$17/12),IF(YEAR($C$15)&lt;2021,DATEDIF("2021年1月",$B21,"M"),$A21))))</f>
        <v>0</v>
      </c>
    </row>
    <row r="22" spans="1:10" s="111" customFormat="1" ht="13.5" customHeight="1" outlineLevel="1">
      <c r="A22" s="220">
        <f t="shared" ref="A22:A85" si="0">A21+1</f>
        <v>2</v>
      </c>
      <c r="B22" s="221">
        <f t="shared" ref="B22:B85" si="1">EDATE(B21,1)</f>
        <v>43770</v>
      </c>
      <c r="C22" s="148"/>
      <c r="D22" s="150"/>
      <c r="E22" s="223">
        <f t="shared" ref="E22:E85" si="2">(D22+C22)/(POWER((1+$C$17/12),A22-1))</f>
        <v>0</v>
      </c>
      <c r="F22" s="217"/>
      <c r="G22" s="223">
        <f>IF($A22&gt;$C$18,0,($E$348+$F$348)/($C$18-1))</f>
        <v>3391.2558744606972</v>
      </c>
      <c r="H22" s="223">
        <f>H21-G22</f>
        <v>400168.19318636227</v>
      </c>
      <c r="I22" s="222">
        <f t="shared" ref="I22:I85" si="3">IF(YEAR(B22)&lt;2021,0,C22/(POWER((1+$C$17/12),IF(YEAR($C$15)&lt;2021,DATEDIF("2021年1月",$B22,"M"),$A22))))</f>
        <v>0</v>
      </c>
    </row>
    <row r="23" spans="1:10" s="111" customFormat="1" ht="13.5" customHeight="1" outlineLevel="1">
      <c r="A23" s="220">
        <f t="shared" si="0"/>
        <v>3</v>
      </c>
      <c r="B23" s="221">
        <f t="shared" si="1"/>
        <v>43800</v>
      </c>
      <c r="C23" s="148"/>
      <c r="D23" s="149"/>
      <c r="E23" s="223">
        <f t="shared" si="2"/>
        <v>0</v>
      </c>
      <c r="F23" s="217"/>
      <c r="G23" s="223">
        <f t="shared" ref="G23:G86" si="4">IF($A23&gt;$C$18,0,($E$348+$F$348)/($C$18-1))</f>
        <v>3391.2558744606972</v>
      </c>
      <c r="H23" s="223">
        <f t="shared" ref="H23:H86" si="5">H22-G23</f>
        <v>396776.93731190159</v>
      </c>
      <c r="I23" s="222">
        <f t="shared" si="3"/>
        <v>0</v>
      </c>
    </row>
    <row r="24" spans="1:10" s="111" customFormat="1" ht="13.5" customHeight="1" outlineLevel="1">
      <c r="A24" s="220">
        <f t="shared" si="0"/>
        <v>4</v>
      </c>
      <c r="B24" s="221">
        <f t="shared" si="1"/>
        <v>43831</v>
      </c>
      <c r="C24" s="148"/>
      <c r="D24" s="137"/>
      <c r="E24" s="223">
        <f t="shared" si="2"/>
        <v>0</v>
      </c>
      <c r="F24" s="217"/>
      <c r="G24" s="223">
        <f t="shared" si="4"/>
        <v>3391.2558744606972</v>
      </c>
      <c r="H24" s="223">
        <f t="shared" si="5"/>
        <v>393385.68143744092</v>
      </c>
      <c r="I24" s="222">
        <f t="shared" si="3"/>
        <v>0</v>
      </c>
    </row>
    <row r="25" spans="1:10" s="111" customFormat="1" ht="13.5" customHeight="1" outlineLevel="1">
      <c r="A25" s="220">
        <f t="shared" si="0"/>
        <v>5</v>
      </c>
      <c r="B25" s="221">
        <f t="shared" si="1"/>
        <v>43862</v>
      </c>
      <c r="C25" s="148"/>
      <c r="D25" s="137"/>
      <c r="E25" s="223">
        <f t="shared" si="2"/>
        <v>0</v>
      </c>
      <c r="F25" s="217"/>
      <c r="G25" s="223">
        <f t="shared" si="4"/>
        <v>3391.2558744606972</v>
      </c>
      <c r="H25" s="223">
        <f t="shared" si="5"/>
        <v>389994.42556298024</v>
      </c>
      <c r="I25" s="222">
        <f t="shared" si="3"/>
        <v>0</v>
      </c>
    </row>
    <row r="26" spans="1:10" s="111" customFormat="1" ht="13.5" customHeight="1" outlineLevel="1">
      <c r="A26" s="220">
        <f t="shared" si="0"/>
        <v>6</v>
      </c>
      <c r="B26" s="221">
        <f t="shared" si="1"/>
        <v>43891</v>
      </c>
      <c r="C26" s="148"/>
      <c r="D26" s="137"/>
      <c r="E26" s="223">
        <f t="shared" si="2"/>
        <v>0</v>
      </c>
      <c r="F26" s="217"/>
      <c r="G26" s="223">
        <f t="shared" si="4"/>
        <v>3391.2558744606972</v>
      </c>
      <c r="H26" s="223">
        <f t="shared" si="5"/>
        <v>386603.16968851956</v>
      </c>
      <c r="I26" s="222">
        <f t="shared" si="3"/>
        <v>0</v>
      </c>
    </row>
    <row r="27" spans="1:10" s="111" customFormat="1" ht="13.5" customHeight="1" outlineLevel="1">
      <c r="A27" s="220">
        <f t="shared" si="0"/>
        <v>7</v>
      </c>
      <c r="B27" s="221">
        <f t="shared" si="1"/>
        <v>43922</v>
      </c>
      <c r="C27" s="148"/>
      <c r="D27" s="137"/>
      <c r="E27" s="223">
        <f t="shared" si="2"/>
        <v>0</v>
      </c>
      <c r="F27" s="217"/>
      <c r="G27" s="223">
        <f t="shared" si="4"/>
        <v>3391.2558744606972</v>
      </c>
      <c r="H27" s="223">
        <f t="shared" si="5"/>
        <v>383211.91381405888</v>
      </c>
      <c r="I27" s="222">
        <f t="shared" si="3"/>
        <v>0</v>
      </c>
    </row>
    <row r="28" spans="1:10" s="111" customFormat="1" ht="13.5" customHeight="1" outlineLevel="1">
      <c r="A28" s="220">
        <f t="shared" si="0"/>
        <v>8</v>
      </c>
      <c r="B28" s="221">
        <f t="shared" si="1"/>
        <v>43952</v>
      </c>
      <c r="C28" s="148"/>
      <c r="D28" s="137"/>
      <c r="E28" s="223">
        <f t="shared" si="2"/>
        <v>0</v>
      </c>
      <c r="F28" s="217"/>
      <c r="G28" s="223">
        <f t="shared" si="4"/>
        <v>3391.2558744606972</v>
      </c>
      <c r="H28" s="223">
        <f t="shared" si="5"/>
        <v>379820.6579395982</v>
      </c>
      <c r="I28" s="222">
        <f t="shared" si="3"/>
        <v>0</v>
      </c>
    </row>
    <row r="29" spans="1:10" s="111" customFormat="1" ht="13.5" customHeight="1" outlineLevel="1">
      <c r="A29" s="220">
        <f t="shared" si="0"/>
        <v>9</v>
      </c>
      <c r="B29" s="221">
        <f t="shared" si="1"/>
        <v>43983</v>
      </c>
      <c r="C29" s="148"/>
      <c r="D29" s="137"/>
      <c r="E29" s="223">
        <f t="shared" si="2"/>
        <v>0</v>
      </c>
      <c r="F29" s="217"/>
      <c r="G29" s="223">
        <f t="shared" si="4"/>
        <v>3391.2558744606972</v>
      </c>
      <c r="H29" s="223">
        <f t="shared" si="5"/>
        <v>376429.40206513752</v>
      </c>
      <c r="I29" s="222">
        <f t="shared" si="3"/>
        <v>0</v>
      </c>
    </row>
    <row r="30" spans="1:10" s="111" customFormat="1" ht="13.5" customHeight="1" outlineLevel="1">
      <c r="A30" s="220">
        <f t="shared" si="0"/>
        <v>10</v>
      </c>
      <c r="B30" s="221">
        <f t="shared" si="1"/>
        <v>44013</v>
      </c>
      <c r="C30" s="148"/>
      <c r="D30" s="137"/>
      <c r="E30" s="223">
        <f t="shared" si="2"/>
        <v>0</v>
      </c>
      <c r="F30" s="217"/>
      <c r="G30" s="223">
        <f t="shared" si="4"/>
        <v>3391.2558744606972</v>
      </c>
      <c r="H30" s="223">
        <f t="shared" si="5"/>
        <v>373038.14619067684</v>
      </c>
      <c r="I30" s="222">
        <f t="shared" si="3"/>
        <v>0</v>
      </c>
    </row>
    <row r="31" spans="1:10" s="111" customFormat="1" ht="13.5" customHeight="1" outlineLevel="1">
      <c r="A31" s="220">
        <f t="shared" si="0"/>
        <v>11</v>
      </c>
      <c r="B31" s="221">
        <f t="shared" si="1"/>
        <v>44044</v>
      </c>
      <c r="C31" s="148"/>
      <c r="D31" s="137"/>
      <c r="E31" s="223">
        <f t="shared" si="2"/>
        <v>0</v>
      </c>
      <c r="F31" s="217"/>
      <c r="G31" s="223">
        <f t="shared" si="4"/>
        <v>3391.2558744606972</v>
      </c>
      <c r="H31" s="223">
        <f t="shared" si="5"/>
        <v>369646.89031621616</v>
      </c>
      <c r="I31" s="222">
        <f t="shared" si="3"/>
        <v>0</v>
      </c>
    </row>
    <row r="32" spans="1:10" s="111" customFormat="1" ht="13.5" customHeight="1" outlineLevel="1">
      <c r="A32" s="220">
        <f t="shared" si="0"/>
        <v>12</v>
      </c>
      <c r="B32" s="221">
        <f t="shared" si="1"/>
        <v>44075</v>
      </c>
      <c r="C32" s="148"/>
      <c r="D32" s="137"/>
      <c r="E32" s="223">
        <f t="shared" si="2"/>
        <v>0</v>
      </c>
      <c r="F32" s="217"/>
      <c r="G32" s="223">
        <f t="shared" si="4"/>
        <v>3391.2558744606972</v>
      </c>
      <c r="H32" s="223">
        <f t="shared" si="5"/>
        <v>366255.63444175548</v>
      </c>
      <c r="I32" s="222">
        <f t="shared" si="3"/>
        <v>0</v>
      </c>
    </row>
    <row r="33" spans="1:10" s="111" customFormat="1" ht="13.5" customHeight="1" outlineLevel="1">
      <c r="A33" s="220">
        <f t="shared" si="0"/>
        <v>13</v>
      </c>
      <c r="B33" s="221">
        <f t="shared" si="1"/>
        <v>44105</v>
      </c>
      <c r="C33" s="148">
        <v>50000</v>
      </c>
      <c r="D33" s="137"/>
      <c r="E33" s="223">
        <f t="shared" si="2"/>
        <v>47566.412082437862</v>
      </c>
      <c r="F33" s="217"/>
      <c r="G33" s="223">
        <f t="shared" si="4"/>
        <v>3391.2558744606972</v>
      </c>
      <c r="H33" s="223">
        <f t="shared" si="5"/>
        <v>362864.3785672948</v>
      </c>
      <c r="I33" s="222">
        <f t="shared" si="3"/>
        <v>0</v>
      </c>
    </row>
    <row r="34" spans="1:10" s="111" customFormat="1" ht="13.5" customHeight="1" outlineLevel="1">
      <c r="A34" s="220">
        <f t="shared" si="0"/>
        <v>14</v>
      </c>
      <c r="B34" s="221">
        <f t="shared" si="1"/>
        <v>44136</v>
      </c>
      <c r="C34" s="148"/>
      <c r="D34" s="137"/>
      <c r="E34" s="223">
        <f t="shared" si="2"/>
        <v>0</v>
      </c>
      <c r="F34" s="217"/>
      <c r="G34" s="223">
        <f t="shared" si="4"/>
        <v>3391.2558744606972</v>
      </c>
      <c r="H34" s="223">
        <f t="shared" si="5"/>
        <v>359473.12269283412</v>
      </c>
      <c r="I34" s="222">
        <f t="shared" si="3"/>
        <v>0</v>
      </c>
    </row>
    <row r="35" spans="1:10" s="111" customFormat="1" ht="13.5" customHeight="1" outlineLevel="1">
      <c r="A35" s="220">
        <f t="shared" si="0"/>
        <v>15</v>
      </c>
      <c r="B35" s="221">
        <f t="shared" si="1"/>
        <v>44166</v>
      </c>
      <c r="C35" s="148"/>
      <c r="D35" s="137"/>
      <c r="E35" s="223">
        <f t="shared" si="2"/>
        <v>0</v>
      </c>
      <c r="F35" s="217"/>
      <c r="G35" s="223">
        <f t="shared" si="4"/>
        <v>3391.2558744606972</v>
      </c>
      <c r="H35" s="223">
        <f t="shared" si="5"/>
        <v>356081.86681837344</v>
      </c>
      <c r="I35" s="222">
        <f t="shared" si="3"/>
        <v>0</v>
      </c>
    </row>
    <row r="36" spans="1:10" s="111" customFormat="1" ht="13.5" customHeight="1" outlineLevel="1">
      <c r="A36" s="140">
        <f t="shared" si="0"/>
        <v>16</v>
      </c>
      <c r="B36" s="139">
        <f t="shared" si="1"/>
        <v>44197</v>
      </c>
      <c r="C36" s="148"/>
      <c r="D36" s="137"/>
      <c r="E36" s="136">
        <f t="shared" si="2"/>
        <v>0</v>
      </c>
      <c r="F36" s="217"/>
      <c r="G36" s="136">
        <f t="shared" si="4"/>
        <v>3391.2558744606972</v>
      </c>
      <c r="H36" s="136">
        <f t="shared" si="5"/>
        <v>352690.61094391276</v>
      </c>
      <c r="I36" s="152">
        <f t="shared" si="3"/>
        <v>0</v>
      </c>
    </row>
    <row r="37" spans="1:10" s="111" customFormat="1" ht="13.5" customHeight="1" outlineLevel="1">
      <c r="A37" s="140">
        <f t="shared" si="0"/>
        <v>17</v>
      </c>
      <c r="B37" s="139">
        <f t="shared" si="1"/>
        <v>44228</v>
      </c>
      <c r="C37" s="148"/>
      <c r="D37" s="137"/>
      <c r="E37" s="136">
        <f t="shared" si="2"/>
        <v>0</v>
      </c>
      <c r="F37" s="217"/>
      <c r="G37" s="136">
        <f t="shared" si="4"/>
        <v>3391.2558744606972</v>
      </c>
      <c r="H37" s="136">
        <f t="shared" si="5"/>
        <v>349299.35506945208</v>
      </c>
      <c r="I37" s="152">
        <f t="shared" si="3"/>
        <v>0</v>
      </c>
    </row>
    <row r="38" spans="1:10" s="111" customFormat="1" ht="13.5" customHeight="1" outlineLevel="1">
      <c r="A38" s="140">
        <f t="shared" si="0"/>
        <v>18</v>
      </c>
      <c r="B38" s="139">
        <f t="shared" si="1"/>
        <v>44256</v>
      </c>
      <c r="C38" s="148"/>
      <c r="D38" s="137"/>
      <c r="E38" s="136">
        <f t="shared" si="2"/>
        <v>0</v>
      </c>
      <c r="F38" s="217"/>
      <c r="G38" s="136">
        <f t="shared" si="4"/>
        <v>3391.2558744606972</v>
      </c>
      <c r="H38" s="136">
        <f t="shared" si="5"/>
        <v>345908.0991949914</v>
      </c>
      <c r="I38" s="152">
        <f t="shared" si="3"/>
        <v>0</v>
      </c>
    </row>
    <row r="39" spans="1:10" s="111" customFormat="1" ht="13.5" customHeight="1" outlineLevel="1">
      <c r="A39" s="140">
        <f t="shared" si="0"/>
        <v>19</v>
      </c>
      <c r="B39" s="139">
        <f t="shared" si="1"/>
        <v>44287</v>
      </c>
      <c r="C39" s="148"/>
      <c r="D39" s="137"/>
      <c r="E39" s="136">
        <f t="shared" si="2"/>
        <v>0</v>
      </c>
      <c r="F39" s="217"/>
      <c r="G39" s="136">
        <f t="shared" si="4"/>
        <v>3391.2558744606972</v>
      </c>
      <c r="H39" s="136">
        <f t="shared" si="5"/>
        <v>342516.84332053072</v>
      </c>
      <c r="I39" s="152">
        <f t="shared" si="3"/>
        <v>0</v>
      </c>
    </row>
    <row r="40" spans="1:10" s="111" customFormat="1" ht="13.5" customHeight="1" outlineLevel="1">
      <c r="A40" s="140">
        <f t="shared" si="0"/>
        <v>20</v>
      </c>
      <c r="B40" s="139">
        <f t="shared" si="1"/>
        <v>44317</v>
      </c>
      <c r="C40" s="148"/>
      <c r="D40" s="137"/>
      <c r="E40" s="136">
        <f t="shared" si="2"/>
        <v>0</v>
      </c>
      <c r="F40" s="217"/>
      <c r="G40" s="136">
        <f t="shared" si="4"/>
        <v>3391.2558744606972</v>
      </c>
      <c r="H40" s="136">
        <f t="shared" si="5"/>
        <v>339125.58744607004</v>
      </c>
      <c r="I40" s="152">
        <f t="shared" si="3"/>
        <v>0</v>
      </c>
    </row>
    <row r="41" spans="1:10" s="111" customFormat="1" ht="13.5" customHeight="1" outlineLevel="1">
      <c r="A41" s="140">
        <f t="shared" si="0"/>
        <v>21</v>
      </c>
      <c r="B41" s="139">
        <f t="shared" si="1"/>
        <v>44348</v>
      </c>
      <c r="C41" s="148"/>
      <c r="D41" s="137"/>
      <c r="E41" s="136">
        <f t="shared" si="2"/>
        <v>0</v>
      </c>
      <c r="F41" s="217"/>
      <c r="G41" s="136">
        <f t="shared" si="4"/>
        <v>3391.2558744606972</v>
      </c>
      <c r="H41" s="136">
        <f t="shared" si="5"/>
        <v>335734.33157160936</v>
      </c>
      <c r="I41" s="152">
        <f t="shared" si="3"/>
        <v>0</v>
      </c>
    </row>
    <row r="42" spans="1:10" s="111" customFormat="1" ht="13.5" customHeight="1" outlineLevel="1">
      <c r="A42" s="140">
        <f t="shared" si="0"/>
        <v>22</v>
      </c>
      <c r="B42" s="139">
        <f t="shared" si="1"/>
        <v>44378</v>
      </c>
      <c r="C42" s="148"/>
      <c r="D42" s="137"/>
      <c r="E42" s="136">
        <f t="shared" si="2"/>
        <v>0</v>
      </c>
      <c r="F42" s="217"/>
      <c r="G42" s="136">
        <f t="shared" si="4"/>
        <v>3391.2558744606972</v>
      </c>
      <c r="H42" s="136">
        <f t="shared" si="5"/>
        <v>332343.07569714868</v>
      </c>
      <c r="I42" s="152">
        <f t="shared" si="3"/>
        <v>0</v>
      </c>
    </row>
    <row r="43" spans="1:10" s="111" customFormat="1" ht="13.5" customHeight="1" outlineLevel="1">
      <c r="A43" s="140">
        <f t="shared" si="0"/>
        <v>23</v>
      </c>
      <c r="B43" s="139">
        <f t="shared" si="1"/>
        <v>44409</v>
      </c>
      <c r="C43" s="148"/>
      <c r="D43" s="137"/>
      <c r="E43" s="136">
        <f t="shared" si="2"/>
        <v>0</v>
      </c>
      <c r="F43" s="217"/>
      <c r="G43" s="136">
        <f t="shared" si="4"/>
        <v>3391.2558744606972</v>
      </c>
      <c r="H43" s="136">
        <f t="shared" si="5"/>
        <v>328951.819822688</v>
      </c>
      <c r="I43" s="152">
        <f t="shared" si="3"/>
        <v>0</v>
      </c>
    </row>
    <row r="44" spans="1:10" s="111" customFormat="1" ht="13.5" customHeight="1" outlineLevel="1">
      <c r="A44" s="140">
        <f t="shared" si="0"/>
        <v>24</v>
      </c>
      <c r="B44" s="139">
        <f t="shared" si="1"/>
        <v>44440</v>
      </c>
      <c r="C44" s="148"/>
      <c r="D44" s="137"/>
      <c r="E44" s="136">
        <f t="shared" si="2"/>
        <v>0</v>
      </c>
      <c r="F44" s="217"/>
      <c r="G44" s="136">
        <f t="shared" si="4"/>
        <v>3391.2558744606972</v>
      </c>
      <c r="H44" s="136">
        <f t="shared" si="5"/>
        <v>325560.56394822733</v>
      </c>
      <c r="I44" s="152">
        <f t="shared" si="3"/>
        <v>0</v>
      </c>
    </row>
    <row r="45" spans="1:10" s="111" customFormat="1" ht="13.5" customHeight="1" outlineLevel="1">
      <c r="A45" s="140">
        <f t="shared" si="0"/>
        <v>25</v>
      </c>
      <c r="B45" s="139">
        <f t="shared" si="1"/>
        <v>44470</v>
      </c>
      <c r="C45" s="148">
        <v>50000</v>
      </c>
      <c r="D45" s="137"/>
      <c r="E45" s="136">
        <f t="shared" si="2"/>
        <v>45251.271167925814</v>
      </c>
      <c r="F45" s="217"/>
      <c r="G45" s="136">
        <f t="shared" si="4"/>
        <v>3391.2558744606972</v>
      </c>
      <c r="H45" s="136">
        <f t="shared" si="5"/>
        <v>322169.30807376665</v>
      </c>
      <c r="I45" s="152">
        <f t="shared" si="3"/>
        <v>48163.473091621658</v>
      </c>
      <c r="J45" s="141"/>
    </row>
    <row r="46" spans="1:10" s="111" customFormat="1" ht="13.5" customHeight="1" outlineLevel="1">
      <c r="A46" s="140">
        <f t="shared" si="0"/>
        <v>26</v>
      </c>
      <c r="B46" s="139">
        <f t="shared" si="1"/>
        <v>44501</v>
      </c>
      <c r="C46" s="148"/>
      <c r="D46" s="137"/>
      <c r="E46" s="136">
        <f t="shared" si="2"/>
        <v>0</v>
      </c>
      <c r="F46" s="217"/>
      <c r="G46" s="136">
        <f t="shared" si="4"/>
        <v>3391.2558744606972</v>
      </c>
      <c r="H46" s="136">
        <f t="shared" si="5"/>
        <v>318778.05219930597</v>
      </c>
      <c r="I46" s="152">
        <f t="shared" si="3"/>
        <v>0</v>
      </c>
    </row>
    <row r="47" spans="1:10" s="111" customFormat="1" ht="13.5" customHeight="1" outlineLevel="1">
      <c r="A47" s="140">
        <f t="shared" si="0"/>
        <v>27</v>
      </c>
      <c r="B47" s="139">
        <f t="shared" si="1"/>
        <v>44531</v>
      </c>
      <c r="C47" s="148"/>
      <c r="D47" s="137"/>
      <c r="E47" s="136">
        <f t="shared" si="2"/>
        <v>0</v>
      </c>
      <c r="F47" s="217"/>
      <c r="G47" s="136">
        <f t="shared" si="4"/>
        <v>3391.2558744606972</v>
      </c>
      <c r="H47" s="136">
        <f t="shared" si="5"/>
        <v>315386.79632484529</v>
      </c>
      <c r="I47" s="152">
        <f t="shared" si="3"/>
        <v>0</v>
      </c>
    </row>
    <row r="48" spans="1:10" s="111" customFormat="1" ht="13.5" customHeight="1" outlineLevel="1">
      <c r="A48" s="140">
        <f t="shared" si="0"/>
        <v>28</v>
      </c>
      <c r="B48" s="139">
        <f t="shared" si="1"/>
        <v>44562</v>
      </c>
      <c r="C48" s="148"/>
      <c r="D48" s="137"/>
      <c r="E48" s="136">
        <f t="shared" si="2"/>
        <v>0</v>
      </c>
      <c r="F48" s="217"/>
      <c r="G48" s="136">
        <f t="shared" si="4"/>
        <v>3391.2558744606972</v>
      </c>
      <c r="H48" s="136">
        <f t="shared" si="5"/>
        <v>311995.54045038461</v>
      </c>
      <c r="I48" s="152">
        <f t="shared" si="3"/>
        <v>0</v>
      </c>
    </row>
    <row r="49" spans="1:10" s="111" customFormat="1" ht="13.5" customHeight="1" outlineLevel="1">
      <c r="A49" s="140">
        <f t="shared" si="0"/>
        <v>29</v>
      </c>
      <c r="B49" s="139">
        <f t="shared" si="1"/>
        <v>44593</v>
      </c>
      <c r="C49" s="148"/>
      <c r="D49" s="137"/>
      <c r="E49" s="136">
        <f t="shared" si="2"/>
        <v>0</v>
      </c>
      <c r="F49" s="217"/>
      <c r="G49" s="136">
        <f t="shared" si="4"/>
        <v>3391.2558744606972</v>
      </c>
      <c r="H49" s="136">
        <f t="shared" si="5"/>
        <v>308604.28457592393</v>
      </c>
      <c r="I49" s="152">
        <f t="shared" si="3"/>
        <v>0</v>
      </c>
    </row>
    <row r="50" spans="1:10" s="111" customFormat="1" ht="13.5" customHeight="1" outlineLevel="1">
      <c r="A50" s="140">
        <f t="shared" si="0"/>
        <v>30</v>
      </c>
      <c r="B50" s="139">
        <f t="shared" si="1"/>
        <v>44621</v>
      </c>
      <c r="C50" s="148"/>
      <c r="D50" s="137"/>
      <c r="E50" s="136">
        <f t="shared" si="2"/>
        <v>0</v>
      </c>
      <c r="F50" s="217"/>
      <c r="G50" s="136">
        <f t="shared" si="4"/>
        <v>3391.2558744606972</v>
      </c>
      <c r="H50" s="136">
        <f t="shared" si="5"/>
        <v>305213.02870146325</v>
      </c>
      <c r="I50" s="152">
        <f t="shared" si="3"/>
        <v>0</v>
      </c>
    </row>
    <row r="51" spans="1:10" s="111" customFormat="1" ht="13.5" customHeight="1" outlineLevel="1">
      <c r="A51" s="140">
        <f t="shared" si="0"/>
        <v>31</v>
      </c>
      <c r="B51" s="139">
        <f t="shared" si="1"/>
        <v>44652</v>
      </c>
      <c r="C51" s="148"/>
      <c r="D51" s="137"/>
      <c r="E51" s="136">
        <f t="shared" si="2"/>
        <v>0</v>
      </c>
      <c r="F51" s="217"/>
      <c r="G51" s="136">
        <f t="shared" si="4"/>
        <v>3391.2558744606972</v>
      </c>
      <c r="H51" s="136">
        <f t="shared" si="5"/>
        <v>301821.77282700257</v>
      </c>
      <c r="I51" s="152">
        <f t="shared" si="3"/>
        <v>0</v>
      </c>
    </row>
    <row r="52" spans="1:10" s="111" customFormat="1" ht="13.5" customHeight="1" outlineLevel="1">
      <c r="A52" s="140">
        <f t="shared" si="0"/>
        <v>32</v>
      </c>
      <c r="B52" s="139">
        <f t="shared" si="1"/>
        <v>44682</v>
      </c>
      <c r="C52" s="148"/>
      <c r="D52" s="137"/>
      <c r="E52" s="136">
        <f t="shared" si="2"/>
        <v>0</v>
      </c>
      <c r="F52" s="217"/>
      <c r="G52" s="136">
        <f t="shared" si="4"/>
        <v>3391.2558744606972</v>
      </c>
      <c r="H52" s="136">
        <f t="shared" si="5"/>
        <v>298430.51695254189</v>
      </c>
      <c r="I52" s="152">
        <f t="shared" si="3"/>
        <v>0</v>
      </c>
    </row>
    <row r="53" spans="1:10" s="111" customFormat="1" ht="13.5" customHeight="1" outlineLevel="1">
      <c r="A53" s="140">
        <f t="shared" si="0"/>
        <v>33</v>
      </c>
      <c r="B53" s="139">
        <f t="shared" si="1"/>
        <v>44713</v>
      </c>
      <c r="C53" s="148"/>
      <c r="D53" s="137"/>
      <c r="E53" s="136">
        <f t="shared" si="2"/>
        <v>0</v>
      </c>
      <c r="F53" s="217"/>
      <c r="G53" s="136">
        <f t="shared" si="4"/>
        <v>3391.2558744606972</v>
      </c>
      <c r="H53" s="136">
        <f t="shared" si="5"/>
        <v>295039.26107808121</v>
      </c>
      <c r="I53" s="152">
        <f t="shared" si="3"/>
        <v>0</v>
      </c>
    </row>
    <row r="54" spans="1:10" s="111" customFormat="1" ht="13.5" customHeight="1" outlineLevel="1">
      <c r="A54" s="140">
        <f t="shared" si="0"/>
        <v>34</v>
      </c>
      <c r="B54" s="139">
        <f t="shared" si="1"/>
        <v>44743</v>
      </c>
      <c r="C54" s="148"/>
      <c r="D54" s="137"/>
      <c r="E54" s="136">
        <f t="shared" si="2"/>
        <v>0</v>
      </c>
      <c r="F54" s="217"/>
      <c r="G54" s="136">
        <f t="shared" si="4"/>
        <v>3391.2558744606972</v>
      </c>
      <c r="H54" s="136">
        <f t="shared" si="5"/>
        <v>291648.00520362053</v>
      </c>
      <c r="I54" s="152">
        <f t="shared" si="3"/>
        <v>0</v>
      </c>
    </row>
    <row r="55" spans="1:10" s="111" customFormat="1" ht="13.5" customHeight="1" outlineLevel="1">
      <c r="A55" s="140">
        <f t="shared" si="0"/>
        <v>35</v>
      </c>
      <c r="B55" s="139">
        <f t="shared" si="1"/>
        <v>44774</v>
      </c>
      <c r="C55" s="148"/>
      <c r="D55" s="137"/>
      <c r="E55" s="136">
        <f t="shared" si="2"/>
        <v>0</v>
      </c>
      <c r="F55" s="217"/>
      <c r="G55" s="136">
        <f t="shared" si="4"/>
        <v>3391.2558744606972</v>
      </c>
      <c r="H55" s="136">
        <f t="shared" si="5"/>
        <v>288256.74932915985</v>
      </c>
      <c r="I55" s="152">
        <f t="shared" si="3"/>
        <v>0</v>
      </c>
    </row>
    <row r="56" spans="1:10" s="111" customFormat="1" ht="13.5" customHeight="1" outlineLevel="1">
      <c r="A56" s="140">
        <f t="shared" si="0"/>
        <v>36</v>
      </c>
      <c r="B56" s="139">
        <f t="shared" si="1"/>
        <v>44805</v>
      </c>
      <c r="C56" s="148"/>
      <c r="D56" s="137"/>
      <c r="E56" s="136">
        <f t="shared" si="2"/>
        <v>0</v>
      </c>
      <c r="F56" s="217"/>
      <c r="G56" s="136">
        <f t="shared" si="4"/>
        <v>3391.2558744606972</v>
      </c>
      <c r="H56" s="136">
        <f t="shared" si="5"/>
        <v>284865.49345469917</v>
      </c>
      <c r="I56" s="152">
        <f t="shared" si="3"/>
        <v>0</v>
      </c>
    </row>
    <row r="57" spans="1:10" s="111" customFormat="1" ht="13.5" customHeight="1" outlineLevel="1">
      <c r="A57" s="140">
        <f t="shared" si="0"/>
        <v>37</v>
      </c>
      <c r="B57" s="139">
        <f t="shared" si="1"/>
        <v>44835</v>
      </c>
      <c r="C57" s="148">
        <v>50000</v>
      </c>
      <c r="D57" s="137"/>
      <c r="E57" s="136">
        <f t="shared" si="2"/>
        <v>43048.812232553981</v>
      </c>
      <c r="F57" s="217"/>
      <c r="G57" s="136">
        <f t="shared" si="4"/>
        <v>3391.2558744606972</v>
      </c>
      <c r="H57" s="136">
        <f t="shared" si="5"/>
        <v>281474.23758023849</v>
      </c>
      <c r="I57" s="152">
        <f t="shared" si="3"/>
        <v>45819.272167949668</v>
      </c>
      <c r="J57" s="142"/>
    </row>
    <row r="58" spans="1:10" s="111" customFormat="1" ht="13.5" customHeight="1" outlineLevel="1">
      <c r="A58" s="140">
        <f t="shared" si="0"/>
        <v>38</v>
      </c>
      <c r="B58" s="139">
        <f t="shared" si="1"/>
        <v>44866</v>
      </c>
      <c r="C58" s="148"/>
      <c r="D58" s="137"/>
      <c r="E58" s="136">
        <f t="shared" si="2"/>
        <v>0</v>
      </c>
      <c r="F58" s="217"/>
      <c r="G58" s="136">
        <f t="shared" si="4"/>
        <v>3391.2558744606972</v>
      </c>
      <c r="H58" s="136">
        <f t="shared" si="5"/>
        <v>278082.98170577781</v>
      </c>
      <c r="I58" s="152">
        <f t="shared" si="3"/>
        <v>0</v>
      </c>
      <c r="J58" s="142"/>
    </row>
    <row r="59" spans="1:10" s="111" customFormat="1" ht="13.5" customHeight="1" outlineLevel="1">
      <c r="A59" s="140">
        <f t="shared" si="0"/>
        <v>39</v>
      </c>
      <c r="B59" s="139">
        <f t="shared" si="1"/>
        <v>44896</v>
      </c>
      <c r="C59" s="148"/>
      <c r="D59" s="137"/>
      <c r="E59" s="136">
        <f t="shared" si="2"/>
        <v>0</v>
      </c>
      <c r="F59" s="217"/>
      <c r="G59" s="136">
        <f t="shared" si="4"/>
        <v>3391.2558744606972</v>
      </c>
      <c r="H59" s="136">
        <f t="shared" si="5"/>
        <v>274691.72583131713</v>
      </c>
      <c r="I59" s="152">
        <f t="shared" si="3"/>
        <v>0</v>
      </c>
      <c r="J59" s="142"/>
    </row>
    <row r="60" spans="1:10" s="111" customFormat="1" ht="13.5" customHeight="1" outlineLevel="1">
      <c r="A60" s="140">
        <f t="shared" si="0"/>
        <v>40</v>
      </c>
      <c r="B60" s="139">
        <f t="shared" si="1"/>
        <v>44927</v>
      </c>
      <c r="C60" s="148"/>
      <c r="D60" s="137"/>
      <c r="E60" s="136">
        <f t="shared" si="2"/>
        <v>0</v>
      </c>
      <c r="F60" s="217"/>
      <c r="G60" s="136">
        <f t="shared" si="4"/>
        <v>3391.2558744606972</v>
      </c>
      <c r="H60" s="136">
        <f t="shared" si="5"/>
        <v>271300.46995685645</v>
      </c>
      <c r="I60" s="152">
        <f t="shared" si="3"/>
        <v>0</v>
      </c>
      <c r="J60" s="142"/>
    </row>
    <row r="61" spans="1:10" s="111" customFormat="1" ht="13.5" customHeight="1" outlineLevel="1">
      <c r="A61" s="140">
        <f t="shared" si="0"/>
        <v>41</v>
      </c>
      <c r="B61" s="139">
        <f t="shared" si="1"/>
        <v>44958</v>
      </c>
      <c r="C61" s="148"/>
      <c r="D61" s="137"/>
      <c r="E61" s="136">
        <f t="shared" si="2"/>
        <v>0</v>
      </c>
      <c r="F61" s="217"/>
      <c r="G61" s="136">
        <f t="shared" si="4"/>
        <v>3391.2558744606972</v>
      </c>
      <c r="H61" s="136">
        <f t="shared" si="5"/>
        <v>267909.21408239577</v>
      </c>
      <c r="I61" s="152">
        <f t="shared" si="3"/>
        <v>0</v>
      </c>
      <c r="J61" s="142"/>
    </row>
    <row r="62" spans="1:10" s="111" customFormat="1" ht="13.5" customHeight="1" outlineLevel="1">
      <c r="A62" s="140">
        <f t="shared" si="0"/>
        <v>42</v>
      </c>
      <c r="B62" s="139">
        <f t="shared" si="1"/>
        <v>44986</v>
      </c>
      <c r="C62" s="148"/>
      <c r="D62" s="137"/>
      <c r="E62" s="136">
        <f t="shared" si="2"/>
        <v>0</v>
      </c>
      <c r="F62" s="217"/>
      <c r="G62" s="136">
        <f t="shared" si="4"/>
        <v>3391.2558744606972</v>
      </c>
      <c r="H62" s="136">
        <f t="shared" si="5"/>
        <v>264517.95820793509</v>
      </c>
      <c r="I62" s="152">
        <f t="shared" si="3"/>
        <v>0</v>
      </c>
      <c r="J62" s="142"/>
    </row>
    <row r="63" spans="1:10" s="111" customFormat="1" ht="13.5" customHeight="1" outlineLevel="1">
      <c r="A63" s="140">
        <f t="shared" si="0"/>
        <v>43</v>
      </c>
      <c r="B63" s="139">
        <f t="shared" si="1"/>
        <v>45017</v>
      </c>
      <c r="C63" s="148"/>
      <c r="D63" s="137"/>
      <c r="E63" s="136">
        <f t="shared" si="2"/>
        <v>0</v>
      </c>
      <c r="F63" s="217"/>
      <c r="G63" s="136">
        <f t="shared" si="4"/>
        <v>3391.2558744606972</v>
      </c>
      <c r="H63" s="136">
        <f t="shared" si="5"/>
        <v>261126.70233347439</v>
      </c>
      <c r="I63" s="152">
        <f t="shared" si="3"/>
        <v>0</v>
      </c>
      <c r="J63" s="142"/>
    </row>
    <row r="64" spans="1:10" s="111" customFormat="1" ht="13.5" customHeight="1" outlineLevel="1">
      <c r="A64" s="140">
        <f t="shared" si="0"/>
        <v>44</v>
      </c>
      <c r="B64" s="139">
        <f t="shared" si="1"/>
        <v>45047</v>
      </c>
      <c r="C64" s="148"/>
      <c r="D64" s="137"/>
      <c r="E64" s="136">
        <f t="shared" si="2"/>
        <v>0</v>
      </c>
      <c r="F64" s="217"/>
      <c r="G64" s="136">
        <f t="shared" si="4"/>
        <v>3391.2558744606972</v>
      </c>
      <c r="H64" s="136">
        <f t="shared" si="5"/>
        <v>257735.44645901368</v>
      </c>
      <c r="I64" s="152">
        <f t="shared" si="3"/>
        <v>0</v>
      </c>
      <c r="J64" s="142"/>
    </row>
    <row r="65" spans="1:10" s="111" customFormat="1" ht="13.5" customHeight="1" outlineLevel="1">
      <c r="A65" s="140">
        <f t="shared" si="0"/>
        <v>45</v>
      </c>
      <c r="B65" s="139">
        <f t="shared" si="1"/>
        <v>45078</v>
      </c>
      <c r="C65" s="148"/>
      <c r="D65" s="137"/>
      <c r="E65" s="136">
        <f t="shared" si="2"/>
        <v>0</v>
      </c>
      <c r="F65" s="217"/>
      <c r="G65" s="136">
        <f t="shared" si="4"/>
        <v>3391.2558744606972</v>
      </c>
      <c r="H65" s="136">
        <f t="shared" si="5"/>
        <v>254344.19058455297</v>
      </c>
      <c r="I65" s="152">
        <f t="shared" si="3"/>
        <v>0</v>
      </c>
      <c r="J65" s="142"/>
    </row>
    <row r="66" spans="1:10" s="111" customFormat="1" ht="13.5" customHeight="1" outlineLevel="1">
      <c r="A66" s="140">
        <f t="shared" si="0"/>
        <v>46</v>
      </c>
      <c r="B66" s="139">
        <f t="shared" si="1"/>
        <v>45108</v>
      </c>
      <c r="C66" s="148"/>
      <c r="D66" s="137"/>
      <c r="E66" s="136">
        <f t="shared" si="2"/>
        <v>0</v>
      </c>
      <c r="F66" s="217"/>
      <c r="G66" s="136">
        <f t="shared" si="4"/>
        <v>3391.2558744606972</v>
      </c>
      <c r="H66" s="136">
        <f t="shared" si="5"/>
        <v>250952.93471009226</v>
      </c>
      <c r="I66" s="152">
        <f t="shared" si="3"/>
        <v>0</v>
      </c>
      <c r="J66" s="142"/>
    </row>
    <row r="67" spans="1:10" s="111" customFormat="1" ht="13.5" customHeight="1" outlineLevel="1">
      <c r="A67" s="140">
        <f t="shared" si="0"/>
        <v>47</v>
      </c>
      <c r="B67" s="139">
        <f t="shared" si="1"/>
        <v>45139</v>
      </c>
      <c r="C67" s="148"/>
      <c r="D67" s="137"/>
      <c r="E67" s="136">
        <f t="shared" si="2"/>
        <v>0</v>
      </c>
      <c r="F67" s="217"/>
      <c r="G67" s="136">
        <f t="shared" si="4"/>
        <v>3391.2558744606972</v>
      </c>
      <c r="H67" s="136">
        <f t="shared" si="5"/>
        <v>247561.67883563155</v>
      </c>
      <c r="I67" s="152">
        <f t="shared" si="3"/>
        <v>0</v>
      </c>
      <c r="J67" s="142"/>
    </row>
    <row r="68" spans="1:10" s="111" customFormat="1" ht="13.5" customHeight="1" outlineLevel="1">
      <c r="A68" s="140">
        <f t="shared" si="0"/>
        <v>48</v>
      </c>
      <c r="B68" s="139">
        <f t="shared" si="1"/>
        <v>45170</v>
      </c>
      <c r="C68" s="148"/>
      <c r="D68" s="137"/>
      <c r="E68" s="136">
        <f t="shared" si="2"/>
        <v>0</v>
      </c>
      <c r="F68" s="217"/>
      <c r="G68" s="136">
        <f t="shared" si="4"/>
        <v>3391.2558744606972</v>
      </c>
      <c r="H68" s="136">
        <f t="shared" si="5"/>
        <v>244170.42296117084</v>
      </c>
      <c r="I68" s="152">
        <f t="shared" si="3"/>
        <v>0</v>
      </c>
      <c r="J68" s="142"/>
    </row>
    <row r="69" spans="1:10" s="111" customFormat="1" ht="13.5" customHeight="1" outlineLevel="1">
      <c r="A69" s="140">
        <f t="shared" si="0"/>
        <v>49</v>
      </c>
      <c r="B69" s="139">
        <f t="shared" si="1"/>
        <v>45200</v>
      </c>
      <c r="C69" s="148">
        <v>50000</v>
      </c>
      <c r="D69" s="137"/>
      <c r="E69" s="136">
        <f t="shared" si="2"/>
        <v>40953.55084626309</v>
      </c>
      <c r="F69" s="217"/>
      <c r="G69" s="136">
        <f t="shared" si="4"/>
        <v>3391.2558744606972</v>
      </c>
      <c r="H69" s="136">
        <f t="shared" si="5"/>
        <v>240779.16708671013</v>
      </c>
      <c r="I69" s="152">
        <f t="shared" si="3"/>
        <v>43589.167625161397</v>
      </c>
      <c r="J69" s="142"/>
    </row>
    <row r="70" spans="1:10" s="111" customFormat="1" ht="13.5" customHeight="1" outlineLevel="1">
      <c r="A70" s="140">
        <f t="shared" si="0"/>
        <v>50</v>
      </c>
      <c r="B70" s="139">
        <f t="shared" si="1"/>
        <v>45231</v>
      </c>
      <c r="C70" s="148"/>
      <c r="D70" s="137"/>
      <c r="E70" s="136">
        <f t="shared" si="2"/>
        <v>0</v>
      </c>
      <c r="F70" s="217"/>
      <c r="G70" s="136">
        <f t="shared" si="4"/>
        <v>3391.2558744606972</v>
      </c>
      <c r="H70" s="136">
        <f t="shared" si="5"/>
        <v>237387.91121224943</v>
      </c>
      <c r="I70" s="152">
        <f t="shared" si="3"/>
        <v>0</v>
      </c>
      <c r="J70" s="142"/>
    </row>
    <row r="71" spans="1:10" s="111" customFormat="1" ht="13.5" customHeight="1" outlineLevel="1">
      <c r="A71" s="140">
        <f t="shared" si="0"/>
        <v>51</v>
      </c>
      <c r="B71" s="139">
        <f t="shared" si="1"/>
        <v>45261</v>
      </c>
      <c r="C71" s="148"/>
      <c r="D71" s="137"/>
      <c r="E71" s="136">
        <f t="shared" si="2"/>
        <v>0</v>
      </c>
      <c r="F71" s="217"/>
      <c r="G71" s="136">
        <f t="shared" si="4"/>
        <v>3391.2558744606972</v>
      </c>
      <c r="H71" s="136">
        <f t="shared" si="5"/>
        <v>233996.65533778872</v>
      </c>
      <c r="I71" s="152">
        <f t="shared" si="3"/>
        <v>0</v>
      </c>
      <c r="J71" s="142"/>
    </row>
    <row r="72" spans="1:10" s="111" customFormat="1" ht="13.5" customHeight="1" outlineLevel="1">
      <c r="A72" s="140">
        <f t="shared" si="0"/>
        <v>52</v>
      </c>
      <c r="B72" s="139">
        <f t="shared" si="1"/>
        <v>45292</v>
      </c>
      <c r="C72" s="148"/>
      <c r="D72" s="137"/>
      <c r="E72" s="136">
        <f t="shared" si="2"/>
        <v>0</v>
      </c>
      <c r="F72" s="217"/>
      <c r="G72" s="136">
        <f t="shared" si="4"/>
        <v>3391.2558744606972</v>
      </c>
      <c r="H72" s="136">
        <f t="shared" si="5"/>
        <v>230605.39946332801</v>
      </c>
      <c r="I72" s="152">
        <f t="shared" si="3"/>
        <v>0</v>
      </c>
      <c r="J72" s="142"/>
    </row>
    <row r="73" spans="1:10" s="111" customFormat="1" ht="13.5" customHeight="1" outlineLevel="1">
      <c r="A73" s="140">
        <f t="shared" si="0"/>
        <v>53</v>
      </c>
      <c r="B73" s="139">
        <f t="shared" si="1"/>
        <v>45323</v>
      </c>
      <c r="C73" s="148"/>
      <c r="D73" s="137"/>
      <c r="E73" s="136">
        <f t="shared" si="2"/>
        <v>0</v>
      </c>
      <c r="F73" s="217"/>
      <c r="G73" s="136">
        <f t="shared" si="4"/>
        <v>3391.2558744606972</v>
      </c>
      <c r="H73" s="136">
        <f t="shared" si="5"/>
        <v>227214.1435888673</v>
      </c>
      <c r="I73" s="152">
        <f t="shared" si="3"/>
        <v>0</v>
      </c>
      <c r="J73" s="142"/>
    </row>
    <row r="74" spans="1:10" s="111" customFormat="1" ht="13.5" customHeight="1" outlineLevel="1">
      <c r="A74" s="140">
        <f t="shared" si="0"/>
        <v>54</v>
      </c>
      <c r="B74" s="139">
        <f t="shared" si="1"/>
        <v>45352</v>
      </c>
      <c r="C74" s="148"/>
      <c r="D74" s="137"/>
      <c r="E74" s="136">
        <f t="shared" si="2"/>
        <v>0</v>
      </c>
      <c r="F74" s="217"/>
      <c r="G74" s="136">
        <f t="shared" si="4"/>
        <v>3391.2558744606972</v>
      </c>
      <c r="H74" s="136">
        <f t="shared" si="5"/>
        <v>223822.88771440659</v>
      </c>
      <c r="I74" s="152">
        <f t="shared" si="3"/>
        <v>0</v>
      </c>
      <c r="J74" s="142"/>
    </row>
    <row r="75" spans="1:10" s="111" customFormat="1" ht="13.5" customHeight="1" outlineLevel="1">
      <c r="A75" s="140">
        <f t="shared" si="0"/>
        <v>55</v>
      </c>
      <c r="B75" s="139">
        <f t="shared" si="1"/>
        <v>45383</v>
      </c>
      <c r="C75" s="148"/>
      <c r="D75" s="137"/>
      <c r="E75" s="136">
        <f t="shared" si="2"/>
        <v>0</v>
      </c>
      <c r="F75" s="217"/>
      <c r="G75" s="136">
        <f t="shared" si="4"/>
        <v>3391.2558744606972</v>
      </c>
      <c r="H75" s="136">
        <f t="shared" si="5"/>
        <v>220431.63183994588</v>
      </c>
      <c r="I75" s="152">
        <f t="shared" si="3"/>
        <v>0</v>
      </c>
      <c r="J75" s="142"/>
    </row>
    <row r="76" spans="1:10" s="111" customFormat="1" ht="13.5" customHeight="1" outlineLevel="1">
      <c r="A76" s="140">
        <f t="shared" si="0"/>
        <v>56</v>
      </c>
      <c r="B76" s="139">
        <f t="shared" si="1"/>
        <v>45413</v>
      </c>
      <c r="C76" s="148"/>
      <c r="D76" s="137"/>
      <c r="E76" s="136">
        <f t="shared" si="2"/>
        <v>0</v>
      </c>
      <c r="F76" s="217"/>
      <c r="G76" s="136">
        <f t="shared" si="4"/>
        <v>3391.2558744606972</v>
      </c>
      <c r="H76" s="136">
        <f t="shared" si="5"/>
        <v>217040.37596548517</v>
      </c>
      <c r="I76" s="152">
        <f t="shared" si="3"/>
        <v>0</v>
      </c>
      <c r="J76" s="142"/>
    </row>
    <row r="77" spans="1:10" s="111" customFormat="1" ht="13.5" customHeight="1" outlineLevel="1">
      <c r="A77" s="140">
        <f t="shared" si="0"/>
        <v>57</v>
      </c>
      <c r="B77" s="139">
        <f t="shared" si="1"/>
        <v>45444</v>
      </c>
      <c r="C77" s="148"/>
      <c r="D77" s="137"/>
      <c r="E77" s="136">
        <f t="shared" si="2"/>
        <v>0</v>
      </c>
      <c r="F77" s="217"/>
      <c r="G77" s="136">
        <f t="shared" si="4"/>
        <v>3391.2558744606972</v>
      </c>
      <c r="H77" s="136">
        <f t="shared" si="5"/>
        <v>213649.12009102447</v>
      </c>
      <c r="I77" s="152">
        <f t="shared" si="3"/>
        <v>0</v>
      </c>
      <c r="J77" s="142"/>
    </row>
    <row r="78" spans="1:10" s="111" customFormat="1" ht="13.5" customHeight="1" outlineLevel="1">
      <c r="A78" s="140">
        <f t="shared" si="0"/>
        <v>58</v>
      </c>
      <c r="B78" s="139">
        <f t="shared" si="1"/>
        <v>45474</v>
      </c>
      <c r="C78" s="148"/>
      <c r="D78" s="137"/>
      <c r="E78" s="136">
        <f t="shared" si="2"/>
        <v>0</v>
      </c>
      <c r="F78" s="217"/>
      <c r="G78" s="136">
        <f t="shared" si="4"/>
        <v>3391.2558744606972</v>
      </c>
      <c r="H78" s="136">
        <f t="shared" si="5"/>
        <v>210257.86421656376</v>
      </c>
      <c r="I78" s="152">
        <f t="shared" si="3"/>
        <v>0</v>
      </c>
      <c r="J78" s="142"/>
    </row>
    <row r="79" spans="1:10" s="111" customFormat="1" ht="13.5" customHeight="1" outlineLevel="1">
      <c r="A79" s="140">
        <f t="shared" si="0"/>
        <v>59</v>
      </c>
      <c r="B79" s="139">
        <f t="shared" si="1"/>
        <v>45505</v>
      </c>
      <c r="C79" s="148"/>
      <c r="D79" s="137"/>
      <c r="E79" s="136">
        <f t="shared" si="2"/>
        <v>0</v>
      </c>
      <c r="F79" s="217"/>
      <c r="G79" s="136">
        <f t="shared" si="4"/>
        <v>3391.2558744606972</v>
      </c>
      <c r="H79" s="136">
        <f t="shared" si="5"/>
        <v>206866.60834210305</v>
      </c>
      <c r="I79" s="152">
        <f t="shared" si="3"/>
        <v>0</v>
      </c>
      <c r="J79" s="142"/>
    </row>
    <row r="80" spans="1:10" s="111" customFormat="1" ht="13.5" customHeight="1" outlineLevel="1">
      <c r="A80" s="140">
        <f t="shared" si="0"/>
        <v>60</v>
      </c>
      <c r="B80" s="139">
        <f t="shared" si="1"/>
        <v>45536</v>
      </c>
      <c r="C80" s="148"/>
      <c r="D80" s="137"/>
      <c r="E80" s="136">
        <f t="shared" si="2"/>
        <v>0</v>
      </c>
      <c r="F80" s="217"/>
      <c r="G80" s="136">
        <f t="shared" si="4"/>
        <v>3391.2558744606972</v>
      </c>
      <c r="H80" s="136">
        <f t="shared" si="5"/>
        <v>203475.35246764234</v>
      </c>
      <c r="I80" s="152">
        <f t="shared" si="3"/>
        <v>0</v>
      </c>
      <c r="J80" s="142"/>
    </row>
    <row r="81" spans="1:10" s="111" customFormat="1" ht="13.5" customHeight="1" outlineLevel="1">
      <c r="A81" s="140">
        <f t="shared" si="0"/>
        <v>61</v>
      </c>
      <c r="B81" s="139">
        <f t="shared" si="1"/>
        <v>45566</v>
      </c>
      <c r="C81" s="148">
        <v>50000</v>
      </c>
      <c r="D81" s="137"/>
      <c r="E81" s="136">
        <f t="shared" si="2"/>
        <v>38960.269515848442</v>
      </c>
      <c r="F81" s="217"/>
      <c r="G81" s="136">
        <f t="shared" si="4"/>
        <v>3391.2558744606972</v>
      </c>
      <c r="H81" s="136">
        <f t="shared" si="5"/>
        <v>200084.09659318163</v>
      </c>
      <c r="I81" s="152">
        <f t="shared" si="3"/>
        <v>41467.606191777741</v>
      </c>
      <c r="J81" s="142"/>
    </row>
    <row r="82" spans="1:10" s="111" customFormat="1" ht="13.5" customHeight="1" outlineLevel="1">
      <c r="A82" s="140">
        <f t="shared" si="0"/>
        <v>62</v>
      </c>
      <c r="B82" s="139">
        <f t="shared" si="1"/>
        <v>45597</v>
      </c>
      <c r="C82" s="148"/>
      <c r="D82" s="137"/>
      <c r="E82" s="136">
        <f t="shared" si="2"/>
        <v>0</v>
      </c>
      <c r="F82" s="217"/>
      <c r="G82" s="136">
        <f t="shared" si="4"/>
        <v>3391.2558744606972</v>
      </c>
      <c r="H82" s="136">
        <f t="shared" si="5"/>
        <v>196692.84071872092</v>
      </c>
      <c r="I82" s="152">
        <f t="shared" si="3"/>
        <v>0</v>
      </c>
      <c r="J82" s="142"/>
    </row>
    <row r="83" spans="1:10" s="111" customFormat="1" ht="13.5" customHeight="1" outlineLevel="1">
      <c r="A83" s="140">
        <f t="shared" si="0"/>
        <v>63</v>
      </c>
      <c r="B83" s="139">
        <f t="shared" si="1"/>
        <v>45627</v>
      </c>
      <c r="C83" s="148"/>
      <c r="D83" s="137"/>
      <c r="E83" s="136">
        <f t="shared" si="2"/>
        <v>0</v>
      </c>
      <c r="F83" s="217"/>
      <c r="G83" s="136">
        <f t="shared" si="4"/>
        <v>3391.2558744606972</v>
      </c>
      <c r="H83" s="136">
        <f t="shared" si="5"/>
        <v>193301.58484426021</v>
      </c>
      <c r="I83" s="152">
        <f t="shared" si="3"/>
        <v>0</v>
      </c>
      <c r="J83" s="142"/>
    </row>
    <row r="84" spans="1:10" s="111" customFormat="1" ht="13.5" customHeight="1" outlineLevel="1">
      <c r="A84" s="140">
        <f t="shared" si="0"/>
        <v>64</v>
      </c>
      <c r="B84" s="139">
        <f t="shared" si="1"/>
        <v>45658</v>
      </c>
      <c r="C84" s="148"/>
      <c r="D84" s="137"/>
      <c r="E84" s="136">
        <f t="shared" si="2"/>
        <v>0</v>
      </c>
      <c r="F84" s="217"/>
      <c r="G84" s="136">
        <f t="shared" si="4"/>
        <v>3391.2558744606972</v>
      </c>
      <c r="H84" s="136">
        <f t="shared" si="5"/>
        <v>189910.32896979951</v>
      </c>
      <c r="I84" s="152">
        <f t="shared" si="3"/>
        <v>0</v>
      </c>
      <c r="J84" s="142"/>
    </row>
    <row r="85" spans="1:10" s="111" customFormat="1" ht="13.5" customHeight="1" outlineLevel="1">
      <c r="A85" s="140">
        <f t="shared" si="0"/>
        <v>65</v>
      </c>
      <c r="B85" s="139">
        <f t="shared" si="1"/>
        <v>45689</v>
      </c>
      <c r="C85" s="148"/>
      <c r="D85" s="137"/>
      <c r="E85" s="136">
        <f t="shared" si="2"/>
        <v>0</v>
      </c>
      <c r="F85" s="217"/>
      <c r="G85" s="136">
        <f t="shared" si="4"/>
        <v>3391.2558744606972</v>
      </c>
      <c r="H85" s="136">
        <f t="shared" si="5"/>
        <v>186519.0730953388</v>
      </c>
      <c r="I85" s="152">
        <f t="shared" si="3"/>
        <v>0</v>
      </c>
      <c r="J85" s="142"/>
    </row>
    <row r="86" spans="1:10" s="111" customFormat="1" ht="13.5" customHeight="1" outlineLevel="1">
      <c r="A86" s="140">
        <f t="shared" ref="A86:A149" si="6">A85+1</f>
        <v>66</v>
      </c>
      <c r="B86" s="139">
        <f t="shared" ref="B86:B149" si="7">EDATE(B85,1)</f>
        <v>45717</v>
      </c>
      <c r="C86" s="148"/>
      <c r="D86" s="137"/>
      <c r="E86" s="136">
        <f t="shared" ref="E86:E149" si="8">(D86+C86)/(POWER((1+$C$17/12),A86-1))</f>
        <v>0</v>
      </c>
      <c r="F86" s="217"/>
      <c r="G86" s="136">
        <f t="shared" si="4"/>
        <v>3391.2558744606972</v>
      </c>
      <c r="H86" s="136">
        <f t="shared" si="5"/>
        <v>183127.81722087809</v>
      </c>
      <c r="I86" s="152">
        <f t="shared" ref="I86:I149" si="9">IF(YEAR(B86)&lt;2021,0,C86/(POWER((1+$C$17/12),IF(YEAR($C$15)&lt;2021,DATEDIF("2021年1月",$B86,"M"),$A86))))</f>
        <v>0</v>
      </c>
      <c r="J86" s="142"/>
    </row>
    <row r="87" spans="1:10" s="143" customFormat="1" ht="13.5" customHeight="1" outlineLevel="1">
      <c r="A87" s="140">
        <f t="shared" si="6"/>
        <v>67</v>
      </c>
      <c r="B87" s="139">
        <f t="shared" si="7"/>
        <v>45748</v>
      </c>
      <c r="C87" s="148"/>
      <c r="D87" s="145"/>
      <c r="E87" s="136">
        <f t="shared" si="8"/>
        <v>0</v>
      </c>
      <c r="F87" s="217"/>
      <c r="G87" s="136">
        <f t="shared" ref="G87:G150" si="10">IF($A87&gt;$C$18,0,($E$348+$F$348)/($C$18-1))</f>
        <v>3391.2558744606972</v>
      </c>
      <c r="H87" s="136">
        <f t="shared" ref="H87:H150" si="11">H86-G87</f>
        <v>179736.56134641738</v>
      </c>
      <c r="I87" s="152">
        <f t="shared" si="9"/>
        <v>0</v>
      </c>
      <c r="J87" s="144"/>
    </row>
    <row r="88" spans="1:10" s="111" customFormat="1" ht="13.5" customHeight="1" outlineLevel="1">
      <c r="A88" s="140">
        <f t="shared" si="6"/>
        <v>68</v>
      </c>
      <c r="B88" s="139">
        <f t="shared" si="7"/>
        <v>45778</v>
      </c>
      <c r="C88" s="148"/>
      <c r="D88" s="137"/>
      <c r="E88" s="136">
        <f t="shared" si="8"/>
        <v>0</v>
      </c>
      <c r="F88" s="217"/>
      <c r="G88" s="136">
        <f t="shared" si="10"/>
        <v>3391.2558744606972</v>
      </c>
      <c r="H88" s="136">
        <f t="shared" si="11"/>
        <v>176345.30547195667</v>
      </c>
      <c r="I88" s="152">
        <f t="shared" si="9"/>
        <v>0</v>
      </c>
      <c r="J88" s="142"/>
    </row>
    <row r="89" spans="1:10" s="111" customFormat="1" ht="13.5" customHeight="1" outlineLevel="1">
      <c r="A89" s="140">
        <f t="shared" si="6"/>
        <v>69</v>
      </c>
      <c r="B89" s="139">
        <f t="shared" si="7"/>
        <v>45809</v>
      </c>
      <c r="C89" s="148"/>
      <c r="D89" s="137"/>
      <c r="E89" s="136">
        <f t="shared" si="8"/>
        <v>0</v>
      </c>
      <c r="F89" s="217"/>
      <c r="G89" s="136">
        <f t="shared" si="10"/>
        <v>3391.2558744606972</v>
      </c>
      <c r="H89" s="136">
        <f t="shared" si="11"/>
        <v>172954.04959749596</v>
      </c>
      <c r="I89" s="152">
        <f t="shared" si="9"/>
        <v>0</v>
      </c>
      <c r="J89" s="142"/>
    </row>
    <row r="90" spans="1:10" s="111" customFormat="1" ht="13.5" customHeight="1" outlineLevel="1">
      <c r="A90" s="140">
        <f t="shared" si="6"/>
        <v>70</v>
      </c>
      <c r="B90" s="139">
        <f t="shared" si="7"/>
        <v>45839</v>
      </c>
      <c r="C90" s="148"/>
      <c r="D90" s="137"/>
      <c r="E90" s="136">
        <f t="shared" si="8"/>
        <v>0</v>
      </c>
      <c r="F90" s="217"/>
      <c r="G90" s="136">
        <f t="shared" si="10"/>
        <v>3391.2558744606972</v>
      </c>
      <c r="H90" s="136">
        <f t="shared" si="11"/>
        <v>169562.79372303525</v>
      </c>
      <c r="I90" s="152">
        <f t="shared" si="9"/>
        <v>0</v>
      </c>
      <c r="J90" s="142"/>
    </row>
    <row r="91" spans="1:10" s="111" customFormat="1" ht="13.5" customHeight="1" outlineLevel="1">
      <c r="A91" s="140">
        <f t="shared" si="6"/>
        <v>71</v>
      </c>
      <c r="B91" s="139">
        <f t="shared" si="7"/>
        <v>45870</v>
      </c>
      <c r="C91" s="148"/>
      <c r="D91" s="137"/>
      <c r="E91" s="136">
        <f t="shared" si="8"/>
        <v>0</v>
      </c>
      <c r="F91" s="217"/>
      <c r="G91" s="136">
        <f t="shared" si="10"/>
        <v>3391.2558744606972</v>
      </c>
      <c r="H91" s="136">
        <f t="shared" si="11"/>
        <v>166171.53784857455</v>
      </c>
      <c r="I91" s="152">
        <f t="shared" si="9"/>
        <v>0</v>
      </c>
      <c r="J91" s="142"/>
    </row>
    <row r="92" spans="1:10" s="111" customFormat="1" ht="13.5" customHeight="1" outlineLevel="1">
      <c r="A92" s="140">
        <f t="shared" si="6"/>
        <v>72</v>
      </c>
      <c r="B92" s="139">
        <f t="shared" si="7"/>
        <v>45901</v>
      </c>
      <c r="C92" s="148"/>
      <c r="D92" s="137"/>
      <c r="E92" s="136">
        <f t="shared" si="8"/>
        <v>0</v>
      </c>
      <c r="F92" s="217"/>
      <c r="G92" s="136">
        <f t="shared" si="10"/>
        <v>3391.2558744606972</v>
      </c>
      <c r="H92" s="136">
        <f t="shared" si="11"/>
        <v>162780.28197411384</v>
      </c>
      <c r="I92" s="152">
        <f t="shared" si="9"/>
        <v>0</v>
      </c>
      <c r="J92" s="142"/>
    </row>
    <row r="93" spans="1:10" s="111" customFormat="1" ht="13.5" customHeight="1" outlineLevel="1">
      <c r="A93" s="140">
        <f t="shared" si="6"/>
        <v>73</v>
      </c>
      <c r="B93" s="139">
        <f t="shared" si="7"/>
        <v>45931</v>
      </c>
      <c r="C93" s="148">
        <v>50000</v>
      </c>
      <c r="D93" s="137"/>
      <c r="E93" s="136">
        <f t="shared" si="8"/>
        <v>37064.004692673778</v>
      </c>
      <c r="F93" s="217"/>
      <c r="G93" s="136">
        <f t="shared" si="10"/>
        <v>3391.2558744606972</v>
      </c>
      <c r="H93" s="136">
        <f t="shared" si="11"/>
        <v>159389.02609965313</v>
      </c>
      <c r="I93" s="152">
        <f t="shared" si="9"/>
        <v>39449.304883807039</v>
      </c>
      <c r="J93" s="142"/>
    </row>
    <row r="94" spans="1:10" s="111" customFormat="1" ht="13.5" customHeight="1" outlineLevel="1">
      <c r="A94" s="140">
        <f t="shared" si="6"/>
        <v>74</v>
      </c>
      <c r="B94" s="139">
        <f t="shared" si="7"/>
        <v>45962</v>
      </c>
      <c r="C94" s="138"/>
      <c r="D94" s="137"/>
      <c r="E94" s="136">
        <f t="shared" si="8"/>
        <v>0</v>
      </c>
      <c r="F94" s="217"/>
      <c r="G94" s="136">
        <f t="shared" si="10"/>
        <v>3391.2558744606972</v>
      </c>
      <c r="H94" s="136">
        <f t="shared" si="11"/>
        <v>155997.77022519242</v>
      </c>
      <c r="I94" s="152">
        <f t="shared" si="9"/>
        <v>0</v>
      </c>
      <c r="J94" s="142"/>
    </row>
    <row r="95" spans="1:10" s="111" customFormat="1" ht="13.5" customHeight="1" outlineLevel="1">
      <c r="A95" s="140">
        <f t="shared" si="6"/>
        <v>75</v>
      </c>
      <c r="B95" s="139">
        <f t="shared" si="7"/>
        <v>45992</v>
      </c>
      <c r="C95" s="138"/>
      <c r="D95" s="137"/>
      <c r="E95" s="136">
        <f t="shared" si="8"/>
        <v>0</v>
      </c>
      <c r="F95" s="217"/>
      <c r="G95" s="136">
        <f t="shared" si="10"/>
        <v>3391.2558744606972</v>
      </c>
      <c r="H95" s="136">
        <f t="shared" si="11"/>
        <v>152606.51435073171</v>
      </c>
      <c r="I95" s="152">
        <f t="shared" si="9"/>
        <v>0</v>
      </c>
      <c r="J95" s="142"/>
    </row>
    <row r="96" spans="1:10" s="111" customFormat="1" ht="13.5" customHeight="1" outlineLevel="1">
      <c r="A96" s="140">
        <f t="shared" si="6"/>
        <v>76</v>
      </c>
      <c r="B96" s="139">
        <f t="shared" si="7"/>
        <v>46023</v>
      </c>
      <c r="C96" s="138"/>
      <c r="D96" s="137"/>
      <c r="E96" s="136">
        <f t="shared" si="8"/>
        <v>0</v>
      </c>
      <c r="F96" s="217"/>
      <c r="G96" s="136">
        <f t="shared" si="10"/>
        <v>3391.2558744606972</v>
      </c>
      <c r="H96" s="136">
        <f t="shared" si="11"/>
        <v>149215.258476271</v>
      </c>
      <c r="I96" s="152">
        <f t="shared" si="9"/>
        <v>0</v>
      </c>
      <c r="J96" s="142"/>
    </row>
    <row r="97" spans="1:10" s="111" customFormat="1" ht="13.5" customHeight="1" outlineLevel="1">
      <c r="A97" s="140">
        <f t="shared" si="6"/>
        <v>77</v>
      </c>
      <c r="B97" s="139">
        <f t="shared" si="7"/>
        <v>46054</v>
      </c>
      <c r="C97" s="138"/>
      <c r="D97" s="137"/>
      <c r="E97" s="136">
        <f t="shared" si="8"/>
        <v>0</v>
      </c>
      <c r="F97" s="217"/>
      <c r="G97" s="136">
        <f t="shared" si="10"/>
        <v>3391.2558744606972</v>
      </c>
      <c r="H97" s="136">
        <f t="shared" si="11"/>
        <v>145824.00260181029</v>
      </c>
      <c r="I97" s="152">
        <f t="shared" si="9"/>
        <v>0</v>
      </c>
      <c r="J97" s="142"/>
    </row>
    <row r="98" spans="1:10" s="111" customFormat="1" ht="13.5" customHeight="1" outlineLevel="1">
      <c r="A98" s="140">
        <f t="shared" si="6"/>
        <v>78</v>
      </c>
      <c r="B98" s="139">
        <f t="shared" si="7"/>
        <v>46082</v>
      </c>
      <c r="C98" s="138"/>
      <c r="D98" s="137"/>
      <c r="E98" s="136">
        <f t="shared" si="8"/>
        <v>0</v>
      </c>
      <c r="F98" s="217"/>
      <c r="G98" s="136">
        <f t="shared" si="10"/>
        <v>3391.2558744606972</v>
      </c>
      <c r="H98" s="136">
        <f t="shared" si="11"/>
        <v>142432.74672734959</v>
      </c>
      <c r="I98" s="152">
        <f t="shared" si="9"/>
        <v>0</v>
      </c>
      <c r="J98" s="142"/>
    </row>
    <row r="99" spans="1:10" s="111" customFormat="1" ht="13.5" customHeight="1" outlineLevel="1">
      <c r="A99" s="140">
        <f t="shared" si="6"/>
        <v>79</v>
      </c>
      <c r="B99" s="139">
        <f t="shared" si="7"/>
        <v>46113</v>
      </c>
      <c r="C99" s="138"/>
      <c r="D99" s="137"/>
      <c r="E99" s="136">
        <f t="shared" si="8"/>
        <v>0</v>
      </c>
      <c r="F99" s="217"/>
      <c r="G99" s="136">
        <f t="shared" si="10"/>
        <v>3391.2558744606972</v>
      </c>
      <c r="H99" s="136">
        <f t="shared" si="11"/>
        <v>139041.49085288888</v>
      </c>
      <c r="I99" s="152">
        <f t="shared" si="9"/>
        <v>0</v>
      </c>
      <c r="J99" s="142"/>
    </row>
    <row r="100" spans="1:10" s="111" customFormat="1" ht="13.5" customHeight="1" outlineLevel="1">
      <c r="A100" s="140">
        <f t="shared" si="6"/>
        <v>80</v>
      </c>
      <c r="B100" s="139">
        <f t="shared" si="7"/>
        <v>46143</v>
      </c>
      <c r="C100" s="138"/>
      <c r="D100" s="137"/>
      <c r="E100" s="136">
        <f t="shared" si="8"/>
        <v>0</v>
      </c>
      <c r="F100" s="217"/>
      <c r="G100" s="136">
        <f t="shared" si="10"/>
        <v>3391.2558744606972</v>
      </c>
      <c r="H100" s="136">
        <f t="shared" si="11"/>
        <v>135650.23497842817</v>
      </c>
      <c r="I100" s="152">
        <f t="shared" si="9"/>
        <v>0</v>
      </c>
      <c r="J100" s="142"/>
    </row>
    <row r="101" spans="1:10" s="111" customFormat="1" ht="13.5" customHeight="1" outlineLevel="1">
      <c r="A101" s="140">
        <f t="shared" si="6"/>
        <v>81</v>
      </c>
      <c r="B101" s="139">
        <f t="shared" si="7"/>
        <v>46174</v>
      </c>
      <c r="C101" s="138"/>
      <c r="D101" s="137"/>
      <c r="E101" s="136">
        <f t="shared" si="8"/>
        <v>0</v>
      </c>
      <c r="F101" s="217"/>
      <c r="G101" s="136">
        <f t="shared" si="10"/>
        <v>3391.2558744606972</v>
      </c>
      <c r="H101" s="136">
        <f t="shared" si="11"/>
        <v>132258.97910396746</v>
      </c>
      <c r="I101" s="152">
        <f t="shared" si="9"/>
        <v>0</v>
      </c>
      <c r="J101" s="142"/>
    </row>
    <row r="102" spans="1:10" s="111" customFormat="1" ht="13.5" customHeight="1" outlineLevel="1">
      <c r="A102" s="140">
        <f t="shared" si="6"/>
        <v>82</v>
      </c>
      <c r="B102" s="139">
        <f t="shared" si="7"/>
        <v>46204</v>
      </c>
      <c r="C102" s="138"/>
      <c r="D102" s="137"/>
      <c r="E102" s="136">
        <f t="shared" si="8"/>
        <v>0</v>
      </c>
      <c r="F102" s="217"/>
      <c r="G102" s="136">
        <f t="shared" si="10"/>
        <v>3391.2558744606972</v>
      </c>
      <c r="H102" s="136">
        <f t="shared" si="11"/>
        <v>128867.72322950677</v>
      </c>
      <c r="I102" s="152">
        <f t="shared" si="9"/>
        <v>0</v>
      </c>
      <c r="J102" s="142"/>
    </row>
    <row r="103" spans="1:10" s="111" customFormat="1" ht="13.5" customHeight="1" outlineLevel="1">
      <c r="A103" s="140">
        <f t="shared" si="6"/>
        <v>83</v>
      </c>
      <c r="B103" s="139">
        <f t="shared" si="7"/>
        <v>46235</v>
      </c>
      <c r="C103" s="138"/>
      <c r="D103" s="137"/>
      <c r="E103" s="136">
        <f t="shared" si="8"/>
        <v>0</v>
      </c>
      <c r="F103" s="217"/>
      <c r="G103" s="136">
        <f t="shared" si="10"/>
        <v>3391.2558744606972</v>
      </c>
      <c r="H103" s="136">
        <f t="shared" si="11"/>
        <v>125476.46735504607</v>
      </c>
      <c r="I103" s="152">
        <f t="shared" si="9"/>
        <v>0</v>
      </c>
      <c r="J103" s="142"/>
    </row>
    <row r="104" spans="1:10" s="111" customFormat="1" ht="13.5" customHeight="1" outlineLevel="1">
      <c r="A104" s="140">
        <f t="shared" si="6"/>
        <v>84</v>
      </c>
      <c r="B104" s="139">
        <f t="shared" si="7"/>
        <v>46266</v>
      </c>
      <c r="C104" s="138"/>
      <c r="D104" s="137"/>
      <c r="E104" s="136">
        <f t="shared" si="8"/>
        <v>0</v>
      </c>
      <c r="F104" s="217"/>
      <c r="G104" s="136">
        <f t="shared" si="10"/>
        <v>3391.2558744606972</v>
      </c>
      <c r="H104" s="136">
        <f t="shared" si="11"/>
        <v>122085.21148058538</v>
      </c>
      <c r="I104" s="152">
        <f t="shared" si="9"/>
        <v>0</v>
      </c>
      <c r="J104" s="142"/>
    </row>
    <row r="105" spans="1:10" s="111" customFormat="1" ht="13.5" customHeight="1" outlineLevel="1">
      <c r="A105" s="140">
        <f t="shared" si="6"/>
        <v>85</v>
      </c>
      <c r="B105" s="139">
        <f t="shared" si="7"/>
        <v>46296</v>
      </c>
      <c r="C105" s="148">
        <v>50000</v>
      </c>
      <c r="D105" s="137"/>
      <c r="E105" s="136">
        <f t="shared" si="8"/>
        <v>35260.034412742636</v>
      </c>
      <c r="F105" s="217"/>
      <c r="G105" s="136">
        <f t="shared" si="10"/>
        <v>3391.2558744606972</v>
      </c>
      <c r="H105" s="136">
        <f t="shared" si="11"/>
        <v>118693.95560612468</v>
      </c>
      <c r="I105" s="152">
        <f t="shared" si="9"/>
        <v>37529.237849377882</v>
      </c>
      <c r="J105" s="142"/>
    </row>
    <row r="106" spans="1:10" s="111" customFormat="1" ht="13.5" customHeight="1" outlineLevel="1">
      <c r="A106" s="140">
        <f t="shared" si="6"/>
        <v>86</v>
      </c>
      <c r="B106" s="139">
        <f t="shared" si="7"/>
        <v>46327</v>
      </c>
      <c r="C106" s="138"/>
      <c r="D106" s="137"/>
      <c r="E106" s="136">
        <f t="shared" si="8"/>
        <v>0</v>
      </c>
      <c r="F106" s="217"/>
      <c r="G106" s="136">
        <f t="shared" si="10"/>
        <v>3391.2558744606972</v>
      </c>
      <c r="H106" s="136">
        <f t="shared" si="11"/>
        <v>115302.69973166399</v>
      </c>
      <c r="I106" s="152">
        <f t="shared" si="9"/>
        <v>0</v>
      </c>
      <c r="J106" s="142"/>
    </row>
    <row r="107" spans="1:10" s="111" customFormat="1" ht="13.5" customHeight="1" outlineLevel="1">
      <c r="A107" s="140">
        <f t="shared" si="6"/>
        <v>87</v>
      </c>
      <c r="B107" s="139">
        <f t="shared" si="7"/>
        <v>46357</v>
      </c>
      <c r="C107" s="138"/>
      <c r="D107" s="137"/>
      <c r="E107" s="136">
        <f t="shared" si="8"/>
        <v>0</v>
      </c>
      <c r="F107" s="217"/>
      <c r="G107" s="136">
        <f t="shared" si="10"/>
        <v>3391.2558744606972</v>
      </c>
      <c r="H107" s="136">
        <f t="shared" si="11"/>
        <v>111911.4438572033</v>
      </c>
      <c r="I107" s="152">
        <f t="shared" si="9"/>
        <v>0</v>
      </c>
      <c r="J107" s="142"/>
    </row>
    <row r="108" spans="1:10" s="111" customFormat="1" ht="13.5" customHeight="1" outlineLevel="1">
      <c r="A108" s="140">
        <f t="shared" si="6"/>
        <v>88</v>
      </c>
      <c r="B108" s="139">
        <f t="shared" si="7"/>
        <v>46388</v>
      </c>
      <c r="C108" s="138"/>
      <c r="D108" s="137"/>
      <c r="E108" s="136">
        <f t="shared" si="8"/>
        <v>0</v>
      </c>
      <c r="F108" s="217"/>
      <c r="G108" s="136">
        <f t="shared" si="10"/>
        <v>3391.2558744606972</v>
      </c>
      <c r="H108" s="136">
        <f t="shared" si="11"/>
        <v>108520.1879827426</v>
      </c>
      <c r="I108" s="152">
        <f t="shared" si="9"/>
        <v>0</v>
      </c>
      <c r="J108" s="142"/>
    </row>
    <row r="109" spans="1:10" s="111" customFormat="1" ht="13.5" customHeight="1" outlineLevel="1">
      <c r="A109" s="140">
        <f t="shared" si="6"/>
        <v>89</v>
      </c>
      <c r="B109" s="139">
        <f t="shared" si="7"/>
        <v>46419</v>
      </c>
      <c r="C109" s="138"/>
      <c r="D109" s="137"/>
      <c r="E109" s="136">
        <f t="shared" si="8"/>
        <v>0</v>
      </c>
      <c r="F109" s="217"/>
      <c r="G109" s="136">
        <f t="shared" si="10"/>
        <v>3391.2558744606972</v>
      </c>
      <c r="H109" s="136">
        <f t="shared" si="11"/>
        <v>105128.93210828191</v>
      </c>
      <c r="I109" s="152">
        <f t="shared" si="9"/>
        <v>0</v>
      </c>
      <c r="J109" s="142"/>
    </row>
    <row r="110" spans="1:10" s="111" customFormat="1" ht="13.5" customHeight="1" outlineLevel="1">
      <c r="A110" s="140">
        <f t="shared" si="6"/>
        <v>90</v>
      </c>
      <c r="B110" s="139">
        <f t="shared" si="7"/>
        <v>46447</v>
      </c>
      <c r="C110" s="138"/>
      <c r="D110" s="137"/>
      <c r="E110" s="136">
        <f t="shared" si="8"/>
        <v>0</v>
      </c>
      <c r="F110" s="217"/>
      <c r="G110" s="136">
        <f t="shared" si="10"/>
        <v>3391.2558744606972</v>
      </c>
      <c r="H110" s="136">
        <f t="shared" si="11"/>
        <v>101737.67623382121</v>
      </c>
      <c r="I110" s="152">
        <f t="shared" si="9"/>
        <v>0</v>
      </c>
      <c r="J110" s="142"/>
    </row>
    <row r="111" spans="1:10" s="111" customFormat="1" ht="13.5" customHeight="1" outlineLevel="1">
      <c r="A111" s="140">
        <f t="shared" si="6"/>
        <v>91</v>
      </c>
      <c r="B111" s="139">
        <f t="shared" si="7"/>
        <v>46478</v>
      </c>
      <c r="C111" s="138"/>
      <c r="D111" s="137"/>
      <c r="E111" s="136">
        <f t="shared" si="8"/>
        <v>0</v>
      </c>
      <c r="F111" s="217"/>
      <c r="G111" s="136">
        <f t="shared" si="10"/>
        <v>3391.2558744606972</v>
      </c>
      <c r="H111" s="136">
        <f t="shared" si="11"/>
        <v>98346.42035936052</v>
      </c>
      <c r="I111" s="152">
        <f t="shared" si="9"/>
        <v>0</v>
      </c>
      <c r="J111" s="142"/>
    </row>
    <row r="112" spans="1:10" s="111" customFormat="1" ht="13.5" customHeight="1" outlineLevel="1">
      <c r="A112" s="140">
        <f t="shared" si="6"/>
        <v>92</v>
      </c>
      <c r="B112" s="139">
        <f t="shared" si="7"/>
        <v>46508</v>
      </c>
      <c r="C112" s="138"/>
      <c r="D112" s="137"/>
      <c r="E112" s="136">
        <f t="shared" si="8"/>
        <v>0</v>
      </c>
      <c r="F112" s="217"/>
      <c r="G112" s="136">
        <f t="shared" si="10"/>
        <v>3391.2558744606972</v>
      </c>
      <c r="H112" s="136">
        <f t="shared" si="11"/>
        <v>94955.164484899826</v>
      </c>
      <c r="I112" s="152">
        <f t="shared" si="9"/>
        <v>0</v>
      </c>
      <c r="J112" s="142"/>
    </row>
    <row r="113" spans="1:10" s="111" customFormat="1" ht="13.5" customHeight="1" outlineLevel="1">
      <c r="A113" s="140">
        <f t="shared" si="6"/>
        <v>93</v>
      </c>
      <c r="B113" s="139">
        <f t="shared" si="7"/>
        <v>46539</v>
      </c>
      <c r="C113" s="138"/>
      <c r="D113" s="137"/>
      <c r="E113" s="136">
        <f t="shared" si="8"/>
        <v>0</v>
      </c>
      <c r="F113" s="217"/>
      <c r="G113" s="136">
        <f t="shared" si="10"/>
        <v>3391.2558744606972</v>
      </c>
      <c r="H113" s="136">
        <f t="shared" si="11"/>
        <v>91563.908610439132</v>
      </c>
      <c r="I113" s="152">
        <f t="shared" si="9"/>
        <v>0</v>
      </c>
      <c r="J113" s="142"/>
    </row>
    <row r="114" spans="1:10" s="111" customFormat="1" ht="13.5" customHeight="1" outlineLevel="1">
      <c r="A114" s="140">
        <f t="shared" si="6"/>
        <v>94</v>
      </c>
      <c r="B114" s="139">
        <f t="shared" si="7"/>
        <v>46569</v>
      </c>
      <c r="C114" s="138"/>
      <c r="D114" s="137"/>
      <c r="E114" s="136">
        <f t="shared" si="8"/>
        <v>0</v>
      </c>
      <c r="F114" s="217"/>
      <c r="G114" s="136">
        <f t="shared" si="10"/>
        <v>3391.2558744606972</v>
      </c>
      <c r="H114" s="136">
        <f t="shared" si="11"/>
        <v>88172.652735978438</v>
      </c>
      <c r="I114" s="152">
        <f t="shared" si="9"/>
        <v>0</v>
      </c>
      <c r="J114" s="142"/>
    </row>
    <row r="115" spans="1:10" s="111" customFormat="1" ht="13.5" customHeight="1" outlineLevel="1">
      <c r="A115" s="140">
        <f t="shared" si="6"/>
        <v>95</v>
      </c>
      <c r="B115" s="139">
        <f t="shared" si="7"/>
        <v>46600</v>
      </c>
      <c r="C115" s="138"/>
      <c r="D115" s="147"/>
      <c r="E115" s="136">
        <f t="shared" si="8"/>
        <v>0</v>
      </c>
      <c r="F115" s="217"/>
      <c r="G115" s="136">
        <f t="shared" si="10"/>
        <v>3391.2558744606972</v>
      </c>
      <c r="H115" s="136">
        <f t="shared" si="11"/>
        <v>84781.396861517744</v>
      </c>
      <c r="I115" s="152">
        <f t="shared" si="9"/>
        <v>0</v>
      </c>
      <c r="J115" s="142"/>
    </row>
    <row r="116" spans="1:10" s="111" customFormat="1" ht="13.5" customHeight="1" outlineLevel="1">
      <c r="A116" s="140">
        <f t="shared" si="6"/>
        <v>96</v>
      </c>
      <c r="B116" s="139">
        <f t="shared" si="7"/>
        <v>46631</v>
      </c>
      <c r="C116" s="138"/>
      <c r="D116" s="147"/>
      <c r="E116" s="136">
        <f t="shared" si="8"/>
        <v>0</v>
      </c>
      <c r="F116" s="217"/>
      <c r="G116" s="136">
        <f t="shared" si="10"/>
        <v>3391.2558744606972</v>
      </c>
      <c r="H116" s="136">
        <f t="shared" si="11"/>
        <v>81390.14098705705</v>
      </c>
      <c r="I116" s="152">
        <f t="shared" si="9"/>
        <v>0</v>
      </c>
      <c r="J116" s="142"/>
    </row>
    <row r="117" spans="1:10" s="111" customFormat="1" ht="13.5" customHeight="1" outlineLevel="1">
      <c r="A117" s="140">
        <f t="shared" si="6"/>
        <v>97</v>
      </c>
      <c r="B117" s="139">
        <f t="shared" si="7"/>
        <v>46661</v>
      </c>
      <c r="C117" s="148">
        <v>50000</v>
      </c>
      <c r="D117" s="146"/>
      <c r="E117" s="136">
        <f t="shared" si="8"/>
        <v>33543.866538349124</v>
      </c>
      <c r="F117" s="217"/>
      <c r="G117" s="136">
        <f t="shared" si="10"/>
        <v>3391.2558744606972</v>
      </c>
      <c r="H117" s="136">
        <f t="shared" si="11"/>
        <v>77998.885112596356</v>
      </c>
      <c r="I117" s="152">
        <f t="shared" si="9"/>
        <v>35702.62385366665</v>
      </c>
      <c r="J117" s="142"/>
    </row>
    <row r="118" spans="1:10" s="111" customFormat="1" ht="13.5" customHeight="1" outlineLevel="1">
      <c r="A118" s="140">
        <f t="shared" si="6"/>
        <v>98</v>
      </c>
      <c r="B118" s="139">
        <f t="shared" si="7"/>
        <v>46692</v>
      </c>
      <c r="C118" s="138"/>
      <c r="D118" s="137"/>
      <c r="E118" s="136">
        <f t="shared" si="8"/>
        <v>0</v>
      </c>
      <c r="F118" s="217"/>
      <c r="G118" s="136">
        <f t="shared" si="10"/>
        <v>3391.2558744606972</v>
      </c>
      <c r="H118" s="136">
        <f t="shared" si="11"/>
        <v>74607.629238135662</v>
      </c>
      <c r="I118" s="152">
        <f t="shared" si="9"/>
        <v>0</v>
      </c>
      <c r="J118" s="142"/>
    </row>
    <row r="119" spans="1:10" s="111" customFormat="1" ht="13.5" customHeight="1" outlineLevel="1">
      <c r="A119" s="140">
        <f t="shared" si="6"/>
        <v>99</v>
      </c>
      <c r="B119" s="139">
        <f t="shared" si="7"/>
        <v>46722</v>
      </c>
      <c r="C119" s="138"/>
      <c r="D119" s="137"/>
      <c r="E119" s="136">
        <f t="shared" si="8"/>
        <v>0</v>
      </c>
      <c r="F119" s="217"/>
      <c r="G119" s="136">
        <f t="shared" si="10"/>
        <v>3391.2558744606972</v>
      </c>
      <c r="H119" s="136">
        <f t="shared" si="11"/>
        <v>71216.373363674968</v>
      </c>
      <c r="I119" s="152">
        <f t="shared" si="9"/>
        <v>0</v>
      </c>
      <c r="J119" s="142"/>
    </row>
    <row r="120" spans="1:10" s="111" customFormat="1" ht="13.5" customHeight="1" outlineLevel="1">
      <c r="A120" s="140">
        <f t="shared" si="6"/>
        <v>100</v>
      </c>
      <c r="B120" s="139">
        <f t="shared" si="7"/>
        <v>46753</v>
      </c>
      <c r="C120" s="138"/>
      <c r="D120" s="137"/>
      <c r="E120" s="136">
        <f t="shared" si="8"/>
        <v>0</v>
      </c>
      <c r="F120" s="217"/>
      <c r="G120" s="136">
        <f t="shared" si="10"/>
        <v>3391.2558744606972</v>
      </c>
      <c r="H120" s="136">
        <f t="shared" si="11"/>
        <v>67825.117489214274</v>
      </c>
      <c r="I120" s="152">
        <f t="shared" si="9"/>
        <v>0</v>
      </c>
      <c r="J120" s="142"/>
    </row>
    <row r="121" spans="1:10" s="111" customFormat="1" ht="13.5" customHeight="1" outlineLevel="1">
      <c r="A121" s="140">
        <f t="shared" si="6"/>
        <v>101</v>
      </c>
      <c r="B121" s="139">
        <f t="shared" si="7"/>
        <v>46784</v>
      </c>
      <c r="C121" s="138"/>
      <c r="D121" s="137"/>
      <c r="E121" s="136">
        <f t="shared" si="8"/>
        <v>0</v>
      </c>
      <c r="F121" s="217"/>
      <c r="G121" s="136">
        <f t="shared" si="10"/>
        <v>3391.2558744606972</v>
      </c>
      <c r="H121" s="136">
        <f t="shared" si="11"/>
        <v>64433.861614753579</v>
      </c>
      <c r="I121" s="152">
        <f t="shared" si="9"/>
        <v>0</v>
      </c>
      <c r="J121" s="142"/>
    </row>
    <row r="122" spans="1:10" s="111" customFormat="1" ht="13.5" customHeight="1" outlineLevel="1">
      <c r="A122" s="140">
        <f t="shared" si="6"/>
        <v>102</v>
      </c>
      <c r="B122" s="139">
        <f t="shared" si="7"/>
        <v>46813</v>
      </c>
      <c r="C122" s="138"/>
      <c r="D122" s="137"/>
      <c r="E122" s="136">
        <f t="shared" si="8"/>
        <v>0</v>
      </c>
      <c r="F122" s="217"/>
      <c r="G122" s="136">
        <f t="shared" si="10"/>
        <v>3391.2558744606972</v>
      </c>
      <c r="H122" s="136">
        <f t="shared" si="11"/>
        <v>61042.605740292885</v>
      </c>
      <c r="I122" s="152">
        <f t="shared" si="9"/>
        <v>0</v>
      </c>
      <c r="J122" s="142"/>
    </row>
    <row r="123" spans="1:10" s="143" customFormat="1" ht="13.5" customHeight="1" outlineLevel="1">
      <c r="A123" s="140">
        <f t="shared" si="6"/>
        <v>103</v>
      </c>
      <c r="B123" s="139">
        <f t="shared" si="7"/>
        <v>46844</v>
      </c>
      <c r="C123" s="138"/>
      <c r="D123" s="145"/>
      <c r="E123" s="136">
        <f t="shared" si="8"/>
        <v>0</v>
      </c>
      <c r="F123" s="217"/>
      <c r="G123" s="136">
        <f t="shared" si="10"/>
        <v>3391.2558744606972</v>
      </c>
      <c r="H123" s="136">
        <f t="shared" si="11"/>
        <v>57651.349865832191</v>
      </c>
      <c r="I123" s="152">
        <f t="shared" si="9"/>
        <v>0</v>
      </c>
      <c r="J123" s="144"/>
    </row>
    <row r="124" spans="1:10" s="111" customFormat="1" ht="13.5" customHeight="1" outlineLevel="1">
      <c r="A124" s="140">
        <f t="shared" si="6"/>
        <v>104</v>
      </c>
      <c r="B124" s="139">
        <f t="shared" si="7"/>
        <v>46874</v>
      </c>
      <c r="C124" s="138"/>
      <c r="D124" s="137"/>
      <c r="E124" s="136">
        <f t="shared" si="8"/>
        <v>0</v>
      </c>
      <c r="F124" s="217"/>
      <c r="G124" s="136">
        <f t="shared" si="10"/>
        <v>3391.2558744606972</v>
      </c>
      <c r="H124" s="136">
        <f t="shared" si="11"/>
        <v>54260.093991371497</v>
      </c>
      <c r="I124" s="152">
        <f t="shared" si="9"/>
        <v>0</v>
      </c>
      <c r="J124" s="142"/>
    </row>
    <row r="125" spans="1:10" s="111" customFormat="1" ht="13.5" customHeight="1" outlineLevel="1">
      <c r="A125" s="140">
        <f t="shared" si="6"/>
        <v>105</v>
      </c>
      <c r="B125" s="139">
        <f t="shared" si="7"/>
        <v>46905</v>
      </c>
      <c r="C125" s="138"/>
      <c r="D125" s="137"/>
      <c r="E125" s="136">
        <f t="shared" si="8"/>
        <v>0</v>
      </c>
      <c r="F125" s="217"/>
      <c r="G125" s="136">
        <f t="shared" si="10"/>
        <v>3391.2558744606972</v>
      </c>
      <c r="H125" s="136">
        <f t="shared" si="11"/>
        <v>50868.838116910803</v>
      </c>
      <c r="I125" s="152">
        <f t="shared" si="9"/>
        <v>0</v>
      </c>
      <c r="J125" s="142"/>
    </row>
    <row r="126" spans="1:10" s="111" customFormat="1" ht="13.5" customHeight="1" outlineLevel="1">
      <c r="A126" s="140">
        <f t="shared" si="6"/>
        <v>106</v>
      </c>
      <c r="B126" s="139">
        <f t="shared" si="7"/>
        <v>46935</v>
      </c>
      <c r="C126" s="138"/>
      <c r="D126" s="137"/>
      <c r="E126" s="136">
        <f t="shared" si="8"/>
        <v>0</v>
      </c>
      <c r="F126" s="217"/>
      <c r="G126" s="136">
        <f t="shared" si="10"/>
        <v>3391.2558744606972</v>
      </c>
      <c r="H126" s="136">
        <f t="shared" si="11"/>
        <v>47477.582242450109</v>
      </c>
      <c r="I126" s="152">
        <f t="shared" si="9"/>
        <v>0</v>
      </c>
      <c r="J126" s="142"/>
    </row>
    <row r="127" spans="1:10" s="111" customFormat="1" ht="13.5" customHeight="1" outlineLevel="1">
      <c r="A127" s="140">
        <f t="shared" si="6"/>
        <v>107</v>
      </c>
      <c r="B127" s="139">
        <f t="shared" si="7"/>
        <v>46966</v>
      </c>
      <c r="C127" s="138"/>
      <c r="D127" s="137"/>
      <c r="E127" s="136">
        <f t="shared" si="8"/>
        <v>0</v>
      </c>
      <c r="F127" s="217"/>
      <c r="G127" s="136">
        <f t="shared" si="10"/>
        <v>3391.2558744606972</v>
      </c>
      <c r="H127" s="136">
        <f t="shared" si="11"/>
        <v>44086.326367989415</v>
      </c>
      <c r="I127" s="152">
        <f t="shared" si="9"/>
        <v>0</v>
      </c>
      <c r="J127" s="142"/>
    </row>
    <row r="128" spans="1:10" s="111" customFormat="1" ht="13.5" customHeight="1" outlineLevel="1">
      <c r="A128" s="140">
        <f t="shared" si="6"/>
        <v>108</v>
      </c>
      <c r="B128" s="139">
        <f t="shared" si="7"/>
        <v>46997</v>
      </c>
      <c r="C128" s="138"/>
      <c r="D128" s="137"/>
      <c r="E128" s="136">
        <f t="shared" si="8"/>
        <v>0</v>
      </c>
      <c r="F128" s="217"/>
      <c r="G128" s="136">
        <f t="shared" si="10"/>
        <v>3391.2558744606972</v>
      </c>
      <c r="H128" s="136">
        <f t="shared" si="11"/>
        <v>40695.070493528721</v>
      </c>
      <c r="I128" s="152">
        <f t="shared" si="9"/>
        <v>0</v>
      </c>
      <c r="J128" s="142"/>
    </row>
    <row r="129" spans="1:10" s="111" customFormat="1" ht="13.5" customHeight="1" outlineLevel="1">
      <c r="A129" s="140">
        <f t="shared" si="6"/>
        <v>109</v>
      </c>
      <c r="B129" s="139">
        <f t="shared" si="7"/>
        <v>47027</v>
      </c>
      <c r="C129" s="148">
        <v>50000</v>
      </c>
      <c r="D129" s="137"/>
      <c r="E129" s="136">
        <f t="shared" si="8"/>
        <v>31911.22757202826</v>
      </c>
      <c r="F129" s="217"/>
      <c r="G129" s="136">
        <f t="shared" si="10"/>
        <v>3391.2558744606972</v>
      </c>
      <c r="H129" s="136">
        <f t="shared" si="11"/>
        <v>37303.814619068027</v>
      </c>
      <c r="I129" s="152">
        <f t="shared" si="9"/>
        <v>33964.914372955674</v>
      </c>
      <c r="J129" s="142"/>
    </row>
    <row r="130" spans="1:10" s="111" customFormat="1" ht="13.5" customHeight="1" outlineLevel="1">
      <c r="A130" s="140">
        <f t="shared" si="6"/>
        <v>110</v>
      </c>
      <c r="B130" s="139">
        <f t="shared" si="7"/>
        <v>47058</v>
      </c>
      <c r="C130" s="138"/>
      <c r="D130" s="137"/>
      <c r="E130" s="136">
        <f t="shared" si="8"/>
        <v>0</v>
      </c>
      <c r="F130" s="217"/>
      <c r="G130" s="136">
        <f t="shared" si="10"/>
        <v>3391.2558744606972</v>
      </c>
      <c r="H130" s="136">
        <f t="shared" si="11"/>
        <v>33912.558744607333</v>
      </c>
      <c r="I130" s="152">
        <f t="shared" si="9"/>
        <v>0</v>
      </c>
      <c r="J130" s="142"/>
    </row>
    <row r="131" spans="1:10" s="111" customFormat="1" ht="13.5" customHeight="1" outlineLevel="1">
      <c r="A131" s="140">
        <f t="shared" si="6"/>
        <v>111</v>
      </c>
      <c r="B131" s="139">
        <f t="shared" si="7"/>
        <v>47088</v>
      </c>
      <c r="C131" s="138"/>
      <c r="D131" s="137"/>
      <c r="E131" s="136">
        <f t="shared" si="8"/>
        <v>0</v>
      </c>
      <c r="F131" s="217"/>
      <c r="G131" s="136">
        <f t="shared" si="10"/>
        <v>3391.2558744606972</v>
      </c>
      <c r="H131" s="136">
        <f t="shared" si="11"/>
        <v>30521.302870146636</v>
      </c>
      <c r="I131" s="152">
        <f t="shared" si="9"/>
        <v>0</v>
      </c>
      <c r="J131" s="142"/>
    </row>
    <row r="132" spans="1:10" s="111" customFormat="1" ht="13.5" customHeight="1" outlineLevel="1">
      <c r="A132" s="140">
        <f t="shared" si="6"/>
        <v>112</v>
      </c>
      <c r="B132" s="139">
        <f t="shared" si="7"/>
        <v>47119</v>
      </c>
      <c r="C132" s="138"/>
      <c r="D132" s="137"/>
      <c r="E132" s="136">
        <f t="shared" si="8"/>
        <v>0</v>
      </c>
      <c r="F132" s="217"/>
      <c r="G132" s="136">
        <f t="shared" si="10"/>
        <v>3391.2558744606972</v>
      </c>
      <c r="H132" s="136">
        <f t="shared" si="11"/>
        <v>27130.046995685938</v>
      </c>
      <c r="I132" s="152">
        <f t="shared" si="9"/>
        <v>0</v>
      </c>
      <c r="J132" s="142"/>
    </row>
    <row r="133" spans="1:10" s="111" customFormat="1" ht="13.5" customHeight="1" outlineLevel="1">
      <c r="A133" s="140">
        <f t="shared" si="6"/>
        <v>113</v>
      </c>
      <c r="B133" s="139">
        <f t="shared" si="7"/>
        <v>47150</v>
      </c>
      <c r="C133" s="138"/>
      <c r="D133" s="137"/>
      <c r="E133" s="136">
        <f t="shared" si="8"/>
        <v>0</v>
      </c>
      <c r="F133" s="217"/>
      <c r="G133" s="136">
        <f t="shared" si="10"/>
        <v>3391.2558744606972</v>
      </c>
      <c r="H133" s="136">
        <f t="shared" si="11"/>
        <v>23738.79112122524</v>
      </c>
      <c r="I133" s="152">
        <f t="shared" si="9"/>
        <v>0</v>
      </c>
      <c r="J133" s="142"/>
    </row>
    <row r="134" spans="1:10" s="111" customFormat="1" ht="13.5" customHeight="1" outlineLevel="1">
      <c r="A134" s="140">
        <f t="shared" si="6"/>
        <v>114</v>
      </c>
      <c r="B134" s="139">
        <f t="shared" si="7"/>
        <v>47178</v>
      </c>
      <c r="C134" s="138"/>
      <c r="D134" s="137"/>
      <c r="E134" s="136">
        <f t="shared" si="8"/>
        <v>0</v>
      </c>
      <c r="F134" s="217"/>
      <c r="G134" s="136">
        <f t="shared" si="10"/>
        <v>3391.2558744606972</v>
      </c>
      <c r="H134" s="136">
        <f t="shared" si="11"/>
        <v>20347.535246764543</v>
      </c>
      <c r="I134" s="152">
        <f t="shared" si="9"/>
        <v>0</v>
      </c>
      <c r="J134" s="142"/>
    </row>
    <row r="135" spans="1:10" s="111" customFormat="1" ht="13.5" customHeight="1" outlineLevel="1">
      <c r="A135" s="140">
        <f t="shared" si="6"/>
        <v>115</v>
      </c>
      <c r="B135" s="139">
        <f t="shared" si="7"/>
        <v>47209</v>
      </c>
      <c r="C135" s="138"/>
      <c r="D135" s="137"/>
      <c r="E135" s="136">
        <f t="shared" si="8"/>
        <v>0</v>
      </c>
      <c r="F135" s="217"/>
      <c r="G135" s="136">
        <f t="shared" si="10"/>
        <v>3391.2558744606972</v>
      </c>
      <c r="H135" s="136">
        <f t="shared" si="11"/>
        <v>16956.279372303845</v>
      </c>
      <c r="I135" s="152">
        <f t="shared" si="9"/>
        <v>0</v>
      </c>
      <c r="J135" s="142"/>
    </row>
    <row r="136" spans="1:10" s="111" customFormat="1" ht="13.5" customHeight="1" outlineLevel="1">
      <c r="A136" s="140">
        <f t="shared" si="6"/>
        <v>116</v>
      </c>
      <c r="B136" s="139">
        <f t="shared" si="7"/>
        <v>47239</v>
      </c>
      <c r="C136" s="138"/>
      <c r="D136" s="137"/>
      <c r="E136" s="136">
        <f t="shared" si="8"/>
        <v>0</v>
      </c>
      <c r="F136" s="217"/>
      <c r="G136" s="136">
        <f t="shared" si="10"/>
        <v>3391.2558744606972</v>
      </c>
      <c r="H136" s="136">
        <f t="shared" si="11"/>
        <v>13565.023497843147</v>
      </c>
      <c r="I136" s="152">
        <f t="shared" si="9"/>
        <v>0</v>
      </c>
      <c r="J136" s="142"/>
    </row>
    <row r="137" spans="1:10" s="111" customFormat="1" ht="13.5" customHeight="1" outlineLevel="1">
      <c r="A137" s="140">
        <f t="shared" si="6"/>
        <v>117</v>
      </c>
      <c r="B137" s="139">
        <f t="shared" si="7"/>
        <v>47270</v>
      </c>
      <c r="C137" s="138"/>
      <c r="D137" s="137"/>
      <c r="E137" s="136">
        <f t="shared" si="8"/>
        <v>0</v>
      </c>
      <c r="F137" s="217"/>
      <c r="G137" s="136">
        <f t="shared" si="10"/>
        <v>3391.2558744606972</v>
      </c>
      <c r="H137" s="136">
        <f t="shared" si="11"/>
        <v>10173.76762338245</v>
      </c>
      <c r="I137" s="152">
        <f t="shared" si="9"/>
        <v>0</v>
      </c>
      <c r="J137" s="142"/>
    </row>
    <row r="138" spans="1:10" s="111" customFormat="1" ht="13.5" customHeight="1" outlineLevel="1">
      <c r="A138" s="140">
        <f t="shared" si="6"/>
        <v>118</v>
      </c>
      <c r="B138" s="139">
        <f t="shared" si="7"/>
        <v>47300</v>
      </c>
      <c r="C138" s="138"/>
      <c r="D138" s="137"/>
      <c r="E138" s="136">
        <f t="shared" si="8"/>
        <v>0</v>
      </c>
      <c r="F138" s="217"/>
      <c r="G138" s="136">
        <f t="shared" si="10"/>
        <v>3391.2558744606972</v>
      </c>
      <c r="H138" s="136">
        <f t="shared" si="11"/>
        <v>6782.5117489217519</v>
      </c>
      <c r="I138" s="152">
        <f t="shared" si="9"/>
        <v>0</v>
      </c>
      <c r="J138" s="142"/>
    </row>
    <row r="139" spans="1:10" s="111" customFormat="1" ht="13.5" customHeight="1" outlineLevel="1">
      <c r="A139" s="140">
        <f t="shared" si="6"/>
        <v>119</v>
      </c>
      <c r="B139" s="139">
        <f t="shared" si="7"/>
        <v>47331</v>
      </c>
      <c r="C139" s="138"/>
      <c r="D139" s="137"/>
      <c r="E139" s="136">
        <f t="shared" si="8"/>
        <v>0</v>
      </c>
      <c r="F139" s="217"/>
      <c r="G139" s="136">
        <f t="shared" si="10"/>
        <v>3391.2558744606972</v>
      </c>
      <c r="H139" s="136">
        <f t="shared" si="11"/>
        <v>3391.2558744610546</v>
      </c>
      <c r="I139" s="152">
        <f t="shared" si="9"/>
        <v>0</v>
      </c>
      <c r="J139" s="142"/>
    </row>
    <row r="140" spans="1:10" s="111" customFormat="1" outlineLevel="1">
      <c r="A140" s="140">
        <f t="shared" si="6"/>
        <v>120</v>
      </c>
      <c r="B140" s="139">
        <f t="shared" si="7"/>
        <v>47362</v>
      </c>
      <c r="C140" s="138"/>
      <c r="D140" s="137"/>
      <c r="E140" s="136">
        <f t="shared" si="8"/>
        <v>0</v>
      </c>
      <c r="F140" s="217"/>
      <c r="G140" s="136">
        <f t="shared" si="10"/>
        <v>3391.2558744606972</v>
      </c>
      <c r="H140" s="136">
        <f t="shared" si="11"/>
        <v>3.574314177967608E-10</v>
      </c>
      <c r="I140" s="152">
        <f t="shared" si="9"/>
        <v>0</v>
      </c>
      <c r="J140" s="141"/>
    </row>
    <row r="141" spans="1:10" s="111" customFormat="1" ht="13.5" customHeight="1" outlineLevel="1">
      <c r="A141" s="140">
        <f t="shared" si="6"/>
        <v>121</v>
      </c>
      <c r="B141" s="139">
        <f t="shared" si="7"/>
        <v>47392</v>
      </c>
      <c r="C141" s="138"/>
      <c r="D141" s="137"/>
      <c r="E141" s="136">
        <f t="shared" si="8"/>
        <v>0</v>
      </c>
      <c r="F141" s="217"/>
      <c r="G141" s="136">
        <f t="shared" si="10"/>
        <v>0</v>
      </c>
      <c r="H141" s="136">
        <f t="shared" si="11"/>
        <v>3.574314177967608E-10</v>
      </c>
      <c r="I141" s="152">
        <f t="shared" si="9"/>
        <v>0</v>
      </c>
      <c r="J141" s="142"/>
    </row>
    <row r="142" spans="1:10" s="111" customFormat="1" ht="13.5" customHeight="1" outlineLevel="1">
      <c r="A142" s="140">
        <f t="shared" si="6"/>
        <v>122</v>
      </c>
      <c r="B142" s="139">
        <f t="shared" si="7"/>
        <v>47423</v>
      </c>
      <c r="C142" s="138"/>
      <c r="D142" s="137"/>
      <c r="E142" s="136">
        <f t="shared" si="8"/>
        <v>0</v>
      </c>
      <c r="F142" s="217"/>
      <c r="G142" s="136">
        <f t="shared" si="10"/>
        <v>0</v>
      </c>
      <c r="H142" s="136">
        <f t="shared" si="11"/>
        <v>3.574314177967608E-10</v>
      </c>
      <c r="I142" s="152">
        <f t="shared" si="9"/>
        <v>0</v>
      </c>
      <c r="J142" s="142"/>
    </row>
    <row r="143" spans="1:10" s="111" customFormat="1" ht="13.5" customHeight="1" outlineLevel="1">
      <c r="A143" s="140">
        <f t="shared" si="6"/>
        <v>123</v>
      </c>
      <c r="B143" s="139">
        <f t="shared" si="7"/>
        <v>47453</v>
      </c>
      <c r="C143" s="138"/>
      <c r="D143" s="137"/>
      <c r="E143" s="136">
        <f t="shared" si="8"/>
        <v>0</v>
      </c>
      <c r="F143" s="217"/>
      <c r="G143" s="136">
        <f t="shared" si="10"/>
        <v>0</v>
      </c>
      <c r="H143" s="136">
        <f t="shared" si="11"/>
        <v>3.574314177967608E-10</v>
      </c>
      <c r="I143" s="152">
        <f t="shared" si="9"/>
        <v>0</v>
      </c>
      <c r="J143" s="142"/>
    </row>
    <row r="144" spans="1:10" s="111" customFormat="1" ht="13.5" customHeight="1" outlineLevel="1">
      <c r="A144" s="140">
        <f t="shared" si="6"/>
        <v>124</v>
      </c>
      <c r="B144" s="139">
        <f t="shared" si="7"/>
        <v>47484</v>
      </c>
      <c r="C144" s="138"/>
      <c r="D144" s="137"/>
      <c r="E144" s="136">
        <f t="shared" si="8"/>
        <v>0</v>
      </c>
      <c r="F144" s="217"/>
      <c r="G144" s="136">
        <f t="shared" si="10"/>
        <v>0</v>
      </c>
      <c r="H144" s="136">
        <f t="shared" si="11"/>
        <v>3.574314177967608E-10</v>
      </c>
      <c r="I144" s="152">
        <f t="shared" si="9"/>
        <v>0</v>
      </c>
      <c r="J144" s="142"/>
    </row>
    <row r="145" spans="1:10" s="111" customFormat="1" ht="13.5" customHeight="1" outlineLevel="1">
      <c r="A145" s="140">
        <f t="shared" si="6"/>
        <v>125</v>
      </c>
      <c r="B145" s="139">
        <f t="shared" si="7"/>
        <v>47515</v>
      </c>
      <c r="C145" s="138"/>
      <c r="D145" s="137"/>
      <c r="E145" s="136">
        <f t="shared" si="8"/>
        <v>0</v>
      </c>
      <c r="F145" s="217"/>
      <c r="G145" s="136">
        <f t="shared" si="10"/>
        <v>0</v>
      </c>
      <c r="H145" s="136">
        <f t="shared" si="11"/>
        <v>3.574314177967608E-10</v>
      </c>
      <c r="I145" s="152">
        <f t="shared" si="9"/>
        <v>0</v>
      </c>
      <c r="J145" s="142"/>
    </row>
    <row r="146" spans="1:10" s="111" customFormat="1" ht="13.5" customHeight="1" outlineLevel="1">
      <c r="A146" s="140">
        <f t="shared" si="6"/>
        <v>126</v>
      </c>
      <c r="B146" s="139">
        <f t="shared" si="7"/>
        <v>47543</v>
      </c>
      <c r="C146" s="138"/>
      <c r="D146" s="137"/>
      <c r="E146" s="136">
        <f t="shared" si="8"/>
        <v>0</v>
      </c>
      <c r="F146" s="217"/>
      <c r="G146" s="136">
        <f t="shared" si="10"/>
        <v>0</v>
      </c>
      <c r="H146" s="136">
        <f t="shared" si="11"/>
        <v>3.574314177967608E-10</v>
      </c>
      <c r="I146" s="152">
        <f t="shared" si="9"/>
        <v>0</v>
      </c>
      <c r="J146" s="142"/>
    </row>
    <row r="147" spans="1:10" s="111" customFormat="1" ht="13.5" customHeight="1" outlineLevel="1">
      <c r="A147" s="140">
        <f t="shared" si="6"/>
        <v>127</v>
      </c>
      <c r="B147" s="139">
        <f t="shared" si="7"/>
        <v>47574</v>
      </c>
      <c r="C147" s="138"/>
      <c r="D147" s="137"/>
      <c r="E147" s="136">
        <f t="shared" si="8"/>
        <v>0</v>
      </c>
      <c r="F147" s="217"/>
      <c r="G147" s="136">
        <f t="shared" si="10"/>
        <v>0</v>
      </c>
      <c r="H147" s="136">
        <f t="shared" si="11"/>
        <v>3.574314177967608E-10</v>
      </c>
      <c r="I147" s="152">
        <f t="shared" si="9"/>
        <v>0</v>
      </c>
      <c r="J147" s="142"/>
    </row>
    <row r="148" spans="1:10" s="111" customFormat="1" ht="13.5" customHeight="1" outlineLevel="1">
      <c r="A148" s="140">
        <f t="shared" si="6"/>
        <v>128</v>
      </c>
      <c r="B148" s="139">
        <f t="shared" si="7"/>
        <v>47604</v>
      </c>
      <c r="C148" s="138"/>
      <c r="D148" s="137"/>
      <c r="E148" s="136">
        <f t="shared" si="8"/>
        <v>0</v>
      </c>
      <c r="F148" s="217"/>
      <c r="G148" s="136">
        <f t="shared" si="10"/>
        <v>0</v>
      </c>
      <c r="H148" s="136">
        <f t="shared" si="11"/>
        <v>3.574314177967608E-10</v>
      </c>
      <c r="I148" s="152">
        <f t="shared" si="9"/>
        <v>0</v>
      </c>
      <c r="J148" s="142"/>
    </row>
    <row r="149" spans="1:10" s="111" customFormat="1" ht="13.5" customHeight="1" outlineLevel="1">
      <c r="A149" s="140">
        <f t="shared" si="6"/>
        <v>129</v>
      </c>
      <c r="B149" s="139">
        <f t="shared" si="7"/>
        <v>47635</v>
      </c>
      <c r="C149" s="138"/>
      <c r="D149" s="137"/>
      <c r="E149" s="136">
        <f t="shared" si="8"/>
        <v>0</v>
      </c>
      <c r="F149" s="217"/>
      <c r="G149" s="136">
        <f t="shared" si="10"/>
        <v>0</v>
      </c>
      <c r="H149" s="136">
        <f t="shared" si="11"/>
        <v>3.574314177967608E-10</v>
      </c>
      <c r="I149" s="152">
        <f t="shared" si="9"/>
        <v>0</v>
      </c>
      <c r="J149" s="142"/>
    </row>
    <row r="150" spans="1:10" s="111" customFormat="1" ht="13.5" customHeight="1" outlineLevel="1">
      <c r="A150" s="140">
        <f t="shared" ref="A150:A213" si="12">A149+1</f>
        <v>130</v>
      </c>
      <c r="B150" s="139">
        <f t="shared" ref="B150:B213" si="13">EDATE(B149,1)</f>
        <v>47665</v>
      </c>
      <c r="C150" s="138"/>
      <c r="D150" s="137"/>
      <c r="E150" s="136">
        <f t="shared" ref="E150:E213" si="14">(D150+C150)/(POWER((1+$C$17/12),A150-1))</f>
        <v>0</v>
      </c>
      <c r="F150" s="217"/>
      <c r="G150" s="136">
        <f t="shared" si="10"/>
        <v>0</v>
      </c>
      <c r="H150" s="136">
        <f t="shared" si="11"/>
        <v>3.574314177967608E-10</v>
      </c>
      <c r="I150" s="152">
        <f t="shared" ref="I150:I213" si="15">IF(YEAR(B150)&lt;2021,0,C150/(POWER((1+$C$17/12),IF(YEAR($C$15)&lt;2021,DATEDIF("2021年1月",$B150,"M"),$A150))))</f>
        <v>0</v>
      </c>
      <c r="J150" s="142"/>
    </row>
    <row r="151" spans="1:10" s="111" customFormat="1" ht="13.5" customHeight="1" outlineLevel="1">
      <c r="A151" s="140">
        <f t="shared" si="12"/>
        <v>131</v>
      </c>
      <c r="B151" s="139">
        <f t="shared" si="13"/>
        <v>47696</v>
      </c>
      <c r="C151" s="138"/>
      <c r="D151" s="137"/>
      <c r="E151" s="136">
        <f t="shared" si="14"/>
        <v>0</v>
      </c>
      <c r="F151" s="217"/>
      <c r="G151" s="136">
        <f t="shared" ref="G151:G214" si="16">IF($A151&gt;$C$18,0,($E$348+$F$348)/($C$18-1))</f>
        <v>0</v>
      </c>
      <c r="H151" s="136">
        <f t="shared" ref="H151:H214" si="17">H150-G151</f>
        <v>3.574314177967608E-10</v>
      </c>
      <c r="I151" s="152">
        <f t="shared" si="15"/>
        <v>0</v>
      </c>
      <c r="J151" s="142"/>
    </row>
    <row r="152" spans="1:10" s="111" customFormat="1" ht="13.5" customHeight="1" outlineLevel="1">
      <c r="A152" s="140">
        <f t="shared" si="12"/>
        <v>132</v>
      </c>
      <c r="B152" s="139">
        <f t="shared" si="13"/>
        <v>47727</v>
      </c>
      <c r="C152" s="138"/>
      <c r="D152" s="137"/>
      <c r="E152" s="136">
        <f t="shared" si="14"/>
        <v>0</v>
      </c>
      <c r="F152" s="217"/>
      <c r="G152" s="136">
        <f t="shared" si="16"/>
        <v>0</v>
      </c>
      <c r="H152" s="136">
        <f t="shared" si="17"/>
        <v>3.574314177967608E-10</v>
      </c>
      <c r="I152" s="152">
        <f t="shared" si="15"/>
        <v>0</v>
      </c>
      <c r="J152" s="142"/>
    </row>
    <row r="153" spans="1:10" s="111" customFormat="1" ht="13.5" customHeight="1" outlineLevel="1">
      <c r="A153" s="140">
        <f t="shared" si="12"/>
        <v>133</v>
      </c>
      <c r="B153" s="139">
        <f t="shared" si="13"/>
        <v>47757</v>
      </c>
      <c r="C153" s="138"/>
      <c r="D153" s="137"/>
      <c r="E153" s="136">
        <f t="shared" si="14"/>
        <v>0</v>
      </c>
      <c r="F153" s="217"/>
      <c r="G153" s="136">
        <f t="shared" si="16"/>
        <v>0</v>
      </c>
      <c r="H153" s="136">
        <f t="shared" si="17"/>
        <v>3.574314177967608E-10</v>
      </c>
      <c r="I153" s="152">
        <f t="shared" si="15"/>
        <v>0</v>
      </c>
      <c r="J153" s="142"/>
    </row>
    <row r="154" spans="1:10" s="111" customFormat="1" ht="13.5" customHeight="1" outlineLevel="1">
      <c r="A154" s="140">
        <f t="shared" si="12"/>
        <v>134</v>
      </c>
      <c r="B154" s="139">
        <f t="shared" si="13"/>
        <v>47788</v>
      </c>
      <c r="C154" s="138"/>
      <c r="D154" s="137"/>
      <c r="E154" s="136">
        <f t="shared" si="14"/>
        <v>0</v>
      </c>
      <c r="F154" s="217"/>
      <c r="G154" s="136">
        <f t="shared" si="16"/>
        <v>0</v>
      </c>
      <c r="H154" s="136">
        <f t="shared" si="17"/>
        <v>3.574314177967608E-10</v>
      </c>
      <c r="I154" s="152">
        <f t="shared" si="15"/>
        <v>0</v>
      </c>
      <c r="J154" s="142"/>
    </row>
    <row r="155" spans="1:10" s="111" customFormat="1" ht="13.5" customHeight="1" outlineLevel="1">
      <c r="A155" s="140">
        <f t="shared" si="12"/>
        <v>135</v>
      </c>
      <c r="B155" s="139">
        <f t="shared" si="13"/>
        <v>47818</v>
      </c>
      <c r="C155" s="138"/>
      <c r="D155" s="137"/>
      <c r="E155" s="136">
        <f t="shared" si="14"/>
        <v>0</v>
      </c>
      <c r="F155" s="217"/>
      <c r="G155" s="136">
        <f t="shared" si="16"/>
        <v>0</v>
      </c>
      <c r="H155" s="136">
        <f t="shared" si="17"/>
        <v>3.574314177967608E-10</v>
      </c>
      <c r="I155" s="152">
        <f t="shared" si="15"/>
        <v>0</v>
      </c>
      <c r="J155" s="142"/>
    </row>
    <row r="156" spans="1:10" s="111" customFormat="1" ht="13.5" customHeight="1" outlineLevel="1">
      <c r="A156" s="140">
        <f t="shared" si="12"/>
        <v>136</v>
      </c>
      <c r="B156" s="139">
        <f t="shared" si="13"/>
        <v>47849</v>
      </c>
      <c r="C156" s="138"/>
      <c r="D156" s="137"/>
      <c r="E156" s="136">
        <f t="shared" si="14"/>
        <v>0</v>
      </c>
      <c r="F156" s="217"/>
      <c r="G156" s="136">
        <f t="shared" si="16"/>
        <v>0</v>
      </c>
      <c r="H156" s="136">
        <f t="shared" si="17"/>
        <v>3.574314177967608E-10</v>
      </c>
      <c r="I156" s="152">
        <f t="shared" si="15"/>
        <v>0</v>
      </c>
      <c r="J156" s="142"/>
    </row>
    <row r="157" spans="1:10" s="111" customFormat="1" ht="13.5" customHeight="1" outlineLevel="1">
      <c r="A157" s="140">
        <f t="shared" si="12"/>
        <v>137</v>
      </c>
      <c r="B157" s="139">
        <f t="shared" si="13"/>
        <v>47880</v>
      </c>
      <c r="C157" s="138"/>
      <c r="D157" s="137"/>
      <c r="E157" s="136">
        <f t="shared" si="14"/>
        <v>0</v>
      </c>
      <c r="F157" s="217"/>
      <c r="G157" s="136">
        <f t="shared" si="16"/>
        <v>0</v>
      </c>
      <c r="H157" s="136">
        <f t="shared" si="17"/>
        <v>3.574314177967608E-10</v>
      </c>
      <c r="I157" s="152">
        <f t="shared" si="15"/>
        <v>0</v>
      </c>
      <c r="J157" s="142"/>
    </row>
    <row r="158" spans="1:10" s="111" customFormat="1" ht="13.5" customHeight="1" outlineLevel="1">
      <c r="A158" s="140">
        <f t="shared" si="12"/>
        <v>138</v>
      </c>
      <c r="B158" s="139">
        <f t="shared" si="13"/>
        <v>47908</v>
      </c>
      <c r="C158" s="138"/>
      <c r="D158" s="137"/>
      <c r="E158" s="136">
        <f t="shared" si="14"/>
        <v>0</v>
      </c>
      <c r="F158" s="217"/>
      <c r="G158" s="136">
        <f t="shared" si="16"/>
        <v>0</v>
      </c>
      <c r="H158" s="136">
        <f t="shared" si="17"/>
        <v>3.574314177967608E-10</v>
      </c>
      <c r="I158" s="152">
        <f t="shared" si="15"/>
        <v>0</v>
      </c>
      <c r="J158" s="142"/>
    </row>
    <row r="159" spans="1:10" s="143" customFormat="1" ht="13.5" customHeight="1" outlineLevel="1">
      <c r="A159" s="140">
        <f t="shared" si="12"/>
        <v>139</v>
      </c>
      <c r="B159" s="139">
        <f t="shared" si="13"/>
        <v>47939</v>
      </c>
      <c r="C159" s="138"/>
      <c r="D159" s="145"/>
      <c r="E159" s="136">
        <f t="shared" si="14"/>
        <v>0</v>
      </c>
      <c r="F159" s="217"/>
      <c r="G159" s="136">
        <f t="shared" si="16"/>
        <v>0</v>
      </c>
      <c r="H159" s="136">
        <f t="shared" si="17"/>
        <v>3.574314177967608E-10</v>
      </c>
      <c r="I159" s="152">
        <f t="shared" si="15"/>
        <v>0</v>
      </c>
      <c r="J159" s="144"/>
    </row>
    <row r="160" spans="1:10" s="111" customFormat="1" ht="13.5" customHeight="1" outlineLevel="1">
      <c r="A160" s="140">
        <f t="shared" si="12"/>
        <v>140</v>
      </c>
      <c r="B160" s="139">
        <f t="shared" si="13"/>
        <v>47969</v>
      </c>
      <c r="C160" s="138"/>
      <c r="D160" s="137"/>
      <c r="E160" s="136">
        <f t="shared" si="14"/>
        <v>0</v>
      </c>
      <c r="F160" s="217"/>
      <c r="G160" s="136">
        <f t="shared" si="16"/>
        <v>0</v>
      </c>
      <c r="H160" s="136">
        <f t="shared" si="17"/>
        <v>3.574314177967608E-10</v>
      </c>
      <c r="I160" s="152">
        <f t="shared" si="15"/>
        <v>0</v>
      </c>
      <c r="J160" s="142"/>
    </row>
    <row r="161" spans="1:10" s="111" customFormat="1" ht="13.5" customHeight="1" outlineLevel="1">
      <c r="A161" s="140">
        <f t="shared" si="12"/>
        <v>141</v>
      </c>
      <c r="B161" s="139">
        <f t="shared" si="13"/>
        <v>48000</v>
      </c>
      <c r="C161" s="138"/>
      <c r="D161" s="137"/>
      <c r="E161" s="136">
        <f t="shared" si="14"/>
        <v>0</v>
      </c>
      <c r="F161" s="217"/>
      <c r="G161" s="136">
        <f t="shared" si="16"/>
        <v>0</v>
      </c>
      <c r="H161" s="136">
        <f t="shared" si="17"/>
        <v>3.574314177967608E-10</v>
      </c>
      <c r="I161" s="152">
        <f t="shared" si="15"/>
        <v>0</v>
      </c>
      <c r="J161" s="142"/>
    </row>
    <row r="162" spans="1:10" s="111" customFormat="1" ht="13.5" customHeight="1" outlineLevel="1">
      <c r="A162" s="140">
        <f t="shared" si="12"/>
        <v>142</v>
      </c>
      <c r="B162" s="139">
        <f t="shared" si="13"/>
        <v>48030</v>
      </c>
      <c r="C162" s="138"/>
      <c r="D162" s="137"/>
      <c r="E162" s="136">
        <f t="shared" si="14"/>
        <v>0</v>
      </c>
      <c r="F162" s="217"/>
      <c r="G162" s="136">
        <f t="shared" si="16"/>
        <v>0</v>
      </c>
      <c r="H162" s="136">
        <f t="shared" si="17"/>
        <v>3.574314177967608E-10</v>
      </c>
      <c r="I162" s="152">
        <f t="shared" si="15"/>
        <v>0</v>
      </c>
      <c r="J162" s="142"/>
    </row>
    <row r="163" spans="1:10" s="111" customFormat="1" ht="13.5" customHeight="1" outlineLevel="1">
      <c r="A163" s="140">
        <f t="shared" si="12"/>
        <v>143</v>
      </c>
      <c r="B163" s="139">
        <f t="shared" si="13"/>
        <v>48061</v>
      </c>
      <c r="C163" s="138"/>
      <c r="D163" s="137"/>
      <c r="E163" s="136">
        <f t="shared" si="14"/>
        <v>0</v>
      </c>
      <c r="F163" s="217"/>
      <c r="G163" s="136">
        <f t="shared" si="16"/>
        <v>0</v>
      </c>
      <c r="H163" s="136">
        <f t="shared" si="17"/>
        <v>3.574314177967608E-10</v>
      </c>
      <c r="I163" s="152">
        <f t="shared" si="15"/>
        <v>0</v>
      </c>
      <c r="J163" s="142"/>
    </row>
    <row r="164" spans="1:10" s="111" customFormat="1" ht="13.5" customHeight="1" outlineLevel="1">
      <c r="A164" s="140">
        <f t="shared" si="12"/>
        <v>144</v>
      </c>
      <c r="B164" s="139">
        <f t="shared" si="13"/>
        <v>48092</v>
      </c>
      <c r="C164" s="138"/>
      <c r="D164" s="137"/>
      <c r="E164" s="136">
        <f t="shared" si="14"/>
        <v>0</v>
      </c>
      <c r="F164" s="217"/>
      <c r="G164" s="136">
        <f t="shared" si="16"/>
        <v>0</v>
      </c>
      <c r="H164" s="136">
        <f t="shared" si="17"/>
        <v>3.574314177967608E-10</v>
      </c>
      <c r="I164" s="152">
        <f t="shared" si="15"/>
        <v>0</v>
      </c>
      <c r="J164" s="142"/>
    </row>
    <row r="165" spans="1:10" s="111" customFormat="1" ht="13.5" customHeight="1" outlineLevel="1">
      <c r="A165" s="140">
        <f t="shared" si="12"/>
        <v>145</v>
      </c>
      <c r="B165" s="139">
        <f t="shared" si="13"/>
        <v>48122</v>
      </c>
      <c r="C165" s="138"/>
      <c r="D165" s="137"/>
      <c r="E165" s="136">
        <f t="shared" si="14"/>
        <v>0</v>
      </c>
      <c r="F165" s="217"/>
      <c r="G165" s="136">
        <f t="shared" si="16"/>
        <v>0</v>
      </c>
      <c r="H165" s="136">
        <f t="shared" si="17"/>
        <v>3.574314177967608E-10</v>
      </c>
      <c r="I165" s="152">
        <f t="shared" si="15"/>
        <v>0</v>
      </c>
      <c r="J165" s="142"/>
    </row>
    <row r="166" spans="1:10" s="111" customFormat="1" ht="13.5" customHeight="1" outlineLevel="1">
      <c r="A166" s="140">
        <f t="shared" si="12"/>
        <v>146</v>
      </c>
      <c r="B166" s="139">
        <f t="shared" si="13"/>
        <v>48153</v>
      </c>
      <c r="C166" s="138"/>
      <c r="D166" s="137"/>
      <c r="E166" s="136">
        <f t="shared" si="14"/>
        <v>0</v>
      </c>
      <c r="F166" s="217"/>
      <c r="G166" s="136">
        <f t="shared" si="16"/>
        <v>0</v>
      </c>
      <c r="H166" s="136">
        <f t="shared" si="17"/>
        <v>3.574314177967608E-10</v>
      </c>
      <c r="I166" s="152">
        <f t="shared" si="15"/>
        <v>0</v>
      </c>
      <c r="J166" s="142"/>
    </row>
    <row r="167" spans="1:10" s="111" customFormat="1" ht="13.5" customHeight="1" outlineLevel="1">
      <c r="A167" s="140">
        <f t="shared" si="12"/>
        <v>147</v>
      </c>
      <c r="B167" s="139">
        <f t="shared" si="13"/>
        <v>48183</v>
      </c>
      <c r="C167" s="138"/>
      <c r="D167" s="137"/>
      <c r="E167" s="136">
        <f t="shared" si="14"/>
        <v>0</v>
      </c>
      <c r="F167" s="217"/>
      <c r="G167" s="136">
        <f t="shared" si="16"/>
        <v>0</v>
      </c>
      <c r="H167" s="136">
        <f t="shared" si="17"/>
        <v>3.574314177967608E-10</v>
      </c>
      <c r="I167" s="152">
        <f t="shared" si="15"/>
        <v>0</v>
      </c>
      <c r="J167" s="142"/>
    </row>
    <row r="168" spans="1:10" s="111" customFormat="1" ht="13.5" customHeight="1" outlineLevel="1">
      <c r="A168" s="140">
        <f t="shared" si="12"/>
        <v>148</v>
      </c>
      <c r="B168" s="139">
        <f t="shared" si="13"/>
        <v>48214</v>
      </c>
      <c r="C168" s="138"/>
      <c r="D168" s="137"/>
      <c r="E168" s="136">
        <f t="shared" si="14"/>
        <v>0</v>
      </c>
      <c r="F168" s="217"/>
      <c r="G168" s="136">
        <f t="shared" si="16"/>
        <v>0</v>
      </c>
      <c r="H168" s="136">
        <f t="shared" si="17"/>
        <v>3.574314177967608E-10</v>
      </c>
      <c r="I168" s="152">
        <f t="shared" si="15"/>
        <v>0</v>
      </c>
      <c r="J168" s="142"/>
    </row>
    <row r="169" spans="1:10" s="111" customFormat="1" ht="13.5" customHeight="1" outlineLevel="1">
      <c r="A169" s="140">
        <f t="shared" si="12"/>
        <v>149</v>
      </c>
      <c r="B169" s="139">
        <f t="shared" si="13"/>
        <v>48245</v>
      </c>
      <c r="C169" s="138"/>
      <c r="D169" s="137"/>
      <c r="E169" s="136">
        <f t="shared" si="14"/>
        <v>0</v>
      </c>
      <c r="F169" s="217"/>
      <c r="G169" s="136">
        <f t="shared" si="16"/>
        <v>0</v>
      </c>
      <c r="H169" s="136">
        <f t="shared" si="17"/>
        <v>3.574314177967608E-10</v>
      </c>
      <c r="I169" s="152">
        <f t="shared" si="15"/>
        <v>0</v>
      </c>
      <c r="J169" s="142"/>
    </row>
    <row r="170" spans="1:10" s="111" customFormat="1" ht="13.5" customHeight="1" outlineLevel="1">
      <c r="A170" s="140">
        <f t="shared" si="12"/>
        <v>150</v>
      </c>
      <c r="B170" s="139">
        <f t="shared" si="13"/>
        <v>48274</v>
      </c>
      <c r="C170" s="138"/>
      <c r="D170" s="137"/>
      <c r="E170" s="136">
        <f t="shared" si="14"/>
        <v>0</v>
      </c>
      <c r="F170" s="217"/>
      <c r="G170" s="136">
        <f t="shared" si="16"/>
        <v>0</v>
      </c>
      <c r="H170" s="136">
        <f t="shared" si="17"/>
        <v>3.574314177967608E-10</v>
      </c>
      <c r="I170" s="152">
        <f t="shared" si="15"/>
        <v>0</v>
      </c>
      <c r="J170" s="142"/>
    </row>
    <row r="171" spans="1:10" s="111" customFormat="1" ht="13.5" customHeight="1" outlineLevel="1">
      <c r="A171" s="140">
        <f t="shared" si="12"/>
        <v>151</v>
      </c>
      <c r="B171" s="139">
        <f t="shared" si="13"/>
        <v>48305</v>
      </c>
      <c r="C171" s="138"/>
      <c r="D171" s="137"/>
      <c r="E171" s="136">
        <f t="shared" si="14"/>
        <v>0</v>
      </c>
      <c r="F171" s="217"/>
      <c r="G171" s="136">
        <f t="shared" si="16"/>
        <v>0</v>
      </c>
      <c r="H171" s="136">
        <f t="shared" si="17"/>
        <v>3.574314177967608E-10</v>
      </c>
      <c r="I171" s="152">
        <f t="shared" si="15"/>
        <v>0</v>
      </c>
      <c r="J171" s="142"/>
    </row>
    <row r="172" spans="1:10" s="111" customFormat="1" ht="13.5" customHeight="1" outlineLevel="1">
      <c r="A172" s="140">
        <f t="shared" si="12"/>
        <v>152</v>
      </c>
      <c r="B172" s="139">
        <f t="shared" si="13"/>
        <v>48335</v>
      </c>
      <c r="C172" s="138"/>
      <c r="D172" s="137"/>
      <c r="E172" s="136">
        <f t="shared" si="14"/>
        <v>0</v>
      </c>
      <c r="F172" s="217"/>
      <c r="G172" s="136">
        <f t="shared" si="16"/>
        <v>0</v>
      </c>
      <c r="H172" s="136">
        <f t="shared" si="17"/>
        <v>3.574314177967608E-10</v>
      </c>
      <c r="I172" s="152">
        <f t="shared" si="15"/>
        <v>0</v>
      </c>
      <c r="J172" s="142"/>
    </row>
    <row r="173" spans="1:10" s="111" customFormat="1" ht="13.5" customHeight="1" outlineLevel="1">
      <c r="A173" s="140">
        <f t="shared" si="12"/>
        <v>153</v>
      </c>
      <c r="B173" s="139">
        <f t="shared" si="13"/>
        <v>48366</v>
      </c>
      <c r="C173" s="138"/>
      <c r="D173" s="137"/>
      <c r="E173" s="136">
        <f t="shared" si="14"/>
        <v>0</v>
      </c>
      <c r="F173" s="217"/>
      <c r="G173" s="136">
        <f t="shared" si="16"/>
        <v>0</v>
      </c>
      <c r="H173" s="136">
        <f t="shared" si="17"/>
        <v>3.574314177967608E-10</v>
      </c>
      <c r="I173" s="152">
        <f t="shared" si="15"/>
        <v>0</v>
      </c>
      <c r="J173" s="142"/>
    </row>
    <row r="174" spans="1:10" s="111" customFormat="1" ht="13.5" customHeight="1" outlineLevel="1">
      <c r="A174" s="140">
        <f t="shared" si="12"/>
        <v>154</v>
      </c>
      <c r="B174" s="139">
        <f t="shared" si="13"/>
        <v>48396</v>
      </c>
      <c r="C174" s="138"/>
      <c r="D174" s="137"/>
      <c r="E174" s="136">
        <f t="shared" si="14"/>
        <v>0</v>
      </c>
      <c r="F174" s="217"/>
      <c r="G174" s="136">
        <f t="shared" si="16"/>
        <v>0</v>
      </c>
      <c r="H174" s="136">
        <f t="shared" si="17"/>
        <v>3.574314177967608E-10</v>
      </c>
      <c r="I174" s="152">
        <f t="shared" si="15"/>
        <v>0</v>
      </c>
      <c r="J174" s="142"/>
    </row>
    <row r="175" spans="1:10" s="111" customFormat="1" ht="13.5" customHeight="1" outlineLevel="1">
      <c r="A175" s="140">
        <f t="shared" si="12"/>
        <v>155</v>
      </c>
      <c r="B175" s="139">
        <f t="shared" si="13"/>
        <v>48427</v>
      </c>
      <c r="C175" s="138"/>
      <c r="D175" s="137"/>
      <c r="E175" s="136">
        <f t="shared" si="14"/>
        <v>0</v>
      </c>
      <c r="F175" s="217"/>
      <c r="G175" s="136">
        <f t="shared" si="16"/>
        <v>0</v>
      </c>
      <c r="H175" s="136">
        <f t="shared" si="17"/>
        <v>3.574314177967608E-10</v>
      </c>
      <c r="I175" s="152">
        <f t="shared" si="15"/>
        <v>0</v>
      </c>
      <c r="J175" s="142"/>
    </row>
    <row r="176" spans="1:10" s="111" customFormat="1" ht="13.5" customHeight="1" outlineLevel="1">
      <c r="A176" s="140">
        <f t="shared" si="12"/>
        <v>156</v>
      </c>
      <c r="B176" s="139">
        <f t="shared" si="13"/>
        <v>48458</v>
      </c>
      <c r="C176" s="138"/>
      <c r="D176" s="137"/>
      <c r="E176" s="136">
        <f t="shared" si="14"/>
        <v>0</v>
      </c>
      <c r="F176" s="217"/>
      <c r="G176" s="136">
        <f t="shared" si="16"/>
        <v>0</v>
      </c>
      <c r="H176" s="136">
        <f t="shared" si="17"/>
        <v>3.574314177967608E-10</v>
      </c>
      <c r="I176" s="152">
        <f t="shared" si="15"/>
        <v>0</v>
      </c>
      <c r="J176" s="142"/>
    </row>
    <row r="177" spans="1:10" s="111" customFormat="1" ht="13.5" customHeight="1" outlineLevel="1">
      <c r="A177" s="140">
        <f t="shared" si="12"/>
        <v>157</v>
      </c>
      <c r="B177" s="139">
        <f t="shared" si="13"/>
        <v>48488</v>
      </c>
      <c r="C177" s="138"/>
      <c r="D177" s="137"/>
      <c r="E177" s="136">
        <f t="shared" si="14"/>
        <v>0</v>
      </c>
      <c r="F177" s="217"/>
      <c r="G177" s="136">
        <f t="shared" si="16"/>
        <v>0</v>
      </c>
      <c r="H177" s="136">
        <f t="shared" si="17"/>
        <v>3.574314177967608E-10</v>
      </c>
      <c r="I177" s="152">
        <f t="shared" si="15"/>
        <v>0</v>
      </c>
      <c r="J177" s="142"/>
    </row>
    <row r="178" spans="1:10" s="111" customFormat="1" ht="13.5" customHeight="1" outlineLevel="1">
      <c r="A178" s="140">
        <f t="shared" si="12"/>
        <v>158</v>
      </c>
      <c r="B178" s="139">
        <f t="shared" si="13"/>
        <v>48519</v>
      </c>
      <c r="C178" s="138"/>
      <c r="D178" s="137"/>
      <c r="E178" s="136">
        <f t="shared" si="14"/>
        <v>0</v>
      </c>
      <c r="F178" s="217"/>
      <c r="G178" s="136">
        <f t="shared" si="16"/>
        <v>0</v>
      </c>
      <c r="H178" s="136">
        <f t="shared" si="17"/>
        <v>3.574314177967608E-10</v>
      </c>
      <c r="I178" s="152">
        <f t="shared" si="15"/>
        <v>0</v>
      </c>
      <c r="J178" s="142"/>
    </row>
    <row r="179" spans="1:10" s="111" customFormat="1" ht="13.5" customHeight="1" outlineLevel="1">
      <c r="A179" s="140">
        <f t="shared" si="12"/>
        <v>159</v>
      </c>
      <c r="B179" s="139">
        <f t="shared" si="13"/>
        <v>48549</v>
      </c>
      <c r="C179" s="138"/>
      <c r="D179" s="137"/>
      <c r="E179" s="136">
        <f t="shared" si="14"/>
        <v>0</v>
      </c>
      <c r="F179" s="217"/>
      <c r="G179" s="136">
        <f t="shared" si="16"/>
        <v>0</v>
      </c>
      <c r="H179" s="136">
        <f t="shared" si="17"/>
        <v>3.574314177967608E-10</v>
      </c>
      <c r="I179" s="152">
        <f t="shared" si="15"/>
        <v>0</v>
      </c>
      <c r="J179" s="142"/>
    </row>
    <row r="180" spans="1:10" s="111" customFormat="1" ht="13.5" customHeight="1" outlineLevel="1">
      <c r="A180" s="140">
        <f t="shared" si="12"/>
        <v>160</v>
      </c>
      <c r="B180" s="139">
        <f t="shared" si="13"/>
        <v>48580</v>
      </c>
      <c r="C180" s="138"/>
      <c r="D180" s="137"/>
      <c r="E180" s="136">
        <f t="shared" si="14"/>
        <v>0</v>
      </c>
      <c r="F180" s="217"/>
      <c r="G180" s="136">
        <f t="shared" si="16"/>
        <v>0</v>
      </c>
      <c r="H180" s="136">
        <f t="shared" si="17"/>
        <v>3.574314177967608E-10</v>
      </c>
      <c r="I180" s="152">
        <f t="shared" si="15"/>
        <v>0</v>
      </c>
      <c r="J180" s="142"/>
    </row>
    <row r="181" spans="1:10" s="111" customFormat="1" ht="13.5" customHeight="1" outlineLevel="1">
      <c r="A181" s="140">
        <f t="shared" si="12"/>
        <v>161</v>
      </c>
      <c r="B181" s="139">
        <f t="shared" si="13"/>
        <v>48611</v>
      </c>
      <c r="C181" s="138"/>
      <c r="D181" s="137"/>
      <c r="E181" s="136">
        <f t="shared" si="14"/>
        <v>0</v>
      </c>
      <c r="F181" s="217"/>
      <c r="G181" s="136">
        <f t="shared" si="16"/>
        <v>0</v>
      </c>
      <c r="H181" s="136">
        <f t="shared" si="17"/>
        <v>3.574314177967608E-10</v>
      </c>
      <c r="I181" s="152">
        <f t="shared" si="15"/>
        <v>0</v>
      </c>
      <c r="J181" s="142"/>
    </row>
    <row r="182" spans="1:10" s="111" customFormat="1" ht="13.5" customHeight="1" outlineLevel="1">
      <c r="A182" s="140">
        <f t="shared" si="12"/>
        <v>162</v>
      </c>
      <c r="B182" s="139">
        <f t="shared" si="13"/>
        <v>48639</v>
      </c>
      <c r="C182" s="138"/>
      <c r="D182" s="137"/>
      <c r="E182" s="136">
        <f t="shared" si="14"/>
        <v>0</v>
      </c>
      <c r="F182" s="217"/>
      <c r="G182" s="136">
        <f t="shared" si="16"/>
        <v>0</v>
      </c>
      <c r="H182" s="136">
        <f t="shared" si="17"/>
        <v>3.574314177967608E-10</v>
      </c>
      <c r="I182" s="152">
        <f t="shared" si="15"/>
        <v>0</v>
      </c>
      <c r="J182" s="142"/>
    </row>
    <row r="183" spans="1:10" s="111" customFormat="1" ht="13.5" customHeight="1" outlineLevel="1">
      <c r="A183" s="140">
        <f t="shared" si="12"/>
        <v>163</v>
      </c>
      <c r="B183" s="139">
        <f t="shared" si="13"/>
        <v>48670</v>
      </c>
      <c r="C183" s="138"/>
      <c r="D183" s="137"/>
      <c r="E183" s="136">
        <f t="shared" si="14"/>
        <v>0</v>
      </c>
      <c r="F183" s="217"/>
      <c r="G183" s="136">
        <f t="shared" si="16"/>
        <v>0</v>
      </c>
      <c r="H183" s="136">
        <f t="shared" si="17"/>
        <v>3.574314177967608E-10</v>
      </c>
      <c r="I183" s="152">
        <f t="shared" si="15"/>
        <v>0</v>
      </c>
      <c r="J183" s="142"/>
    </row>
    <row r="184" spans="1:10" s="111" customFormat="1" ht="13.5" customHeight="1" outlineLevel="1">
      <c r="A184" s="140">
        <f t="shared" si="12"/>
        <v>164</v>
      </c>
      <c r="B184" s="139">
        <f t="shared" si="13"/>
        <v>48700</v>
      </c>
      <c r="C184" s="138"/>
      <c r="D184" s="137"/>
      <c r="E184" s="136">
        <f t="shared" si="14"/>
        <v>0</v>
      </c>
      <c r="F184" s="217"/>
      <c r="G184" s="136">
        <f t="shared" si="16"/>
        <v>0</v>
      </c>
      <c r="H184" s="136">
        <f t="shared" si="17"/>
        <v>3.574314177967608E-10</v>
      </c>
      <c r="I184" s="152">
        <f t="shared" si="15"/>
        <v>0</v>
      </c>
      <c r="J184" s="142"/>
    </row>
    <row r="185" spans="1:10" s="111" customFormat="1" ht="13.5" customHeight="1" outlineLevel="1">
      <c r="A185" s="140">
        <f t="shared" si="12"/>
        <v>165</v>
      </c>
      <c r="B185" s="139">
        <f t="shared" si="13"/>
        <v>48731</v>
      </c>
      <c r="C185" s="138"/>
      <c r="D185" s="137"/>
      <c r="E185" s="136">
        <f t="shared" si="14"/>
        <v>0</v>
      </c>
      <c r="F185" s="217"/>
      <c r="G185" s="136">
        <f t="shared" si="16"/>
        <v>0</v>
      </c>
      <c r="H185" s="136">
        <f t="shared" si="17"/>
        <v>3.574314177967608E-10</v>
      </c>
      <c r="I185" s="152">
        <f t="shared" si="15"/>
        <v>0</v>
      </c>
      <c r="J185" s="142"/>
    </row>
    <row r="186" spans="1:10" s="111" customFormat="1" ht="13.5" customHeight="1" outlineLevel="1">
      <c r="A186" s="140">
        <f t="shared" si="12"/>
        <v>166</v>
      </c>
      <c r="B186" s="139">
        <f t="shared" si="13"/>
        <v>48761</v>
      </c>
      <c r="C186" s="138"/>
      <c r="D186" s="137"/>
      <c r="E186" s="136">
        <f t="shared" si="14"/>
        <v>0</v>
      </c>
      <c r="F186" s="217"/>
      <c r="G186" s="136">
        <f t="shared" si="16"/>
        <v>0</v>
      </c>
      <c r="H186" s="136">
        <f t="shared" si="17"/>
        <v>3.574314177967608E-10</v>
      </c>
      <c r="I186" s="152">
        <f t="shared" si="15"/>
        <v>0</v>
      </c>
      <c r="J186" s="142"/>
    </row>
    <row r="187" spans="1:10" s="111" customFormat="1" ht="13.5" customHeight="1" outlineLevel="1">
      <c r="A187" s="140">
        <f t="shared" si="12"/>
        <v>167</v>
      </c>
      <c r="B187" s="139">
        <f t="shared" si="13"/>
        <v>48792</v>
      </c>
      <c r="C187" s="138"/>
      <c r="D187" s="137"/>
      <c r="E187" s="136">
        <f t="shared" si="14"/>
        <v>0</v>
      </c>
      <c r="F187" s="217"/>
      <c r="G187" s="136">
        <f t="shared" si="16"/>
        <v>0</v>
      </c>
      <c r="H187" s="136">
        <f t="shared" si="17"/>
        <v>3.574314177967608E-10</v>
      </c>
      <c r="I187" s="152">
        <f t="shared" si="15"/>
        <v>0</v>
      </c>
      <c r="J187" s="142"/>
    </row>
    <row r="188" spans="1:10" s="111" customFormat="1" ht="13.5" customHeight="1" outlineLevel="1">
      <c r="A188" s="140">
        <f t="shared" si="12"/>
        <v>168</v>
      </c>
      <c r="B188" s="139">
        <f t="shared" si="13"/>
        <v>48823</v>
      </c>
      <c r="C188" s="138"/>
      <c r="D188" s="137"/>
      <c r="E188" s="136">
        <f t="shared" si="14"/>
        <v>0</v>
      </c>
      <c r="F188" s="217"/>
      <c r="G188" s="136">
        <f t="shared" si="16"/>
        <v>0</v>
      </c>
      <c r="H188" s="136">
        <f t="shared" si="17"/>
        <v>3.574314177967608E-10</v>
      </c>
      <c r="I188" s="152">
        <f t="shared" si="15"/>
        <v>0</v>
      </c>
      <c r="J188" s="142"/>
    </row>
    <row r="189" spans="1:10" s="111" customFormat="1" ht="13.5" customHeight="1" outlineLevel="1">
      <c r="A189" s="140">
        <f t="shared" si="12"/>
        <v>169</v>
      </c>
      <c r="B189" s="139">
        <f t="shared" si="13"/>
        <v>48853</v>
      </c>
      <c r="C189" s="138"/>
      <c r="D189" s="137"/>
      <c r="E189" s="136">
        <f t="shared" si="14"/>
        <v>0</v>
      </c>
      <c r="F189" s="217"/>
      <c r="G189" s="136">
        <f t="shared" si="16"/>
        <v>0</v>
      </c>
      <c r="H189" s="136">
        <f t="shared" si="17"/>
        <v>3.574314177967608E-10</v>
      </c>
      <c r="I189" s="152">
        <f t="shared" si="15"/>
        <v>0</v>
      </c>
      <c r="J189" s="142"/>
    </row>
    <row r="190" spans="1:10" s="111" customFormat="1" ht="13.5" customHeight="1" outlineLevel="1">
      <c r="A190" s="140">
        <f t="shared" si="12"/>
        <v>170</v>
      </c>
      <c r="B190" s="139">
        <f t="shared" si="13"/>
        <v>48884</v>
      </c>
      <c r="C190" s="138"/>
      <c r="D190" s="137"/>
      <c r="E190" s="136">
        <f t="shared" si="14"/>
        <v>0</v>
      </c>
      <c r="F190" s="217"/>
      <c r="G190" s="136">
        <f t="shared" si="16"/>
        <v>0</v>
      </c>
      <c r="H190" s="136">
        <f t="shared" si="17"/>
        <v>3.574314177967608E-10</v>
      </c>
      <c r="I190" s="152">
        <f t="shared" si="15"/>
        <v>0</v>
      </c>
      <c r="J190" s="142"/>
    </row>
    <row r="191" spans="1:10" s="111" customFormat="1" ht="13.5" customHeight="1" outlineLevel="1">
      <c r="A191" s="140">
        <f t="shared" si="12"/>
        <v>171</v>
      </c>
      <c r="B191" s="139">
        <f t="shared" si="13"/>
        <v>48914</v>
      </c>
      <c r="C191" s="138"/>
      <c r="D191" s="137"/>
      <c r="E191" s="136">
        <f t="shared" si="14"/>
        <v>0</v>
      </c>
      <c r="F191" s="217"/>
      <c r="G191" s="136">
        <f t="shared" si="16"/>
        <v>0</v>
      </c>
      <c r="H191" s="136">
        <f t="shared" si="17"/>
        <v>3.574314177967608E-10</v>
      </c>
      <c r="I191" s="152">
        <f t="shared" si="15"/>
        <v>0</v>
      </c>
      <c r="J191" s="142"/>
    </row>
    <row r="192" spans="1:10" s="111" customFormat="1" ht="13.5" customHeight="1" outlineLevel="1">
      <c r="A192" s="140">
        <f t="shared" si="12"/>
        <v>172</v>
      </c>
      <c r="B192" s="139">
        <f t="shared" si="13"/>
        <v>48945</v>
      </c>
      <c r="C192" s="138"/>
      <c r="D192" s="137"/>
      <c r="E192" s="136">
        <f t="shared" si="14"/>
        <v>0</v>
      </c>
      <c r="F192" s="217"/>
      <c r="G192" s="136">
        <f t="shared" si="16"/>
        <v>0</v>
      </c>
      <c r="H192" s="136">
        <f t="shared" si="17"/>
        <v>3.574314177967608E-10</v>
      </c>
      <c r="I192" s="152">
        <f t="shared" si="15"/>
        <v>0</v>
      </c>
      <c r="J192" s="142"/>
    </row>
    <row r="193" spans="1:10" s="111" customFormat="1" ht="13.5" customHeight="1" outlineLevel="1">
      <c r="A193" s="140">
        <f t="shared" si="12"/>
        <v>173</v>
      </c>
      <c r="B193" s="139">
        <f t="shared" si="13"/>
        <v>48976</v>
      </c>
      <c r="C193" s="138"/>
      <c r="D193" s="137"/>
      <c r="E193" s="136">
        <f t="shared" si="14"/>
        <v>0</v>
      </c>
      <c r="F193" s="217"/>
      <c r="G193" s="136">
        <f t="shared" si="16"/>
        <v>0</v>
      </c>
      <c r="H193" s="136">
        <f t="shared" si="17"/>
        <v>3.574314177967608E-10</v>
      </c>
      <c r="I193" s="152">
        <f t="shared" si="15"/>
        <v>0</v>
      </c>
      <c r="J193" s="142"/>
    </row>
    <row r="194" spans="1:10" s="111" customFormat="1" ht="13.5" customHeight="1" outlineLevel="1">
      <c r="A194" s="140">
        <f t="shared" si="12"/>
        <v>174</v>
      </c>
      <c r="B194" s="139">
        <f t="shared" si="13"/>
        <v>49004</v>
      </c>
      <c r="C194" s="138"/>
      <c r="D194" s="137"/>
      <c r="E194" s="136">
        <f t="shared" si="14"/>
        <v>0</v>
      </c>
      <c r="F194" s="217"/>
      <c r="G194" s="136">
        <f t="shared" si="16"/>
        <v>0</v>
      </c>
      <c r="H194" s="136">
        <f t="shared" si="17"/>
        <v>3.574314177967608E-10</v>
      </c>
      <c r="I194" s="152">
        <f t="shared" si="15"/>
        <v>0</v>
      </c>
      <c r="J194" s="142"/>
    </row>
    <row r="195" spans="1:10" s="143" customFormat="1" ht="13.5" customHeight="1" outlineLevel="1">
      <c r="A195" s="140">
        <f t="shared" si="12"/>
        <v>175</v>
      </c>
      <c r="B195" s="139">
        <f t="shared" si="13"/>
        <v>49035</v>
      </c>
      <c r="C195" s="138"/>
      <c r="D195" s="145"/>
      <c r="E195" s="136">
        <f t="shared" si="14"/>
        <v>0</v>
      </c>
      <c r="F195" s="217"/>
      <c r="G195" s="136">
        <f t="shared" si="16"/>
        <v>0</v>
      </c>
      <c r="H195" s="136">
        <f t="shared" si="17"/>
        <v>3.574314177967608E-10</v>
      </c>
      <c r="I195" s="152">
        <f t="shared" si="15"/>
        <v>0</v>
      </c>
      <c r="J195" s="144"/>
    </row>
    <row r="196" spans="1:10" s="111" customFormat="1" ht="13.5" customHeight="1" outlineLevel="1">
      <c r="A196" s="140">
        <f t="shared" si="12"/>
        <v>176</v>
      </c>
      <c r="B196" s="139">
        <f t="shared" si="13"/>
        <v>49065</v>
      </c>
      <c r="C196" s="138"/>
      <c r="D196" s="137"/>
      <c r="E196" s="136">
        <f t="shared" si="14"/>
        <v>0</v>
      </c>
      <c r="F196" s="217"/>
      <c r="G196" s="136">
        <f t="shared" si="16"/>
        <v>0</v>
      </c>
      <c r="H196" s="136">
        <f t="shared" si="17"/>
        <v>3.574314177967608E-10</v>
      </c>
      <c r="I196" s="152">
        <f t="shared" si="15"/>
        <v>0</v>
      </c>
      <c r="J196" s="142"/>
    </row>
    <row r="197" spans="1:10" s="111" customFormat="1" ht="13.5" customHeight="1" outlineLevel="1">
      <c r="A197" s="140">
        <f t="shared" si="12"/>
        <v>177</v>
      </c>
      <c r="B197" s="139">
        <f t="shared" si="13"/>
        <v>49096</v>
      </c>
      <c r="C197" s="138"/>
      <c r="D197" s="137"/>
      <c r="E197" s="136">
        <f t="shared" si="14"/>
        <v>0</v>
      </c>
      <c r="F197" s="217"/>
      <c r="G197" s="136">
        <f t="shared" si="16"/>
        <v>0</v>
      </c>
      <c r="H197" s="136">
        <f t="shared" si="17"/>
        <v>3.574314177967608E-10</v>
      </c>
      <c r="I197" s="152">
        <f t="shared" si="15"/>
        <v>0</v>
      </c>
      <c r="J197" s="142"/>
    </row>
    <row r="198" spans="1:10" s="111" customFormat="1" ht="13.5" customHeight="1" outlineLevel="1">
      <c r="A198" s="140">
        <f t="shared" si="12"/>
        <v>178</v>
      </c>
      <c r="B198" s="139">
        <f t="shared" si="13"/>
        <v>49126</v>
      </c>
      <c r="C198" s="138"/>
      <c r="D198" s="137"/>
      <c r="E198" s="136">
        <f t="shared" si="14"/>
        <v>0</v>
      </c>
      <c r="F198" s="217"/>
      <c r="G198" s="136">
        <f t="shared" si="16"/>
        <v>0</v>
      </c>
      <c r="H198" s="136">
        <f t="shared" si="17"/>
        <v>3.574314177967608E-10</v>
      </c>
      <c r="I198" s="152">
        <f t="shared" si="15"/>
        <v>0</v>
      </c>
      <c r="J198" s="142"/>
    </row>
    <row r="199" spans="1:10" s="111" customFormat="1" ht="13.5" customHeight="1" outlineLevel="1">
      <c r="A199" s="140">
        <f t="shared" si="12"/>
        <v>179</v>
      </c>
      <c r="B199" s="139">
        <f t="shared" si="13"/>
        <v>49157</v>
      </c>
      <c r="C199" s="138"/>
      <c r="D199" s="137"/>
      <c r="E199" s="136">
        <f t="shared" si="14"/>
        <v>0</v>
      </c>
      <c r="F199" s="217"/>
      <c r="G199" s="136">
        <f t="shared" si="16"/>
        <v>0</v>
      </c>
      <c r="H199" s="136">
        <f t="shared" si="17"/>
        <v>3.574314177967608E-10</v>
      </c>
      <c r="I199" s="152">
        <f t="shared" si="15"/>
        <v>0</v>
      </c>
      <c r="J199" s="142"/>
    </row>
    <row r="200" spans="1:10" s="111" customFormat="1" ht="13.5" customHeight="1" outlineLevel="1">
      <c r="A200" s="140">
        <f t="shared" si="12"/>
        <v>180</v>
      </c>
      <c r="B200" s="139">
        <f t="shared" si="13"/>
        <v>49188</v>
      </c>
      <c r="C200" s="138"/>
      <c r="D200" s="137"/>
      <c r="E200" s="136">
        <f t="shared" si="14"/>
        <v>0</v>
      </c>
      <c r="F200" s="217"/>
      <c r="G200" s="136">
        <f t="shared" si="16"/>
        <v>0</v>
      </c>
      <c r="H200" s="136">
        <f t="shared" si="17"/>
        <v>3.574314177967608E-10</v>
      </c>
      <c r="I200" s="152">
        <f t="shared" si="15"/>
        <v>0</v>
      </c>
      <c r="J200" s="142"/>
    </row>
    <row r="201" spans="1:10" s="111" customFormat="1" ht="13.5" customHeight="1" outlineLevel="1">
      <c r="A201" s="140">
        <f t="shared" si="12"/>
        <v>181</v>
      </c>
      <c r="B201" s="139">
        <f t="shared" si="13"/>
        <v>49218</v>
      </c>
      <c r="C201" s="138"/>
      <c r="D201" s="137"/>
      <c r="E201" s="136">
        <f t="shared" si="14"/>
        <v>0</v>
      </c>
      <c r="F201" s="217"/>
      <c r="G201" s="136">
        <f t="shared" si="16"/>
        <v>0</v>
      </c>
      <c r="H201" s="136">
        <f t="shared" si="17"/>
        <v>3.574314177967608E-10</v>
      </c>
      <c r="I201" s="152">
        <f t="shared" si="15"/>
        <v>0</v>
      </c>
      <c r="J201" s="142"/>
    </row>
    <row r="202" spans="1:10" s="111" customFormat="1" ht="13.5" customHeight="1" outlineLevel="1">
      <c r="A202" s="140">
        <f t="shared" si="12"/>
        <v>182</v>
      </c>
      <c r="B202" s="139">
        <f t="shared" si="13"/>
        <v>49249</v>
      </c>
      <c r="C202" s="138"/>
      <c r="D202" s="137"/>
      <c r="E202" s="136">
        <f t="shared" si="14"/>
        <v>0</v>
      </c>
      <c r="F202" s="217"/>
      <c r="G202" s="136">
        <f t="shared" si="16"/>
        <v>0</v>
      </c>
      <c r="H202" s="136">
        <f t="shared" si="17"/>
        <v>3.574314177967608E-10</v>
      </c>
      <c r="I202" s="152">
        <f t="shared" si="15"/>
        <v>0</v>
      </c>
      <c r="J202" s="142"/>
    </row>
    <row r="203" spans="1:10" s="111" customFormat="1" ht="13.5" customHeight="1" outlineLevel="1">
      <c r="A203" s="140">
        <f t="shared" si="12"/>
        <v>183</v>
      </c>
      <c r="B203" s="139">
        <f t="shared" si="13"/>
        <v>49279</v>
      </c>
      <c r="C203" s="138"/>
      <c r="D203" s="137"/>
      <c r="E203" s="136">
        <f t="shared" si="14"/>
        <v>0</v>
      </c>
      <c r="F203" s="217"/>
      <c r="G203" s="136">
        <f t="shared" si="16"/>
        <v>0</v>
      </c>
      <c r="H203" s="136">
        <f t="shared" si="17"/>
        <v>3.574314177967608E-10</v>
      </c>
      <c r="I203" s="152">
        <f t="shared" si="15"/>
        <v>0</v>
      </c>
      <c r="J203" s="142"/>
    </row>
    <row r="204" spans="1:10" s="111" customFormat="1" ht="13.5" customHeight="1" outlineLevel="1">
      <c r="A204" s="140">
        <f t="shared" si="12"/>
        <v>184</v>
      </c>
      <c r="B204" s="139">
        <f t="shared" si="13"/>
        <v>49310</v>
      </c>
      <c r="C204" s="138"/>
      <c r="D204" s="137"/>
      <c r="E204" s="136">
        <f t="shared" si="14"/>
        <v>0</v>
      </c>
      <c r="F204" s="217"/>
      <c r="G204" s="136">
        <f t="shared" si="16"/>
        <v>0</v>
      </c>
      <c r="H204" s="136">
        <f t="shared" si="17"/>
        <v>3.574314177967608E-10</v>
      </c>
      <c r="I204" s="152">
        <f t="shared" si="15"/>
        <v>0</v>
      </c>
      <c r="J204" s="142"/>
    </row>
    <row r="205" spans="1:10" s="111" customFormat="1" ht="13.5" customHeight="1" outlineLevel="1">
      <c r="A205" s="140">
        <f t="shared" si="12"/>
        <v>185</v>
      </c>
      <c r="B205" s="139">
        <f t="shared" si="13"/>
        <v>49341</v>
      </c>
      <c r="C205" s="138"/>
      <c r="D205" s="137"/>
      <c r="E205" s="136">
        <f t="shared" si="14"/>
        <v>0</v>
      </c>
      <c r="F205" s="217"/>
      <c r="G205" s="136">
        <f t="shared" si="16"/>
        <v>0</v>
      </c>
      <c r="H205" s="136">
        <f t="shared" si="17"/>
        <v>3.574314177967608E-10</v>
      </c>
      <c r="I205" s="152">
        <f t="shared" si="15"/>
        <v>0</v>
      </c>
      <c r="J205" s="142"/>
    </row>
    <row r="206" spans="1:10" s="111" customFormat="1" ht="13.5" customHeight="1" outlineLevel="1">
      <c r="A206" s="140">
        <f t="shared" si="12"/>
        <v>186</v>
      </c>
      <c r="B206" s="139">
        <f t="shared" si="13"/>
        <v>49369</v>
      </c>
      <c r="C206" s="138"/>
      <c r="D206" s="137"/>
      <c r="E206" s="136">
        <f t="shared" si="14"/>
        <v>0</v>
      </c>
      <c r="F206" s="217"/>
      <c r="G206" s="136">
        <f t="shared" si="16"/>
        <v>0</v>
      </c>
      <c r="H206" s="136">
        <f t="shared" si="17"/>
        <v>3.574314177967608E-10</v>
      </c>
      <c r="I206" s="152">
        <f t="shared" si="15"/>
        <v>0</v>
      </c>
      <c r="J206" s="142"/>
    </row>
    <row r="207" spans="1:10" s="111" customFormat="1" ht="13.5" customHeight="1" outlineLevel="1">
      <c r="A207" s="140">
        <f t="shared" si="12"/>
        <v>187</v>
      </c>
      <c r="B207" s="139">
        <f t="shared" si="13"/>
        <v>49400</v>
      </c>
      <c r="C207" s="138"/>
      <c r="D207" s="137"/>
      <c r="E207" s="136">
        <f t="shared" si="14"/>
        <v>0</v>
      </c>
      <c r="F207" s="217"/>
      <c r="G207" s="136">
        <f t="shared" si="16"/>
        <v>0</v>
      </c>
      <c r="H207" s="136">
        <f t="shared" si="17"/>
        <v>3.574314177967608E-10</v>
      </c>
      <c r="I207" s="152">
        <f t="shared" si="15"/>
        <v>0</v>
      </c>
      <c r="J207" s="142"/>
    </row>
    <row r="208" spans="1:10" s="111" customFormat="1" ht="13.5" customHeight="1" outlineLevel="1">
      <c r="A208" s="140">
        <f t="shared" si="12"/>
        <v>188</v>
      </c>
      <c r="B208" s="139">
        <f t="shared" si="13"/>
        <v>49430</v>
      </c>
      <c r="C208" s="138"/>
      <c r="D208" s="137"/>
      <c r="E208" s="136">
        <f t="shared" si="14"/>
        <v>0</v>
      </c>
      <c r="F208" s="217"/>
      <c r="G208" s="136">
        <f t="shared" si="16"/>
        <v>0</v>
      </c>
      <c r="H208" s="136">
        <f t="shared" si="17"/>
        <v>3.574314177967608E-10</v>
      </c>
      <c r="I208" s="152">
        <f t="shared" si="15"/>
        <v>0</v>
      </c>
      <c r="J208" s="142"/>
    </row>
    <row r="209" spans="1:10" s="111" customFormat="1" ht="13.5" customHeight="1" outlineLevel="1">
      <c r="A209" s="140">
        <f t="shared" si="12"/>
        <v>189</v>
      </c>
      <c r="B209" s="139">
        <f t="shared" si="13"/>
        <v>49461</v>
      </c>
      <c r="C209" s="138"/>
      <c r="D209" s="137"/>
      <c r="E209" s="136">
        <f t="shared" si="14"/>
        <v>0</v>
      </c>
      <c r="F209" s="217"/>
      <c r="G209" s="136">
        <f t="shared" si="16"/>
        <v>0</v>
      </c>
      <c r="H209" s="136">
        <f t="shared" si="17"/>
        <v>3.574314177967608E-10</v>
      </c>
      <c r="I209" s="152">
        <f t="shared" si="15"/>
        <v>0</v>
      </c>
      <c r="J209" s="142"/>
    </row>
    <row r="210" spans="1:10" s="111" customFormat="1" ht="13.5" customHeight="1" outlineLevel="1">
      <c r="A210" s="140">
        <f t="shared" si="12"/>
        <v>190</v>
      </c>
      <c r="B210" s="139">
        <f t="shared" si="13"/>
        <v>49491</v>
      </c>
      <c r="C210" s="138"/>
      <c r="D210" s="137"/>
      <c r="E210" s="136">
        <f t="shared" si="14"/>
        <v>0</v>
      </c>
      <c r="F210" s="217"/>
      <c r="G210" s="136">
        <f t="shared" si="16"/>
        <v>0</v>
      </c>
      <c r="H210" s="136">
        <f t="shared" si="17"/>
        <v>3.574314177967608E-10</v>
      </c>
      <c r="I210" s="152">
        <f t="shared" si="15"/>
        <v>0</v>
      </c>
      <c r="J210" s="142"/>
    </row>
    <row r="211" spans="1:10" s="111" customFormat="1" ht="13.5" customHeight="1" outlineLevel="1">
      <c r="A211" s="140">
        <f t="shared" si="12"/>
        <v>191</v>
      </c>
      <c r="B211" s="139">
        <f t="shared" si="13"/>
        <v>49522</v>
      </c>
      <c r="C211" s="138"/>
      <c r="D211" s="137"/>
      <c r="E211" s="136">
        <f t="shared" si="14"/>
        <v>0</v>
      </c>
      <c r="F211" s="217"/>
      <c r="G211" s="136">
        <f t="shared" si="16"/>
        <v>0</v>
      </c>
      <c r="H211" s="136">
        <f t="shared" si="17"/>
        <v>3.574314177967608E-10</v>
      </c>
      <c r="I211" s="152">
        <f t="shared" si="15"/>
        <v>0</v>
      </c>
      <c r="J211" s="142"/>
    </row>
    <row r="212" spans="1:10" s="111" customFormat="1" ht="13.5" customHeight="1" outlineLevel="1">
      <c r="A212" s="140">
        <f t="shared" si="12"/>
        <v>192</v>
      </c>
      <c r="B212" s="139">
        <f t="shared" si="13"/>
        <v>49553</v>
      </c>
      <c r="C212" s="138"/>
      <c r="D212" s="137"/>
      <c r="E212" s="136">
        <f t="shared" si="14"/>
        <v>0</v>
      </c>
      <c r="F212" s="217"/>
      <c r="G212" s="136">
        <f t="shared" si="16"/>
        <v>0</v>
      </c>
      <c r="H212" s="136">
        <f t="shared" si="17"/>
        <v>3.574314177967608E-10</v>
      </c>
      <c r="I212" s="152">
        <f t="shared" si="15"/>
        <v>0</v>
      </c>
      <c r="J212" s="142"/>
    </row>
    <row r="213" spans="1:10" s="111" customFormat="1" ht="13.5" customHeight="1" outlineLevel="1">
      <c r="A213" s="140">
        <f t="shared" si="12"/>
        <v>193</v>
      </c>
      <c r="B213" s="139">
        <f t="shared" si="13"/>
        <v>49583</v>
      </c>
      <c r="C213" s="138"/>
      <c r="D213" s="137"/>
      <c r="E213" s="136">
        <f t="shared" si="14"/>
        <v>0</v>
      </c>
      <c r="F213" s="217"/>
      <c r="G213" s="136">
        <f t="shared" si="16"/>
        <v>0</v>
      </c>
      <c r="H213" s="136">
        <f t="shared" si="17"/>
        <v>3.574314177967608E-10</v>
      </c>
      <c r="I213" s="152">
        <f t="shared" si="15"/>
        <v>0</v>
      </c>
      <c r="J213" s="142"/>
    </row>
    <row r="214" spans="1:10" s="111" customFormat="1" ht="13.5" customHeight="1" outlineLevel="1">
      <c r="A214" s="140">
        <f t="shared" ref="A214:A277" si="18">A213+1</f>
        <v>194</v>
      </c>
      <c r="B214" s="139">
        <f t="shared" ref="B214:B277" si="19">EDATE(B213,1)</f>
        <v>49614</v>
      </c>
      <c r="C214" s="138"/>
      <c r="D214" s="137"/>
      <c r="E214" s="136">
        <f t="shared" ref="E214:E277" si="20">(D214+C214)/(POWER((1+$C$17/12),A214-1))</f>
        <v>0</v>
      </c>
      <c r="F214" s="217"/>
      <c r="G214" s="136">
        <f t="shared" si="16"/>
        <v>0</v>
      </c>
      <c r="H214" s="136">
        <f t="shared" si="17"/>
        <v>3.574314177967608E-10</v>
      </c>
      <c r="I214" s="152">
        <f t="shared" ref="I214:I277" si="21">IF(YEAR(B214)&lt;2021,0,C214/(POWER((1+$C$17/12),IF(YEAR($C$15)&lt;2021,DATEDIF("2021年1月",$B214,"M"),$A214))))</f>
        <v>0</v>
      </c>
      <c r="J214" s="142"/>
    </row>
    <row r="215" spans="1:10" s="111" customFormat="1" ht="13.5" customHeight="1" outlineLevel="1">
      <c r="A215" s="140">
        <f t="shared" si="18"/>
        <v>195</v>
      </c>
      <c r="B215" s="139">
        <f t="shared" si="19"/>
        <v>49644</v>
      </c>
      <c r="C215" s="138"/>
      <c r="D215" s="137"/>
      <c r="E215" s="136">
        <f t="shared" si="20"/>
        <v>0</v>
      </c>
      <c r="F215" s="217"/>
      <c r="G215" s="136">
        <f t="shared" ref="G215:G278" si="22">IF($A215&gt;$C$18,0,($E$348+$F$348)/($C$18-1))</f>
        <v>0</v>
      </c>
      <c r="H215" s="136">
        <f t="shared" ref="H215:H278" si="23">H214-G215</f>
        <v>3.574314177967608E-10</v>
      </c>
      <c r="I215" s="152">
        <f t="shared" si="21"/>
        <v>0</v>
      </c>
      <c r="J215" s="142"/>
    </row>
    <row r="216" spans="1:10" s="111" customFormat="1" ht="13.5" customHeight="1" outlineLevel="1">
      <c r="A216" s="140">
        <f t="shared" si="18"/>
        <v>196</v>
      </c>
      <c r="B216" s="139">
        <f t="shared" si="19"/>
        <v>49675</v>
      </c>
      <c r="C216" s="138"/>
      <c r="D216" s="137"/>
      <c r="E216" s="136">
        <f t="shared" si="20"/>
        <v>0</v>
      </c>
      <c r="F216" s="217"/>
      <c r="G216" s="136">
        <f t="shared" si="22"/>
        <v>0</v>
      </c>
      <c r="H216" s="136">
        <f t="shared" si="23"/>
        <v>3.574314177967608E-10</v>
      </c>
      <c r="I216" s="152">
        <f t="shared" si="21"/>
        <v>0</v>
      </c>
      <c r="J216" s="142"/>
    </row>
    <row r="217" spans="1:10" s="111" customFormat="1" ht="13.5" customHeight="1" outlineLevel="1">
      <c r="A217" s="140">
        <f t="shared" si="18"/>
        <v>197</v>
      </c>
      <c r="B217" s="139">
        <f t="shared" si="19"/>
        <v>49706</v>
      </c>
      <c r="C217" s="138"/>
      <c r="D217" s="137"/>
      <c r="E217" s="136">
        <f t="shared" si="20"/>
        <v>0</v>
      </c>
      <c r="F217" s="217"/>
      <c r="G217" s="136">
        <f t="shared" si="22"/>
        <v>0</v>
      </c>
      <c r="H217" s="136">
        <f t="shared" si="23"/>
        <v>3.574314177967608E-10</v>
      </c>
      <c r="I217" s="152">
        <f t="shared" si="21"/>
        <v>0</v>
      </c>
      <c r="J217" s="142"/>
    </row>
    <row r="218" spans="1:10" s="111" customFormat="1" outlineLevel="1">
      <c r="A218" s="140">
        <f t="shared" si="18"/>
        <v>198</v>
      </c>
      <c r="B218" s="139">
        <f t="shared" si="19"/>
        <v>49735</v>
      </c>
      <c r="C218" s="138"/>
      <c r="D218" s="137"/>
      <c r="E218" s="136">
        <f t="shared" si="20"/>
        <v>0</v>
      </c>
      <c r="F218" s="217"/>
      <c r="G218" s="136">
        <f t="shared" si="22"/>
        <v>0</v>
      </c>
      <c r="H218" s="136">
        <f t="shared" si="23"/>
        <v>3.574314177967608E-10</v>
      </c>
      <c r="I218" s="152">
        <f t="shared" si="21"/>
        <v>0</v>
      </c>
    </row>
    <row r="219" spans="1:10" s="111" customFormat="1" ht="15.75" customHeight="1" outlineLevel="1">
      <c r="A219" s="140">
        <f t="shared" si="18"/>
        <v>199</v>
      </c>
      <c r="B219" s="139">
        <f t="shared" si="19"/>
        <v>49766</v>
      </c>
      <c r="C219" s="138"/>
      <c r="D219" s="137"/>
      <c r="E219" s="136">
        <f t="shared" si="20"/>
        <v>0</v>
      </c>
      <c r="F219" s="217"/>
      <c r="G219" s="136">
        <f t="shared" si="22"/>
        <v>0</v>
      </c>
      <c r="H219" s="136">
        <f t="shared" si="23"/>
        <v>3.574314177967608E-10</v>
      </c>
      <c r="I219" s="152">
        <f t="shared" si="21"/>
        <v>0</v>
      </c>
      <c r="J219" s="135"/>
    </row>
    <row r="220" spans="1:10" s="111" customFormat="1" ht="15.75" customHeight="1" outlineLevel="1">
      <c r="A220" s="140">
        <f t="shared" si="18"/>
        <v>200</v>
      </c>
      <c r="B220" s="139">
        <f t="shared" si="19"/>
        <v>49796</v>
      </c>
      <c r="C220" s="138"/>
      <c r="D220" s="137"/>
      <c r="E220" s="136">
        <f t="shared" si="20"/>
        <v>0</v>
      </c>
      <c r="F220" s="217"/>
      <c r="G220" s="136">
        <f t="shared" si="22"/>
        <v>0</v>
      </c>
      <c r="H220" s="136">
        <f t="shared" si="23"/>
        <v>3.574314177967608E-10</v>
      </c>
      <c r="I220" s="152">
        <f t="shared" si="21"/>
        <v>0</v>
      </c>
      <c r="J220" s="135"/>
    </row>
    <row r="221" spans="1:10" s="111" customFormat="1" ht="15.75" customHeight="1" outlineLevel="1">
      <c r="A221" s="140">
        <f t="shared" si="18"/>
        <v>201</v>
      </c>
      <c r="B221" s="139">
        <f t="shared" si="19"/>
        <v>49827</v>
      </c>
      <c r="C221" s="138"/>
      <c r="D221" s="137"/>
      <c r="E221" s="136">
        <f t="shared" si="20"/>
        <v>0</v>
      </c>
      <c r="F221" s="217"/>
      <c r="G221" s="136">
        <f t="shared" si="22"/>
        <v>0</v>
      </c>
      <c r="H221" s="136">
        <f t="shared" si="23"/>
        <v>3.574314177967608E-10</v>
      </c>
      <c r="I221" s="152">
        <f t="shared" si="21"/>
        <v>0</v>
      </c>
      <c r="J221" s="135"/>
    </row>
    <row r="222" spans="1:10" s="111" customFormat="1" ht="15.75" customHeight="1" outlineLevel="1">
      <c r="A222" s="140">
        <f t="shared" si="18"/>
        <v>202</v>
      </c>
      <c r="B222" s="139">
        <f t="shared" si="19"/>
        <v>49857</v>
      </c>
      <c r="C222" s="138"/>
      <c r="D222" s="137"/>
      <c r="E222" s="136">
        <f t="shared" si="20"/>
        <v>0</v>
      </c>
      <c r="F222" s="217"/>
      <c r="G222" s="136">
        <f t="shared" si="22"/>
        <v>0</v>
      </c>
      <c r="H222" s="136">
        <f t="shared" si="23"/>
        <v>3.574314177967608E-10</v>
      </c>
      <c r="I222" s="152">
        <f t="shared" si="21"/>
        <v>0</v>
      </c>
      <c r="J222" s="135"/>
    </row>
    <row r="223" spans="1:10" s="111" customFormat="1" ht="15.75" customHeight="1" outlineLevel="1">
      <c r="A223" s="140">
        <f t="shared" si="18"/>
        <v>203</v>
      </c>
      <c r="B223" s="139">
        <f t="shared" si="19"/>
        <v>49888</v>
      </c>
      <c r="C223" s="138"/>
      <c r="D223" s="137"/>
      <c r="E223" s="136">
        <f t="shared" si="20"/>
        <v>0</v>
      </c>
      <c r="F223" s="217"/>
      <c r="G223" s="136">
        <f t="shared" si="22"/>
        <v>0</v>
      </c>
      <c r="H223" s="136">
        <f t="shared" si="23"/>
        <v>3.574314177967608E-10</v>
      </c>
      <c r="I223" s="152">
        <f t="shared" si="21"/>
        <v>0</v>
      </c>
      <c r="J223" s="135"/>
    </row>
    <row r="224" spans="1:10" s="111" customFormat="1" ht="15.75" customHeight="1" outlineLevel="1">
      <c r="A224" s="140">
        <f t="shared" si="18"/>
        <v>204</v>
      </c>
      <c r="B224" s="139">
        <f t="shared" si="19"/>
        <v>49919</v>
      </c>
      <c r="C224" s="138"/>
      <c r="D224" s="137"/>
      <c r="E224" s="136">
        <f t="shared" si="20"/>
        <v>0</v>
      </c>
      <c r="F224" s="217"/>
      <c r="G224" s="136">
        <f t="shared" si="22"/>
        <v>0</v>
      </c>
      <c r="H224" s="136">
        <f t="shared" si="23"/>
        <v>3.574314177967608E-10</v>
      </c>
      <c r="I224" s="152">
        <f t="shared" si="21"/>
        <v>0</v>
      </c>
      <c r="J224" s="135"/>
    </row>
    <row r="225" spans="1:10" s="111" customFormat="1" ht="15.75" customHeight="1" outlineLevel="1">
      <c r="A225" s="140">
        <f t="shared" si="18"/>
        <v>205</v>
      </c>
      <c r="B225" s="139">
        <f t="shared" si="19"/>
        <v>49949</v>
      </c>
      <c r="C225" s="138"/>
      <c r="D225" s="137"/>
      <c r="E225" s="136">
        <f t="shared" si="20"/>
        <v>0</v>
      </c>
      <c r="F225" s="217"/>
      <c r="G225" s="136">
        <f t="shared" si="22"/>
        <v>0</v>
      </c>
      <c r="H225" s="136">
        <f t="shared" si="23"/>
        <v>3.574314177967608E-10</v>
      </c>
      <c r="I225" s="152">
        <f t="shared" si="21"/>
        <v>0</v>
      </c>
      <c r="J225" s="135"/>
    </row>
    <row r="226" spans="1:10" s="111" customFormat="1" ht="15.75" customHeight="1" outlineLevel="1">
      <c r="A226" s="140">
        <f t="shared" si="18"/>
        <v>206</v>
      </c>
      <c r="B226" s="139">
        <f t="shared" si="19"/>
        <v>49980</v>
      </c>
      <c r="C226" s="138"/>
      <c r="D226" s="137"/>
      <c r="E226" s="136">
        <f t="shared" si="20"/>
        <v>0</v>
      </c>
      <c r="F226" s="217"/>
      <c r="G226" s="136">
        <f t="shared" si="22"/>
        <v>0</v>
      </c>
      <c r="H226" s="136">
        <f t="shared" si="23"/>
        <v>3.574314177967608E-10</v>
      </c>
      <c r="I226" s="152">
        <f t="shared" si="21"/>
        <v>0</v>
      </c>
      <c r="J226" s="135"/>
    </row>
    <row r="227" spans="1:10" s="111" customFormat="1" ht="15.75" customHeight="1" outlineLevel="1">
      <c r="A227" s="140">
        <f t="shared" si="18"/>
        <v>207</v>
      </c>
      <c r="B227" s="139">
        <f t="shared" si="19"/>
        <v>50010</v>
      </c>
      <c r="C227" s="138"/>
      <c r="D227" s="137"/>
      <c r="E227" s="136">
        <f t="shared" si="20"/>
        <v>0</v>
      </c>
      <c r="F227" s="217"/>
      <c r="G227" s="136">
        <f t="shared" si="22"/>
        <v>0</v>
      </c>
      <c r="H227" s="136">
        <f t="shared" si="23"/>
        <v>3.574314177967608E-10</v>
      </c>
      <c r="I227" s="152">
        <f t="shared" si="21"/>
        <v>0</v>
      </c>
      <c r="J227" s="135"/>
    </row>
    <row r="228" spans="1:10" s="111" customFormat="1" ht="15.75" customHeight="1" outlineLevel="1">
      <c r="A228" s="140">
        <f t="shared" si="18"/>
        <v>208</v>
      </c>
      <c r="B228" s="139">
        <f t="shared" si="19"/>
        <v>50041</v>
      </c>
      <c r="C228" s="138"/>
      <c r="D228" s="137"/>
      <c r="E228" s="136">
        <f t="shared" si="20"/>
        <v>0</v>
      </c>
      <c r="F228" s="217"/>
      <c r="G228" s="136">
        <f t="shared" si="22"/>
        <v>0</v>
      </c>
      <c r="H228" s="136">
        <f t="shared" si="23"/>
        <v>3.574314177967608E-10</v>
      </c>
      <c r="I228" s="152">
        <f t="shared" si="21"/>
        <v>0</v>
      </c>
      <c r="J228" s="135"/>
    </row>
    <row r="229" spans="1:10" s="111" customFormat="1" ht="15.75" customHeight="1" outlineLevel="1">
      <c r="A229" s="140">
        <f t="shared" si="18"/>
        <v>209</v>
      </c>
      <c r="B229" s="139">
        <f t="shared" si="19"/>
        <v>50072</v>
      </c>
      <c r="C229" s="138"/>
      <c r="D229" s="137"/>
      <c r="E229" s="136">
        <f t="shared" si="20"/>
        <v>0</v>
      </c>
      <c r="F229" s="217"/>
      <c r="G229" s="136">
        <f t="shared" si="22"/>
        <v>0</v>
      </c>
      <c r="H229" s="136">
        <f t="shared" si="23"/>
        <v>3.574314177967608E-10</v>
      </c>
      <c r="I229" s="152">
        <f t="shared" si="21"/>
        <v>0</v>
      </c>
      <c r="J229" s="141"/>
    </row>
    <row r="230" spans="1:10" s="111" customFormat="1" ht="15.75" customHeight="1" outlineLevel="1">
      <c r="A230" s="140">
        <f t="shared" si="18"/>
        <v>210</v>
      </c>
      <c r="B230" s="139">
        <f t="shared" si="19"/>
        <v>50100</v>
      </c>
      <c r="C230" s="138"/>
      <c r="D230" s="137"/>
      <c r="E230" s="136">
        <f t="shared" si="20"/>
        <v>0</v>
      </c>
      <c r="F230" s="217"/>
      <c r="G230" s="136">
        <f t="shared" si="22"/>
        <v>0</v>
      </c>
      <c r="H230" s="136">
        <f t="shared" si="23"/>
        <v>3.574314177967608E-10</v>
      </c>
      <c r="I230" s="152">
        <f t="shared" si="21"/>
        <v>0</v>
      </c>
      <c r="J230" s="141"/>
    </row>
    <row r="231" spans="1:10" s="111" customFormat="1" ht="15.75" customHeight="1" outlineLevel="1">
      <c r="A231" s="140">
        <f t="shared" si="18"/>
        <v>211</v>
      </c>
      <c r="B231" s="139">
        <f t="shared" si="19"/>
        <v>50131</v>
      </c>
      <c r="C231" s="138"/>
      <c r="D231" s="137"/>
      <c r="E231" s="136">
        <f t="shared" si="20"/>
        <v>0</v>
      </c>
      <c r="F231" s="217"/>
      <c r="G231" s="136">
        <f t="shared" si="22"/>
        <v>0</v>
      </c>
      <c r="H231" s="136">
        <f t="shared" si="23"/>
        <v>3.574314177967608E-10</v>
      </c>
      <c r="I231" s="152">
        <f t="shared" si="21"/>
        <v>0</v>
      </c>
      <c r="J231" s="141"/>
    </row>
    <row r="232" spans="1:10" s="111" customFormat="1" ht="15.75" customHeight="1" outlineLevel="1">
      <c r="A232" s="140">
        <f t="shared" si="18"/>
        <v>212</v>
      </c>
      <c r="B232" s="139">
        <f t="shared" si="19"/>
        <v>50161</v>
      </c>
      <c r="C232" s="138"/>
      <c r="D232" s="137"/>
      <c r="E232" s="136">
        <f t="shared" si="20"/>
        <v>0</v>
      </c>
      <c r="F232" s="217"/>
      <c r="G232" s="136">
        <f t="shared" si="22"/>
        <v>0</v>
      </c>
      <c r="H232" s="136">
        <f t="shared" si="23"/>
        <v>3.574314177967608E-10</v>
      </c>
      <c r="I232" s="152">
        <f t="shared" si="21"/>
        <v>0</v>
      </c>
      <c r="J232" s="141"/>
    </row>
    <row r="233" spans="1:10" s="111" customFormat="1" ht="15.75" customHeight="1" outlineLevel="1">
      <c r="A233" s="140">
        <f t="shared" si="18"/>
        <v>213</v>
      </c>
      <c r="B233" s="139">
        <f t="shared" si="19"/>
        <v>50192</v>
      </c>
      <c r="C233" s="138"/>
      <c r="D233" s="137"/>
      <c r="E233" s="136">
        <f t="shared" si="20"/>
        <v>0</v>
      </c>
      <c r="F233" s="217"/>
      <c r="G233" s="136">
        <f t="shared" si="22"/>
        <v>0</v>
      </c>
      <c r="H233" s="136">
        <f t="shared" si="23"/>
        <v>3.574314177967608E-10</v>
      </c>
      <c r="I233" s="152">
        <f t="shared" si="21"/>
        <v>0</v>
      </c>
      <c r="J233" s="141"/>
    </row>
    <row r="234" spans="1:10" s="111" customFormat="1" ht="15.75" customHeight="1" outlineLevel="1">
      <c r="A234" s="140">
        <f t="shared" si="18"/>
        <v>214</v>
      </c>
      <c r="B234" s="139">
        <f t="shared" si="19"/>
        <v>50222</v>
      </c>
      <c r="C234" s="138"/>
      <c r="D234" s="137"/>
      <c r="E234" s="136">
        <f t="shared" si="20"/>
        <v>0</v>
      </c>
      <c r="F234" s="217"/>
      <c r="G234" s="136">
        <f t="shared" si="22"/>
        <v>0</v>
      </c>
      <c r="H234" s="136">
        <f t="shared" si="23"/>
        <v>3.574314177967608E-10</v>
      </c>
      <c r="I234" s="152">
        <f t="shared" si="21"/>
        <v>0</v>
      </c>
      <c r="J234" s="141"/>
    </row>
    <row r="235" spans="1:10" s="111" customFormat="1" ht="15.75" customHeight="1" outlineLevel="1">
      <c r="A235" s="140">
        <f t="shared" si="18"/>
        <v>215</v>
      </c>
      <c r="B235" s="139">
        <f t="shared" si="19"/>
        <v>50253</v>
      </c>
      <c r="C235" s="138"/>
      <c r="D235" s="137"/>
      <c r="E235" s="136">
        <f t="shared" si="20"/>
        <v>0</v>
      </c>
      <c r="F235" s="217"/>
      <c r="G235" s="136">
        <f t="shared" si="22"/>
        <v>0</v>
      </c>
      <c r="H235" s="136">
        <f t="shared" si="23"/>
        <v>3.574314177967608E-10</v>
      </c>
      <c r="I235" s="152">
        <f t="shared" si="21"/>
        <v>0</v>
      </c>
      <c r="J235" s="141"/>
    </row>
    <row r="236" spans="1:10" s="111" customFormat="1" ht="15.75" customHeight="1" outlineLevel="1">
      <c r="A236" s="140">
        <f t="shared" si="18"/>
        <v>216</v>
      </c>
      <c r="B236" s="139">
        <f t="shared" si="19"/>
        <v>50284</v>
      </c>
      <c r="C236" s="138"/>
      <c r="D236" s="137"/>
      <c r="E236" s="136">
        <f t="shared" si="20"/>
        <v>0</v>
      </c>
      <c r="F236" s="217"/>
      <c r="G236" s="136">
        <f t="shared" si="22"/>
        <v>0</v>
      </c>
      <c r="H236" s="136">
        <f t="shared" si="23"/>
        <v>3.574314177967608E-10</v>
      </c>
      <c r="I236" s="152">
        <f t="shared" si="21"/>
        <v>0</v>
      </c>
      <c r="J236" s="135"/>
    </row>
    <row r="237" spans="1:10" s="111" customFormat="1" ht="15.75" customHeight="1" outlineLevel="1">
      <c r="A237" s="140">
        <f t="shared" si="18"/>
        <v>217</v>
      </c>
      <c r="B237" s="139">
        <f t="shared" si="19"/>
        <v>50314</v>
      </c>
      <c r="C237" s="138"/>
      <c r="D237" s="137"/>
      <c r="E237" s="136">
        <f t="shared" si="20"/>
        <v>0</v>
      </c>
      <c r="F237" s="217"/>
      <c r="G237" s="136">
        <f t="shared" si="22"/>
        <v>0</v>
      </c>
      <c r="H237" s="136">
        <f t="shared" si="23"/>
        <v>3.574314177967608E-10</v>
      </c>
      <c r="I237" s="152">
        <f t="shared" si="21"/>
        <v>0</v>
      </c>
      <c r="J237" s="135"/>
    </row>
    <row r="238" spans="1:10" s="111" customFormat="1" ht="15.75" customHeight="1" outlineLevel="1">
      <c r="A238" s="140">
        <f t="shared" si="18"/>
        <v>218</v>
      </c>
      <c r="B238" s="139">
        <f t="shared" si="19"/>
        <v>50345</v>
      </c>
      <c r="C238" s="138"/>
      <c r="D238" s="137"/>
      <c r="E238" s="136">
        <f t="shared" si="20"/>
        <v>0</v>
      </c>
      <c r="F238" s="217"/>
      <c r="G238" s="136">
        <f t="shared" si="22"/>
        <v>0</v>
      </c>
      <c r="H238" s="136">
        <f t="shared" si="23"/>
        <v>3.574314177967608E-10</v>
      </c>
      <c r="I238" s="152">
        <f t="shared" si="21"/>
        <v>0</v>
      </c>
      <c r="J238" s="135"/>
    </row>
    <row r="239" spans="1:10" s="111" customFormat="1" ht="15.75" customHeight="1" outlineLevel="1">
      <c r="A239" s="140">
        <f t="shared" si="18"/>
        <v>219</v>
      </c>
      <c r="B239" s="139">
        <f t="shared" si="19"/>
        <v>50375</v>
      </c>
      <c r="C239" s="138"/>
      <c r="D239" s="137"/>
      <c r="E239" s="136">
        <f t="shared" si="20"/>
        <v>0</v>
      </c>
      <c r="F239" s="217"/>
      <c r="G239" s="136">
        <f t="shared" si="22"/>
        <v>0</v>
      </c>
      <c r="H239" s="136">
        <f t="shared" si="23"/>
        <v>3.574314177967608E-10</v>
      </c>
      <c r="I239" s="152">
        <f t="shared" si="21"/>
        <v>0</v>
      </c>
      <c r="J239" s="135"/>
    </row>
    <row r="240" spans="1:10" s="111" customFormat="1" ht="15.75" customHeight="1" outlineLevel="1">
      <c r="A240" s="140">
        <f t="shared" si="18"/>
        <v>220</v>
      </c>
      <c r="B240" s="139">
        <f t="shared" si="19"/>
        <v>50406</v>
      </c>
      <c r="C240" s="138"/>
      <c r="D240" s="137"/>
      <c r="E240" s="136">
        <f t="shared" si="20"/>
        <v>0</v>
      </c>
      <c r="F240" s="217"/>
      <c r="G240" s="136">
        <f t="shared" si="22"/>
        <v>0</v>
      </c>
      <c r="H240" s="136">
        <f t="shared" si="23"/>
        <v>3.574314177967608E-10</v>
      </c>
      <c r="I240" s="152">
        <f t="shared" si="21"/>
        <v>0</v>
      </c>
      <c r="J240" s="135"/>
    </row>
    <row r="241" spans="1:10" s="111" customFormat="1" ht="15.75" customHeight="1" outlineLevel="1">
      <c r="A241" s="140">
        <f t="shared" si="18"/>
        <v>221</v>
      </c>
      <c r="B241" s="139">
        <f t="shared" si="19"/>
        <v>50437</v>
      </c>
      <c r="C241" s="138"/>
      <c r="D241" s="137"/>
      <c r="E241" s="136">
        <f t="shared" si="20"/>
        <v>0</v>
      </c>
      <c r="F241" s="217"/>
      <c r="G241" s="136">
        <f t="shared" si="22"/>
        <v>0</v>
      </c>
      <c r="H241" s="136">
        <f t="shared" si="23"/>
        <v>3.574314177967608E-10</v>
      </c>
      <c r="I241" s="152">
        <f t="shared" si="21"/>
        <v>0</v>
      </c>
      <c r="J241" s="135"/>
    </row>
    <row r="242" spans="1:10" s="111" customFormat="1" ht="15.75" customHeight="1" outlineLevel="1">
      <c r="A242" s="140">
        <f t="shared" si="18"/>
        <v>222</v>
      </c>
      <c r="B242" s="139">
        <f t="shared" si="19"/>
        <v>50465</v>
      </c>
      <c r="C242" s="138"/>
      <c r="D242" s="137"/>
      <c r="E242" s="136">
        <f t="shared" si="20"/>
        <v>0</v>
      </c>
      <c r="F242" s="217"/>
      <c r="G242" s="136">
        <f t="shared" si="22"/>
        <v>0</v>
      </c>
      <c r="H242" s="136">
        <f t="shared" si="23"/>
        <v>3.574314177967608E-10</v>
      </c>
      <c r="I242" s="152">
        <f t="shared" si="21"/>
        <v>0</v>
      </c>
      <c r="J242" s="135"/>
    </row>
    <row r="243" spans="1:10" s="111" customFormat="1" ht="15.75" customHeight="1" outlineLevel="1">
      <c r="A243" s="140">
        <f t="shared" si="18"/>
        <v>223</v>
      </c>
      <c r="B243" s="139">
        <f t="shared" si="19"/>
        <v>50496</v>
      </c>
      <c r="C243" s="138"/>
      <c r="D243" s="137"/>
      <c r="E243" s="136">
        <f t="shared" si="20"/>
        <v>0</v>
      </c>
      <c r="F243" s="217"/>
      <c r="G243" s="136">
        <f t="shared" si="22"/>
        <v>0</v>
      </c>
      <c r="H243" s="136">
        <f t="shared" si="23"/>
        <v>3.574314177967608E-10</v>
      </c>
      <c r="I243" s="152">
        <f t="shared" si="21"/>
        <v>0</v>
      </c>
      <c r="J243" s="135"/>
    </row>
    <row r="244" spans="1:10" s="111" customFormat="1" ht="15.75" customHeight="1" outlineLevel="1">
      <c r="A244" s="140">
        <f t="shared" si="18"/>
        <v>224</v>
      </c>
      <c r="B244" s="139">
        <f t="shared" si="19"/>
        <v>50526</v>
      </c>
      <c r="C244" s="138"/>
      <c r="D244" s="137"/>
      <c r="E244" s="136">
        <f t="shared" si="20"/>
        <v>0</v>
      </c>
      <c r="F244" s="217"/>
      <c r="G244" s="136">
        <f t="shared" si="22"/>
        <v>0</v>
      </c>
      <c r="H244" s="136">
        <f t="shared" si="23"/>
        <v>3.574314177967608E-10</v>
      </c>
      <c r="I244" s="152">
        <f t="shared" si="21"/>
        <v>0</v>
      </c>
      <c r="J244" s="135"/>
    </row>
    <row r="245" spans="1:10" s="111" customFormat="1" ht="15.75" customHeight="1" outlineLevel="1">
      <c r="A245" s="140">
        <f t="shared" si="18"/>
        <v>225</v>
      </c>
      <c r="B245" s="139">
        <f t="shared" si="19"/>
        <v>50557</v>
      </c>
      <c r="C245" s="138"/>
      <c r="D245" s="137"/>
      <c r="E245" s="136">
        <f t="shared" si="20"/>
        <v>0</v>
      </c>
      <c r="F245" s="217"/>
      <c r="G245" s="136">
        <f t="shared" si="22"/>
        <v>0</v>
      </c>
      <c r="H245" s="136">
        <f t="shared" si="23"/>
        <v>3.574314177967608E-10</v>
      </c>
      <c r="I245" s="152">
        <f t="shared" si="21"/>
        <v>0</v>
      </c>
      <c r="J245" s="135"/>
    </row>
    <row r="246" spans="1:10" s="111" customFormat="1" ht="15.75" customHeight="1" outlineLevel="1">
      <c r="A246" s="140">
        <f t="shared" si="18"/>
        <v>226</v>
      </c>
      <c r="B246" s="139">
        <f t="shared" si="19"/>
        <v>50587</v>
      </c>
      <c r="C246" s="138"/>
      <c r="D246" s="137"/>
      <c r="E246" s="136">
        <f t="shared" si="20"/>
        <v>0</v>
      </c>
      <c r="F246" s="217"/>
      <c r="G246" s="136">
        <f t="shared" si="22"/>
        <v>0</v>
      </c>
      <c r="H246" s="136">
        <f t="shared" si="23"/>
        <v>3.574314177967608E-10</v>
      </c>
      <c r="I246" s="152">
        <f t="shared" si="21"/>
        <v>0</v>
      </c>
      <c r="J246" s="135"/>
    </row>
    <row r="247" spans="1:10" s="111" customFormat="1" ht="15.75" customHeight="1" outlineLevel="1">
      <c r="A247" s="140">
        <f t="shared" si="18"/>
        <v>227</v>
      </c>
      <c r="B247" s="139">
        <f t="shared" si="19"/>
        <v>50618</v>
      </c>
      <c r="C247" s="138"/>
      <c r="D247" s="137"/>
      <c r="E247" s="136">
        <f t="shared" si="20"/>
        <v>0</v>
      </c>
      <c r="F247" s="217"/>
      <c r="G247" s="136">
        <f t="shared" si="22"/>
        <v>0</v>
      </c>
      <c r="H247" s="136">
        <f t="shared" si="23"/>
        <v>3.574314177967608E-10</v>
      </c>
      <c r="I247" s="152">
        <f t="shared" si="21"/>
        <v>0</v>
      </c>
      <c r="J247" s="135"/>
    </row>
    <row r="248" spans="1:10" s="111" customFormat="1" ht="15.75" customHeight="1" outlineLevel="1">
      <c r="A248" s="140">
        <f t="shared" si="18"/>
        <v>228</v>
      </c>
      <c r="B248" s="139">
        <f t="shared" si="19"/>
        <v>50649</v>
      </c>
      <c r="C248" s="138"/>
      <c r="D248" s="137"/>
      <c r="E248" s="136">
        <f t="shared" si="20"/>
        <v>0</v>
      </c>
      <c r="F248" s="217"/>
      <c r="G248" s="136">
        <f t="shared" si="22"/>
        <v>0</v>
      </c>
      <c r="H248" s="136">
        <f t="shared" si="23"/>
        <v>3.574314177967608E-10</v>
      </c>
      <c r="I248" s="152">
        <f t="shared" si="21"/>
        <v>0</v>
      </c>
      <c r="J248" s="135"/>
    </row>
    <row r="249" spans="1:10" s="111" customFormat="1" ht="15.75" customHeight="1" outlineLevel="1">
      <c r="A249" s="140">
        <f t="shared" si="18"/>
        <v>229</v>
      </c>
      <c r="B249" s="139">
        <f t="shared" si="19"/>
        <v>50679</v>
      </c>
      <c r="C249" s="138"/>
      <c r="D249" s="137"/>
      <c r="E249" s="136">
        <f t="shared" si="20"/>
        <v>0</v>
      </c>
      <c r="F249" s="217"/>
      <c r="G249" s="136">
        <f t="shared" si="22"/>
        <v>0</v>
      </c>
      <c r="H249" s="136">
        <f t="shared" si="23"/>
        <v>3.574314177967608E-10</v>
      </c>
      <c r="I249" s="152">
        <f t="shared" si="21"/>
        <v>0</v>
      </c>
      <c r="J249" s="135"/>
    </row>
    <row r="250" spans="1:10" s="111" customFormat="1" ht="15.75" customHeight="1" outlineLevel="1">
      <c r="A250" s="140">
        <f t="shared" si="18"/>
        <v>230</v>
      </c>
      <c r="B250" s="139">
        <f t="shared" si="19"/>
        <v>50710</v>
      </c>
      <c r="C250" s="138"/>
      <c r="D250" s="137"/>
      <c r="E250" s="136">
        <f t="shared" si="20"/>
        <v>0</v>
      </c>
      <c r="F250" s="217"/>
      <c r="G250" s="136">
        <f t="shared" si="22"/>
        <v>0</v>
      </c>
      <c r="H250" s="136">
        <f t="shared" si="23"/>
        <v>3.574314177967608E-10</v>
      </c>
      <c r="I250" s="152">
        <f t="shared" si="21"/>
        <v>0</v>
      </c>
      <c r="J250" s="135"/>
    </row>
    <row r="251" spans="1:10" s="111" customFormat="1" ht="15.75" customHeight="1" outlineLevel="1">
      <c r="A251" s="140">
        <f t="shared" si="18"/>
        <v>231</v>
      </c>
      <c r="B251" s="139">
        <f t="shared" si="19"/>
        <v>50740</v>
      </c>
      <c r="C251" s="138"/>
      <c r="D251" s="137"/>
      <c r="E251" s="136">
        <f t="shared" si="20"/>
        <v>0</v>
      </c>
      <c r="F251" s="217"/>
      <c r="G251" s="136">
        <f t="shared" si="22"/>
        <v>0</v>
      </c>
      <c r="H251" s="136">
        <f t="shared" si="23"/>
        <v>3.574314177967608E-10</v>
      </c>
      <c r="I251" s="152">
        <f t="shared" si="21"/>
        <v>0</v>
      </c>
      <c r="J251" s="135"/>
    </row>
    <row r="252" spans="1:10" s="111" customFormat="1" ht="15.75" customHeight="1" outlineLevel="1">
      <c r="A252" s="140">
        <f t="shared" si="18"/>
        <v>232</v>
      </c>
      <c r="B252" s="139">
        <f t="shared" si="19"/>
        <v>50771</v>
      </c>
      <c r="C252" s="138"/>
      <c r="D252" s="137"/>
      <c r="E252" s="136">
        <f t="shared" si="20"/>
        <v>0</v>
      </c>
      <c r="F252" s="217"/>
      <c r="G252" s="136">
        <f t="shared" si="22"/>
        <v>0</v>
      </c>
      <c r="H252" s="136">
        <f t="shared" si="23"/>
        <v>3.574314177967608E-10</v>
      </c>
      <c r="I252" s="152">
        <f t="shared" si="21"/>
        <v>0</v>
      </c>
      <c r="J252" s="135"/>
    </row>
    <row r="253" spans="1:10" s="111" customFormat="1" ht="15.75" customHeight="1" outlineLevel="1">
      <c r="A253" s="140">
        <f t="shared" si="18"/>
        <v>233</v>
      </c>
      <c r="B253" s="139">
        <f t="shared" si="19"/>
        <v>50802</v>
      </c>
      <c r="C253" s="138"/>
      <c r="D253" s="137"/>
      <c r="E253" s="136">
        <f t="shared" si="20"/>
        <v>0</v>
      </c>
      <c r="F253" s="217"/>
      <c r="G253" s="136">
        <f t="shared" si="22"/>
        <v>0</v>
      </c>
      <c r="H253" s="136">
        <f t="shared" si="23"/>
        <v>3.574314177967608E-10</v>
      </c>
      <c r="I253" s="152">
        <f t="shared" si="21"/>
        <v>0</v>
      </c>
      <c r="J253" s="135"/>
    </row>
    <row r="254" spans="1:10" s="111" customFormat="1" ht="15.75" customHeight="1" outlineLevel="1">
      <c r="A254" s="140">
        <f t="shared" si="18"/>
        <v>234</v>
      </c>
      <c r="B254" s="139">
        <f t="shared" si="19"/>
        <v>50830</v>
      </c>
      <c r="C254" s="138"/>
      <c r="D254" s="137"/>
      <c r="E254" s="136">
        <f t="shared" si="20"/>
        <v>0</v>
      </c>
      <c r="F254" s="217"/>
      <c r="G254" s="136">
        <f t="shared" si="22"/>
        <v>0</v>
      </c>
      <c r="H254" s="136">
        <f t="shared" si="23"/>
        <v>3.574314177967608E-10</v>
      </c>
      <c r="I254" s="152">
        <f t="shared" si="21"/>
        <v>0</v>
      </c>
      <c r="J254" s="135"/>
    </row>
    <row r="255" spans="1:10" s="111" customFormat="1" ht="15.75" customHeight="1" outlineLevel="1">
      <c r="A255" s="140">
        <f t="shared" si="18"/>
        <v>235</v>
      </c>
      <c r="B255" s="139">
        <f t="shared" si="19"/>
        <v>50861</v>
      </c>
      <c r="C255" s="138"/>
      <c r="D255" s="137"/>
      <c r="E255" s="136">
        <f t="shared" si="20"/>
        <v>0</v>
      </c>
      <c r="F255" s="217"/>
      <c r="G255" s="136">
        <f t="shared" si="22"/>
        <v>0</v>
      </c>
      <c r="H255" s="136">
        <f t="shared" si="23"/>
        <v>3.574314177967608E-10</v>
      </c>
      <c r="I255" s="152">
        <f t="shared" si="21"/>
        <v>0</v>
      </c>
      <c r="J255" s="135"/>
    </row>
    <row r="256" spans="1:10" s="111" customFormat="1" ht="15.75" customHeight="1" outlineLevel="1">
      <c r="A256" s="140">
        <f t="shared" si="18"/>
        <v>236</v>
      </c>
      <c r="B256" s="139">
        <f t="shared" si="19"/>
        <v>50891</v>
      </c>
      <c r="C256" s="138"/>
      <c r="D256" s="137"/>
      <c r="E256" s="136">
        <f t="shared" si="20"/>
        <v>0</v>
      </c>
      <c r="F256" s="217"/>
      <c r="G256" s="136">
        <f t="shared" si="22"/>
        <v>0</v>
      </c>
      <c r="H256" s="136">
        <f t="shared" si="23"/>
        <v>3.574314177967608E-10</v>
      </c>
      <c r="I256" s="152">
        <f t="shared" si="21"/>
        <v>0</v>
      </c>
      <c r="J256" s="135"/>
    </row>
    <row r="257" spans="1:10" s="111" customFormat="1" ht="15.75" customHeight="1" outlineLevel="1">
      <c r="A257" s="140">
        <f t="shared" si="18"/>
        <v>237</v>
      </c>
      <c r="B257" s="139">
        <f t="shared" si="19"/>
        <v>50922</v>
      </c>
      <c r="C257" s="138"/>
      <c r="D257" s="137"/>
      <c r="E257" s="136">
        <f t="shared" si="20"/>
        <v>0</v>
      </c>
      <c r="F257" s="217"/>
      <c r="G257" s="136">
        <f t="shared" si="22"/>
        <v>0</v>
      </c>
      <c r="H257" s="136">
        <f t="shared" si="23"/>
        <v>3.574314177967608E-10</v>
      </c>
      <c r="I257" s="152">
        <f t="shared" si="21"/>
        <v>0</v>
      </c>
      <c r="J257" s="135"/>
    </row>
    <row r="258" spans="1:10" s="111" customFormat="1" ht="15.75" customHeight="1" outlineLevel="1">
      <c r="A258" s="140">
        <f t="shared" si="18"/>
        <v>238</v>
      </c>
      <c r="B258" s="139">
        <f t="shared" si="19"/>
        <v>50952</v>
      </c>
      <c r="C258" s="138"/>
      <c r="D258" s="137"/>
      <c r="E258" s="136">
        <f t="shared" si="20"/>
        <v>0</v>
      </c>
      <c r="F258" s="217"/>
      <c r="G258" s="136">
        <f t="shared" si="22"/>
        <v>0</v>
      </c>
      <c r="H258" s="136">
        <f t="shared" si="23"/>
        <v>3.574314177967608E-10</v>
      </c>
      <c r="I258" s="152">
        <f t="shared" si="21"/>
        <v>0</v>
      </c>
      <c r="J258" s="135"/>
    </row>
    <row r="259" spans="1:10" s="111" customFormat="1" ht="15.75" customHeight="1" outlineLevel="1">
      <c r="A259" s="140">
        <f t="shared" si="18"/>
        <v>239</v>
      </c>
      <c r="B259" s="139">
        <f t="shared" si="19"/>
        <v>50983</v>
      </c>
      <c r="C259" s="138"/>
      <c r="D259" s="137"/>
      <c r="E259" s="136">
        <f t="shared" si="20"/>
        <v>0</v>
      </c>
      <c r="F259" s="217"/>
      <c r="G259" s="136">
        <f t="shared" si="22"/>
        <v>0</v>
      </c>
      <c r="H259" s="136">
        <f t="shared" si="23"/>
        <v>3.574314177967608E-10</v>
      </c>
      <c r="I259" s="152">
        <f t="shared" si="21"/>
        <v>0</v>
      </c>
      <c r="J259" s="135"/>
    </row>
    <row r="260" spans="1:10" s="111" customFormat="1" ht="15.75" customHeight="1" outlineLevel="1">
      <c r="A260" s="140">
        <f t="shared" si="18"/>
        <v>240</v>
      </c>
      <c r="B260" s="139">
        <f t="shared" si="19"/>
        <v>51014</v>
      </c>
      <c r="C260" s="138"/>
      <c r="D260" s="137"/>
      <c r="E260" s="136">
        <f t="shared" si="20"/>
        <v>0</v>
      </c>
      <c r="F260" s="217"/>
      <c r="G260" s="136">
        <f t="shared" si="22"/>
        <v>0</v>
      </c>
      <c r="H260" s="136">
        <f t="shared" si="23"/>
        <v>3.574314177967608E-10</v>
      </c>
      <c r="I260" s="152">
        <f t="shared" si="21"/>
        <v>0</v>
      </c>
      <c r="J260" s="135"/>
    </row>
    <row r="261" spans="1:10" s="111" customFormat="1" ht="15.75" customHeight="1" outlineLevel="1">
      <c r="A261" s="140">
        <f t="shared" si="18"/>
        <v>241</v>
      </c>
      <c r="B261" s="139">
        <f t="shared" si="19"/>
        <v>51044</v>
      </c>
      <c r="C261" s="138"/>
      <c r="D261" s="137"/>
      <c r="E261" s="136">
        <f t="shared" si="20"/>
        <v>0</v>
      </c>
      <c r="F261" s="217"/>
      <c r="G261" s="136">
        <f t="shared" si="22"/>
        <v>0</v>
      </c>
      <c r="H261" s="136">
        <f t="shared" si="23"/>
        <v>3.574314177967608E-10</v>
      </c>
      <c r="I261" s="152">
        <f t="shared" si="21"/>
        <v>0</v>
      </c>
      <c r="J261" s="135"/>
    </row>
    <row r="262" spans="1:10" s="111" customFormat="1" ht="15.75" customHeight="1" outlineLevel="1">
      <c r="A262" s="140">
        <f t="shared" si="18"/>
        <v>242</v>
      </c>
      <c r="B262" s="139">
        <f t="shared" si="19"/>
        <v>51075</v>
      </c>
      <c r="C262" s="138"/>
      <c r="D262" s="137"/>
      <c r="E262" s="136">
        <f t="shared" si="20"/>
        <v>0</v>
      </c>
      <c r="F262" s="217"/>
      <c r="G262" s="136">
        <f t="shared" si="22"/>
        <v>0</v>
      </c>
      <c r="H262" s="136">
        <f t="shared" si="23"/>
        <v>3.574314177967608E-10</v>
      </c>
      <c r="I262" s="152">
        <f t="shared" si="21"/>
        <v>0</v>
      </c>
      <c r="J262" s="135"/>
    </row>
    <row r="263" spans="1:10" s="111" customFormat="1" ht="15.75" customHeight="1" outlineLevel="1">
      <c r="A263" s="140">
        <f t="shared" si="18"/>
        <v>243</v>
      </c>
      <c r="B263" s="139">
        <f t="shared" si="19"/>
        <v>51105</v>
      </c>
      <c r="C263" s="138"/>
      <c r="D263" s="137"/>
      <c r="E263" s="136">
        <f t="shared" si="20"/>
        <v>0</v>
      </c>
      <c r="F263" s="217"/>
      <c r="G263" s="136">
        <f t="shared" si="22"/>
        <v>0</v>
      </c>
      <c r="H263" s="136">
        <f t="shared" si="23"/>
        <v>3.574314177967608E-10</v>
      </c>
      <c r="I263" s="152">
        <f t="shared" si="21"/>
        <v>0</v>
      </c>
      <c r="J263" s="135"/>
    </row>
    <row r="264" spans="1:10" s="111" customFormat="1" ht="15.75" customHeight="1" outlineLevel="1">
      <c r="A264" s="140">
        <f t="shared" si="18"/>
        <v>244</v>
      </c>
      <c r="B264" s="139">
        <f t="shared" si="19"/>
        <v>51136</v>
      </c>
      <c r="C264" s="138"/>
      <c r="D264" s="137"/>
      <c r="E264" s="136">
        <f t="shared" si="20"/>
        <v>0</v>
      </c>
      <c r="F264" s="217"/>
      <c r="G264" s="136">
        <f t="shared" si="22"/>
        <v>0</v>
      </c>
      <c r="H264" s="136">
        <f t="shared" si="23"/>
        <v>3.574314177967608E-10</v>
      </c>
      <c r="I264" s="152">
        <f t="shared" si="21"/>
        <v>0</v>
      </c>
      <c r="J264" s="135"/>
    </row>
    <row r="265" spans="1:10" s="111" customFormat="1" ht="15.75" customHeight="1" outlineLevel="1">
      <c r="A265" s="140">
        <f t="shared" si="18"/>
        <v>245</v>
      </c>
      <c r="B265" s="139">
        <f t="shared" si="19"/>
        <v>51167</v>
      </c>
      <c r="C265" s="138"/>
      <c r="D265" s="137"/>
      <c r="E265" s="136">
        <f t="shared" si="20"/>
        <v>0</v>
      </c>
      <c r="F265" s="217"/>
      <c r="G265" s="136">
        <f t="shared" si="22"/>
        <v>0</v>
      </c>
      <c r="H265" s="136">
        <f t="shared" si="23"/>
        <v>3.574314177967608E-10</v>
      </c>
      <c r="I265" s="152">
        <f t="shared" si="21"/>
        <v>0</v>
      </c>
      <c r="J265" s="135"/>
    </row>
    <row r="266" spans="1:10" s="111" customFormat="1" ht="15.75" customHeight="1" outlineLevel="1">
      <c r="A266" s="140">
        <f t="shared" si="18"/>
        <v>246</v>
      </c>
      <c r="B266" s="139">
        <f t="shared" si="19"/>
        <v>51196</v>
      </c>
      <c r="C266" s="138"/>
      <c r="D266" s="137"/>
      <c r="E266" s="136">
        <f t="shared" si="20"/>
        <v>0</v>
      </c>
      <c r="F266" s="217"/>
      <c r="G266" s="136">
        <f t="shared" si="22"/>
        <v>0</v>
      </c>
      <c r="H266" s="136">
        <f t="shared" si="23"/>
        <v>3.574314177967608E-10</v>
      </c>
      <c r="I266" s="152">
        <f t="shared" si="21"/>
        <v>0</v>
      </c>
      <c r="J266" s="135"/>
    </row>
    <row r="267" spans="1:10" s="111" customFormat="1" ht="15.75" customHeight="1" outlineLevel="1">
      <c r="A267" s="140">
        <f t="shared" si="18"/>
        <v>247</v>
      </c>
      <c r="B267" s="139">
        <f t="shared" si="19"/>
        <v>51227</v>
      </c>
      <c r="C267" s="138"/>
      <c r="D267" s="137"/>
      <c r="E267" s="136">
        <f t="shared" si="20"/>
        <v>0</v>
      </c>
      <c r="F267" s="217"/>
      <c r="G267" s="136">
        <f t="shared" si="22"/>
        <v>0</v>
      </c>
      <c r="H267" s="136">
        <f t="shared" si="23"/>
        <v>3.574314177967608E-10</v>
      </c>
      <c r="I267" s="152">
        <f t="shared" si="21"/>
        <v>0</v>
      </c>
      <c r="J267" s="135"/>
    </row>
    <row r="268" spans="1:10" s="111" customFormat="1" ht="15.75" customHeight="1" outlineLevel="1">
      <c r="A268" s="140">
        <f t="shared" si="18"/>
        <v>248</v>
      </c>
      <c r="B268" s="139">
        <f t="shared" si="19"/>
        <v>51257</v>
      </c>
      <c r="C268" s="138"/>
      <c r="D268" s="137"/>
      <c r="E268" s="136">
        <f t="shared" si="20"/>
        <v>0</v>
      </c>
      <c r="F268" s="217"/>
      <c r="G268" s="136">
        <f t="shared" si="22"/>
        <v>0</v>
      </c>
      <c r="H268" s="136">
        <f t="shared" si="23"/>
        <v>3.574314177967608E-10</v>
      </c>
      <c r="I268" s="152">
        <f t="shared" si="21"/>
        <v>0</v>
      </c>
      <c r="J268" s="135"/>
    </row>
    <row r="269" spans="1:10" s="111" customFormat="1" ht="15.75" customHeight="1" outlineLevel="1">
      <c r="A269" s="140">
        <f t="shared" si="18"/>
        <v>249</v>
      </c>
      <c r="B269" s="139">
        <f t="shared" si="19"/>
        <v>51288</v>
      </c>
      <c r="C269" s="138"/>
      <c r="D269" s="137"/>
      <c r="E269" s="136">
        <f t="shared" si="20"/>
        <v>0</v>
      </c>
      <c r="F269" s="217"/>
      <c r="G269" s="136">
        <f t="shared" si="22"/>
        <v>0</v>
      </c>
      <c r="H269" s="136">
        <f t="shared" si="23"/>
        <v>3.574314177967608E-10</v>
      </c>
      <c r="I269" s="152">
        <f t="shared" si="21"/>
        <v>0</v>
      </c>
      <c r="J269" s="135"/>
    </row>
    <row r="270" spans="1:10" s="111" customFormat="1" ht="15.75" customHeight="1" outlineLevel="1">
      <c r="A270" s="140">
        <f t="shared" si="18"/>
        <v>250</v>
      </c>
      <c r="B270" s="139">
        <f t="shared" si="19"/>
        <v>51318</v>
      </c>
      <c r="C270" s="138"/>
      <c r="D270" s="137"/>
      <c r="E270" s="136">
        <f t="shared" si="20"/>
        <v>0</v>
      </c>
      <c r="F270" s="217"/>
      <c r="G270" s="136">
        <f t="shared" si="22"/>
        <v>0</v>
      </c>
      <c r="H270" s="136">
        <f t="shared" si="23"/>
        <v>3.574314177967608E-10</v>
      </c>
      <c r="I270" s="152">
        <f t="shared" si="21"/>
        <v>0</v>
      </c>
      <c r="J270" s="135"/>
    </row>
    <row r="271" spans="1:10" s="111" customFormat="1" ht="15.75" customHeight="1" outlineLevel="1">
      <c r="A271" s="140">
        <f t="shared" si="18"/>
        <v>251</v>
      </c>
      <c r="B271" s="139">
        <f t="shared" si="19"/>
        <v>51349</v>
      </c>
      <c r="C271" s="138"/>
      <c r="D271" s="137"/>
      <c r="E271" s="136">
        <f t="shared" si="20"/>
        <v>0</v>
      </c>
      <c r="F271" s="217"/>
      <c r="G271" s="136">
        <f t="shared" si="22"/>
        <v>0</v>
      </c>
      <c r="H271" s="136">
        <f t="shared" si="23"/>
        <v>3.574314177967608E-10</v>
      </c>
      <c r="I271" s="152">
        <f t="shared" si="21"/>
        <v>0</v>
      </c>
      <c r="J271" s="135"/>
    </row>
    <row r="272" spans="1:10" s="111" customFormat="1" ht="15.75" customHeight="1" outlineLevel="1">
      <c r="A272" s="140">
        <f t="shared" si="18"/>
        <v>252</v>
      </c>
      <c r="B272" s="139">
        <f t="shared" si="19"/>
        <v>51380</v>
      </c>
      <c r="C272" s="138"/>
      <c r="D272" s="137"/>
      <c r="E272" s="136">
        <f t="shared" si="20"/>
        <v>0</v>
      </c>
      <c r="F272" s="217"/>
      <c r="G272" s="136">
        <f t="shared" si="22"/>
        <v>0</v>
      </c>
      <c r="H272" s="136">
        <f t="shared" si="23"/>
        <v>3.574314177967608E-10</v>
      </c>
      <c r="I272" s="152">
        <f t="shared" si="21"/>
        <v>0</v>
      </c>
      <c r="J272" s="135"/>
    </row>
    <row r="273" spans="1:10" s="111" customFormat="1" ht="15.75" customHeight="1" outlineLevel="1">
      <c r="A273" s="140">
        <f t="shared" si="18"/>
        <v>253</v>
      </c>
      <c r="B273" s="139">
        <f t="shared" si="19"/>
        <v>51410</v>
      </c>
      <c r="C273" s="138"/>
      <c r="D273" s="137"/>
      <c r="E273" s="136">
        <f t="shared" si="20"/>
        <v>0</v>
      </c>
      <c r="F273" s="217"/>
      <c r="G273" s="136">
        <f t="shared" si="22"/>
        <v>0</v>
      </c>
      <c r="H273" s="136">
        <f t="shared" si="23"/>
        <v>3.574314177967608E-10</v>
      </c>
      <c r="I273" s="152">
        <f t="shared" si="21"/>
        <v>0</v>
      </c>
      <c r="J273" s="135"/>
    </row>
    <row r="274" spans="1:10" s="111" customFormat="1" ht="15.75" customHeight="1" outlineLevel="1">
      <c r="A274" s="140">
        <f t="shared" si="18"/>
        <v>254</v>
      </c>
      <c r="B274" s="139">
        <f t="shared" si="19"/>
        <v>51441</v>
      </c>
      <c r="C274" s="138"/>
      <c r="D274" s="137"/>
      <c r="E274" s="136">
        <f t="shared" si="20"/>
        <v>0</v>
      </c>
      <c r="F274" s="217"/>
      <c r="G274" s="136">
        <f t="shared" si="22"/>
        <v>0</v>
      </c>
      <c r="H274" s="136">
        <f t="shared" si="23"/>
        <v>3.574314177967608E-10</v>
      </c>
      <c r="I274" s="152">
        <f t="shared" si="21"/>
        <v>0</v>
      </c>
      <c r="J274" s="135"/>
    </row>
    <row r="275" spans="1:10" s="111" customFormat="1" ht="15.75" customHeight="1" outlineLevel="1">
      <c r="A275" s="140">
        <f t="shared" si="18"/>
        <v>255</v>
      </c>
      <c r="B275" s="139">
        <f t="shared" si="19"/>
        <v>51471</v>
      </c>
      <c r="C275" s="138"/>
      <c r="D275" s="137"/>
      <c r="E275" s="136">
        <f t="shared" si="20"/>
        <v>0</v>
      </c>
      <c r="F275" s="217"/>
      <c r="G275" s="136">
        <f t="shared" si="22"/>
        <v>0</v>
      </c>
      <c r="H275" s="136">
        <f t="shared" si="23"/>
        <v>3.574314177967608E-10</v>
      </c>
      <c r="I275" s="152">
        <f t="shared" si="21"/>
        <v>0</v>
      </c>
      <c r="J275" s="135"/>
    </row>
    <row r="276" spans="1:10" s="111" customFormat="1" ht="15.75" customHeight="1" outlineLevel="1">
      <c r="A276" s="140">
        <f t="shared" si="18"/>
        <v>256</v>
      </c>
      <c r="B276" s="139">
        <f t="shared" si="19"/>
        <v>51502</v>
      </c>
      <c r="C276" s="138"/>
      <c r="D276" s="137"/>
      <c r="E276" s="136">
        <f t="shared" si="20"/>
        <v>0</v>
      </c>
      <c r="F276" s="217"/>
      <c r="G276" s="136">
        <f t="shared" si="22"/>
        <v>0</v>
      </c>
      <c r="H276" s="136">
        <f t="shared" si="23"/>
        <v>3.574314177967608E-10</v>
      </c>
      <c r="I276" s="152">
        <f t="shared" si="21"/>
        <v>0</v>
      </c>
      <c r="J276" s="135"/>
    </row>
    <row r="277" spans="1:10" s="111" customFormat="1" ht="15.75" customHeight="1" outlineLevel="1">
      <c r="A277" s="140">
        <f t="shared" si="18"/>
        <v>257</v>
      </c>
      <c r="B277" s="139">
        <f t="shared" si="19"/>
        <v>51533</v>
      </c>
      <c r="C277" s="138"/>
      <c r="D277" s="137"/>
      <c r="E277" s="136">
        <f t="shared" si="20"/>
        <v>0</v>
      </c>
      <c r="F277" s="217"/>
      <c r="G277" s="136">
        <f t="shared" si="22"/>
        <v>0</v>
      </c>
      <c r="H277" s="136">
        <f t="shared" si="23"/>
        <v>3.574314177967608E-10</v>
      </c>
      <c r="I277" s="152">
        <f t="shared" si="21"/>
        <v>0</v>
      </c>
      <c r="J277" s="135"/>
    </row>
    <row r="278" spans="1:10" s="111" customFormat="1" ht="15.75" customHeight="1" outlineLevel="1">
      <c r="A278" s="140">
        <f t="shared" ref="A278:A341" si="24">A277+1</f>
        <v>258</v>
      </c>
      <c r="B278" s="139">
        <f t="shared" ref="B278:B341" si="25">EDATE(B277,1)</f>
        <v>51561</v>
      </c>
      <c r="C278" s="138"/>
      <c r="D278" s="137"/>
      <c r="E278" s="136">
        <f t="shared" ref="E278:E341" si="26">(D278+C278)/(POWER((1+$C$17/12),A278-1))</f>
        <v>0</v>
      </c>
      <c r="F278" s="217"/>
      <c r="G278" s="136">
        <f t="shared" si="22"/>
        <v>0</v>
      </c>
      <c r="H278" s="136">
        <f t="shared" si="23"/>
        <v>3.574314177967608E-10</v>
      </c>
      <c r="I278" s="152">
        <f t="shared" ref="I278:I341" si="27">IF(YEAR(B278)&lt;2021,0,C278/(POWER((1+$C$17/12),IF(YEAR($C$15)&lt;2021,DATEDIF("2021年1月",$B278,"M"),$A278))))</f>
        <v>0</v>
      </c>
      <c r="J278" s="135"/>
    </row>
    <row r="279" spans="1:10" s="111" customFormat="1" ht="15.75" customHeight="1" outlineLevel="1">
      <c r="A279" s="140">
        <f t="shared" si="24"/>
        <v>259</v>
      </c>
      <c r="B279" s="139">
        <f t="shared" si="25"/>
        <v>51592</v>
      </c>
      <c r="C279" s="138"/>
      <c r="D279" s="137"/>
      <c r="E279" s="136">
        <f t="shared" si="26"/>
        <v>0</v>
      </c>
      <c r="F279" s="217"/>
      <c r="G279" s="136">
        <f t="shared" ref="G279:G342" si="28">IF($A279&gt;$C$18,0,($E$348+$F$348)/($C$18-1))</f>
        <v>0</v>
      </c>
      <c r="H279" s="136">
        <f t="shared" ref="H279:H342" si="29">H278-G279</f>
        <v>3.574314177967608E-10</v>
      </c>
      <c r="I279" s="152">
        <f t="shared" si="27"/>
        <v>0</v>
      </c>
      <c r="J279" s="135"/>
    </row>
    <row r="280" spans="1:10" s="111" customFormat="1" ht="15.75" customHeight="1" outlineLevel="1">
      <c r="A280" s="140">
        <f t="shared" si="24"/>
        <v>260</v>
      </c>
      <c r="B280" s="139">
        <f t="shared" si="25"/>
        <v>51622</v>
      </c>
      <c r="C280" s="138"/>
      <c r="D280" s="137"/>
      <c r="E280" s="136">
        <f t="shared" si="26"/>
        <v>0</v>
      </c>
      <c r="F280" s="217"/>
      <c r="G280" s="136">
        <f t="shared" si="28"/>
        <v>0</v>
      </c>
      <c r="H280" s="136">
        <f t="shared" si="29"/>
        <v>3.574314177967608E-10</v>
      </c>
      <c r="I280" s="152">
        <f t="shared" si="27"/>
        <v>0</v>
      </c>
      <c r="J280" s="135"/>
    </row>
    <row r="281" spans="1:10" s="111" customFormat="1" ht="15.75" customHeight="1" outlineLevel="1">
      <c r="A281" s="140">
        <f t="shared" si="24"/>
        <v>261</v>
      </c>
      <c r="B281" s="139">
        <f t="shared" si="25"/>
        <v>51653</v>
      </c>
      <c r="C281" s="138"/>
      <c r="D281" s="137"/>
      <c r="E281" s="136">
        <f t="shared" si="26"/>
        <v>0</v>
      </c>
      <c r="F281" s="217"/>
      <c r="G281" s="136">
        <f t="shared" si="28"/>
        <v>0</v>
      </c>
      <c r="H281" s="136">
        <f t="shared" si="29"/>
        <v>3.574314177967608E-10</v>
      </c>
      <c r="I281" s="152">
        <f t="shared" si="27"/>
        <v>0</v>
      </c>
      <c r="J281" s="135"/>
    </row>
    <row r="282" spans="1:10" s="111" customFormat="1" ht="15.75" customHeight="1" outlineLevel="1">
      <c r="A282" s="140">
        <f t="shared" si="24"/>
        <v>262</v>
      </c>
      <c r="B282" s="139">
        <f t="shared" si="25"/>
        <v>51683</v>
      </c>
      <c r="C282" s="138"/>
      <c r="D282" s="137"/>
      <c r="E282" s="136">
        <f t="shared" si="26"/>
        <v>0</v>
      </c>
      <c r="F282" s="217"/>
      <c r="G282" s="136">
        <f t="shared" si="28"/>
        <v>0</v>
      </c>
      <c r="H282" s="136">
        <f t="shared" si="29"/>
        <v>3.574314177967608E-10</v>
      </c>
      <c r="I282" s="152">
        <f t="shared" si="27"/>
        <v>0</v>
      </c>
      <c r="J282" s="135"/>
    </row>
    <row r="283" spans="1:10" s="111" customFormat="1" ht="15.75" customHeight="1" outlineLevel="1">
      <c r="A283" s="140">
        <f t="shared" si="24"/>
        <v>263</v>
      </c>
      <c r="B283" s="139">
        <f t="shared" si="25"/>
        <v>51714</v>
      </c>
      <c r="C283" s="138"/>
      <c r="D283" s="137"/>
      <c r="E283" s="136">
        <f t="shared" si="26"/>
        <v>0</v>
      </c>
      <c r="F283" s="217"/>
      <c r="G283" s="136">
        <f t="shared" si="28"/>
        <v>0</v>
      </c>
      <c r="H283" s="136">
        <f t="shared" si="29"/>
        <v>3.574314177967608E-10</v>
      </c>
      <c r="I283" s="152">
        <f t="shared" si="27"/>
        <v>0</v>
      </c>
      <c r="J283" s="135"/>
    </row>
    <row r="284" spans="1:10" s="111" customFormat="1" ht="15.75" customHeight="1" outlineLevel="1">
      <c r="A284" s="140">
        <f t="shared" si="24"/>
        <v>264</v>
      </c>
      <c r="B284" s="139">
        <f t="shared" si="25"/>
        <v>51745</v>
      </c>
      <c r="C284" s="138"/>
      <c r="D284" s="137"/>
      <c r="E284" s="136">
        <f t="shared" si="26"/>
        <v>0</v>
      </c>
      <c r="F284" s="217"/>
      <c r="G284" s="136">
        <f t="shared" si="28"/>
        <v>0</v>
      </c>
      <c r="H284" s="136">
        <f t="shared" si="29"/>
        <v>3.574314177967608E-10</v>
      </c>
      <c r="I284" s="152">
        <f t="shared" si="27"/>
        <v>0</v>
      </c>
      <c r="J284" s="135"/>
    </row>
    <row r="285" spans="1:10" s="111" customFormat="1" ht="15.75" customHeight="1" outlineLevel="1">
      <c r="A285" s="140">
        <f t="shared" si="24"/>
        <v>265</v>
      </c>
      <c r="B285" s="139">
        <f t="shared" si="25"/>
        <v>51775</v>
      </c>
      <c r="C285" s="138"/>
      <c r="D285" s="137"/>
      <c r="E285" s="136">
        <f t="shared" si="26"/>
        <v>0</v>
      </c>
      <c r="F285" s="217"/>
      <c r="G285" s="136">
        <f t="shared" si="28"/>
        <v>0</v>
      </c>
      <c r="H285" s="136">
        <f t="shared" si="29"/>
        <v>3.574314177967608E-10</v>
      </c>
      <c r="I285" s="152">
        <f t="shared" si="27"/>
        <v>0</v>
      </c>
      <c r="J285" s="135"/>
    </row>
    <row r="286" spans="1:10" s="111" customFormat="1" ht="15.75" customHeight="1" outlineLevel="1">
      <c r="A286" s="140">
        <f t="shared" si="24"/>
        <v>266</v>
      </c>
      <c r="B286" s="139">
        <f t="shared" si="25"/>
        <v>51806</v>
      </c>
      <c r="C286" s="138"/>
      <c r="D286" s="137"/>
      <c r="E286" s="136">
        <f t="shared" si="26"/>
        <v>0</v>
      </c>
      <c r="F286" s="217"/>
      <c r="G286" s="136">
        <f t="shared" si="28"/>
        <v>0</v>
      </c>
      <c r="H286" s="136">
        <f t="shared" si="29"/>
        <v>3.574314177967608E-10</v>
      </c>
      <c r="I286" s="152">
        <f t="shared" si="27"/>
        <v>0</v>
      </c>
      <c r="J286" s="135"/>
    </row>
    <row r="287" spans="1:10" s="111" customFormat="1" ht="15.75" customHeight="1" outlineLevel="1">
      <c r="A287" s="140">
        <f t="shared" si="24"/>
        <v>267</v>
      </c>
      <c r="B287" s="139">
        <f t="shared" si="25"/>
        <v>51836</v>
      </c>
      <c r="C287" s="138"/>
      <c r="D287" s="137"/>
      <c r="E287" s="136">
        <f t="shared" si="26"/>
        <v>0</v>
      </c>
      <c r="F287" s="217"/>
      <c r="G287" s="136">
        <f t="shared" si="28"/>
        <v>0</v>
      </c>
      <c r="H287" s="136">
        <f t="shared" si="29"/>
        <v>3.574314177967608E-10</v>
      </c>
      <c r="I287" s="152">
        <f t="shared" si="27"/>
        <v>0</v>
      </c>
      <c r="J287" s="135"/>
    </row>
    <row r="288" spans="1:10" s="111" customFormat="1" ht="15.75" customHeight="1" outlineLevel="1">
      <c r="A288" s="140">
        <f t="shared" si="24"/>
        <v>268</v>
      </c>
      <c r="B288" s="139">
        <f t="shared" si="25"/>
        <v>51867</v>
      </c>
      <c r="C288" s="138"/>
      <c r="D288" s="137"/>
      <c r="E288" s="136">
        <f t="shared" si="26"/>
        <v>0</v>
      </c>
      <c r="F288" s="217"/>
      <c r="G288" s="136">
        <f t="shared" si="28"/>
        <v>0</v>
      </c>
      <c r="H288" s="136">
        <f t="shared" si="29"/>
        <v>3.574314177967608E-10</v>
      </c>
      <c r="I288" s="152">
        <f t="shared" si="27"/>
        <v>0</v>
      </c>
      <c r="J288" s="135"/>
    </row>
    <row r="289" spans="1:10" s="111" customFormat="1" ht="15.75" customHeight="1" outlineLevel="1">
      <c r="A289" s="140">
        <f t="shared" si="24"/>
        <v>269</v>
      </c>
      <c r="B289" s="139">
        <f t="shared" si="25"/>
        <v>51898</v>
      </c>
      <c r="C289" s="138"/>
      <c r="D289" s="137"/>
      <c r="E289" s="136">
        <f t="shared" si="26"/>
        <v>0</v>
      </c>
      <c r="F289" s="217"/>
      <c r="G289" s="136">
        <f t="shared" si="28"/>
        <v>0</v>
      </c>
      <c r="H289" s="136">
        <f t="shared" si="29"/>
        <v>3.574314177967608E-10</v>
      </c>
      <c r="I289" s="152">
        <f t="shared" si="27"/>
        <v>0</v>
      </c>
      <c r="J289" s="135"/>
    </row>
    <row r="290" spans="1:10" s="111" customFormat="1" ht="15.75" customHeight="1" outlineLevel="1">
      <c r="A290" s="140">
        <f t="shared" si="24"/>
        <v>270</v>
      </c>
      <c r="B290" s="139">
        <f t="shared" si="25"/>
        <v>51926</v>
      </c>
      <c r="C290" s="138"/>
      <c r="D290" s="137"/>
      <c r="E290" s="136">
        <f t="shared" si="26"/>
        <v>0</v>
      </c>
      <c r="F290" s="217"/>
      <c r="G290" s="136">
        <f t="shared" si="28"/>
        <v>0</v>
      </c>
      <c r="H290" s="136">
        <f t="shared" si="29"/>
        <v>3.574314177967608E-10</v>
      </c>
      <c r="I290" s="152">
        <f t="shared" si="27"/>
        <v>0</v>
      </c>
      <c r="J290" s="135"/>
    </row>
    <row r="291" spans="1:10" s="111" customFormat="1" ht="15.75" customHeight="1" outlineLevel="1">
      <c r="A291" s="140">
        <f t="shared" si="24"/>
        <v>271</v>
      </c>
      <c r="B291" s="139">
        <f t="shared" si="25"/>
        <v>51957</v>
      </c>
      <c r="C291" s="138"/>
      <c r="D291" s="137"/>
      <c r="E291" s="136">
        <f t="shared" si="26"/>
        <v>0</v>
      </c>
      <c r="F291" s="217"/>
      <c r="G291" s="136">
        <f t="shared" si="28"/>
        <v>0</v>
      </c>
      <c r="H291" s="136">
        <f t="shared" si="29"/>
        <v>3.574314177967608E-10</v>
      </c>
      <c r="I291" s="152">
        <f t="shared" si="27"/>
        <v>0</v>
      </c>
      <c r="J291" s="135"/>
    </row>
    <row r="292" spans="1:10" s="111" customFormat="1" ht="15.75" customHeight="1" outlineLevel="1">
      <c r="A292" s="140">
        <f t="shared" si="24"/>
        <v>272</v>
      </c>
      <c r="B292" s="139">
        <f t="shared" si="25"/>
        <v>51987</v>
      </c>
      <c r="C292" s="138"/>
      <c r="D292" s="137"/>
      <c r="E292" s="136">
        <f t="shared" si="26"/>
        <v>0</v>
      </c>
      <c r="F292" s="217"/>
      <c r="G292" s="136">
        <f t="shared" si="28"/>
        <v>0</v>
      </c>
      <c r="H292" s="136">
        <f t="shared" si="29"/>
        <v>3.574314177967608E-10</v>
      </c>
      <c r="I292" s="152">
        <f t="shared" si="27"/>
        <v>0</v>
      </c>
      <c r="J292" s="135"/>
    </row>
    <row r="293" spans="1:10" s="111" customFormat="1" ht="15.75" customHeight="1" outlineLevel="1">
      <c r="A293" s="140">
        <f t="shared" si="24"/>
        <v>273</v>
      </c>
      <c r="B293" s="139">
        <f t="shared" si="25"/>
        <v>52018</v>
      </c>
      <c r="C293" s="138"/>
      <c r="D293" s="137"/>
      <c r="E293" s="136">
        <f t="shared" si="26"/>
        <v>0</v>
      </c>
      <c r="F293" s="217"/>
      <c r="G293" s="136">
        <f t="shared" si="28"/>
        <v>0</v>
      </c>
      <c r="H293" s="136">
        <f t="shared" si="29"/>
        <v>3.574314177967608E-10</v>
      </c>
      <c r="I293" s="152">
        <f t="shared" si="27"/>
        <v>0</v>
      </c>
      <c r="J293" s="135"/>
    </row>
    <row r="294" spans="1:10" s="111" customFormat="1" ht="15.75" customHeight="1" outlineLevel="1">
      <c r="A294" s="140">
        <f t="shared" si="24"/>
        <v>274</v>
      </c>
      <c r="B294" s="139">
        <f t="shared" si="25"/>
        <v>52048</v>
      </c>
      <c r="C294" s="138"/>
      <c r="D294" s="137"/>
      <c r="E294" s="136">
        <f t="shared" si="26"/>
        <v>0</v>
      </c>
      <c r="F294" s="217"/>
      <c r="G294" s="136">
        <f t="shared" si="28"/>
        <v>0</v>
      </c>
      <c r="H294" s="136">
        <f t="shared" si="29"/>
        <v>3.574314177967608E-10</v>
      </c>
      <c r="I294" s="152">
        <f t="shared" si="27"/>
        <v>0</v>
      </c>
      <c r="J294" s="135"/>
    </row>
    <row r="295" spans="1:10" s="111" customFormat="1" ht="15.75" customHeight="1" outlineLevel="1">
      <c r="A295" s="140">
        <f t="shared" si="24"/>
        <v>275</v>
      </c>
      <c r="B295" s="139">
        <f t="shared" si="25"/>
        <v>52079</v>
      </c>
      <c r="C295" s="138"/>
      <c r="D295" s="137"/>
      <c r="E295" s="136">
        <f t="shared" si="26"/>
        <v>0</v>
      </c>
      <c r="F295" s="217"/>
      <c r="G295" s="136">
        <f t="shared" si="28"/>
        <v>0</v>
      </c>
      <c r="H295" s="136">
        <f t="shared" si="29"/>
        <v>3.574314177967608E-10</v>
      </c>
      <c r="I295" s="152">
        <f t="shared" si="27"/>
        <v>0</v>
      </c>
      <c r="J295" s="135"/>
    </row>
    <row r="296" spans="1:10" s="111" customFormat="1" ht="15.75" customHeight="1" outlineLevel="1">
      <c r="A296" s="140">
        <f t="shared" si="24"/>
        <v>276</v>
      </c>
      <c r="B296" s="139">
        <f t="shared" si="25"/>
        <v>52110</v>
      </c>
      <c r="C296" s="138"/>
      <c r="D296" s="137"/>
      <c r="E296" s="136">
        <f t="shared" si="26"/>
        <v>0</v>
      </c>
      <c r="F296" s="217"/>
      <c r="G296" s="136">
        <f t="shared" si="28"/>
        <v>0</v>
      </c>
      <c r="H296" s="136">
        <f t="shared" si="29"/>
        <v>3.574314177967608E-10</v>
      </c>
      <c r="I296" s="152">
        <f t="shared" si="27"/>
        <v>0</v>
      </c>
      <c r="J296" s="135"/>
    </row>
    <row r="297" spans="1:10" s="111" customFormat="1" ht="15.75" customHeight="1" outlineLevel="1">
      <c r="A297" s="140">
        <f t="shared" si="24"/>
        <v>277</v>
      </c>
      <c r="B297" s="139">
        <f t="shared" si="25"/>
        <v>52140</v>
      </c>
      <c r="C297" s="138"/>
      <c r="D297" s="137"/>
      <c r="E297" s="136">
        <f t="shared" si="26"/>
        <v>0</v>
      </c>
      <c r="F297" s="217"/>
      <c r="G297" s="136">
        <f t="shared" si="28"/>
        <v>0</v>
      </c>
      <c r="H297" s="136">
        <f t="shared" si="29"/>
        <v>3.574314177967608E-10</v>
      </c>
      <c r="I297" s="152">
        <f t="shared" si="27"/>
        <v>0</v>
      </c>
      <c r="J297" s="135"/>
    </row>
    <row r="298" spans="1:10" s="111" customFormat="1" ht="15.75" customHeight="1" outlineLevel="1">
      <c r="A298" s="140">
        <f t="shared" si="24"/>
        <v>278</v>
      </c>
      <c r="B298" s="139">
        <f t="shared" si="25"/>
        <v>52171</v>
      </c>
      <c r="C298" s="138"/>
      <c r="D298" s="137"/>
      <c r="E298" s="136">
        <f t="shared" si="26"/>
        <v>0</v>
      </c>
      <c r="F298" s="217"/>
      <c r="G298" s="136">
        <f t="shared" si="28"/>
        <v>0</v>
      </c>
      <c r="H298" s="136">
        <f t="shared" si="29"/>
        <v>3.574314177967608E-10</v>
      </c>
      <c r="I298" s="152">
        <f t="shared" si="27"/>
        <v>0</v>
      </c>
      <c r="J298" s="135"/>
    </row>
    <row r="299" spans="1:10" s="111" customFormat="1" ht="15.75" customHeight="1" outlineLevel="1">
      <c r="A299" s="140">
        <f t="shared" si="24"/>
        <v>279</v>
      </c>
      <c r="B299" s="139">
        <f t="shared" si="25"/>
        <v>52201</v>
      </c>
      <c r="C299" s="138"/>
      <c r="D299" s="137"/>
      <c r="E299" s="136">
        <f t="shared" si="26"/>
        <v>0</v>
      </c>
      <c r="F299" s="217"/>
      <c r="G299" s="136">
        <f t="shared" si="28"/>
        <v>0</v>
      </c>
      <c r="H299" s="136">
        <f t="shared" si="29"/>
        <v>3.574314177967608E-10</v>
      </c>
      <c r="I299" s="152">
        <f t="shared" si="27"/>
        <v>0</v>
      </c>
      <c r="J299" s="135"/>
    </row>
    <row r="300" spans="1:10" s="111" customFormat="1" ht="15.75" customHeight="1" outlineLevel="1">
      <c r="A300" s="140">
        <f t="shared" si="24"/>
        <v>280</v>
      </c>
      <c r="B300" s="139">
        <f t="shared" si="25"/>
        <v>52232</v>
      </c>
      <c r="C300" s="138"/>
      <c r="D300" s="137"/>
      <c r="E300" s="136">
        <f t="shared" si="26"/>
        <v>0</v>
      </c>
      <c r="F300" s="217"/>
      <c r="G300" s="136">
        <f t="shared" si="28"/>
        <v>0</v>
      </c>
      <c r="H300" s="136">
        <f t="shared" si="29"/>
        <v>3.574314177967608E-10</v>
      </c>
      <c r="I300" s="152">
        <f t="shared" si="27"/>
        <v>0</v>
      </c>
      <c r="J300" s="135"/>
    </row>
    <row r="301" spans="1:10" s="111" customFormat="1" ht="15.75" customHeight="1" outlineLevel="1">
      <c r="A301" s="140">
        <f t="shared" si="24"/>
        <v>281</v>
      </c>
      <c r="B301" s="139">
        <f t="shared" si="25"/>
        <v>52263</v>
      </c>
      <c r="C301" s="138"/>
      <c r="D301" s="137"/>
      <c r="E301" s="136">
        <f t="shared" si="26"/>
        <v>0</v>
      </c>
      <c r="F301" s="217"/>
      <c r="G301" s="136">
        <f t="shared" si="28"/>
        <v>0</v>
      </c>
      <c r="H301" s="136">
        <f t="shared" si="29"/>
        <v>3.574314177967608E-10</v>
      </c>
      <c r="I301" s="152">
        <f t="shared" si="27"/>
        <v>0</v>
      </c>
      <c r="J301" s="135"/>
    </row>
    <row r="302" spans="1:10" s="111" customFormat="1" ht="15.75" customHeight="1" outlineLevel="1">
      <c r="A302" s="140">
        <f t="shared" si="24"/>
        <v>282</v>
      </c>
      <c r="B302" s="139">
        <f t="shared" si="25"/>
        <v>52291</v>
      </c>
      <c r="C302" s="138"/>
      <c r="D302" s="137"/>
      <c r="E302" s="136">
        <f t="shared" si="26"/>
        <v>0</v>
      </c>
      <c r="F302" s="217"/>
      <c r="G302" s="136">
        <f t="shared" si="28"/>
        <v>0</v>
      </c>
      <c r="H302" s="136">
        <f t="shared" si="29"/>
        <v>3.574314177967608E-10</v>
      </c>
      <c r="I302" s="152">
        <f t="shared" si="27"/>
        <v>0</v>
      </c>
      <c r="J302" s="135"/>
    </row>
    <row r="303" spans="1:10" s="111" customFormat="1" ht="15.75" customHeight="1" outlineLevel="1">
      <c r="A303" s="140">
        <f t="shared" si="24"/>
        <v>283</v>
      </c>
      <c r="B303" s="139">
        <f t="shared" si="25"/>
        <v>52322</v>
      </c>
      <c r="C303" s="138"/>
      <c r="D303" s="137"/>
      <c r="E303" s="136">
        <f t="shared" si="26"/>
        <v>0</v>
      </c>
      <c r="F303" s="217"/>
      <c r="G303" s="136">
        <f t="shared" si="28"/>
        <v>0</v>
      </c>
      <c r="H303" s="136">
        <f t="shared" si="29"/>
        <v>3.574314177967608E-10</v>
      </c>
      <c r="I303" s="152">
        <f t="shared" si="27"/>
        <v>0</v>
      </c>
      <c r="J303" s="135"/>
    </row>
    <row r="304" spans="1:10" s="111" customFormat="1" ht="15.75" customHeight="1" outlineLevel="1">
      <c r="A304" s="140">
        <f t="shared" si="24"/>
        <v>284</v>
      </c>
      <c r="B304" s="139">
        <f t="shared" si="25"/>
        <v>52352</v>
      </c>
      <c r="C304" s="138"/>
      <c r="D304" s="137"/>
      <c r="E304" s="136">
        <f t="shared" si="26"/>
        <v>0</v>
      </c>
      <c r="F304" s="217"/>
      <c r="G304" s="136">
        <f t="shared" si="28"/>
        <v>0</v>
      </c>
      <c r="H304" s="136">
        <f t="shared" si="29"/>
        <v>3.574314177967608E-10</v>
      </c>
      <c r="I304" s="152">
        <f t="shared" si="27"/>
        <v>0</v>
      </c>
      <c r="J304" s="135"/>
    </row>
    <row r="305" spans="1:10" s="111" customFormat="1" ht="15.75" customHeight="1" outlineLevel="1">
      <c r="A305" s="140">
        <f t="shared" si="24"/>
        <v>285</v>
      </c>
      <c r="B305" s="139">
        <f t="shared" si="25"/>
        <v>52383</v>
      </c>
      <c r="C305" s="138"/>
      <c r="D305" s="137"/>
      <c r="E305" s="136">
        <f t="shared" si="26"/>
        <v>0</v>
      </c>
      <c r="F305" s="217"/>
      <c r="G305" s="136">
        <f t="shared" si="28"/>
        <v>0</v>
      </c>
      <c r="H305" s="136">
        <f t="shared" si="29"/>
        <v>3.574314177967608E-10</v>
      </c>
      <c r="I305" s="152">
        <f t="shared" si="27"/>
        <v>0</v>
      </c>
      <c r="J305" s="135"/>
    </row>
    <row r="306" spans="1:10" s="111" customFormat="1" ht="15.75" customHeight="1" outlineLevel="1">
      <c r="A306" s="140">
        <f t="shared" si="24"/>
        <v>286</v>
      </c>
      <c r="B306" s="139">
        <f t="shared" si="25"/>
        <v>52413</v>
      </c>
      <c r="C306" s="138"/>
      <c r="D306" s="137"/>
      <c r="E306" s="136">
        <f t="shared" si="26"/>
        <v>0</v>
      </c>
      <c r="F306" s="217"/>
      <c r="G306" s="136">
        <f t="shared" si="28"/>
        <v>0</v>
      </c>
      <c r="H306" s="136">
        <f t="shared" si="29"/>
        <v>3.574314177967608E-10</v>
      </c>
      <c r="I306" s="152">
        <f t="shared" si="27"/>
        <v>0</v>
      </c>
      <c r="J306" s="135"/>
    </row>
    <row r="307" spans="1:10" s="111" customFormat="1" ht="15.75" customHeight="1" outlineLevel="1">
      <c r="A307" s="140">
        <f t="shared" si="24"/>
        <v>287</v>
      </c>
      <c r="B307" s="139">
        <f t="shared" si="25"/>
        <v>52444</v>
      </c>
      <c r="C307" s="138"/>
      <c r="D307" s="137"/>
      <c r="E307" s="136">
        <f t="shared" si="26"/>
        <v>0</v>
      </c>
      <c r="F307" s="217"/>
      <c r="G307" s="136">
        <f t="shared" si="28"/>
        <v>0</v>
      </c>
      <c r="H307" s="136">
        <f t="shared" si="29"/>
        <v>3.574314177967608E-10</v>
      </c>
      <c r="I307" s="152">
        <f t="shared" si="27"/>
        <v>0</v>
      </c>
      <c r="J307" s="135"/>
    </row>
    <row r="308" spans="1:10" s="111" customFormat="1" ht="15.75" customHeight="1" outlineLevel="1">
      <c r="A308" s="140">
        <f t="shared" si="24"/>
        <v>288</v>
      </c>
      <c r="B308" s="139">
        <f t="shared" si="25"/>
        <v>52475</v>
      </c>
      <c r="C308" s="138"/>
      <c r="D308" s="137"/>
      <c r="E308" s="136">
        <f t="shared" si="26"/>
        <v>0</v>
      </c>
      <c r="F308" s="217"/>
      <c r="G308" s="136">
        <f t="shared" si="28"/>
        <v>0</v>
      </c>
      <c r="H308" s="136">
        <f t="shared" si="29"/>
        <v>3.574314177967608E-10</v>
      </c>
      <c r="I308" s="152">
        <f t="shared" si="27"/>
        <v>0</v>
      </c>
      <c r="J308" s="135"/>
    </row>
    <row r="309" spans="1:10" s="111" customFormat="1" ht="15.75" customHeight="1" outlineLevel="1">
      <c r="A309" s="140">
        <f t="shared" si="24"/>
        <v>289</v>
      </c>
      <c r="B309" s="139">
        <f t="shared" si="25"/>
        <v>52505</v>
      </c>
      <c r="C309" s="138"/>
      <c r="D309" s="137"/>
      <c r="E309" s="136">
        <f t="shared" si="26"/>
        <v>0</v>
      </c>
      <c r="F309" s="217"/>
      <c r="G309" s="136">
        <f t="shared" si="28"/>
        <v>0</v>
      </c>
      <c r="H309" s="136">
        <f t="shared" si="29"/>
        <v>3.574314177967608E-10</v>
      </c>
      <c r="I309" s="152">
        <f t="shared" si="27"/>
        <v>0</v>
      </c>
      <c r="J309" s="135"/>
    </row>
    <row r="310" spans="1:10" s="111" customFormat="1" ht="15.75" customHeight="1" outlineLevel="1">
      <c r="A310" s="140">
        <f t="shared" si="24"/>
        <v>290</v>
      </c>
      <c r="B310" s="139">
        <f t="shared" si="25"/>
        <v>52536</v>
      </c>
      <c r="C310" s="138"/>
      <c r="D310" s="137"/>
      <c r="E310" s="136">
        <f t="shared" si="26"/>
        <v>0</v>
      </c>
      <c r="F310" s="217"/>
      <c r="G310" s="136">
        <f t="shared" si="28"/>
        <v>0</v>
      </c>
      <c r="H310" s="136">
        <f t="shared" si="29"/>
        <v>3.574314177967608E-10</v>
      </c>
      <c r="I310" s="152">
        <f t="shared" si="27"/>
        <v>0</v>
      </c>
      <c r="J310" s="135"/>
    </row>
    <row r="311" spans="1:10" s="111" customFormat="1" ht="15.75" customHeight="1" outlineLevel="1">
      <c r="A311" s="140">
        <f t="shared" si="24"/>
        <v>291</v>
      </c>
      <c r="B311" s="139">
        <f t="shared" si="25"/>
        <v>52566</v>
      </c>
      <c r="C311" s="138"/>
      <c r="D311" s="137"/>
      <c r="E311" s="136">
        <f t="shared" si="26"/>
        <v>0</v>
      </c>
      <c r="F311" s="217"/>
      <c r="G311" s="136">
        <f t="shared" si="28"/>
        <v>0</v>
      </c>
      <c r="H311" s="136">
        <f t="shared" si="29"/>
        <v>3.574314177967608E-10</v>
      </c>
      <c r="I311" s="152">
        <f t="shared" si="27"/>
        <v>0</v>
      </c>
      <c r="J311" s="135"/>
    </row>
    <row r="312" spans="1:10" s="111" customFormat="1" ht="15.75" customHeight="1" outlineLevel="1">
      <c r="A312" s="140">
        <f t="shared" si="24"/>
        <v>292</v>
      </c>
      <c r="B312" s="139">
        <f t="shared" si="25"/>
        <v>52597</v>
      </c>
      <c r="C312" s="138"/>
      <c r="D312" s="137"/>
      <c r="E312" s="136">
        <f t="shared" si="26"/>
        <v>0</v>
      </c>
      <c r="F312" s="217"/>
      <c r="G312" s="136">
        <f t="shared" si="28"/>
        <v>0</v>
      </c>
      <c r="H312" s="136">
        <f t="shared" si="29"/>
        <v>3.574314177967608E-10</v>
      </c>
      <c r="I312" s="152">
        <f t="shared" si="27"/>
        <v>0</v>
      </c>
      <c r="J312" s="135"/>
    </row>
    <row r="313" spans="1:10" s="111" customFormat="1" ht="15.75" customHeight="1" outlineLevel="1">
      <c r="A313" s="140">
        <f t="shared" si="24"/>
        <v>293</v>
      </c>
      <c r="B313" s="139">
        <f t="shared" si="25"/>
        <v>52628</v>
      </c>
      <c r="C313" s="138"/>
      <c r="D313" s="137"/>
      <c r="E313" s="136">
        <f t="shared" si="26"/>
        <v>0</v>
      </c>
      <c r="F313" s="217"/>
      <c r="G313" s="136">
        <f t="shared" si="28"/>
        <v>0</v>
      </c>
      <c r="H313" s="136">
        <f t="shared" si="29"/>
        <v>3.574314177967608E-10</v>
      </c>
      <c r="I313" s="152">
        <f t="shared" si="27"/>
        <v>0</v>
      </c>
      <c r="J313" s="135"/>
    </row>
    <row r="314" spans="1:10" s="111" customFormat="1" ht="15.75" customHeight="1" outlineLevel="1">
      <c r="A314" s="140">
        <f t="shared" si="24"/>
        <v>294</v>
      </c>
      <c r="B314" s="139">
        <f t="shared" si="25"/>
        <v>52657</v>
      </c>
      <c r="C314" s="138"/>
      <c r="D314" s="137"/>
      <c r="E314" s="136">
        <f t="shared" si="26"/>
        <v>0</v>
      </c>
      <c r="F314" s="217"/>
      <c r="G314" s="136">
        <f t="shared" si="28"/>
        <v>0</v>
      </c>
      <c r="H314" s="136">
        <f t="shared" si="29"/>
        <v>3.574314177967608E-10</v>
      </c>
      <c r="I314" s="152">
        <f t="shared" si="27"/>
        <v>0</v>
      </c>
      <c r="J314" s="135"/>
    </row>
    <row r="315" spans="1:10" s="111" customFormat="1" ht="15.75" customHeight="1" outlineLevel="1">
      <c r="A315" s="140">
        <f t="shared" si="24"/>
        <v>295</v>
      </c>
      <c r="B315" s="139">
        <f t="shared" si="25"/>
        <v>52688</v>
      </c>
      <c r="C315" s="138"/>
      <c r="D315" s="137"/>
      <c r="E315" s="136">
        <f t="shared" si="26"/>
        <v>0</v>
      </c>
      <c r="F315" s="217"/>
      <c r="G315" s="136">
        <f t="shared" si="28"/>
        <v>0</v>
      </c>
      <c r="H315" s="136">
        <f t="shared" si="29"/>
        <v>3.574314177967608E-10</v>
      </c>
      <c r="I315" s="152">
        <f t="shared" si="27"/>
        <v>0</v>
      </c>
      <c r="J315" s="135"/>
    </row>
    <row r="316" spans="1:10" s="111" customFormat="1" ht="15.75" customHeight="1" outlineLevel="1">
      <c r="A316" s="140">
        <f t="shared" si="24"/>
        <v>296</v>
      </c>
      <c r="B316" s="139">
        <f t="shared" si="25"/>
        <v>52718</v>
      </c>
      <c r="C316" s="138"/>
      <c r="D316" s="137"/>
      <c r="E316" s="136">
        <f t="shared" si="26"/>
        <v>0</v>
      </c>
      <c r="F316" s="217"/>
      <c r="G316" s="136">
        <f t="shared" si="28"/>
        <v>0</v>
      </c>
      <c r="H316" s="136">
        <f t="shared" si="29"/>
        <v>3.574314177967608E-10</v>
      </c>
      <c r="I316" s="152">
        <f t="shared" si="27"/>
        <v>0</v>
      </c>
      <c r="J316" s="135"/>
    </row>
    <row r="317" spans="1:10" s="111" customFormat="1" ht="15.75" customHeight="1" outlineLevel="1">
      <c r="A317" s="140">
        <f t="shared" si="24"/>
        <v>297</v>
      </c>
      <c r="B317" s="139">
        <f t="shared" si="25"/>
        <v>52749</v>
      </c>
      <c r="C317" s="138"/>
      <c r="D317" s="137"/>
      <c r="E317" s="136">
        <f t="shared" si="26"/>
        <v>0</v>
      </c>
      <c r="F317" s="217"/>
      <c r="G317" s="136">
        <f t="shared" si="28"/>
        <v>0</v>
      </c>
      <c r="H317" s="136">
        <f t="shared" si="29"/>
        <v>3.574314177967608E-10</v>
      </c>
      <c r="I317" s="152">
        <f t="shared" si="27"/>
        <v>0</v>
      </c>
      <c r="J317" s="135"/>
    </row>
    <row r="318" spans="1:10" s="111" customFormat="1" ht="15.75" customHeight="1" outlineLevel="1">
      <c r="A318" s="140">
        <f t="shared" si="24"/>
        <v>298</v>
      </c>
      <c r="B318" s="139">
        <f t="shared" si="25"/>
        <v>52779</v>
      </c>
      <c r="C318" s="138"/>
      <c r="D318" s="137"/>
      <c r="E318" s="136">
        <f t="shared" si="26"/>
        <v>0</v>
      </c>
      <c r="F318" s="217"/>
      <c r="G318" s="136">
        <f t="shared" si="28"/>
        <v>0</v>
      </c>
      <c r="H318" s="136">
        <f t="shared" si="29"/>
        <v>3.574314177967608E-10</v>
      </c>
      <c r="I318" s="152">
        <f t="shared" si="27"/>
        <v>0</v>
      </c>
      <c r="J318" s="135"/>
    </row>
    <row r="319" spans="1:10" s="111" customFormat="1" ht="15.75" customHeight="1" outlineLevel="1">
      <c r="A319" s="140">
        <f t="shared" si="24"/>
        <v>299</v>
      </c>
      <c r="B319" s="139">
        <f t="shared" si="25"/>
        <v>52810</v>
      </c>
      <c r="C319" s="138"/>
      <c r="D319" s="137"/>
      <c r="E319" s="136">
        <f t="shared" si="26"/>
        <v>0</v>
      </c>
      <c r="F319" s="217"/>
      <c r="G319" s="136">
        <f t="shared" si="28"/>
        <v>0</v>
      </c>
      <c r="H319" s="136">
        <f t="shared" si="29"/>
        <v>3.574314177967608E-10</v>
      </c>
      <c r="I319" s="152">
        <f t="shared" si="27"/>
        <v>0</v>
      </c>
      <c r="J319" s="135"/>
    </row>
    <row r="320" spans="1:10" s="111" customFormat="1" ht="15.75" customHeight="1" outlineLevel="1">
      <c r="A320" s="140">
        <f t="shared" si="24"/>
        <v>300</v>
      </c>
      <c r="B320" s="139">
        <f t="shared" si="25"/>
        <v>52841</v>
      </c>
      <c r="C320" s="138"/>
      <c r="D320" s="137"/>
      <c r="E320" s="136">
        <f t="shared" si="26"/>
        <v>0</v>
      </c>
      <c r="F320" s="217"/>
      <c r="G320" s="136">
        <f t="shared" si="28"/>
        <v>0</v>
      </c>
      <c r="H320" s="136">
        <f t="shared" si="29"/>
        <v>3.574314177967608E-10</v>
      </c>
      <c r="I320" s="152">
        <f t="shared" si="27"/>
        <v>0</v>
      </c>
      <c r="J320" s="135"/>
    </row>
    <row r="321" spans="1:10" s="111" customFormat="1" ht="15.75" customHeight="1" outlineLevel="1">
      <c r="A321" s="140">
        <f t="shared" si="24"/>
        <v>301</v>
      </c>
      <c r="B321" s="139">
        <f t="shared" si="25"/>
        <v>52871</v>
      </c>
      <c r="C321" s="138"/>
      <c r="D321" s="137"/>
      <c r="E321" s="136">
        <f t="shared" si="26"/>
        <v>0</v>
      </c>
      <c r="F321" s="217"/>
      <c r="G321" s="136">
        <f t="shared" si="28"/>
        <v>0</v>
      </c>
      <c r="H321" s="136">
        <f t="shared" si="29"/>
        <v>3.574314177967608E-10</v>
      </c>
      <c r="I321" s="152">
        <f t="shared" si="27"/>
        <v>0</v>
      </c>
      <c r="J321" s="135"/>
    </row>
    <row r="322" spans="1:10" s="111" customFormat="1" ht="15.75" customHeight="1" outlineLevel="1">
      <c r="A322" s="140">
        <f t="shared" si="24"/>
        <v>302</v>
      </c>
      <c r="B322" s="139">
        <f t="shared" si="25"/>
        <v>52902</v>
      </c>
      <c r="C322" s="138"/>
      <c r="D322" s="137"/>
      <c r="E322" s="136">
        <f t="shared" si="26"/>
        <v>0</v>
      </c>
      <c r="F322" s="217"/>
      <c r="G322" s="136">
        <f t="shared" si="28"/>
        <v>0</v>
      </c>
      <c r="H322" s="136">
        <f t="shared" si="29"/>
        <v>3.574314177967608E-10</v>
      </c>
      <c r="I322" s="152">
        <f t="shared" si="27"/>
        <v>0</v>
      </c>
      <c r="J322" s="135"/>
    </row>
    <row r="323" spans="1:10" s="111" customFormat="1" ht="15.75" customHeight="1" outlineLevel="1">
      <c r="A323" s="140">
        <f t="shared" si="24"/>
        <v>303</v>
      </c>
      <c r="B323" s="139">
        <f t="shared" si="25"/>
        <v>52932</v>
      </c>
      <c r="C323" s="138"/>
      <c r="D323" s="137"/>
      <c r="E323" s="136">
        <f t="shared" si="26"/>
        <v>0</v>
      </c>
      <c r="F323" s="217"/>
      <c r="G323" s="136">
        <f t="shared" si="28"/>
        <v>0</v>
      </c>
      <c r="H323" s="136">
        <f t="shared" si="29"/>
        <v>3.574314177967608E-10</v>
      </c>
      <c r="I323" s="152">
        <f t="shared" si="27"/>
        <v>0</v>
      </c>
      <c r="J323" s="135"/>
    </row>
    <row r="324" spans="1:10" s="111" customFormat="1" ht="15.75" customHeight="1" outlineLevel="1">
      <c r="A324" s="140">
        <f t="shared" si="24"/>
        <v>304</v>
      </c>
      <c r="B324" s="139">
        <f t="shared" si="25"/>
        <v>52963</v>
      </c>
      <c r="C324" s="138"/>
      <c r="D324" s="137"/>
      <c r="E324" s="136">
        <f t="shared" si="26"/>
        <v>0</v>
      </c>
      <c r="F324" s="217"/>
      <c r="G324" s="136">
        <f t="shared" si="28"/>
        <v>0</v>
      </c>
      <c r="H324" s="136">
        <f t="shared" si="29"/>
        <v>3.574314177967608E-10</v>
      </c>
      <c r="I324" s="152">
        <f t="shared" si="27"/>
        <v>0</v>
      </c>
      <c r="J324" s="135"/>
    </row>
    <row r="325" spans="1:10" s="111" customFormat="1" ht="15.75" customHeight="1" outlineLevel="1">
      <c r="A325" s="140">
        <f t="shared" si="24"/>
        <v>305</v>
      </c>
      <c r="B325" s="139">
        <f t="shared" si="25"/>
        <v>52994</v>
      </c>
      <c r="C325" s="138"/>
      <c r="D325" s="137"/>
      <c r="E325" s="136">
        <f t="shared" si="26"/>
        <v>0</v>
      </c>
      <c r="F325" s="217"/>
      <c r="G325" s="136">
        <f t="shared" si="28"/>
        <v>0</v>
      </c>
      <c r="H325" s="136">
        <f t="shared" si="29"/>
        <v>3.574314177967608E-10</v>
      </c>
      <c r="I325" s="152">
        <f t="shared" si="27"/>
        <v>0</v>
      </c>
      <c r="J325" s="135"/>
    </row>
    <row r="326" spans="1:10" s="111" customFormat="1" ht="15.75" customHeight="1" outlineLevel="1">
      <c r="A326" s="140">
        <f t="shared" si="24"/>
        <v>306</v>
      </c>
      <c r="B326" s="139">
        <f t="shared" si="25"/>
        <v>53022</v>
      </c>
      <c r="C326" s="138"/>
      <c r="D326" s="137"/>
      <c r="E326" s="136">
        <f t="shared" si="26"/>
        <v>0</v>
      </c>
      <c r="F326" s="217"/>
      <c r="G326" s="136">
        <f t="shared" si="28"/>
        <v>0</v>
      </c>
      <c r="H326" s="136">
        <f t="shared" si="29"/>
        <v>3.574314177967608E-10</v>
      </c>
      <c r="I326" s="152">
        <f t="shared" si="27"/>
        <v>0</v>
      </c>
      <c r="J326" s="135"/>
    </row>
    <row r="327" spans="1:10" s="111" customFormat="1" ht="15.75" customHeight="1" outlineLevel="1">
      <c r="A327" s="140">
        <f t="shared" si="24"/>
        <v>307</v>
      </c>
      <c r="B327" s="139">
        <f t="shared" si="25"/>
        <v>53053</v>
      </c>
      <c r="C327" s="138"/>
      <c r="D327" s="137"/>
      <c r="E327" s="136">
        <f t="shared" si="26"/>
        <v>0</v>
      </c>
      <c r="F327" s="217"/>
      <c r="G327" s="136">
        <f t="shared" si="28"/>
        <v>0</v>
      </c>
      <c r="H327" s="136">
        <f t="shared" si="29"/>
        <v>3.574314177967608E-10</v>
      </c>
      <c r="I327" s="152">
        <f t="shared" si="27"/>
        <v>0</v>
      </c>
      <c r="J327" s="135"/>
    </row>
    <row r="328" spans="1:10" s="111" customFormat="1" ht="15.75" customHeight="1" outlineLevel="1">
      <c r="A328" s="140">
        <f t="shared" si="24"/>
        <v>308</v>
      </c>
      <c r="B328" s="139">
        <f t="shared" si="25"/>
        <v>53083</v>
      </c>
      <c r="C328" s="138"/>
      <c r="D328" s="137"/>
      <c r="E328" s="136">
        <f t="shared" si="26"/>
        <v>0</v>
      </c>
      <c r="F328" s="217"/>
      <c r="G328" s="136">
        <f t="shared" si="28"/>
        <v>0</v>
      </c>
      <c r="H328" s="136">
        <f t="shared" si="29"/>
        <v>3.574314177967608E-10</v>
      </c>
      <c r="I328" s="152">
        <f t="shared" si="27"/>
        <v>0</v>
      </c>
      <c r="J328" s="135"/>
    </row>
    <row r="329" spans="1:10" s="111" customFormat="1" ht="15.75" customHeight="1" outlineLevel="1">
      <c r="A329" s="140">
        <f t="shared" si="24"/>
        <v>309</v>
      </c>
      <c r="B329" s="139">
        <f t="shared" si="25"/>
        <v>53114</v>
      </c>
      <c r="C329" s="138"/>
      <c r="D329" s="137"/>
      <c r="E329" s="136">
        <f t="shared" si="26"/>
        <v>0</v>
      </c>
      <c r="F329" s="217"/>
      <c r="G329" s="136">
        <f t="shared" si="28"/>
        <v>0</v>
      </c>
      <c r="H329" s="136">
        <f t="shared" si="29"/>
        <v>3.574314177967608E-10</v>
      </c>
      <c r="I329" s="152">
        <f t="shared" si="27"/>
        <v>0</v>
      </c>
      <c r="J329" s="135"/>
    </row>
    <row r="330" spans="1:10" s="111" customFormat="1" ht="15.75" customHeight="1" outlineLevel="1">
      <c r="A330" s="140">
        <f t="shared" si="24"/>
        <v>310</v>
      </c>
      <c r="B330" s="139">
        <f t="shared" si="25"/>
        <v>53144</v>
      </c>
      <c r="C330" s="138"/>
      <c r="D330" s="137"/>
      <c r="E330" s="136">
        <f t="shared" si="26"/>
        <v>0</v>
      </c>
      <c r="F330" s="217"/>
      <c r="G330" s="136">
        <f t="shared" si="28"/>
        <v>0</v>
      </c>
      <c r="H330" s="136">
        <f t="shared" si="29"/>
        <v>3.574314177967608E-10</v>
      </c>
      <c r="I330" s="152">
        <f t="shared" si="27"/>
        <v>0</v>
      </c>
      <c r="J330" s="135"/>
    </row>
    <row r="331" spans="1:10" s="111" customFormat="1" ht="15.75" customHeight="1" outlineLevel="1">
      <c r="A331" s="140">
        <f t="shared" si="24"/>
        <v>311</v>
      </c>
      <c r="B331" s="139">
        <f t="shared" si="25"/>
        <v>53175</v>
      </c>
      <c r="C331" s="138"/>
      <c r="D331" s="137"/>
      <c r="E331" s="136">
        <f t="shared" si="26"/>
        <v>0</v>
      </c>
      <c r="F331" s="217"/>
      <c r="G331" s="136">
        <f t="shared" si="28"/>
        <v>0</v>
      </c>
      <c r="H331" s="136">
        <f t="shared" si="29"/>
        <v>3.574314177967608E-10</v>
      </c>
      <c r="I331" s="152">
        <f t="shared" si="27"/>
        <v>0</v>
      </c>
      <c r="J331" s="135"/>
    </row>
    <row r="332" spans="1:10" s="111" customFormat="1" ht="15.75" customHeight="1" outlineLevel="1">
      <c r="A332" s="140">
        <f t="shared" si="24"/>
        <v>312</v>
      </c>
      <c r="B332" s="139">
        <f t="shared" si="25"/>
        <v>53206</v>
      </c>
      <c r="C332" s="138"/>
      <c r="D332" s="137"/>
      <c r="E332" s="136">
        <f t="shared" si="26"/>
        <v>0</v>
      </c>
      <c r="F332" s="217"/>
      <c r="G332" s="136">
        <f t="shared" si="28"/>
        <v>0</v>
      </c>
      <c r="H332" s="136">
        <f t="shared" si="29"/>
        <v>3.574314177967608E-10</v>
      </c>
      <c r="I332" s="152">
        <f t="shared" si="27"/>
        <v>0</v>
      </c>
      <c r="J332" s="135"/>
    </row>
    <row r="333" spans="1:10" s="111" customFormat="1" ht="15.75" customHeight="1" outlineLevel="1">
      <c r="A333" s="140">
        <f t="shared" si="24"/>
        <v>313</v>
      </c>
      <c r="B333" s="139">
        <f t="shared" si="25"/>
        <v>53236</v>
      </c>
      <c r="C333" s="138"/>
      <c r="D333" s="137"/>
      <c r="E333" s="136">
        <f t="shared" si="26"/>
        <v>0</v>
      </c>
      <c r="F333" s="217"/>
      <c r="G333" s="136">
        <f t="shared" si="28"/>
        <v>0</v>
      </c>
      <c r="H333" s="136">
        <f t="shared" si="29"/>
        <v>3.574314177967608E-10</v>
      </c>
      <c r="I333" s="152">
        <f t="shared" si="27"/>
        <v>0</v>
      </c>
      <c r="J333" s="135"/>
    </row>
    <row r="334" spans="1:10" s="111" customFormat="1" ht="15.75" customHeight="1" outlineLevel="1">
      <c r="A334" s="140">
        <f t="shared" si="24"/>
        <v>314</v>
      </c>
      <c r="B334" s="139">
        <f t="shared" si="25"/>
        <v>53267</v>
      </c>
      <c r="C334" s="138"/>
      <c r="D334" s="137"/>
      <c r="E334" s="136">
        <f t="shared" si="26"/>
        <v>0</v>
      </c>
      <c r="F334" s="217"/>
      <c r="G334" s="136">
        <f t="shared" si="28"/>
        <v>0</v>
      </c>
      <c r="H334" s="136">
        <f t="shared" si="29"/>
        <v>3.574314177967608E-10</v>
      </c>
      <c r="I334" s="152">
        <f t="shared" si="27"/>
        <v>0</v>
      </c>
      <c r="J334" s="135"/>
    </row>
    <row r="335" spans="1:10" s="111" customFormat="1" ht="15.75" customHeight="1" outlineLevel="1">
      <c r="A335" s="140">
        <f t="shared" si="24"/>
        <v>315</v>
      </c>
      <c r="B335" s="139">
        <f t="shared" si="25"/>
        <v>53297</v>
      </c>
      <c r="C335" s="138"/>
      <c r="D335" s="137"/>
      <c r="E335" s="136">
        <f t="shared" si="26"/>
        <v>0</v>
      </c>
      <c r="F335" s="217"/>
      <c r="G335" s="136">
        <f t="shared" si="28"/>
        <v>0</v>
      </c>
      <c r="H335" s="136">
        <f t="shared" si="29"/>
        <v>3.574314177967608E-10</v>
      </c>
      <c r="I335" s="152">
        <f t="shared" si="27"/>
        <v>0</v>
      </c>
      <c r="J335" s="135"/>
    </row>
    <row r="336" spans="1:10" s="111" customFormat="1" ht="15.75" customHeight="1" outlineLevel="1">
      <c r="A336" s="140">
        <f t="shared" si="24"/>
        <v>316</v>
      </c>
      <c r="B336" s="139">
        <f t="shared" si="25"/>
        <v>53328</v>
      </c>
      <c r="C336" s="138"/>
      <c r="D336" s="137"/>
      <c r="E336" s="136">
        <f t="shared" si="26"/>
        <v>0</v>
      </c>
      <c r="F336" s="217"/>
      <c r="G336" s="136">
        <f t="shared" si="28"/>
        <v>0</v>
      </c>
      <c r="H336" s="136">
        <f t="shared" si="29"/>
        <v>3.574314177967608E-10</v>
      </c>
      <c r="I336" s="152">
        <f t="shared" si="27"/>
        <v>0</v>
      </c>
      <c r="J336" s="135"/>
    </row>
    <row r="337" spans="1:20" s="111" customFormat="1" ht="15.75" customHeight="1" outlineLevel="1">
      <c r="A337" s="140">
        <f t="shared" si="24"/>
        <v>317</v>
      </c>
      <c r="B337" s="139">
        <f t="shared" si="25"/>
        <v>53359</v>
      </c>
      <c r="C337" s="138"/>
      <c r="D337" s="137"/>
      <c r="E337" s="136">
        <f t="shared" si="26"/>
        <v>0</v>
      </c>
      <c r="F337" s="217"/>
      <c r="G337" s="136">
        <f t="shared" si="28"/>
        <v>0</v>
      </c>
      <c r="H337" s="136">
        <f t="shared" si="29"/>
        <v>3.574314177967608E-10</v>
      </c>
      <c r="I337" s="152">
        <f t="shared" si="27"/>
        <v>0</v>
      </c>
      <c r="J337" s="135"/>
    </row>
    <row r="338" spans="1:20" s="111" customFormat="1" ht="15.75" customHeight="1" outlineLevel="1">
      <c r="A338" s="140">
        <f t="shared" si="24"/>
        <v>318</v>
      </c>
      <c r="B338" s="139">
        <f t="shared" si="25"/>
        <v>53387</v>
      </c>
      <c r="C338" s="138"/>
      <c r="D338" s="137"/>
      <c r="E338" s="136">
        <f t="shared" si="26"/>
        <v>0</v>
      </c>
      <c r="F338" s="217"/>
      <c r="G338" s="136">
        <f t="shared" si="28"/>
        <v>0</v>
      </c>
      <c r="H338" s="136">
        <f t="shared" si="29"/>
        <v>3.574314177967608E-10</v>
      </c>
      <c r="I338" s="152">
        <f t="shared" si="27"/>
        <v>0</v>
      </c>
      <c r="J338" s="135"/>
    </row>
    <row r="339" spans="1:20" s="111" customFormat="1" ht="15.75" customHeight="1" outlineLevel="1">
      <c r="A339" s="140">
        <f t="shared" si="24"/>
        <v>319</v>
      </c>
      <c r="B339" s="139">
        <f t="shared" si="25"/>
        <v>53418</v>
      </c>
      <c r="C339" s="138"/>
      <c r="D339" s="137"/>
      <c r="E339" s="136">
        <f t="shared" si="26"/>
        <v>0</v>
      </c>
      <c r="F339" s="217"/>
      <c r="G339" s="136">
        <f t="shared" si="28"/>
        <v>0</v>
      </c>
      <c r="H339" s="136">
        <f t="shared" si="29"/>
        <v>3.574314177967608E-10</v>
      </c>
      <c r="I339" s="152">
        <f t="shared" si="27"/>
        <v>0</v>
      </c>
      <c r="J339" s="135"/>
    </row>
    <row r="340" spans="1:20" s="111" customFormat="1" ht="15.75" customHeight="1" outlineLevel="1">
      <c r="A340" s="140">
        <f t="shared" si="24"/>
        <v>320</v>
      </c>
      <c r="B340" s="139">
        <f t="shared" si="25"/>
        <v>53448</v>
      </c>
      <c r="C340" s="138"/>
      <c r="D340" s="137"/>
      <c r="E340" s="136">
        <f t="shared" si="26"/>
        <v>0</v>
      </c>
      <c r="F340" s="217"/>
      <c r="G340" s="136">
        <f t="shared" si="28"/>
        <v>0</v>
      </c>
      <c r="H340" s="136">
        <f t="shared" si="29"/>
        <v>3.574314177967608E-10</v>
      </c>
      <c r="I340" s="152">
        <f t="shared" si="27"/>
        <v>0</v>
      </c>
      <c r="J340" s="135"/>
    </row>
    <row r="341" spans="1:20" s="111" customFormat="1" ht="15.75" customHeight="1" outlineLevel="1">
      <c r="A341" s="140">
        <f t="shared" si="24"/>
        <v>321</v>
      </c>
      <c r="B341" s="139">
        <f t="shared" si="25"/>
        <v>53479</v>
      </c>
      <c r="C341" s="138"/>
      <c r="D341" s="137"/>
      <c r="E341" s="136">
        <f t="shared" si="26"/>
        <v>0</v>
      </c>
      <c r="F341" s="217"/>
      <c r="G341" s="136">
        <f t="shared" si="28"/>
        <v>0</v>
      </c>
      <c r="H341" s="136">
        <f t="shared" si="29"/>
        <v>3.574314177967608E-10</v>
      </c>
      <c r="I341" s="152">
        <f t="shared" si="27"/>
        <v>0</v>
      </c>
      <c r="J341" s="135"/>
    </row>
    <row r="342" spans="1:20" s="111" customFormat="1" ht="15.75" customHeight="1" outlineLevel="1">
      <c r="A342" s="140">
        <f t="shared" ref="A342:A347" si="30">A341+1</f>
        <v>322</v>
      </c>
      <c r="B342" s="139">
        <f t="shared" ref="B342:B347" si="31">EDATE(B341,1)</f>
        <v>53509</v>
      </c>
      <c r="C342" s="138"/>
      <c r="D342" s="137"/>
      <c r="E342" s="136">
        <f t="shared" ref="E342:E347" si="32">(D342+C342)/(POWER((1+$C$17/12),A342-1))</f>
        <v>0</v>
      </c>
      <c r="F342" s="217"/>
      <c r="G342" s="136">
        <f t="shared" si="28"/>
        <v>0</v>
      </c>
      <c r="H342" s="136">
        <f t="shared" si="29"/>
        <v>3.574314177967608E-10</v>
      </c>
      <c r="I342" s="152">
        <f t="shared" ref="I342:I347" si="33">IF(YEAR(B342)&lt;2021,0,C342/(POWER((1+$C$17/12),IF(YEAR($C$15)&lt;2021,DATEDIF("2021年1月",$B342,"M"),$A342))))</f>
        <v>0</v>
      </c>
      <c r="J342" s="135"/>
    </row>
    <row r="343" spans="1:20" s="111" customFormat="1" ht="15.75" customHeight="1" outlineLevel="1">
      <c r="A343" s="140">
        <f t="shared" si="30"/>
        <v>323</v>
      </c>
      <c r="B343" s="139">
        <f t="shared" si="31"/>
        <v>53540</v>
      </c>
      <c r="C343" s="138"/>
      <c r="D343" s="137"/>
      <c r="E343" s="136">
        <f t="shared" si="32"/>
        <v>0</v>
      </c>
      <c r="F343" s="217"/>
      <c r="G343" s="136">
        <f t="shared" ref="G343:G347" si="34">IF($A343&gt;$C$18,0,($E$348+$F$348)/($C$18-1))</f>
        <v>0</v>
      </c>
      <c r="H343" s="136">
        <f t="shared" ref="H343:H347" si="35">H342-G343</f>
        <v>3.574314177967608E-10</v>
      </c>
      <c r="I343" s="152">
        <f t="shared" si="33"/>
        <v>0</v>
      </c>
      <c r="J343" s="135"/>
    </row>
    <row r="344" spans="1:20" s="111" customFormat="1" ht="15.75" customHeight="1" outlineLevel="1">
      <c r="A344" s="140">
        <f t="shared" si="30"/>
        <v>324</v>
      </c>
      <c r="B344" s="139">
        <f t="shared" si="31"/>
        <v>53571</v>
      </c>
      <c r="C344" s="138"/>
      <c r="D344" s="137"/>
      <c r="E344" s="136">
        <f t="shared" si="32"/>
        <v>0</v>
      </c>
      <c r="F344" s="217"/>
      <c r="G344" s="136">
        <f t="shared" si="34"/>
        <v>0</v>
      </c>
      <c r="H344" s="136">
        <f t="shared" si="35"/>
        <v>3.574314177967608E-10</v>
      </c>
      <c r="I344" s="152">
        <f t="shared" si="33"/>
        <v>0</v>
      </c>
      <c r="J344" s="135"/>
    </row>
    <row r="345" spans="1:20" s="111" customFormat="1" ht="15.75" customHeight="1" outlineLevel="1">
      <c r="A345" s="140">
        <f t="shared" si="30"/>
        <v>325</v>
      </c>
      <c r="B345" s="139">
        <f t="shared" si="31"/>
        <v>53601</v>
      </c>
      <c r="C345" s="138"/>
      <c r="D345" s="137"/>
      <c r="E345" s="136">
        <f t="shared" si="32"/>
        <v>0</v>
      </c>
      <c r="F345" s="217"/>
      <c r="G345" s="136">
        <f t="shared" si="34"/>
        <v>0</v>
      </c>
      <c r="H345" s="136">
        <f t="shared" si="35"/>
        <v>3.574314177967608E-10</v>
      </c>
      <c r="I345" s="152">
        <f t="shared" si="33"/>
        <v>0</v>
      </c>
      <c r="J345" s="135"/>
    </row>
    <row r="346" spans="1:20" s="111" customFormat="1" ht="15.75" customHeight="1" outlineLevel="1">
      <c r="A346" s="140">
        <f t="shared" si="30"/>
        <v>326</v>
      </c>
      <c r="B346" s="139">
        <f t="shared" si="31"/>
        <v>53632</v>
      </c>
      <c r="C346" s="138"/>
      <c r="D346" s="137"/>
      <c r="E346" s="136">
        <f t="shared" si="32"/>
        <v>0</v>
      </c>
      <c r="F346" s="217"/>
      <c r="G346" s="136">
        <f t="shared" si="34"/>
        <v>0</v>
      </c>
      <c r="H346" s="136">
        <f t="shared" si="35"/>
        <v>3.574314177967608E-10</v>
      </c>
      <c r="I346" s="152">
        <f t="shared" si="33"/>
        <v>0</v>
      </c>
      <c r="J346" s="135"/>
    </row>
    <row r="347" spans="1:20" s="111" customFormat="1" ht="15.75" customHeight="1" outlineLevel="1">
      <c r="A347" s="140">
        <f t="shared" si="30"/>
        <v>327</v>
      </c>
      <c r="B347" s="139">
        <f t="shared" si="31"/>
        <v>53662</v>
      </c>
      <c r="C347" s="138"/>
      <c r="D347" s="137"/>
      <c r="E347" s="136">
        <f t="shared" si="32"/>
        <v>0</v>
      </c>
      <c r="F347" s="217"/>
      <c r="G347" s="136">
        <f t="shared" si="34"/>
        <v>0</v>
      </c>
      <c r="H347" s="136">
        <f t="shared" si="35"/>
        <v>3.574314177967608E-10</v>
      </c>
      <c r="I347" s="152">
        <f t="shared" si="33"/>
        <v>0</v>
      </c>
      <c r="J347" s="135"/>
    </row>
    <row r="348" spans="1:20" s="125" customFormat="1" ht="15.6">
      <c r="A348" s="134"/>
      <c r="B348" s="133" t="s">
        <v>559</v>
      </c>
      <c r="C348" s="132">
        <f>SUM(C21:C347)</f>
        <v>450000</v>
      </c>
      <c r="D348" s="131">
        <f>SUM(D21:D347)</f>
        <v>0</v>
      </c>
      <c r="E348" s="131">
        <f>SUM(E21:E347)</f>
        <v>353559.44906082295</v>
      </c>
      <c r="F348" s="131">
        <f>SUM(F21:F347)</f>
        <v>50000</v>
      </c>
      <c r="G348" s="131">
        <f>SUM(G21:G347)</f>
        <v>403559.4490608226</v>
      </c>
      <c r="H348" s="131"/>
      <c r="I348" s="131">
        <f>SUM(I21:I347)</f>
        <v>325685.60003631772</v>
      </c>
      <c r="J348" s="126"/>
    </row>
    <row r="349" spans="1:20" s="125" customFormat="1">
      <c r="A349" s="130"/>
      <c r="B349" s="129"/>
      <c r="C349" s="128"/>
      <c r="D349" s="127"/>
      <c r="E349" s="127"/>
      <c r="F349" s="127"/>
      <c r="G349" s="127"/>
      <c r="H349" s="127"/>
      <c r="I349" s="127"/>
      <c r="J349" s="126"/>
    </row>
    <row r="350" spans="1:20" s="125" customFormat="1">
      <c r="A350" s="130"/>
      <c r="B350" s="129"/>
      <c r="C350" s="128"/>
      <c r="D350" s="127"/>
      <c r="E350" s="127"/>
      <c r="F350" s="127"/>
      <c r="G350" s="127"/>
      <c r="H350" s="127"/>
      <c r="I350" s="127"/>
      <c r="J350" s="126"/>
    </row>
    <row r="351" spans="1:20" s="115" customFormat="1" ht="20.100000000000001" customHeight="1">
      <c r="A351" s="120" t="s">
        <v>558</v>
      </c>
      <c r="B351" s="120"/>
      <c r="C351" s="120"/>
      <c r="D351" s="120"/>
      <c r="E351" s="120"/>
      <c r="F351" s="120"/>
      <c r="G351" s="123"/>
      <c r="H351" s="123"/>
      <c r="I351" s="117"/>
      <c r="J351" s="117"/>
      <c r="K351" s="117"/>
      <c r="L351" s="117"/>
      <c r="M351" s="124"/>
      <c r="N351" s="124"/>
      <c r="O351" s="124"/>
      <c r="P351" s="124"/>
      <c r="Q351" s="124"/>
      <c r="R351" s="124"/>
      <c r="S351" s="124"/>
      <c r="T351" s="124"/>
    </row>
    <row r="352" spans="1:20" s="115" customFormat="1" ht="20.100000000000001" customHeight="1">
      <c r="A352" s="119">
        <v>1</v>
      </c>
      <c r="B352" s="121" t="s">
        <v>557</v>
      </c>
      <c r="C352" s="119"/>
      <c r="D352" s="119"/>
      <c r="E352" s="119"/>
      <c r="F352" s="119"/>
      <c r="H352" s="123"/>
      <c r="I352" s="123"/>
      <c r="J352" s="123"/>
      <c r="K352" s="123"/>
      <c r="L352" s="123"/>
      <c r="M352" s="122"/>
      <c r="N352" s="122"/>
      <c r="O352" s="122"/>
      <c r="P352" s="122"/>
      <c r="Q352" s="122"/>
    </row>
    <row r="353" spans="1:17" s="115" customFormat="1" ht="20.100000000000001" customHeight="1">
      <c r="A353" s="119">
        <v>2</v>
      </c>
      <c r="B353" s="121" t="s">
        <v>556</v>
      </c>
      <c r="H353" s="117"/>
      <c r="I353" s="117"/>
      <c r="J353" s="117"/>
      <c r="K353" s="117"/>
      <c r="L353" s="117"/>
      <c r="M353" s="116"/>
      <c r="N353" s="116"/>
      <c r="O353" s="116"/>
      <c r="P353" s="116"/>
      <c r="Q353" s="116"/>
    </row>
    <row r="354" spans="1:17" s="115" customFormat="1" ht="20.100000000000001" customHeight="1">
      <c r="A354" s="119">
        <v>3</v>
      </c>
      <c r="B354" s="121" t="s">
        <v>555</v>
      </c>
      <c r="C354" s="122"/>
      <c r="E354" s="122"/>
      <c r="F354" s="122"/>
      <c r="H354" s="123"/>
      <c r="I354" s="123"/>
      <c r="J354" s="123"/>
      <c r="K354" s="123"/>
      <c r="L354" s="123"/>
      <c r="M354" s="122"/>
      <c r="N354" s="122"/>
      <c r="O354" s="122"/>
      <c r="P354" s="122"/>
      <c r="Q354" s="122"/>
    </row>
    <row r="355" spans="1:17" s="115" customFormat="1" ht="20.100000000000001" customHeight="1">
      <c r="A355" s="119"/>
      <c r="B355" s="121"/>
      <c r="C355" s="119"/>
      <c r="D355" s="119"/>
      <c r="E355" s="119"/>
      <c r="F355" s="119"/>
      <c r="H355" s="117"/>
      <c r="I355" s="117"/>
      <c r="J355" s="117"/>
      <c r="K355" s="117"/>
      <c r="L355" s="117"/>
      <c r="M355" s="116"/>
      <c r="N355" s="116"/>
      <c r="O355" s="116"/>
      <c r="P355" s="116"/>
      <c r="Q355" s="116"/>
    </row>
    <row r="356" spans="1:17" s="115" customFormat="1" ht="20.100000000000001" customHeight="1">
      <c r="A356" s="120" t="s">
        <v>554</v>
      </c>
      <c r="B356" s="120"/>
      <c r="C356" s="120"/>
      <c r="D356" s="120"/>
      <c r="E356" s="120"/>
      <c r="F356" s="120"/>
      <c r="G356" s="118"/>
      <c r="H356" s="117"/>
      <c r="I356" s="117"/>
      <c r="J356" s="117"/>
      <c r="K356" s="117"/>
      <c r="L356" s="117"/>
      <c r="M356" s="116"/>
      <c r="N356" s="116"/>
      <c r="O356" s="116"/>
      <c r="P356" s="116"/>
      <c r="Q356" s="116"/>
    </row>
    <row r="357" spans="1:17" s="115" customFormat="1" ht="20.100000000000001" customHeight="1">
      <c r="A357" s="119"/>
      <c r="B357" s="119"/>
      <c r="C357" s="119"/>
      <c r="D357" s="119"/>
      <c r="E357" s="119"/>
      <c r="F357" s="119"/>
      <c r="G357" s="118"/>
      <c r="H357" s="117"/>
      <c r="I357" s="117"/>
      <c r="J357" s="117"/>
      <c r="K357" s="117"/>
      <c r="L357" s="117"/>
      <c r="M357" s="116"/>
      <c r="N357" s="116"/>
      <c r="O357" s="116"/>
      <c r="P357" s="116"/>
      <c r="Q357" s="116"/>
    </row>
    <row r="358" spans="1:17" s="115" customFormat="1" ht="20.100000000000001" customHeight="1">
      <c r="A358" s="119"/>
      <c r="B358" s="119"/>
      <c r="C358" s="119"/>
      <c r="D358" s="119"/>
      <c r="E358" s="119"/>
      <c r="F358" s="119"/>
      <c r="G358" s="118"/>
      <c r="H358" s="117"/>
      <c r="I358" s="117"/>
      <c r="J358" s="117"/>
      <c r="K358" s="117"/>
      <c r="L358" s="117"/>
      <c r="M358" s="116"/>
      <c r="N358" s="116"/>
      <c r="O358" s="116"/>
      <c r="P358" s="116"/>
      <c r="Q358" s="116"/>
    </row>
    <row r="359" spans="1:17" s="111" customFormat="1" ht="18.75" customHeight="1">
      <c r="A359" s="108"/>
      <c r="B359" s="112"/>
      <c r="C359" s="112"/>
      <c r="D359" s="114"/>
      <c r="E359" s="113"/>
      <c r="F359" s="113"/>
      <c r="G359" s="113"/>
      <c r="H359" s="108"/>
      <c r="I359" s="112"/>
    </row>
    <row r="360" spans="1:17" hidden="1"/>
    <row r="361" spans="1:17" hidden="1"/>
    <row r="362" spans="1:17" hidden="1"/>
    <row r="363" spans="1:17" hidden="1"/>
  </sheetData>
  <mergeCells count="10">
    <mergeCell ref="A2:I2"/>
    <mergeCell ref="A1:I1"/>
    <mergeCell ref="D13:I13"/>
    <mergeCell ref="A13:C13"/>
    <mergeCell ref="A14:B14"/>
    <mergeCell ref="A19:B19"/>
    <mergeCell ref="A15:B15"/>
    <mergeCell ref="A16:B16"/>
    <mergeCell ref="A17:B17"/>
    <mergeCell ref="A18:B18"/>
  </mergeCells>
  <phoneticPr fontId="5" type="noConversion"/>
  <pageMargins left="0.70866141732283472" right="0.70866141732283472" top="0.74803149606299213" bottom="0.74803149606299213" header="0.31496062992125984" footer="0.31496062992125984"/>
  <pageSetup paperSize="9" scale="79" orientation="portrait" blackAndWhite="1"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11</vt:i4>
      </vt:variant>
      <vt:variant>
        <vt:lpstr>命名范围</vt:lpstr>
      </vt:variant>
      <vt:variant>
        <vt:i4>8</vt:i4>
      </vt:variant>
    </vt:vector>
  </HeadingPairs>
  <TitlesOfParts>
    <vt:vector size="19" baseType="lpstr">
      <vt:lpstr>表头（请先填写）</vt:lpstr>
      <vt:lpstr>审定表</vt:lpstr>
      <vt:lpstr>会计政策变更和前期差错更正S3-1</vt:lpstr>
      <vt:lpstr>会计估计变更审计程序S3-2</vt:lpstr>
      <vt:lpstr>首次执行新金融工具准则的调整S3-4</vt:lpstr>
      <vt:lpstr>首次执行新收入准则的调整S3-6</vt:lpstr>
      <vt:lpstr>首次执行新租赁准则的调整S3-8</vt:lpstr>
      <vt:lpstr>简化的追溯调整法（1）S3-9</vt:lpstr>
      <vt:lpstr>简化的追溯调整法（2）S3-10</vt:lpstr>
      <vt:lpstr>简化的追溯调整法（2）S3-10 (2)</vt:lpstr>
      <vt:lpstr>参考-简化的追溯调整法（首次执行日）</vt:lpstr>
      <vt:lpstr>'表头（请先填写）'!OLE_LINK1</vt:lpstr>
      <vt:lpstr>'参考-简化的追溯调整法（首次执行日）'!Print_Area</vt:lpstr>
      <vt:lpstr>'简化的追溯调整法（1）S3-9'!Print_Area</vt:lpstr>
      <vt:lpstr>'简化的追溯调整法（2）S3-10'!Print_Area</vt:lpstr>
      <vt:lpstr>'简化的追溯调整法（2）S3-10 (2)'!Print_Area</vt:lpstr>
      <vt:lpstr>'首次执行新金融工具准则的调整S3-4'!Print_Area</vt:lpstr>
      <vt:lpstr>'首次执行新收入准则的调整S3-6'!Print_Area</vt:lpstr>
      <vt:lpstr>'首次执行新租赁准则的调整S3-8'!Print_Area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用户</dc:creator>
  <cp:lastModifiedBy>Luo Yiqing 罗旖晴</cp:lastModifiedBy>
  <dcterms:created xsi:type="dcterms:W3CDTF">2020-10-20T09:21:11Z</dcterms:created>
  <dcterms:modified xsi:type="dcterms:W3CDTF">2023-12-04T02:06:32Z</dcterms:modified>
</cp:coreProperties>
</file>