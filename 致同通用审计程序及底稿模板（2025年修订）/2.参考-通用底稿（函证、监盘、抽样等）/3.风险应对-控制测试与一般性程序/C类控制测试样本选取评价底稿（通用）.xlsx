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5600" windowHeight="7605"/>
  </bookViews>
  <sheets>
    <sheet name="样本选取评价表（非统计抽样）" sheetId="1" r:id="rId1"/>
    <sheet name="样本选取评价表 (统计抽样)" sheetId="2" r:id="rId2"/>
  </sheets>
  <externalReferences>
    <externalReference r:id="rId3"/>
  </externalReferences>
  <definedNames>
    <definedName name="_xlnm.Print_Area" localSheetId="1">'样本选取评价表 (统计抽样)'!$A$1:$F$82</definedName>
    <definedName name="_xlnm.Print_Area" localSheetId="0">'样本选取评价表（非统计抽样）'!$A$1:$H$68</definedName>
  </definedNames>
  <calcPr calcId="125725"/>
</workbook>
</file>

<file path=xl/calcChain.xml><?xml version="1.0" encoding="utf-8"?>
<calcChain xmlns="http://schemas.openxmlformats.org/spreadsheetml/2006/main">
  <c r="D69" i="2"/>
  <c r="F45"/>
  <c r="C53" s="1"/>
  <c r="F42" i="1" l="1"/>
  <c r="C50" s="1"/>
  <c r="D57" s="1"/>
  <c r="D60" s="1"/>
  <c r="A4" i="2" l="1"/>
  <c r="E3"/>
  <c r="C3"/>
  <c r="A3"/>
  <c r="A4" i="1"/>
  <c r="E3"/>
  <c r="C3"/>
  <c r="A3"/>
</calcChain>
</file>

<file path=xl/sharedStrings.xml><?xml version="1.0" encoding="utf-8"?>
<sst xmlns="http://schemas.openxmlformats.org/spreadsheetml/2006/main" count="177" uniqueCount="120">
  <si>
    <t>复核人：</t>
  </si>
  <si>
    <t>日期：</t>
  </si>
  <si>
    <t>页  次：</t>
    <phoneticPr fontId="3" type="noConversion"/>
  </si>
  <si>
    <t>[编制说明1]</t>
    <phoneticPr fontId="3" type="noConversion"/>
  </si>
  <si>
    <t>（三）审计结论：</t>
    <phoneticPr fontId="3" type="noConversion"/>
  </si>
  <si>
    <t>编制说明：</t>
    <phoneticPr fontId="3" type="noConversion"/>
  </si>
  <si>
    <t>[编制说明2]</t>
    <phoneticPr fontId="3" type="noConversion"/>
  </si>
  <si>
    <t>样本设计评价表（非统计抽样）</t>
    <phoneticPr fontId="3" type="noConversion"/>
  </si>
  <si>
    <t>索引号：</t>
    <phoneticPr fontId="3" type="noConversion"/>
  </si>
  <si>
    <t>样本设计评价表（统计抽样）</t>
    <phoneticPr fontId="3" type="noConversion"/>
  </si>
  <si>
    <t>（一）确定样本数量</t>
    <phoneticPr fontId="3" type="noConversion"/>
  </si>
  <si>
    <t>1、样本明细：</t>
    <phoneticPr fontId="3" type="noConversion"/>
  </si>
  <si>
    <t>2、选取过程记录：</t>
    <phoneticPr fontId="3" type="noConversion"/>
  </si>
  <si>
    <t>（五）评价样本</t>
    <phoneticPr fontId="3" type="noConversion"/>
  </si>
  <si>
    <t>一、审计目标</t>
    <phoneticPr fontId="3" type="noConversion"/>
  </si>
  <si>
    <t>二、审计过程</t>
    <phoneticPr fontId="3" type="noConversion"/>
  </si>
  <si>
    <t>（六）审计说明</t>
    <phoneticPr fontId="3" type="noConversion"/>
  </si>
  <si>
    <t>三、审计结论</t>
    <phoneticPr fontId="3" type="noConversion"/>
  </si>
  <si>
    <t>索引号:</t>
    <phoneticPr fontId="3" type="noConversion"/>
  </si>
  <si>
    <r>
      <t xml:space="preserve">        针对</t>
    </r>
    <r>
      <rPr>
        <u/>
        <sz val="10"/>
        <rFont val="宋体"/>
        <family val="3"/>
        <charset val="134"/>
      </rPr>
      <t xml:space="preserve">               </t>
    </r>
    <r>
      <rPr>
        <sz val="10"/>
        <rFont val="宋体"/>
        <family val="3"/>
        <charset val="134"/>
      </rPr>
      <t>控制点设计、选取</t>
    </r>
    <r>
      <rPr>
        <sz val="10"/>
        <rFont val="宋体"/>
        <family val="3"/>
        <charset val="134"/>
      </rPr>
      <t>控制测试样本，</t>
    </r>
    <r>
      <rPr>
        <sz val="10"/>
        <rFont val="宋体"/>
        <family val="3"/>
        <charset val="134"/>
      </rPr>
      <t>并在实施程序后对样本结果进行评价。</t>
    </r>
    <phoneticPr fontId="3" type="noConversion"/>
  </si>
  <si>
    <t>总体规模：</t>
    <phoneticPr fontId="3" type="noConversion"/>
  </si>
  <si>
    <t>样本规模：</t>
    <phoneticPr fontId="3" type="noConversion"/>
  </si>
  <si>
    <t>控制运行频率</t>
    <phoneticPr fontId="3" type="noConversion"/>
  </si>
  <si>
    <t>控制运行的总次数</t>
  </si>
  <si>
    <t>测试的最小样本量区间</t>
    <phoneticPr fontId="3" type="noConversion"/>
  </si>
  <si>
    <r>
      <t>每年</t>
    </r>
    <r>
      <rPr>
        <sz val="10"/>
        <rFont val="Times New Roman"/>
        <family val="1"/>
      </rPr>
      <t>1</t>
    </r>
    <r>
      <rPr>
        <sz val="10"/>
        <rFont val="仿宋_GB2312"/>
        <family val="1"/>
        <charset val="134"/>
      </rPr>
      <t>次</t>
    </r>
  </si>
  <si>
    <r>
      <t>每季</t>
    </r>
    <r>
      <rPr>
        <sz val="10"/>
        <rFont val="Times New Roman"/>
        <family val="1"/>
      </rPr>
      <t>1</t>
    </r>
    <r>
      <rPr>
        <sz val="10"/>
        <rFont val="仿宋_GB2312"/>
        <family val="1"/>
        <charset val="134"/>
      </rPr>
      <t>次</t>
    </r>
  </si>
  <si>
    <r>
      <t>每月</t>
    </r>
    <r>
      <rPr>
        <sz val="10"/>
        <rFont val="Times New Roman"/>
        <family val="1"/>
      </rPr>
      <t>1</t>
    </r>
    <r>
      <rPr>
        <sz val="10"/>
        <rFont val="仿宋_GB2312"/>
        <family val="1"/>
        <charset val="134"/>
      </rPr>
      <t>次</t>
    </r>
  </si>
  <si>
    <t>2-5</t>
    <phoneticPr fontId="3" type="noConversion"/>
  </si>
  <si>
    <r>
      <t>每周</t>
    </r>
    <r>
      <rPr>
        <sz val="10"/>
        <rFont val="Times New Roman"/>
        <family val="1"/>
      </rPr>
      <t>1</t>
    </r>
    <r>
      <rPr>
        <sz val="10"/>
        <rFont val="仿宋_GB2312"/>
        <family val="1"/>
        <charset val="134"/>
      </rPr>
      <t>次</t>
    </r>
  </si>
  <si>
    <t>5-15</t>
    <phoneticPr fontId="3" type="noConversion"/>
  </si>
  <si>
    <r>
      <t>每天</t>
    </r>
    <r>
      <rPr>
        <sz val="10"/>
        <rFont val="Times New Roman"/>
        <family val="1"/>
      </rPr>
      <t>1</t>
    </r>
    <r>
      <rPr>
        <sz val="10"/>
        <rFont val="仿宋_GB2312"/>
        <family val="1"/>
        <charset val="134"/>
      </rPr>
      <t>次</t>
    </r>
  </si>
  <si>
    <t>20-40</t>
  </si>
  <si>
    <t>每天多次</t>
  </si>
  <si>
    <r>
      <t>大于</t>
    </r>
    <r>
      <rPr>
        <sz val="10"/>
        <rFont val="Times New Roman"/>
        <family val="1"/>
      </rPr>
      <t>250</t>
    </r>
    <r>
      <rPr>
        <sz val="10"/>
        <rFont val="仿宋_GB2312"/>
        <family val="1"/>
        <charset val="134"/>
      </rPr>
      <t>次</t>
    </r>
  </si>
  <si>
    <t>25-60</t>
  </si>
  <si>
    <t>确定样本时应注意：</t>
    <phoneticPr fontId="3" type="noConversion"/>
  </si>
  <si>
    <t xml:space="preserve">I.）测试的最小样本量是指所需测试的控制运行次数； </t>
    <phoneticPr fontId="3" type="noConversion"/>
  </si>
  <si>
    <t>II.本表假设控制的运行偏差率预期为零。如果预期偏差率不为零，注册会计师应当扩大样本规模。</t>
    <phoneticPr fontId="3" type="noConversion"/>
  </si>
  <si>
    <t>III.注册会计师执行检查程序时，可参照本表确定测试的最小样本量。</t>
    <phoneticPr fontId="3" type="noConversion"/>
  </si>
  <si>
    <t>IV.如果注册会计师不知道控制运行的频率，但是知道控制运行的总次数，仍可根据"控制运行的总次数"一列确定测试的最小样本量。</t>
    <phoneticPr fontId="3" type="noConversion"/>
  </si>
  <si>
    <t>V.测试的最小样本量指所需测试的控制运行次数。</t>
    <phoneticPr fontId="3" type="noConversion"/>
  </si>
  <si>
    <t>（二）界定控制偏差</t>
    <phoneticPr fontId="3" type="noConversion"/>
  </si>
  <si>
    <t>序号</t>
    <phoneticPr fontId="3" type="noConversion"/>
  </si>
  <si>
    <t>项目</t>
    <phoneticPr fontId="3" type="noConversion"/>
  </si>
  <si>
    <t>测试结果</t>
    <phoneticPr fontId="3" type="noConversion"/>
  </si>
  <si>
    <t>（三）选取样本并实施控制测试</t>
    <phoneticPr fontId="3" type="noConversion"/>
  </si>
  <si>
    <t>索引号</t>
    <phoneticPr fontId="3" type="noConversion"/>
  </si>
  <si>
    <t>总体：</t>
    <phoneticPr fontId="3" type="noConversion"/>
  </si>
  <si>
    <t>代表总体的实物：</t>
    <phoneticPr fontId="3" type="noConversion"/>
  </si>
  <si>
    <t>抽样单元：</t>
    <phoneticPr fontId="3" type="noConversion"/>
  </si>
  <si>
    <t>备注</t>
    <phoneticPr fontId="3" type="noConversion"/>
  </si>
  <si>
    <t>高</t>
    <phoneticPr fontId="3" type="noConversion"/>
  </si>
  <si>
    <t>中</t>
    <phoneticPr fontId="3" type="noConversion"/>
  </si>
  <si>
    <t>低</t>
    <phoneticPr fontId="3" type="noConversion"/>
  </si>
  <si>
    <t>3-7%</t>
    <phoneticPr fontId="3" type="noConversion"/>
  </si>
  <si>
    <t>6-12%</t>
    <phoneticPr fontId="3" type="noConversion"/>
  </si>
  <si>
    <t>11-20%</t>
    <phoneticPr fontId="3" type="noConversion"/>
  </si>
  <si>
    <t>可容忍偏差率：</t>
    <phoneticPr fontId="3" type="noConversion"/>
  </si>
  <si>
    <t>1、（1）可容忍偏差率：注册会计师设定的偏离规定的内部控制程序比率，注册会计师试图对总体中的实际偏差率不超过该比率获取适当水平的保证。</t>
    <phoneticPr fontId="3" type="noConversion"/>
  </si>
  <si>
    <t>在实务中，注册会计师通常认为可容忍偏差率和计划评估的控制有效性之间的关系如下：</t>
    <phoneticPr fontId="3" type="noConversion"/>
  </si>
  <si>
    <t>计划评估的控制有效性</t>
    <phoneticPr fontId="3" type="noConversion"/>
  </si>
  <si>
    <t>可容忍偏差率（近似值）</t>
  </si>
  <si>
    <t>（2）对人工控制测试的最小样本规模</t>
    <phoneticPr fontId="3" type="noConversion"/>
  </si>
  <si>
    <t>初步评估的控制有效性：</t>
    <phoneticPr fontId="3" type="noConversion"/>
  </si>
  <si>
    <t>初步评估的重大错报风险：</t>
    <phoneticPr fontId="3" type="noConversion"/>
  </si>
  <si>
    <t>合   计</t>
    <phoneticPr fontId="3" type="noConversion"/>
  </si>
  <si>
    <t>是否为控制偏差
(是：1；否：0)</t>
    <phoneticPr fontId="3" type="noConversion"/>
  </si>
  <si>
    <t>样本偏差率：</t>
    <phoneticPr fontId="3" type="noConversion"/>
  </si>
  <si>
    <t>2、审计人员可以通过IDEA中系统抽样、随机抽样、分层随机抽样等方法选取样本。将选取的结果导入底稿，并将选取记录截图放入底稿中。</t>
    <phoneticPr fontId="3" type="noConversion"/>
  </si>
  <si>
    <t>（样本偏差率=样本偏差规模/样本规模）</t>
    <phoneticPr fontId="3" type="noConversion"/>
  </si>
  <si>
    <t>（一）样本结果是否支持初步风险评估结果：</t>
    <phoneticPr fontId="3" type="noConversion"/>
  </si>
  <si>
    <t>（二）进一步的判断与补充审计程序：</t>
    <phoneticPr fontId="3" type="noConversion"/>
  </si>
  <si>
    <t>1、控制是否运行有效：</t>
    <phoneticPr fontId="3" type="noConversion"/>
  </si>
  <si>
    <t>2、修正后的重大错报风险水平：</t>
    <phoneticPr fontId="3" type="noConversion"/>
  </si>
  <si>
    <t>3、是否需要增加样本规模：</t>
    <phoneticPr fontId="3" type="noConversion"/>
  </si>
  <si>
    <t>（相关底稿索引号：             ）</t>
    <phoneticPr fontId="3" type="noConversion"/>
  </si>
  <si>
    <t>4、 是否需要增加对相关帐户的实质性程序：</t>
    <phoneticPr fontId="3" type="noConversion"/>
  </si>
  <si>
    <t>[编制说明3]</t>
    <phoneticPr fontId="3" type="noConversion"/>
  </si>
  <si>
    <t>3、（1）将样本的偏差率作为总体偏差率的最佳估计（近似处理）</t>
    <phoneticPr fontId="3" type="noConversion"/>
  </si>
  <si>
    <t xml:space="preserve">   （2）通常将样本偏差率（即估计的总体偏差率）与可容忍偏差率相比较，以判断总体是否可以接受</t>
    <phoneticPr fontId="3" type="noConversion"/>
  </si>
  <si>
    <t>如果样本偏差率超出可容忍偏差率，则可以得出总体不可接受的结论</t>
    <phoneticPr fontId="3" type="noConversion"/>
  </si>
  <si>
    <t>如果样本偏差率大大低于可容忍偏差率，注册会计师通常认为总体可以接受。</t>
    <phoneticPr fontId="3" type="noConversion"/>
  </si>
  <si>
    <t xml:space="preserve">􀂾 </t>
    <phoneticPr fontId="3" type="noConversion"/>
  </si>
  <si>
    <t>如果样本偏差率虽然低于可容忍偏差率，但两者很接近，注册会计师通常认为总体实际偏差率高于可容忍偏差率的抽样风险很高，因而总体不可接受。</t>
    <phoneticPr fontId="3" type="noConversion"/>
  </si>
  <si>
    <t>如果样本偏差率低于总体的可容忍偏差率，注册会计师要考虑即使总体实际偏差率高于可容忍偏差率时仍可能出现这种结果的风险。</t>
    <phoneticPr fontId="3" type="noConversion"/>
  </si>
  <si>
    <t xml:space="preserve">如果样本偏差率与可容忍偏差率之间的差额不是很大也不是很小，以至于不能认定总体是否可以接受时，注册会计师则要考虑扩大样本规模，以进一步收集证据 </t>
    <phoneticPr fontId="3" type="noConversion"/>
  </si>
  <si>
    <t>预计总体偏差率：</t>
    <phoneticPr fontId="3" type="noConversion"/>
  </si>
  <si>
    <t>可接受信赖过度风险：</t>
    <phoneticPr fontId="3" type="noConversion"/>
  </si>
  <si>
    <t xml:space="preserve">  （2）预计总体偏差率是指注册会计师根据以前对被审计单位的经验或实施风险评估程序的结果而估计总体中可能存在的偏差率。</t>
    <phoneticPr fontId="3" type="noConversion"/>
  </si>
  <si>
    <t xml:space="preserve">  （3）信赖过度风险：推断的控制有效性高于其实际有效性的风险。</t>
    <phoneticPr fontId="3" type="noConversion"/>
  </si>
  <si>
    <t xml:space="preserve">  （4）可接受信赖过度风险：是注册会计师能够接受的信赖过度风险</t>
    <phoneticPr fontId="3" type="noConversion"/>
  </si>
  <si>
    <t>控制测试中统计抽样样本规模</t>
    <phoneticPr fontId="3" type="noConversion"/>
  </si>
  <si>
    <t xml:space="preserve">  （5）控制测试中样本量大小可以根据查表取得，或根据公式计算得出。</t>
    <phoneticPr fontId="3" type="noConversion"/>
  </si>
  <si>
    <t xml:space="preserve">  I  控制测试中统计抽样样本规模——信赖过度风险5%（括号内是可接受的偏差数）</t>
    <phoneticPr fontId="3" type="noConversion"/>
  </si>
  <si>
    <t xml:space="preserve">  II 控制测试中统计抽样样本规模——信赖过度风险10%（括号内是可接受的偏差数）</t>
    <phoneticPr fontId="3" type="noConversion"/>
  </si>
  <si>
    <t xml:space="preserve">  III.</t>
    <phoneticPr fontId="3" type="noConversion"/>
  </si>
  <si>
    <t>样本量计算公式：</t>
    <phoneticPr fontId="3" type="noConversion"/>
  </si>
  <si>
    <r>
      <rPr>
        <b/>
        <sz val="10"/>
        <color rgb="FF000000"/>
        <rFont val="宋体"/>
        <family val="3"/>
        <charset val="134"/>
      </rPr>
      <t>预期发生偏差的数量</t>
    </r>
    <r>
      <rPr>
        <b/>
        <sz val="10"/>
        <color rgb="FF000000"/>
        <rFont val="Times New Roman"/>
        <family val="1"/>
      </rPr>
      <t xml:space="preserve"> </t>
    </r>
  </si>
  <si>
    <r>
      <rPr>
        <b/>
        <sz val="10"/>
        <color rgb="FF000000"/>
        <rFont val="宋体"/>
        <family val="3"/>
        <charset val="134"/>
      </rPr>
      <t>信赖过度风险</t>
    </r>
    <r>
      <rPr>
        <b/>
        <sz val="10"/>
        <color rgb="FF000000"/>
        <rFont val="Times New Roman"/>
        <family val="1"/>
      </rPr>
      <t xml:space="preserve"> </t>
    </r>
  </si>
  <si>
    <t>【此处应记录通过IDEA中统计抽样方法或Excel选取的样本，对运用IDEA选取样本的应将History中信息截图放置底稿中。】</t>
    <phoneticPr fontId="3" type="noConversion"/>
  </si>
  <si>
    <t>（一）评价样本结果：</t>
    <phoneticPr fontId="3" type="noConversion"/>
  </si>
  <si>
    <t>1、公式法计算总体偏差率上限：</t>
    <phoneticPr fontId="3" type="noConversion"/>
  </si>
  <si>
    <t>【审计人员可以选用以下两种方法中的一种计算总体偏差率上限】</t>
    <phoneticPr fontId="3" type="noConversion"/>
  </si>
  <si>
    <t>2、查表法：</t>
    <phoneticPr fontId="3" type="noConversion"/>
  </si>
  <si>
    <t>3、（1）总体偏差率上限表如下：</t>
    <phoneticPr fontId="3" type="noConversion"/>
  </si>
  <si>
    <t>I.控制测试中统计抽样结果评价——信赖过度风险5%时的偏差率上限</t>
    <phoneticPr fontId="3" type="noConversion"/>
  </si>
  <si>
    <t>II.控制测试中统计抽样结果评价——信赖过度风险10%时的偏差率上限</t>
    <phoneticPr fontId="3" type="noConversion"/>
  </si>
  <si>
    <t>总体偏差率上限：</t>
    <phoneticPr fontId="3" type="noConversion"/>
  </si>
  <si>
    <r>
      <t xml:space="preserve">总体偏差率上限：
</t>
    </r>
    <r>
      <rPr>
        <b/>
        <i/>
        <sz val="10"/>
        <color rgb="FF0070C0"/>
        <rFont val="宋体"/>
        <family val="3"/>
        <charset val="134"/>
      </rPr>
      <t>（=风险系数/样本量）</t>
    </r>
    <phoneticPr fontId="3" type="noConversion"/>
  </si>
  <si>
    <t>控制测试中常用的风险系数表：</t>
    <phoneticPr fontId="3" type="noConversion"/>
  </si>
  <si>
    <t>（2）总体偏差率上限的估计值即总体偏差率与抽样风险允许限度之和。</t>
    <phoneticPr fontId="3" type="noConversion"/>
  </si>
  <si>
    <t>如果估计总体偏差率上限低于可容忍偏差率，则总体可以接受。注册会计师对总体得出结论，样本结果支持计划评估的控制有效性，从而支持计划的重大错报风险评估水平。</t>
    <phoneticPr fontId="3" type="noConversion"/>
  </si>
  <si>
    <t>如果估计总体偏差率上限大于或等于可容忍偏差率，则总体不能接受。这时会计师对总体得出结论，样本样本结果不支持计划评估的控制有效性，从而不支持计划的重大错报风险评估水平。</t>
    <phoneticPr fontId="3" type="noConversion"/>
  </si>
  <si>
    <t>此时注册会计师应当修正重大错报风险评估水平，并增加实质性程序的数量。</t>
    <phoneticPr fontId="3" type="noConversion"/>
  </si>
  <si>
    <t>或对影响重大错报风险评估水平的其他控制进行测试，以支持计划的重大错报风险评估水平。</t>
    <phoneticPr fontId="3" type="noConversion"/>
  </si>
  <si>
    <t>I.</t>
    <phoneticPr fontId="3" type="noConversion"/>
  </si>
  <si>
    <t>II.</t>
    <phoneticPr fontId="3" type="noConversion"/>
  </si>
  <si>
    <t>【样本量的计算与评估也可以通过IDEA中属性抽样工具完成】</t>
    <phoneticPr fontId="3" type="noConversion"/>
  </si>
  <si>
    <t>致同会计师事务所</t>
    <phoneticPr fontId="3" type="noConversion"/>
  </si>
</sst>
</file>

<file path=xl/styles.xml><?xml version="1.0" encoding="utf-8"?>
<styleSheet xmlns="http://schemas.openxmlformats.org/spreadsheetml/2006/main">
  <numFmts count="22">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s>
  <fonts count="36">
    <font>
      <sz val="12"/>
      <name val="宋体"/>
      <family val="3"/>
      <charset val="134"/>
    </font>
    <font>
      <sz val="12"/>
      <name val="宋体"/>
      <family val="3"/>
      <charset val="134"/>
    </font>
    <font>
      <b/>
      <sz val="12"/>
      <name val="宋体"/>
      <family val="3"/>
      <charset val="134"/>
    </font>
    <font>
      <sz val="9"/>
      <name val="宋体"/>
      <family val="3"/>
      <charset val="134"/>
    </font>
    <font>
      <sz val="10"/>
      <name val="宋体"/>
      <family val="3"/>
      <charset val="134"/>
    </font>
    <font>
      <b/>
      <sz val="10"/>
      <name val="宋体"/>
      <family val="3"/>
      <charset val="134"/>
    </font>
    <font>
      <u/>
      <sz val="12"/>
      <color indexed="12"/>
      <name val="宋体"/>
      <family val="3"/>
      <charset val="134"/>
    </font>
    <font>
      <u/>
      <sz val="10"/>
      <color indexed="12"/>
      <name val="宋体"/>
      <family val="3"/>
      <charset val="134"/>
    </font>
    <font>
      <u/>
      <sz val="10"/>
      <name val="宋体"/>
      <family val="3"/>
      <charset val="134"/>
    </font>
    <font>
      <b/>
      <sz val="10.5"/>
      <name val="宋体"/>
      <family val="3"/>
      <charset val="134"/>
    </font>
    <font>
      <b/>
      <i/>
      <sz val="10"/>
      <name val="宋体"/>
      <family val="3"/>
      <charset val="134"/>
    </font>
    <font>
      <b/>
      <i/>
      <sz val="10"/>
      <color theme="4"/>
      <name val="宋体"/>
      <family val="3"/>
      <charset val="134"/>
    </font>
    <font>
      <b/>
      <sz val="10"/>
      <color theme="1"/>
      <name val="宋体"/>
      <family val="3"/>
      <charset val="134"/>
    </font>
    <font>
      <sz val="10"/>
      <color indexed="12"/>
      <name val="宋体"/>
      <family val="3"/>
      <charset val="134"/>
    </font>
    <font>
      <sz val="10.5"/>
      <name val="宋体"/>
      <family val="3"/>
      <charset val="134"/>
    </font>
    <font>
      <sz val="9"/>
      <name val="Times New Roman"/>
      <family val="1"/>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sz val="10"/>
      <name val="仿宋_GB2312"/>
      <family val="1"/>
      <charset val="134"/>
    </font>
    <font>
      <b/>
      <i/>
      <sz val="10"/>
      <color rgb="FF0070C0"/>
      <name val="宋体"/>
      <family val="3"/>
      <charset val="134"/>
    </font>
    <font>
      <b/>
      <sz val="10"/>
      <color indexed="12"/>
      <name val="宋体"/>
      <family val="3"/>
      <charset val="134"/>
    </font>
    <font>
      <b/>
      <sz val="10"/>
      <color rgb="FF000000"/>
      <name val="宋体"/>
      <family val="3"/>
      <charset val="134"/>
    </font>
    <font>
      <b/>
      <sz val="10"/>
      <color rgb="FF000000"/>
      <name val="Times New Roman"/>
      <family val="1"/>
    </font>
    <font>
      <sz val="10"/>
      <color rgb="FF000000"/>
      <name val="Times New Roman"/>
      <family val="1"/>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s>
  <cellStyleXfs count="38">
    <xf numFmtId="0" fontId="0" fillId="0" borderId="0">
      <protection locked="0"/>
    </xf>
    <xf numFmtId="43" fontId="1" fillId="0" borderId="0" applyFont="0" applyFill="0" applyBorder="0" applyAlignment="0" applyProtection="0"/>
    <xf numFmtId="0" fontId="6" fillId="0" borderId="0" applyNumberFormat="0" applyFill="0" applyBorder="0" applyAlignment="0" applyProtection="0">
      <alignment vertical="top"/>
      <protection locked="0"/>
    </xf>
    <xf numFmtId="49" fontId="16" fillId="0" borderId="0" applyProtection="0">
      <alignment horizontal="left"/>
    </xf>
    <xf numFmtId="176" fontId="16" fillId="0" borderId="0" applyFill="0" applyBorder="0" applyProtection="0">
      <alignment horizontal="right"/>
    </xf>
    <xf numFmtId="177" fontId="16" fillId="0" borderId="0" applyFill="0" applyBorder="0" applyProtection="0">
      <alignment horizontal="right"/>
    </xf>
    <xf numFmtId="178" fontId="17" fillId="0" borderId="0" applyFill="0" applyBorder="0" applyProtection="0">
      <alignment horizontal="center"/>
    </xf>
    <xf numFmtId="179" fontId="17" fillId="0" borderId="0" applyFill="0" applyBorder="0" applyProtection="0">
      <alignment horizontal="center"/>
    </xf>
    <xf numFmtId="180" fontId="18" fillId="0" borderId="0" applyFill="0" applyBorder="0" applyProtection="0">
      <alignment horizontal="right"/>
    </xf>
    <xf numFmtId="181" fontId="16" fillId="0" borderId="0" applyFill="0" applyBorder="0" applyProtection="0">
      <alignment horizontal="right"/>
    </xf>
    <xf numFmtId="182" fontId="16" fillId="0" borderId="0" applyFill="0" applyBorder="0" applyProtection="0">
      <alignment horizontal="right"/>
    </xf>
    <xf numFmtId="183" fontId="16" fillId="0" borderId="0" applyFill="0" applyBorder="0" applyProtection="0">
      <alignment horizontal="right"/>
    </xf>
    <xf numFmtId="184" fontId="16" fillId="0" borderId="0" applyFill="0" applyBorder="0" applyProtection="0">
      <alignment horizontal="right"/>
    </xf>
    <xf numFmtId="3" fontId="19" fillId="0" borderId="0"/>
    <xf numFmtId="185" fontId="20" fillId="0" borderId="5" applyAlignment="0" applyProtection="0"/>
    <xf numFmtId="186" fontId="21" fillId="0" borderId="0" applyFont="0" applyFill="0" applyBorder="0" applyAlignment="0" applyProtection="0"/>
    <xf numFmtId="187" fontId="21" fillId="0" borderId="0" applyFont="0" applyFill="0" applyBorder="0" applyAlignment="0" applyProtection="0"/>
    <xf numFmtId="188" fontId="21" fillId="0" borderId="0" applyFont="0" applyFill="0" applyBorder="0" applyAlignment="0" applyProtection="0"/>
    <xf numFmtId="189" fontId="21"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190" fontId="16" fillId="0" borderId="0" applyFont="0" applyFill="0" applyBorder="0" applyAlignment="0" applyProtection="0"/>
    <xf numFmtId="0" fontId="22" fillId="0" borderId="0" applyNumberFormat="0" applyFill="0" applyBorder="0" applyAlignment="0" applyProtection="0">
      <alignment vertical="top"/>
      <protection locked="0"/>
    </xf>
    <xf numFmtId="38" fontId="23" fillId="2" borderId="0" applyNumberFormat="0" applyBorder="0" applyAlignment="0" applyProtection="0"/>
    <xf numFmtId="0" fontId="24" fillId="0" borderId="0" applyNumberFormat="0" applyFill="0" applyBorder="0" applyAlignment="0" applyProtection="0">
      <alignment vertical="top"/>
      <protection locked="0"/>
    </xf>
    <xf numFmtId="10" fontId="23" fillId="3" borderId="6" applyNumberFormat="0" applyBorder="0" applyAlignment="0" applyProtection="0"/>
    <xf numFmtId="191" fontId="1" fillId="0" borderId="0" applyFont="0" applyFill="0" applyBorder="0" applyAlignment="0" applyProtection="0"/>
    <xf numFmtId="192" fontId="1" fillId="0" borderId="0" applyFont="0" applyFill="0" applyBorder="0" applyAlignment="0" applyProtection="0"/>
    <xf numFmtId="0" fontId="25" fillId="0" borderId="0"/>
    <xf numFmtId="193" fontId="1" fillId="0" borderId="0"/>
    <xf numFmtId="0" fontId="26" fillId="0" borderId="0"/>
    <xf numFmtId="10" fontId="21" fillId="0" borderId="0" applyFont="0" applyFill="0" applyBorder="0" applyAlignment="0" applyProtection="0"/>
    <xf numFmtId="3" fontId="27" fillId="0" borderId="0"/>
    <xf numFmtId="0" fontId="28" fillId="0" borderId="0"/>
    <xf numFmtId="194" fontId="1" fillId="0" borderId="0" applyFont="0" applyFill="0" applyBorder="0" applyAlignment="0" applyProtection="0"/>
    <xf numFmtId="195" fontId="1" fillId="0" borderId="0" applyFont="0" applyFill="0" applyBorder="0" applyAlignment="0" applyProtection="0"/>
    <xf numFmtId="41" fontId="29" fillId="0" borderId="0" applyFont="0" applyFill="0" applyBorder="0" applyAlignment="0" applyProtection="0"/>
    <xf numFmtId="43" fontId="29" fillId="0" borderId="0" applyFont="0" applyFill="0" applyBorder="0" applyAlignment="0" applyProtection="0"/>
  </cellStyleXfs>
  <cellXfs count="73">
    <xf numFmtId="0" fontId="0" fillId="0" borderId="0" xfId="0">
      <protection locked="0"/>
    </xf>
    <xf numFmtId="0" fontId="4" fillId="0" borderId="0" xfId="0" applyFont="1" applyBorder="1" applyAlignment="1">
      <alignment horizontal="justify" vertical="center" wrapText="1"/>
      <protection locked="0"/>
    </xf>
    <xf numFmtId="0" fontId="4" fillId="0" borderId="0" xfId="0" applyFont="1" applyAlignment="1">
      <alignment vertical="center"/>
      <protection locked="0"/>
    </xf>
    <xf numFmtId="0" fontId="7" fillId="0" borderId="0" xfId="2" applyFont="1" applyBorder="1" applyAlignment="1">
      <alignment horizontal="center" vertical="center" wrapText="1"/>
      <protection locked="0"/>
    </xf>
    <xf numFmtId="0" fontId="5" fillId="0" borderId="1" xfId="0" applyFont="1" applyBorder="1" applyAlignment="1">
      <alignment horizontal="center" vertical="center" wrapText="1"/>
      <protection locked="0"/>
    </xf>
    <xf numFmtId="0" fontId="4" fillId="0" borderId="0" xfId="0" applyFont="1" applyAlignment="1">
      <alignment horizontal="center"/>
      <protection locked="0"/>
    </xf>
    <xf numFmtId="0" fontId="4" fillId="0" borderId="1" xfId="0" applyFont="1" applyBorder="1" applyAlignment="1">
      <alignment vertical="center"/>
      <protection locked="0"/>
    </xf>
    <xf numFmtId="0" fontId="4" fillId="0" borderId="2" xfId="0" applyFont="1" applyBorder="1" applyAlignment="1">
      <alignment vertical="center"/>
      <protection locked="0"/>
    </xf>
    <xf numFmtId="0" fontId="4" fillId="0" borderId="0" xfId="0" applyFont="1">
      <protection locked="0"/>
    </xf>
    <xf numFmtId="43" fontId="4" fillId="0" borderId="1" xfId="1" applyFont="1" applyBorder="1" applyAlignment="1" applyProtection="1">
      <alignment vertical="center"/>
      <protection locked="0"/>
    </xf>
    <xf numFmtId="0" fontId="5" fillId="0" borderId="1" xfId="0" applyFont="1" applyFill="1" applyBorder="1" applyAlignment="1">
      <alignment horizontal="center" vertical="center"/>
      <protection locked="0"/>
    </xf>
    <xf numFmtId="0" fontId="9" fillId="0" borderId="1" xfId="0" applyFont="1" applyBorder="1" applyAlignment="1">
      <alignment horizontal="center" vertical="center" wrapText="1"/>
      <protection locked="0"/>
    </xf>
    <xf numFmtId="0" fontId="5" fillId="0" borderId="0" xfId="0" applyFont="1" applyAlignment="1">
      <alignment vertical="center"/>
      <protection locked="0"/>
    </xf>
    <xf numFmtId="0" fontId="11" fillId="0" borderId="0" xfId="0" applyFont="1" applyFill="1" applyBorder="1" applyAlignment="1">
      <alignment vertical="center"/>
      <protection locked="0"/>
    </xf>
    <xf numFmtId="0" fontId="12" fillId="0" borderId="0" xfId="0" applyFont="1" applyFill="1" applyBorder="1" applyAlignment="1">
      <alignment vertical="center"/>
      <protection locked="0"/>
    </xf>
    <xf numFmtId="0" fontId="5" fillId="0" borderId="1" xfId="0" applyFont="1" applyFill="1" applyBorder="1" applyAlignment="1">
      <alignment vertical="center"/>
      <protection locked="0"/>
    </xf>
    <xf numFmtId="0" fontId="4" fillId="0" borderId="1" xfId="0" applyFont="1" applyBorder="1">
      <protection locked="0"/>
    </xf>
    <xf numFmtId="0" fontId="0" fillId="0" borderId="0" xfId="0" applyAlignment="1">
      <protection locked="0"/>
    </xf>
    <xf numFmtId="0" fontId="10" fillId="0" borderId="1" xfId="0" applyFont="1" applyBorder="1" applyAlignment="1">
      <alignment vertical="center"/>
      <protection locked="0"/>
    </xf>
    <xf numFmtId="0" fontId="5" fillId="0" borderId="0" xfId="0" applyFont="1" applyBorder="1" applyAlignment="1">
      <alignment horizontal="left" vertical="center"/>
      <protection locked="0"/>
    </xf>
    <xf numFmtId="0" fontId="4" fillId="0" borderId="0" xfId="0" applyNumberFormat="1" applyFont="1" applyAlignment="1">
      <alignment vertical="center"/>
      <protection locked="0"/>
    </xf>
    <xf numFmtId="0" fontId="0" fillId="0" borderId="0" xfId="0" applyAlignment="1">
      <alignment vertical="center"/>
      <protection locked="0"/>
    </xf>
    <xf numFmtId="43" fontId="15" fillId="0" borderId="0" xfId="1" applyFont="1" applyProtection="1">
      <protection locked="0"/>
    </xf>
    <xf numFmtId="0" fontId="0" fillId="0" borderId="1" xfId="0" applyBorder="1" applyAlignment="1">
      <alignment wrapText="1"/>
      <protection locked="0"/>
    </xf>
    <xf numFmtId="43" fontId="0" fillId="0" borderId="1" xfId="1" applyFont="1" applyBorder="1" applyAlignment="1" applyProtection="1">
      <alignment vertical="center" wrapText="1"/>
      <protection locked="0"/>
    </xf>
    <xf numFmtId="0" fontId="5" fillId="0" borderId="1" xfId="0" applyFont="1" applyBorder="1" applyAlignment="1">
      <alignment vertical="center"/>
      <protection locked="0"/>
    </xf>
    <xf numFmtId="0" fontId="4" fillId="0" borderId="0" xfId="0" applyFont="1" applyBorder="1" applyAlignment="1">
      <alignment vertical="center"/>
      <protection locked="0"/>
    </xf>
    <xf numFmtId="0" fontId="5" fillId="0" borderId="1" xfId="0" applyFont="1" applyBorder="1" applyAlignment="1">
      <alignment horizontal="center" vertical="center"/>
      <protection locked="0"/>
    </xf>
    <xf numFmtId="0" fontId="7" fillId="0" borderId="0" xfId="2" applyFont="1" applyAlignment="1">
      <alignment horizontal="center" vertical="center"/>
      <protection locked="0"/>
    </xf>
    <xf numFmtId="0" fontId="13" fillId="0" borderId="0" xfId="0" applyFont="1" applyAlignment="1">
      <alignment vertical="center" wrapText="1"/>
      <protection locked="0"/>
    </xf>
    <xf numFmtId="0" fontId="4" fillId="0" borderId="0" xfId="0" applyFont="1" applyAlignment="1">
      <alignment vertical="center" wrapText="1"/>
      <protection locked="0"/>
    </xf>
    <xf numFmtId="0" fontId="4" fillId="0" borderId="0" xfId="0" applyFont="1" applyBorder="1" applyAlignment="1">
      <alignment horizontal="left" vertical="center" wrapText="1"/>
      <protection locked="0"/>
    </xf>
    <xf numFmtId="0" fontId="5" fillId="0" borderId="7" xfId="0" applyFont="1" applyBorder="1" applyAlignment="1">
      <alignment horizontal="center" vertical="center" wrapText="1"/>
      <protection locked="0"/>
    </xf>
    <xf numFmtId="0" fontId="16" fillId="0" borderId="9" xfId="0" applyFont="1" applyBorder="1" applyAlignment="1">
      <alignment horizontal="center" vertical="center" wrapText="1"/>
      <protection locked="0"/>
    </xf>
    <xf numFmtId="0" fontId="16" fillId="0" borderId="9" xfId="0" quotePrefix="1" applyFont="1" applyBorder="1" applyAlignment="1">
      <alignment horizontal="center" vertical="center" wrapText="1"/>
      <protection locked="0"/>
    </xf>
    <xf numFmtId="0" fontId="30" fillId="0" borderId="9" xfId="0" applyFont="1" applyBorder="1" applyAlignment="1">
      <alignment horizontal="center" vertical="center" wrapText="1"/>
      <protection locked="0"/>
    </xf>
    <xf numFmtId="0" fontId="4" fillId="0" borderId="0" xfId="0" applyFont="1" applyAlignment="1">
      <alignment horizontal="left" vertical="center" wrapText="1"/>
      <protection locked="0"/>
    </xf>
    <xf numFmtId="0" fontId="5" fillId="0" borderId="0" xfId="0" applyFont="1" applyBorder="1" applyAlignment="1">
      <alignment vertical="center"/>
      <protection locked="0"/>
    </xf>
    <xf numFmtId="0" fontId="4" fillId="0" borderId="1" xfId="0" applyFont="1" applyBorder="1" applyAlignment="1">
      <protection locked="0"/>
    </xf>
    <xf numFmtId="0" fontId="5" fillId="0" borderId="7" xfId="0" applyFont="1" applyBorder="1" applyAlignment="1">
      <alignment vertical="center"/>
      <protection locked="0"/>
    </xf>
    <xf numFmtId="0" fontId="30" fillId="0" borderId="8" xfId="0" applyFont="1" applyBorder="1" applyAlignment="1">
      <alignment vertical="center"/>
      <protection locked="0"/>
    </xf>
    <xf numFmtId="0" fontId="13" fillId="0" borderId="0" xfId="0" applyFont="1" applyAlignment="1">
      <alignment vertical="center"/>
      <protection locked="0"/>
    </xf>
    <xf numFmtId="0" fontId="5" fillId="0" borderId="0" xfId="0" applyFont="1" applyAlignment="1">
      <alignment horizontal="left" vertical="center"/>
      <protection locked="0"/>
    </xf>
    <xf numFmtId="0" fontId="5" fillId="0" borderId="6" xfId="0" applyFont="1" applyBorder="1" applyAlignment="1">
      <alignment horizontal="center" vertical="center" wrapText="1"/>
      <protection locked="0"/>
    </xf>
    <xf numFmtId="0" fontId="4" fillId="0" borderId="6" xfId="0" applyFont="1" applyBorder="1" applyAlignment="1">
      <alignment horizontal="center" vertical="center"/>
      <protection locked="0"/>
    </xf>
    <xf numFmtId="0" fontId="4" fillId="0" borderId="6" xfId="0" applyFont="1" applyBorder="1" applyAlignment="1">
      <alignment horizontal="right" vertical="center"/>
      <protection locked="0"/>
    </xf>
    <xf numFmtId="0" fontId="5" fillId="0" borderId="2" xfId="0" applyFont="1" applyBorder="1" applyAlignment="1">
      <alignment horizontal="justify" vertical="center" wrapText="1"/>
      <protection locked="0"/>
    </xf>
    <xf numFmtId="0" fontId="4" fillId="0" borderId="3" xfId="0" applyFont="1" applyBorder="1" applyAlignment="1">
      <alignment horizontal="justify" vertical="center" wrapText="1"/>
      <protection locked="0"/>
    </xf>
    <xf numFmtId="0" fontId="5" fillId="0" borderId="2" xfId="0" applyFont="1" applyBorder="1" applyAlignment="1">
      <alignment vertical="center"/>
      <protection locked="0"/>
    </xf>
    <xf numFmtId="0" fontId="7" fillId="0" borderId="4" xfId="2" applyFont="1" applyBorder="1" applyAlignment="1">
      <alignment horizontal="center" vertical="center" wrapText="1"/>
      <protection locked="0"/>
    </xf>
    <xf numFmtId="0" fontId="4" fillId="0" borderId="3" xfId="0" applyFont="1" applyBorder="1">
      <protection locked="0"/>
    </xf>
    <xf numFmtId="0" fontId="12" fillId="0" borderId="0" xfId="0" applyFont="1" applyBorder="1" applyAlignment="1">
      <alignment horizontal="right" vertical="center"/>
      <protection locked="0"/>
    </xf>
    <xf numFmtId="0" fontId="31" fillId="0" borderId="0" xfId="0" applyFont="1" applyFill="1" applyAlignment="1">
      <alignment vertical="center"/>
      <protection locked="0"/>
    </xf>
    <xf numFmtId="0" fontId="14" fillId="0" borderId="0" xfId="0" applyFont="1" applyAlignment="1">
      <alignment horizontal="left"/>
      <protection locked="0"/>
    </xf>
    <xf numFmtId="0" fontId="32" fillId="0" borderId="0" xfId="0" applyFont="1" applyAlignment="1">
      <alignment vertical="center" wrapText="1"/>
      <protection locked="0"/>
    </xf>
    <xf numFmtId="0" fontId="5" fillId="0" borderId="0" xfId="0" applyFont="1" applyAlignment="1">
      <alignment vertical="center" wrapText="1"/>
      <protection locked="0"/>
    </xf>
    <xf numFmtId="9" fontId="34" fillId="0" borderId="13" xfId="0" applyNumberFormat="1" applyFont="1" applyBorder="1" applyAlignment="1">
      <alignment horizontal="center" wrapText="1"/>
      <protection locked="0"/>
    </xf>
    <xf numFmtId="0" fontId="35" fillId="0" borderId="11" xfId="0" applyFont="1" applyBorder="1" applyAlignment="1">
      <alignment horizontal="center" wrapText="1"/>
      <protection locked="0"/>
    </xf>
    <xf numFmtId="0" fontId="35" fillId="0" borderId="13" xfId="0" applyFont="1" applyBorder="1" applyAlignment="1">
      <alignment horizontal="center" wrapText="1"/>
      <protection locked="0"/>
    </xf>
    <xf numFmtId="0" fontId="31" fillId="0" borderId="0" xfId="0" applyFont="1" applyAlignment="1">
      <alignment vertical="center"/>
      <protection locked="0"/>
    </xf>
    <xf numFmtId="0" fontId="4" fillId="0" borderId="0" xfId="0" applyFont="1" applyAlignment="1">
      <alignment horizontal="right"/>
      <protection locked="0"/>
    </xf>
    <xf numFmtId="0" fontId="5" fillId="0" borderId="2" xfId="0" applyFont="1" applyBorder="1" applyAlignment="1">
      <alignment horizontal="center" vertical="center"/>
      <protection locked="0"/>
    </xf>
    <xf numFmtId="0" fontId="5" fillId="0" borderId="4" xfId="0" applyFont="1" applyBorder="1" applyAlignment="1">
      <alignment horizontal="center" vertical="center"/>
      <protection locked="0"/>
    </xf>
    <xf numFmtId="0" fontId="5" fillId="0" borderId="3" xfId="0" applyFont="1" applyBorder="1" applyAlignment="1">
      <alignment horizontal="center" vertical="center"/>
      <protection locked="0"/>
    </xf>
    <xf numFmtId="0" fontId="2" fillId="0" borderId="0" xfId="0" applyFont="1" applyAlignment="1">
      <alignment horizontal="center" vertical="center"/>
      <protection locked="0"/>
    </xf>
    <xf numFmtId="0" fontId="32" fillId="0" borderId="0" xfId="0" applyFont="1" applyAlignment="1">
      <alignment vertical="center" wrapText="1"/>
      <protection locked="0"/>
    </xf>
    <xf numFmtId="0" fontId="5" fillId="0" borderId="0" xfId="0" applyFont="1" applyAlignment="1">
      <alignment vertical="center" wrapText="1"/>
      <protection locked="0"/>
    </xf>
    <xf numFmtId="0" fontId="34" fillId="0" borderId="10" xfId="0" applyFont="1" applyBorder="1" applyAlignment="1">
      <alignment horizontal="center" vertical="center" wrapText="1"/>
      <protection locked="0"/>
    </xf>
    <xf numFmtId="0" fontId="34" fillId="0" borderId="11" xfId="0" applyFont="1" applyBorder="1" applyAlignment="1">
      <alignment horizontal="center" vertical="center" wrapText="1"/>
      <protection locked="0"/>
    </xf>
    <xf numFmtId="0" fontId="34" fillId="0" borderId="14" xfId="0" applyFont="1" applyBorder="1" applyAlignment="1">
      <alignment horizontal="center" wrapText="1"/>
      <protection locked="0"/>
    </xf>
    <xf numFmtId="0" fontId="34" fillId="0" borderId="12" xfId="0" applyFont="1" applyBorder="1" applyAlignment="1">
      <alignment horizontal="center" wrapText="1"/>
      <protection locked="0"/>
    </xf>
    <xf numFmtId="0" fontId="4" fillId="0" borderId="0" xfId="0" applyFont="1" applyBorder="1" applyAlignment="1">
      <alignment horizontal="left" vertical="center" wrapText="1"/>
      <protection locked="0"/>
    </xf>
    <xf numFmtId="0" fontId="4" fillId="0" borderId="0" xfId="0" applyFont="1" applyBorder="1" applyAlignment="1">
      <alignment vertical="center" wrapText="1"/>
      <protection locked="0"/>
    </xf>
  </cellXfs>
  <cellStyles count="38">
    <cellStyle name="@_text" xfId="3"/>
    <cellStyle name="{Comma [0]}" xfId="4"/>
    <cellStyle name="{Comma}" xfId="5"/>
    <cellStyle name="{Date}" xfId="6"/>
    <cellStyle name="{Month}" xfId="7"/>
    <cellStyle name="{Percent}" xfId="8"/>
    <cellStyle name="{Thousand [0]}" xfId="9"/>
    <cellStyle name="{Thousand}" xfId="10"/>
    <cellStyle name="{Z'0000(1 dec)}" xfId="11"/>
    <cellStyle name="{Z'0000(4 dec)}" xfId="12"/>
    <cellStyle name="Black" xfId="13"/>
    <cellStyle name="Border" xfId="14"/>
    <cellStyle name="Comma [0]_1995" xfId="15"/>
    <cellStyle name="Comma_1995" xfId="16"/>
    <cellStyle name="Currency [0]_1995" xfId="17"/>
    <cellStyle name="Currency_1995" xfId="18"/>
    <cellStyle name="Dezimal [0]_laroux" xfId="19"/>
    <cellStyle name="Dezimal_laroux" xfId="20"/>
    <cellStyle name="Euro" xfId="21"/>
    <cellStyle name="Followed Hyperlink_AheadBehind.xls Chart 23" xfId="22"/>
    <cellStyle name="Grey" xfId="23"/>
    <cellStyle name="Hyperlink_AheadBehind.xls Chart 23" xfId="24"/>
    <cellStyle name="Input [yellow]" xfId="25"/>
    <cellStyle name="Milliers [0]_laroux" xfId="26"/>
    <cellStyle name="Milliers_laroux" xfId="27"/>
    <cellStyle name="Non défini" xfId="28"/>
    <cellStyle name="Normal - Style1" xfId="29"/>
    <cellStyle name="Normal_22-Jun EUS Forecasts" xfId="30"/>
    <cellStyle name="Percent [2]" xfId="31"/>
    <cellStyle name="Red" xfId="32"/>
    <cellStyle name="常规" xfId="0" builtinId="0"/>
    <cellStyle name="超链接" xfId="2" builtinId="8"/>
    <cellStyle name="普通_ 外G9(3)" xfId="33"/>
    <cellStyle name="千分位[0]_宁波" xfId="34"/>
    <cellStyle name="千分位_宁波" xfId="35"/>
    <cellStyle name="千位[0]_laroux" xfId="36"/>
    <cellStyle name="千位_laroux" xfId="37"/>
    <cellStyle name="千位分隔" xfId="1" builtin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94</xdr:row>
      <xdr:rowOff>0</xdr:rowOff>
    </xdr:from>
    <xdr:to>
      <xdr:col>5</xdr:col>
      <xdr:colOff>607088</xdr:colOff>
      <xdr:row>109</xdr:row>
      <xdr:rowOff>295275</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481484" y="31013819"/>
          <a:ext cx="6186016" cy="5476456"/>
        </a:xfrm>
        <a:prstGeom prst="rect">
          <a:avLst/>
        </a:prstGeom>
        <a:noFill/>
        <a:ln w="9525">
          <a:noFill/>
          <a:miter lim="800000"/>
          <a:headEnd/>
          <a:tailEnd/>
        </a:ln>
      </xdr:spPr>
    </xdr:pic>
    <xdr:clientData/>
  </xdr:twoCellAnchor>
  <xdr:twoCellAnchor>
    <xdr:from>
      <xdr:col>1</xdr:col>
      <xdr:colOff>0</xdr:colOff>
      <xdr:row>111</xdr:row>
      <xdr:rowOff>0</xdr:rowOff>
    </xdr:from>
    <xdr:to>
      <xdr:col>5</xdr:col>
      <xdr:colOff>732692</xdr:colOff>
      <xdr:row>127</xdr:row>
      <xdr:rowOff>62802</xdr:rowOff>
    </xdr:to>
    <xdr:pic>
      <xdr:nvPicPr>
        <xdr:cNvPr id="102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481484" y="36885824"/>
          <a:ext cx="6311620" cy="5589396"/>
        </a:xfrm>
        <a:prstGeom prst="rect">
          <a:avLst/>
        </a:prstGeom>
        <a:noFill/>
        <a:ln w="9525">
          <a:noFill/>
          <a:miter lim="800000"/>
          <a:headEnd/>
          <a:tailEnd/>
        </a:ln>
      </xdr:spPr>
    </xdr:pic>
    <xdr:clientData/>
  </xdr:twoCellAnchor>
  <xdr:twoCellAnchor>
    <xdr:from>
      <xdr:col>0</xdr:col>
      <xdr:colOff>439616</xdr:colOff>
      <xdr:row>128</xdr:row>
      <xdr:rowOff>177941</xdr:rowOff>
    </xdr:from>
    <xdr:to>
      <xdr:col>3</xdr:col>
      <xdr:colOff>1005882</xdr:colOff>
      <xdr:row>130</xdr:row>
      <xdr:rowOff>118279</xdr:rowOff>
    </xdr:to>
    <xdr:pic>
      <xdr:nvPicPr>
        <xdr:cNvPr id="1027"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439616" y="43239315"/>
          <a:ext cx="3643574" cy="631162"/>
        </a:xfrm>
        <a:prstGeom prst="rect">
          <a:avLst/>
        </a:prstGeom>
        <a:noFill/>
      </xdr:spPr>
    </xdr:pic>
    <xdr:clientData/>
  </xdr:twoCellAnchor>
  <xdr:twoCellAnchor>
    <xdr:from>
      <xdr:col>0</xdr:col>
      <xdr:colOff>0</xdr:colOff>
      <xdr:row>148</xdr:row>
      <xdr:rowOff>0</xdr:rowOff>
    </xdr:from>
    <xdr:to>
      <xdr:col>5</xdr:col>
      <xdr:colOff>303544</xdr:colOff>
      <xdr:row>170</xdr:row>
      <xdr:rowOff>83736</xdr:rowOff>
    </xdr:to>
    <xdr:pic>
      <xdr:nvPicPr>
        <xdr:cNvPr id="1028" name="Picture 4"/>
        <xdr:cNvPicPr>
          <a:picLocks noChangeAspect="1" noChangeArrowheads="1"/>
        </xdr:cNvPicPr>
      </xdr:nvPicPr>
      <xdr:blipFill>
        <a:blip xmlns:r="http://schemas.openxmlformats.org/officeDocument/2006/relationships" r:embed="rId4" cstate="print"/>
        <a:srcRect/>
        <a:stretch>
          <a:fillRect/>
        </a:stretch>
      </xdr:blipFill>
      <xdr:spPr bwMode="auto">
        <a:xfrm>
          <a:off x="0" y="46316621"/>
          <a:ext cx="6363956" cy="5212582"/>
        </a:xfrm>
        <a:prstGeom prst="rect">
          <a:avLst/>
        </a:prstGeom>
        <a:noFill/>
        <a:ln w="9525">
          <a:noFill/>
          <a:miter lim="800000"/>
          <a:headEnd/>
          <a:tailEnd/>
        </a:ln>
      </xdr:spPr>
    </xdr:pic>
    <xdr:clientData/>
  </xdr:twoCellAnchor>
  <xdr:twoCellAnchor>
    <xdr:from>
      <xdr:col>0</xdr:col>
      <xdr:colOff>136070</xdr:colOff>
      <xdr:row>172</xdr:row>
      <xdr:rowOff>10467</xdr:rowOff>
    </xdr:from>
    <xdr:to>
      <xdr:col>5</xdr:col>
      <xdr:colOff>429147</xdr:colOff>
      <xdr:row>196</xdr:row>
      <xdr:rowOff>20934</xdr:rowOff>
    </xdr:to>
    <xdr:pic>
      <xdr:nvPicPr>
        <xdr:cNvPr id="1029" name="Picture 5"/>
        <xdr:cNvPicPr>
          <a:picLocks noChangeAspect="1" noChangeArrowheads="1"/>
        </xdr:cNvPicPr>
      </xdr:nvPicPr>
      <xdr:blipFill>
        <a:blip xmlns:r="http://schemas.openxmlformats.org/officeDocument/2006/relationships" r:embed="rId5" cstate="print"/>
        <a:srcRect/>
        <a:stretch>
          <a:fillRect/>
        </a:stretch>
      </xdr:blipFill>
      <xdr:spPr bwMode="auto">
        <a:xfrm>
          <a:off x="136070" y="51864148"/>
          <a:ext cx="6353489" cy="5066044"/>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3&#24212;&#20184;&#31080;&#2545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头（请先填写）"/>
      <sheetName val="审定表G3-1"/>
      <sheetName val="审定表G3-1X"/>
      <sheetName val="明细表G3-2"/>
      <sheetName val="样本选取评价表（非统计抽样）G3-3X-1"/>
      <sheetName val="样本选取评价表 (统计抽样)G3-3X-2"/>
      <sheetName val="函证结果汇总表G3-4"/>
      <sheetName val="检查情况表G3-5"/>
      <sheetName val="替代程序表G3-6"/>
      <sheetName val="附注披露信息(上市公司)G3-7"/>
      <sheetName val="附注披露信息(国企)G3-8"/>
    </sheetNames>
    <sheetDataSet>
      <sheetData sheetId="0">
        <row r="2">
          <cell r="A2" t="str">
            <v>客户名称：</v>
          </cell>
        </row>
        <row r="3">
          <cell r="A3" t="str">
            <v>截止日：2011年12月31日</v>
          </cell>
        </row>
        <row r="4">
          <cell r="A4" t="str">
            <v>编制人：</v>
          </cell>
        </row>
        <row r="5">
          <cell r="A5" t="str">
            <v>日期：</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H101"/>
  <sheetViews>
    <sheetView tabSelected="1" zoomScale="91" zoomScaleNormal="91" workbookViewId="0">
      <selection activeCell="A2" sqref="A2:H2"/>
    </sheetView>
  </sheetViews>
  <sheetFormatPr defaultRowHeight="14.25"/>
  <cols>
    <col min="1" max="1" width="6.875" style="17" customWidth="1"/>
    <col min="2" max="2" width="16" customWidth="1"/>
    <col min="3" max="3" width="13" customWidth="1"/>
    <col min="4" max="5" width="14.25" customWidth="1"/>
    <col min="6" max="6" width="14.875" customWidth="1"/>
    <col min="7" max="7" width="14.75" customWidth="1"/>
    <col min="8" max="8" width="13.625" customWidth="1"/>
  </cols>
  <sheetData>
    <row r="1" spans="1:8" ht="30" customHeight="1">
      <c r="A1" s="64" t="s">
        <v>119</v>
      </c>
      <c r="B1" s="64"/>
      <c r="C1" s="64"/>
      <c r="D1" s="64"/>
      <c r="E1" s="64"/>
      <c r="F1" s="64"/>
      <c r="G1" s="64"/>
      <c r="H1" s="64"/>
    </row>
    <row r="2" spans="1:8" ht="30" customHeight="1">
      <c r="A2" s="64" t="s">
        <v>7</v>
      </c>
      <c r="B2" s="64"/>
      <c r="C2" s="64"/>
      <c r="D2" s="64"/>
      <c r="E2" s="64"/>
      <c r="F2" s="64"/>
      <c r="G2" s="64"/>
      <c r="H2" s="64"/>
    </row>
    <row r="3" spans="1:8" ht="24" customHeight="1">
      <c r="A3" s="26" t="str">
        <f>'[1]表头（请先填写）'!A2</f>
        <v>客户名称：</v>
      </c>
      <c r="C3" s="1" t="str">
        <f>'[1]表头（请先填写）'!A4</f>
        <v>编制人：</v>
      </c>
      <c r="E3" s="1" t="str">
        <f>'[1]表头（请先填写）'!A5</f>
        <v>日期：</v>
      </c>
      <c r="H3" s="1" t="s">
        <v>8</v>
      </c>
    </row>
    <row r="4" spans="1:8" ht="24" customHeight="1">
      <c r="A4" s="26" t="str">
        <f>'[1]表头（请先填写）'!A3</f>
        <v>截止日：2011年12月31日</v>
      </c>
      <c r="C4" s="1" t="s">
        <v>0</v>
      </c>
      <c r="E4" s="1" t="s">
        <v>1</v>
      </c>
      <c r="H4" s="1" t="s">
        <v>2</v>
      </c>
    </row>
    <row r="5" spans="1:8" ht="24" customHeight="1">
      <c r="A5" s="37" t="s">
        <v>14</v>
      </c>
      <c r="C5" s="1"/>
      <c r="D5" s="1"/>
      <c r="E5" s="1"/>
    </row>
    <row r="6" spans="1:8" ht="24" customHeight="1">
      <c r="A6" s="26" t="s">
        <v>19</v>
      </c>
      <c r="B6" s="31"/>
      <c r="C6" s="31"/>
      <c r="D6" s="31"/>
      <c r="E6" s="31"/>
    </row>
    <row r="7" spans="1:8" ht="24" customHeight="1">
      <c r="A7" s="37" t="s">
        <v>15</v>
      </c>
      <c r="C7" s="1"/>
      <c r="D7" s="1"/>
      <c r="E7" s="1"/>
    </row>
    <row r="8" spans="1:8" ht="24" customHeight="1">
      <c r="A8" s="37" t="s">
        <v>10</v>
      </c>
      <c r="B8" s="1"/>
      <c r="C8" s="1"/>
      <c r="D8" s="2"/>
      <c r="E8" s="3"/>
      <c r="F8" s="8"/>
      <c r="H8" s="3" t="s">
        <v>3</v>
      </c>
    </row>
    <row r="9" spans="1:8" ht="24" customHeight="1">
      <c r="A9" s="37"/>
      <c r="B9" s="46" t="s">
        <v>48</v>
      </c>
      <c r="C9" s="47"/>
      <c r="D9" s="7"/>
      <c r="E9" s="49"/>
      <c r="F9" s="50"/>
    </row>
    <row r="10" spans="1:8" ht="24" customHeight="1">
      <c r="A10" s="37"/>
      <c r="B10" s="46" t="s">
        <v>49</v>
      </c>
      <c r="C10" s="47"/>
      <c r="D10" s="7"/>
      <c r="E10" s="49"/>
      <c r="F10" s="50"/>
    </row>
    <row r="11" spans="1:8" ht="24" customHeight="1">
      <c r="A11" s="37"/>
      <c r="B11" s="46" t="s">
        <v>50</v>
      </c>
      <c r="C11" s="47"/>
      <c r="D11" s="7"/>
      <c r="E11" s="49"/>
      <c r="F11" s="50"/>
    </row>
    <row r="12" spans="1:8" ht="24" customHeight="1">
      <c r="A12" s="37"/>
      <c r="B12" s="48" t="s">
        <v>64</v>
      </c>
      <c r="C12" s="47"/>
      <c r="D12" s="7"/>
      <c r="E12" s="49"/>
      <c r="F12" s="50"/>
    </row>
    <row r="13" spans="1:8" ht="24" customHeight="1">
      <c r="A13" s="37"/>
      <c r="B13" s="48" t="s">
        <v>65</v>
      </c>
      <c r="C13" s="47"/>
      <c r="D13" s="7"/>
      <c r="E13" s="49"/>
      <c r="F13" s="50"/>
    </row>
    <row r="14" spans="1:8" ht="24" customHeight="1">
      <c r="A14" s="37"/>
      <c r="B14" s="46" t="s">
        <v>58</v>
      </c>
      <c r="C14" s="47"/>
      <c r="D14" s="7"/>
      <c r="E14" s="49"/>
      <c r="F14" s="50"/>
    </row>
    <row r="15" spans="1:8" ht="24" customHeight="1">
      <c r="A15" s="37"/>
      <c r="B15" s="48" t="s">
        <v>20</v>
      </c>
      <c r="C15" s="47"/>
      <c r="D15" s="7"/>
      <c r="E15" s="49"/>
      <c r="F15" s="50"/>
    </row>
    <row r="16" spans="1:8" ht="24" customHeight="1">
      <c r="A16" s="37"/>
      <c r="B16" s="48" t="s">
        <v>21</v>
      </c>
      <c r="C16" s="47"/>
      <c r="D16" s="7"/>
      <c r="E16" s="49"/>
      <c r="F16" s="50"/>
    </row>
    <row r="17" spans="1:8" ht="24" customHeight="1">
      <c r="A17" s="37" t="s">
        <v>42</v>
      </c>
      <c r="B17" s="19"/>
      <c r="C17" s="19"/>
      <c r="D17" s="19"/>
    </row>
    <row r="18" spans="1:8" ht="24" customHeight="1">
      <c r="A18" s="26"/>
      <c r="B18" s="31"/>
      <c r="C18" s="31"/>
      <c r="D18" s="31"/>
      <c r="E18" s="31"/>
    </row>
    <row r="19" spans="1:8" ht="24" customHeight="1"/>
    <row r="20" spans="1:8" ht="24" customHeight="1"/>
    <row r="21" spans="1:8" ht="24" customHeight="1"/>
    <row r="22" spans="1:8" s="8" customFormat="1" ht="24" customHeight="1">
      <c r="A22" s="37" t="s">
        <v>46</v>
      </c>
      <c r="H22" s="28" t="s">
        <v>6</v>
      </c>
    </row>
    <row r="23" spans="1:8" ht="24" customHeight="1">
      <c r="A23" s="13" t="s">
        <v>100</v>
      </c>
    </row>
    <row r="24" spans="1:8" ht="24" customHeight="1">
      <c r="A24" s="14" t="s">
        <v>11</v>
      </c>
    </row>
    <row r="25" spans="1:8" ht="46.5" customHeight="1">
      <c r="A25" s="27" t="s">
        <v>43</v>
      </c>
      <c r="B25" s="10" t="s">
        <v>44</v>
      </c>
      <c r="C25" s="11"/>
      <c r="D25" s="11"/>
      <c r="E25" s="11" t="s">
        <v>45</v>
      </c>
      <c r="F25" s="11" t="s">
        <v>67</v>
      </c>
      <c r="G25" s="11" t="s">
        <v>47</v>
      </c>
      <c r="H25" s="11" t="s">
        <v>51</v>
      </c>
    </row>
    <row r="26" spans="1:8" ht="24" customHeight="1">
      <c r="A26" s="6"/>
      <c r="B26" s="15"/>
      <c r="C26" s="16"/>
      <c r="D26" s="16"/>
      <c r="E26" s="16"/>
      <c r="F26" s="16"/>
      <c r="G26" s="16"/>
      <c r="H26" s="16"/>
    </row>
    <row r="27" spans="1:8" ht="24" customHeight="1">
      <c r="A27" s="6"/>
      <c r="B27" s="15"/>
      <c r="C27" s="16"/>
      <c r="D27" s="16"/>
      <c r="E27" s="16"/>
      <c r="F27" s="16"/>
      <c r="G27" s="16"/>
      <c r="H27" s="16"/>
    </row>
    <row r="28" spans="1:8" ht="24" customHeight="1">
      <c r="A28" s="38"/>
      <c r="B28" s="16"/>
      <c r="C28" s="16"/>
      <c r="D28" s="16"/>
      <c r="E28" s="16"/>
      <c r="F28" s="16"/>
      <c r="G28" s="16"/>
      <c r="H28" s="16"/>
    </row>
    <row r="29" spans="1:8" ht="24" customHeight="1">
      <c r="A29" s="38"/>
      <c r="B29" s="16"/>
      <c r="C29" s="16"/>
      <c r="D29" s="16"/>
      <c r="E29" s="16"/>
      <c r="F29" s="16"/>
      <c r="G29" s="16"/>
      <c r="H29" s="16"/>
    </row>
    <row r="30" spans="1:8" ht="24" customHeight="1">
      <c r="A30" s="18"/>
      <c r="B30" s="23"/>
      <c r="C30" s="24"/>
      <c r="D30" s="23"/>
      <c r="E30" s="23"/>
      <c r="F30" s="23"/>
      <c r="G30" s="23"/>
      <c r="H30" s="23"/>
    </row>
    <row r="31" spans="1:8" ht="24" customHeight="1">
      <c r="A31" s="6"/>
      <c r="B31" s="6"/>
      <c r="C31" s="6"/>
      <c r="D31" s="6"/>
      <c r="E31" s="6"/>
      <c r="F31" s="6"/>
      <c r="G31" s="6"/>
      <c r="H31" s="6"/>
    </row>
    <row r="32" spans="1:8" ht="24" customHeight="1">
      <c r="A32" s="6"/>
      <c r="B32" s="15"/>
      <c r="C32" s="6"/>
      <c r="D32" s="6"/>
      <c r="E32" s="6"/>
      <c r="F32" s="6"/>
      <c r="G32" s="6"/>
      <c r="H32" s="6"/>
    </row>
    <row r="33" spans="1:8" ht="24" customHeight="1">
      <c r="A33" s="6"/>
      <c r="B33" s="15"/>
      <c r="C33" s="6"/>
      <c r="D33" s="6"/>
      <c r="E33" s="6"/>
      <c r="F33" s="6"/>
      <c r="G33" s="6"/>
      <c r="H33" s="6"/>
    </row>
    <row r="34" spans="1:8" ht="24" customHeight="1">
      <c r="A34" s="6"/>
      <c r="B34" s="15"/>
      <c r="C34" s="6"/>
      <c r="D34" s="6"/>
      <c r="E34" s="6"/>
      <c r="F34" s="6"/>
      <c r="G34" s="6"/>
      <c r="H34" s="6"/>
    </row>
    <row r="35" spans="1:8" ht="24" customHeight="1">
      <c r="A35" s="18"/>
      <c r="B35" s="15"/>
      <c r="C35" s="9"/>
      <c r="D35" s="6"/>
      <c r="E35" s="6"/>
      <c r="F35" s="6"/>
      <c r="G35" s="6"/>
      <c r="H35" s="6"/>
    </row>
    <row r="36" spans="1:8" ht="24" customHeight="1">
      <c r="A36" s="6"/>
      <c r="B36" s="15"/>
      <c r="C36" s="6"/>
      <c r="D36" s="6"/>
      <c r="E36" s="6"/>
      <c r="F36" s="6"/>
      <c r="G36" s="6"/>
      <c r="H36" s="6"/>
    </row>
    <row r="37" spans="1:8" ht="24" customHeight="1">
      <c r="A37" s="6"/>
      <c r="B37" s="6"/>
      <c r="C37" s="6"/>
      <c r="D37" s="6"/>
      <c r="E37" s="6"/>
      <c r="F37" s="6"/>
      <c r="G37" s="6"/>
      <c r="H37" s="6"/>
    </row>
    <row r="38" spans="1:8" ht="24" customHeight="1">
      <c r="A38" s="6"/>
      <c r="B38" s="6"/>
      <c r="C38" s="6"/>
      <c r="D38" s="6"/>
      <c r="E38" s="6"/>
      <c r="F38" s="6"/>
      <c r="G38" s="6"/>
      <c r="H38" s="6"/>
    </row>
    <row r="39" spans="1:8" ht="24" customHeight="1">
      <c r="A39" s="6"/>
      <c r="B39" s="6"/>
      <c r="C39" s="6"/>
      <c r="D39" s="6"/>
      <c r="E39" s="6"/>
      <c r="F39" s="6"/>
      <c r="G39" s="6"/>
      <c r="H39" s="6"/>
    </row>
    <row r="40" spans="1:8" ht="24" customHeight="1">
      <c r="A40" s="6"/>
      <c r="B40" s="6"/>
      <c r="C40" s="6"/>
      <c r="D40" s="6"/>
      <c r="E40" s="6"/>
      <c r="F40" s="6"/>
      <c r="G40" s="6"/>
      <c r="H40" s="6"/>
    </row>
    <row r="41" spans="1:8" ht="24" customHeight="1">
      <c r="A41" s="18"/>
      <c r="B41" s="6"/>
      <c r="C41" s="9"/>
      <c r="D41" s="6"/>
      <c r="E41" s="6"/>
      <c r="F41" s="6"/>
      <c r="G41" s="6"/>
      <c r="H41" s="6"/>
    </row>
    <row r="42" spans="1:8" ht="24" customHeight="1">
      <c r="A42" s="61" t="s">
        <v>66</v>
      </c>
      <c r="B42" s="62"/>
      <c r="C42" s="62"/>
      <c r="D42" s="63"/>
      <c r="E42" s="16"/>
      <c r="F42" s="9">
        <f>SUM(F26:F41)</f>
        <v>0</v>
      </c>
      <c r="G42" s="16"/>
      <c r="H42" s="16"/>
    </row>
    <row r="43" spans="1:8" ht="24" customHeight="1"/>
    <row r="44" spans="1:8" s="8" customFormat="1" ht="24" customHeight="1">
      <c r="A44" s="12" t="s">
        <v>12</v>
      </c>
      <c r="B44" s="2"/>
      <c r="C44" s="2"/>
      <c r="D44" s="2"/>
    </row>
    <row r="45" spans="1:8" s="8" customFormat="1" ht="24" customHeight="1">
      <c r="A45" s="2"/>
      <c r="B45" s="2"/>
      <c r="C45" s="2"/>
      <c r="D45" s="2"/>
    </row>
    <row r="46" spans="1:8" s="8" customFormat="1" ht="24" customHeight="1">
      <c r="A46" s="2"/>
      <c r="B46" s="2"/>
      <c r="C46" s="2"/>
      <c r="D46" s="2"/>
    </row>
    <row r="47" spans="1:8" s="8" customFormat="1" ht="24" customHeight="1">
      <c r="A47" s="2"/>
      <c r="B47" s="2"/>
      <c r="C47" s="2"/>
      <c r="D47" s="2"/>
    </row>
    <row r="48" spans="1:8" s="8" customFormat="1" ht="24" customHeight="1">
      <c r="A48" s="2"/>
      <c r="B48" s="2"/>
      <c r="C48" s="2"/>
      <c r="D48" s="2"/>
    </row>
    <row r="49" spans="1:6" ht="24" customHeight="1">
      <c r="A49" s="37" t="s">
        <v>13</v>
      </c>
      <c r="E49" s="28"/>
    </row>
    <row r="50" spans="1:6" s="2" customFormat="1" ht="24" customHeight="1">
      <c r="A50" s="51"/>
      <c r="B50" s="12" t="s">
        <v>68</v>
      </c>
      <c r="C50" s="20" t="e">
        <f>F42/D16</f>
        <v>#DIV/0!</v>
      </c>
      <c r="E50" s="52" t="s">
        <v>70</v>
      </c>
    </row>
    <row r="51" spans="1:6" s="2" customFormat="1" ht="24" customHeight="1"/>
    <row r="52" spans="1:6" ht="24" customHeight="1">
      <c r="A52" s="12" t="s">
        <v>16</v>
      </c>
    </row>
    <row r="53" spans="1:6" ht="24" customHeight="1"/>
    <row r="54" spans="1:6" ht="24" customHeight="1"/>
    <row r="55" spans="1:6" ht="24" customHeight="1"/>
    <row r="56" spans="1:6" ht="24" customHeight="1">
      <c r="A56" s="37" t="s">
        <v>17</v>
      </c>
      <c r="F56" s="28" t="s">
        <v>78</v>
      </c>
    </row>
    <row r="57" spans="1:6" ht="24" customHeight="1">
      <c r="A57" s="37" t="s">
        <v>71</v>
      </c>
      <c r="B57" s="2"/>
      <c r="C57" s="2"/>
      <c r="D57" s="2" t="e">
        <f>IF(C50&gt;=D14,"否","是")</f>
        <v>#DIV/0!</v>
      </c>
      <c r="E57" s="2"/>
    </row>
    <row r="58" spans="1:6" ht="24" customHeight="1">
      <c r="A58" s="2"/>
      <c r="B58" s="2"/>
      <c r="C58" s="2"/>
      <c r="D58" s="2"/>
      <c r="E58" s="2"/>
    </row>
    <row r="59" spans="1:6" ht="24" customHeight="1">
      <c r="A59" s="12" t="s">
        <v>72</v>
      </c>
      <c r="B59" s="2"/>
      <c r="C59" s="2"/>
      <c r="D59" s="2"/>
      <c r="E59" s="2"/>
    </row>
    <row r="60" spans="1:6" ht="24" customHeight="1">
      <c r="A60" s="2" t="s">
        <v>73</v>
      </c>
      <c r="B60" s="2"/>
      <c r="C60" s="2"/>
      <c r="D60" s="2" t="e">
        <f>D57</f>
        <v>#DIV/0!</v>
      </c>
      <c r="E60" s="2"/>
    </row>
    <row r="61" spans="1:6" ht="24" customHeight="1">
      <c r="A61" s="2" t="s">
        <v>74</v>
      </c>
      <c r="B61" s="2"/>
      <c r="C61" s="2"/>
      <c r="D61" s="2"/>
      <c r="E61" s="2"/>
    </row>
    <row r="62" spans="1:6" ht="24" customHeight="1">
      <c r="A62" s="2" t="s">
        <v>75</v>
      </c>
      <c r="B62" s="2"/>
      <c r="C62" s="2"/>
      <c r="D62" s="2"/>
      <c r="E62" s="2" t="s">
        <v>76</v>
      </c>
    </row>
    <row r="63" spans="1:6" ht="24" customHeight="1">
      <c r="A63" s="2" t="s">
        <v>77</v>
      </c>
      <c r="B63" s="2"/>
      <c r="C63" s="2"/>
      <c r="D63" s="2"/>
      <c r="E63" s="2" t="s">
        <v>76</v>
      </c>
    </row>
    <row r="64" spans="1:6" ht="24" customHeight="1">
      <c r="A64" s="12" t="s">
        <v>4</v>
      </c>
      <c r="B64" s="2"/>
    </row>
    <row r="65" spans="1:4" ht="24" customHeight="1"/>
    <row r="66" spans="1:4" ht="24" customHeight="1"/>
    <row r="67" spans="1:4" ht="27.75" customHeight="1"/>
    <row r="68" spans="1:4" ht="27.75" customHeight="1"/>
    <row r="69" spans="1:4" s="2" customFormat="1" ht="24" customHeight="1">
      <c r="A69" s="12" t="s">
        <v>5</v>
      </c>
    </row>
    <row r="70" spans="1:4" s="2" customFormat="1" ht="24" customHeight="1">
      <c r="A70" s="2" t="s">
        <v>59</v>
      </c>
    </row>
    <row r="71" spans="1:4" s="2" customFormat="1" ht="24" customHeight="1">
      <c r="A71" s="2" t="s">
        <v>60</v>
      </c>
    </row>
    <row r="72" spans="1:4" s="2" customFormat="1" ht="30.75" customHeight="1">
      <c r="A72" s="42"/>
      <c r="B72" s="43" t="s">
        <v>61</v>
      </c>
      <c r="C72" s="43" t="s">
        <v>62</v>
      </c>
    </row>
    <row r="73" spans="1:4" s="2" customFormat="1" ht="24" customHeight="1">
      <c r="A73" s="12"/>
      <c r="B73" s="44" t="s">
        <v>52</v>
      </c>
      <c r="C73" s="45" t="s">
        <v>55</v>
      </c>
    </row>
    <row r="74" spans="1:4" s="2" customFormat="1" ht="24" customHeight="1">
      <c r="A74" s="12"/>
      <c r="B74" s="44" t="s">
        <v>53</v>
      </c>
      <c r="C74" s="45" t="s">
        <v>56</v>
      </c>
    </row>
    <row r="75" spans="1:4" s="2" customFormat="1" ht="24" customHeight="1">
      <c r="A75" s="12"/>
      <c r="B75" s="44" t="s">
        <v>54</v>
      </c>
      <c r="C75" s="45" t="s">
        <v>57</v>
      </c>
    </row>
    <row r="76" spans="1:4" s="2" customFormat="1" ht="24" customHeight="1" thickBot="1">
      <c r="A76" s="2" t="s">
        <v>63</v>
      </c>
    </row>
    <row r="77" spans="1:4" s="2" customFormat="1" ht="35.25" customHeight="1" thickBot="1">
      <c r="B77" s="39" t="s">
        <v>22</v>
      </c>
      <c r="C77" s="32" t="s">
        <v>23</v>
      </c>
      <c r="D77" s="32" t="s">
        <v>24</v>
      </c>
    </row>
    <row r="78" spans="1:4" s="2" customFormat="1" ht="24" customHeight="1" thickBot="1">
      <c r="B78" s="40" t="s">
        <v>25</v>
      </c>
      <c r="C78" s="33">
        <v>1</v>
      </c>
      <c r="D78" s="33">
        <v>1</v>
      </c>
    </row>
    <row r="79" spans="1:4" s="2" customFormat="1" ht="24" customHeight="1" thickBot="1">
      <c r="B79" s="40" t="s">
        <v>26</v>
      </c>
      <c r="C79" s="33">
        <v>4</v>
      </c>
      <c r="D79" s="33">
        <v>2</v>
      </c>
    </row>
    <row r="80" spans="1:4" s="2" customFormat="1" ht="24" customHeight="1" thickBot="1">
      <c r="B80" s="40" t="s">
        <v>27</v>
      </c>
      <c r="C80" s="33">
        <v>12</v>
      </c>
      <c r="D80" s="34" t="s">
        <v>28</v>
      </c>
    </row>
    <row r="81" spans="1:8" s="2" customFormat="1" ht="24" customHeight="1" thickBot="1">
      <c r="B81" s="40" t="s">
        <v>29</v>
      </c>
      <c r="C81" s="33">
        <v>52</v>
      </c>
      <c r="D81" s="34" t="s">
        <v>30</v>
      </c>
    </row>
    <row r="82" spans="1:8" s="2" customFormat="1" ht="24" customHeight="1" thickBot="1">
      <c r="B82" s="40" t="s">
        <v>31</v>
      </c>
      <c r="C82" s="33">
        <v>250</v>
      </c>
      <c r="D82" s="33" t="s">
        <v>32</v>
      </c>
    </row>
    <row r="83" spans="1:8" s="2" customFormat="1" ht="24" customHeight="1" thickBot="1">
      <c r="B83" s="40" t="s">
        <v>33</v>
      </c>
      <c r="C83" s="35" t="s">
        <v>34</v>
      </c>
      <c r="D83" s="33" t="s">
        <v>35</v>
      </c>
    </row>
    <row r="84" spans="1:8" s="2" customFormat="1" ht="24" customHeight="1">
      <c r="A84" s="2" t="s">
        <v>36</v>
      </c>
    </row>
    <row r="85" spans="1:8" s="2" customFormat="1" ht="24" customHeight="1">
      <c r="A85" s="2" t="s">
        <v>37</v>
      </c>
    </row>
    <row r="86" spans="1:8" s="2" customFormat="1" ht="24" customHeight="1">
      <c r="A86" s="2" t="s">
        <v>38</v>
      </c>
    </row>
    <row r="87" spans="1:8" s="2" customFormat="1" ht="24" customHeight="1">
      <c r="A87" s="2" t="s">
        <v>39</v>
      </c>
    </row>
    <row r="88" spans="1:8" ht="20.25" customHeight="1">
      <c r="A88" s="2" t="s">
        <v>40</v>
      </c>
      <c r="B88" s="36"/>
      <c r="C88" s="36"/>
      <c r="D88" s="36"/>
      <c r="E88" s="36"/>
      <c r="F88" s="36"/>
      <c r="G88" s="36"/>
      <c r="H88" s="36"/>
    </row>
    <row r="89" spans="1:8" ht="26.25" customHeight="1">
      <c r="A89" s="2" t="s">
        <v>41</v>
      </c>
      <c r="B89" s="2"/>
      <c r="C89" s="2"/>
      <c r="D89" s="2"/>
      <c r="E89" s="2"/>
      <c r="F89" s="2"/>
      <c r="G89" s="2"/>
      <c r="H89" s="2"/>
    </row>
    <row r="90" spans="1:8" ht="26.25" customHeight="1">
      <c r="A90" s="41" t="s">
        <v>69</v>
      </c>
      <c r="B90" s="2"/>
      <c r="C90" s="2"/>
      <c r="D90" s="2"/>
      <c r="E90" s="2"/>
      <c r="F90" s="2"/>
      <c r="G90" s="2"/>
      <c r="H90" s="2"/>
    </row>
    <row r="91" spans="1:8" ht="26.25" customHeight="1">
      <c r="A91" s="2" t="s">
        <v>79</v>
      </c>
      <c r="B91" s="2"/>
      <c r="C91" s="2"/>
      <c r="D91" s="2"/>
      <c r="E91" s="2"/>
      <c r="F91" s="2"/>
      <c r="G91" s="2"/>
      <c r="H91" s="2"/>
    </row>
    <row r="92" spans="1:8" ht="26.25" customHeight="1">
      <c r="A92" s="2" t="s">
        <v>80</v>
      </c>
      <c r="B92" s="2"/>
      <c r="C92" s="2"/>
      <c r="D92" s="2"/>
      <c r="E92" s="2"/>
      <c r="F92" s="2"/>
      <c r="G92" s="2"/>
      <c r="H92" s="2"/>
    </row>
    <row r="93" spans="1:8" ht="26.25" customHeight="1">
      <c r="A93" s="2"/>
      <c r="B93" s="2" t="s">
        <v>81</v>
      </c>
      <c r="C93" s="2"/>
      <c r="D93" s="2"/>
      <c r="E93" s="2"/>
      <c r="F93" s="2"/>
      <c r="G93" s="2"/>
      <c r="H93" s="2"/>
    </row>
    <row r="94" spans="1:8" ht="26.25" customHeight="1">
      <c r="A94" s="2"/>
      <c r="B94" s="2" t="s">
        <v>85</v>
      </c>
      <c r="C94" s="2"/>
      <c r="D94" s="2"/>
      <c r="E94" s="2"/>
      <c r="F94" s="2"/>
      <c r="G94" s="2"/>
      <c r="H94" s="2"/>
    </row>
    <row r="95" spans="1:8" ht="26.25" customHeight="1">
      <c r="A95" s="2"/>
      <c r="B95" s="2" t="s">
        <v>82</v>
      </c>
      <c r="C95" s="2"/>
      <c r="D95" s="2"/>
      <c r="E95" s="2"/>
      <c r="F95" s="2"/>
      <c r="G95" s="2"/>
      <c r="H95" s="2"/>
    </row>
    <row r="96" spans="1:8" ht="26.25" customHeight="1">
      <c r="A96" s="2"/>
      <c r="B96" s="2" t="s">
        <v>84</v>
      </c>
      <c r="C96" s="2"/>
      <c r="D96" s="2"/>
      <c r="E96" s="2"/>
      <c r="F96" s="2"/>
      <c r="G96" s="2"/>
      <c r="H96" s="2"/>
    </row>
    <row r="97" spans="2:2" ht="24" customHeight="1">
      <c r="B97" s="2" t="s">
        <v>86</v>
      </c>
    </row>
    <row r="98" spans="2:2" ht="24" customHeight="1">
      <c r="B98" s="2"/>
    </row>
    <row r="99" spans="2:2" ht="24" customHeight="1">
      <c r="B99" s="2" t="s">
        <v>83</v>
      </c>
    </row>
    <row r="100" spans="2:2">
      <c r="B100" s="2"/>
    </row>
    <row r="101" spans="2:2">
      <c r="B101" s="2"/>
    </row>
  </sheetData>
  <mergeCells count="3">
    <mergeCell ref="A42:D42"/>
    <mergeCell ref="A1:H1"/>
    <mergeCell ref="A2:H2"/>
  </mergeCells>
  <phoneticPr fontId="3" type="noConversion"/>
  <hyperlinks>
    <hyperlink ref="H22" location="'样本选取评价表（非统计抽样）'!A90" display="[编制说明2]"/>
    <hyperlink ref="H8" location="'样本选取评价表（非统计抽样）'!A70" display="[编制说明1]"/>
    <hyperlink ref="F56" location="'样本选取评价表（非统计抽样）'!A91" display="[编制说明3]"/>
  </hyperlinks>
  <pageMargins left="0.51181102362204722" right="0.31496062992125984" top="0.74803149606299213" bottom="0.74803149606299213" header="0.31496062992125984" footer="0.31496062992125984"/>
  <pageSetup paperSize="9" scale="70"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1:H223"/>
  <sheetViews>
    <sheetView zoomScale="91" zoomScaleNormal="91" workbookViewId="0">
      <selection sqref="A1:F1"/>
    </sheetView>
  </sheetViews>
  <sheetFormatPr defaultRowHeight="14.25"/>
  <cols>
    <col min="1" max="1" width="6.25" customWidth="1"/>
    <col min="2" max="2" width="21.125" customWidth="1"/>
    <col min="3" max="3" width="12.875" customWidth="1"/>
    <col min="4" max="4" width="20.5" customWidth="1"/>
    <col min="5" max="5" width="18.625" customWidth="1"/>
    <col min="6" max="6" width="13.5" customWidth="1"/>
  </cols>
  <sheetData>
    <row r="1" spans="1:6" ht="30" customHeight="1">
      <c r="A1" s="64" t="s">
        <v>119</v>
      </c>
      <c r="B1" s="64"/>
      <c r="C1" s="64"/>
      <c r="D1" s="64"/>
      <c r="E1" s="64"/>
      <c r="F1" s="64"/>
    </row>
    <row r="2" spans="1:6" ht="30" customHeight="1">
      <c r="A2" s="64" t="s">
        <v>9</v>
      </c>
      <c r="B2" s="64"/>
      <c r="C2" s="64"/>
      <c r="D2" s="64"/>
      <c r="E2" s="64"/>
      <c r="F2" s="64"/>
    </row>
    <row r="3" spans="1:6" ht="24" customHeight="1">
      <c r="A3" s="26" t="str">
        <f>'[1]表头（请先填写）'!A2</f>
        <v>客户名称：</v>
      </c>
      <c r="C3" s="1" t="str">
        <f>'[1]表头（请先填写）'!A4</f>
        <v>编制人：</v>
      </c>
      <c r="E3" s="1" t="str">
        <f>'[1]表头（请先填写）'!A5</f>
        <v>日期：</v>
      </c>
      <c r="F3" s="1" t="s">
        <v>18</v>
      </c>
    </row>
    <row r="4" spans="1:6" ht="24" customHeight="1">
      <c r="A4" s="26" t="str">
        <f>'[1]表头（请先填写）'!A3</f>
        <v>截止日：2011年12月31日</v>
      </c>
      <c r="C4" s="1" t="s">
        <v>0</v>
      </c>
      <c r="E4" s="1" t="s">
        <v>1</v>
      </c>
      <c r="F4" s="1" t="s">
        <v>2</v>
      </c>
    </row>
    <row r="5" spans="1:6" ht="24" customHeight="1">
      <c r="A5" s="37" t="s">
        <v>14</v>
      </c>
      <c r="C5" s="1"/>
      <c r="D5" s="1"/>
      <c r="E5" s="1"/>
    </row>
    <row r="6" spans="1:6" ht="24" customHeight="1">
      <c r="A6" s="71" t="s">
        <v>19</v>
      </c>
      <c r="B6" s="71"/>
      <c r="C6" s="71"/>
      <c r="D6" s="71"/>
      <c r="E6" s="71"/>
    </row>
    <row r="7" spans="1:6" ht="24" customHeight="1">
      <c r="A7" s="37" t="s">
        <v>15</v>
      </c>
      <c r="C7" s="1"/>
      <c r="D7" s="1"/>
      <c r="E7" s="1"/>
    </row>
    <row r="8" spans="1:6" ht="24" customHeight="1">
      <c r="A8" s="37" t="s">
        <v>10</v>
      </c>
      <c r="B8" s="1"/>
      <c r="C8" s="1"/>
      <c r="D8" s="2"/>
      <c r="E8" s="3" t="s">
        <v>3</v>
      </c>
    </row>
    <row r="9" spans="1:6" s="5" customFormat="1" ht="24" customHeight="1">
      <c r="A9" s="4"/>
      <c r="B9" s="46" t="s">
        <v>48</v>
      </c>
      <c r="C9" s="47"/>
      <c r="D9" s="7"/>
      <c r="E9" s="49"/>
      <c r="F9" s="50"/>
    </row>
    <row r="10" spans="1:6" s="8" customFormat="1" ht="24" customHeight="1">
      <c r="A10" s="25"/>
      <c r="B10" s="46" t="s">
        <v>49</v>
      </c>
      <c r="C10" s="47"/>
      <c r="D10" s="7"/>
      <c r="E10" s="49"/>
      <c r="F10" s="50"/>
    </row>
    <row r="11" spans="1:6" s="8" customFormat="1" ht="24" customHeight="1">
      <c r="A11" s="6"/>
      <c r="B11" s="46" t="s">
        <v>50</v>
      </c>
      <c r="C11" s="47"/>
      <c r="D11" s="7"/>
      <c r="E11" s="49"/>
      <c r="F11" s="50"/>
    </row>
    <row r="12" spans="1:6" s="8" customFormat="1" ht="24" customHeight="1">
      <c r="A12" s="6"/>
      <c r="B12" s="48" t="s">
        <v>64</v>
      </c>
      <c r="C12" s="47"/>
      <c r="D12" s="7"/>
      <c r="E12" s="49"/>
      <c r="F12" s="50"/>
    </row>
    <row r="13" spans="1:6" s="8" customFormat="1" ht="24" customHeight="1">
      <c r="A13" s="6"/>
      <c r="B13" s="48" t="s">
        <v>65</v>
      </c>
      <c r="C13" s="47"/>
      <c r="D13" s="7"/>
      <c r="E13" s="49"/>
      <c r="F13" s="50"/>
    </row>
    <row r="14" spans="1:6" s="8" customFormat="1" ht="24" customHeight="1">
      <c r="A14" s="25"/>
      <c r="B14" s="46" t="s">
        <v>58</v>
      </c>
      <c r="C14" s="47"/>
      <c r="D14" s="7">
        <v>0</v>
      </c>
      <c r="E14" s="49"/>
      <c r="F14" s="50"/>
    </row>
    <row r="15" spans="1:6" s="8" customFormat="1" ht="24" customHeight="1">
      <c r="A15" s="25"/>
      <c r="B15" s="46" t="s">
        <v>87</v>
      </c>
      <c r="C15" s="47"/>
      <c r="D15" s="7"/>
      <c r="E15" s="49"/>
      <c r="F15" s="50"/>
    </row>
    <row r="16" spans="1:6" s="8" customFormat="1" ht="24" customHeight="1">
      <c r="A16" s="25"/>
      <c r="B16" s="46" t="s">
        <v>88</v>
      </c>
      <c r="C16" s="47"/>
      <c r="D16" s="7"/>
      <c r="E16" s="49"/>
      <c r="F16" s="50"/>
    </row>
    <row r="17" spans="1:8" s="8" customFormat="1" ht="24" customHeight="1">
      <c r="A17" s="6"/>
      <c r="B17" s="48" t="s">
        <v>20</v>
      </c>
      <c r="C17" s="47"/>
      <c r="D17" s="7"/>
      <c r="E17" s="49"/>
      <c r="F17" s="50"/>
    </row>
    <row r="18" spans="1:8" s="8" customFormat="1" ht="24" customHeight="1">
      <c r="A18" s="6"/>
      <c r="B18" s="48" t="s">
        <v>21</v>
      </c>
      <c r="C18" s="47"/>
      <c r="D18" s="7"/>
      <c r="E18" s="49"/>
      <c r="F18" s="50"/>
    </row>
    <row r="19" spans="1:8" ht="21" customHeight="1">
      <c r="A19" s="13" t="s">
        <v>118</v>
      </c>
    </row>
    <row r="20" spans="1:8" ht="24" customHeight="1">
      <c r="A20" s="37" t="s">
        <v>42</v>
      </c>
      <c r="B20" s="19"/>
      <c r="C20" s="19"/>
      <c r="D20" s="19"/>
    </row>
    <row r="21" spans="1:8" ht="24" customHeight="1">
      <c r="A21" s="72"/>
      <c r="B21" s="72"/>
      <c r="C21" s="72"/>
      <c r="D21" s="72"/>
      <c r="E21" s="72"/>
    </row>
    <row r="22" spans="1:8" ht="24" customHeight="1"/>
    <row r="23" spans="1:8" ht="24" customHeight="1"/>
    <row r="24" spans="1:8" ht="24" customHeight="1"/>
    <row r="25" spans="1:8" s="8" customFormat="1" ht="24" customHeight="1">
      <c r="A25" s="37" t="s">
        <v>46</v>
      </c>
      <c r="H25" s="28" t="s">
        <v>6</v>
      </c>
    </row>
    <row r="26" spans="1:8" ht="29.25" customHeight="1">
      <c r="A26" s="13" t="s">
        <v>100</v>
      </c>
    </row>
    <row r="27" spans="1:8" ht="24" customHeight="1">
      <c r="A27" s="14" t="s">
        <v>11</v>
      </c>
    </row>
    <row r="28" spans="1:8" ht="24" customHeight="1">
      <c r="A28" s="27" t="s">
        <v>43</v>
      </c>
      <c r="B28" s="10" t="s">
        <v>44</v>
      </c>
      <c r="C28" s="11"/>
      <c r="D28" s="11"/>
      <c r="E28" s="11" t="s">
        <v>45</v>
      </c>
      <c r="F28" s="11" t="s">
        <v>67</v>
      </c>
      <c r="G28" s="11" t="s">
        <v>47</v>
      </c>
      <c r="H28" s="11" t="s">
        <v>51</v>
      </c>
    </row>
    <row r="29" spans="1:8" ht="24" customHeight="1">
      <c r="A29" s="6"/>
      <c r="B29" s="15"/>
      <c r="C29" s="16"/>
      <c r="D29" s="16"/>
      <c r="E29" s="16"/>
      <c r="F29" s="16"/>
      <c r="G29" s="16"/>
      <c r="H29" s="16"/>
    </row>
    <row r="30" spans="1:8" ht="24" customHeight="1">
      <c r="A30" s="6"/>
      <c r="B30" s="15"/>
      <c r="C30" s="16"/>
      <c r="D30" s="16"/>
      <c r="E30" s="16"/>
      <c r="F30" s="16"/>
      <c r="G30" s="16"/>
      <c r="H30" s="16"/>
    </row>
    <row r="31" spans="1:8" ht="24" customHeight="1">
      <c r="A31" s="38"/>
      <c r="B31" s="16"/>
      <c r="C31" s="16"/>
      <c r="D31" s="16"/>
      <c r="E31" s="16"/>
      <c r="F31" s="16"/>
      <c r="G31" s="16"/>
      <c r="H31" s="16"/>
    </row>
    <row r="32" spans="1:8" ht="24" customHeight="1">
      <c r="A32" s="38"/>
      <c r="B32" s="16"/>
      <c r="C32" s="16"/>
      <c r="D32" s="16"/>
      <c r="E32" s="16"/>
      <c r="F32" s="16"/>
      <c r="G32" s="16"/>
      <c r="H32" s="16"/>
    </row>
    <row r="33" spans="1:8" ht="24" customHeight="1">
      <c r="A33" s="18"/>
      <c r="B33" s="23"/>
      <c r="C33" s="24"/>
      <c r="D33" s="23"/>
      <c r="E33" s="23"/>
      <c r="F33" s="23"/>
      <c r="G33" s="23"/>
      <c r="H33" s="23"/>
    </row>
    <row r="34" spans="1:8" ht="24" customHeight="1">
      <c r="A34" s="6"/>
      <c r="B34" s="6"/>
      <c r="C34" s="6"/>
      <c r="D34" s="6"/>
      <c r="E34" s="6"/>
      <c r="F34" s="6"/>
      <c r="G34" s="6"/>
      <c r="H34" s="6"/>
    </row>
    <row r="35" spans="1:8" ht="24" customHeight="1">
      <c r="A35" s="6"/>
      <c r="B35" s="15"/>
      <c r="C35" s="6"/>
      <c r="D35" s="6"/>
      <c r="E35" s="6"/>
      <c r="F35" s="6"/>
      <c r="G35" s="6"/>
      <c r="H35" s="6"/>
    </row>
    <row r="36" spans="1:8" ht="24" customHeight="1">
      <c r="A36" s="6"/>
      <c r="B36" s="15"/>
      <c r="C36" s="6"/>
      <c r="D36" s="6"/>
      <c r="E36" s="6"/>
      <c r="F36" s="6"/>
      <c r="G36" s="6"/>
      <c r="H36" s="6"/>
    </row>
    <row r="37" spans="1:8" ht="24" customHeight="1">
      <c r="A37" s="6"/>
      <c r="B37" s="15"/>
      <c r="C37" s="6"/>
      <c r="D37" s="6"/>
      <c r="E37" s="6"/>
      <c r="F37" s="6"/>
      <c r="G37" s="6"/>
      <c r="H37" s="6"/>
    </row>
    <row r="38" spans="1:8" ht="24" customHeight="1">
      <c r="A38" s="18"/>
      <c r="B38" s="15"/>
      <c r="C38" s="9"/>
      <c r="D38" s="6"/>
      <c r="E38" s="6"/>
      <c r="F38" s="6"/>
      <c r="G38" s="6"/>
      <c r="H38" s="6"/>
    </row>
    <row r="39" spans="1:8" ht="24" customHeight="1">
      <c r="A39" s="6"/>
      <c r="B39" s="15"/>
      <c r="C39" s="6"/>
      <c r="D39" s="6"/>
      <c r="E39" s="6"/>
      <c r="F39" s="6"/>
      <c r="G39" s="6"/>
      <c r="H39" s="6"/>
    </row>
    <row r="40" spans="1:8" ht="24" customHeight="1">
      <c r="A40" s="6"/>
      <c r="B40" s="6"/>
      <c r="C40" s="6"/>
      <c r="D40" s="6"/>
      <c r="E40" s="6"/>
      <c r="F40" s="6"/>
      <c r="G40" s="6"/>
      <c r="H40" s="6"/>
    </row>
    <row r="41" spans="1:8" ht="24" customHeight="1">
      <c r="A41" s="6"/>
      <c r="B41" s="6"/>
      <c r="C41" s="6"/>
      <c r="D41" s="6"/>
      <c r="E41" s="6"/>
      <c r="F41" s="6"/>
      <c r="G41" s="6"/>
      <c r="H41" s="6"/>
    </row>
    <row r="42" spans="1:8" ht="24" customHeight="1">
      <c r="A42" s="6"/>
      <c r="B42" s="6"/>
      <c r="C42" s="6"/>
      <c r="D42" s="6"/>
      <c r="E42" s="6"/>
      <c r="F42" s="6"/>
      <c r="G42" s="6"/>
      <c r="H42" s="6"/>
    </row>
    <row r="43" spans="1:8" ht="24" customHeight="1">
      <c r="A43" s="6"/>
      <c r="B43" s="6"/>
      <c r="C43" s="6"/>
      <c r="D43" s="6"/>
      <c r="E43" s="6"/>
      <c r="F43" s="6"/>
      <c r="G43" s="6"/>
      <c r="H43" s="6"/>
    </row>
    <row r="44" spans="1:8" ht="24" customHeight="1">
      <c r="A44" s="18"/>
      <c r="B44" s="6"/>
      <c r="C44" s="9"/>
      <c r="D44" s="6"/>
      <c r="E44" s="6"/>
      <c r="F44" s="6"/>
      <c r="G44" s="6"/>
      <c r="H44" s="6"/>
    </row>
    <row r="45" spans="1:8" ht="24" customHeight="1">
      <c r="A45" s="61" t="s">
        <v>66</v>
      </c>
      <c r="B45" s="62"/>
      <c r="C45" s="62"/>
      <c r="D45" s="63"/>
      <c r="E45" s="16"/>
      <c r="F45" s="9">
        <f>SUM(F29:F44)</f>
        <v>0</v>
      </c>
      <c r="G45" s="16"/>
      <c r="H45" s="16"/>
    </row>
    <row r="46" spans="1:8" ht="24" customHeight="1"/>
    <row r="47" spans="1:8" s="8" customFormat="1" ht="24" customHeight="1">
      <c r="A47" s="12" t="s">
        <v>12</v>
      </c>
      <c r="B47" s="2"/>
      <c r="C47" s="2"/>
      <c r="D47" s="2"/>
      <c r="E47" s="2"/>
      <c r="F47" s="2"/>
    </row>
    <row r="48" spans="1:8" s="8" customFormat="1" ht="24" customHeight="1">
      <c r="A48" s="2"/>
      <c r="B48" s="2"/>
      <c r="C48" s="2"/>
      <c r="D48" s="2"/>
      <c r="E48" s="2"/>
      <c r="F48" s="2"/>
    </row>
    <row r="49" spans="1:8" s="8" customFormat="1" ht="24" customHeight="1">
      <c r="A49" s="2"/>
      <c r="B49" s="2"/>
      <c r="C49" s="2"/>
      <c r="D49" s="2"/>
      <c r="E49" s="2"/>
      <c r="F49" s="2"/>
    </row>
    <row r="50" spans="1:8" s="8" customFormat="1" ht="24" customHeight="1">
      <c r="A50" s="2"/>
      <c r="B50" s="2"/>
      <c r="C50" s="2"/>
      <c r="D50" s="2"/>
      <c r="E50" s="2"/>
      <c r="F50" s="2"/>
    </row>
    <row r="51" spans="1:8" s="8" customFormat="1" ht="24" customHeight="1">
      <c r="A51" s="2"/>
      <c r="B51" s="2"/>
      <c r="C51" s="2"/>
      <c r="D51" s="2"/>
      <c r="E51" s="2"/>
      <c r="F51" s="2"/>
    </row>
    <row r="52" spans="1:8" s="8" customFormat="1" ht="24" customHeight="1">
      <c r="A52" s="37" t="s">
        <v>13</v>
      </c>
      <c r="B52"/>
      <c r="C52"/>
      <c r="D52"/>
      <c r="E52" s="28"/>
      <c r="F52"/>
      <c r="G52"/>
      <c r="H52"/>
    </row>
    <row r="53" spans="1:8" s="8" customFormat="1" ht="24" customHeight="1">
      <c r="A53" s="51"/>
      <c r="B53" s="12" t="s">
        <v>68</v>
      </c>
      <c r="C53" s="20" t="e">
        <f>F45/D19</f>
        <v>#DIV/0!</v>
      </c>
      <c r="D53" s="2"/>
      <c r="E53" s="52" t="s">
        <v>70</v>
      </c>
      <c r="F53" s="2"/>
      <c r="G53" s="2"/>
      <c r="H53" s="2"/>
    </row>
    <row r="54" spans="1:8" s="8" customFormat="1" ht="24" customHeight="1">
      <c r="A54" s="2"/>
      <c r="B54" s="2"/>
      <c r="C54" s="2"/>
      <c r="D54" s="2"/>
      <c r="E54" s="2"/>
      <c r="F54" s="2"/>
      <c r="G54" s="2"/>
      <c r="H54" s="2"/>
    </row>
    <row r="55" spans="1:8" s="8" customFormat="1" ht="24" customHeight="1">
      <c r="A55" s="12" t="s">
        <v>16</v>
      </c>
      <c r="B55"/>
      <c r="C55"/>
      <c r="D55"/>
      <c r="E55"/>
      <c r="F55"/>
      <c r="G55"/>
      <c r="H55"/>
    </row>
    <row r="56" spans="1:8" s="8" customFormat="1" ht="24" customHeight="1">
      <c r="A56" s="17"/>
      <c r="B56"/>
      <c r="C56"/>
      <c r="D56"/>
      <c r="E56"/>
      <c r="F56"/>
      <c r="G56"/>
      <c r="H56"/>
    </row>
    <row r="57" spans="1:8" s="8" customFormat="1" ht="24" customHeight="1">
      <c r="A57" s="17"/>
      <c r="B57"/>
      <c r="C57"/>
      <c r="D57"/>
      <c r="E57"/>
      <c r="F57"/>
      <c r="G57"/>
      <c r="H57"/>
    </row>
    <row r="58" spans="1:8" ht="24" customHeight="1">
      <c r="A58" s="17"/>
    </row>
    <row r="59" spans="1:8" ht="24" customHeight="1">
      <c r="A59" s="37" t="s">
        <v>17</v>
      </c>
      <c r="F59" s="28" t="s">
        <v>78</v>
      </c>
    </row>
    <row r="60" spans="1:8" s="22" customFormat="1" ht="30.75" customHeight="1">
      <c r="A60" s="37" t="s">
        <v>101</v>
      </c>
      <c r="B60" s="2"/>
      <c r="C60" s="2"/>
      <c r="D60" s="2"/>
      <c r="F60"/>
      <c r="G60"/>
      <c r="H60"/>
    </row>
    <row r="61" spans="1:8" s="22" customFormat="1" ht="27" customHeight="1">
      <c r="A61" s="59" t="s">
        <v>103</v>
      </c>
      <c r="B61" s="2"/>
      <c r="C61" s="2"/>
      <c r="D61" s="2"/>
      <c r="E61" s="2"/>
      <c r="F61"/>
      <c r="G61"/>
      <c r="H61"/>
    </row>
    <row r="62" spans="1:8" s="22" customFormat="1" ht="25.5" customHeight="1">
      <c r="A62" s="2" t="s">
        <v>102</v>
      </c>
      <c r="B62" s="2"/>
      <c r="C62" s="2"/>
      <c r="D62" s="2"/>
      <c r="E62" s="2"/>
      <c r="F62"/>
      <c r="G62"/>
      <c r="H62"/>
    </row>
    <row r="63" spans="1:8" s="22" customFormat="1" ht="35.25" customHeight="1">
      <c r="A63" s="2"/>
      <c r="B63" s="55" t="s">
        <v>109</v>
      </c>
      <c r="C63" s="2">
        <v>0</v>
      </c>
      <c r="D63" s="2"/>
      <c r="E63" s="2"/>
      <c r="F63"/>
      <c r="G63"/>
      <c r="H63"/>
    </row>
    <row r="64" spans="1:8" s="22" customFormat="1" ht="25.5" customHeight="1">
      <c r="A64" s="2"/>
      <c r="B64" s="2"/>
      <c r="C64" s="2"/>
      <c r="D64" s="2"/>
      <c r="E64" s="2"/>
      <c r="F64"/>
      <c r="G64"/>
      <c r="H64"/>
    </row>
    <row r="65" spans="1:8" s="22" customFormat="1" ht="25.5" customHeight="1">
      <c r="A65" s="2" t="s">
        <v>104</v>
      </c>
      <c r="B65" s="2"/>
      <c r="C65" s="2"/>
      <c r="D65" s="2"/>
      <c r="E65" s="2"/>
      <c r="F65"/>
      <c r="G65"/>
      <c r="H65"/>
    </row>
    <row r="66" spans="1:8" s="22" customFormat="1" ht="25.5" customHeight="1">
      <c r="A66" s="2"/>
      <c r="B66" s="12" t="s">
        <v>108</v>
      </c>
      <c r="C66" s="2">
        <v>0</v>
      </c>
      <c r="D66" s="2"/>
      <c r="E66" s="2"/>
      <c r="F66"/>
      <c r="G66"/>
      <c r="H66"/>
    </row>
    <row r="67" spans="1:8" s="22" customFormat="1" ht="25.5" customHeight="1">
      <c r="A67" s="2"/>
      <c r="B67" s="2"/>
      <c r="C67" s="2"/>
      <c r="D67" s="2"/>
      <c r="E67" s="2"/>
      <c r="F67"/>
      <c r="G67"/>
      <c r="H67"/>
    </row>
    <row r="68" spans="1:8" s="22" customFormat="1" ht="24" customHeight="1">
      <c r="A68" s="12" t="s">
        <v>72</v>
      </c>
      <c r="B68" s="2"/>
      <c r="C68" s="2"/>
      <c r="D68" s="2"/>
      <c r="E68" s="2"/>
      <c r="F68"/>
      <c r="G68"/>
      <c r="H68"/>
    </row>
    <row r="69" spans="1:8" s="22" customFormat="1" ht="24" customHeight="1">
      <c r="A69" s="2" t="s">
        <v>73</v>
      </c>
      <c r="B69" s="2"/>
      <c r="C69" s="2"/>
      <c r="D69" s="2" t="str">
        <f>IF(OR(C63,C66)&gt;D14,"否","是")</f>
        <v>否</v>
      </c>
      <c r="E69" s="2"/>
      <c r="F69"/>
      <c r="G69"/>
      <c r="H69"/>
    </row>
    <row r="70" spans="1:8" s="22" customFormat="1" ht="24" customHeight="1">
      <c r="A70" s="2"/>
      <c r="B70" s="2"/>
      <c r="C70" s="2"/>
      <c r="D70" s="2"/>
      <c r="E70" s="2"/>
      <c r="F70"/>
      <c r="G70"/>
      <c r="H70"/>
    </row>
    <row r="71" spans="1:8" s="22" customFormat="1" ht="24" customHeight="1">
      <c r="A71" s="2" t="s">
        <v>74</v>
      </c>
      <c r="B71" s="2"/>
      <c r="C71" s="2"/>
      <c r="D71" s="2"/>
      <c r="E71" s="2"/>
      <c r="F71"/>
      <c r="G71"/>
      <c r="H71"/>
    </row>
    <row r="72" spans="1:8" s="22" customFormat="1" ht="24" customHeight="1">
      <c r="A72" s="2" t="s">
        <v>75</v>
      </c>
      <c r="B72" s="2"/>
      <c r="C72" s="2"/>
      <c r="D72" s="2"/>
      <c r="E72" s="2" t="s">
        <v>76</v>
      </c>
      <c r="F72"/>
      <c r="G72"/>
      <c r="H72"/>
    </row>
    <row r="73" spans="1:8" s="22" customFormat="1" ht="24" customHeight="1">
      <c r="A73" s="2" t="s">
        <v>77</v>
      </c>
      <c r="B73" s="2"/>
      <c r="C73" s="2"/>
      <c r="D73" s="2"/>
      <c r="E73" s="2" t="s">
        <v>76</v>
      </c>
      <c r="F73"/>
      <c r="G73"/>
      <c r="H73"/>
    </row>
    <row r="74" spans="1:8" s="22" customFormat="1" ht="24" customHeight="1">
      <c r="A74" s="12" t="s">
        <v>4</v>
      </c>
      <c r="B74" s="2"/>
      <c r="C74"/>
      <c r="D74"/>
      <c r="E74"/>
      <c r="F74"/>
      <c r="G74"/>
      <c r="H74"/>
    </row>
    <row r="75" spans="1:8" s="22" customFormat="1" ht="24" customHeight="1">
      <c r="A75" s="17"/>
      <c r="B75"/>
      <c r="C75"/>
      <c r="D75"/>
      <c r="E75"/>
      <c r="F75"/>
      <c r="G75"/>
      <c r="H75"/>
    </row>
    <row r="76" spans="1:8" s="22" customFormat="1" ht="24" customHeight="1">
      <c r="A76" s="17"/>
      <c r="B76"/>
      <c r="C76"/>
      <c r="D76"/>
      <c r="E76"/>
      <c r="F76"/>
      <c r="G76"/>
      <c r="H76"/>
    </row>
    <row r="77" spans="1:8" s="22" customFormat="1" ht="24" customHeight="1">
      <c r="A77" s="17"/>
      <c r="B77"/>
      <c r="C77"/>
      <c r="D77"/>
      <c r="E77"/>
      <c r="F77"/>
      <c r="G77"/>
      <c r="H77"/>
    </row>
    <row r="78" spans="1:8" s="22" customFormat="1" ht="24" customHeight="1">
      <c r="A78" s="17"/>
      <c r="B78"/>
      <c r="C78"/>
      <c r="D78"/>
      <c r="E78"/>
      <c r="F78"/>
      <c r="G78"/>
      <c r="H78"/>
    </row>
    <row r="79" spans="1:8" ht="24" customHeight="1"/>
    <row r="80" spans="1:8" ht="24" customHeight="1"/>
    <row r="81" spans="1:5" ht="28.5" customHeight="1"/>
    <row r="82" spans="1:5" ht="28.5" customHeight="1"/>
    <row r="83" spans="1:5" s="2" customFormat="1" ht="24" customHeight="1">
      <c r="A83" s="12" t="s">
        <v>5</v>
      </c>
    </row>
    <row r="84" spans="1:5" s="2" customFormat="1" ht="24" customHeight="1">
      <c r="A84" s="2" t="s">
        <v>59</v>
      </c>
    </row>
    <row r="85" spans="1:5" s="2" customFormat="1" ht="24" customHeight="1">
      <c r="A85" s="2" t="s">
        <v>60</v>
      </c>
    </row>
    <row r="86" spans="1:5" s="2" customFormat="1" ht="24" customHeight="1">
      <c r="A86" s="42"/>
      <c r="B86" s="43" t="s">
        <v>61</v>
      </c>
      <c r="C86" s="43" t="s">
        <v>62</v>
      </c>
    </row>
    <row r="87" spans="1:5" s="2" customFormat="1" ht="24" customHeight="1">
      <c r="A87" s="12"/>
      <c r="B87" s="44" t="s">
        <v>52</v>
      </c>
      <c r="C87" s="45" t="s">
        <v>55</v>
      </c>
    </row>
    <row r="88" spans="1:5" s="2" customFormat="1" ht="24" customHeight="1">
      <c r="A88" s="12"/>
      <c r="B88" s="44" t="s">
        <v>53</v>
      </c>
      <c r="C88" s="45" t="s">
        <v>56</v>
      </c>
    </row>
    <row r="89" spans="1:5" s="2" customFormat="1" ht="24" customHeight="1">
      <c r="A89" s="12"/>
      <c r="B89" s="44" t="s">
        <v>54</v>
      </c>
      <c r="C89" s="45" t="s">
        <v>57</v>
      </c>
    </row>
    <row r="90" spans="1:5" s="2" customFormat="1" ht="24" customHeight="1">
      <c r="A90" s="2" t="s">
        <v>89</v>
      </c>
    </row>
    <row r="91" spans="1:5" s="2" customFormat="1" ht="24" customHeight="1">
      <c r="A91" s="2" t="s">
        <v>90</v>
      </c>
    </row>
    <row r="92" spans="1:5" s="2" customFormat="1" ht="24" customHeight="1">
      <c r="A92" s="2" t="s">
        <v>91</v>
      </c>
    </row>
    <row r="93" spans="1:5" s="2" customFormat="1" ht="24" customHeight="1">
      <c r="A93" s="2" t="s">
        <v>93</v>
      </c>
    </row>
    <row r="94" spans="1:5" ht="27" customHeight="1">
      <c r="A94" s="65" t="s">
        <v>94</v>
      </c>
      <c r="B94" s="66"/>
      <c r="C94" s="66"/>
      <c r="D94" s="66"/>
      <c r="E94" s="66"/>
    </row>
    <row r="95" spans="1:5" ht="27" customHeight="1">
      <c r="A95" s="29"/>
      <c r="B95" s="53"/>
      <c r="C95" s="30"/>
      <c r="D95" s="30"/>
      <c r="E95" s="30"/>
    </row>
    <row r="96" spans="1:5" ht="27" customHeight="1">
      <c r="A96" s="29"/>
      <c r="B96" s="53"/>
      <c r="C96" s="30"/>
      <c r="D96" s="30"/>
      <c r="E96" s="30"/>
    </row>
    <row r="97" spans="1:5" ht="27" customHeight="1">
      <c r="A97" s="29"/>
      <c r="B97" s="53"/>
      <c r="C97" s="30"/>
      <c r="D97" s="30"/>
      <c r="E97" s="30"/>
    </row>
    <row r="98" spans="1:5" ht="27" customHeight="1">
      <c r="A98" s="29"/>
      <c r="B98" s="30"/>
      <c r="C98" s="30"/>
      <c r="D98" s="30"/>
      <c r="E98" s="30"/>
    </row>
    <row r="99" spans="1:5" ht="27" customHeight="1">
      <c r="A99" s="29"/>
      <c r="B99" s="30"/>
      <c r="C99" s="30"/>
      <c r="D99" s="30"/>
      <c r="E99" s="30"/>
    </row>
    <row r="100" spans="1:5" ht="27" customHeight="1">
      <c r="A100" s="29"/>
      <c r="B100" s="30"/>
      <c r="C100" s="30"/>
      <c r="D100" s="30"/>
      <c r="E100" s="30"/>
    </row>
    <row r="101" spans="1:5" ht="27" customHeight="1">
      <c r="A101" s="29"/>
      <c r="B101" s="30"/>
      <c r="C101" s="30"/>
      <c r="D101" s="30"/>
      <c r="E101" s="30"/>
    </row>
    <row r="102" spans="1:5" ht="27" customHeight="1">
      <c r="A102" s="29"/>
      <c r="B102" s="30"/>
      <c r="C102" s="30"/>
      <c r="D102" s="30"/>
      <c r="E102" s="30"/>
    </row>
    <row r="103" spans="1:5" ht="27" customHeight="1">
      <c r="A103" s="29"/>
      <c r="B103" s="30"/>
      <c r="C103" s="30"/>
      <c r="D103" s="30"/>
      <c r="E103" s="30"/>
    </row>
    <row r="104" spans="1:5" ht="27" customHeight="1">
      <c r="A104" s="29"/>
      <c r="B104" s="30"/>
      <c r="C104" s="30"/>
      <c r="D104" s="30"/>
      <c r="E104" s="30"/>
    </row>
    <row r="105" spans="1:5" ht="27" customHeight="1">
      <c r="A105" s="29"/>
      <c r="B105" s="30"/>
      <c r="C105" s="30"/>
      <c r="D105" s="30"/>
      <c r="E105" s="30"/>
    </row>
    <row r="106" spans="1:5" ht="27" customHeight="1">
      <c r="A106" s="29"/>
      <c r="B106" s="30"/>
      <c r="C106" s="30"/>
      <c r="D106" s="30"/>
      <c r="E106" s="30"/>
    </row>
    <row r="107" spans="1:5" ht="27" customHeight="1">
      <c r="A107" s="29"/>
      <c r="B107" s="30"/>
      <c r="C107" s="30"/>
      <c r="D107" s="30"/>
      <c r="E107" s="30"/>
    </row>
    <row r="108" spans="1:5" ht="27" customHeight="1">
      <c r="A108" s="29"/>
      <c r="B108" s="30"/>
      <c r="C108" s="30"/>
      <c r="D108" s="30"/>
      <c r="E108" s="30"/>
    </row>
    <row r="109" spans="1:5" ht="27" customHeight="1">
      <c r="A109" s="29"/>
      <c r="B109" s="30"/>
      <c r="C109" s="30"/>
      <c r="D109" s="30"/>
      <c r="E109" s="30"/>
    </row>
    <row r="110" spans="1:5" ht="27" customHeight="1">
      <c r="A110" s="29"/>
      <c r="B110" s="30"/>
      <c r="C110" s="30"/>
      <c r="D110" s="30"/>
      <c r="E110" s="30"/>
    </row>
    <row r="111" spans="1:5" ht="27" customHeight="1">
      <c r="A111" s="65" t="s">
        <v>95</v>
      </c>
      <c r="B111" s="66" t="s">
        <v>92</v>
      </c>
      <c r="C111" s="66"/>
      <c r="D111" s="66"/>
      <c r="E111" s="66"/>
    </row>
    <row r="112" spans="1:5" ht="27" customHeight="1">
      <c r="A112" s="29"/>
      <c r="B112" s="30"/>
      <c r="C112" s="30"/>
      <c r="D112" s="30"/>
      <c r="E112" s="30"/>
    </row>
    <row r="113" spans="1:5" ht="27" customHeight="1">
      <c r="A113" s="29"/>
      <c r="B113" s="30"/>
      <c r="C113" s="30"/>
      <c r="D113" s="30"/>
      <c r="E113" s="30"/>
    </row>
    <row r="114" spans="1:5" ht="27" customHeight="1">
      <c r="A114" s="29"/>
      <c r="B114" s="30"/>
      <c r="C114" s="30"/>
      <c r="D114" s="30"/>
      <c r="E114" s="30"/>
    </row>
    <row r="115" spans="1:5" ht="27" customHeight="1">
      <c r="A115" s="29"/>
      <c r="B115" s="30"/>
      <c r="C115" s="30"/>
      <c r="D115" s="30"/>
      <c r="E115" s="30"/>
    </row>
    <row r="116" spans="1:5" ht="27" customHeight="1">
      <c r="A116" s="29"/>
      <c r="B116" s="30"/>
      <c r="C116" s="30"/>
      <c r="D116" s="30"/>
      <c r="E116" s="30"/>
    </row>
    <row r="117" spans="1:5" ht="27" customHeight="1">
      <c r="A117" s="29"/>
      <c r="B117" s="30"/>
      <c r="C117" s="30"/>
      <c r="D117" s="30"/>
      <c r="E117" s="30"/>
    </row>
    <row r="118" spans="1:5" ht="27" customHeight="1">
      <c r="A118" s="29"/>
      <c r="B118" s="30"/>
      <c r="C118" s="30"/>
      <c r="D118" s="30"/>
      <c r="E118" s="30"/>
    </row>
    <row r="119" spans="1:5" ht="27" customHeight="1">
      <c r="A119" s="29"/>
      <c r="B119" s="30"/>
      <c r="C119" s="30"/>
      <c r="D119" s="30"/>
      <c r="E119" s="30"/>
    </row>
    <row r="120" spans="1:5" ht="27" customHeight="1">
      <c r="A120" s="29"/>
      <c r="B120" s="30"/>
      <c r="C120" s="30"/>
      <c r="D120" s="30"/>
      <c r="E120" s="30"/>
    </row>
    <row r="121" spans="1:5" ht="27" customHeight="1">
      <c r="A121" s="29"/>
      <c r="B121" s="30"/>
      <c r="C121" s="30"/>
      <c r="D121" s="30"/>
      <c r="E121" s="30"/>
    </row>
    <row r="122" spans="1:5" ht="27" customHeight="1">
      <c r="A122" s="29"/>
      <c r="B122" s="30"/>
      <c r="C122" s="30"/>
      <c r="D122" s="30"/>
      <c r="E122" s="30"/>
    </row>
    <row r="123" spans="1:5" ht="27" customHeight="1">
      <c r="A123" s="29"/>
      <c r="B123" s="30"/>
      <c r="C123" s="30"/>
      <c r="D123" s="30"/>
      <c r="E123" s="30"/>
    </row>
    <row r="124" spans="1:5" ht="27" customHeight="1">
      <c r="A124" s="29"/>
      <c r="B124" s="30"/>
      <c r="C124" s="30"/>
      <c r="D124" s="30"/>
      <c r="E124" s="30"/>
    </row>
    <row r="125" spans="1:5" ht="27" customHeight="1">
      <c r="A125" s="29"/>
      <c r="B125" s="30"/>
      <c r="C125" s="30"/>
      <c r="D125" s="30"/>
      <c r="E125" s="30"/>
    </row>
    <row r="126" spans="1:5" ht="27" customHeight="1">
      <c r="A126" s="29"/>
      <c r="B126" s="30"/>
      <c r="C126" s="30"/>
      <c r="D126" s="30"/>
      <c r="E126" s="30"/>
    </row>
    <row r="127" spans="1:5" ht="27" customHeight="1">
      <c r="A127" s="29"/>
      <c r="B127" s="30"/>
      <c r="C127" s="30"/>
      <c r="D127" s="30"/>
      <c r="E127" s="30"/>
    </row>
    <row r="128" spans="1:5" ht="27" customHeight="1">
      <c r="A128" s="54" t="s">
        <v>96</v>
      </c>
      <c r="B128" s="30" t="s">
        <v>97</v>
      </c>
      <c r="C128" s="30"/>
      <c r="D128" s="30"/>
      <c r="E128" s="30"/>
    </row>
    <row r="129" spans="1:5" ht="27" customHeight="1">
      <c r="A129" s="29"/>
      <c r="C129" s="30"/>
      <c r="D129" s="30"/>
      <c r="E129" s="30"/>
    </row>
    <row r="130" spans="1:5" ht="27" customHeight="1">
      <c r="A130" s="29"/>
      <c r="B130" s="30"/>
      <c r="C130" s="55"/>
      <c r="D130" s="30"/>
      <c r="E130" s="30"/>
    </row>
    <row r="131" spans="1:5" ht="27" customHeight="1">
      <c r="A131" s="29"/>
      <c r="B131" s="30"/>
      <c r="C131" s="30"/>
      <c r="D131" s="30"/>
      <c r="E131" s="30"/>
    </row>
    <row r="132" spans="1:5" ht="27" customHeight="1" thickBot="1">
      <c r="A132" s="29"/>
      <c r="B132" s="37" t="s">
        <v>110</v>
      </c>
      <c r="C132" s="30"/>
      <c r="D132" s="30"/>
      <c r="E132" s="30"/>
    </row>
    <row r="133" spans="1:5" ht="24.75" customHeight="1" thickBot="1">
      <c r="A133" s="29"/>
      <c r="B133" s="67" t="s">
        <v>98</v>
      </c>
      <c r="C133" s="69" t="s">
        <v>99</v>
      </c>
      <c r="D133" s="70"/>
      <c r="E133" s="30"/>
    </row>
    <row r="134" spans="1:5" ht="19.5" customHeight="1" thickBot="1">
      <c r="A134" s="29"/>
      <c r="B134" s="68"/>
      <c r="C134" s="56">
        <v>0.05</v>
      </c>
      <c r="D134" s="56">
        <v>0.1</v>
      </c>
      <c r="E134" s="30"/>
    </row>
    <row r="135" spans="1:5" ht="21.75" customHeight="1" thickBot="1">
      <c r="A135" s="29"/>
      <c r="B135" s="57">
        <v>0</v>
      </c>
      <c r="C135" s="58">
        <v>3</v>
      </c>
      <c r="D135" s="58">
        <v>2.2999999999999998</v>
      </c>
      <c r="E135" s="30"/>
    </row>
    <row r="136" spans="1:5" ht="21.75" customHeight="1" thickBot="1">
      <c r="A136" s="29"/>
      <c r="B136" s="57">
        <v>1</v>
      </c>
      <c r="C136" s="58">
        <v>4.8</v>
      </c>
      <c r="D136" s="58">
        <v>3.9</v>
      </c>
      <c r="E136" s="30"/>
    </row>
    <row r="137" spans="1:5" ht="21.75" customHeight="1" thickBot="1">
      <c r="A137" s="29"/>
      <c r="B137" s="57">
        <v>2</v>
      </c>
      <c r="C137" s="58">
        <v>6.3</v>
      </c>
      <c r="D137" s="58">
        <v>5.3</v>
      </c>
      <c r="E137" s="30"/>
    </row>
    <row r="138" spans="1:5" ht="21.75" customHeight="1" thickBot="1">
      <c r="A138" s="29"/>
      <c r="B138" s="57">
        <v>3</v>
      </c>
      <c r="C138" s="58">
        <v>7.8</v>
      </c>
      <c r="D138" s="58">
        <v>6.7</v>
      </c>
      <c r="E138" s="30"/>
    </row>
    <row r="139" spans="1:5" ht="21.75" customHeight="1" thickBot="1">
      <c r="A139" s="29"/>
      <c r="B139" s="57">
        <v>4</v>
      </c>
      <c r="C139" s="58">
        <v>9.1999999999999993</v>
      </c>
      <c r="D139" s="58">
        <v>8</v>
      </c>
      <c r="E139" s="30"/>
    </row>
    <row r="140" spans="1:5" ht="21.75" customHeight="1" thickBot="1">
      <c r="A140" s="29"/>
      <c r="B140" s="57">
        <v>5</v>
      </c>
      <c r="C140" s="58">
        <v>10.5</v>
      </c>
      <c r="D140" s="58">
        <v>9.3000000000000007</v>
      </c>
      <c r="E140" s="30"/>
    </row>
    <row r="141" spans="1:5" ht="21.75" customHeight="1" thickBot="1">
      <c r="A141" s="29"/>
      <c r="B141" s="57">
        <v>6</v>
      </c>
      <c r="C141" s="58">
        <v>11.9</v>
      </c>
      <c r="D141" s="58">
        <v>10.6</v>
      </c>
      <c r="E141" s="30"/>
    </row>
    <row r="142" spans="1:5" ht="21.75" customHeight="1" thickBot="1">
      <c r="A142" s="29"/>
      <c r="B142" s="57">
        <v>7</v>
      </c>
      <c r="C142" s="58">
        <v>13.2</v>
      </c>
      <c r="D142" s="58">
        <v>11.8</v>
      </c>
      <c r="E142" s="30"/>
    </row>
    <row r="143" spans="1:5" ht="21.75" customHeight="1" thickBot="1">
      <c r="A143" s="29"/>
      <c r="B143" s="57">
        <v>8</v>
      </c>
      <c r="C143" s="58">
        <v>14.5</v>
      </c>
      <c r="D143" s="58">
        <v>13</v>
      </c>
      <c r="E143" s="30"/>
    </row>
    <row r="144" spans="1:5" ht="21.75" customHeight="1" thickBot="1">
      <c r="A144" s="29"/>
      <c r="B144" s="57">
        <v>9</v>
      </c>
      <c r="C144" s="58">
        <v>15.7</v>
      </c>
      <c r="D144" s="58">
        <v>14.2</v>
      </c>
      <c r="E144" s="30"/>
    </row>
    <row r="145" spans="1:5" ht="21.75" customHeight="1" thickBot="1">
      <c r="A145" s="29"/>
      <c r="B145" s="57">
        <v>10</v>
      </c>
      <c r="C145" s="58">
        <v>17</v>
      </c>
      <c r="D145" s="58">
        <v>15.4</v>
      </c>
      <c r="E145" s="30"/>
    </row>
    <row r="146" spans="1:5" ht="27" customHeight="1">
      <c r="A146" s="41" t="s">
        <v>69</v>
      </c>
      <c r="B146" s="30"/>
      <c r="C146" s="30"/>
      <c r="D146" s="30"/>
      <c r="E146" s="30"/>
    </row>
    <row r="147" spans="1:5" ht="27" customHeight="1">
      <c r="A147" s="41" t="s">
        <v>105</v>
      </c>
      <c r="B147" s="30"/>
      <c r="C147" s="30"/>
      <c r="D147" s="30"/>
      <c r="E147" s="30"/>
    </row>
    <row r="148" spans="1:5" ht="27" customHeight="1">
      <c r="A148" s="41" t="s">
        <v>106</v>
      </c>
      <c r="B148" s="30"/>
      <c r="C148" s="30"/>
      <c r="D148" s="30"/>
      <c r="E148" s="30"/>
    </row>
    <row r="149" spans="1:5" ht="27" customHeight="1">
      <c r="A149" s="29"/>
      <c r="B149" s="30"/>
      <c r="C149" s="30"/>
      <c r="D149" s="30"/>
      <c r="E149" s="30"/>
    </row>
    <row r="150" spans="1:5" ht="27" customHeight="1">
      <c r="A150" s="29"/>
      <c r="B150" s="30"/>
      <c r="C150" s="30"/>
      <c r="D150" s="30"/>
      <c r="E150" s="30"/>
    </row>
    <row r="151" spans="1:5" s="21" customFormat="1" ht="24" customHeight="1"/>
    <row r="152" spans="1:5" s="21" customFormat="1" ht="24" customHeight="1"/>
    <row r="153" spans="1:5" s="21" customFormat="1" ht="24" customHeight="1"/>
    <row r="154" spans="1:5" ht="24" customHeight="1">
      <c r="A154" s="21"/>
      <c r="B154" s="21"/>
      <c r="C154" s="21"/>
      <c r="D154" s="21"/>
      <c r="E154" s="21"/>
    </row>
    <row r="155" spans="1:5" ht="24" customHeight="1"/>
    <row r="156" spans="1:5" ht="24" customHeight="1"/>
    <row r="157" spans="1:5" ht="24" customHeight="1"/>
    <row r="172" spans="1:1" ht="18" customHeight="1">
      <c r="A172" s="41" t="s">
        <v>107</v>
      </c>
    </row>
    <row r="173" spans="1:1" ht="18" customHeight="1"/>
    <row r="174" spans="1:1" ht="18" customHeight="1"/>
    <row r="175" spans="1:1" ht="18" customHeight="1"/>
    <row r="176" spans="1:1"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98" spans="1:2" s="8" customFormat="1" ht="18" customHeight="1">
      <c r="A198" s="8" t="s">
        <v>111</v>
      </c>
    </row>
    <row r="199" spans="1:2" s="8" customFormat="1" ht="18" customHeight="1">
      <c r="A199" s="60" t="s">
        <v>116</v>
      </c>
      <c r="B199" s="8" t="s">
        <v>112</v>
      </c>
    </row>
    <row r="200" spans="1:2" s="8" customFormat="1" ht="18" customHeight="1">
      <c r="A200" s="60" t="s">
        <v>117</v>
      </c>
      <c r="B200" s="8" t="s">
        <v>113</v>
      </c>
    </row>
    <row r="201" spans="1:2" s="8" customFormat="1" ht="18" customHeight="1">
      <c r="B201" s="8" t="s">
        <v>114</v>
      </c>
    </row>
    <row r="202" spans="1:2" s="8" customFormat="1" ht="18" customHeight="1">
      <c r="B202" s="8" t="s">
        <v>115</v>
      </c>
    </row>
    <row r="203" spans="1:2" s="8" customFormat="1" ht="18" customHeight="1"/>
    <row r="204" spans="1:2" s="8" customFormat="1" ht="18" customHeight="1"/>
    <row r="205" spans="1:2" s="8" customFormat="1" ht="18" customHeight="1"/>
    <row r="206" spans="1:2" s="8" customFormat="1" ht="18" customHeight="1"/>
    <row r="207" spans="1:2" s="8" customFormat="1" ht="18" customHeight="1"/>
    <row r="208" spans="1:2" s="8" customFormat="1" ht="18" customHeight="1"/>
    <row r="209" s="8" customFormat="1" ht="18" customHeight="1"/>
    <row r="210" s="8" customFormat="1" ht="18" customHeight="1"/>
    <row r="211" s="8" customFormat="1" ht="18" customHeight="1"/>
    <row r="212" s="8" customFormat="1" ht="18" customHeight="1"/>
    <row r="213" s="8" customFormat="1" ht="18" customHeight="1"/>
    <row r="214" s="8" customFormat="1" ht="18" customHeight="1"/>
    <row r="215" s="8" customFormat="1" ht="18" customHeight="1"/>
    <row r="216" s="8" customFormat="1" ht="18" customHeight="1"/>
    <row r="217" s="8" customFormat="1" ht="18" customHeight="1"/>
    <row r="218" s="8" customFormat="1" ht="18" customHeight="1"/>
    <row r="219" s="8" customFormat="1" ht="18" customHeight="1"/>
    <row r="220" s="8" customFormat="1" ht="18" customHeight="1"/>
    <row r="221" s="8" customFormat="1" ht="18" customHeight="1"/>
    <row r="222" s="8" customFormat="1" ht="18" customHeight="1"/>
    <row r="223" s="8" customFormat="1" ht="18" customHeight="1"/>
  </sheetData>
  <mergeCells count="9">
    <mergeCell ref="A94:E94"/>
    <mergeCell ref="A111:E111"/>
    <mergeCell ref="B133:B134"/>
    <mergeCell ref="C133:D133"/>
    <mergeCell ref="A1:F1"/>
    <mergeCell ref="A2:F2"/>
    <mergeCell ref="A6:E6"/>
    <mergeCell ref="A21:E21"/>
    <mergeCell ref="A45:D45"/>
  </mergeCells>
  <phoneticPr fontId="3" type="noConversion"/>
  <hyperlinks>
    <hyperlink ref="E8" location="'样本选取评价表 (统计抽样)'!A108" display="[编制说明1]"/>
    <hyperlink ref="H25" location="'样本选取评价表（非统计抽样）'!A90" display="[编制说明2]"/>
    <hyperlink ref="F59" location="'样本选取评价表（非统计抽样）'!A91" display="[编制说明3]"/>
  </hyperlinks>
  <pageMargins left="0.51181102362204722" right="0.11811023622047245" top="0.74803149606299213" bottom="0.74803149606299213" header="0.31496062992125984" footer="0.31496062992125984"/>
  <pageSetup paperSize="9" scale="65"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样本选取评价表（非统计抽样）</vt:lpstr>
      <vt:lpstr>样本选取评价表 (统计抽样)</vt:lpstr>
      <vt:lpstr>'样本选取评价表 (统计抽样)'!Print_Area</vt:lpstr>
      <vt:lpstr>'样本选取评价表（非统计抽样）'!Print_Area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lin.nie</dc:creator>
  <cp:lastModifiedBy>lin.nie</cp:lastModifiedBy>
  <cp:lastPrinted>2011-09-11T11:29:40Z</cp:lastPrinted>
  <dcterms:created xsi:type="dcterms:W3CDTF">2011-08-28T09:11:16Z</dcterms:created>
  <dcterms:modified xsi:type="dcterms:W3CDTF">2012-08-02T12:09:00Z</dcterms:modified>
</cp:coreProperties>
</file>