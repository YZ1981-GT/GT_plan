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8控制测试汇总表" sheetId="25" r:id="rId2"/>
    <sheet name="C8-1控制测试过程记录表（询问&amp;观察）" sheetId="31" r:id="rId3"/>
    <sheet name="C8-1控制测试过程记录表（抽样）" sheetId="26" r:id="rId4"/>
    <sheet name="C8-1控制测试过程记录表（重新执行）" sheetId="27" r:id="rId5"/>
    <sheet name="C8-1控制测试过程记录表（CAAT）" sheetId="29" r:id="rId6"/>
    <sheet name="C8-1控制测试过程记录表（管理层-重新执行）" sheetId="32" r:id="rId7"/>
    <sheet name="C8-1控制测试过程记录表（管理层-仅复核）" sheetId="33" r:id="rId8"/>
    <sheet name="C8-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'C8-2评价控制偏差'!$A$1:$F$24</definedName>
    <definedName name="_xlnm.Print_Area" localSheetId="1">'C8控制测试汇总表'!$A$1:$L$42</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<sst xmlns="http://schemas.openxmlformats.org/spreadsheetml/2006/main" count="369" uniqueCount="259">
  <si>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</si>
  <si>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</si>
  <si>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</si>
  <si>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</si>
  <si>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</si>
  <si>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</si>
  <si>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</si>
  <si>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</si>
  <si>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</si>
  <si>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</si>
  <si>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</si>
  <si>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</si>
  <si>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</si>
  <si>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</si>
  <si>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</si>
  <si>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</si>
  <si>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</si>
  <si>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</si>
  <si>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</si>
  <si>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</si>
  <si>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</si>
  <si>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</si>
  <si>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</si>
  <si>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</si>
  <si>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</si>
  <si>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</si>
  <si>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</si>
  <si>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</si>
  <si>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</si>
  <si>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</si>
  <si>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</si>
  <si>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</si>
  <si>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</si>
  <si>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</si>
  <si>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</si>
  <si>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</si>
  <si>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</si>
  <si>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</si>
  <si>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</si>
  <si>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</si>
  <si>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</si>
  <si>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</si>
  <si>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</si>
  <si>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</si>
  <si>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</si>
  <si>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</si>
  <si>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</si>
  <si>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</si>
  <si>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</si>
  <si>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</si>
  <si>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</si>
  <si>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</si>
  <si>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</si>
  <si>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</si>
  <si>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</si>
  <si>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</si>
  <si>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</si>
  <si>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</si>
  <si>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</si>
  <si>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</si>
  <si>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</si>
  <si>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</si>
  <si>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</si>
  <si>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</si>
  <si>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</si>
  <si>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</si>
  <si>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</si>
  <si>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</si>
  <si>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</si>
  <si>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</si>
  <si>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</si>
  <si>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</si>
  <si>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</si>
  <si>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</si>
  <si>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</si>
  <si>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</si>
  <si>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</si>
  <si>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</si>
  <si>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</si>
  <si>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</si>
  <si>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</si>
  <si>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</si>
  <si>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</si>
  <si>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</si>
  <si>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</si>
  <si>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</si>
  <si>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</si>
  <si>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</si>
  <si>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</si>
  <si>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</si>
  <si>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</si>
  <si>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</si>
  <si>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</si>
  <si>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</si>
  <si>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</si>
  <si>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</si>
  <si>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</si>
  <si>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</si>
  <si>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</si>
  <si>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</si>
  <si>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</si>
  <si>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</si>
  <si>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</si>
  <si>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</si>
  <si>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</si>
  <si>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</si>
  <si>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</si>
  <si>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</si>
  <si>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</si>
  <si>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</si>
  <si>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</si>
  <si>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</si>
  <si>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</si>
  <si>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</si>
  <si>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</si>
  <si>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</si>
  <si>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</si>
  <si>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</si>
  <si>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</si>
  <si>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</si>
  <si>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</si>
  <si>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</si>
  <si>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</si>
  <si>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</si>
  <si>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</si>
  <si>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</si>
  <si>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</si>
  <si>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</si>
  <si>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</si>
  <si>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</si>
  <si>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</si>
  <si>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</si>
  <si>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</si>
  <si>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</si>
  <si>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</si>
  <si>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</si>
  <si>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</si>
  <si>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</si>
  <si>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</si>
  <si>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</si>
  <si>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</si>
  <si>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</si>
  <si>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</si>
  <si>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</si>
  <si>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</si>
  <si>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</si>
  <si>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</si>
  <si>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</si>
  <si>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</si>
  <si>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</si>
  <si>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</si>
  <si>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</si>
  <si>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</si>
  <si>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</si>
  <si>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</si>
  <si>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</si>
  <si>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</si>
  <si>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</si>
  <si>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</si>
  <si>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</si>
  <si>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</si>
  <si>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</si>
  <si>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</si>
  <si>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</si>
  <si>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</si>
  <si>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</si>
  <si>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</si>
  <si>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</si>
  <si>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</si>
  <si>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</si>
  <si>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</si>
  <si>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</si>
  <si>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</si>
  <si>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</si>
  <si>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</si>
  <si>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</si>
  <si>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</si>
  <si>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</si>
  <si>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</si>
  <si>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</si>
  <si>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</si>
  <si>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</si>
  <si>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</si>
  <si>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</si>
  <si>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</si>
  <si>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</si>
  <si>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</si>
  <si>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</si>
  <si>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</si>
  <si>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</si>
  <si>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</si>
  <si>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</si>
  <si>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</si>
  <si>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</si>
  <si>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</si>
  <si>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</si>
  <si>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</si>
  <si>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</si>
  <si>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</si>
  <si>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</si>
  <si>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</si>
  <si>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</si>
  <si>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</si>
  <si>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</si>
  <si>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</si>
  <si>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</si>
  <si>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</si>
  <si>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</si>
  <si>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</si>
  <si>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</si>
  <si>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</si>
  <si>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</si>
  <si>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</si>
  <si>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</si>
  <si>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</si>
  <si>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</si>
  <si>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</si>
  <si>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</si>
  <si>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</si>
  <si>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</si>
  <si>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</si>
  <si>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</si>
  <si>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</si>
  <si>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</si>
  <si>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</si>
  <si>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</si>
  <si>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</si>
  <si>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</si>
  <si>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</si>
  <si>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</si>
  <si>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</si>
  <si>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</si>
  <si>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</si>
  <si>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</si>
  <si>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</si>
  <si>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</si>
  <si>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</si>
  <si>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</si>
  <si>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</si>
  <si>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</si>
  <si>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t>C8</t>
    <phoneticPr fontId="15" type="noConversion"/>
  </si>
  <si>
    <r>
      <rPr>
        <sz val="10"/>
        <rFont val="宋体"/>
        <family val="3"/>
        <charset val="134"/>
      </rPr>
      <t>（</t>
    </r>
    <r>
      <rPr>
        <sz val="10"/>
        <rFont val="Arial Narrow"/>
        <family val="2"/>
      </rPr>
      <t>1</t>
    </r>
    <r>
      <rPr>
        <sz val="10"/>
        <rFont val="宋体"/>
        <family val="3"/>
        <charset val="134"/>
      </rPr>
      <t>）针对了解的被审计单位固定资产业务循环的控制活动，确定拟进行测试的控制活动。</t>
    </r>
    <phoneticPr fontId="52" type="noConversion"/>
  </si>
  <si>
    <r>
      <t>订货</t>
    </r>
    <r>
      <rPr>
        <sz val="10"/>
        <rFont val="Arial Narrow"/>
        <family val="2"/>
      </rPr>
      <t>Ordering</t>
    </r>
  </si>
  <si>
    <r>
      <t>收到货物</t>
    </r>
    <r>
      <rPr>
        <sz val="10"/>
        <rFont val="Arial Narrow"/>
        <family val="2"/>
      </rPr>
      <t>Receiving</t>
    </r>
  </si>
  <si>
    <r>
      <t>建造</t>
    </r>
    <r>
      <rPr>
        <sz val="10"/>
        <rFont val="Arial Narrow"/>
        <family val="2"/>
      </rPr>
      <t>Construction</t>
    </r>
    <phoneticPr fontId="15" type="noConversion"/>
  </si>
  <si>
    <r>
      <t>付款</t>
    </r>
    <r>
      <rPr>
        <sz val="10"/>
        <rFont val="Arial Narrow"/>
        <family val="2"/>
      </rPr>
      <t>Payment</t>
    </r>
    <phoneticPr fontId="15" type="noConversion"/>
  </si>
  <si>
    <r>
      <t>重新评价</t>
    </r>
    <r>
      <rPr>
        <sz val="10"/>
        <rFont val="Arial Narrow"/>
        <family val="2"/>
      </rPr>
      <t>Revaluation</t>
    </r>
    <phoneticPr fontId="15" type="noConversion"/>
  </si>
  <si>
    <r>
      <t>记帐</t>
    </r>
    <r>
      <rPr>
        <sz val="10"/>
        <rFont val="Arial Narrow"/>
        <family val="2"/>
      </rPr>
      <t>Recordkeeping</t>
    </r>
    <phoneticPr fontId="15" type="noConversion"/>
  </si>
  <si>
    <r>
      <rPr>
        <sz val="10"/>
        <rFont val="宋体"/>
        <family val="3"/>
        <charset val="134"/>
      </rPr>
      <t>索引号：</t>
    </r>
    <r>
      <rPr>
        <sz val="10"/>
        <rFont val="Arial Narrow"/>
        <family val="2"/>
      </rPr>
      <t>C8-1-*</t>
    </r>
    <phoneticPr fontId="15" type="noConversion"/>
  </si>
  <si>
    <r>
      <rPr>
        <sz val="10"/>
        <rFont val="宋体"/>
        <family val="3"/>
        <charset val="134"/>
      </rPr>
      <t>索引号：</t>
    </r>
    <r>
      <rPr>
        <sz val="10"/>
        <rFont val="Arial"/>
        <family val="2"/>
      </rPr>
      <t>C8-2</t>
    </r>
    <phoneticPr fontId="15" type="noConversion"/>
  </si>
  <si>
    <r>
      <t>C8</t>
    </r>
    <r>
      <rPr>
        <u/>
        <sz val="10"/>
        <color indexed="12"/>
        <rFont val="Arial Narrow"/>
        <family val="2"/>
      </rPr>
      <t>控制测试汇总表</t>
    </r>
  </si>
  <si>
    <t>C8-2评价控制偏差表</t>
  </si>
  <si>
    <r>
      <t>C8-1</t>
    </r>
    <r>
      <rPr>
        <u/>
        <sz val="10"/>
        <color indexed="12"/>
        <rFont val="宋体"/>
        <family val="3"/>
        <charset val="134"/>
      </rPr>
      <t>控制测试程序和过程记录表（记录控制测试程序与过程）</t>
    </r>
    <phoneticPr fontId="15" type="noConversion"/>
  </si>
  <si>
    <r>
      <rPr>
        <sz val="10"/>
        <rFont val="宋体"/>
        <family val="3"/>
        <charset val="134"/>
      </rPr>
      <t>租赁</t>
    </r>
    <r>
      <rPr>
        <sz val="10"/>
        <rFont val="Arial Narrow"/>
        <family val="2"/>
      </rPr>
      <t>Leasing</t>
    </r>
    <phoneticPr fontId="15" type="noConversion"/>
  </si>
  <si>
    <r>
      <rPr>
        <b/>
        <sz val="14"/>
        <rFont val="宋体"/>
        <family val="3"/>
        <charset val="134"/>
      </rPr>
      <t>固定资产循环</t>
    </r>
    <r>
      <rPr>
        <b/>
        <sz val="14"/>
        <rFont val="Arial Narrow"/>
        <family val="2"/>
      </rPr>
      <t>-</t>
    </r>
    <r>
      <rPr>
        <b/>
        <sz val="14"/>
        <rFont val="宋体"/>
        <family val="3"/>
        <charset val="134"/>
      </rPr>
      <t>控制测试汇总表</t>
    </r>
    <phoneticPr fontId="15" type="noConversion"/>
  </si>
  <si>
    <t>C8</t>
    <phoneticPr fontId="52" type="noConversion"/>
  </si>
  <si>
    <t>C8-1</t>
    <phoneticPr fontId="52" type="noConversion"/>
  </si>
  <si>
    <t>C8-2</t>
    <phoneticPr fontId="52" type="noConversion"/>
  </si>
  <si>
    <r>
      <rPr>
        <b/>
        <sz val="10"/>
        <rFont val="宋体"/>
        <family val="3"/>
        <charset val="134"/>
      </rPr>
      <t xml:space="preserve">索引号
</t>
    </r>
    <r>
      <rPr>
        <b/>
        <sz val="10"/>
        <rFont val="Arial Narrow"/>
        <family val="2"/>
      </rPr>
      <t>(C8-1,C8-2)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</si>
</sst>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4">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6" fillId="0" borderId="7" xfId="39" applyFont="1" applyBorder="1" applyAlignment="1">
      <alignment vertical="center" wrapText="1"/>
      <protection locked="0"/>
    </xf>
    <xf numFmtId="0" fontId="14" fillId="0" borderId="9" xfId="48" applyBorder="1" applyAlignment="1">
      <alignment wrapText="1"/>
      <protection locked="0"/>
    </xf>
    <xf numFmtId="0" fontId="16" fillId="0" borderId="7" xfId="39" applyFont="1" applyBorder="1" applyAlignment="1">
      <alignment vertical="center"/>
      <protection locked="0"/>
    </xf>
    <xf numFmtId="0" fontId="39" fillId="0" borderId="7" xfId="39" applyFont="1" applyBorder="1" applyAlignment="1">
      <alignment vertical="center"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98"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55" fillId="0" borderId="4" xfId="44" applyFont="1" applyBorder="1" applyAlignment="1">
      <alignment horizontal="left"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G6" sqref="G6"/>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6" t="s">
        <v>250</v>
      </c>
      <c r="D2" s="111"/>
      <c r="E2" s="111"/>
      <c r="F2" s="111"/>
      <c r="G2" s="111"/>
      <c r="H2" s="111"/>
    </row>
    <row r="3" spans="1:8" ht="20.100000000000001" customHeight="1">
      <c r="A3" s="109" t="s">
        <v>226</v>
      </c>
      <c r="B3" s="110">
        <v>2</v>
      </c>
      <c r="C3" s="124" t="s">
        <v>252</v>
      </c>
      <c r="D3" s="111"/>
      <c r="E3" s="111"/>
      <c r="F3" s="111"/>
      <c r="G3" s="111"/>
      <c r="H3" s="113"/>
    </row>
    <row r="4" spans="1:8" ht="20.100000000000001" customHeight="1">
      <c r="A4" s="109" t="s">
        <v>227</v>
      </c>
      <c r="B4" s="110">
        <v>3</v>
      </c>
      <c r="C4" s="124" t="s">
        <v>251</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8控制测试汇总表'!A1" display="C8控制测试汇总表"/>
    <hyperlink ref="C4" location="'C8-2评价控制偏差'!A1" display="C8-2评价控制偏差表"/>
    <hyperlink ref="C3" location="'控制测试过程记录表（询问&amp;观察）C8-1'!A1" display="C8-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75"/>
  <sheetViews>
    <sheetView tabSelected="1" view="pageBreakPreview" zoomScale="110" zoomScaleSheetLayoutView="110" workbookViewId="0">
      <selection activeCell="H8" sqref="H8"/>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2" t="s">
        <v>18</v>
      </c>
      <c r="B1" s="132"/>
      <c r="C1" s="132"/>
      <c r="D1" s="132"/>
      <c r="E1" s="132"/>
      <c r="F1" s="132"/>
      <c r="G1" s="132"/>
      <c r="H1" s="132"/>
      <c r="I1" s="132"/>
      <c r="J1" s="132"/>
      <c r="K1" s="132"/>
      <c r="L1" s="132"/>
    </row>
    <row r="2" spans="1:12" ht="30" customHeight="1">
      <c r="A2" s="133" t="s">
        <v>254</v>
      </c>
      <c r="B2" s="133"/>
      <c r="C2" s="133"/>
      <c r="D2" s="133"/>
      <c r="E2" s="133"/>
      <c r="F2" s="133"/>
      <c r="G2" s="133"/>
      <c r="H2" s="133"/>
      <c r="I2" s="133"/>
      <c r="J2" s="133"/>
      <c r="K2" s="133"/>
      <c r="L2" s="133"/>
    </row>
    <row r="3" spans="1:12" ht="23.25" customHeight="1">
      <c r="A3" s="1" t="str">
        <f>'表头（请先填写）'!A2</f>
        <v>客户名称：</v>
      </c>
      <c r="B3" s="2"/>
      <c r="D3" s="3" t="str">
        <f>'表头（请先填写）'!A4</f>
        <v>编制人：</v>
      </c>
      <c r="E3" s="1"/>
      <c r="G3" s="46"/>
      <c r="H3" s="1" t="str">
        <f>'表头（请先填写）'!A5</f>
        <v>日 期：</v>
      </c>
      <c r="K3" s="4" t="s">
        <v>26</v>
      </c>
      <c r="L3" s="5" t="s">
        <v>240</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241</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G9" s="2"/>
      <c r="H9" s="2"/>
      <c r="I9" s="2"/>
      <c r="J9" s="2"/>
      <c r="K9" s="2"/>
      <c r="L9" s="2"/>
    </row>
    <row r="10" spans="1:12" ht="23.25" customHeight="1">
      <c r="A10" s="7" t="s">
        <v>23</v>
      </c>
      <c r="B10" s="8"/>
      <c r="C10" s="8"/>
      <c r="D10" s="2"/>
      <c r="E10" s="2"/>
      <c r="F10" s="2" t="s">
        <v>255</v>
      </c>
      <c r="G10" s="2"/>
      <c r="H10" s="2"/>
      <c r="I10" s="2"/>
      <c r="J10" s="2"/>
      <c r="K10" s="2"/>
      <c r="L10" s="2"/>
    </row>
    <row r="11" spans="1:12" ht="23.25" customHeight="1">
      <c r="A11" s="7" t="s">
        <v>232</v>
      </c>
      <c r="B11" s="8"/>
      <c r="C11" s="8"/>
      <c r="D11" s="2"/>
      <c r="E11" s="2"/>
      <c r="F11" s="2" t="s">
        <v>256</v>
      </c>
      <c r="G11" s="2"/>
      <c r="H11" s="2"/>
      <c r="I11" s="2"/>
      <c r="J11" s="2"/>
      <c r="K11" s="2"/>
      <c r="L11" s="2"/>
    </row>
    <row r="12" spans="1:12" ht="23.25" customHeight="1">
      <c r="A12" s="7" t="s">
        <v>233</v>
      </c>
      <c r="B12" s="8"/>
      <c r="C12" s="8"/>
      <c r="D12" s="2"/>
      <c r="E12" s="2"/>
      <c r="F12" s="2" t="s">
        <v>257</v>
      </c>
      <c r="G12" s="2"/>
      <c r="H12" s="2"/>
      <c r="I12" s="2"/>
      <c r="J12" s="2"/>
      <c r="K12" s="2"/>
      <c r="L12" s="2"/>
    </row>
    <row r="13" spans="1:12" ht="23.25" customHeight="1">
      <c r="A13" s="6" t="s">
        <v>27</v>
      </c>
      <c r="I13" s="45"/>
      <c r="J13" s="45"/>
      <c r="K13" s="45"/>
    </row>
    <row r="14" spans="1:12" s="48" customFormat="1" ht="63">
      <c r="A14" s="123" t="s">
        <v>28</v>
      </c>
      <c r="B14" s="130" t="s">
        <v>238</v>
      </c>
      <c r="C14" s="131"/>
      <c r="D14" s="58" t="s">
        <v>29</v>
      </c>
      <c r="E14" s="58" t="s">
        <v>30</v>
      </c>
      <c r="F14" s="59" t="s">
        <v>33</v>
      </c>
      <c r="G14" s="59" t="s">
        <v>32</v>
      </c>
      <c r="H14" s="59" t="s">
        <v>39</v>
      </c>
      <c r="I14" s="60" t="s">
        <v>46</v>
      </c>
      <c r="J14" s="61" t="s">
        <v>34</v>
      </c>
      <c r="K14" s="61" t="s">
        <v>35</v>
      </c>
      <c r="L14" s="61" t="s">
        <v>258</v>
      </c>
    </row>
    <row r="15" spans="1:12">
      <c r="A15" s="125" t="s">
        <v>242</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5" t="s">
        <v>243</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5" t="s">
        <v>244</v>
      </c>
      <c r="B23" s="62"/>
      <c r="C23" s="63"/>
      <c r="D23" s="62"/>
      <c r="E23" s="62"/>
      <c r="F23" s="63"/>
      <c r="G23" s="63"/>
      <c r="H23" s="63"/>
      <c r="I23" s="63"/>
      <c r="J23" s="63"/>
      <c r="K23" s="63"/>
      <c r="L23" s="63"/>
    </row>
    <row r="24" spans="1:12">
      <c r="A24" s="62"/>
      <c r="B24" s="62">
        <v>1</v>
      </c>
      <c r="C24" s="63"/>
      <c r="D24" s="62"/>
      <c r="E24" s="62"/>
      <c r="F24" s="63"/>
      <c r="G24" s="63"/>
      <c r="H24" s="63"/>
      <c r="I24" s="64"/>
      <c r="J24" s="64"/>
      <c r="K24" s="64"/>
      <c r="L24" s="64"/>
    </row>
    <row r="25" spans="1:12" collapsed="1">
      <c r="A25" s="62"/>
      <c r="B25" s="62">
        <v>2</v>
      </c>
      <c r="C25" s="63"/>
      <c r="D25" s="62"/>
      <c r="E25" s="62"/>
      <c r="F25" s="63"/>
      <c r="G25" s="63"/>
      <c r="H25" s="63"/>
      <c r="I25" s="64"/>
      <c r="J25" s="64"/>
      <c r="K25" s="64"/>
      <c r="L25" s="64"/>
    </row>
    <row r="26" spans="1:12" collapsed="1">
      <c r="A26" s="62"/>
      <c r="B26" s="62" t="s">
        <v>236</v>
      </c>
      <c r="C26" s="63"/>
      <c r="D26" s="62"/>
      <c r="E26" s="62"/>
      <c r="F26" s="63"/>
      <c r="G26" s="63"/>
      <c r="H26" s="63"/>
      <c r="I26" s="64"/>
      <c r="J26" s="64"/>
      <c r="K26" s="64"/>
      <c r="L26" s="64"/>
    </row>
    <row r="27" spans="1:12" collapsed="1">
      <c r="A27" s="125" t="s">
        <v>245</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236</v>
      </c>
      <c r="C30" s="63"/>
      <c r="D30" s="62"/>
      <c r="E30" s="62"/>
      <c r="F30" s="63"/>
      <c r="G30" s="63"/>
      <c r="H30" s="63"/>
      <c r="I30" s="64"/>
      <c r="J30" s="64"/>
      <c r="K30" s="64"/>
      <c r="L30" s="64"/>
    </row>
    <row r="31" spans="1:12" ht="15.75" customHeight="1" collapsed="1">
      <c r="A31" s="127" t="s">
        <v>246</v>
      </c>
      <c r="B31" s="62"/>
      <c r="C31" s="63"/>
      <c r="D31" s="62"/>
      <c r="E31" s="62"/>
      <c r="F31" s="63"/>
      <c r="G31" s="63"/>
      <c r="H31" s="63"/>
      <c r="I31" s="63"/>
      <c r="J31" s="63"/>
      <c r="K31" s="63"/>
      <c r="L31" s="63"/>
    </row>
    <row r="32" spans="1:12" ht="25.5" customHeight="1">
      <c r="A32" s="62"/>
      <c r="B32" s="62">
        <v>1</v>
      </c>
      <c r="C32" s="63"/>
      <c r="D32" s="62"/>
      <c r="E32" s="62"/>
      <c r="F32" s="63"/>
      <c r="G32" s="63"/>
      <c r="H32" s="63"/>
      <c r="I32" s="64"/>
      <c r="J32" s="64"/>
      <c r="K32" s="64"/>
      <c r="L32" s="64"/>
    </row>
    <row r="33" spans="1:12" ht="25.5" customHeight="1">
      <c r="A33" s="62"/>
      <c r="B33" s="62">
        <v>2</v>
      </c>
      <c r="C33" s="63"/>
      <c r="D33" s="62"/>
      <c r="E33" s="62"/>
      <c r="F33" s="63"/>
      <c r="G33" s="63"/>
      <c r="H33" s="63"/>
      <c r="I33" s="64"/>
      <c r="J33" s="64"/>
      <c r="K33" s="64"/>
      <c r="L33" s="64"/>
    </row>
    <row r="34" spans="1:12" ht="25.5" customHeight="1" collapsed="1">
      <c r="A34" s="62"/>
      <c r="B34" s="62" t="s">
        <v>236</v>
      </c>
      <c r="C34" s="63"/>
      <c r="D34" s="62"/>
      <c r="E34" s="62"/>
      <c r="F34" s="63"/>
      <c r="G34" s="63"/>
      <c r="H34" s="63"/>
      <c r="I34" s="64"/>
      <c r="J34" s="64"/>
      <c r="K34" s="64"/>
      <c r="L34" s="64"/>
    </row>
    <row r="35" spans="1:12" collapsed="1">
      <c r="A35" s="125" t="s">
        <v>247</v>
      </c>
      <c r="B35" s="62"/>
      <c r="C35" s="63"/>
      <c r="D35" s="62"/>
      <c r="E35" s="62"/>
      <c r="F35" s="63"/>
      <c r="G35" s="63"/>
      <c r="H35" s="63"/>
      <c r="I35" s="63"/>
      <c r="J35" s="63"/>
      <c r="K35" s="63"/>
      <c r="L35" s="63"/>
    </row>
    <row r="36" spans="1:12" ht="25.5" customHeight="1">
      <c r="A36" s="62"/>
      <c r="B36" s="62">
        <v>1</v>
      </c>
      <c r="C36" s="63"/>
      <c r="D36" s="62"/>
      <c r="E36" s="62"/>
      <c r="F36" s="63"/>
      <c r="G36" s="63"/>
      <c r="H36" s="63"/>
      <c r="I36" s="64"/>
      <c r="J36" s="64"/>
      <c r="K36" s="64"/>
      <c r="L36" s="64"/>
    </row>
    <row r="37" spans="1:12" ht="25.5" customHeight="1">
      <c r="A37" s="62"/>
      <c r="B37" s="62">
        <v>2</v>
      </c>
      <c r="C37" s="63"/>
      <c r="D37" s="62"/>
      <c r="E37" s="62"/>
      <c r="F37" s="63"/>
      <c r="G37" s="63"/>
      <c r="H37" s="63"/>
      <c r="I37" s="64"/>
      <c r="J37" s="64"/>
      <c r="K37" s="64"/>
      <c r="L37" s="64"/>
    </row>
    <row r="38" spans="1:12" ht="25.5" customHeight="1" collapsed="1">
      <c r="A38" s="62"/>
      <c r="B38" s="62" t="s">
        <v>236</v>
      </c>
      <c r="C38" s="63"/>
      <c r="D38" s="62"/>
      <c r="E38" s="62"/>
      <c r="F38" s="63"/>
      <c r="G38" s="63"/>
      <c r="H38" s="63"/>
      <c r="I38" s="64"/>
      <c r="J38" s="64"/>
      <c r="K38" s="64"/>
      <c r="L38" s="64"/>
    </row>
    <row r="39" spans="1:12" ht="25.5" customHeight="1">
      <c r="A39" s="128" t="s">
        <v>253</v>
      </c>
      <c r="B39" s="62"/>
      <c r="C39" s="63"/>
      <c r="D39" s="62"/>
      <c r="E39" s="62"/>
      <c r="F39" s="63"/>
      <c r="G39" s="63"/>
      <c r="H39" s="63"/>
      <c r="I39" s="64"/>
      <c r="J39" s="64"/>
      <c r="K39" s="64"/>
      <c r="L39" s="64"/>
    </row>
    <row r="40" spans="1:12" ht="25.5" customHeight="1">
      <c r="A40" s="62"/>
      <c r="B40" s="62">
        <v>1</v>
      </c>
      <c r="C40" s="63"/>
      <c r="D40" s="62"/>
      <c r="E40" s="62"/>
      <c r="F40" s="63"/>
      <c r="G40" s="63"/>
      <c r="H40" s="63"/>
      <c r="I40" s="64"/>
      <c r="J40" s="64"/>
      <c r="K40" s="64"/>
      <c r="L40" s="64"/>
    </row>
    <row r="41" spans="1:12" ht="25.5" customHeight="1">
      <c r="A41" s="62"/>
      <c r="B41" s="62">
        <v>2</v>
      </c>
      <c r="C41" s="63"/>
      <c r="D41" s="62"/>
      <c r="E41" s="62"/>
      <c r="F41" s="63"/>
      <c r="G41" s="63"/>
      <c r="H41" s="63"/>
      <c r="I41" s="64"/>
      <c r="J41" s="64"/>
      <c r="K41" s="64"/>
      <c r="L41" s="64"/>
    </row>
    <row r="42" spans="1:12" ht="28.5" customHeight="1" collapsed="1">
      <c r="A42" s="62"/>
      <c r="B42" s="62" t="s">
        <v>236</v>
      </c>
      <c r="C42" s="63"/>
      <c r="D42" s="62"/>
      <c r="E42" s="62"/>
      <c r="F42" s="63"/>
      <c r="G42" s="63"/>
      <c r="H42" s="63"/>
      <c r="I42" s="64"/>
      <c r="J42" s="64"/>
      <c r="K42" s="64"/>
      <c r="L42" s="64"/>
    </row>
    <row r="43" spans="1:12" collapsed="1"/>
    <row r="44" spans="1:12">
      <c r="A44" s="9" t="s">
        <v>24</v>
      </c>
      <c r="B44" s="10"/>
      <c r="C44" s="10"/>
    </row>
    <row r="45" spans="1:12">
      <c r="A45" s="11" t="s">
        <v>36</v>
      </c>
      <c r="B45" s="10"/>
      <c r="C45" s="10"/>
    </row>
    <row r="46" spans="1:12">
      <c r="A46" s="11" t="s">
        <v>37</v>
      </c>
      <c r="B46" s="10"/>
      <c r="C46" s="10"/>
    </row>
    <row r="47" spans="1:12">
      <c r="A47" s="11" t="s">
        <v>38</v>
      </c>
      <c r="B47" s="10"/>
      <c r="C47" s="10"/>
    </row>
    <row r="48" spans="1:12" ht="32.25" customHeight="1">
      <c r="A48" s="129" t="s">
        <v>237</v>
      </c>
      <c r="B48" s="129"/>
      <c r="C48" s="129"/>
      <c r="D48" s="129"/>
      <c r="E48" s="129"/>
      <c r="F48" s="129"/>
      <c r="G48" s="129"/>
      <c r="H48" s="129"/>
      <c r="I48" s="129"/>
      <c r="J48" s="129"/>
      <c r="K48" s="129"/>
      <c r="L48" s="129"/>
    </row>
    <row r="70" spans="1:1">
      <c r="A70" s="56" t="s">
        <v>40</v>
      </c>
    </row>
    <row r="71" spans="1:1">
      <c r="A71" s="57" t="s">
        <v>41</v>
      </c>
    </row>
    <row r="72" spans="1:1">
      <c r="A72" s="57" t="s">
        <v>42</v>
      </c>
    </row>
    <row r="73" spans="1:1">
      <c r="A73" s="56" t="s">
        <v>43</v>
      </c>
    </row>
    <row r="74" spans="1:1">
      <c r="A74" s="56" t="s">
        <v>44</v>
      </c>
    </row>
    <row r="75" spans="1:1">
      <c r="A75" s="56" t="s">
        <v>45</v>
      </c>
    </row>
  </sheetData>
  <mergeCells count="4">
    <mergeCell ref="A48:L48"/>
    <mergeCell ref="B14:C14"/>
    <mergeCell ref="A1:L1"/>
    <mergeCell ref="A2:L2"/>
  </mergeCells>
  <phoneticPr fontId="52" type="noConversion"/>
  <dataValidations count="1">
    <dataValidation type="list" allowBlank="1" showInputMessage="1" showErrorMessage="1" sqref="H16:H42">
      <formula1>$A$70:$A$75</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activeCell="D8" sqref="D8"/>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3"/>
      <c r="C16" s="144"/>
      <c r="D16" s="144"/>
      <c r="E16" s="144"/>
      <c r="F16" s="145"/>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6" t="s">
        <v>104</v>
      </c>
      <c r="B19" s="147"/>
      <c r="C19" s="147"/>
      <c r="D19" s="147"/>
      <c r="E19" s="147"/>
      <c r="F19" s="148"/>
      <c r="G19" s="28"/>
      <c r="H19" s="28"/>
      <c r="I19" s="28"/>
      <c r="J19" s="16"/>
      <c r="K19" s="16"/>
    </row>
    <row r="20" spans="1:11" ht="30" customHeight="1">
      <c r="A20" s="134" t="s">
        <v>105</v>
      </c>
      <c r="B20" s="135"/>
      <c r="C20" s="135"/>
      <c r="D20" s="135"/>
      <c r="E20" s="135"/>
      <c r="F20" s="136"/>
      <c r="G20" s="16"/>
      <c r="H20" s="16"/>
      <c r="I20" s="16"/>
      <c r="J20" s="16"/>
      <c r="K20" s="16"/>
    </row>
    <row r="21" spans="1:11" ht="20.100000000000001" customHeight="1">
      <c r="A21" s="146" t="s">
        <v>106</v>
      </c>
      <c r="B21" s="147"/>
      <c r="C21" s="147"/>
      <c r="D21" s="147"/>
      <c r="E21" s="147"/>
      <c r="F21" s="148"/>
      <c r="G21" s="16"/>
      <c r="H21" s="16"/>
      <c r="I21" s="16"/>
      <c r="J21" s="16"/>
      <c r="K21" s="16"/>
    </row>
    <row r="22" spans="1:11" ht="20.100000000000001" customHeight="1">
      <c r="A22" s="146" t="s">
        <v>107</v>
      </c>
      <c r="B22" s="147"/>
      <c r="C22" s="147"/>
      <c r="D22" s="147"/>
      <c r="E22" s="147"/>
      <c r="F22" s="148"/>
      <c r="G22" s="16"/>
      <c r="H22" s="16"/>
      <c r="I22" s="16"/>
      <c r="J22" s="16"/>
      <c r="K22" s="16"/>
    </row>
    <row r="23" spans="1:11" ht="20.100000000000001" customHeight="1">
      <c r="A23" s="146" t="s">
        <v>108</v>
      </c>
      <c r="B23" s="147"/>
      <c r="C23" s="147"/>
      <c r="D23" s="147"/>
      <c r="E23" s="147"/>
      <c r="F23" s="148"/>
      <c r="G23" s="52"/>
      <c r="H23" s="52"/>
      <c r="I23" s="52"/>
      <c r="J23" s="52"/>
      <c r="K23" s="52"/>
    </row>
    <row r="24" spans="1:11" ht="20.100000000000001" customHeight="1">
      <c r="A24" s="146" t="s">
        <v>109</v>
      </c>
      <c r="B24" s="147"/>
      <c r="C24" s="147"/>
      <c r="D24" s="147"/>
      <c r="E24" s="147"/>
      <c r="F24" s="148"/>
      <c r="G24" s="52"/>
      <c r="H24" s="52"/>
      <c r="I24" s="52"/>
      <c r="J24" s="52"/>
      <c r="K24" s="52"/>
    </row>
    <row r="25" spans="1:11" ht="20.100000000000001" customHeight="1">
      <c r="A25" s="146" t="s">
        <v>110</v>
      </c>
      <c r="B25" s="147"/>
      <c r="C25" s="147"/>
      <c r="D25" s="147"/>
      <c r="E25" s="147"/>
      <c r="F25" s="148"/>
      <c r="G25" s="52"/>
      <c r="H25" s="52"/>
      <c r="I25" s="52"/>
      <c r="J25" s="52"/>
      <c r="K25" s="52"/>
    </row>
    <row r="26" spans="1:11" ht="20.100000000000001" customHeight="1">
      <c r="A26" s="146" t="s">
        <v>111</v>
      </c>
      <c r="B26" s="147"/>
      <c r="C26" s="147"/>
      <c r="D26" s="147"/>
      <c r="E26" s="147"/>
      <c r="F26" s="148"/>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40"/>
      <c r="C40" s="141"/>
      <c r="D40" s="141"/>
      <c r="E40" s="141"/>
      <c r="F40" s="142"/>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B30" sqref="B30:B3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3"/>
      <c r="C16" s="144"/>
      <c r="D16" s="144"/>
      <c r="E16" s="144"/>
      <c r="F16" s="145"/>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6" t="s">
        <v>70</v>
      </c>
      <c r="B19" s="147"/>
      <c r="C19" s="147"/>
      <c r="D19" s="147"/>
      <c r="E19" s="147"/>
      <c r="F19" s="148"/>
      <c r="G19" s="28"/>
      <c r="H19" s="28"/>
      <c r="I19" s="28"/>
      <c r="J19" s="16"/>
      <c r="K19" s="16"/>
    </row>
    <row r="20" spans="1:11" ht="57" customHeight="1">
      <c r="A20" s="134" t="s">
        <v>71</v>
      </c>
      <c r="B20" s="135"/>
      <c r="C20" s="135"/>
      <c r="D20" s="135"/>
      <c r="E20" s="135"/>
      <c r="F20" s="136"/>
      <c r="G20" s="16"/>
      <c r="H20" s="16"/>
      <c r="I20" s="16"/>
      <c r="J20" s="16"/>
      <c r="K20" s="16"/>
    </row>
    <row r="21" spans="1:11" ht="20.100000000000001" customHeight="1">
      <c r="A21" s="146" t="s">
        <v>72</v>
      </c>
      <c r="B21" s="147"/>
      <c r="C21" s="147"/>
      <c r="D21" s="147"/>
      <c r="E21" s="147"/>
      <c r="F21" s="148"/>
      <c r="G21" s="16"/>
      <c r="H21" s="16"/>
      <c r="I21" s="16"/>
      <c r="J21" s="16"/>
      <c r="K21" s="16"/>
    </row>
    <row r="22" spans="1:11" ht="20.100000000000001" customHeight="1">
      <c r="A22" s="146" t="s">
        <v>73</v>
      </c>
      <c r="B22" s="147"/>
      <c r="C22" s="147"/>
      <c r="D22" s="147"/>
      <c r="E22" s="147"/>
      <c r="F22" s="148"/>
      <c r="G22" s="16"/>
      <c r="H22" s="16"/>
      <c r="I22" s="16"/>
      <c r="J22" s="16"/>
      <c r="K22" s="16"/>
    </row>
    <row r="23" spans="1:11" ht="20.100000000000001" customHeight="1">
      <c r="A23" s="146" t="s">
        <v>74</v>
      </c>
      <c r="B23" s="147"/>
      <c r="C23" s="147"/>
      <c r="D23" s="147"/>
      <c r="E23" s="147"/>
      <c r="F23" s="148"/>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40"/>
      <c r="C37" s="141"/>
      <c r="D37" s="141"/>
      <c r="E37" s="141"/>
      <c r="F37" s="142"/>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3"/>
      <c r="C16" s="144"/>
      <c r="D16" s="144"/>
      <c r="E16" s="144"/>
      <c r="F16" s="145"/>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4" t="s">
        <v>75</v>
      </c>
      <c r="B19" s="135"/>
      <c r="C19" s="135"/>
      <c r="D19" s="135"/>
      <c r="E19" s="135"/>
      <c r="F19" s="136"/>
      <c r="G19" s="28"/>
      <c r="H19" s="28"/>
      <c r="I19" s="28"/>
      <c r="J19" s="16"/>
      <c r="K19" s="16"/>
    </row>
    <row r="20" spans="1:11" ht="25.5" customHeight="1">
      <c r="A20" s="134" t="s">
        <v>76</v>
      </c>
      <c r="B20" s="135"/>
      <c r="C20" s="135"/>
      <c r="D20" s="135"/>
      <c r="E20" s="135"/>
      <c r="F20" s="136"/>
      <c r="G20" s="16"/>
      <c r="H20" s="16"/>
      <c r="I20" s="16"/>
      <c r="J20" s="16"/>
      <c r="K20" s="16"/>
    </row>
    <row r="21" spans="1:11" ht="36.75" customHeight="1">
      <c r="A21" s="134" t="s">
        <v>77</v>
      </c>
      <c r="B21" s="135"/>
      <c r="C21" s="135"/>
      <c r="D21" s="135"/>
      <c r="E21" s="135"/>
      <c r="F21" s="136"/>
      <c r="G21" s="16"/>
      <c r="H21" s="16"/>
      <c r="I21" s="16"/>
      <c r="J21" s="16"/>
      <c r="K21" s="16"/>
    </row>
    <row r="22" spans="1:11" ht="20.100000000000001" customHeight="1">
      <c r="A22" s="146" t="s">
        <v>78</v>
      </c>
      <c r="B22" s="147"/>
      <c r="C22" s="147"/>
      <c r="D22" s="147"/>
      <c r="E22" s="147"/>
      <c r="F22" s="148"/>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40"/>
      <c r="C36" s="141"/>
      <c r="D36" s="141"/>
      <c r="E36" s="141"/>
      <c r="F36" s="142"/>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3"/>
      <c r="C16" s="144"/>
      <c r="D16" s="144"/>
      <c r="E16" s="144"/>
      <c r="F16" s="145"/>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4" t="s">
        <v>94</v>
      </c>
      <c r="B19" s="135"/>
      <c r="C19" s="135"/>
      <c r="D19" s="135"/>
      <c r="E19" s="135"/>
      <c r="F19" s="136"/>
      <c r="G19" s="28"/>
      <c r="H19" s="28"/>
      <c r="I19" s="28"/>
      <c r="J19" s="16"/>
      <c r="K19" s="16"/>
    </row>
    <row r="20" spans="1:11" ht="21.75" customHeight="1">
      <c r="A20" s="134" t="s">
        <v>95</v>
      </c>
      <c r="B20" s="135"/>
      <c r="C20" s="135"/>
      <c r="D20" s="135"/>
      <c r="E20" s="135"/>
      <c r="F20" s="136"/>
      <c r="G20" s="16"/>
      <c r="H20" s="16"/>
      <c r="I20" s="16"/>
      <c r="J20" s="16"/>
      <c r="K20" s="16"/>
    </row>
    <row r="21" spans="1:11" ht="20.100000000000001" customHeight="1">
      <c r="A21" s="146" t="s">
        <v>96</v>
      </c>
      <c r="B21" s="147"/>
      <c r="C21" s="147"/>
      <c r="D21" s="147"/>
      <c r="E21" s="147"/>
      <c r="F21" s="148"/>
      <c r="G21" s="16"/>
      <c r="H21" s="16"/>
      <c r="I21" s="16"/>
      <c r="J21" s="16"/>
      <c r="K21" s="16"/>
    </row>
    <row r="22" spans="1:11" ht="20.100000000000001" customHeight="1">
      <c r="A22" s="146" t="s">
        <v>97</v>
      </c>
      <c r="B22" s="147"/>
      <c r="C22" s="147"/>
      <c r="D22" s="147"/>
      <c r="E22" s="147"/>
      <c r="F22" s="148"/>
      <c r="G22" s="16"/>
      <c r="H22" s="16"/>
      <c r="I22" s="16"/>
      <c r="J22" s="16"/>
      <c r="K22" s="16"/>
    </row>
    <row r="23" spans="1:11" ht="34.5" customHeight="1">
      <c r="A23" s="134" t="s">
        <v>98</v>
      </c>
      <c r="B23" s="147"/>
      <c r="C23" s="147"/>
      <c r="D23" s="147"/>
      <c r="E23" s="147"/>
      <c r="F23" s="148"/>
      <c r="G23" s="16"/>
      <c r="H23" s="16"/>
      <c r="I23" s="16"/>
      <c r="J23" s="16"/>
      <c r="K23" s="16"/>
    </row>
    <row r="24" spans="1:11" ht="33" customHeight="1">
      <c r="A24" s="134" t="s">
        <v>99</v>
      </c>
      <c r="B24" s="147"/>
      <c r="C24" s="147"/>
      <c r="D24" s="147"/>
      <c r="E24" s="147"/>
      <c r="F24" s="148"/>
      <c r="G24" s="16"/>
      <c r="H24" s="16"/>
      <c r="I24" s="16"/>
      <c r="J24" s="16"/>
      <c r="K24" s="16"/>
    </row>
    <row r="25" spans="1:11" ht="33" customHeight="1">
      <c r="A25" s="134" t="s">
        <v>100</v>
      </c>
      <c r="B25" s="147"/>
      <c r="C25" s="147"/>
      <c r="D25" s="147"/>
      <c r="E25" s="147"/>
      <c r="F25" s="148"/>
      <c r="G25" s="16"/>
      <c r="H25" s="16"/>
      <c r="I25" s="16"/>
      <c r="J25" s="16"/>
      <c r="K25" s="16"/>
    </row>
    <row r="26" spans="1:11" ht="33" customHeight="1">
      <c r="A26" s="134" t="s">
        <v>101</v>
      </c>
      <c r="B26" s="147"/>
      <c r="C26" s="147"/>
      <c r="D26" s="147"/>
      <c r="E26" s="147"/>
      <c r="F26" s="148"/>
      <c r="G26" s="16"/>
      <c r="H26" s="16"/>
      <c r="I26" s="16"/>
      <c r="J26" s="16"/>
      <c r="K26" s="16"/>
    </row>
    <row r="27" spans="1:11" ht="20.100000000000001" customHeight="1">
      <c r="A27" s="146" t="s">
        <v>102</v>
      </c>
      <c r="B27" s="147"/>
      <c r="C27" s="147"/>
      <c r="D27" s="147"/>
      <c r="E27" s="147"/>
      <c r="F27" s="148"/>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40"/>
      <c r="C41" s="141"/>
      <c r="D41" s="141"/>
      <c r="E41" s="141"/>
      <c r="F41" s="142"/>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3"/>
      <c r="C16" s="144"/>
      <c r="D16" s="144"/>
      <c r="E16" s="144"/>
      <c r="F16" s="145"/>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4" t="s">
        <v>113</v>
      </c>
      <c r="B19" s="147"/>
      <c r="C19" s="147"/>
      <c r="D19" s="147"/>
      <c r="E19" s="147"/>
      <c r="F19" s="148"/>
      <c r="G19" s="28"/>
      <c r="H19" s="28"/>
      <c r="I19" s="28"/>
      <c r="J19" s="16"/>
      <c r="K19" s="16"/>
    </row>
    <row r="20" spans="1:11" ht="22.5" customHeight="1">
      <c r="A20" s="134" t="s">
        <v>114</v>
      </c>
      <c r="B20" s="135"/>
      <c r="C20" s="135"/>
      <c r="D20" s="135"/>
      <c r="E20" s="135"/>
      <c r="F20" s="136"/>
      <c r="G20" s="16"/>
      <c r="H20" s="16"/>
      <c r="I20" s="16"/>
      <c r="J20" s="16"/>
      <c r="K20" s="16"/>
    </row>
    <row r="21" spans="1:11" ht="20.100000000000001" customHeight="1">
      <c r="A21" s="146" t="s">
        <v>115</v>
      </c>
      <c r="B21" s="147"/>
      <c r="C21" s="147"/>
      <c r="D21" s="147"/>
      <c r="E21" s="147"/>
      <c r="F21" s="148"/>
      <c r="G21" s="16"/>
      <c r="H21" s="16"/>
      <c r="I21" s="16"/>
      <c r="J21" s="16"/>
      <c r="K21" s="16"/>
    </row>
    <row r="22" spans="1:11" ht="26.25" customHeight="1">
      <c r="A22" s="134" t="s">
        <v>116</v>
      </c>
      <c r="B22" s="135"/>
      <c r="C22" s="135"/>
      <c r="D22" s="135"/>
      <c r="E22" s="135"/>
      <c r="F22" s="136"/>
      <c r="G22" s="16"/>
      <c r="H22" s="16"/>
      <c r="I22" s="16"/>
      <c r="J22" s="16"/>
      <c r="K22" s="16"/>
    </row>
    <row r="23" spans="1:11" ht="26.25" customHeight="1">
      <c r="A23" s="134" t="s">
        <v>117</v>
      </c>
      <c r="B23" s="135"/>
      <c r="C23" s="135"/>
      <c r="D23" s="135"/>
      <c r="E23" s="135"/>
      <c r="F23" s="136"/>
      <c r="G23" s="16"/>
      <c r="H23" s="16"/>
      <c r="I23" s="16"/>
      <c r="J23" s="16"/>
      <c r="K23" s="16"/>
    </row>
    <row r="24" spans="1:11" ht="26.25" customHeight="1">
      <c r="A24" s="134" t="s">
        <v>118</v>
      </c>
      <c r="B24" s="135"/>
      <c r="C24" s="135"/>
      <c r="D24" s="135"/>
      <c r="E24" s="135"/>
      <c r="F24" s="136"/>
      <c r="G24" s="16"/>
      <c r="H24" s="16"/>
      <c r="I24" s="16"/>
      <c r="J24" s="16"/>
      <c r="K24" s="16"/>
    </row>
    <row r="25" spans="1:11" ht="20.100000000000001" customHeight="1">
      <c r="A25" s="146" t="s">
        <v>119</v>
      </c>
      <c r="B25" s="147"/>
      <c r="C25" s="147"/>
      <c r="D25" s="147"/>
      <c r="E25" s="147"/>
      <c r="F25" s="148"/>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40"/>
      <c r="C39" s="141"/>
      <c r="D39" s="141"/>
      <c r="E39" s="141"/>
      <c r="F39" s="142"/>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7" t="s">
        <v>18</v>
      </c>
      <c r="B1" s="137"/>
      <c r="C1" s="137"/>
      <c r="D1" s="137"/>
      <c r="E1" s="137"/>
      <c r="F1" s="137"/>
      <c r="G1" s="71"/>
      <c r="H1" s="71"/>
      <c r="I1" s="71"/>
      <c r="J1" s="71"/>
      <c r="K1" s="71"/>
    </row>
    <row r="2" spans="1:11" ht="24" customHeight="1">
      <c r="A2" s="138" t="s">
        <v>68</v>
      </c>
      <c r="B2" s="139"/>
      <c r="C2" s="139"/>
      <c r="D2" s="139"/>
      <c r="E2" s="139"/>
      <c r="F2" s="139"/>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40"/>
      <c r="C7" s="141"/>
      <c r="D7" s="141"/>
      <c r="E7" s="141"/>
      <c r="F7" s="142"/>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3"/>
      <c r="C16" s="144"/>
      <c r="D16" s="144"/>
      <c r="E16" s="144"/>
      <c r="F16" s="145"/>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4" t="s">
        <v>121</v>
      </c>
      <c r="B19" s="147"/>
      <c r="C19" s="147"/>
      <c r="D19" s="147"/>
      <c r="E19" s="147"/>
      <c r="F19" s="148"/>
      <c r="G19" s="28"/>
      <c r="H19" s="28"/>
      <c r="I19" s="28"/>
      <c r="J19" s="16"/>
      <c r="K19" s="16"/>
    </row>
    <row r="20" spans="1:11" ht="21" customHeight="1">
      <c r="A20" s="134" t="s">
        <v>122</v>
      </c>
      <c r="B20" s="135"/>
      <c r="C20" s="135"/>
      <c r="D20" s="135"/>
      <c r="E20" s="135"/>
      <c r="F20" s="136"/>
      <c r="G20" s="16"/>
      <c r="H20" s="16"/>
      <c r="I20" s="16"/>
      <c r="J20" s="16"/>
      <c r="K20" s="16"/>
    </row>
    <row r="21" spans="1:11" ht="29.25" customHeight="1">
      <c r="A21" s="134" t="s">
        <v>123</v>
      </c>
      <c r="B21" s="135"/>
      <c r="C21" s="135"/>
      <c r="D21" s="135"/>
      <c r="E21" s="135"/>
      <c r="F21" s="136"/>
      <c r="G21" s="16"/>
      <c r="H21" s="16"/>
      <c r="I21" s="16"/>
      <c r="J21" s="16"/>
      <c r="K21" s="16"/>
    </row>
    <row r="22" spans="1:11" ht="29.25" customHeight="1">
      <c r="A22" s="134" t="s">
        <v>124</v>
      </c>
      <c r="B22" s="135"/>
      <c r="C22" s="135"/>
      <c r="D22" s="135"/>
      <c r="E22" s="135"/>
      <c r="F22" s="136"/>
      <c r="G22" s="16"/>
      <c r="H22" s="16"/>
      <c r="I22" s="16"/>
      <c r="J22" s="16"/>
      <c r="K22" s="16"/>
    </row>
    <row r="23" spans="1:11" ht="21" customHeight="1">
      <c r="A23" s="134" t="s">
        <v>119</v>
      </c>
      <c r="B23" s="135"/>
      <c r="C23" s="135"/>
      <c r="D23" s="135"/>
      <c r="E23" s="135"/>
      <c r="F23" s="136"/>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40"/>
      <c r="C37" s="141"/>
      <c r="D37" s="141"/>
      <c r="E37" s="141"/>
      <c r="F37" s="142"/>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49" t="s">
        <v>125</v>
      </c>
      <c r="B1" s="149"/>
      <c r="C1" s="149"/>
      <c r="D1" s="149"/>
      <c r="E1" s="149"/>
      <c r="F1" s="149"/>
    </row>
    <row r="2" spans="1:6" ht="24" customHeight="1">
      <c r="A2" s="150" t="s">
        <v>126</v>
      </c>
      <c r="B2" s="150"/>
      <c r="C2" s="150"/>
      <c r="D2" s="150"/>
      <c r="E2" s="150"/>
      <c r="F2" s="150"/>
    </row>
    <row r="3" spans="1:6" ht="17.25" customHeight="1">
      <c r="A3" s="75" t="str">
        <f>'表头（请先填写）'!A2</f>
        <v>客户名称：</v>
      </c>
      <c r="D3" s="75" t="str">
        <f>'[8]表头（请先填写）'!A4</f>
        <v>编制人：</v>
      </c>
      <c r="E3" s="75" t="str">
        <f>'[8]表头（请先填写）'!A5</f>
        <v>日 期：</v>
      </c>
      <c r="F3" s="75" t="s">
        <v>249</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51" t="s">
        <v>131</v>
      </c>
      <c r="B11" s="151"/>
      <c r="C11" s="90" t="s">
        <v>132</v>
      </c>
      <c r="D11" s="152" t="s">
        <v>133</v>
      </c>
      <c r="E11" s="153"/>
      <c r="F11" s="90" t="s">
        <v>134</v>
      </c>
    </row>
    <row r="12" spans="1:6" s="91" customFormat="1" ht="68.25" customHeight="1">
      <c r="A12" s="154" t="s">
        <v>135</v>
      </c>
      <c r="B12" s="155"/>
      <c r="C12" s="158"/>
      <c r="D12" s="160"/>
      <c r="E12" s="155"/>
      <c r="F12" s="92"/>
    </row>
    <row r="13" spans="1:6" s="91" customFormat="1" ht="17.25" customHeight="1">
      <c r="A13" s="156"/>
      <c r="B13" s="157"/>
      <c r="C13" s="159"/>
      <c r="D13" s="161" t="str">
        <f>IF(C12="否","不属于控制偏差；进入步骤六",IF(C12="是","进入步骤二",""))</f>
        <v/>
      </c>
      <c r="E13" s="162"/>
      <c r="F13" s="93"/>
    </row>
    <row r="14" spans="1:6" s="91" customFormat="1" ht="68.25" customHeight="1">
      <c r="A14" s="154" t="s">
        <v>136</v>
      </c>
      <c r="B14" s="155"/>
      <c r="C14" s="158"/>
      <c r="D14" s="160"/>
      <c r="E14" s="155"/>
      <c r="F14" s="92"/>
    </row>
    <row r="15" spans="1:6" s="91" customFormat="1" ht="17.25" customHeight="1">
      <c r="A15" s="156"/>
      <c r="B15" s="157"/>
      <c r="C15" s="159"/>
      <c r="D15" s="161" t="str">
        <f>IF(C14="随机性偏差","确定应对措施；进入步骤三",IF(OR(C14="系统性偏差",C14="人为偏差"),"属于控制缺陷；进入步骤五",""))</f>
        <v/>
      </c>
      <c r="E15" s="162"/>
      <c r="F15" s="93"/>
    </row>
    <row r="16" spans="1:6" s="91" customFormat="1" ht="72.75" customHeight="1">
      <c r="A16" s="154" t="s">
        <v>137</v>
      </c>
      <c r="B16" s="155"/>
      <c r="C16" s="158"/>
      <c r="D16" s="160"/>
      <c r="E16" s="155"/>
      <c r="F16" s="92"/>
    </row>
    <row r="17" spans="1:6" s="91" customFormat="1" ht="18" customHeight="1">
      <c r="A17" s="156"/>
      <c r="B17" s="157"/>
      <c r="C17" s="159"/>
      <c r="D17" s="161" t="str">
        <f>IF(C16="直接认定为偏差","进入步骤五",IF(C16="扩大样本量","进入步骤四",""))</f>
        <v/>
      </c>
      <c r="E17" s="162"/>
      <c r="F17" s="93"/>
    </row>
    <row r="18" spans="1:6" s="91" customFormat="1" ht="69" customHeight="1">
      <c r="A18" s="154" t="s">
        <v>138</v>
      </c>
      <c r="B18" s="155"/>
      <c r="C18" s="158"/>
      <c r="D18" s="160"/>
      <c r="E18" s="155"/>
      <c r="F18" s="92"/>
    </row>
    <row r="19" spans="1:6" s="91" customFormat="1" ht="17.25" customHeight="1">
      <c r="A19" s="156"/>
      <c r="B19" s="157"/>
      <c r="C19" s="159"/>
      <c r="D19" s="161" t="str">
        <f>IF(C18="否","控制有效",IF(C18="是","该控制无效；进入步骤五",""))</f>
        <v/>
      </c>
      <c r="E19" s="162"/>
      <c r="F19" s="93"/>
    </row>
    <row r="20" spans="1:6" s="91" customFormat="1" ht="21" customHeight="1">
      <c r="A20" s="160" t="s">
        <v>139</v>
      </c>
      <c r="B20" s="155"/>
      <c r="C20" s="158" t="str">
        <f>IF(OR(D17="进入步骤五",D19="该控制无效；进入步骤五"),"评价缺陷","")</f>
        <v/>
      </c>
      <c r="D20" s="154"/>
      <c r="E20" s="155"/>
      <c r="F20" s="94"/>
    </row>
    <row r="21" spans="1:6" s="91" customFormat="1" ht="21" customHeight="1">
      <c r="A21" s="156"/>
      <c r="B21" s="157"/>
      <c r="C21" s="159"/>
      <c r="D21" s="161" t="str">
        <f>IF(OR(D17="进入步骤五",D19="该控制无效；进入步骤五"),"进入内部控制缺陷评价底稿","")</f>
        <v/>
      </c>
      <c r="E21" s="162"/>
      <c r="F21" s="95" t="str">
        <f>IF(LEN(D21)&gt;0,"T2","")</f>
        <v/>
      </c>
    </row>
    <row r="22" spans="1:6" s="91" customFormat="1" ht="97.5" customHeight="1">
      <c r="A22" s="160" t="s">
        <v>140</v>
      </c>
      <c r="B22" s="155"/>
      <c r="C22" s="158"/>
      <c r="D22" s="160"/>
      <c r="E22" s="155"/>
      <c r="F22" s="92"/>
    </row>
    <row r="23" spans="1:6" s="91" customFormat="1" ht="19.5" customHeight="1">
      <c r="A23" s="156"/>
      <c r="B23" s="157"/>
      <c r="C23" s="159"/>
      <c r="D23" s="161" t="str">
        <f>IF(C22="否","该控制例外情况不构成偏差或缺陷",IF(C22="是","存在设计缺陷；回到步骤五",""))</f>
        <v/>
      </c>
      <c r="E23" s="162"/>
      <c r="F23" s="93"/>
    </row>
    <row r="24" spans="1:6" s="91" customFormat="1" ht="45.75" customHeight="1">
      <c r="A24" s="163" t="s">
        <v>141</v>
      </c>
      <c r="B24" s="164"/>
      <c r="C24" s="96"/>
      <c r="D24" s="165" t="s">
        <v>142</v>
      </c>
      <c r="E24" s="166"/>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topLeftCell="A46"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49" t="s">
        <v>125</v>
      </c>
      <c r="B1" s="149"/>
      <c r="C1" s="149"/>
      <c r="D1" s="149"/>
      <c r="E1" s="149"/>
      <c r="F1" s="149"/>
    </row>
    <row r="2" spans="1:6" ht="24" customHeight="1">
      <c r="A2" s="167" t="s">
        <v>191</v>
      </c>
      <c r="B2" s="150"/>
      <c r="C2" s="150"/>
      <c r="D2" s="150"/>
      <c r="E2" s="150"/>
      <c r="F2" s="150"/>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51" t="s">
        <v>199</v>
      </c>
      <c r="B10" s="151"/>
      <c r="C10" s="90" t="s">
        <v>200</v>
      </c>
      <c r="D10" s="152" t="s">
        <v>201</v>
      </c>
      <c r="E10" s="153"/>
      <c r="F10" s="90" t="s">
        <v>202</v>
      </c>
    </row>
    <row r="11" spans="1:6" s="91" customFormat="1" ht="33.75" customHeight="1">
      <c r="A11" s="168" t="s">
        <v>203</v>
      </c>
      <c r="B11" s="155"/>
      <c r="C11" s="158" t="s">
        <v>204</v>
      </c>
      <c r="D11" s="168" t="s">
        <v>205</v>
      </c>
      <c r="E11" s="155"/>
      <c r="F11" s="92"/>
    </row>
    <row r="12" spans="1:6" s="91" customFormat="1" ht="17.25" customHeight="1">
      <c r="A12" s="169"/>
      <c r="B12" s="170"/>
      <c r="C12" s="171"/>
      <c r="D12" s="161" t="str">
        <f>IF(C11="是","进入步骤二","")</f>
        <v>进入步骤二</v>
      </c>
      <c r="E12" s="162"/>
      <c r="F12" s="93"/>
    </row>
    <row r="13" spans="1:6" s="91" customFormat="1" ht="35.25" customHeight="1">
      <c r="A13" s="169"/>
      <c r="B13" s="170"/>
      <c r="C13" s="171"/>
      <c r="D13" s="154"/>
      <c r="E13" s="155"/>
      <c r="F13" s="92"/>
    </row>
    <row r="14" spans="1:6" s="91" customFormat="1" ht="17.25" customHeight="1">
      <c r="A14" s="156"/>
      <c r="B14" s="157"/>
      <c r="C14" s="159"/>
      <c r="D14" s="161" t="str">
        <f>IF(C11="否","不属于控制偏差；进入步骤六","")</f>
        <v/>
      </c>
      <c r="E14" s="162"/>
      <c r="F14" s="93"/>
    </row>
    <row r="15" spans="1:6" s="91" customFormat="1" ht="36" customHeight="1">
      <c r="A15" s="168" t="s">
        <v>206</v>
      </c>
      <c r="B15" s="155"/>
      <c r="C15" s="158" t="s">
        <v>207</v>
      </c>
      <c r="D15" s="160"/>
      <c r="E15" s="155"/>
      <c r="F15" s="92"/>
    </row>
    <row r="16" spans="1:6" s="91" customFormat="1" ht="17.25" customHeight="1">
      <c r="A16" s="169"/>
      <c r="B16" s="170"/>
      <c r="C16" s="171"/>
      <c r="D16" s="161" t="str">
        <f>IF(OR(C15="系统性偏差",C15="人为偏差"),"属于控制缺陷；进入步骤五","")</f>
        <v/>
      </c>
      <c r="E16" s="162"/>
      <c r="F16" s="93"/>
    </row>
    <row r="17" spans="1:6" s="91" customFormat="1" ht="45" customHeight="1">
      <c r="A17" s="169"/>
      <c r="B17" s="170"/>
      <c r="C17" s="171"/>
      <c r="D17" s="172" t="s">
        <v>208</v>
      </c>
      <c r="E17" s="155"/>
      <c r="F17" s="92"/>
    </row>
    <row r="18" spans="1:6" s="91" customFormat="1" ht="17.25" customHeight="1">
      <c r="A18" s="156"/>
      <c r="B18" s="157"/>
      <c r="C18" s="159"/>
      <c r="D18" s="161" t="str">
        <f>IF(C15="随机性偏差","确定应对措施；进入步骤三","")</f>
        <v>确定应对措施；进入步骤三</v>
      </c>
      <c r="E18" s="162"/>
      <c r="F18" s="93"/>
    </row>
    <row r="19" spans="1:6" s="91" customFormat="1" ht="36" customHeight="1">
      <c r="A19" s="168" t="s">
        <v>209</v>
      </c>
      <c r="B19" s="155"/>
      <c r="C19" s="158" t="s">
        <v>210</v>
      </c>
      <c r="D19" s="168" t="s">
        <v>211</v>
      </c>
      <c r="E19" s="155"/>
      <c r="F19" s="92"/>
    </row>
    <row r="20" spans="1:6" s="91" customFormat="1" ht="18" customHeight="1">
      <c r="A20" s="169"/>
      <c r="B20" s="170"/>
      <c r="C20" s="171"/>
      <c r="D20" s="161" t="str">
        <f>IF(C19="扩大样本量","进入步骤四","")</f>
        <v>进入步骤四</v>
      </c>
      <c r="E20" s="162"/>
      <c r="F20" s="93"/>
    </row>
    <row r="21" spans="1:6" s="91" customFormat="1" ht="18" customHeight="1">
      <c r="A21" s="169"/>
      <c r="B21" s="170"/>
      <c r="C21" s="171"/>
      <c r="D21" s="154"/>
      <c r="E21" s="155"/>
      <c r="F21" s="92"/>
    </row>
    <row r="22" spans="1:6" s="91" customFormat="1" ht="18" customHeight="1">
      <c r="A22" s="156"/>
      <c r="B22" s="157"/>
      <c r="C22" s="159"/>
      <c r="D22" s="161" t="str">
        <f>IF(C19="直接认定为偏差","进入步骤五","")</f>
        <v/>
      </c>
      <c r="E22" s="162"/>
      <c r="F22" s="93"/>
    </row>
    <row r="23" spans="1:6" s="91" customFormat="1" ht="19.5" customHeight="1">
      <c r="A23" s="168" t="s">
        <v>212</v>
      </c>
      <c r="B23" s="155"/>
      <c r="C23" s="158" t="s">
        <v>213</v>
      </c>
      <c r="D23" s="160"/>
      <c r="E23" s="155"/>
      <c r="F23" s="92"/>
    </row>
    <row r="24" spans="1:6" s="91" customFormat="1" ht="17.25" customHeight="1">
      <c r="A24" s="169"/>
      <c r="B24" s="170"/>
      <c r="C24" s="171"/>
      <c r="D24" s="161" t="str">
        <f>IF(C23="是","该控制无效；进入步骤五","")</f>
        <v/>
      </c>
      <c r="E24" s="162"/>
      <c r="F24" s="93"/>
    </row>
    <row r="25" spans="1:6" s="91" customFormat="1" ht="33.75" customHeight="1">
      <c r="A25" s="169"/>
      <c r="B25" s="170"/>
      <c r="C25" s="171"/>
      <c r="D25" s="168" t="s">
        <v>214</v>
      </c>
      <c r="E25" s="155"/>
      <c r="F25" s="92"/>
    </row>
    <row r="26" spans="1:6" s="91" customFormat="1" ht="17.25" customHeight="1">
      <c r="A26" s="156"/>
      <c r="B26" s="157"/>
      <c r="C26" s="159"/>
      <c r="D26" s="161" t="str">
        <f>IF(C23="否","控制有效","")</f>
        <v>控制有效</v>
      </c>
      <c r="E26" s="162"/>
      <c r="F26" s="93"/>
    </row>
    <row r="27" spans="1:6" s="91" customFormat="1" ht="21" customHeight="1">
      <c r="A27" s="160" t="s">
        <v>215</v>
      </c>
      <c r="B27" s="155"/>
      <c r="C27" s="158" t="str">
        <f>IF(OR(D22="进入步骤五",D24="该控制无效；进入步骤五"),"评价缺陷","")</f>
        <v/>
      </c>
      <c r="D27" s="154"/>
      <c r="E27" s="155"/>
      <c r="F27" s="94"/>
    </row>
    <row r="28" spans="1:6" s="91" customFormat="1" ht="21" customHeight="1">
      <c r="A28" s="156"/>
      <c r="B28" s="157"/>
      <c r="C28" s="159"/>
      <c r="D28" s="161" t="str">
        <f>IF(C27="评价缺陷","进入内部控制缺陷评价底稿","")</f>
        <v/>
      </c>
      <c r="E28" s="162"/>
      <c r="F28" s="95" t="str">
        <f>IF(LEN(D28)&gt;0,"T2","")</f>
        <v/>
      </c>
    </row>
    <row r="29" spans="1:6" s="91" customFormat="1" ht="26.25" customHeight="1">
      <c r="A29" s="168" t="s">
        <v>216</v>
      </c>
      <c r="B29" s="155"/>
      <c r="C29" s="158"/>
      <c r="D29" s="160"/>
      <c r="E29" s="155"/>
      <c r="F29" s="92"/>
    </row>
    <row r="30" spans="1:6" s="91" customFormat="1" ht="19.5" customHeight="1">
      <c r="A30" s="169"/>
      <c r="B30" s="170"/>
      <c r="C30" s="171"/>
      <c r="D30" s="161" t="str">
        <f>IF(C29="是","存在设计缺陷；回到步骤五","")</f>
        <v/>
      </c>
      <c r="E30" s="162"/>
      <c r="F30" s="93"/>
    </row>
    <row r="31" spans="1:6" s="91" customFormat="1" ht="30.75" customHeight="1">
      <c r="A31" s="169"/>
      <c r="B31" s="170"/>
      <c r="C31" s="171"/>
      <c r="D31" s="154"/>
      <c r="E31" s="155"/>
      <c r="F31" s="92"/>
    </row>
    <row r="32" spans="1:6" s="91" customFormat="1" ht="19.5" customHeight="1">
      <c r="A32" s="156"/>
      <c r="B32" s="157"/>
      <c r="C32" s="159"/>
      <c r="D32" s="161" t="str">
        <f>IF(C29="否","该控制例外情况不构成偏差或缺陷","")</f>
        <v/>
      </c>
      <c r="E32" s="162"/>
      <c r="F32" s="93"/>
    </row>
    <row r="33" spans="1:6" s="91" customFormat="1" ht="39" customHeight="1">
      <c r="A33" s="163" t="s">
        <v>217</v>
      </c>
      <c r="B33" s="164"/>
      <c r="C33" s="96"/>
      <c r="D33" s="173" t="s">
        <v>218</v>
      </c>
      <c r="E33" s="166"/>
      <c r="F33" s="97"/>
    </row>
    <row r="34" spans="1:6" s="91" customFormat="1" ht="12.75"/>
    <row r="35" spans="1:6" s="91"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C8控制测试汇总表</vt:lpstr>
      <vt:lpstr>C8-1控制测试过程记录表（询问&amp;观察）</vt:lpstr>
      <vt:lpstr>C8-1控制测试过程记录表（抽样）</vt:lpstr>
      <vt:lpstr>C8-1控制测试过程记录表（重新执行）</vt:lpstr>
      <vt:lpstr>C8-1控制测试过程记录表（CAAT）</vt:lpstr>
      <vt:lpstr>C8-1控制测试过程记录表（管理层-重新执行）</vt:lpstr>
      <vt:lpstr>C8-1控制测试过程记录表（管理层-仅复核）</vt:lpstr>
      <vt:lpstr>C8-2评价控制偏差</vt:lpstr>
      <vt:lpstr>示例-评价控制偏差</vt:lpstr>
      <vt:lpstr>GT_Custom</vt:lpstr>
      <vt:lpstr>'C8-2评价控制偏差'!Print_Area</vt:lpstr>
      <vt:lpstr>'C8控制测试汇总表'!Print_Area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2013-12-25T02:21:11Z</dcterms:modified>
</cp:coreProperties>
</file>