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240" yWindow="105" windowWidth="11715" windowHeight="6705" activeTab="1"/>
  </bookViews>
  <sheets>
    <sheet name="表头（请先填写）" sheetId="6" r:id="rId1"/>
    <sheet name="C14控制测试汇总表" sheetId="25" r:id="rId2"/>
    <sheet name="C14-1控制测试过程记录表（询问&amp;观察）" sheetId="31" r:id="rId3"/>
    <sheet name="C14-1控制测试过程记录表（抽样）" sheetId="26" r:id="rId4"/>
    <sheet name="C14-1控制测试过程记录表（重新执行）" sheetId="27" r:id="rId5"/>
    <sheet name="C14-1控制测试过程记录表（CAAT）" sheetId="29" r:id="rId6"/>
    <sheet name="C14-1控制测试过程记录表（管理层-重新执行）" sheetId="32" r:id="rId7"/>
    <sheet name="C14-1控制测试过程记录表（管理层-仅复核）" sheetId="33" r:id="rId8"/>
    <sheet name="C14-2评价控制偏差" sheetId="34" r:id="rId9"/>
    <sheet name="示例-评价控制偏差" sheetId="35" r:id="rId10"/>
    <sheet name="GT_Custom" sheetId="17"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s>
  <definedNames>
    <definedName name="_1、" localSheetId="5">#REF!</definedName>
    <definedName name="_1、" localSheetId="7">#REF!</definedName>
    <definedName name="_1、" localSheetId="6">#REF!</definedName>
    <definedName name="_1、" localSheetId="2">#REF!</definedName>
    <definedName name="_1、" localSheetId="4">#REF!</definedName>
    <definedName name="_1、">#REF!</definedName>
    <definedName name="_1、受本循环影响的相关交易和账户余额" localSheetId="5">#REF!</definedName>
    <definedName name="_1、受本循环影响的相关交易和账户余额" localSheetId="7">#REF!</definedName>
    <definedName name="_1、受本循环影响的相关交易和账户余额" localSheetId="6">#REF!</definedName>
    <definedName name="_1、受本循环影响的相关交易和账户余额" localSheetId="2">#REF!</definedName>
    <definedName name="_1、受本循环影响的相关交易和账户余额" localSheetId="4">#REF!</definedName>
    <definedName name="_1、受本循环影响的相关交易和账户余额">#REF!</definedName>
    <definedName name="_2、主要业务活动" localSheetId="5">#REF!</definedName>
    <definedName name="_2、主要业务活动" localSheetId="7">#REF!</definedName>
    <definedName name="_2、主要业务活动" localSheetId="6">#REF!</definedName>
    <definedName name="_2、主要业务活动" localSheetId="2">#REF!</definedName>
    <definedName name="_2、主要业务活动" localSheetId="4">#REF!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 localSheetId="7">#REF!</definedName>
    <definedName name="_2、注册会计师通常应在本循环中了解与上述业务活动相关的内部控制_如果计划在其他业务循环中对上述" localSheetId="6">#REF!</definedName>
    <definedName name="_2、注册会计师通常应在本循环中了解与上述业务活动相关的内部控制_如果计划在其他业务循环中对上述" localSheetId="2">#REF!</definedName>
    <definedName name="_2、注册会计师通常应在本循环中了解与上述业务活动相关的内部控制_如果计划在其他业务循环中对上述" localSheetId="4">#REF!</definedName>
    <definedName name="_2、注册会计师通常应在本循环中了解与上述业务活动相关的内部控制_如果计划在其他业务循环中对上述">#REF!</definedName>
    <definedName name="AFV" localSheetId="5" hidden="1">#REF!</definedName>
    <definedName name="AFV" localSheetId="7" hidden="1">#REF!</definedName>
    <definedName name="AFV" localSheetId="6" hidden="1">#REF!</definedName>
    <definedName name="AFV" localSheetId="2" hidden="1">#REF!</definedName>
    <definedName name="AFV" localSheetId="4" hidden="1">#REF!</definedName>
    <definedName name="AFV" hidden="1">#REF!</definedName>
    <definedName name="AS2DocOpenMode" hidden="1">"AS2DocumentEdit"</definedName>
    <definedName name="a暗暗">[1]企业表一!$F$20</definedName>
    <definedName name="CarryKnown" localSheetId="5">#REF!</definedName>
    <definedName name="CarryKnown" localSheetId="7">#REF!</definedName>
    <definedName name="CarryKnown" localSheetId="6">#REF!</definedName>
    <definedName name="CarryKnown" localSheetId="2">#REF!</definedName>
    <definedName name="CarryKnown" localSheetId="4">#REF!</definedName>
    <definedName name="CarryKnown">#REF!</definedName>
    <definedName name="CarryKnownTable" localSheetId="5">#REF!</definedName>
    <definedName name="CarryKnownTable" localSheetId="7">#REF!</definedName>
    <definedName name="CarryKnownTable" localSheetId="6">#REF!</definedName>
    <definedName name="CarryKnownTable" localSheetId="2">#REF!</definedName>
    <definedName name="CarryKnownTable" localSheetId="4">#REF!</definedName>
    <definedName name="CarryKnownTable">#REF!</definedName>
    <definedName name="CarryLikely" localSheetId="5">#REF!</definedName>
    <definedName name="CarryLikely" localSheetId="7">#REF!</definedName>
    <definedName name="CarryLikely" localSheetId="6">#REF!</definedName>
    <definedName name="CarryLikely" localSheetId="2">#REF!</definedName>
    <definedName name="CarryLikely" localSheetId="4">#REF!</definedName>
    <definedName name="CarryLikely">#REF!</definedName>
    <definedName name="CarryLikelyTable" localSheetId="5">#REF!</definedName>
    <definedName name="CarryLikelyTable" localSheetId="7">#REF!</definedName>
    <definedName name="CarryLikelyTable" localSheetId="6">#REF!</definedName>
    <definedName name="CarryLikelyTable" localSheetId="2">#REF!</definedName>
    <definedName name="CarryLikelyTable" localSheetId="4">#REF!</definedName>
    <definedName name="CarryLikelyTable">#REF!</definedName>
    <definedName name="Carryover_Effect_of_Prior_Year" localSheetId="5">#REF!</definedName>
    <definedName name="Carryover_Effect_of_Prior_Year" localSheetId="7">#REF!</definedName>
    <definedName name="Carryover_Effect_of_Prior_Year" localSheetId="6">#REF!</definedName>
    <definedName name="Carryover_Effect_of_Prior_Year" localSheetId="2">#REF!</definedName>
    <definedName name="Carryover_Effect_of_Prior_Year" localSheetId="4">#REF!</definedName>
    <definedName name="Carryover_Effect_of_Prior_Year">#REF!</definedName>
    <definedName name="CarryoverTitle" localSheetId="5">#REF!</definedName>
    <definedName name="CarryoverTitle" localSheetId="7">#REF!</definedName>
    <definedName name="CarryoverTitle" localSheetId="6">#REF!</definedName>
    <definedName name="CarryoverTitle" localSheetId="2">#REF!</definedName>
    <definedName name="CarryoverTitle" localSheetId="4">#REF!</definedName>
    <definedName name="CarryoverTitle">#REF!</definedName>
    <definedName name="CC_Instruction" localSheetId="5">#REF!</definedName>
    <definedName name="CC_Instruction" localSheetId="7">#REF!</definedName>
    <definedName name="CC_Instruction" localSheetId="6">#REF!</definedName>
    <definedName name="CC_Instruction" localSheetId="2">#REF!</definedName>
    <definedName name="CC_Instruction" localSheetId="4">#REF!</definedName>
    <definedName name="CC_Instruction">#REF!</definedName>
    <definedName name="CCD" localSheetId="5" hidden="1">#REF!</definedName>
    <definedName name="CCD" localSheetId="7" hidden="1">#REF!</definedName>
    <definedName name="CCD" localSheetId="6" hidden="1">#REF!</definedName>
    <definedName name="CCD" localSheetId="2" hidden="1">#REF!</definedName>
    <definedName name="CCD" localSheetId="4" hidden="1">#REF!</definedName>
    <definedName name="CCD" hidden="1">#REF!</definedName>
    <definedName name="CDE" localSheetId="5" hidden="1">#REF!</definedName>
    <definedName name="CDE" localSheetId="7" hidden="1">#REF!</definedName>
    <definedName name="CDE" localSheetId="6" hidden="1">#REF!</definedName>
    <definedName name="CDE" localSheetId="2" hidden="1">#REF!</definedName>
    <definedName name="CDE" localSheetId="4" hidden="1">#REF!</definedName>
    <definedName name="CDE" hidden="1">#REF!</definedName>
    <definedName name="CE_CarryKnownProtection" localSheetId="5">#REF!</definedName>
    <definedName name="CE_CarryKnownProtection" localSheetId="7">#REF!</definedName>
    <definedName name="CE_CarryKnownProtection" localSheetId="6">#REF!</definedName>
    <definedName name="CE_CarryKnownProtection" localSheetId="2">#REF!</definedName>
    <definedName name="CE_CarryKnownProtection" localSheetId="4">#REF!</definedName>
    <definedName name="CE_CarryKnownProtection">#REF!</definedName>
    <definedName name="CE_CarryKnownTable" localSheetId="5">#REF!</definedName>
    <definedName name="CE_CarryKnownTable" localSheetId="7">#REF!</definedName>
    <definedName name="CE_CarryKnownTable" localSheetId="6">#REF!</definedName>
    <definedName name="CE_CarryKnownTable" localSheetId="2">#REF!</definedName>
    <definedName name="CE_CarryKnownTable" localSheetId="4">#REF!</definedName>
    <definedName name="CE_CarryKnownTable">#REF!</definedName>
    <definedName name="CE_CarryLikely1Protection" localSheetId="5">#REF!</definedName>
    <definedName name="CE_CarryLikely1Protection" localSheetId="7">#REF!</definedName>
    <definedName name="CE_CarryLikely1Protection" localSheetId="6">#REF!</definedName>
    <definedName name="CE_CarryLikely1Protection" localSheetId="2">#REF!</definedName>
    <definedName name="CE_CarryLikely1Protection" localSheetId="4">#REF!</definedName>
    <definedName name="CE_CarryLikely1Protection">#REF!</definedName>
    <definedName name="CE_CarryLikely1Table" localSheetId="5">#REF!</definedName>
    <definedName name="CE_CarryLikely1Table" localSheetId="7">#REF!</definedName>
    <definedName name="CE_CarryLikely1Table" localSheetId="6">#REF!</definedName>
    <definedName name="CE_CarryLikely1Table" localSheetId="2">#REF!</definedName>
    <definedName name="CE_CarryLikely1Table" localSheetId="4">#REF!</definedName>
    <definedName name="CE_CarryLikely1Table">#REF!</definedName>
    <definedName name="CE_CarryLikely2Protection" localSheetId="5">#REF!</definedName>
    <definedName name="CE_CarryLikely2Protection" localSheetId="7">#REF!</definedName>
    <definedName name="CE_CarryLikely2Protection" localSheetId="6">#REF!</definedName>
    <definedName name="CE_CarryLikely2Protection" localSheetId="2">#REF!</definedName>
    <definedName name="CE_CarryLikely2Protection" localSheetId="4">#REF!</definedName>
    <definedName name="CE_CarryLikely2Protection">#REF!</definedName>
    <definedName name="CE_CarryLikely2Table" localSheetId="5">#REF!</definedName>
    <definedName name="CE_CarryLikely2Table" localSheetId="7">#REF!</definedName>
    <definedName name="CE_CarryLikely2Table" localSheetId="6">#REF!</definedName>
    <definedName name="CE_CarryLikely2Table" localSheetId="2">#REF!</definedName>
    <definedName name="CE_CarryLikely2Table" localSheetId="4">#REF!</definedName>
    <definedName name="CE_CarryLikely2Table">#REF!</definedName>
    <definedName name="CE_CarryTaxable" localSheetId="5">#REF!</definedName>
    <definedName name="CE_CarryTaxable" localSheetId="7">#REF!</definedName>
    <definedName name="CE_CarryTaxable" localSheetId="6">#REF!</definedName>
    <definedName name="CE_CarryTaxable" localSheetId="2">#REF!</definedName>
    <definedName name="CE_CarryTaxable" localSheetId="4">#REF!</definedName>
    <definedName name="CE_CarryTaxable">#REF!</definedName>
    <definedName name="CE_Desc" localSheetId="5">#REF!</definedName>
    <definedName name="CE_Desc" localSheetId="7">#REF!</definedName>
    <definedName name="CE_Desc" localSheetId="6">#REF!</definedName>
    <definedName name="CE_Desc" localSheetId="2">#REF!</definedName>
    <definedName name="CE_Desc" localSheetId="4">#REF!</definedName>
    <definedName name="CE_Desc">#REF!</definedName>
    <definedName name="CE_Income" localSheetId="5">#REF!</definedName>
    <definedName name="CE_Income" localSheetId="7">#REF!</definedName>
    <definedName name="CE_Income" localSheetId="6">#REF!</definedName>
    <definedName name="CE_Income" localSheetId="2">#REF!</definedName>
    <definedName name="CE_Income" localSheetId="4">#REF!</definedName>
    <definedName name="CE_Income">#REF!</definedName>
    <definedName name="CE_KeepFormat" localSheetId="5">#REF!</definedName>
    <definedName name="CE_KeepFormat" localSheetId="7">#REF!</definedName>
    <definedName name="CE_KeepFormat" localSheetId="6">#REF!</definedName>
    <definedName name="CE_KeepFormat" localSheetId="2">#REF!</definedName>
    <definedName name="CE_KeepFormat" localSheetId="4">#REF!</definedName>
    <definedName name="CE_KeepFormat">#REF!</definedName>
    <definedName name="CE_KnownChange" localSheetId="5">#REF!</definedName>
    <definedName name="CE_KnownChange" localSheetId="7">#REF!</definedName>
    <definedName name="CE_KnownChange" localSheetId="6">#REF!</definedName>
    <definedName name="CE_KnownChange" localSheetId="2">#REF!</definedName>
    <definedName name="CE_KnownChange" localSheetId="4">#REF!</definedName>
    <definedName name="CE_KnownChange">#REF!</definedName>
    <definedName name="CE_KnownFormulaProtection" localSheetId="5">#REF!</definedName>
    <definedName name="CE_KnownFormulaProtection" localSheetId="7">#REF!</definedName>
    <definedName name="CE_KnownFormulaProtection" localSheetId="6">#REF!</definedName>
    <definedName name="CE_KnownFormulaProtection" localSheetId="2">#REF!</definedName>
    <definedName name="CE_KnownFormulaProtection" localSheetId="4">#REF!</definedName>
    <definedName name="CE_KnownFormulaProtection">#REF!</definedName>
    <definedName name="CE_KnownImpact" localSheetId="5">#REF!</definedName>
    <definedName name="CE_KnownImpact" localSheetId="7">#REF!</definedName>
    <definedName name="CE_KnownImpact" localSheetId="6">#REF!</definedName>
    <definedName name="CE_KnownImpact" localSheetId="2">#REF!</definedName>
    <definedName name="CE_KnownImpact" localSheetId="4">#REF!</definedName>
    <definedName name="CE_KnownImpact">#REF!</definedName>
    <definedName name="CE_Likely1Change" localSheetId="5">#REF!</definedName>
    <definedName name="CE_Likely1Change" localSheetId="7">#REF!</definedName>
    <definedName name="CE_Likely1Change" localSheetId="6">#REF!</definedName>
    <definedName name="CE_Likely1Change" localSheetId="2">#REF!</definedName>
    <definedName name="CE_Likely1Change" localSheetId="4">#REF!</definedName>
    <definedName name="CE_Likely1Change">#REF!</definedName>
    <definedName name="CE_Likely1FormulaProtection" localSheetId="5">#REF!</definedName>
    <definedName name="CE_Likely1FormulaProtection" localSheetId="7">#REF!</definedName>
    <definedName name="CE_Likely1FormulaProtection" localSheetId="6">#REF!</definedName>
    <definedName name="CE_Likely1FormulaProtection" localSheetId="2">#REF!</definedName>
    <definedName name="CE_Likely1FormulaProtection" localSheetId="4">#REF!</definedName>
    <definedName name="CE_Likely1FormulaProtection">#REF!</definedName>
    <definedName name="CE_Likely1Impact" localSheetId="5">#REF!</definedName>
    <definedName name="CE_Likely1Impact" localSheetId="7">#REF!</definedName>
    <definedName name="CE_Likely1Impact" localSheetId="6">#REF!</definedName>
    <definedName name="CE_Likely1Impact" localSheetId="2">#REF!</definedName>
    <definedName name="CE_Likely1Impact" localSheetId="4">#REF!</definedName>
    <definedName name="CE_Likely1Impact">#REF!</definedName>
    <definedName name="CE_Likely2Change" localSheetId="5">#REF!</definedName>
    <definedName name="CE_Likely2Change" localSheetId="7">#REF!</definedName>
    <definedName name="CE_Likely2Change" localSheetId="6">#REF!</definedName>
    <definedName name="CE_Likely2Change" localSheetId="2">#REF!</definedName>
    <definedName name="CE_Likely2Change" localSheetId="4">#REF!</definedName>
    <definedName name="CE_Likely2Change">#REF!</definedName>
    <definedName name="CE_Likely2FormulaProtection" localSheetId="5">#REF!</definedName>
    <definedName name="CE_Likely2FormulaProtection" localSheetId="7">#REF!</definedName>
    <definedName name="CE_Likely2FormulaProtection" localSheetId="6">#REF!</definedName>
    <definedName name="CE_Likely2FormulaProtection" localSheetId="2">#REF!</definedName>
    <definedName name="CE_Likely2FormulaProtection" localSheetId="4">#REF!</definedName>
    <definedName name="CE_Likely2FormulaProtection">#REF!</definedName>
    <definedName name="CE_Likely2Impact" localSheetId="5">#REF!</definedName>
    <definedName name="CE_Likely2Impact" localSheetId="7">#REF!</definedName>
    <definedName name="CE_Likely2Impact" localSheetId="6">#REF!</definedName>
    <definedName name="CE_Likely2Impact" localSheetId="2">#REF!</definedName>
    <definedName name="CE_Likely2Impact" localSheetId="4">#REF!</definedName>
    <definedName name="CE_Likely2Impact">#REF!</definedName>
    <definedName name="CE_SheetCorrect" localSheetId="5">#REF!</definedName>
    <definedName name="CE_SheetCorrect" localSheetId="7">#REF!</definedName>
    <definedName name="CE_SheetCorrect" localSheetId="6">#REF!</definedName>
    <definedName name="CE_SheetCorrect" localSheetId="2">#REF!</definedName>
    <definedName name="CE_SheetCorrect" localSheetId="4">#REF!</definedName>
    <definedName name="CE_SheetCorrect">#REF!</definedName>
    <definedName name="CE_StatementImpact" localSheetId="5">#REF!</definedName>
    <definedName name="CE_StatementImpact" localSheetId="7">#REF!</definedName>
    <definedName name="CE_StatementImpact" localSheetId="6">#REF!</definedName>
    <definedName name="CE_StatementImpact" localSheetId="2">#REF!</definedName>
    <definedName name="CE_StatementImpact" localSheetId="4">#REF!</definedName>
    <definedName name="CE_StatementImpact">#REF!</definedName>
    <definedName name="CE_TotalProtection" localSheetId="5">#REF!</definedName>
    <definedName name="CE_TotalProtection" localSheetId="7">#REF!</definedName>
    <definedName name="CE_TotalProtection" localSheetId="6">#REF!</definedName>
    <definedName name="CE_TotalProtection" localSheetId="2">#REF!</definedName>
    <definedName name="CE_TotalProtection" localSheetId="4">#REF!</definedName>
    <definedName name="CE_TotalProtection">#REF!</definedName>
    <definedName name="CE_WholeSheet" localSheetId="5">#REF!</definedName>
    <definedName name="CE_WholeSheet" localSheetId="7">#REF!</definedName>
    <definedName name="CE_WholeSheet" localSheetId="6">#REF!</definedName>
    <definedName name="CE_WholeSheet" localSheetId="2">#REF!</definedName>
    <definedName name="CE_WholeSheet" localSheetId="4">#REF!</definedName>
    <definedName name="CE_WholeSheet">#REF!</definedName>
    <definedName name="CE_XF1" localSheetId="5">#REF!</definedName>
    <definedName name="CE_XF1" localSheetId="7">#REF!</definedName>
    <definedName name="CE_XF1" localSheetId="6">#REF!</definedName>
    <definedName name="CE_XF1" localSheetId="2">#REF!</definedName>
    <definedName name="CE_XF1" localSheetId="4">#REF!</definedName>
    <definedName name="CE_XF1">#REF!</definedName>
    <definedName name="CE_XF1Rng1" localSheetId="5">#REF!</definedName>
    <definedName name="CE_XF1Rng1" localSheetId="7">#REF!</definedName>
    <definedName name="CE_XF1Rng1" localSheetId="6">#REF!</definedName>
    <definedName name="CE_XF1Rng1" localSheetId="2">#REF!</definedName>
    <definedName name="CE_XF1Rng1" localSheetId="4">#REF!</definedName>
    <definedName name="CE_XF1Rng1">#REF!</definedName>
    <definedName name="CE_XF1Rng2" localSheetId="5">#REF!</definedName>
    <definedName name="CE_XF1Rng2" localSheetId="7">#REF!</definedName>
    <definedName name="CE_XF1Rng2" localSheetId="6">#REF!</definedName>
    <definedName name="CE_XF1Rng2" localSheetId="2">#REF!</definedName>
    <definedName name="CE_XF1Rng2" localSheetId="4">#REF!</definedName>
    <definedName name="CE_XF1Rng2">#REF!</definedName>
    <definedName name="CE_XF2" localSheetId="5">#REF!</definedName>
    <definedName name="CE_XF2" localSheetId="7">#REF!</definedName>
    <definedName name="CE_XF2" localSheetId="6">#REF!</definedName>
    <definedName name="CE_XF2" localSheetId="2">#REF!</definedName>
    <definedName name="CE_XF2" localSheetId="4">#REF!</definedName>
    <definedName name="CE_XF2">#REF!</definedName>
    <definedName name="CE_XF2Rng1" localSheetId="5">#REF!</definedName>
    <definedName name="CE_XF2Rng1" localSheetId="7">#REF!</definedName>
    <definedName name="CE_XF2Rng1" localSheetId="6">#REF!</definedName>
    <definedName name="CE_XF2Rng1" localSheetId="2">#REF!</definedName>
    <definedName name="CE_XF2Rng1" localSheetId="4">#REF!</definedName>
    <definedName name="CE_XF2Rng1">#REF!</definedName>
    <definedName name="CE_XF2Rng2" localSheetId="5">#REF!</definedName>
    <definedName name="CE_XF2Rng2" localSheetId="7">#REF!</definedName>
    <definedName name="CE_XF2Rng2" localSheetId="6">#REF!</definedName>
    <definedName name="CE_XF2Rng2" localSheetId="2">#REF!</definedName>
    <definedName name="CE_XF2Rng2" localSheetId="4">#REF!</definedName>
    <definedName name="CE_XF2Rng2">#REF!</definedName>
    <definedName name="CE_XF3" localSheetId="5">#REF!</definedName>
    <definedName name="CE_XF3" localSheetId="7">#REF!</definedName>
    <definedName name="CE_XF3" localSheetId="6">#REF!</definedName>
    <definedName name="CE_XF3" localSheetId="2">#REF!</definedName>
    <definedName name="CE_XF3" localSheetId="4">#REF!</definedName>
    <definedName name="CE_XF3">#REF!</definedName>
    <definedName name="CE_XF3Rng1" localSheetId="5">#REF!</definedName>
    <definedName name="CE_XF3Rng1" localSheetId="7">#REF!</definedName>
    <definedName name="CE_XF3Rng1" localSheetId="6">#REF!</definedName>
    <definedName name="CE_XF3Rng1" localSheetId="2">#REF!</definedName>
    <definedName name="CE_XF3Rng1" localSheetId="4">#REF!</definedName>
    <definedName name="CE_XF3Rng1">#REF!</definedName>
    <definedName name="CE_XF3Rng2" localSheetId="5">#REF!</definedName>
    <definedName name="CE_XF3Rng2" localSheetId="7">#REF!</definedName>
    <definedName name="CE_XF3Rng2" localSheetId="6">#REF!</definedName>
    <definedName name="CE_XF3Rng2" localSheetId="2">#REF!</definedName>
    <definedName name="CE_XF3Rng2" localSheetId="4">#REF!</definedName>
    <definedName name="CE_XF3Rng2">#REF!</definedName>
    <definedName name="ChecklistQuestion1" localSheetId="5">#REF!</definedName>
    <definedName name="ChecklistQuestion1" localSheetId="7">#REF!</definedName>
    <definedName name="ChecklistQuestion1" localSheetId="6">#REF!</definedName>
    <definedName name="ChecklistQuestion1" localSheetId="2">#REF!</definedName>
    <definedName name="ChecklistQuestion1" localSheetId="4">#REF!</definedName>
    <definedName name="ChecklistQuestion1">#REF!</definedName>
    <definedName name="ChecklistQuestion2" localSheetId="5">#REF!</definedName>
    <definedName name="ChecklistQuestion2" localSheetId="7">#REF!</definedName>
    <definedName name="ChecklistQuestion2" localSheetId="6">#REF!</definedName>
    <definedName name="ChecklistQuestion2" localSheetId="2">#REF!</definedName>
    <definedName name="ChecklistQuestion2" localSheetId="4">#REF!</definedName>
    <definedName name="ChecklistQuestion2">#REF!</definedName>
    <definedName name="ChecklistQuestion3" localSheetId="5">#REF!</definedName>
    <definedName name="ChecklistQuestion3" localSheetId="7">#REF!</definedName>
    <definedName name="ChecklistQuestion3" localSheetId="6">#REF!</definedName>
    <definedName name="ChecklistQuestion3" localSheetId="2">#REF!</definedName>
    <definedName name="ChecklistQuestion3" localSheetId="4">#REF!</definedName>
    <definedName name="ChecklistQuestion3">#REF!</definedName>
    <definedName name="Conclusions1" localSheetId="5">#REF!</definedName>
    <definedName name="Conclusions1" localSheetId="7">#REF!</definedName>
    <definedName name="Conclusions1" localSheetId="6">#REF!</definedName>
    <definedName name="Conclusions1" localSheetId="2">#REF!</definedName>
    <definedName name="Conclusions1" localSheetId="4">#REF!</definedName>
    <definedName name="Conclusions1">#REF!</definedName>
    <definedName name="Conclusions2" localSheetId="5">#REF!</definedName>
    <definedName name="Conclusions2" localSheetId="7">#REF!</definedName>
    <definedName name="Conclusions2" localSheetId="6">#REF!</definedName>
    <definedName name="Conclusions2" localSheetId="2">#REF!</definedName>
    <definedName name="Conclusions2" localSheetId="4">#REF!</definedName>
    <definedName name="Conclusions2">#REF!</definedName>
    <definedName name="Conclusions3" localSheetId="5">#REF!</definedName>
    <definedName name="Conclusions3" localSheetId="7">#REF!</definedName>
    <definedName name="Conclusions3" localSheetId="6">#REF!</definedName>
    <definedName name="Conclusions3" localSheetId="2">#REF!</definedName>
    <definedName name="Conclusions3" localSheetId="4">#REF!</definedName>
    <definedName name="Conclusions3">#REF!</definedName>
    <definedName name="Conclusions4" localSheetId="5">#REF!</definedName>
    <definedName name="Conclusions4" localSheetId="7">#REF!</definedName>
    <definedName name="Conclusions4" localSheetId="6">#REF!</definedName>
    <definedName name="Conclusions4" localSheetId="2">#REF!</definedName>
    <definedName name="Conclusions4" localSheetId="4">#REF!</definedName>
    <definedName name="Conclusions4">#REF!</definedName>
    <definedName name="CorrectKey" localSheetId="5">#REF!</definedName>
    <definedName name="CorrectKey" localSheetId="7">#REF!</definedName>
    <definedName name="CorrectKey" localSheetId="6">#REF!</definedName>
    <definedName name="CorrectKey" localSheetId="2">#REF!</definedName>
    <definedName name="CorrectKey" localSheetId="4">#REF!</definedName>
    <definedName name="CorrectKey">#REF!</definedName>
    <definedName name="Current_Year_Known_and_Likely_Misstatements" localSheetId="5">#REF!</definedName>
    <definedName name="Current_Year_Known_and_Likely_Misstatements" localSheetId="7">#REF!</definedName>
    <definedName name="Current_Year_Known_and_Likely_Misstatements" localSheetId="6">#REF!</definedName>
    <definedName name="Current_Year_Known_and_Likely_Misstatements" localSheetId="2">#REF!</definedName>
    <definedName name="Current_Year_Known_and_Likely_Misstatements" localSheetId="4">#REF!</definedName>
    <definedName name="Current_Year_Known_and_Likely_Misstatements">#REF!</definedName>
    <definedName name="CY_all_Assets" localSheetId="5">#REF!</definedName>
    <definedName name="CY_all_Assets" localSheetId="7">#REF!</definedName>
    <definedName name="CY_all_Assets" localSheetId="6">#REF!</definedName>
    <definedName name="CY_all_Assets" localSheetId="2">#REF!</definedName>
    <definedName name="CY_all_Assets" localSheetId="4">#REF!</definedName>
    <definedName name="CY_all_Assets">#REF!</definedName>
    <definedName name="CY_all_Equity" localSheetId="5">#REF!</definedName>
    <definedName name="CY_all_Equity" localSheetId="7">#REF!</definedName>
    <definedName name="CY_all_Equity" localSheetId="6">#REF!</definedName>
    <definedName name="CY_all_Equity" localSheetId="2">#REF!</definedName>
    <definedName name="CY_all_Equity" localSheetId="4">#REF!</definedName>
    <definedName name="CY_all_Equity">#REF!</definedName>
    <definedName name="CY_all_Income" localSheetId="5">#REF!</definedName>
    <definedName name="CY_all_Income" localSheetId="7">#REF!</definedName>
    <definedName name="CY_all_Income" localSheetId="6">#REF!</definedName>
    <definedName name="CY_all_Income" localSheetId="2">#REF!</definedName>
    <definedName name="CY_all_Income" localSheetId="4">#REF!</definedName>
    <definedName name="CY_all_Income">#REF!</definedName>
    <definedName name="CY_all_Liabs" localSheetId="5">#REF!</definedName>
    <definedName name="CY_all_Liabs" localSheetId="7">#REF!</definedName>
    <definedName name="CY_all_Liabs" localSheetId="6">#REF!</definedName>
    <definedName name="CY_all_Liabs" localSheetId="2">#REF!</definedName>
    <definedName name="CY_all_Liabs" localSheetId="4">#REF!</definedName>
    <definedName name="CY_all_Liabs">#REF!</definedName>
    <definedName name="CY_all_RetEarn_bf" localSheetId="5">#REF!</definedName>
    <definedName name="CY_all_RetEarn_bf" localSheetId="7">#REF!</definedName>
    <definedName name="CY_all_RetEarn_bf" localSheetId="6">#REF!</definedName>
    <definedName name="CY_all_RetEarn_bf" localSheetId="2">#REF!</definedName>
    <definedName name="CY_all_RetEarn_bf" localSheetId="4">#REF!</definedName>
    <definedName name="CY_all_RetEarn_bf">#REF!</definedName>
    <definedName name="CY_knw_Assets" localSheetId="5">#REF!</definedName>
    <definedName name="CY_knw_Assets" localSheetId="7">#REF!</definedName>
    <definedName name="CY_knw_Assets" localSheetId="6">#REF!</definedName>
    <definedName name="CY_knw_Assets" localSheetId="2">#REF!</definedName>
    <definedName name="CY_knw_Assets" localSheetId="4">#REF!</definedName>
    <definedName name="CY_knw_Assets">#REF!</definedName>
    <definedName name="CY_knw_Equity" localSheetId="5">#REF!</definedName>
    <definedName name="CY_knw_Equity" localSheetId="7">#REF!</definedName>
    <definedName name="CY_knw_Equity" localSheetId="6">#REF!</definedName>
    <definedName name="CY_knw_Equity" localSheetId="2">#REF!</definedName>
    <definedName name="CY_knw_Equity" localSheetId="4">#REF!</definedName>
    <definedName name="CY_knw_Equity">#REF!</definedName>
    <definedName name="CY_knw_Income" localSheetId="5">#REF!</definedName>
    <definedName name="CY_knw_Income" localSheetId="7">#REF!</definedName>
    <definedName name="CY_knw_Income" localSheetId="6">#REF!</definedName>
    <definedName name="CY_knw_Income" localSheetId="2">#REF!</definedName>
    <definedName name="CY_knw_Income" localSheetId="4">#REF!</definedName>
    <definedName name="CY_knw_Income">#REF!</definedName>
    <definedName name="CY_knw_Liabs" localSheetId="5">#REF!</definedName>
    <definedName name="CY_knw_Liabs" localSheetId="7">#REF!</definedName>
    <definedName name="CY_knw_Liabs" localSheetId="6">#REF!</definedName>
    <definedName name="CY_knw_Liabs" localSheetId="2">#REF!</definedName>
    <definedName name="CY_knw_Liabs" localSheetId="4">#REF!</definedName>
    <definedName name="CY_knw_Liabs">#REF!</definedName>
    <definedName name="CY_knw_RetEarn_bf" localSheetId="5">#REF!</definedName>
    <definedName name="CY_knw_RetEarn_bf" localSheetId="7">#REF!</definedName>
    <definedName name="CY_knw_RetEarn_bf" localSheetId="6">#REF!</definedName>
    <definedName name="CY_knw_RetEarn_bf" localSheetId="2">#REF!</definedName>
    <definedName name="CY_knw_RetEarn_bf" localSheetId="4">#REF!</definedName>
    <definedName name="CY_knw_RetEarn_bf">#REF!</definedName>
    <definedName name="CY_lik_Assets" localSheetId="5">#REF!</definedName>
    <definedName name="CY_lik_Assets" localSheetId="7">#REF!</definedName>
    <definedName name="CY_lik_Assets" localSheetId="6">#REF!</definedName>
    <definedName name="CY_lik_Assets" localSheetId="2">#REF!</definedName>
    <definedName name="CY_lik_Assets" localSheetId="4">#REF!</definedName>
    <definedName name="CY_lik_Assets">#REF!</definedName>
    <definedName name="CY_lik_Assets_ex" localSheetId="5">#REF!</definedName>
    <definedName name="CY_lik_Assets_ex" localSheetId="7">#REF!</definedName>
    <definedName name="CY_lik_Assets_ex" localSheetId="6">#REF!</definedName>
    <definedName name="CY_lik_Assets_ex" localSheetId="2">#REF!</definedName>
    <definedName name="CY_lik_Assets_ex" localSheetId="4">#REF!</definedName>
    <definedName name="CY_lik_Assets_ex">#REF!</definedName>
    <definedName name="CY_lik_Assets_ext" localSheetId="5">#REF!</definedName>
    <definedName name="CY_lik_Assets_ext" localSheetId="7">#REF!</definedName>
    <definedName name="CY_lik_Assets_ext" localSheetId="6">#REF!</definedName>
    <definedName name="CY_lik_Assets_ext" localSheetId="2">#REF!</definedName>
    <definedName name="CY_lik_Assets_ext" localSheetId="4">#REF!</definedName>
    <definedName name="CY_lik_Assets_ext">#REF!</definedName>
    <definedName name="CY_lik_Equity" localSheetId="5">#REF!</definedName>
    <definedName name="CY_lik_Equity" localSheetId="7">#REF!</definedName>
    <definedName name="CY_lik_Equity" localSheetId="6">#REF!</definedName>
    <definedName name="CY_lik_Equity" localSheetId="2">#REF!</definedName>
    <definedName name="CY_lik_Equity" localSheetId="4">#REF!</definedName>
    <definedName name="CY_lik_Equity">#REF!</definedName>
    <definedName name="CY_lik_Equity_eX" localSheetId="5">#REF!</definedName>
    <definedName name="CY_lik_Equity_eX" localSheetId="7">#REF!</definedName>
    <definedName name="CY_lik_Equity_eX" localSheetId="6">#REF!</definedName>
    <definedName name="CY_lik_Equity_eX" localSheetId="2">#REF!</definedName>
    <definedName name="CY_lik_Equity_eX" localSheetId="4">#REF!</definedName>
    <definedName name="CY_lik_Equity_eX">#REF!</definedName>
    <definedName name="CY_lik_Equity_eXt" localSheetId="5">#REF!</definedName>
    <definedName name="CY_lik_Equity_eXt" localSheetId="7">#REF!</definedName>
    <definedName name="CY_lik_Equity_eXt" localSheetId="6">#REF!</definedName>
    <definedName name="CY_lik_Equity_eXt" localSheetId="2">#REF!</definedName>
    <definedName name="CY_lik_Equity_eXt" localSheetId="4">#REF!</definedName>
    <definedName name="CY_lik_Equity_eXt">#REF!</definedName>
    <definedName name="CY_lik_Income" localSheetId="5">#REF!</definedName>
    <definedName name="CY_lik_Income" localSheetId="7">#REF!</definedName>
    <definedName name="CY_lik_Income" localSheetId="6">#REF!</definedName>
    <definedName name="CY_lik_Income" localSheetId="2">#REF!</definedName>
    <definedName name="CY_lik_Income" localSheetId="4">#REF!</definedName>
    <definedName name="CY_lik_Income">#REF!</definedName>
    <definedName name="CY_lik_Income_Ex" localSheetId="5">#REF!</definedName>
    <definedName name="CY_lik_Income_Ex" localSheetId="7">#REF!</definedName>
    <definedName name="CY_lik_Income_Ex" localSheetId="6">#REF!</definedName>
    <definedName name="CY_lik_Income_Ex" localSheetId="2">#REF!</definedName>
    <definedName name="CY_lik_Income_Ex" localSheetId="4">#REF!</definedName>
    <definedName name="CY_lik_Income_Ex">#REF!</definedName>
    <definedName name="CY_lik_Income_Ext" localSheetId="5">#REF!</definedName>
    <definedName name="CY_lik_Income_Ext" localSheetId="7">#REF!</definedName>
    <definedName name="CY_lik_Income_Ext" localSheetId="6">#REF!</definedName>
    <definedName name="CY_lik_Income_Ext" localSheetId="2">#REF!</definedName>
    <definedName name="CY_lik_Income_Ext" localSheetId="4">#REF!</definedName>
    <definedName name="CY_lik_Income_Ext">#REF!</definedName>
    <definedName name="CY_lik_Liabs" localSheetId="5">#REF!</definedName>
    <definedName name="CY_lik_Liabs" localSheetId="7">#REF!</definedName>
    <definedName name="CY_lik_Liabs" localSheetId="6">#REF!</definedName>
    <definedName name="CY_lik_Liabs" localSheetId="2">#REF!</definedName>
    <definedName name="CY_lik_Liabs" localSheetId="4">#REF!</definedName>
    <definedName name="CY_lik_Liabs">#REF!</definedName>
    <definedName name="CY_lik_Liabs_EX" localSheetId="5">#REF!</definedName>
    <definedName name="CY_lik_Liabs_EX" localSheetId="7">#REF!</definedName>
    <definedName name="CY_lik_Liabs_EX" localSheetId="6">#REF!</definedName>
    <definedName name="CY_lik_Liabs_EX" localSheetId="2">#REF!</definedName>
    <definedName name="CY_lik_Liabs_EX" localSheetId="4">#REF!</definedName>
    <definedName name="CY_lik_Liabs_EX">#REF!</definedName>
    <definedName name="CY_lik_Liabs_EXt" localSheetId="5">#REF!</definedName>
    <definedName name="CY_lik_Liabs_EXt" localSheetId="7">#REF!</definedName>
    <definedName name="CY_lik_Liabs_EXt" localSheetId="6">#REF!</definedName>
    <definedName name="CY_lik_Liabs_EXt" localSheetId="2">#REF!</definedName>
    <definedName name="CY_lik_Liabs_EXt" localSheetId="4">#REF!</definedName>
    <definedName name="CY_lik_Liabs_EXt">#REF!</definedName>
    <definedName name="CY_lik_RetEarn_bf" localSheetId="5">#REF!</definedName>
    <definedName name="CY_lik_RetEarn_bf" localSheetId="7">#REF!</definedName>
    <definedName name="CY_lik_RetEarn_bf" localSheetId="6">#REF!</definedName>
    <definedName name="CY_lik_RetEarn_bf" localSheetId="2">#REF!</definedName>
    <definedName name="CY_lik_RetEarn_bf" localSheetId="4">#REF!</definedName>
    <definedName name="CY_lik_RetEarn_bf">#REF!</definedName>
    <definedName name="CY_tx_all_Equity" localSheetId="5">#REF!</definedName>
    <definedName name="CY_tx_all_Equity" localSheetId="7">#REF!</definedName>
    <definedName name="CY_tx_all_Equity" localSheetId="6">#REF!</definedName>
    <definedName name="CY_tx_all_Equity" localSheetId="2">#REF!</definedName>
    <definedName name="CY_tx_all_Equity" localSheetId="4">#REF!</definedName>
    <definedName name="CY_tx_all_Equity">#REF!</definedName>
    <definedName name="CY_tx_all_Income" localSheetId="5">#REF!</definedName>
    <definedName name="CY_tx_all_Income" localSheetId="7">#REF!</definedName>
    <definedName name="CY_tx_all_Income" localSheetId="6">#REF!</definedName>
    <definedName name="CY_tx_all_Income" localSheetId="2">#REF!</definedName>
    <definedName name="CY_tx_all_Income" localSheetId="4">#REF!</definedName>
    <definedName name="CY_tx_all_Income">#REF!</definedName>
    <definedName name="CY_tx_all_Liabs" localSheetId="5">#REF!</definedName>
    <definedName name="CY_tx_all_Liabs" localSheetId="7">#REF!</definedName>
    <definedName name="CY_tx_all_Liabs" localSheetId="6">#REF!</definedName>
    <definedName name="CY_tx_all_Liabs" localSheetId="2">#REF!</definedName>
    <definedName name="CY_tx_all_Liabs" localSheetId="4">#REF!</definedName>
    <definedName name="CY_tx_all_Liabs">#REF!</definedName>
    <definedName name="CY_tx_all_RetEarn_bf" localSheetId="5">#REF!</definedName>
    <definedName name="CY_tx_all_RetEarn_bf" localSheetId="7">#REF!</definedName>
    <definedName name="CY_tx_all_RetEarn_bf" localSheetId="6">#REF!</definedName>
    <definedName name="CY_tx_all_RetEarn_bf" localSheetId="2">#REF!</definedName>
    <definedName name="CY_tx_all_RetEarn_bf" localSheetId="4">#REF!</definedName>
    <definedName name="CY_tx_all_RetEarn_bf">#REF!</definedName>
    <definedName name="CY_tx_knw_Equity" localSheetId="5">#REF!</definedName>
    <definedName name="CY_tx_knw_Equity" localSheetId="7">#REF!</definedName>
    <definedName name="CY_tx_knw_Equity" localSheetId="6">#REF!</definedName>
    <definedName name="CY_tx_knw_Equity" localSheetId="2">#REF!</definedName>
    <definedName name="CY_tx_knw_Equity" localSheetId="4">#REF!</definedName>
    <definedName name="CY_tx_knw_Equity">#REF!</definedName>
    <definedName name="CY_tx_knw_Income" localSheetId="5">#REF!</definedName>
    <definedName name="CY_tx_knw_Income" localSheetId="7">#REF!</definedName>
    <definedName name="CY_tx_knw_Income" localSheetId="6">#REF!</definedName>
    <definedName name="CY_tx_knw_Income" localSheetId="2">#REF!</definedName>
    <definedName name="CY_tx_knw_Income" localSheetId="4">#REF!</definedName>
    <definedName name="CY_tx_knw_Income">#REF!</definedName>
    <definedName name="CY_tx_knw_Liabs" localSheetId="5">#REF!</definedName>
    <definedName name="CY_tx_knw_Liabs" localSheetId="7">#REF!</definedName>
    <definedName name="CY_tx_knw_Liabs" localSheetId="6">#REF!</definedName>
    <definedName name="CY_tx_knw_Liabs" localSheetId="2">#REF!</definedName>
    <definedName name="CY_tx_knw_Liabs" localSheetId="4">#REF!</definedName>
    <definedName name="CY_tx_knw_Liabs">#REF!</definedName>
    <definedName name="CY_tx_knw_RetEarn_bf" localSheetId="5">#REF!</definedName>
    <definedName name="CY_tx_knw_RetEarn_bf" localSheetId="7">#REF!</definedName>
    <definedName name="CY_tx_knw_RetEarn_bf" localSheetId="6">#REF!</definedName>
    <definedName name="CY_tx_knw_RetEarn_bf" localSheetId="2">#REF!</definedName>
    <definedName name="CY_tx_knw_RetEarn_bf" localSheetId="4">#REF!</definedName>
    <definedName name="CY_tx_knw_RetEarn_bf">#REF!</definedName>
    <definedName name="CY_tx_lik_Equity" localSheetId="5">#REF!</definedName>
    <definedName name="CY_tx_lik_Equity" localSheetId="7">#REF!</definedName>
    <definedName name="CY_tx_lik_Equity" localSheetId="6">#REF!</definedName>
    <definedName name="CY_tx_lik_Equity" localSheetId="2">#REF!</definedName>
    <definedName name="CY_tx_lik_Equity" localSheetId="4">#REF!</definedName>
    <definedName name="CY_tx_lik_Equity">#REF!</definedName>
    <definedName name="CY_tx_lik_Equity_ex" localSheetId="5">#REF!</definedName>
    <definedName name="CY_tx_lik_Equity_ex" localSheetId="7">#REF!</definedName>
    <definedName name="CY_tx_lik_Equity_ex" localSheetId="6">#REF!</definedName>
    <definedName name="CY_tx_lik_Equity_ex" localSheetId="2">#REF!</definedName>
    <definedName name="CY_tx_lik_Equity_ex" localSheetId="4">#REF!</definedName>
    <definedName name="CY_tx_lik_Equity_ex">#REF!</definedName>
    <definedName name="CY_tx_lik_Equity_ext" localSheetId="5">#REF!</definedName>
    <definedName name="CY_tx_lik_Equity_ext" localSheetId="7">#REF!</definedName>
    <definedName name="CY_tx_lik_Equity_ext" localSheetId="6">#REF!</definedName>
    <definedName name="CY_tx_lik_Equity_ext" localSheetId="2">#REF!</definedName>
    <definedName name="CY_tx_lik_Equity_ext" localSheetId="4">#REF!</definedName>
    <definedName name="CY_tx_lik_Equity_ext">#REF!</definedName>
    <definedName name="CY_tx_lik_Income" localSheetId="5">#REF!</definedName>
    <definedName name="CY_tx_lik_Income" localSheetId="7">#REF!</definedName>
    <definedName name="CY_tx_lik_Income" localSheetId="6">#REF!</definedName>
    <definedName name="CY_tx_lik_Income" localSheetId="2">#REF!</definedName>
    <definedName name="CY_tx_lik_Income" localSheetId="4">#REF!</definedName>
    <definedName name="CY_tx_lik_Income">#REF!</definedName>
    <definedName name="CY_tx_lik_Income_ex" localSheetId="5">#REF!</definedName>
    <definedName name="CY_tx_lik_Income_ex" localSheetId="7">#REF!</definedName>
    <definedName name="CY_tx_lik_Income_ex" localSheetId="6">#REF!</definedName>
    <definedName name="CY_tx_lik_Income_ex" localSheetId="2">#REF!</definedName>
    <definedName name="CY_tx_lik_Income_ex" localSheetId="4">#REF!</definedName>
    <definedName name="CY_tx_lik_Income_ex">#REF!</definedName>
    <definedName name="CY_tx_lik_Income_ext" localSheetId="5">#REF!</definedName>
    <definedName name="CY_tx_lik_Income_ext" localSheetId="7">#REF!</definedName>
    <definedName name="CY_tx_lik_Income_ext" localSheetId="6">#REF!</definedName>
    <definedName name="CY_tx_lik_Income_ext" localSheetId="2">#REF!</definedName>
    <definedName name="CY_tx_lik_Income_ext" localSheetId="4">#REF!</definedName>
    <definedName name="CY_tx_lik_Income_ext">#REF!</definedName>
    <definedName name="CY_tx_lik_Liabs" localSheetId="5">#REF!</definedName>
    <definedName name="CY_tx_lik_Liabs" localSheetId="7">#REF!</definedName>
    <definedName name="CY_tx_lik_Liabs" localSheetId="6">#REF!</definedName>
    <definedName name="CY_tx_lik_Liabs" localSheetId="2">#REF!</definedName>
    <definedName name="CY_tx_lik_Liabs" localSheetId="4">#REF!</definedName>
    <definedName name="CY_tx_lik_Liabs">#REF!</definedName>
    <definedName name="CY_tx_lik_Liabs_ex" localSheetId="5">#REF!</definedName>
    <definedName name="CY_tx_lik_Liabs_ex" localSheetId="7">#REF!</definedName>
    <definedName name="CY_tx_lik_Liabs_ex" localSheetId="6">#REF!</definedName>
    <definedName name="CY_tx_lik_Liabs_ex" localSheetId="2">#REF!</definedName>
    <definedName name="CY_tx_lik_Liabs_ex" localSheetId="4">#REF!</definedName>
    <definedName name="CY_tx_lik_Liabs_ex">#REF!</definedName>
    <definedName name="CY_tx_lik_Liabs_ext" localSheetId="5">#REF!</definedName>
    <definedName name="CY_tx_lik_Liabs_ext" localSheetId="7">#REF!</definedName>
    <definedName name="CY_tx_lik_Liabs_ext" localSheetId="6">#REF!</definedName>
    <definedName name="CY_tx_lik_Liabs_ext" localSheetId="2">#REF!</definedName>
    <definedName name="CY_tx_lik_Liabs_ext" localSheetId="4">#REF!</definedName>
    <definedName name="CY_tx_lik_Liabs_ext">#REF!</definedName>
    <definedName name="CY_tx_lik_RetEarn_bf" localSheetId="5">#REF!</definedName>
    <definedName name="CY_tx_lik_RetEarn_bf" localSheetId="7">#REF!</definedName>
    <definedName name="CY_tx_lik_RetEarn_bf" localSheetId="6">#REF!</definedName>
    <definedName name="CY_tx_lik_RetEarn_bf" localSheetId="2">#REF!</definedName>
    <definedName name="CY_tx_lik_RetEarn_bf" localSheetId="4">#REF!</definedName>
    <definedName name="CY_tx_lik_RetEarn_bf">#REF!</definedName>
    <definedName name="CY_tx_lik_RetEarn_bf_ex" localSheetId="5">#REF!</definedName>
    <definedName name="CY_tx_lik_RetEarn_bf_ex" localSheetId="7">#REF!</definedName>
    <definedName name="CY_tx_lik_RetEarn_bf_ex" localSheetId="6">#REF!</definedName>
    <definedName name="CY_tx_lik_RetEarn_bf_ex" localSheetId="2">#REF!</definedName>
    <definedName name="CY_tx_lik_RetEarn_bf_ex" localSheetId="4">#REF!</definedName>
    <definedName name="CY_tx_lik_RetEarn_bf_ex">#REF!</definedName>
    <definedName name="CY_tx_lik_RetEarn_bf_ext" localSheetId="5">#REF!</definedName>
    <definedName name="CY_tx_lik_RetEarn_bf_ext" localSheetId="7">#REF!</definedName>
    <definedName name="CY_tx_lik_RetEarn_bf_ext" localSheetId="6">#REF!</definedName>
    <definedName name="CY_tx_lik_RetEarn_bf_ext" localSheetId="2">#REF!</definedName>
    <definedName name="CY_tx_lik_RetEarn_bf_ext" localSheetId="4">#REF!</definedName>
    <definedName name="CY_tx_lik_RetEarn_bf_ext">#REF!</definedName>
    <definedName name="_xlnm.Database" localSheetId="5">[2]B!#REF!</definedName>
    <definedName name="_xlnm.Database" localSheetId="7">[2]B!#REF!</definedName>
    <definedName name="_xlnm.Database" localSheetId="6">[2]B!#REF!</definedName>
    <definedName name="_xlnm.Database" localSheetId="2">[2]B!#REF!</definedName>
    <definedName name="_xlnm.Database" localSheetId="4">[2]B!#REF!</definedName>
    <definedName name="_xlnm.Database">[2]B!#REF!</definedName>
    <definedName name="DEX" localSheetId="5" hidden="1">#REF!</definedName>
    <definedName name="DEX" localSheetId="7" hidden="1">#REF!</definedName>
    <definedName name="DEX" localSheetId="6" hidden="1">#REF!</definedName>
    <definedName name="DEX" localSheetId="2" hidden="1">#REF!</definedName>
    <definedName name="DEX" localSheetId="4" hidden="1">#REF!</definedName>
    <definedName name="DEX" hidden="1">#REF!</definedName>
    <definedName name="EDC" localSheetId="5" hidden="1">#REF!</definedName>
    <definedName name="EDC" localSheetId="7" hidden="1">#REF!</definedName>
    <definedName name="EDC" localSheetId="6" hidden="1">#REF!</definedName>
    <definedName name="EDC" localSheetId="2" hidden="1">#REF!</definedName>
    <definedName name="EDC" localSheetId="4" hidden="1">#REF!</definedName>
    <definedName name="EDC" hidden="1">#REF!</definedName>
    <definedName name="Effective_Tax_Rate" localSheetId="5">#REF!</definedName>
    <definedName name="Effective_Tax_Rate" localSheetId="7">#REF!</definedName>
    <definedName name="Effective_Tax_Rate" localSheetId="6">#REF!</definedName>
    <definedName name="Effective_Tax_Rate" localSheetId="2">#REF!</definedName>
    <definedName name="Effective_Tax_Rate" localSheetId="4">#REF!</definedName>
    <definedName name="Effective_Tax_Rate">#REF!</definedName>
    <definedName name="FAD" localSheetId="5" hidden="1">[3]Breakdown!#REF!</definedName>
    <definedName name="FAD" localSheetId="7" hidden="1">[3]Breakdown!#REF!</definedName>
    <definedName name="FAD" localSheetId="6" hidden="1">[3]Breakdown!#REF!</definedName>
    <definedName name="FAD" localSheetId="2" hidden="1">[3]Breakdown!#REF!</definedName>
    <definedName name="FAD" localSheetId="4" hidden="1">[3]Breakdown!#REF!</definedName>
    <definedName name="FAD" hidden="1">[3]Breakdown!#REF!</definedName>
    <definedName name="FASD" localSheetId="5" hidden="1">#REF!</definedName>
    <definedName name="FASD" localSheetId="7" hidden="1">#REF!</definedName>
    <definedName name="FASD" localSheetId="6" hidden="1">#REF!</definedName>
    <definedName name="FASD" localSheetId="2" hidden="1">#REF!</definedName>
    <definedName name="FASD" localSheetId="4" hidden="1">#REF!</definedName>
    <definedName name="FASD" hidden="1">#REF!</definedName>
    <definedName name="FEDC" localSheetId="5" hidden="1">'[4]2004'!#REF!</definedName>
    <definedName name="FEDC" localSheetId="7" hidden="1">'[4]2004'!#REF!</definedName>
    <definedName name="FEDC" localSheetId="6" hidden="1">'[4]2004'!#REF!</definedName>
    <definedName name="FEDC" localSheetId="2" hidden="1">'[4]2004'!#REF!</definedName>
    <definedName name="FEDC" localSheetId="4" hidden="1">'[4]2004'!#REF!</definedName>
    <definedName name="FEDC" hidden="1">'[4]2004'!#REF!</definedName>
    <definedName name="ffd">[1]企业表一!$E$20</definedName>
    <definedName name="Known" localSheetId="5">#REF!</definedName>
    <definedName name="Known" localSheetId="7">#REF!</definedName>
    <definedName name="Known" localSheetId="6">#REF!</definedName>
    <definedName name="Known" localSheetId="2">#REF!</definedName>
    <definedName name="Known" localSheetId="4">#REF!</definedName>
    <definedName name="Known">#REF!</definedName>
    <definedName name="KnownTable" localSheetId="5">#REF!</definedName>
    <definedName name="KnownTable" localSheetId="7">#REF!</definedName>
    <definedName name="KnownTable" localSheetId="6">#REF!</definedName>
    <definedName name="KnownTable" localSheetId="2">#REF!</definedName>
    <definedName name="KnownTable" localSheetId="4">#REF!</definedName>
    <definedName name="KnownTable">#REF!</definedName>
    <definedName name="KnownTitle" localSheetId="5">#REF!</definedName>
    <definedName name="KnownTitle" localSheetId="7">#REF!</definedName>
    <definedName name="KnownTitle" localSheetId="6">#REF!</definedName>
    <definedName name="KnownTitle" localSheetId="2">#REF!</definedName>
    <definedName name="KnownTitle" localSheetId="4">#REF!</definedName>
    <definedName name="KnownTitle">#REF!</definedName>
    <definedName name="Likely1" localSheetId="5">#REF!</definedName>
    <definedName name="Likely1" localSheetId="7">#REF!</definedName>
    <definedName name="Likely1" localSheetId="6">#REF!</definedName>
    <definedName name="Likely1" localSheetId="2">#REF!</definedName>
    <definedName name="Likely1" localSheetId="4">#REF!</definedName>
    <definedName name="Likely1">#REF!</definedName>
    <definedName name="Likely2" localSheetId="5">#REF!</definedName>
    <definedName name="Likely2" localSheetId="7">#REF!</definedName>
    <definedName name="Likely2" localSheetId="6">#REF!</definedName>
    <definedName name="Likely2" localSheetId="2">#REF!</definedName>
    <definedName name="Likely2" localSheetId="4">#REF!</definedName>
    <definedName name="Likely2">#REF!</definedName>
    <definedName name="LikelyTable1" localSheetId="5">#REF!</definedName>
    <definedName name="LikelyTable1" localSheetId="7">#REF!</definedName>
    <definedName name="LikelyTable1" localSheetId="6">#REF!</definedName>
    <definedName name="LikelyTable1" localSheetId="2">#REF!</definedName>
    <definedName name="LikelyTable1" localSheetId="4">#REF!</definedName>
    <definedName name="LikelyTable1">#REF!</definedName>
    <definedName name="LikelyTable2" localSheetId="5">#REF!</definedName>
    <definedName name="LikelyTable2" localSheetId="7">#REF!</definedName>
    <definedName name="LikelyTable2" localSheetId="6">#REF!</definedName>
    <definedName name="LikelyTable2" localSheetId="2">#REF!</definedName>
    <definedName name="LikelyTable2" localSheetId="4">#REF!</definedName>
    <definedName name="LikelyTable2">#REF!</definedName>
    <definedName name="LikelyTitle" localSheetId="5">#REF!</definedName>
    <definedName name="LikelyTitle" localSheetId="7">#REF!</definedName>
    <definedName name="LikelyTitle" localSheetId="6">#REF!</definedName>
    <definedName name="LikelyTitle" localSheetId="2">#REF!</definedName>
    <definedName name="LikelyTitle" localSheetId="4">#REF!</definedName>
    <definedName name="LikelyTitle">#REF!</definedName>
    <definedName name="Materiality" localSheetId="5">#REF!</definedName>
    <definedName name="Materiality" localSheetId="7">#REF!</definedName>
    <definedName name="Materiality" localSheetId="6">#REF!</definedName>
    <definedName name="Materiality" localSheetId="2">#REF!</definedName>
    <definedName name="Materiality" localSheetId="4">#REF!</definedName>
    <definedName name="Materiality">#REF!</definedName>
    <definedName name="Monetary_Precision" localSheetId="5">#REF!</definedName>
    <definedName name="Monetary_Precision" localSheetId="7">#REF!</definedName>
    <definedName name="Monetary_Precision" localSheetId="6">#REF!</definedName>
    <definedName name="Monetary_Precision" localSheetId="2">#REF!</definedName>
    <definedName name="Monetary_Precision" localSheetId="4">#REF!</definedName>
    <definedName name="Monetary_Precision">#REF!</definedName>
    <definedName name="OC_Instruction" localSheetId="5">#REF!</definedName>
    <definedName name="OC_Instruction" localSheetId="7">#REF!</definedName>
    <definedName name="OC_Instruction" localSheetId="6">#REF!</definedName>
    <definedName name="OC_Instruction" localSheetId="2">#REF!</definedName>
    <definedName name="OC_Instruction" localSheetId="4">#REF!</definedName>
    <definedName name="OC_Instruction">#REF!</definedName>
    <definedName name="OtherConditions" localSheetId="5">#REF!</definedName>
    <definedName name="OtherConditions" localSheetId="7">#REF!</definedName>
    <definedName name="OtherConditions" localSheetId="6">#REF!</definedName>
    <definedName name="OtherConditions" localSheetId="2">#REF!</definedName>
    <definedName name="OtherConditions" localSheetId="4">#REF!</definedName>
    <definedName name="OtherConditions">#REF!</definedName>
    <definedName name="Pre_tax_materiality" localSheetId="5">#REF!</definedName>
    <definedName name="Pre_tax_materiality" localSheetId="7">#REF!</definedName>
    <definedName name="Pre_tax_materiality" localSheetId="6">#REF!</definedName>
    <definedName name="Pre_tax_materiality" localSheetId="2">#REF!</definedName>
    <definedName name="Pre_tax_materiality" localSheetId="4">#REF!</definedName>
    <definedName name="Pre_tax_materiality">#REF!</definedName>
    <definedName name="Precision" localSheetId="5">#REF!</definedName>
    <definedName name="Precision" localSheetId="7">#REF!</definedName>
    <definedName name="Precision" localSheetId="6">#REF!</definedName>
    <definedName name="Precision" localSheetId="2">#REF!</definedName>
    <definedName name="Precision" localSheetId="4">#REF!</definedName>
    <definedName name="Precision">#REF!</definedName>
    <definedName name="_xlnm.Print_Area" localSheetId="8">'C14-2评价控制偏差'!$A$1:$F$24</definedName>
    <definedName name="_xlnm.Print_Area" localSheetId="1">'C14控制测试汇总表'!$A$1:$L$31</definedName>
    <definedName name="_xlnm.Print_Area" localSheetId="9">'示例-评价控制偏差'!$A$1:$F$33</definedName>
    <definedName name="PY_all_Equity" localSheetId="5">#REF!</definedName>
    <definedName name="PY_all_Equity" localSheetId="7">#REF!</definedName>
    <definedName name="PY_all_Equity" localSheetId="6">#REF!</definedName>
    <definedName name="PY_all_Equity" localSheetId="2">#REF!</definedName>
    <definedName name="PY_all_Equity" localSheetId="4">#REF!</definedName>
    <definedName name="PY_all_Equity">#REF!</definedName>
    <definedName name="PY_all_Income" localSheetId="5">#REF!</definedName>
    <definedName name="PY_all_Income" localSheetId="7">#REF!</definedName>
    <definedName name="PY_all_Income" localSheetId="6">#REF!</definedName>
    <definedName name="PY_all_Income" localSheetId="2">#REF!</definedName>
    <definedName name="PY_all_Income" localSheetId="4">#REF!</definedName>
    <definedName name="PY_all_Income">#REF!</definedName>
    <definedName name="PY_all_RetEarn" localSheetId="5">#REF!</definedName>
    <definedName name="PY_all_RetEarn" localSheetId="7">#REF!</definedName>
    <definedName name="PY_all_RetEarn" localSheetId="6">#REF!</definedName>
    <definedName name="PY_all_RetEarn" localSheetId="2">#REF!</definedName>
    <definedName name="PY_all_RetEarn" localSheetId="4">#REF!</definedName>
    <definedName name="PY_all_RetEarn">#REF!</definedName>
    <definedName name="PY_knw_Income" localSheetId="5">#REF!</definedName>
    <definedName name="PY_knw_Income" localSheetId="7">#REF!</definedName>
    <definedName name="PY_knw_Income" localSheetId="6">#REF!</definedName>
    <definedName name="PY_knw_Income" localSheetId="2">#REF!</definedName>
    <definedName name="PY_knw_Income" localSheetId="4">#REF!</definedName>
    <definedName name="PY_knw_Income">#REF!</definedName>
    <definedName name="PY_knw_RetEarn" localSheetId="5">#REF!</definedName>
    <definedName name="PY_knw_RetEarn" localSheetId="7">#REF!</definedName>
    <definedName name="PY_knw_RetEarn" localSheetId="6">#REF!</definedName>
    <definedName name="PY_knw_RetEarn" localSheetId="2">#REF!</definedName>
    <definedName name="PY_knw_RetEarn" localSheetId="4">#REF!</definedName>
    <definedName name="PY_knw_RetEarn">#REF!</definedName>
    <definedName name="PY_lik_Income" localSheetId="5">#REF!</definedName>
    <definedName name="PY_lik_Income" localSheetId="7">#REF!</definedName>
    <definedName name="PY_lik_Income" localSheetId="6">#REF!</definedName>
    <definedName name="PY_lik_Income" localSheetId="2">#REF!</definedName>
    <definedName name="PY_lik_Income" localSheetId="4">#REF!</definedName>
    <definedName name="PY_lik_Income">#REF!</definedName>
    <definedName name="PY_lik_RetEarn" localSheetId="5">#REF!</definedName>
    <definedName name="PY_lik_RetEarn" localSheetId="7">#REF!</definedName>
    <definedName name="PY_lik_RetEarn" localSheetId="6">#REF!</definedName>
    <definedName name="PY_lik_RetEarn" localSheetId="2">#REF!</definedName>
    <definedName name="PY_lik_RetEarn" localSheetId="4">#REF!</definedName>
    <definedName name="PY_lik_RetEarn">#REF!</definedName>
    <definedName name="PY_tot_knw_Xfoot" localSheetId="5">#REF!</definedName>
    <definedName name="PY_tot_knw_Xfoot" localSheetId="7">#REF!</definedName>
    <definedName name="PY_tot_knw_Xfoot" localSheetId="6">#REF!</definedName>
    <definedName name="PY_tot_knw_Xfoot" localSheetId="2">#REF!</definedName>
    <definedName name="PY_tot_knw_Xfoot" localSheetId="4">#REF!</definedName>
    <definedName name="PY_tot_knw_Xfoot">#REF!</definedName>
    <definedName name="PY_tot_lik_Xfoot" localSheetId="5">#REF!</definedName>
    <definedName name="PY_tot_lik_Xfoot" localSheetId="7">#REF!</definedName>
    <definedName name="PY_tot_lik_Xfoot" localSheetId="6">#REF!</definedName>
    <definedName name="PY_tot_lik_Xfoot" localSheetId="2">#REF!</definedName>
    <definedName name="PY_tot_lik_Xfoot" localSheetId="4">#REF!</definedName>
    <definedName name="PY_tot_lik_Xfoot">#REF!</definedName>
    <definedName name="PY_tx_all_Income" localSheetId="5">#REF!</definedName>
    <definedName name="PY_tx_all_Income" localSheetId="7">#REF!</definedName>
    <definedName name="PY_tx_all_Income" localSheetId="6">#REF!</definedName>
    <definedName name="PY_tx_all_Income" localSheetId="2">#REF!</definedName>
    <definedName name="PY_tx_all_Income" localSheetId="4">#REF!</definedName>
    <definedName name="PY_tx_all_Income">#REF!</definedName>
    <definedName name="PY_tx_all_RetEarn" localSheetId="5">#REF!</definedName>
    <definedName name="PY_tx_all_RetEarn" localSheetId="7">#REF!</definedName>
    <definedName name="PY_tx_all_RetEarn" localSheetId="6">#REF!</definedName>
    <definedName name="PY_tx_all_RetEarn" localSheetId="2">#REF!</definedName>
    <definedName name="PY_tx_all_RetEarn" localSheetId="4">#REF!</definedName>
    <definedName name="PY_tx_all_RetEarn">#REF!</definedName>
    <definedName name="PY_tx_knw_Income" localSheetId="5">#REF!</definedName>
    <definedName name="PY_tx_knw_Income" localSheetId="7">#REF!</definedName>
    <definedName name="PY_tx_knw_Income" localSheetId="6">#REF!</definedName>
    <definedName name="PY_tx_knw_Income" localSheetId="2">#REF!</definedName>
    <definedName name="PY_tx_knw_Income" localSheetId="4">#REF!</definedName>
    <definedName name="PY_tx_knw_Income">#REF!</definedName>
    <definedName name="PY_tx_knw_RetEarn" localSheetId="5">#REF!</definedName>
    <definedName name="PY_tx_knw_RetEarn" localSheetId="7">#REF!</definedName>
    <definedName name="PY_tx_knw_RetEarn" localSheetId="6">#REF!</definedName>
    <definedName name="PY_tx_knw_RetEarn" localSheetId="2">#REF!</definedName>
    <definedName name="PY_tx_knw_RetEarn" localSheetId="4">#REF!</definedName>
    <definedName name="PY_tx_knw_RetEarn">#REF!</definedName>
    <definedName name="PY_tx_lik_Income" localSheetId="5">#REF!</definedName>
    <definedName name="PY_tx_lik_Income" localSheetId="7">#REF!</definedName>
    <definedName name="PY_tx_lik_Income" localSheetId="6">#REF!</definedName>
    <definedName name="PY_tx_lik_Income" localSheetId="2">#REF!</definedName>
    <definedName name="PY_tx_lik_Income" localSheetId="4">#REF!</definedName>
    <definedName name="PY_tx_lik_Income">#REF!</definedName>
    <definedName name="PY_tx_lik_RetEarn" localSheetId="5">#REF!</definedName>
    <definedName name="PY_tx_lik_RetEarn" localSheetId="7">#REF!</definedName>
    <definedName name="PY_tx_lik_RetEarn" localSheetId="6">#REF!</definedName>
    <definedName name="PY_tx_lik_RetEarn" localSheetId="2">#REF!</definedName>
    <definedName name="PY_tx_lik_RetEarn" localSheetId="4">#REF!</definedName>
    <definedName name="PY_tx_lik_RetEarn">#REF!</definedName>
    <definedName name="QC_Instruction" localSheetId="5">#REF!</definedName>
    <definedName name="QC_Instruction" localSheetId="7">#REF!</definedName>
    <definedName name="QC_Instruction" localSheetId="6">#REF!</definedName>
    <definedName name="QC_Instruction" localSheetId="2">#REF!</definedName>
    <definedName name="QC_Instruction" localSheetId="4">#REF!</definedName>
    <definedName name="QC_Instruction">#REF!</definedName>
    <definedName name="Qualitative1" localSheetId="5">#REF!</definedName>
    <definedName name="Qualitative1" localSheetId="7">#REF!</definedName>
    <definedName name="Qualitative1" localSheetId="6">#REF!</definedName>
    <definedName name="Qualitative1" localSheetId="2">#REF!</definedName>
    <definedName name="Qualitative1" localSheetId="4">#REF!</definedName>
    <definedName name="Qualitative1">#REF!</definedName>
    <definedName name="Qualitative2" localSheetId="5">#REF!</definedName>
    <definedName name="Qualitative2" localSheetId="7">#REF!</definedName>
    <definedName name="Qualitative2" localSheetId="6">#REF!</definedName>
    <definedName name="Qualitative2" localSheetId="2">#REF!</definedName>
    <definedName name="Qualitative2" localSheetId="4">#REF!</definedName>
    <definedName name="Qualitative2">#REF!</definedName>
    <definedName name="Qualitative3" localSheetId="5">#REF!</definedName>
    <definedName name="Qualitative3" localSheetId="7">#REF!</definedName>
    <definedName name="Qualitative3" localSheetId="6">#REF!</definedName>
    <definedName name="Qualitative3" localSheetId="2">#REF!</definedName>
    <definedName name="Qualitative3" localSheetId="4">#REF!</definedName>
    <definedName name="Qualitative3">#REF!</definedName>
    <definedName name="QualitativeTextBox" localSheetId="5">#REF!</definedName>
    <definedName name="QualitativeTextBox" localSheetId="7">#REF!</definedName>
    <definedName name="QualitativeTextBox" localSheetId="6">#REF!</definedName>
    <definedName name="QualitativeTextBox" localSheetId="2">#REF!</definedName>
    <definedName name="QualitativeTextBox" localSheetId="4">#REF!</definedName>
    <definedName name="QualitativeTextBox">#REF!</definedName>
    <definedName name="RDES" localSheetId="5" hidden="1">#REF!</definedName>
    <definedName name="RDES" localSheetId="7" hidden="1">#REF!</definedName>
    <definedName name="RDES" localSheetId="6" hidden="1">#REF!</definedName>
    <definedName name="RDES" localSheetId="2" hidden="1">#REF!</definedName>
    <definedName name="RDES" localSheetId="4" hidden="1">#REF!</definedName>
    <definedName name="RDES" hidden="1">#REF!</definedName>
    <definedName name="SM_CurrentYearHyplnk" localSheetId="5">#REF!</definedName>
    <definedName name="SM_CurrentYearHyplnk" localSheetId="7">#REF!</definedName>
    <definedName name="SM_CurrentYearHyplnk" localSheetId="6">#REF!</definedName>
    <definedName name="SM_CurrentYearHyplnk" localSheetId="2">#REF!</definedName>
    <definedName name="SM_CurrentYearHyplnk" localSheetId="4">#REF!</definedName>
    <definedName name="SM_CurrentYearHyplnk">#REF!</definedName>
    <definedName name="SM_PriorYearHyplnk" localSheetId="5">#REF!</definedName>
    <definedName name="SM_PriorYearHyplnk" localSheetId="7">#REF!</definedName>
    <definedName name="SM_PriorYearHyplnk" localSheetId="6">#REF!</definedName>
    <definedName name="SM_PriorYearHyplnk" localSheetId="2">#REF!</definedName>
    <definedName name="SM_PriorYearHyplnk" localSheetId="4">#REF!</definedName>
    <definedName name="SM_PriorYearHyplnk">#REF!</definedName>
    <definedName name="SM_WholeSheet" localSheetId="5">#REF!</definedName>
    <definedName name="SM_WholeSheet" localSheetId="7">#REF!</definedName>
    <definedName name="SM_WholeSheet" localSheetId="6">#REF!</definedName>
    <definedName name="SM_WholeSheet" localSheetId="2">#REF!</definedName>
    <definedName name="SM_WholeSheet" localSheetId="4">#REF!</definedName>
    <definedName name="SM_WholeSheet">#REF!</definedName>
    <definedName name="SummaryCOKnownProtection" localSheetId="5">#REF!</definedName>
    <definedName name="SummaryCOKnownProtection" localSheetId="7">#REF!</definedName>
    <definedName name="SummaryCOKnownProtection" localSheetId="6">#REF!</definedName>
    <definedName name="SummaryCOKnownProtection" localSheetId="2">#REF!</definedName>
    <definedName name="SummaryCOKnownProtection" localSheetId="4">#REF!</definedName>
    <definedName name="SummaryCOKnownProtection">#REF!</definedName>
    <definedName name="SummaryCOLikelyProtection" localSheetId="5">#REF!</definedName>
    <definedName name="SummaryCOLikelyProtection" localSheetId="7">#REF!</definedName>
    <definedName name="SummaryCOLikelyProtection" localSheetId="6">#REF!</definedName>
    <definedName name="SummaryCOLikelyProtection" localSheetId="2">#REF!</definedName>
    <definedName name="SummaryCOLikelyProtection" localSheetId="4">#REF!</definedName>
    <definedName name="SummaryCOLikelyProtection">#REF!</definedName>
    <definedName name="SummaryKnownProtection" localSheetId="5">#REF!</definedName>
    <definedName name="SummaryKnownProtection" localSheetId="7">#REF!</definedName>
    <definedName name="SummaryKnownProtection" localSheetId="6">#REF!</definedName>
    <definedName name="SummaryKnownProtection" localSheetId="2">#REF!</definedName>
    <definedName name="SummaryKnownProtection" localSheetId="4">#REF!</definedName>
    <definedName name="SummaryKnownProtection">#REF!</definedName>
    <definedName name="SummaryLikely1Protection" localSheetId="5">#REF!</definedName>
    <definedName name="SummaryLikely1Protection" localSheetId="7">#REF!</definedName>
    <definedName name="SummaryLikely1Protection" localSheetId="6">#REF!</definedName>
    <definedName name="SummaryLikely1Protection" localSheetId="2">#REF!</definedName>
    <definedName name="SummaryLikely1Protection" localSheetId="4">#REF!</definedName>
    <definedName name="SummaryLikely1Protection">#REF!</definedName>
    <definedName name="SummaryLikely2Protection" localSheetId="5">#REF!</definedName>
    <definedName name="SummaryLikely2Protection" localSheetId="7">#REF!</definedName>
    <definedName name="SummaryLikely2Protection" localSheetId="6">#REF!</definedName>
    <definedName name="SummaryLikely2Protection" localSheetId="2">#REF!</definedName>
    <definedName name="SummaryLikely2Protection" localSheetId="4">#REF!</definedName>
    <definedName name="SummaryLikely2Protection">#REF!</definedName>
    <definedName name="Tax_Effect_Income" localSheetId="5">#REF!</definedName>
    <definedName name="Tax_Effect_Income" localSheetId="7">#REF!</definedName>
    <definedName name="Tax_Effect_Income" localSheetId="6">#REF!</definedName>
    <definedName name="Tax_Effect_Income" localSheetId="2">#REF!</definedName>
    <definedName name="Tax_Effect_Income" localSheetId="4">#REF!</definedName>
    <definedName name="Tax_Effect_Income">#REF!</definedName>
    <definedName name="Tax_Effect_Liabs" localSheetId="5">#REF!</definedName>
    <definedName name="Tax_Effect_Liabs" localSheetId="7">#REF!</definedName>
    <definedName name="Tax_Effect_Liabs" localSheetId="6">#REF!</definedName>
    <definedName name="Tax_Effect_Liabs" localSheetId="2">#REF!</definedName>
    <definedName name="Tax_Effect_Liabs" localSheetId="4">#REF!</definedName>
    <definedName name="Tax_Effect_Liabs">#REF!</definedName>
    <definedName name="Tax_Effect_RetEarn" localSheetId="5">#REF!</definedName>
    <definedName name="Tax_Effect_RetEarn" localSheetId="7">#REF!</definedName>
    <definedName name="Tax_Effect_RetEarn" localSheetId="6">#REF!</definedName>
    <definedName name="Tax_Effect_RetEarn" localSheetId="2">#REF!</definedName>
    <definedName name="Tax_Effect_RetEarn" localSheetId="4">#REF!</definedName>
    <definedName name="Tax_Effect_RetEarn">#REF!</definedName>
    <definedName name="Tax_Rate" localSheetId="5">#REF!</definedName>
    <definedName name="Tax_Rate" localSheetId="7">#REF!</definedName>
    <definedName name="Tax_Rate" localSheetId="6">#REF!</definedName>
    <definedName name="Tax_Rate" localSheetId="2">#REF!</definedName>
    <definedName name="Tax_Rate" localSheetId="4">#REF!</definedName>
    <definedName name="Tax_Rate">#REF!</definedName>
    <definedName name="TextRefCopyRangeCount" hidden="1">136</definedName>
    <definedName name="Threshold" localSheetId="5">#REF!</definedName>
    <definedName name="Threshold" localSheetId="7">#REF!</definedName>
    <definedName name="Threshold" localSheetId="6">#REF!</definedName>
    <definedName name="Threshold" localSheetId="2">#REF!</definedName>
    <definedName name="Threshold" localSheetId="4">#REF!</definedName>
    <definedName name="Threshold">#REF!</definedName>
    <definedName name="Threshold_for_Accumulating" localSheetId="5">#REF!</definedName>
    <definedName name="Threshold_for_Accumulating" localSheetId="7">#REF!</definedName>
    <definedName name="Threshold_for_Accumulating" localSheetId="6">#REF!</definedName>
    <definedName name="Threshold_for_Accumulating" localSheetId="2">#REF!</definedName>
    <definedName name="Threshold_for_Accumulating" localSheetId="4">#REF!</definedName>
    <definedName name="Threshold_for_Accumulating">#REF!</definedName>
    <definedName name="Tot_knw_Xfoot" localSheetId="5">#REF!</definedName>
    <definedName name="Tot_knw_Xfoot" localSheetId="7">#REF!</definedName>
    <definedName name="Tot_knw_Xfoot" localSheetId="6">#REF!</definedName>
    <definedName name="Tot_knw_Xfoot" localSheetId="2">#REF!</definedName>
    <definedName name="Tot_knw_Xfoot" localSheetId="4">#REF!</definedName>
    <definedName name="Tot_knw_Xfoot">#REF!</definedName>
    <definedName name="Tot_lik_Xfoot" localSheetId="5">#REF!</definedName>
    <definedName name="Tot_lik_Xfoot" localSheetId="7">#REF!</definedName>
    <definedName name="Tot_lik_Xfoot" localSheetId="6">#REF!</definedName>
    <definedName name="Tot_lik_Xfoot" localSheetId="2">#REF!</definedName>
    <definedName name="Tot_lik_Xfoot" localSheetId="4">#REF!</definedName>
    <definedName name="Tot_lik_Xfoot">#REF!</definedName>
    <definedName name="Tot_lik_Xfoot_ex" localSheetId="5">#REF!</definedName>
    <definedName name="Tot_lik_Xfoot_ex" localSheetId="7">#REF!</definedName>
    <definedName name="Tot_lik_Xfoot_ex" localSheetId="6">#REF!</definedName>
    <definedName name="Tot_lik_Xfoot_ex" localSheetId="2">#REF!</definedName>
    <definedName name="Tot_lik_Xfoot_ex" localSheetId="4">#REF!</definedName>
    <definedName name="Tot_lik_Xfoot_ex">#REF!</definedName>
    <definedName name="Tot_lik_Xfoot_ext" localSheetId="5">#REF!</definedName>
    <definedName name="Tot_lik_Xfoot_ext" localSheetId="7">#REF!</definedName>
    <definedName name="Tot_lik_Xfoot_ext" localSheetId="6">#REF!</definedName>
    <definedName name="Tot_lik_Xfoot_ext" localSheetId="2">#REF!</definedName>
    <definedName name="Tot_lik_Xfoot_ext" localSheetId="4">#REF!</definedName>
    <definedName name="Tot_lik_Xfoot_ext">#REF!</definedName>
    <definedName name="TOTAL_KNOWN" localSheetId="5">#REF!</definedName>
    <definedName name="TOTAL_KNOWN" localSheetId="7">#REF!</definedName>
    <definedName name="TOTAL_KNOWN" localSheetId="6">#REF!</definedName>
    <definedName name="TOTAL_KNOWN" localSheetId="2">#REF!</definedName>
    <definedName name="TOTAL_KNOWN" localSheetId="4">#REF!</definedName>
    <definedName name="TOTAL_KNOWN">#REF!</definedName>
    <definedName name="TotalCarryOver" localSheetId="5">#REF!</definedName>
    <definedName name="TotalCarryOver" localSheetId="7">#REF!</definedName>
    <definedName name="TotalCarryOver" localSheetId="6">#REF!</definedName>
    <definedName name="TotalCarryOver" localSheetId="2">#REF!</definedName>
    <definedName name="TotalCarryOver" localSheetId="4">#REF!</definedName>
    <definedName name="TotalCarryOver">#REF!</definedName>
    <definedName name="TotalCurrentYear" localSheetId="5">#REF!</definedName>
    <definedName name="TotalCurrentYear" localSheetId="7">#REF!</definedName>
    <definedName name="TotalCurrentYear" localSheetId="6">#REF!</definedName>
    <definedName name="TotalCurrentYear" localSheetId="2">#REF!</definedName>
    <definedName name="TotalCurrentYear" localSheetId="4">#REF!</definedName>
    <definedName name="TotalCurrentYear">#REF!</definedName>
    <definedName name="TotalKnownCheck" localSheetId="5">#REF!</definedName>
    <definedName name="TotalKnownCheck" localSheetId="7">#REF!</definedName>
    <definedName name="TotalKnownCheck" localSheetId="6">#REF!</definedName>
    <definedName name="TotalKnownCheck" localSheetId="2">#REF!</definedName>
    <definedName name="TotalKnownCheck" localSheetId="4">#REF!</definedName>
    <definedName name="TotalKnownCheck">#REF!</definedName>
    <definedName name="VFE" localSheetId="5" hidden="1">#REF!</definedName>
    <definedName name="VFE" localSheetId="7" hidden="1">#REF!</definedName>
    <definedName name="VFE" localSheetId="6" hidden="1">#REF!</definedName>
    <definedName name="VFE" localSheetId="2" hidden="1">#REF!</definedName>
    <definedName name="VFE" localSheetId="4" hidden="1">#REF!</definedName>
    <definedName name="VFE" hidden="1">#REF!</definedName>
    <definedName name="XAP" localSheetId="5" hidden="1">#REF!</definedName>
    <definedName name="XAP" localSheetId="7" hidden="1">#REF!</definedName>
    <definedName name="XAP" localSheetId="6" hidden="1">#REF!</definedName>
    <definedName name="XAP" localSheetId="2" hidden="1">#REF!</definedName>
    <definedName name="XAP" localSheetId="4" hidden="1">#REF!</definedName>
    <definedName name="XAP" hidden="1">#REF!</definedName>
    <definedName name="XAQ" localSheetId="5" hidden="1">#REF!</definedName>
    <definedName name="XAQ" localSheetId="7" hidden="1">#REF!</definedName>
    <definedName name="XAQ" localSheetId="6" hidden="1">#REF!</definedName>
    <definedName name="XAQ" localSheetId="2" hidden="1">#REF!</definedName>
    <definedName name="XAQ" localSheetId="4" hidden="1">#REF!</definedName>
    <definedName name="XAQ" hidden="1">#REF!</definedName>
    <definedName name="XCD" localSheetId="5" hidden="1">#REF!</definedName>
    <definedName name="XCD" localSheetId="7" hidden="1">#REF!</definedName>
    <definedName name="XCD" localSheetId="6" hidden="1">#REF!</definedName>
    <definedName name="XCD" localSheetId="2" hidden="1">#REF!</definedName>
    <definedName name="XCD" localSheetId="4" hidden="1">#REF!</definedName>
    <definedName name="XCD" hidden="1">#REF!</definedName>
    <definedName name="XREF_COLUMN_1" localSheetId="5" hidden="1">#REF!</definedName>
    <definedName name="XREF_COLUMN_1" localSheetId="7" hidden="1">#REF!</definedName>
    <definedName name="XREF_COLUMN_1" localSheetId="6" hidden="1">#REF!</definedName>
    <definedName name="XREF_COLUMN_1" localSheetId="2" hidden="1">#REF!</definedName>
    <definedName name="XREF_COLUMN_1" localSheetId="4" hidden="1">#REF!</definedName>
    <definedName name="XREF_COLUMN_1" hidden="1">#REF!</definedName>
    <definedName name="XREF_COLUMN_2" localSheetId="5" hidden="1">[3]Breakdown!#REF!</definedName>
    <definedName name="XREF_COLUMN_2" localSheetId="7" hidden="1">[3]Breakdown!#REF!</definedName>
    <definedName name="XREF_COLUMN_2" localSheetId="6" hidden="1">[3]Breakdown!#REF!</definedName>
    <definedName name="XREF_COLUMN_2" localSheetId="2" hidden="1">[3]Breakdown!#REF!</definedName>
    <definedName name="XREF_COLUMN_2" localSheetId="4" hidden="1">[3]Breakdown!#REF!</definedName>
    <definedName name="XREF_COLUMN_2" hidden="1">[3]Breakdown!#REF!</definedName>
    <definedName name="XREF_COLUMN_3" localSheetId="5" hidden="1">#REF!</definedName>
    <definedName name="XREF_COLUMN_3" localSheetId="7" hidden="1">#REF!</definedName>
    <definedName name="XREF_COLUMN_3" localSheetId="6" hidden="1">#REF!</definedName>
    <definedName name="XREF_COLUMN_3" localSheetId="2" hidden="1">#REF!</definedName>
    <definedName name="XREF_COLUMN_3" localSheetId="4" hidden="1">#REF!</definedName>
    <definedName name="XREF_COLUMN_3" hidden="1">#REF!</definedName>
    <definedName name="XREF_COLUMN_5" localSheetId="5" hidden="1">'[4]2004'!#REF!</definedName>
    <definedName name="XREF_COLUMN_5" localSheetId="7" hidden="1">'[4]2004'!#REF!</definedName>
    <definedName name="XREF_COLUMN_5" localSheetId="6" hidden="1">'[4]2004'!#REF!</definedName>
    <definedName name="XREF_COLUMN_5" localSheetId="2" hidden="1">'[4]2004'!#REF!</definedName>
    <definedName name="XREF_COLUMN_5" localSheetId="4" hidden="1">'[4]2004'!#REF!</definedName>
    <definedName name="XREF_COLUMN_5" hidden="1">'[4]2004'!#REF!</definedName>
    <definedName name="XRefActiveRow" localSheetId="5" hidden="1">#REF!</definedName>
    <definedName name="XRefActiveRow" localSheetId="7" hidden="1">#REF!</definedName>
    <definedName name="XRefActiveRow" localSheetId="6" hidden="1">#REF!</definedName>
    <definedName name="XRefActiveRow" localSheetId="2" hidden="1">#REF!</definedName>
    <definedName name="XRefActiveRow" localSheetId="4" hidden="1">#REF!</definedName>
    <definedName name="XRefActiveRow" hidden="1">#REF!</definedName>
    <definedName name="XRefColumnsCount" hidden="1">2</definedName>
    <definedName name="XRefCopy1" localSheetId="5" hidden="1">#REF!</definedName>
    <definedName name="XRefCopy1" localSheetId="7" hidden="1">#REF!</definedName>
    <definedName name="XRefCopy1" localSheetId="6" hidden="1">#REF!</definedName>
    <definedName name="XRefCopy1" localSheetId="2" hidden="1">#REF!</definedName>
    <definedName name="XRefCopy1" localSheetId="4" hidden="1">#REF!</definedName>
    <definedName name="XRefCopy1" hidden="1">#REF!</definedName>
    <definedName name="XRefCopy1Row" localSheetId="5" hidden="1">#REF!</definedName>
    <definedName name="XRefCopy1Row" localSheetId="7" hidden="1">#REF!</definedName>
    <definedName name="XRefCopy1Row" localSheetId="6" hidden="1">#REF!</definedName>
    <definedName name="XRefCopy1Row" localSheetId="2" hidden="1">#REF!</definedName>
    <definedName name="XRefCopy1Row" localSheetId="4" hidden="1">#REF!</definedName>
    <definedName name="XRefCopy1Row" hidden="1">#REF!</definedName>
    <definedName name="XRefCopy2Row" localSheetId="5" hidden="1">#REF!</definedName>
    <definedName name="XRefCopy2Row" localSheetId="7" hidden="1">#REF!</definedName>
    <definedName name="XRefCopy2Row" localSheetId="6" hidden="1">#REF!</definedName>
    <definedName name="XRefCopy2Row" localSheetId="2" hidden="1">#REF!</definedName>
    <definedName name="XRefCopy2Row" localSheetId="4" hidden="1">#REF!</definedName>
    <definedName name="XRefCopy2Row" hidden="1">#REF!</definedName>
    <definedName name="XRefCopyRangeCount" hidden="1">2</definedName>
    <definedName name="XRefPaste1" localSheetId="5" hidden="1">#REF!</definedName>
    <definedName name="XRefPaste1" localSheetId="7" hidden="1">#REF!</definedName>
    <definedName name="XRefPaste1" localSheetId="6" hidden="1">#REF!</definedName>
    <definedName name="XRefPaste1" localSheetId="2" hidden="1">#REF!</definedName>
    <definedName name="XRefPaste1" localSheetId="4" hidden="1">#REF!</definedName>
    <definedName name="XRefPaste1" hidden="1">#REF!</definedName>
    <definedName name="XRefPaste1Row" localSheetId="5" hidden="1">#REF!</definedName>
    <definedName name="XRefPaste1Row" localSheetId="7" hidden="1">#REF!</definedName>
    <definedName name="XRefPaste1Row" localSheetId="6" hidden="1">#REF!</definedName>
    <definedName name="XRefPaste1Row" localSheetId="2" hidden="1">#REF!</definedName>
    <definedName name="XRefPaste1Row" localSheetId="4" hidden="1">#REF!</definedName>
    <definedName name="XRefPaste1Row" hidden="1">#REF!</definedName>
    <definedName name="XRefPaste2" localSheetId="5" hidden="1">#REF!</definedName>
    <definedName name="XRefPaste2" localSheetId="7" hidden="1">#REF!</definedName>
    <definedName name="XRefPaste2" localSheetId="6" hidden="1">#REF!</definedName>
    <definedName name="XRefPaste2" localSheetId="2" hidden="1">#REF!</definedName>
    <definedName name="XRefPaste2" localSheetId="4" hidden="1">#REF!</definedName>
    <definedName name="XRefPaste2" hidden="1">#REF!</definedName>
    <definedName name="XRefPaste2Row" localSheetId="5" hidden="1">#REF!</definedName>
    <definedName name="XRefPaste2Row" localSheetId="7" hidden="1">#REF!</definedName>
    <definedName name="XRefPaste2Row" localSheetId="6" hidden="1">#REF!</definedName>
    <definedName name="XRefPaste2Row" localSheetId="2" hidden="1">#REF!</definedName>
    <definedName name="XRefPaste2Row" localSheetId="4" hidden="1">#REF!</definedName>
    <definedName name="XRefPaste2Row" hidden="1">#REF!</definedName>
    <definedName name="XRefPaste3" localSheetId="5" hidden="1">#REF!</definedName>
    <definedName name="XRefPaste3" localSheetId="7" hidden="1">#REF!</definedName>
    <definedName name="XRefPaste3" localSheetId="6" hidden="1">#REF!</definedName>
    <definedName name="XRefPaste3" localSheetId="2" hidden="1">#REF!</definedName>
    <definedName name="XRefPaste3" localSheetId="4" hidden="1">#REF!</definedName>
    <definedName name="XRefPaste3" hidden="1">#REF!</definedName>
    <definedName name="XRefPaste3Row" localSheetId="5" hidden="1">#REF!</definedName>
    <definedName name="XRefPaste3Row" localSheetId="7" hidden="1">#REF!</definedName>
    <definedName name="XRefPaste3Row" localSheetId="6" hidden="1">#REF!</definedName>
    <definedName name="XRefPaste3Row" localSheetId="2" hidden="1">#REF!</definedName>
    <definedName name="XRefPaste3Row" localSheetId="4"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 localSheetId="7">[7]B!#REF!</definedName>
    <definedName name="事实上" localSheetId="6">[7]B!#REF!</definedName>
    <definedName name="事实上" localSheetId="2">[7]B!#REF!</definedName>
    <definedName name="事实上" localSheetId="4">[7]B!#REF!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4519"/>
</workbook>
</file>

<file path=xl/calcChain.xml><?xml version="1.0" encoding="utf-8"?>
<calcChain xmlns="http://schemas.openxmlformats.org/spreadsheetml/2006/main">
  <c r="A4" i="34"/>
  <c r="A3"/>
  <c r="D32" i="35"/>
  <c r="D30"/>
  <c r="D26"/>
  <c r="D24"/>
  <c r="D22"/>
  <c r="D20"/>
  <c r="D18"/>
  <c r="D16"/>
  <c r="D14"/>
  <c r="D12"/>
  <c r="D23" i="34"/>
  <c r="D19"/>
  <c r="D17"/>
  <c r="D15"/>
  <c r="D13"/>
  <c r="E3"/>
  <c r="D3"/>
  <c r="D21" l="1"/>
  <c r="F21" s="1"/>
  <c r="C27" i="35"/>
  <c r="D28" s="1"/>
  <c r="F28" s="1"/>
  <c r="C20" i="34"/>
  <c r="A4" i="33" l="1"/>
  <c r="D3"/>
  <c r="C3"/>
  <c r="A3"/>
  <c r="A4" i="32"/>
  <c r="D3"/>
  <c r="C3"/>
  <c r="A3"/>
  <c r="A4" i="31"/>
  <c r="D3"/>
  <c r="C3"/>
  <c r="A3"/>
  <c r="A4" i="29"/>
  <c r="D3"/>
  <c r="C3"/>
  <c r="A3"/>
  <c r="A4" i="27"/>
  <c r="D3"/>
  <c r="C3"/>
  <c r="A3"/>
  <c r="A3" i="26" l="1"/>
  <c r="C3"/>
  <c r="D3"/>
  <c r="A4"/>
  <c r="H3" i="25" l="1"/>
  <c r="A3"/>
  <c r="A4"/>
  <c r="D3"/>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<sst xmlns="http://schemas.openxmlformats.org/spreadsheetml/2006/main" count="363" uniqueCount="256">
  <si>
    <t>C1</t>
  </si>
  <si>
    <t>Custom 1</t>
  </si>
  <si>
    <t>C2</t>
  </si>
  <si>
    <t>Custom 2</t>
  </si>
  <si>
    <t>C3</t>
  </si>
  <si>
    <t>Custom 3</t>
  </si>
  <si>
    <t>C4</t>
  </si>
  <si>
    <t>Custom 4</t>
  </si>
  <si>
    <t>C5</t>
  </si>
  <si>
    <t>Custom 5</t>
  </si>
  <si>
    <t>C6</t>
  </si>
  <si>
    <t>Custom 6</t>
  </si>
  <si>
    <t>C7</t>
  </si>
  <si>
    <t>Custom 7</t>
  </si>
  <si>
    <t>C8</t>
  </si>
  <si>
    <t>Custom 8</t>
  </si>
  <si>
    <r>
      <rPr>
        <b/>
        <sz val="14"/>
        <rFont val="黑体"/>
        <family val="3"/>
        <charset val="134"/>
      </rPr>
      <t>附录、关于工作底稿索引号的编制方法</t>
    </r>
  </si>
  <si>
    <r>
      <rPr>
        <sz val="10"/>
        <rFont val="宋体"/>
        <family val="3"/>
        <charset val="134"/>
      </rPr>
      <t>复核人：</t>
    </r>
    <phoneticPr fontId="15"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</si>
  <si>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</si>
  <si>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</si>
  <si>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0"/>
        <rFont val="宋体"/>
        <family val="3"/>
        <charset val="134"/>
      </rPr>
      <t>、测试本循环控制运行有效性的工作包括：</t>
    </r>
    <phoneticPr fontId="15" type="noConversion"/>
  </si>
  <si>
    <r>
      <rPr>
        <sz val="10"/>
        <rFont val="宋体"/>
        <family val="3"/>
        <charset val="134"/>
      </rPr>
      <t>（</t>
    </r>
    <r>
      <rPr>
        <sz val="10"/>
        <rFont val="Arial Narrow"/>
        <family val="2"/>
      </rPr>
      <t>2</t>
    </r>
    <r>
      <rPr>
        <sz val="10"/>
        <rFont val="宋体"/>
        <family val="3"/>
        <charset val="134"/>
      </rPr>
      <t>）测试控制运行的有效性，记录测试过程和结论。</t>
    </r>
    <phoneticPr fontId="15"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</si>
  <si>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5"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</si>
  <si>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5" type="noConversion"/>
  </si>
  <si>
    <r>
      <rPr>
        <i/>
        <sz val="10"/>
        <color indexed="12"/>
        <rFont val="宋体"/>
        <family val="3"/>
        <charset val="134"/>
      </rPr>
      <t>编制说明：</t>
    </r>
  </si>
  <si>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</si>
  <si>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索引号：</t>
    </r>
    <phoneticPr fontId="15" type="noConversion"/>
  </si>
  <si>
    <r>
      <t>3</t>
    </r>
    <r>
      <rPr>
        <b/>
        <sz val="10"/>
        <rFont val="宋体"/>
        <family val="3"/>
        <charset val="134"/>
      </rPr>
      <t>、控制测试结论</t>
    </r>
    <phoneticPr fontId="15" type="noConversion"/>
  </si>
  <si>
    <r>
      <rPr>
        <b/>
        <sz val="10"/>
        <color theme="1"/>
        <rFont val="宋体"/>
        <family val="3"/>
        <charset val="134"/>
      </rPr>
      <t>活动</t>
    </r>
  </si>
  <si>
    <t>MA</t>
  </si>
  <si>
    <t>PD</t>
  </si>
  <si>
    <r>
      <t>2</t>
    </r>
    <r>
      <rPr>
        <b/>
        <sz val="10"/>
        <rFont val="宋体"/>
        <family val="3"/>
        <charset val="134"/>
      </rPr>
      <t>、测试本循环控制运行有效性形成下列审计工作底稿：</t>
    </r>
    <phoneticPr fontId="15" type="noConversion"/>
  </si>
  <si>
    <r>
      <rPr>
        <b/>
        <sz val="10"/>
        <color theme="1"/>
        <rFont val="Tahoma"/>
        <family val="2"/>
      </rPr>
      <t>风险</t>
    </r>
    <phoneticPr fontId="52" type="noConversion"/>
  </si>
  <si>
    <r>
      <rPr>
        <b/>
        <sz val="10"/>
        <color theme="1"/>
        <rFont val="Tahoma"/>
        <family val="2"/>
      </rPr>
      <t>认定</t>
    </r>
    <phoneticPr fontId="52"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</si>
  <si>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5"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</si>
  <si>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5"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</si>
  <si>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5"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</si>
  <si>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5"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</si>
  <si>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5"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</si>
  <si>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5" type="noConversion"/>
  </si>
  <si>
    <r>
      <rPr>
        <sz val="10"/>
        <rFont val="宋体"/>
        <family val="3"/>
        <charset val="134"/>
      </rPr>
      <t>询问</t>
    </r>
    <r>
      <rPr>
        <sz val="10"/>
        <rFont val="Arial Narrow"/>
        <family val="2"/>
      </rPr>
      <t>&amp;</t>
    </r>
    <r>
      <rPr>
        <sz val="10"/>
        <rFont val="宋体"/>
        <family val="3"/>
        <charset val="134"/>
      </rPr>
      <t>观察</t>
    </r>
    <phoneticPr fontId="52" type="noConversion"/>
  </si>
  <si>
    <t>抽样</t>
    <phoneticPr fontId="52" type="noConversion"/>
  </si>
  <si>
    <t>重新执行</t>
    <phoneticPr fontId="52" type="noConversion"/>
  </si>
  <si>
    <t>CAAT</t>
    <phoneticPr fontId="52" type="noConversion"/>
  </si>
  <si>
    <r>
      <rPr>
        <sz val="10"/>
        <rFont val="宋体"/>
        <family val="3"/>
        <charset val="134"/>
      </rPr>
      <t>管理层</t>
    </r>
    <r>
      <rPr>
        <sz val="10"/>
        <rFont val="Arial Narrow"/>
        <family val="2"/>
      </rPr>
      <t>-</t>
    </r>
    <r>
      <rPr>
        <sz val="10"/>
        <rFont val="宋体"/>
        <family val="3"/>
        <charset val="134"/>
      </rPr>
      <t>重新执行</t>
    </r>
    <phoneticPr fontId="52" type="noConversion"/>
  </si>
  <si>
    <r>
      <rPr>
        <sz val="10"/>
        <rFont val="宋体"/>
        <family val="3"/>
        <charset val="134"/>
      </rPr>
      <t>管理层</t>
    </r>
    <r>
      <rPr>
        <sz val="10"/>
        <rFont val="Arial Narrow"/>
        <family val="2"/>
      </rPr>
      <t>-</t>
    </r>
    <r>
      <rPr>
        <sz val="10"/>
        <rFont val="宋体"/>
        <family val="3"/>
        <charset val="134"/>
      </rPr>
      <t>仅复核</t>
    </r>
    <phoneticPr fontId="52" type="noConversion"/>
  </si>
  <si>
    <t>样本量</t>
    <phoneticPr fontId="15" type="noConversion"/>
  </si>
  <si>
    <r>
      <rPr>
        <b/>
        <sz val="10"/>
        <rFont val="宋体"/>
        <family val="3"/>
        <charset val="134"/>
      </rPr>
      <t>结论</t>
    </r>
    <r>
      <rPr>
        <b/>
        <sz val="10"/>
        <rFont val="Arial Narrow"/>
        <family val="2"/>
      </rPr>
      <t>:</t>
    </r>
    <phoneticPr fontId="15" type="noConversion"/>
  </si>
  <si>
    <t>审计说明：</t>
    <phoneticPr fontId="15" type="noConversion"/>
  </si>
  <si>
    <r>
      <rPr>
        <b/>
        <sz val="10"/>
        <rFont val="宋体"/>
        <family val="3"/>
        <charset val="134"/>
      </rPr>
      <t>如何测试</t>
    </r>
    <r>
      <rPr>
        <b/>
        <sz val="10"/>
        <rFont val="Arial Narrow"/>
        <family val="2"/>
      </rPr>
      <t>:</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</si>
  <si>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</si>
  <si>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样本量：</t>
    </r>
    <phoneticPr fontId="15" type="noConversion"/>
  </si>
  <si>
    <r>
      <rPr>
        <b/>
        <sz val="10"/>
        <rFont val="Garamond"/>
        <family val="1"/>
      </rPr>
      <t>与控制相关的风险：</t>
    </r>
    <phoneticPr fontId="15" type="noConversion"/>
  </si>
  <si>
    <r>
      <rPr>
        <b/>
        <sz val="10"/>
        <rFont val="宋体"/>
        <family val="3"/>
        <charset val="134"/>
      </rPr>
      <t>测试方法</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</si>
  <si>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</si>
  <si>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访问的人员</t>
    </r>
    <r>
      <rPr>
        <b/>
        <sz val="10"/>
        <rFont val="Arial Narrow"/>
        <family val="2"/>
      </rPr>
      <t>:</t>
    </r>
    <phoneticPr fontId="15" type="noConversion"/>
  </si>
  <si>
    <r>
      <rPr>
        <b/>
        <sz val="10"/>
        <rFont val="宋体"/>
        <family val="3"/>
        <charset val="134"/>
      </rPr>
      <t>控制的执行人</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</si>
  <si>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</si>
  <si>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</si>
  <si>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</si>
  <si>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客户控制点编号</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</si>
  <si>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</si>
  <si>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</si>
  <si>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认定：</t>
    </r>
    <phoneticPr fontId="15" type="noConversion"/>
  </si>
  <si>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</si>
  <si>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</si>
  <si>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rPr>
        <sz val="10"/>
        <rFont val="宋体"/>
        <family val="3"/>
        <charset val="134"/>
      </rPr>
      <t>复核人：</t>
    </r>
    <phoneticPr fontId="15" type="noConversion"/>
  </si>
  <si>
    <t>抽样</t>
    <phoneticPr fontId="15" type="noConversion"/>
  </si>
  <si>
    <t>控制测试程序和过程记录表</t>
    <phoneticPr fontId="15" type="noConversion"/>
  </si>
  <si>
    <t>重新执行</t>
    <phoneticPr fontId="15" type="noConversion"/>
  </si>
  <si>
    <r>
      <t>1.</t>
    </r>
    <r>
      <rPr>
        <sz val="10"/>
        <rFont val="宋体"/>
        <family val="3"/>
        <charset val="134"/>
      </rPr>
      <t>观察</t>
    </r>
    <r>
      <rPr>
        <sz val="10"/>
        <rFont val="Arial Narrow"/>
        <family val="2"/>
      </rPr>
      <t>_________</t>
    </r>
    <r>
      <rPr>
        <sz val="10"/>
        <rFont val="宋体"/>
        <family val="3"/>
        <charset val="134"/>
      </rPr>
      <t>流程。</t>
    </r>
    <r>
      <rPr>
        <sz val="10"/>
        <rFont val="Arial Narrow"/>
        <family val="2"/>
      </rPr>
      <t xml:space="preserve">Observe _________ process. </t>
    </r>
    <phoneticPr fontId="15" type="noConversion"/>
  </si>
  <si>
    <r>
      <t>2.</t>
    </r>
    <r>
      <rPr>
        <sz val="10"/>
        <rFont val="宋体"/>
        <family val="3"/>
        <charset val="134"/>
      </rPr>
      <t>从该期间的交易中，选择一份无偏向的、未分层的</t>
    </r>
    <r>
      <rPr>
        <sz val="10"/>
        <rFont val="Arial Narrow"/>
        <family val="2"/>
      </rPr>
      <t xml:space="preserve"> %</t>
    </r>
    <r>
      <rPr>
        <sz val="10"/>
        <rFont val="宋体"/>
        <family val="3"/>
        <charset val="134"/>
      </rPr>
      <t>样本</t>
    </r>
    <r>
      <rPr>
        <sz val="10"/>
        <rFont val="Arial Narrow"/>
        <family val="2"/>
      </rPr>
      <t>,</t>
    </r>
    <r>
      <rPr>
        <sz val="10"/>
        <rFont val="宋体"/>
        <family val="3"/>
        <charset val="134"/>
      </rPr>
      <t>并检查关于例外情况已得到适当调查并已解决的证据。</t>
    </r>
    <r>
      <rPr>
        <sz val="10"/>
        <rFont val="Arial Narrow"/>
        <family val="2"/>
      </rPr>
      <t xml:space="preserve">From the period's transactions, select an unbiased, unstratified sample % items and examine evidence that the exceptions were appropriately investigated and resolved.  </t>
    </r>
    <phoneticPr fontId="15" type="noConversion"/>
  </si>
  <si>
    <r>
      <t>3.</t>
    </r>
    <r>
      <rPr>
        <sz val="10"/>
        <rFont val="宋体"/>
        <family val="3"/>
        <charset val="134"/>
      </rPr>
      <t>检查文件并证实其在处理时已做了标识。</t>
    </r>
    <r>
      <rPr>
        <sz val="10"/>
        <rFont val="Arial Narrow"/>
        <family val="2"/>
      </rPr>
      <t>Examine document and verify that the document has been marked as processed.</t>
    </r>
    <phoneticPr fontId="15" type="noConversion"/>
  </si>
  <si>
    <r>
      <t>4.</t>
    </r>
    <r>
      <rPr>
        <sz val="10"/>
        <rFont val="宋体"/>
        <family val="3"/>
        <charset val="134"/>
      </rPr>
      <t>检查已登记的详细资料已与源文件进行了比较的证据。</t>
    </r>
    <r>
      <rPr>
        <sz val="10"/>
        <rFont val="Arial Narrow"/>
        <family val="2"/>
      </rPr>
      <t>Examine evidence that the recorded details was compared to the source documents.</t>
    </r>
    <phoneticPr fontId="15" type="noConversion"/>
  </si>
  <si>
    <r>
      <t>5.</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</si>
  <si>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r>
      <t xml:space="preserve">1. </t>
    </r>
    <r>
      <rPr>
        <sz val="10"/>
        <rFont val="宋体"/>
        <family val="3"/>
        <charset val="134"/>
      </rPr>
      <t>判断选取</t>
    </r>
    <r>
      <rPr>
        <sz val="10"/>
        <rFont val="Arial Narrow"/>
        <family val="2"/>
      </rPr>
      <t>____</t>
    </r>
    <r>
      <rPr>
        <sz val="10"/>
        <rFont val="宋体"/>
        <family val="3"/>
        <charset val="134"/>
      </rPr>
      <t>个样本，并核实这些样本执行没有偏差（或核实这些样本经过恰当的人员批准）。</t>
    </r>
    <r>
      <rPr>
        <sz val="10"/>
        <rFont val="Arial Narrow"/>
        <family val="2"/>
      </rPr>
      <t>Judgmentally select ______and verify that these samples without exception( or verify that they are reviewed by appropriate personnel.)</t>
    </r>
    <phoneticPr fontId="15" type="noConversion"/>
  </si>
  <si>
    <r>
      <t xml:space="preserve"> 2. </t>
    </r>
    <r>
      <rPr>
        <sz val="10"/>
        <rFont val="宋体"/>
        <family val="3"/>
        <charset val="134"/>
      </rPr>
      <t>记录</t>
    </r>
    <r>
      <rPr>
        <sz val="10"/>
        <rFont val="Arial Narrow"/>
        <family val="2"/>
      </rPr>
      <t>____</t>
    </r>
    <r>
      <rPr>
        <sz val="10"/>
        <rFont val="宋体"/>
        <family val="3"/>
        <charset val="134"/>
      </rPr>
      <t>样本是如何执行的。</t>
    </r>
    <r>
      <rPr>
        <sz val="10"/>
        <rFont val="Arial Narrow"/>
        <family val="2"/>
      </rPr>
      <t>Note documentation of the_____ performed.</t>
    </r>
    <phoneticPr fontId="15" type="noConversion"/>
  </si>
  <si>
    <r>
      <t xml:space="preserve">3. </t>
    </r>
    <r>
      <rPr>
        <sz val="10"/>
        <rFont val="宋体"/>
        <family val="3"/>
        <charset val="134"/>
      </rPr>
      <t>确认那些有问题的项目已经过适当的调查和汇报给</t>
    </r>
    <r>
      <rPr>
        <sz val="10"/>
        <rFont val="Arial Narrow"/>
        <family val="2"/>
      </rPr>
      <t>____</t>
    </r>
    <r>
      <rPr>
        <sz val="10"/>
        <rFont val="宋体"/>
        <family val="3"/>
        <charset val="134"/>
      </rPr>
      <t>经理。</t>
    </r>
    <r>
      <rPr>
        <sz val="10"/>
        <rFont val="Arial Narrow"/>
        <family val="2"/>
      </rPr>
      <t>Verify any exceptional items are appropriately investigated and report to____ Manager.</t>
    </r>
    <phoneticPr fontId="15" type="noConversion"/>
  </si>
  <si>
    <r>
      <t xml:space="preserve">4. </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</si>
  <si>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t>CAAT</t>
    <phoneticPr fontId="15" type="noConversion"/>
  </si>
  <si>
    <r>
      <rPr>
        <b/>
        <sz val="10"/>
        <rFont val="宋体"/>
        <family val="3"/>
        <charset val="134"/>
      </rPr>
      <t>认定：</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</si>
  <si>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</si>
  <si>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</si>
  <si>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</si>
  <si>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</si>
  <si>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</si>
  <si>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</si>
  <si>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测试方法</t>
    </r>
    <r>
      <rPr>
        <b/>
        <sz val="10"/>
        <rFont val="Arial Narrow"/>
        <family val="2"/>
      </rPr>
      <t>:</t>
    </r>
    <phoneticPr fontId="15" type="noConversion"/>
  </si>
  <si>
    <r>
      <rPr>
        <b/>
        <sz val="10"/>
        <rFont val="Garamond"/>
        <family val="1"/>
      </rPr>
      <t>与控制相关的风险：</t>
    </r>
    <phoneticPr fontId="15" type="noConversion"/>
  </si>
  <si>
    <r>
      <rPr>
        <b/>
        <sz val="10"/>
        <rFont val="宋体"/>
        <family val="3"/>
        <charset val="134"/>
      </rPr>
      <t>样本量：</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</si>
  <si>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</si>
  <si>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如何测试</t>
    </r>
    <r>
      <rPr>
        <b/>
        <sz val="10"/>
        <rFont val="Arial Narrow"/>
        <family val="2"/>
      </rPr>
      <t>:</t>
    </r>
    <phoneticPr fontId="15" type="noConversion"/>
  </si>
  <si>
    <t>审计说明：</t>
    <phoneticPr fontId="15" type="noConversion"/>
  </si>
  <si>
    <r>
      <rPr>
        <b/>
        <sz val="10"/>
        <rFont val="宋体"/>
        <family val="3"/>
        <charset val="134"/>
      </rPr>
      <t>结论</t>
    </r>
    <r>
      <rPr>
        <b/>
        <sz val="10"/>
        <rFont val="Arial Narrow"/>
        <family val="2"/>
      </rPr>
      <t>:</t>
    </r>
    <phoneticPr fontId="15" type="noConversion"/>
  </si>
  <si>
    <r>
      <t>1.</t>
    </r>
    <r>
      <rPr>
        <sz val="10"/>
        <rFont val="宋体"/>
        <family val="3"/>
        <charset val="134"/>
      </rPr>
      <t>就</t>
    </r>
    <r>
      <rPr>
        <sz val="10"/>
        <rFont val="Arial Narrow"/>
        <family val="2"/>
      </rPr>
      <t>____________</t>
    </r>
    <r>
      <rPr>
        <sz val="10"/>
        <rFont val="宋体"/>
        <family val="3"/>
        <charset val="134"/>
      </rPr>
      <t>参数向</t>
    </r>
    <r>
      <rPr>
        <sz val="10"/>
        <rFont val="Arial Narrow"/>
        <family val="2"/>
      </rPr>
      <t>____________</t>
    </r>
    <r>
      <rPr>
        <sz val="10"/>
        <rFont val="宋体"/>
        <family val="3"/>
        <charset val="134"/>
      </rPr>
      <t>经理提出询问。考虑：</t>
    </r>
    <r>
      <rPr>
        <sz val="10"/>
        <rFont val="Arial Narrow"/>
        <family val="2"/>
      </rPr>
      <t>Inquire of the ____________ manager about the parameters used to ____________. Consider:</t>
    </r>
    <phoneticPr fontId="15" type="noConversion"/>
  </si>
  <si>
    <r>
      <t>2.</t>
    </r>
    <r>
      <rPr>
        <sz val="10"/>
        <rFont val="宋体"/>
        <family val="3"/>
        <charset val="134"/>
      </rPr>
      <t>运行</t>
    </r>
    <r>
      <rPr>
        <sz val="10"/>
        <rFont val="Arial Narrow"/>
        <family val="2"/>
      </rPr>
      <t>_______</t>
    </r>
    <r>
      <rPr>
        <sz val="10"/>
        <rFont val="宋体"/>
        <family val="3"/>
        <charset val="134"/>
      </rPr>
      <t>软件。</t>
    </r>
    <r>
      <rPr>
        <sz val="10"/>
        <rFont val="Arial Narrow"/>
        <family val="2"/>
      </rPr>
      <t xml:space="preserve">Run _________ software.  </t>
    </r>
    <phoneticPr fontId="15" type="noConversion"/>
  </si>
  <si>
    <r>
      <t>3.</t>
    </r>
    <r>
      <rPr>
        <sz val="10"/>
        <rFont val="宋体"/>
        <family val="3"/>
        <charset val="134"/>
      </rPr>
      <t>获取</t>
    </r>
    <r>
      <rPr>
        <sz val="10"/>
        <rFont val="Arial Narrow"/>
        <family val="2"/>
      </rPr>
      <t>__</t>
    </r>
    <r>
      <rPr>
        <sz val="10"/>
        <rFont val="宋体"/>
        <family val="3"/>
        <charset val="134"/>
      </rPr>
      <t>交易的电子副本。</t>
    </r>
    <r>
      <rPr>
        <sz val="10"/>
        <rFont val="Arial Narrow"/>
        <family val="2"/>
      </rPr>
      <t xml:space="preserve">Obtain an electronic copy of the ___________ transactions. </t>
    </r>
    <phoneticPr fontId="15" type="noConversion"/>
  </si>
  <si>
    <r>
      <t>4.</t>
    </r>
    <r>
      <rPr>
        <sz val="10"/>
        <rFont val="宋体"/>
        <family val="3"/>
        <charset val="134"/>
      </rPr>
      <t>获得关于</t>
    </r>
    <r>
      <rPr>
        <sz val="10"/>
        <rFont val="Arial Narrow"/>
        <family val="2"/>
      </rPr>
      <t xml:space="preserve">__________ </t>
    </r>
    <r>
      <rPr>
        <sz val="10"/>
        <rFont val="宋体"/>
        <family val="3"/>
        <charset val="134"/>
      </rPr>
      <t>的评估控制一览表。</t>
    </r>
    <r>
      <rPr>
        <sz val="10"/>
        <rFont val="Arial Narrow"/>
        <family val="2"/>
      </rPr>
      <t xml:space="preserve"> Obtain the access control list for the __________ application.  </t>
    </r>
    <phoneticPr fontId="15" type="noConversion"/>
  </si>
  <si>
    <r>
      <t>5.</t>
    </r>
    <r>
      <rPr>
        <sz val="10"/>
        <rFont val="宋体"/>
        <family val="3"/>
        <charset val="134"/>
      </rPr>
      <t>分析组访问权利和此组中用户的任务。确定谁可以访问</t>
    </r>
    <r>
      <rPr>
        <sz val="10"/>
        <rFont val="Arial Narrow"/>
        <family val="2"/>
      </rPr>
      <t>___________</t>
    </r>
    <r>
      <rPr>
        <sz val="10"/>
        <rFont val="宋体"/>
        <family val="3"/>
        <charset val="134"/>
      </rPr>
      <t>应用程序。</t>
    </r>
    <r>
      <rPr>
        <sz val="10"/>
        <rFont val="Arial Narrow"/>
        <family val="2"/>
      </rPr>
      <t xml:space="preserve"> 
Analyze groups access rights and user assignment to the groups. Determine who can access the ___________ application  </t>
    </r>
    <phoneticPr fontId="15" type="noConversion"/>
  </si>
  <si>
    <r>
      <t>6.</t>
    </r>
    <r>
      <rPr>
        <sz val="10"/>
        <rFont val="宋体"/>
        <family val="3"/>
        <charset val="134"/>
      </rPr>
      <t>评价此访问是否适当</t>
    </r>
    <r>
      <rPr>
        <sz val="10"/>
        <rFont val="Arial Narrow"/>
        <family val="2"/>
      </rPr>
      <t>(</t>
    </r>
    <r>
      <rPr>
        <sz val="10"/>
        <rFont val="宋体"/>
        <family val="3"/>
        <charset val="134"/>
      </rPr>
      <t>例如，人数，履行职责所必需的访问</t>
    </r>
    <r>
      <rPr>
        <sz val="10"/>
        <rFont val="Arial Narrow"/>
        <family val="2"/>
      </rPr>
      <t>)</t>
    </r>
    <r>
      <rPr>
        <sz val="10"/>
        <rFont val="宋体"/>
        <family val="3"/>
        <charset val="134"/>
      </rPr>
      <t>。</t>
    </r>
    <r>
      <rPr>
        <sz val="10"/>
        <rFont val="Arial Narrow"/>
        <family val="2"/>
      </rPr>
      <t>Evaluate the appropriateness of this access (e.g., number of people, access required to perform duties)</t>
    </r>
    <phoneticPr fontId="15" type="noConversion"/>
  </si>
  <si>
    <r>
      <t>7.</t>
    </r>
    <r>
      <rPr>
        <sz val="10"/>
        <rFont val="宋体"/>
        <family val="3"/>
        <charset val="134"/>
      </rPr>
      <t>确定被授权访问这个程序的人员名单多久被审查一次并且是被谁审查的。</t>
    </r>
    <r>
      <rPr>
        <sz val="10"/>
        <rFont val="Arial Narrow"/>
        <family val="2"/>
      </rPr>
      <t xml:space="preserve"> 
Determine how often the list of people authorized to access this application is reviewed and by who</t>
    </r>
    <phoneticPr fontId="15" type="noConversion"/>
  </si>
  <si>
    <r>
      <t>8.</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</si>
  <si>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9.</t>
    </r>
    <r>
      <rPr>
        <sz val="10"/>
        <rFont val="宋体"/>
        <family val="3"/>
        <charset val="134"/>
      </rPr>
      <t>评估对</t>
    </r>
    <r>
      <rPr>
        <sz val="10"/>
        <rFont val="Arial Narrow"/>
        <family val="2"/>
      </rPr>
      <t>___________</t>
    </r>
    <r>
      <rPr>
        <sz val="10"/>
        <rFont val="宋体"/>
        <family val="3"/>
        <charset val="134"/>
      </rPr>
      <t>应用程序访问的控制的有效性。</t>
    </r>
    <r>
      <rPr>
        <sz val="10"/>
        <rFont val="Arial Narrow"/>
        <family val="2"/>
      </rPr>
      <t xml:space="preserve">Assess the effectiveness of the controls over access to the ___________ application.  </t>
    </r>
    <phoneticPr fontId="15" type="noConversion"/>
  </si>
  <si>
    <t>询问&amp;观察</t>
    <phoneticPr fontId="15" type="noConversion"/>
  </si>
  <si>
    <r>
      <t>1.</t>
    </r>
    <r>
      <rPr>
        <sz val="10"/>
        <rFont val="宋体"/>
        <family val="3"/>
        <charset val="134"/>
      </rPr>
      <t>就</t>
    </r>
    <r>
      <rPr>
        <sz val="10"/>
        <rFont val="Arial Narrow"/>
        <family val="2"/>
      </rPr>
      <t>_________</t>
    </r>
    <r>
      <rPr>
        <sz val="10"/>
        <rFont val="宋体"/>
        <family val="3"/>
        <charset val="134"/>
      </rPr>
      <t>向</t>
    </r>
    <r>
      <rPr>
        <sz val="10"/>
        <rFont val="Arial Narrow"/>
        <family val="2"/>
      </rPr>
      <t>_________</t>
    </r>
    <r>
      <rPr>
        <sz val="10"/>
        <rFont val="宋体"/>
        <family val="3"/>
        <charset val="134"/>
      </rPr>
      <t>经理提出询问。</t>
    </r>
    <r>
      <rPr>
        <sz val="10"/>
        <rFont val="Arial Narrow"/>
        <family val="2"/>
      </rPr>
      <t>Inquire of the __________ manager about _________.</t>
    </r>
    <phoneticPr fontId="15" type="noConversion"/>
  </si>
  <si>
    <r>
      <t>2.</t>
    </r>
    <r>
      <rPr>
        <sz val="10"/>
        <rFont val="宋体"/>
        <family val="3"/>
        <charset val="134"/>
      </rPr>
      <t>审阅</t>
    </r>
    <r>
      <rPr>
        <sz val="10"/>
        <rFont val="Arial Narrow"/>
        <family val="2"/>
      </rPr>
      <t>_________</t>
    </r>
    <r>
      <rPr>
        <sz val="10"/>
        <rFont val="宋体"/>
        <family val="3"/>
        <charset val="134"/>
      </rPr>
      <t>，并与对我们询问的回答进行比较，以检查其一致性。</t>
    </r>
    <r>
      <rPr>
        <sz val="10"/>
        <rFont val="Arial Narrow"/>
        <family val="2"/>
      </rPr>
      <t xml:space="preserve"> Review _________ and contrast consistency with the responses to our inquiries.</t>
    </r>
    <phoneticPr fontId="15" type="noConversion"/>
  </si>
  <si>
    <r>
      <t>3.</t>
    </r>
    <r>
      <rPr>
        <sz val="10"/>
        <rFont val="宋体"/>
        <family val="3"/>
        <charset val="134"/>
      </rPr>
      <t>观察超出或低于被授权</t>
    </r>
    <r>
      <rPr>
        <sz val="10"/>
        <rFont val="Arial Narrow"/>
        <family val="2"/>
      </rPr>
      <t>_________</t>
    </r>
    <r>
      <rPr>
        <sz val="10"/>
        <rFont val="宋体"/>
        <family val="3"/>
        <charset val="134"/>
      </rPr>
      <t>流程。</t>
    </r>
    <r>
      <rPr>
        <sz val="10"/>
        <rFont val="Arial Narrow"/>
        <family val="2"/>
      </rPr>
      <t xml:space="preserve">Observe _________process above and below the authorized edit settings.   </t>
    </r>
    <phoneticPr fontId="15" type="noConversion"/>
  </si>
  <si>
    <r>
      <t>4.</t>
    </r>
    <r>
      <rPr>
        <sz val="10"/>
        <rFont val="宋体"/>
        <family val="3"/>
        <charset val="134"/>
      </rPr>
      <t>观察数据录入和具体内容比对的流程。</t>
    </r>
    <r>
      <rPr>
        <sz val="10"/>
        <rFont val="Arial Narrow"/>
        <family val="2"/>
      </rPr>
      <t xml:space="preserve">Observe the data entry and details comparison process.  </t>
    </r>
    <phoneticPr fontId="15" type="noConversion"/>
  </si>
  <si>
    <r>
      <t>5.</t>
    </r>
    <r>
      <rPr>
        <sz val="10"/>
        <rFont val="宋体"/>
        <family val="3"/>
        <charset val="134"/>
      </rPr>
      <t>观察配比与后续流程。</t>
    </r>
    <r>
      <rPr>
        <sz val="10"/>
        <rFont val="Arial Narrow"/>
        <family val="2"/>
      </rPr>
      <t xml:space="preserve">Observe the matching and follow-up process.  </t>
    </r>
    <phoneticPr fontId="15" type="noConversion"/>
  </si>
  <si>
    <r>
      <t>6.</t>
    </r>
    <r>
      <rPr>
        <sz val="10"/>
        <rFont val="宋体"/>
        <family val="3"/>
        <charset val="134"/>
      </rPr>
      <t>获得关于</t>
    </r>
    <r>
      <rPr>
        <sz val="10"/>
        <rFont val="Arial Narrow"/>
        <family val="2"/>
      </rPr>
      <t xml:space="preserve"> </t>
    </r>
    <r>
      <rPr>
        <sz val="10"/>
        <rFont val="宋体"/>
        <family val="3"/>
        <charset val="134"/>
      </rPr>
      <t>应用的接入控制一览表。</t>
    </r>
    <r>
      <rPr>
        <sz val="10"/>
        <rFont val="Arial Narrow"/>
        <family val="2"/>
      </rPr>
      <t xml:space="preserve">Obtain the access control list for the __________ application.  </t>
    </r>
    <phoneticPr fontId="15" type="noConversion"/>
  </si>
  <si>
    <r>
      <t>7.</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</si>
  <si>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8.</t>
    </r>
    <r>
      <rPr>
        <sz val="10"/>
        <rFont val="宋体"/>
        <family val="3"/>
        <charset val="134"/>
      </rPr>
      <t>评估</t>
    </r>
    <r>
      <rPr>
        <sz val="10"/>
        <rFont val="Arial Narrow"/>
        <family val="2"/>
      </rPr>
      <t>_________</t>
    </r>
    <r>
      <rPr>
        <sz val="10"/>
        <rFont val="宋体"/>
        <family val="3"/>
        <charset val="134"/>
      </rPr>
      <t>控制的有效性。</t>
    </r>
    <r>
      <rPr>
        <sz val="10"/>
        <rFont val="Arial Narrow"/>
        <family val="2"/>
      </rPr>
      <t xml:space="preserve">Assess the effectiveness of the _________ control.  </t>
    </r>
    <phoneticPr fontId="15" type="noConversion"/>
  </si>
  <si>
    <t>管理层-重新执行</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</si>
  <si>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 xml:space="preserve"> Determine whether the type of test employed and the number of items tested is appropriate considering the nature of the control and the control objective.</t>
    </r>
    <phoneticPr fontId="15" type="noConversion"/>
  </si>
  <si>
    <r>
      <t>2.</t>
    </r>
    <r>
      <rPr>
        <sz val="10"/>
        <rFont val="宋体"/>
        <family val="3"/>
        <charset val="134"/>
      </rPr>
      <t>对</t>
    </r>
    <r>
      <rPr>
        <sz val="10"/>
        <rFont val="Arial Narrow"/>
        <family val="2"/>
      </rPr>
      <t>_________</t>
    </r>
    <r>
      <rPr>
        <sz val="10"/>
        <rFont val="宋体"/>
        <family val="3"/>
        <charset val="134"/>
      </rPr>
      <t>的质量进行评估。</t>
    </r>
    <r>
      <rPr>
        <sz val="10"/>
        <rFont val="Arial Narrow"/>
        <family val="2"/>
      </rPr>
      <t xml:space="preserve"> Assess the quality of the_________.</t>
    </r>
    <phoneticPr fontId="15" type="noConversion"/>
  </si>
  <si>
    <r>
      <t>3.</t>
    </r>
    <r>
      <rPr>
        <sz val="10"/>
        <rFont val="宋体"/>
        <family val="3"/>
        <charset val="134"/>
      </rPr>
      <t>对监督依据和已进行检验的审查进行检查。</t>
    </r>
    <r>
      <rPr>
        <sz val="10"/>
        <rFont val="Arial Narrow"/>
        <family val="2"/>
      </rPr>
      <t xml:space="preserve"> Examine evidence of supervision and review of the testing performed.</t>
    </r>
    <phoneticPr fontId="15" type="noConversion"/>
  </si>
  <si>
    <r>
      <t>4.</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</si>
  <si>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5.</t>
    </r>
    <r>
      <rPr>
        <sz val="10"/>
        <rFont val="宋体"/>
        <family val="3"/>
        <charset val="134"/>
      </rPr>
      <t>选择至少一个由其他审计师测试的项目，并且重新进行测试。记录所执行的测试。</t>
    </r>
    <r>
      <rPr>
        <sz val="10"/>
        <rFont val="Arial Narrow"/>
        <family val="2"/>
      </rPr>
      <t xml:space="preserve"> Select at least one item tested by others and reperform the test. Document testing performed.</t>
    </r>
    <phoneticPr fontId="15" type="noConversion"/>
  </si>
  <si>
    <r>
      <t>6.</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</si>
  <si>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t>5.</t>
    </r>
    <r>
      <rPr>
        <sz val="10"/>
        <rFont val="宋体"/>
        <family val="3"/>
        <charset val="134"/>
      </rPr>
      <t>对其他人员完成的测试结果作出结论。</t>
    </r>
    <r>
      <rPr>
        <sz val="10"/>
        <rFont val="Arial Narrow"/>
        <family val="2"/>
      </rPr>
      <t xml:space="preserve"> Conclude on the effectiveness of the testing performed by others.</t>
    </r>
    <phoneticPr fontId="15" type="noConversion"/>
  </si>
  <si>
    <t>管理层-仅复核</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</si>
  <si>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Determine whether the type of test employed and the number of items tested is appropriate considering the nature of the control and the control objective.</t>
    </r>
    <phoneticPr fontId="15" type="noConversion"/>
  </si>
  <si>
    <r>
      <t>2.</t>
    </r>
    <r>
      <rPr>
        <sz val="10"/>
        <rFont val="宋体"/>
        <family val="3"/>
        <charset val="134"/>
      </rPr>
      <t>对文件编制的质量进行评估。</t>
    </r>
    <r>
      <rPr>
        <sz val="10"/>
        <rFont val="Arial Narrow"/>
        <family val="2"/>
      </rPr>
      <t xml:space="preserve"> Assess the quality of the documentation.</t>
    </r>
    <phoneticPr fontId="15" type="noConversion"/>
  </si>
  <si>
    <r>
      <t>3.</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</si>
  <si>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4.</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</si>
  <si>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rPr>
        <b/>
        <sz val="12"/>
        <rFont val="宋体"/>
        <family val="3"/>
        <charset val="134"/>
      </rPr>
      <t>致同会计师事务所</t>
    </r>
    <phoneticPr fontId="15" type="noConversion"/>
  </si>
  <si>
    <r>
      <rPr>
        <b/>
        <sz val="14"/>
        <rFont val="宋体"/>
        <family val="3"/>
        <charset val="134"/>
      </rPr>
      <t>评价控制偏差</t>
    </r>
    <phoneticPr fontId="15" type="noConversion"/>
  </si>
  <si>
    <r>
      <rPr>
        <sz val="10"/>
        <rFont val="宋体"/>
        <family val="3"/>
        <charset val="134"/>
      </rPr>
      <t>复核人：</t>
    </r>
    <phoneticPr fontId="15" type="noConversion"/>
  </si>
  <si>
    <r>
      <rPr>
        <sz val="10"/>
        <rFont val="宋体"/>
        <family val="3"/>
        <charset val="134"/>
      </rPr>
      <t>日期：</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</si>
  <si>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</si>
  <si>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</si>
  <si>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</si>
  <si>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</si>
  <si>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</si>
  <si>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</si>
  <si>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r>
      <rPr>
        <sz val="10"/>
        <color indexed="8"/>
        <rFont val="宋体"/>
        <family val="3"/>
        <charset val="134"/>
      </rPr>
      <t xml:space="preserve">步骤一：
确认发现的控制例外情况（选定的样本无法执行控制测试）是否属于控制偏差（内部控制运行偏离设计）？
</t>
    </r>
    <r>
      <rPr>
        <sz val="10"/>
        <color indexed="12"/>
        <rFont val="Arial"/>
        <family val="2"/>
      </rPr>
      <t>[</t>
    </r>
    <r>
      <rPr>
        <sz val="10"/>
        <color indexed="12"/>
        <rFont val="宋体"/>
        <family val="3"/>
        <charset val="134"/>
      </rPr>
      <t>注</t>
    </r>
    <r>
      <rPr>
        <sz val="10"/>
        <color indexed="12"/>
        <rFont val="Arial"/>
        <family val="2"/>
      </rPr>
      <t>1]</t>
    </r>
    <phoneticPr fontId="15" type="noConversion"/>
  </si>
  <si>
    <r>
      <rPr>
        <sz val="10"/>
        <color indexed="8"/>
        <rFont val="宋体"/>
        <family val="3"/>
        <charset val="134"/>
      </rPr>
      <t xml:space="preserve">步骤二：
确定控制偏差的性质：系统性偏差？人为有意造成的偏差？随机性偏差？
</t>
    </r>
    <r>
      <rPr>
        <sz val="10"/>
        <color indexed="12"/>
        <rFont val="Arial"/>
        <family val="2"/>
      </rPr>
      <t>[</t>
    </r>
    <r>
      <rPr>
        <sz val="10"/>
        <color indexed="12"/>
        <rFont val="宋体"/>
        <family val="3"/>
        <charset val="134"/>
      </rPr>
      <t>注</t>
    </r>
    <r>
      <rPr>
        <sz val="10"/>
        <color indexed="12"/>
        <rFont val="Arial"/>
        <family val="2"/>
      </rPr>
      <t>2]</t>
    </r>
    <phoneticPr fontId="15" type="noConversion"/>
  </si>
  <si>
    <r>
      <rPr>
        <sz val="10"/>
        <color indexed="8"/>
        <rFont val="宋体"/>
        <family val="3"/>
        <charset val="134"/>
      </rPr>
      <t xml:space="preserve">步骤三：
对于随机性的偏差，确定适当的审计应对措施：扩大样本量进行测试？直接将该项控制偏差视作缺陷？
</t>
    </r>
    <r>
      <rPr>
        <sz val="10"/>
        <color indexed="12"/>
        <rFont val="Arial"/>
        <family val="2"/>
      </rPr>
      <t>[</t>
    </r>
    <r>
      <rPr>
        <sz val="10"/>
        <color indexed="12"/>
        <rFont val="宋体"/>
        <family val="3"/>
        <charset val="134"/>
      </rPr>
      <t>注</t>
    </r>
    <r>
      <rPr>
        <sz val="10"/>
        <color indexed="12"/>
        <rFont val="Arial"/>
        <family val="2"/>
      </rPr>
      <t>3]</t>
    </r>
    <phoneticPr fontId="15" type="noConversion"/>
  </si>
  <si>
    <r>
      <rPr>
        <sz val="10"/>
        <color indexed="8"/>
        <rFont val="宋体"/>
        <family val="3"/>
        <charset val="134"/>
      </rPr>
      <t xml:space="preserve">步骤四：
根据发现的控制偏差的数量来确定扩大样本量的范围，扩大样本量进行测试后是否发现新的偏差？
</t>
    </r>
    <r>
      <rPr>
        <sz val="10"/>
        <color indexed="12"/>
        <rFont val="Arial"/>
        <family val="2"/>
      </rPr>
      <t>[</t>
    </r>
    <r>
      <rPr>
        <sz val="10"/>
        <color indexed="12"/>
        <rFont val="宋体"/>
        <family val="3"/>
        <charset val="134"/>
      </rPr>
      <t>注</t>
    </r>
    <r>
      <rPr>
        <sz val="10"/>
        <color indexed="12"/>
        <rFont val="Arial"/>
        <family val="2"/>
      </rPr>
      <t>4]</t>
    </r>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</si>
  <si>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xml:space="preserve">
</t>
    </r>
    <r>
      <rPr>
        <sz val="10"/>
        <color indexed="12"/>
        <rFont val="Arial"/>
        <family val="2"/>
      </rPr>
      <t>[</t>
    </r>
    <r>
      <rPr>
        <sz val="10"/>
        <color indexed="12"/>
        <rFont val="宋体"/>
        <family val="3"/>
        <charset val="134"/>
      </rPr>
      <t>注</t>
    </r>
    <r>
      <rPr>
        <sz val="10"/>
        <color indexed="12"/>
        <rFont val="Arial"/>
        <family val="2"/>
      </rPr>
      <t>5]</t>
    </r>
    <phoneticPr fontId="15" type="noConversion"/>
  </si>
  <si>
    <r>
      <rPr>
        <sz val="10"/>
        <color indexed="8"/>
        <rFont val="宋体"/>
        <family val="3"/>
        <charset val="134"/>
      </rPr>
      <t xml:space="preserve">步骤六：
若确定发现的控制例外情况不属于控制偏差，则可以选取替代样本以获得证明控制运行有效的充分、适当的审计证据。
但需确定控制例外情况是否表明相关控制的设计存在缺陷？
</t>
    </r>
    <r>
      <rPr>
        <sz val="10"/>
        <color indexed="12"/>
        <rFont val="Arial"/>
        <family val="2"/>
      </rPr>
      <t>[</t>
    </r>
    <r>
      <rPr>
        <sz val="10"/>
        <color indexed="12"/>
        <rFont val="宋体"/>
        <family val="3"/>
        <charset val="134"/>
      </rPr>
      <t>注</t>
    </r>
    <r>
      <rPr>
        <sz val="10"/>
        <color indexed="12"/>
        <rFont val="Arial"/>
        <family val="2"/>
      </rPr>
      <t>6]</t>
    </r>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</si>
  <si>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</si>
  <si>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Arial"/>
        <family val="2"/>
      </rPr>
      <t>/</t>
    </r>
    <r>
      <rPr>
        <b/>
        <sz val="10"/>
        <color indexed="10"/>
        <rFont val="宋体"/>
        <family val="3"/>
        <charset val="134"/>
      </rPr>
      <t>该偏差构成</t>
    </r>
    <r>
      <rPr>
        <b/>
        <sz val="10"/>
        <color indexed="10"/>
        <rFont val="宋体"/>
        <family val="3"/>
        <charset val="134"/>
      </rPr>
      <t>缺陷</t>
    </r>
    <r>
      <rPr>
        <b/>
        <sz val="10"/>
        <color indexed="10"/>
        <rFont val="Arial"/>
        <family val="2"/>
      </rPr>
      <t>/</t>
    </r>
    <r>
      <rPr>
        <b/>
        <sz val="10"/>
        <color indexed="10"/>
        <rFont val="宋体"/>
        <family val="3"/>
        <charset val="134"/>
      </rPr>
      <t>该控制有效。</t>
    </r>
    <phoneticPr fontId="15" type="noConversion"/>
  </si>
  <si>
    <r>
      <rPr>
        <b/>
        <sz val="10"/>
        <color indexed="12"/>
        <rFont val="宋体"/>
        <family val="3"/>
        <charset val="134"/>
      </rPr>
      <t>注</t>
    </r>
    <r>
      <rPr>
        <b/>
        <sz val="10"/>
        <color indexed="12"/>
        <rFont val="Arial"/>
        <family val="2"/>
      </rPr>
      <t>1</t>
    </r>
    <r>
      <rPr>
        <b/>
        <sz val="10"/>
        <color indexed="12"/>
        <rFont val="宋体"/>
        <family val="3"/>
        <charset val="134"/>
      </rPr>
      <t>：控制例外情况及控制偏差</t>
    </r>
    <phoneticPr fontId="15" type="noConversion"/>
  </si>
  <si>
    <r>
      <rPr>
        <b/>
        <sz val="10"/>
        <color indexed="12"/>
        <rFont val="宋体"/>
        <family val="3"/>
        <charset val="134"/>
      </rPr>
      <t>控制例外情况</t>
    </r>
    <phoneticPr fontId="15" type="noConversion"/>
  </si>
  <si>
    <r>
      <rPr>
        <sz val="10"/>
        <color indexed="12"/>
        <rFont val="宋体"/>
        <family val="3"/>
        <charset val="134"/>
      </rPr>
      <t>对于一个选定的样本或替代性样本，如果无法执行注册会计师所设计的控制测试或适当的替代性测试，则注册会计师应认为</t>
    </r>
    <phoneticPr fontId="15" type="noConversion"/>
  </si>
  <si>
    <r>
      <rPr>
        <sz val="10"/>
        <color indexed="12"/>
        <rFont val="宋体"/>
        <family val="3"/>
        <charset val="134"/>
      </rPr>
      <t>该样本是一项控制例外情况。</t>
    </r>
    <phoneticPr fontId="15" type="noConversion"/>
  </si>
  <si>
    <r>
      <rPr>
        <sz val="10"/>
        <color indexed="12"/>
        <rFont val="宋体"/>
        <family val="3"/>
        <charset val="134"/>
      </rPr>
      <t>例如，对于一个选定的样本，如果由于企业不能提供支持性文档而无法执行控制测试，则其属于一项控制例外情况并需要</t>
    </r>
    <phoneticPr fontId="15" type="noConversion"/>
  </si>
  <si>
    <r>
      <rPr>
        <sz val="10"/>
        <color indexed="12"/>
        <rFont val="宋体"/>
        <family val="3"/>
        <charset val="134"/>
      </rPr>
      <t>确定适当的应对措施。</t>
    </r>
    <phoneticPr fontId="15" type="noConversion"/>
  </si>
  <si>
    <r>
      <rPr>
        <sz val="10"/>
        <color indexed="12"/>
        <rFont val="宋体"/>
        <family val="3"/>
        <charset val="134"/>
      </rPr>
      <t>对于发现的控制例外情况，首先应当确定其是否构成一项控制偏差。</t>
    </r>
    <phoneticPr fontId="15" type="noConversion"/>
  </si>
  <si>
    <r>
      <rPr>
        <sz val="10"/>
        <color indexed="12"/>
        <rFont val="宋体"/>
        <family val="3"/>
        <charset val="134"/>
      </rPr>
      <t>当出现以下情况时，一般可以认为控制例外情况不是控制偏差：</t>
    </r>
    <phoneticPr fontId="15" type="noConversion"/>
  </si>
  <si>
    <r>
      <rPr>
        <sz val="10"/>
        <color indexed="12"/>
        <rFont val="宋体"/>
        <family val="3"/>
        <charset val="134"/>
      </rPr>
      <t>（</t>
    </r>
    <r>
      <rPr>
        <sz val="10"/>
        <color indexed="12"/>
        <rFont val="Arial"/>
        <family val="2"/>
      </rPr>
      <t>1</t>
    </r>
    <r>
      <rPr>
        <sz val="10"/>
        <color indexed="12"/>
        <rFont val="宋体"/>
        <family val="3"/>
        <charset val="134"/>
      </rPr>
      <t>）根据进一步的了解和评价，注册会计师确定识别出的例外情况事实上不是对控制预设目标的偏离，即注册会计师原先</t>
    </r>
    <phoneticPr fontId="15" type="noConversion"/>
  </si>
  <si>
    <r>
      <rPr>
        <sz val="10"/>
        <color indexed="12"/>
        <rFont val="宋体"/>
        <family val="3"/>
        <charset val="134"/>
      </rPr>
      <t>对重大业务流程及相关控制的理解有误。</t>
    </r>
    <phoneticPr fontId="15" type="noConversion"/>
  </si>
  <si>
    <r>
      <rPr>
        <sz val="10"/>
        <color indexed="12"/>
        <rFont val="宋体"/>
        <family val="3"/>
        <charset val="134"/>
      </rPr>
      <t>（</t>
    </r>
    <r>
      <rPr>
        <sz val="10"/>
        <color indexed="12"/>
        <rFont val="Arial"/>
        <family val="2"/>
      </rPr>
      <t>2</t>
    </r>
    <r>
      <rPr>
        <sz val="10"/>
        <color indexed="12"/>
        <rFont val="宋体"/>
        <family val="3"/>
        <charset val="134"/>
      </rPr>
      <t>）基于对控制设计的了解，注册会计师能够通过追加执行除询问以外的审计程序获取充分、适当的审计证据，以确认该</t>
    </r>
    <phoneticPr fontId="15" type="noConversion"/>
  </si>
  <si>
    <r>
      <rPr>
        <sz val="10"/>
        <color indexed="12"/>
        <rFont val="宋体"/>
        <family val="3"/>
        <charset val="134"/>
      </rPr>
      <t>例外情况引发的错误在可以接受的水平，即小于临界值（明显微小的错报金额</t>
    </r>
    <r>
      <rPr>
        <sz val="10"/>
        <color indexed="12"/>
        <rFont val="Arial"/>
        <family val="2"/>
      </rPr>
      <t>SAD</t>
    </r>
    <r>
      <rPr>
        <sz val="10"/>
        <color indexed="12"/>
        <rFont val="宋体"/>
        <family val="3"/>
        <charset val="134"/>
      </rPr>
      <t>）。</t>
    </r>
    <phoneticPr fontId="15" type="noConversion"/>
  </si>
  <si>
    <r>
      <rPr>
        <b/>
        <sz val="10"/>
        <color indexed="12"/>
        <rFont val="宋体"/>
        <family val="3"/>
        <charset val="134"/>
      </rPr>
      <t>控制偏差</t>
    </r>
    <phoneticPr fontId="15" type="noConversion"/>
  </si>
  <si>
    <r>
      <rPr>
        <sz val="10"/>
        <color indexed="12"/>
        <rFont val="宋体"/>
        <family val="3"/>
        <charset val="134"/>
      </rPr>
      <t>控制偏差即内部控制运行偏离设计的情况，是指在内部控制测试中，注册会计师选择进行测试的某个控制没有按照设计的</t>
    </r>
    <phoneticPr fontId="15" type="noConversion"/>
  </si>
  <si>
    <r>
      <rPr>
        <sz val="10"/>
        <color indexed="12"/>
        <rFont val="宋体"/>
        <family val="3"/>
        <charset val="134"/>
      </rPr>
      <t>要求被有效执行或者没有被执行。</t>
    </r>
    <phoneticPr fontId="15" type="noConversion"/>
  </si>
  <si>
    <r>
      <rPr>
        <sz val="10"/>
        <color indexed="12"/>
        <rFont val="宋体"/>
        <family val="3"/>
        <charset val="134"/>
      </rPr>
      <t>发生控制偏差往往是由于执行控制的人员在收集或处理数据时发生错误、没有进行适当的跟进，或者没有足够的能力和意愿</t>
    </r>
    <phoneticPr fontId="15" type="noConversion"/>
  </si>
  <si>
    <r>
      <rPr>
        <sz val="10"/>
        <color indexed="12"/>
        <rFont val="宋体"/>
        <family val="3"/>
        <charset val="134"/>
      </rPr>
      <t>去执行有效的控制。</t>
    </r>
    <phoneticPr fontId="15" type="noConversion"/>
  </si>
  <si>
    <r>
      <rPr>
        <b/>
        <sz val="10"/>
        <color indexed="12"/>
        <rFont val="宋体"/>
        <family val="3"/>
        <charset val="134"/>
      </rPr>
      <t>注</t>
    </r>
    <r>
      <rPr>
        <b/>
        <sz val="10"/>
        <color indexed="12"/>
        <rFont val="Arial"/>
        <family val="2"/>
      </rPr>
      <t>2</t>
    </r>
    <r>
      <rPr>
        <b/>
        <sz val="10"/>
        <color indexed="12"/>
        <rFont val="宋体"/>
        <family val="3"/>
        <charset val="134"/>
      </rPr>
      <t>：控制偏差的性质</t>
    </r>
    <phoneticPr fontId="15" type="noConversion"/>
  </si>
  <si>
    <r>
      <rPr>
        <sz val="10"/>
        <color indexed="12"/>
        <rFont val="宋体"/>
        <family val="3"/>
        <charset val="134"/>
      </rPr>
      <t>系统性偏差是指在相似情形下，预计都会发生的错误。</t>
    </r>
    <phoneticPr fontId="15" type="noConversion"/>
  </si>
  <si>
    <r>
      <rPr>
        <sz val="10"/>
        <color indexed="12"/>
        <rFont val="宋体"/>
        <family val="3"/>
        <charset val="134"/>
      </rPr>
      <t>随机性偏差是指偶然发生的错误。随机性偏差是由某一孤立事件引起的，该事件只有在特定条件下才会重复发生，因而</t>
    </r>
    <phoneticPr fontId="15" type="noConversion"/>
  </si>
  <si>
    <r>
      <rPr>
        <sz val="10"/>
        <color indexed="12"/>
        <rFont val="宋体"/>
        <family val="3"/>
        <charset val="134"/>
      </rPr>
      <t>随机性偏差对总体误差不具有代表性。</t>
    </r>
    <phoneticPr fontId="15" type="noConversion"/>
  </si>
  <si>
    <r>
      <rPr>
        <sz val="10"/>
        <color indexed="12"/>
        <rFont val="宋体"/>
        <family val="3"/>
        <charset val="134"/>
      </rPr>
      <t>如果发现的控制偏差是系统性偏差或人为有意造成的偏差，注册会计师应当考虑是否存在舞弊的迹象以及对审计方案的影响。</t>
    </r>
    <phoneticPr fontId="15" type="noConversion"/>
  </si>
  <si>
    <r>
      <rPr>
        <sz val="10"/>
        <color indexed="12"/>
        <rFont val="宋体"/>
        <family val="3"/>
        <charset val="134"/>
      </rPr>
      <t>注册会计师在将控制偏差确认为随机性的时候需要谨慎，在得出该结论之前，应当实施追加的审计程序，以高度确信该偏差</t>
    </r>
    <phoneticPr fontId="15" type="noConversion"/>
  </si>
  <si>
    <r>
      <rPr>
        <sz val="10"/>
        <color indexed="12"/>
        <rFont val="宋体"/>
        <family val="3"/>
        <charset val="134"/>
      </rPr>
      <t>对总体误差不具有代表性。</t>
    </r>
    <phoneticPr fontId="15" type="noConversion"/>
  </si>
  <si>
    <r>
      <rPr>
        <sz val="10"/>
        <color indexed="12"/>
        <rFont val="宋体"/>
        <family val="3"/>
        <charset val="134"/>
      </rPr>
      <t>在评价控制偏差的性质时，需要考虑：</t>
    </r>
    <phoneticPr fontId="15" type="noConversion"/>
  </si>
  <si>
    <r>
      <rPr>
        <sz val="10"/>
        <color indexed="12"/>
        <rFont val="宋体"/>
        <family val="3"/>
        <charset val="134"/>
      </rPr>
      <t>（</t>
    </r>
    <r>
      <rPr>
        <sz val="10"/>
        <color indexed="12"/>
        <rFont val="Arial"/>
        <family val="2"/>
      </rPr>
      <t>1</t>
    </r>
    <r>
      <rPr>
        <sz val="10"/>
        <color indexed="12"/>
        <rFont val="宋体"/>
        <family val="3"/>
        <charset val="134"/>
      </rPr>
      <t>）控制偏差是否具有共同的特征。例如，控制偏差发生在某些特定类型的业务、地点或生产线中，或者发生在同样的人员</t>
    </r>
    <phoneticPr fontId="15" type="noConversion"/>
  </si>
  <si>
    <r>
      <rPr>
        <sz val="10"/>
        <color indexed="12"/>
        <rFont val="宋体"/>
        <family val="3"/>
        <charset val="134"/>
      </rPr>
      <t>执行控制时，抑或是发生在某一特定的时期。</t>
    </r>
    <phoneticPr fontId="15" type="noConversion"/>
  </si>
  <si>
    <r>
      <rPr>
        <sz val="10"/>
        <color indexed="12"/>
        <rFont val="宋体"/>
        <family val="3"/>
        <charset val="134"/>
      </rPr>
      <t>（</t>
    </r>
    <r>
      <rPr>
        <sz val="10"/>
        <color indexed="12"/>
        <rFont val="Arial"/>
        <family val="2"/>
      </rPr>
      <t>2</t>
    </r>
    <r>
      <rPr>
        <sz val="10"/>
        <color indexed="12"/>
        <rFont val="宋体"/>
        <family val="3"/>
        <charset val="134"/>
      </rPr>
      <t>）控制偏差是否是由于基础工作错误造成的。例如，控制偏差是由于错误的公司或计算造成的，或者是基于不完整或</t>
    </r>
    <phoneticPr fontId="15" type="noConversion"/>
  </si>
  <si>
    <r>
      <rPr>
        <sz val="10"/>
        <color indexed="12"/>
        <rFont val="宋体"/>
        <family val="3"/>
        <charset val="134"/>
      </rPr>
      <t>不准确的数据造成的。</t>
    </r>
    <phoneticPr fontId="15" type="noConversion"/>
  </si>
  <si>
    <r>
      <rPr>
        <sz val="10"/>
        <color indexed="12"/>
        <rFont val="宋体"/>
        <family val="3"/>
        <charset val="134"/>
      </rPr>
      <t>如果确认偏差时系统性的或人为有意造成的，应直接将该控制偏差视为一项内部控制缺陷。</t>
    </r>
    <phoneticPr fontId="15" type="noConversion"/>
  </si>
  <si>
    <r>
      <rPr>
        <b/>
        <sz val="10"/>
        <color indexed="12"/>
        <rFont val="宋体"/>
        <family val="3"/>
        <charset val="134"/>
      </rPr>
      <t>注</t>
    </r>
    <r>
      <rPr>
        <b/>
        <sz val="10"/>
        <color indexed="12"/>
        <rFont val="Arial"/>
        <family val="2"/>
      </rPr>
      <t>3</t>
    </r>
    <r>
      <rPr>
        <b/>
        <sz val="10"/>
        <color indexed="12"/>
        <rFont val="宋体"/>
        <family val="3"/>
        <charset val="134"/>
      </rPr>
      <t>：随机性偏差的应对措施</t>
    </r>
    <phoneticPr fontId="15" type="noConversion"/>
  </si>
  <si>
    <r>
      <rPr>
        <sz val="10"/>
        <color indexed="12"/>
        <rFont val="宋体"/>
        <family val="3"/>
        <charset val="134"/>
      </rPr>
      <t>如果认为一项控制偏差是随机的，则应当确定适当的审计应对措施。包括：</t>
    </r>
    <phoneticPr fontId="15" type="noConversion"/>
  </si>
  <si>
    <r>
      <rPr>
        <sz val="10"/>
        <color indexed="12"/>
        <rFont val="宋体"/>
        <family val="3"/>
        <charset val="134"/>
      </rPr>
      <t>（</t>
    </r>
    <r>
      <rPr>
        <sz val="10"/>
        <color indexed="12"/>
        <rFont val="Arial"/>
        <family val="2"/>
      </rPr>
      <t>1</t>
    </r>
    <r>
      <rPr>
        <sz val="10"/>
        <color indexed="12"/>
        <rFont val="宋体"/>
        <family val="3"/>
        <charset val="134"/>
      </rPr>
      <t>）扩大样本量进行测试，从而确定测试发现的错误率在可容忍范围内；</t>
    </r>
    <phoneticPr fontId="15" type="noConversion"/>
  </si>
  <si>
    <r>
      <rPr>
        <sz val="10"/>
        <color indexed="12"/>
        <rFont val="宋体"/>
        <family val="3"/>
        <charset val="134"/>
      </rPr>
      <t>（</t>
    </r>
    <r>
      <rPr>
        <sz val="10"/>
        <color indexed="12"/>
        <rFont val="Arial"/>
        <family val="2"/>
      </rPr>
      <t>2</t>
    </r>
    <r>
      <rPr>
        <sz val="10"/>
        <color indexed="12"/>
        <rFont val="宋体"/>
        <family val="3"/>
        <charset val="134"/>
      </rPr>
      <t>）直接将该项控制偏差视作一项内部控制缺陷。</t>
    </r>
    <phoneticPr fontId="15" type="noConversion"/>
  </si>
  <si>
    <r>
      <rPr>
        <sz val="10"/>
        <color indexed="12"/>
        <rFont val="宋体"/>
        <family val="3"/>
        <charset val="134"/>
      </rPr>
      <t>如果决定扩大样本量进行测试，注册会计师应当根据发现的控制偏差的数量来确定扩大样本量的范围。例如，对于每日发生</t>
    </r>
    <phoneticPr fontId="15" type="noConversion"/>
  </si>
  <si>
    <r>
      <rPr>
        <sz val="10"/>
        <color indexed="12"/>
        <rFont val="宋体"/>
        <family val="3"/>
        <charset val="134"/>
      </rPr>
      <t>多次的控制，如果初始样本规模为</t>
    </r>
    <r>
      <rPr>
        <sz val="10"/>
        <color indexed="12"/>
        <rFont val="Arial"/>
        <family val="2"/>
      </rPr>
      <t>25</t>
    </r>
    <r>
      <rPr>
        <sz val="10"/>
        <color indexed="12"/>
        <rFont val="宋体"/>
        <family val="3"/>
        <charset val="134"/>
      </rPr>
      <t>个，当测试发现一项控制偏差，且该偏差不是系统性偏差时，注册会计师扩大样本规模</t>
    </r>
    <phoneticPr fontId="15" type="noConversion"/>
  </si>
  <si>
    <r>
      <rPr>
        <sz val="10"/>
        <color indexed="12"/>
        <rFont val="宋体"/>
        <family val="3"/>
        <charset val="134"/>
      </rPr>
      <t>进行测试，所增加的样本规模至少为</t>
    </r>
    <r>
      <rPr>
        <sz val="10"/>
        <color indexed="12"/>
        <rFont val="Arial"/>
        <family val="2"/>
      </rPr>
      <t>15</t>
    </r>
    <r>
      <rPr>
        <sz val="10"/>
        <color indexed="12"/>
        <rFont val="宋体"/>
        <family val="3"/>
        <charset val="134"/>
      </rPr>
      <t>个。</t>
    </r>
    <phoneticPr fontId="15" type="noConversion"/>
  </si>
  <si>
    <r>
      <rPr>
        <b/>
        <sz val="10"/>
        <color indexed="12"/>
        <rFont val="宋体"/>
        <family val="3"/>
        <charset val="134"/>
      </rPr>
      <t>注</t>
    </r>
    <r>
      <rPr>
        <b/>
        <sz val="10"/>
        <color indexed="12"/>
        <rFont val="Arial"/>
        <family val="2"/>
      </rPr>
      <t>4</t>
    </r>
    <r>
      <rPr>
        <b/>
        <sz val="10"/>
        <color indexed="12"/>
        <rFont val="宋体"/>
        <family val="3"/>
        <charset val="134"/>
      </rPr>
      <t>：扩大样本量后的测试结果</t>
    </r>
    <phoneticPr fontId="15" type="noConversion"/>
  </si>
  <si>
    <r>
      <rPr>
        <sz val="10"/>
        <color indexed="12"/>
        <rFont val="宋体"/>
        <family val="3"/>
        <charset val="134"/>
      </rPr>
      <t>如果扩大样本量测试后再次发现偏差，则注册会计师可以得出该控制无效的结论。</t>
    </r>
    <phoneticPr fontId="15" type="noConversion"/>
  </si>
  <si>
    <r>
      <rPr>
        <sz val="10"/>
        <color indexed="12"/>
        <rFont val="宋体"/>
        <family val="3"/>
        <charset val="134"/>
      </rPr>
      <t>如果扩大样本量测试没有再次发现偏差，则注册会计师可以得出该控制有效的结论。即尽管存在一项控制偏差，但测试范围</t>
    </r>
    <phoneticPr fontId="15" type="noConversion"/>
  </si>
  <si>
    <r>
      <rPr>
        <sz val="10"/>
        <color indexed="12"/>
        <rFont val="宋体"/>
        <family val="3"/>
        <charset val="134"/>
      </rPr>
      <t>内的错误率在可容忍范围内且该控制偏差不具有代表性。</t>
    </r>
    <phoneticPr fontId="15" type="noConversion"/>
  </si>
  <si>
    <r>
      <rPr>
        <sz val="10"/>
        <color indexed="12"/>
        <rFont val="宋体"/>
        <family val="3"/>
        <charset val="134"/>
      </rPr>
      <t>单项控制并非一定要毫无偏差地运行，才被认为有效。</t>
    </r>
    <phoneticPr fontId="15" type="noConversion"/>
  </si>
  <si>
    <r>
      <rPr>
        <b/>
        <sz val="10"/>
        <color indexed="12"/>
        <rFont val="宋体"/>
        <family val="3"/>
        <charset val="134"/>
      </rPr>
      <t>注</t>
    </r>
    <r>
      <rPr>
        <b/>
        <sz val="10"/>
        <color indexed="12"/>
        <rFont val="Arial"/>
        <family val="2"/>
      </rPr>
      <t>5</t>
    </r>
    <r>
      <rPr>
        <b/>
        <sz val="10"/>
        <color indexed="12"/>
        <rFont val="宋体"/>
        <family val="3"/>
        <charset val="134"/>
      </rPr>
      <t>：评价缺陷</t>
    </r>
    <phoneticPr fontId="15" type="noConversion"/>
  </si>
  <si>
    <r>
      <rPr>
        <sz val="10"/>
        <color indexed="12"/>
        <rFont val="宋体"/>
        <family val="3"/>
        <charset val="134"/>
      </rPr>
      <t>评价内部控制缺陷详见底稿</t>
    </r>
    <r>
      <rPr>
        <sz val="10"/>
        <color indexed="12"/>
        <rFont val="Arial"/>
        <family val="2"/>
      </rPr>
      <t>T2</t>
    </r>
    <r>
      <rPr>
        <sz val="10"/>
        <color indexed="12"/>
        <rFont val="宋体"/>
        <family val="3"/>
        <charset val="134"/>
      </rPr>
      <t>。</t>
    </r>
    <phoneticPr fontId="15" type="noConversion"/>
  </si>
  <si>
    <r>
      <rPr>
        <b/>
        <sz val="10"/>
        <color indexed="12"/>
        <rFont val="宋体"/>
        <family val="3"/>
        <charset val="134"/>
      </rPr>
      <t>注</t>
    </r>
    <r>
      <rPr>
        <b/>
        <sz val="10"/>
        <color indexed="12"/>
        <rFont val="Arial"/>
        <family val="2"/>
      </rPr>
      <t>6</t>
    </r>
    <r>
      <rPr>
        <b/>
        <sz val="10"/>
        <color indexed="12"/>
        <rFont val="宋体"/>
        <family val="3"/>
        <charset val="134"/>
      </rPr>
      <t>：评价是否构成设计缺陷</t>
    </r>
    <phoneticPr fontId="15" type="noConversion"/>
  </si>
  <si>
    <t>若确定发现的控制例外情况不属于控制偏差，则可以选取替代样本以获得证明控制运行有效的充分、适当的审计证据。</t>
    <phoneticPr fontId="15" type="noConversion"/>
  </si>
  <si>
    <t>但需确定控制例外情况是否表明相关控制的设计存在缺陷。</t>
    <phoneticPr fontId="15" type="noConversion"/>
  </si>
  <si>
    <t>设计缺陷是指缺少为实现控制目标所必需的控制，或现有控制设计不适当、即使正常运行也难以实现预期的控制目标。</t>
    <phoneticPr fontId="15" type="noConversion"/>
  </si>
  <si>
    <t>示例-评价控制偏差</t>
    <phoneticPr fontId="15" type="noConversion"/>
  </si>
  <si>
    <r>
      <rPr>
        <sz val="10"/>
        <rFont val="宋体"/>
        <family val="3"/>
        <charset val="134"/>
      </rPr>
      <t>客户名称：甲公司</t>
    </r>
    <phoneticPr fontId="15" type="noConversion"/>
  </si>
  <si>
    <r>
      <rPr>
        <sz val="10"/>
        <rFont val="宋体"/>
        <family val="3"/>
        <charset val="134"/>
      </rPr>
      <t>编制人：</t>
    </r>
    <r>
      <rPr>
        <sz val="10"/>
        <rFont val="Arial"/>
        <family val="2"/>
      </rPr>
      <t>BBB</t>
    </r>
    <phoneticPr fontId="15" type="noConversion"/>
  </si>
  <si>
    <r>
      <rPr>
        <sz val="10"/>
        <rFont val="宋体"/>
        <family val="3"/>
        <charset val="134"/>
      </rPr>
      <t>复核人：</t>
    </r>
    <r>
      <rPr>
        <sz val="10"/>
        <rFont val="Arial"/>
        <family val="2"/>
      </rPr>
      <t>DDD</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</si>
  <si>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</si>
  <si>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</si>
  <si>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t>经理层监督客户投诉的数量及类型并把这些信息作为估计销售退回的依据。然而，注册会计师在执行控制测试</t>
    <phoneticPr fontId="15" type="noConversion"/>
  </si>
  <si>
    <t>时发现某一期间计算出的投诉率没有包含某一地区收到的投诉。</t>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</si>
  <si>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</si>
  <si>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</si>
  <si>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</si>
  <si>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</si>
  <si>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t>步骤一：
确认发现的控制例外情况（选定的样本无法执行控制测试）是否属于控制偏差（内部控制运行偏离设计）？</t>
    <phoneticPr fontId="15" type="noConversion"/>
  </si>
  <si>
    <t>是</t>
  </si>
  <si>
    <t>该控制例外情况影响销售收入的金额，且金额不属于无关紧要。</t>
    <phoneticPr fontId="15" type="noConversion"/>
  </si>
  <si>
    <t>步骤二：
确定控制偏差的性质：系统性偏差？人为有意造成的偏差？随机性偏差？</t>
    <phoneticPr fontId="15" type="noConversion"/>
  </si>
  <si>
    <t>随机性偏差</t>
  </si>
  <si>
    <t>注册会计师确定这只是众多地区中唯一的一个没有报告投诉率的，而且其他所有月份都完成了投诉率的报告。</t>
    <phoneticPr fontId="15" type="noConversion"/>
  </si>
  <si>
    <t>步骤三：
对于随机性的偏差，确定适当的审计应对措施：扩大样本量进行测试？直接将该项控制偏差视作缺陷？</t>
    <phoneticPr fontId="15" type="noConversion"/>
  </si>
  <si>
    <t>扩大样本量</t>
  </si>
  <si>
    <t>注册会计师确定该项控制偏差是随机性的，并应扩大样本量来予以确认。</t>
    <phoneticPr fontId="15" type="noConversion"/>
  </si>
  <si>
    <t>步骤四：
根据发现的控制偏差的数量来确定扩大样本量的范围，扩大样本量进行测试后是否发现新的偏差？</t>
    <phoneticPr fontId="15" type="noConversion"/>
  </si>
  <si>
    <t>否</t>
  </si>
  <si>
    <t>尽管存在一项控制偏差，但测试范围内的错误率在可容忍范围内且该控制偏差不具有代表性。</t>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</si>
  <si>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r>
    <phoneticPr fontId="15" type="noConversion"/>
  </si>
  <si>
    <t>步骤六：
若确定发现的控制例外情况不属于控制偏差，则可以选取替代样本以获得证明控制运行有效的充分、适当的审计证据。
但需确定控制例外情况是否表明相关控制的设计存在缺陷？</t>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</si>
  <si>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</si>
  <si>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宋体"/>
        <family val="3"/>
        <charset val="134"/>
      </rPr>
      <t>控制运行有效。</t>
    </r>
    <phoneticPr fontId="15" type="noConversion"/>
  </si>
  <si>
    <r>
      <rPr>
        <sz val="10"/>
        <rFont val="宋体"/>
        <family val="3"/>
        <charset val="134"/>
      </rPr>
      <t>基准日：</t>
    </r>
    <r>
      <rPr>
        <sz val="10"/>
        <rFont val="Arial"/>
        <family val="2"/>
      </rPr>
      <t>2013</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15" type="noConversion"/>
  </si>
  <si>
    <r>
      <rPr>
        <sz val="10"/>
        <rFont val="宋体"/>
        <family val="3"/>
        <charset val="134"/>
      </rPr>
      <t>日期：</t>
    </r>
    <r>
      <rPr>
        <sz val="10"/>
        <rFont val="Arial"/>
        <family val="2"/>
      </rPr>
      <t>2014.1.8</t>
    </r>
    <phoneticPr fontId="15" type="noConversion"/>
  </si>
  <si>
    <r>
      <rPr>
        <sz val="10"/>
        <rFont val="宋体"/>
        <family val="3"/>
        <charset val="134"/>
      </rPr>
      <t>日期：</t>
    </r>
    <r>
      <rPr>
        <sz val="10"/>
        <rFont val="Arial"/>
        <family val="2"/>
      </rPr>
      <t>2014.1.5</t>
    </r>
    <phoneticPr fontId="15" type="noConversion"/>
  </si>
  <si>
    <r>
      <rPr>
        <b/>
        <sz val="12"/>
        <rFont val="宋体"/>
        <family val="3"/>
        <charset val="134"/>
      </rPr>
      <t>底稿开列时，可先在以下单元格填写有关内容，以便其他底稿引用有关数据：</t>
    </r>
    <phoneticPr fontId="15" type="noConversion"/>
  </si>
  <si>
    <r>
      <rPr>
        <b/>
        <sz val="12"/>
        <rFont val="宋体"/>
        <family val="3"/>
        <charset val="134"/>
      </rPr>
      <t>序号</t>
    </r>
    <phoneticPr fontId="15" type="noConversion"/>
  </si>
  <si>
    <r>
      <rPr>
        <b/>
        <sz val="12"/>
        <rFont val="宋体"/>
        <family val="3"/>
        <charset val="134"/>
      </rPr>
      <t>目录</t>
    </r>
    <phoneticPr fontId="15" type="noConversion"/>
  </si>
  <si>
    <r>
      <rPr>
        <sz val="10"/>
        <rFont val="宋体"/>
        <family val="3"/>
        <charset val="134"/>
      </rPr>
      <t>客户名称：</t>
    </r>
    <phoneticPr fontId="15" type="noConversion"/>
  </si>
  <si>
    <r>
      <rPr>
        <sz val="10"/>
        <rFont val="宋体"/>
        <family val="3"/>
        <charset val="134"/>
      </rPr>
      <t>会计期间：</t>
    </r>
    <r>
      <rPr>
        <sz val="10"/>
        <rFont val="Arial Narrow"/>
        <family val="2"/>
      </rPr>
      <t>2013</t>
    </r>
    <r>
      <rPr>
        <sz val="10"/>
        <rFont val="宋体"/>
        <family val="3"/>
        <charset val="134"/>
      </rPr>
      <t>年度</t>
    </r>
    <phoneticPr fontId="15" type="noConversion"/>
  </si>
  <si>
    <r>
      <rPr>
        <sz val="10"/>
        <rFont val="宋体"/>
        <family val="3"/>
        <charset val="134"/>
      </rPr>
      <t>编制人：</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</si>
  <si>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</si>
  <si>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15"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</si>
  <si>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5"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</si>
  <si>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15" type="noConversion"/>
  </si>
  <si>
    <r>
      <rPr>
        <sz val="10"/>
        <rFont val="宋体"/>
        <family val="3"/>
        <charset val="134"/>
      </rPr>
      <t>（</t>
    </r>
    <r>
      <rPr>
        <sz val="10"/>
        <rFont val="Arial Narrow"/>
        <family val="2"/>
      </rPr>
      <t>2</t>
    </r>
    <r>
      <rPr>
        <sz val="10"/>
        <rFont val="宋体"/>
        <family val="3"/>
        <charset val="134"/>
      </rPr>
      <t>）控制测试程序和过程记录表（记录控制测试程序与过程）</t>
    </r>
    <phoneticPr fontId="15" type="noConversion"/>
  </si>
  <si>
    <r>
      <rPr>
        <sz val="10"/>
        <rFont val="宋体"/>
        <family val="3"/>
        <charset val="134"/>
      </rPr>
      <t>（</t>
    </r>
    <r>
      <rPr>
        <sz val="10"/>
        <rFont val="Arial Narrow"/>
        <family val="2"/>
      </rPr>
      <t>3</t>
    </r>
    <r>
      <rPr>
        <sz val="10"/>
        <rFont val="宋体"/>
        <family val="3"/>
        <charset val="134"/>
      </rPr>
      <t>）评价控制偏差表（记录控制偏差的评价过程）</t>
    </r>
    <phoneticPr fontId="15"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</si>
  <si>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“C2-1”</t>
    </r>
    <r>
      <rPr>
        <sz val="12"/>
        <rFont val="宋体"/>
        <family val="3"/>
        <charset val="134"/>
      </rPr>
      <t>、</t>
    </r>
    <r>
      <rPr>
        <sz val="12"/>
        <rFont val="Arial Narrow"/>
        <family val="2"/>
      </rPr>
      <t>“C2-2”</t>
    </r>
    <r>
      <rPr>
        <sz val="12"/>
        <rFont val="宋体"/>
        <family val="3"/>
        <charset val="134"/>
      </rPr>
      <t>、</t>
    </r>
    <r>
      <rPr>
        <sz val="12"/>
        <rFont val="Arial Narrow"/>
        <family val="2"/>
      </rPr>
      <t>........</t>
    </r>
    <phoneticPr fontId="15"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</si>
  <si>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“C2-1-1”</t>
    </r>
    <r>
      <rPr>
        <sz val="12"/>
        <rFont val="宋体"/>
        <family val="3"/>
        <charset val="134"/>
      </rPr>
      <t>；</t>
    </r>
    <r>
      <rPr>
        <sz val="12"/>
        <rFont val="Arial Narrow"/>
        <family val="2"/>
      </rPr>
      <t>“C2-1-2”</t>
    </r>
    <r>
      <rPr>
        <sz val="12"/>
        <rFont val="宋体"/>
        <family val="3"/>
        <charset val="134"/>
      </rPr>
      <t>；</t>
    </r>
    <r>
      <rPr>
        <sz val="12"/>
        <rFont val="Arial Narrow"/>
        <family val="2"/>
      </rPr>
      <t>........</t>
    </r>
    <phoneticPr fontId="15" type="noConversion"/>
  </si>
  <si>
    <t>……</t>
    <phoneticPr fontId="15"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</si>
  <si>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5" type="noConversion"/>
  </si>
  <si>
    <t>关键控制</t>
    <phoneticPr fontId="15" type="noConversion"/>
  </si>
  <si>
    <r>
      <rPr>
        <sz val="10"/>
        <rFont val="宋体"/>
        <family val="3"/>
        <charset val="134"/>
      </rPr>
      <t>索引号：</t>
    </r>
    <r>
      <rPr>
        <sz val="10"/>
        <rFont val="Arial"/>
        <family val="2"/>
      </rPr>
      <t>C*-2</t>
    </r>
    <phoneticPr fontId="15" type="noConversion"/>
  </si>
  <si>
    <r>
      <t>C14-1</t>
    </r>
    <r>
      <rPr>
        <u/>
        <sz val="10"/>
        <color indexed="12"/>
        <rFont val="宋体"/>
        <family val="3"/>
        <charset val="134"/>
      </rPr>
      <t>控制测试程序和过程记录表（记录控制测试程序与过程）</t>
    </r>
    <phoneticPr fontId="15" type="noConversion"/>
  </si>
  <si>
    <r>
      <t>C14-2</t>
    </r>
    <r>
      <rPr>
        <u/>
        <sz val="10"/>
        <color indexed="12"/>
        <rFont val="宋体"/>
        <family val="3"/>
        <charset val="134"/>
      </rPr>
      <t>评价控制偏差表</t>
    </r>
    <phoneticPr fontId="15" type="noConversion"/>
  </si>
  <si>
    <t>C14</t>
    <phoneticPr fontId="15" type="noConversion"/>
  </si>
  <si>
    <r>
      <t>债务工具</t>
    </r>
    <r>
      <rPr>
        <sz val="10"/>
        <color theme="1"/>
        <rFont val="Arial Narrow"/>
        <family val="2"/>
      </rPr>
      <t>Debt instruments</t>
    </r>
  </si>
  <si>
    <r>
      <t>利息</t>
    </r>
    <r>
      <rPr>
        <sz val="10"/>
        <color theme="1"/>
        <rFont val="Arial Narrow"/>
        <family val="2"/>
      </rPr>
      <t>Interest and fees</t>
    </r>
  </si>
  <si>
    <r>
      <t>维护记录</t>
    </r>
    <r>
      <rPr>
        <sz val="10"/>
        <color theme="1"/>
        <rFont val="Arial Narrow"/>
        <family val="2"/>
      </rPr>
      <t>Maintain records</t>
    </r>
  </si>
  <si>
    <r>
      <t>与债务相关的调整</t>
    </r>
    <r>
      <rPr>
        <sz val="10"/>
        <color theme="1"/>
        <rFont val="Arial Narrow"/>
        <family val="2"/>
      </rPr>
      <t>Debt-Related Adjustments</t>
    </r>
  </si>
  <si>
    <r>
      <rPr>
        <sz val="10"/>
        <rFont val="宋体"/>
        <family val="3"/>
        <charset val="134"/>
      </rPr>
      <t>索引号：</t>
    </r>
    <r>
      <rPr>
        <sz val="10"/>
        <rFont val="Arial Narrow"/>
        <family val="2"/>
      </rPr>
      <t>C14-1-*</t>
    </r>
    <phoneticPr fontId="15" type="noConversion"/>
  </si>
  <si>
    <r>
      <rPr>
        <sz val="10"/>
        <rFont val="宋体"/>
        <family val="3"/>
        <charset val="134"/>
      </rPr>
      <t>索引号：</t>
    </r>
    <r>
      <rPr>
        <sz val="10"/>
        <rFont val="Arial"/>
        <family val="2"/>
      </rPr>
      <t>C14-2</t>
    </r>
    <phoneticPr fontId="15" type="noConversion"/>
  </si>
  <si>
    <r>
      <rPr>
        <sz val="10"/>
        <rFont val="宋体"/>
        <family val="3"/>
        <charset val="134"/>
      </rPr>
      <t>（</t>
    </r>
    <r>
      <rPr>
        <sz val="10"/>
        <rFont val="Arial Narrow"/>
        <family val="2"/>
      </rPr>
      <t>1</t>
    </r>
    <r>
      <rPr>
        <sz val="10"/>
        <rFont val="宋体"/>
        <family val="3"/>
        <charset val="134"/>
      </rPr>
      <t>）针对了解的被审计单位债务循环的控制活动，确定拟进行测试的控制活动。</t>
    </r>
    <phoneticPr fontId="52" type="noConversion"/>
  </si>
  <si>
    <r>
      <rPr>
        <b/>
        <sz val="14"/>
        <rFont val="宋体"/>
        <family val="3"/>
        <charset val="134"/>
      </rPr>
      <t>债务循环</t>
    </r>
    <r>
      <rPr>
        <b/>
        <sz val="14"/>
        <rFont val="Arial Narrow"/>
        <family val="2"/>
      </rPr>
      <t>-</t>
    </r>
    <r>
      <rPr>
        <b/>
        <sz val="14"/>
        <rFont val="宋体"/>
        <family val="3"/>
        <charset val="134"/>
      </rPr>
      <t>控制测试汇总表</t>
    </r>
    <phoneticPr fontId="15" type="noConversion"/>
  </si>
  <si>
    <r>
      <t>C14</t>
    </r>
    <r>
      <rPr>
        <u/>
        <sz val="10"/>
        <color indexed="12"/>
        <rFont val="宋体"/>
        <family val="3"/>
        <charset val="134"/>
      </rPr>
      <t>控制测试汇总表</t>
    </r>
    <phoneticPr fontId="15" type="noConversion"/>
  </si>
  <si>
    <t>C14</t>
    <phoneticPr fontId="52" type="noConversion"/>
  </si>
  <si>
    <t>C14-1</t>
    <phoneticPr fontId="52" type="noConversion"/>
  </si>
  <si>
    <t>C14-2</t>
    <phoneticPr fontId="52" type="noConversion"/>
  </si>
  <si>
    <r>
      <rPr>
        <b/>
        <sz val="10"/>
        <rFont val="宋体"/>
        <family val="3"/>
        <charset val="134"/>
      </rPr>
      <t xml:space="preserve">索引号
</t>
    </r>
    <r>
      <rPr>
        <b/>
        <sz val="10"/>
        <rFont val="Arial Narrow"/>
        <family val="2"/>
      </rPr>
      <t>(C14-1,C14-2)</t>
    </r>
    <phoneticPr fontId="15" type="noConversion"/>
  </si>
</sst>
</file>

<file path=xl/styles.xml><?xml version="1.0" encoding="utf-8"?>
<styleSheet xmlns="http://schemas.openxmlformats.org/spreadsheetml/2006/main">
  <numFmts count="35">
    <numFmt numFmtId="8" formatCode="&quot;¥&quot;#,##0.00;[Red]&quot;¥&quot;\-#,##0.00"/>
    <numFmt numFmtId="41" formatCode="_ * #,##0_ ;_ * \-#,##0_ ;_ * &quot;-&quot;_ ;_ @_ "/>
    <numFmt numFmtId="43" formatCode="_ * #,##0.00_ ;_ * \-#,##0.00_ ;_ * &quot;-&quot;??_ ;_ @_ "/>
    <numFmt numFmtId="176" formatCode="0%;\(0%\)"/>
    <numFmt numFmtId="177" formatCode="0.0%"/>
    <numFmt numFmtId="178" formatCode="&quot;$&quot;#,##0_);\(&quot;$&quot;#,##0\)"/>
    <numFmt numFmtId="179" formatCode="#,##0.0_);\(#,##0.0\)"/>
    <numFmt numFmtId="180" formatCode="&quot;$&quot;#,##0.00_);\(&quot;$&quot;#,##0.00\)"/>
    <numFmt numFmtId="181" formatCode="&quot;\&quot;#,##0;[Red]&quot;\&quot;&quot;\&quot;\-#,##0"/>
    <numFmt numFmtId="182" formatCode="&quot;\&quot;#,##0.00;[Red]&quot;\&quot;&quot;\&quot;\-#,##0.00"/>
    <numFmt numFmtId="183" formatCode="0.00_)"/>
    <numFmt numFmtId="184" formatCode="_(* #,##0.00_);_(* \(#,##0.00\);_(* &quot;-&quot;??_);_(@_)"/>
    <numFmt numFmtId="185" formatCode="mmm/yyyy;_-\ &quot;N/A&quot;_-;_-\ &quot;-&quot;_-"/>
    <numFmt numFmtId="186" formatCode="mmm/dd/yyyy;_-\ &quot;N/A&quot;_-;_-\ &quot;-&quot;_-"/>
    <numFmt numFmtId="187" formatCode="_-#,##0_-;\(#,##0\);_-\ \ &quot;-&quot;_-;_-@_-"/>
    <numFmt numFmtId="188" formatCode="_-#,##0.00_-;\(#,##0.0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0;\-#,##0;&quot;-&quot;"/>
    <numFmt numFmtId="196" formatCode="&quot;$&quot;#,##0;[Red]&quot;$&quot;&quot;$&quot;&quot;$&quot;&quot;$&quot;&quot;$&quot;&quot;$&quot;&quot;$&quot;\-#,##0"/>
    <numFmt numFmtId="197" formatCode="hh:mm\ AM/PM_)"/>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_);\(0%\)"/>
    <numFmt numFmtId="204" formatCode="0.0000000"/>
    <numFmt numFmtId="205" formatCode="0.000000"/>
    <numFmt numFmtId="206" formatCode="0.00000000"/>
    <numFmt numFmtId="20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12">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7"/>
      <color indexed="10"/>
      <name val="Helv"/>
      <family val="2"/>
    </font>
    <font>
      <u/>
      <sz val="10"/>
      <color indexed="12"/>
      <name val="Arial"/>
      <family val="2"/>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b/>
      <sz val="10"/>
      <name val="Garamond"/>
      <family val="1"/>
    </font>
    <font>
      <u/>
      <sz val="10"/>
      <color indexed="12"/>
      <name val="宋体"/>
      <family val="3"/>
      <charset val="134"/>
    </font>
    <font>
      <sz val="10"/>
      <color indexed="8"/>
      <name val="宋体"/>
      <family val="3"/>
      <charset val="134"/>
    </font>
    <font>
      <sz val="12"/>
      <name val="宋体"/>
      <family val="3"/>
      <charset val="134"/>
    </font>
    <font>
      <u/>
      <sz val="12"/>
      <color indexed="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u/>
      <sz val="10"/>
      <color indexed="12"/>
      <name val="Arial Narrow"/>
      <family val="2"/>
    </font>
    <font>
      <sz val="10"/>
      <color theme="1"/>
      <name val="Arial Narrow"/>
      <family val="2"/>
    </font>
    <font>
      <b/>
      <sz val="10"/>
      <color theme="1"/>
      <name val="Arial Narrow"/>
      <family val="2"/>
    </font>
    <font>
      <i/>
      <sz val="10"/>
      <color indexed="12"/>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1"/>
      <color theme="1"/>
      <name val="Arial Narrow"/>
      <family val="2"/>
    </font>
    <font>
      <b/>
      <u/>
      <sz val="10"/>
      <name val="Arial Narrow"/>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b/>
      <sz val="8"/>
      <name val="Arial"/>
      <family val="2"/>
    </font>
    <font>
      <sz val="10"/>
      <name val="MS Sans Serif"/>
      <family val="2"/>
    </font>
    <font>
      <sz val="9"/>
      <name val="Times New Roman"/>
      <family val="1"/>
    </font>
    <font>
      <i/>
      <sz val="11"/>
      <color indexed="23"/>
      <name val="Calibri"/>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7"/>
      <name val="Small Fonts"/>
      <family val="2"/>
    </font>
    <font>
      <sz val="10"/>
      <color indexed="8"/>
      <name val="MS Sans Serif"/>
      <family val="2"/>
    </font>
    <font>
      <b/>
      <sz val="11"/>
      <color indexed="63"/>
      <name val="Calibri"/>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name val="蹈框"/>
      <charset val="134"/>
    </font>
    <font>
      <sz val="11"/>
      <name val="ＭＳ Ｐゴシック"/>
      <family val="2"/>
    </font>
    <font>
      <sz val="12"/>
      <name val="바탕체"/>
      <family val="3"/>
    </font>
    <font>
      <sz val="11"/>
      <color theme="1"/>
      <name val="Arial"/>
      <family val="2"/>
    </font>
    <font>
      <b/>
      <sz val="14"/>
      <name val="Arial"/>
      <family val="2"/>
    </font>
    <font>
      <b/>
      <sz val="10"/>
      <name val="方正姚体"/>
      <family val="3"/>
      <charset val="134"/>
    </font>
    <font>
      <sz val="10"/>
      <name val="方正姚体"/>
      <family val="3"/>
      <charset val="134"/>
    </font>
    <font>
      <b/>
      <sz val="10"/>
      <color theme="1"/>
      <name val="Arial"/>
      <family val="2"/>
    </font>
    <font>
      <b/>
      <sz val="10"/>
      <color indexed="8"/>
      <name val="宋体"/>
      <family val="3"/>
      <charset val="134"/>
    </font>
    <font>
      <b/>
      <sz val="10"/>
      <color indexed="8"/>
      <name val="Arial"/>
      <family val="2"/>
    </font>
    <font>
      <sz val="10"/>
      <color theme="1"/>
      <name val="Arial"/>
      <family val="2"/>
    </font>
    <font>
      <sz val="10"/>
      <color indexed="12"/>
      <name val="Arial"/>
      <family val="2"/>
    </font>
    <font>
      <sz val="10"/>
      <color indexed="8"/>
      <name val="黑体"/>
      <family val="3"/>
      <charset val="134"/>
    </font>
    <font>
      <sz val="10"/>
      <color theme="1"/>
      <name val="黑体"/>
      <family val="3"/>
      <charset val="134"/>
    </font>
    <font>
      <b/>
      <sz val="10"/>
      <color indexed="10"/>
      <name val="宋体"/>
      <family val="3"/>
      <charset val="134"/>
    </font>
    <font>
      <b/>
      <sz val="10"/>
      <color indexed="12"/>
      <name val="Arial"/>
      <family val="2"/>
    </font>
    <font>
      <b/>
      <sz val="10"/>
      <color indexed="12"/>
      <name val="宋体"/>
      <family val="3"/>
      <charset val="134"/>
    </font>
    <font>
      <sz val="10"/>
      <color rgb="FF0000CC"/>
      <name val="Arial"/>
      <family val="2"/>
    </font>
    <font>
      <sz val="10"/>
      <color rgb="FF0000FF"/>
      <name val="Arial"/>
      <family val="2"/>
    </font>
    <font>
      <b/>
      <sz val="10"/>
      <color rgb="FF0000FF"/>
      <name val="Arial"/>
      <family val="2"/>
    </font>
    <font>
      <sz val="10"/>
      <color rgb="FF0000FF"/>
      <name val="宋体"/>
      <family val="3"/>
      <charset val="134"/>
    </font>
    <font>
      <sz val="10.5"/>
      <name val="Arial Narrow"/>
      <family val="2"/>
    </font>
    <font>
      <u/>
      <sz val="12"/>
      <color indexed="12"/>
      <name val="Arial Narrow"/>
      <family val="2"/>
    </font>
    <font>
      <b/>
      <sz val="7"/>
      <name val="Arial Narrow"/>
      <family val="2"/>
    </font>
  </fonts>
  <fills count="3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s>
  <borders count="34">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right/>
      <top/>
      <bottom style="hair">
        <color indexed="64"/>
      </bottom>
      <diagonal/>
    </border>
    <border>
      <left/>
      <right/>
      <top/>
      <bottom style="medium">
        <color indexed="64"/>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diagonal/>
    </border>
  </borders>
  <cellStyleXfs count="193">
    <xf numFmtId="0" fontId="0" fillId="0" borderId="0">
      <alignment vertical="center"/>
      <protection locked="0"/>
    </xf>
    <xf numFmtId="49" fontId="18" fillId="0" borderId="0" applyProtection="0">
      <alignment horizontal="left"/>
    </xf>
    <xf numFmtId="187" fontId="18" fillId="0" borderId="0" applyFill="0" applyBorder="0" applyProtection="0">
      <alignment horizontal="right"/>
    </xf>
    <xf numFmtId="188" fontId="18" fillId="0" borderId="0" applyFill="0" applyBorder="0" applyProtection="0">
      <alignment horizontal="right"/>
    </xf>
    <xf numFmtId="186" fontId="19" fillId="0" borderId="0" applyFill="0" applyBorder="0" applyProtection="0">
      <alignment horizontal="center"/>
    </xf>
    <xf numFmtId="185" fontId="19" fillId="0" borderId="0" applyFill="0" applyBorder="0" applyProtection="0">
      <alignment horizontal="center"/>
    </xf>
    <xf numFmtId="189" fontId="20" fillId="0" borderId="0" applyFill="0" applyBorder="0" applyProtection="0">
      <alignment horizontal="right"/>
    </xf>
    <xf numFmtId="190" fontId="18" fillId="0" borderId="0" applyFill="0" applyBorder="0" applyProtection="0">
      <alignment horizontal="right"/>
    </xf>
    <xf numFmtId="191" fontId="18" fillId="0" borderId="0" applyFill="0" applyBorder="0" applyProtection="0">
      <alignment horizontal="right"/>
    </xf>
    <xf numFmtId="194" fontId="18" fillId="0" borderId="0" applyFill="0" applyBorder="0" applyProtection="0">
      <alignment horizontal="right"/>
    </xf>
    <xf numFmtId="193" fontId="18"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37" fontId="3" fillId="0" borderId="0" applyFont="0" applyFill="0" applyBorder="0" applyAlignment="0" applyProtection="0"/>
    <xf numFmtId="179" fontId="3" fillId="0" borderId="0" applyFont="0" applyFill="0" applyBorder="0" applyAlignment="0" applyProtection="0"/>
    <xf numFmtId="39" fontId="3" fillId="0" borderId="0" applyFont="0" applyFill="0" applyBorder="0" applyAlignment="0" applyProtection="0"/>
    <xf numFmtId="178" fontId="3" fillId="0" borderId="0" applyFont="0" applyFill="0" applyBorder="0" applyAlignment="0" applyProtection="0"/>
    <xf numFmtId="180" fontId="3"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2" fontId="18"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1" fontId="2" fillId="0" borderId="0" applyFont="0" applyFill="0" applyBorder="0" applyAlignment="0" applyProtection="0"/>
    <xf numFmtId="182" fontId="2" fillId="0" borderId="0" applyFont="0" applyFill="0" applyBorder="0" applyAlignment="0" applyProtection="0"/>
    <xf numFmtId="0" fontId="11" fillId="0" borderId="0"/>
    <xf numFmtId="183" fontId="12" fillId="0" borderId="0"/>
    <xf numFmtId="0" fontId="7" fillId="0" borderId="0"/>
    <xf numFmtId="0" fontId="7" fillId="0" borderId="0"/>
    <xf numFmtId="10" fontId="7" fillId="0" borderId="0" applyFont="0" applyFill="0" applyBorder="0" applyAlignment="0" applyProtection="0"/>
    <xf numFmtId="3" fontId="13"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31" fillId="0" borderId="0">
      <alignment vertical="center"/>
      <protection locked="0"/>
    </xf>
    <xf numFmtId="0" fontId="34" fillId="0" borderId="0">
      <alignment vertical="center"/>
    </xf>
    <xf numFmtId="0" fontId="2" fillId="0" borderId="0">
      <protection locked="0"/>
    </xf>
    <xf numFmtId="0" fontId="7" fillId="0" borderId="0"/>
    <xf numFmtId="0" fontId="7" fillId="0" borderId="0"/>
    <xf numFmtId="0" fontId="14" fillId="0" borderId="0" applyNumberFormat="0" applyFill="0" applyBorder="0" applyAlignment="0" applyProtection="0">
      <alignment vertical="top"/>
      <protection locked="0"/>
    </xf>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xf numFmtId="192" fontId="7" fillId="0" borderId="0"/>
    <xf numFmtId="192" fontId="7" fillId="0" borderId="0"/>
    <xf numFmtId="192" fontId="7" fillId="0" borderId="0"/>
    <xf numFmtId="192" fontId="7" fillId="0" borderId="0"/>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protection locked="0"/>
    </xf>
    <xf numFmtId="192" fontId="56" fillId="5" borderId="0" applyNumberFormat="0" applyBorder="0" applyAlignment="0" applyProtection="0"/>
    <xf numFmtId="192" fontId="56" fillId="6" borderId="0" applyNumberFormat="0" applyBorder="0" applyAlignment="0" applyProtection="0"/>
    <xf numFmtId="192" fontId="56" fillId="7" borderId="0" applyNumberFormat="0" applyBorder="0" applyAlignment="0" applyProtection="0"/>
    <xf numFmtId="192" fontId="56" fillId="8" borderId="0" applyNumberFormat="0" applyBorder="0" applyAlignment="0" applyProtection="0"/>
    <xf numFmtId="192" fontId="56" fillId="9" borderId="0" applyNumberFormat="0" applyBorder="0" applyAlignment="0" applyProtection="0"/>
    <xf numFmtId="192" fontId="56" fillId="10" borderId="0" applyNumberFormat="0" applyBorder="0" applyAlignment="0" applyProtection="0"/>
    <xf numFmtId="192" fontId="56" fillId="11" borderId="0" applyNumberFormat="0" applyBorder="0" applyAlignment="0" applyProtection="0"/>
    <xf numFmtId="192" fontId="56" fillId="12" borderId="0" applyNumberFormat="0" applyBorder="0" applyAlignment="0" applyProtection="0"/>
    <xf numFmtId="192" fontId="56" fillId="13" borderId="0" applyNumberFormat="0" applyBorder="0" applyAlignment="0" applyProtection="0"/>
    <xf numFmtId="192" fontId="56" fillId="8" borderId="0" applyNumberFormat="0" applyBorder="0" applyAlignment="0" applyProtection="0"/>
    <xf numFmtId="192" fontId="56" fillId="11" borderId="0" applyNumberFormat="0" applyBorder="0" applyAlignment="0" applyProtection="0"/>
    <xf numFmtId="192" fontId="56" fillId="14" borderId="0" applyNumberFormat="0" applyBorder="0" applyAlignment="0" applyProtection="0"/>
    <xf numFmtId="192" fontId="57" fillId="15" borderId="0" applyNumberFormat="0" applyBorder="0" applyAlignment="0" applyProtection="0"/>
    <xf numFmtId="192" fontId="57" fillId="12" borderId="0" applyNumberFormat="0" applyBorder="0" applyAlignment="0" applyProtection="0"/>
    <xf numFmtId="192" fontId="57" fillId="13"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18" borderId="0" applyNumberFormat="0" applyBorder="0" applyAlignment="0" applyProtection="0"/>
    <xf numFmtId="192" fontId="57" fillId="19" borderId="0" applyNumberFormat="0" applyBorder="0" applyAlignment="0" applyProtection="0"/>
    <xf numFmtId="192" fontId="57" fillId="20" borderId="0" applyNumberFormat="0" applyBorder="0" applyAlignment="0" applyProtection="0"/>
    <xf numFmtId="192" fontId="57" fillId="21"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22" borderId="0" applyNumberFormat="0" applyBorder="0" applyAlignment="0" applyProtection="0"/>
    <xf numFmtId="192" fontId="58" fillId="6" borderId="0" applyNumberFormat="0" applyBorder="0" applyAlignment="0" applyProtection="0"/>
    <xf numFmtId="195" fontId="55" fillId="0" borderId="0" applyFill="0" applyBorder="0" applyAlignment="0"/>
    <xf numFmtId="192" fontId="59" fillId="23" borderId="18" applyNumberFormat="0" applyAlignment="0" applyProtection="0"/>
    <xf numFmtId="192" fontId="60" fillId="24" borderId="19" applyNumberFormat="0" applyAlignment="0" applyProtection="0"/>
    <xf numFmtId="192" fontId="61" fillId="0" borderId="20">
      <alignment horizontal="center"/>
    </xf>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38" fontId="62" fillId="0" borderId="0" applyFont="0" applyFill="0" applyBorder="0" applyAlignment="0" applyProtection="0"/>
    <xf numFmtId="40" fontId="6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2" fontId="63" fillId="0" borderId="0">
      <alignment horizontal="left"/>
    </xf>
    <xf numFmtId="192" fontId="9" fillId="25" borderId="3"/>
    <xf numFmtId="192" fontId="64" fillId="0" borderId="0" applyNumberFormat="0" applyFill="0" applyBorder="0" applyAlignment="0" applyProtection="0"/>
    <xf numFmtId="192" fontId="65" fillId="7" borderId="0" applyNumberFormat="0" applyBorder="0" applyAlignment="0" applyProtection="0"/>
    <xf numFmtId="192" fontId="66" fillId="0" borderId="17" applyNumberFormat="0" applyAlignment="0" applyProtection="0">
      <alignment horizontal="left" vertical="center"/>
    </xf>
    <xf numFmtId="192" fontId="66" fillId="0" borderId="21">
      <alignment horizontal="left" vertical="center"/>
    </xf>
    <xf numFmtId="14" fontId="67" fillId="26" borderId="16">
      <alignment horizontal="center" vertical="center" wrapText="1"/>
    </xf>
    <xf numFmtId="192" fontId="68" fillId="0" borderId="22" applyNumberFormat="0" applyFill="0" applyAlignment="0" applyProtection="0"/>
    <xf numFmtId="192" fontId="69" fillId="0" borderId="23" applyNumberFormat="0" applyFill="0" applyAlignment="0" applyProtection="0"/>
    <xf numFmtId="192" fontId="70" fillId="0" borderId="24" applyNumberFormat="0" applyFill="0" applyAlignment="0" applyProtection="0"/>
    <xf numFmtId="192" fontId="70" fillId="0" borderId="0" applyNumberFormat="0" applyFill="0" applyBorder="0" applyAlignment="0" applyProtection="0"/>
    <xf numFmtId="192" fontId="71" fillId="10" borderId="18" applyNumberFormat="0" applyAlignment="0" applyProtection="0"/>
    <xf numFmtId="192" fontId="18" fillId="0" borderId="0" applyNumberFormat="0" applyFont="0" applyFill="0" applyBorder="0" applyProtection="0">
      <alignment horizontal="left" vertical="center"/>
    </xf>
    <xf numFmtId="192" fontId="72" fillId="0" borderId="25" applyNumberFormat="0" applyFill="0" applyAlignment="0" applyProtection="0"/>
    <xf numFmtId="41" fontId="7" fillId="0" borderId="0" applyFont="0" applyFill="0" applyBorder="0" applyAlignment="0" applyProtection="0"/>
    <xf numFmtId="43"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2" fillId="0" borderId="0" applyFont="0" applyFill="0" applyBorder="0" applyAlignment="0" applyProtection="0"/>
    <xf numFmtId="192" fontId="73" fillId="27" borderId="0" applyNumberFormat="0" applyBorder="0" applyAlignment="0" applyProtection="0"/>
    <xf numFmtId="37" fontId="74" fillId="0" borderId="0"/>
    <xf numFmtId="192" fontId="62" fillId="0" borderId="0"/>
    <xf numFmtId="192" fontId="75" fillId="0" borderId="0"/>
    <xf numFmtId="192" fontId="7" fillId="28" borderId="26" applyNumberFormat="0" applyFont="0" applyAlignment="0" applyProtection="0"/>
    <xf numFmtId="192" fontId="76" fillId="23" borderId="27" applyNumberFormat="0" applyAlignment="0" applyProtection="0"/>
    <xf numFmtId="203" fontId="7" fillId="0" borderId="0" applyFont="0" applyFill="0" applyBorder="0" applyAlignment="0" applyProtection="0"/>
    <xf numFmtId="192" fontId="9" fillId="2" borderId="3"/>
    <xf numFmtId="4" fontId="63" fillId="0" borderId="0">
      <alignment horizontal="right"/>
    </xf>
    <xf numFmtId="4" fontId="77" fillId="0" borderId="0">
      <alignment horizontal="right"/>
    </xf>
    <xf numFmtId="192" fontId="78" fillId="0" borderId="0">
      <alignment horizontal="left"/>
    </xf>
    <xf numFmtId="192" fontId="79" fillId="0" borderId="3">
      <alignment horizontal="center"/>
    </xf>
    <xf numFmtId="192" fontId="79" fillId="0" borderId="0">
      <alignment horizontal="center" vertical="center"/>
    </xf>
    <xf numFmtId="192" fontId="80" fillId="29" borderId="0" applyNumberFormat="0" applyFill="0">
      <alignment horizontal="left" vertical="center"/>
    </xf>
    <xf numFmtId="192" fontId="81" fillId="0" borderId="0" applyFill="0" applyBorder="0" applyProtection="0">
      <alignment horizontal="left" vertical="top"/>
    </xf>
    <xf numFmtId="192" fontId="82" fillId="0" borderId="0">
      <alignment horizontal="center"/>
    </xf>
    <xf numFmtId="192" fontId="83" fillId="0" borderId="28" applyNumberFormat="0" applyFill="0" applyAlignment="0" applyProtection="0"/>
    <xf numFmtId="192" fontId="84" fillId="0" borderId="0" applyNumberFormat="0" applyFill="0" applyBorder="0" applyAlignment="0" applyProtection="0"/>
    <xf numFmtId="192" fontId="85" fillId="0" borderId="0" applyNumberFormat="0" applyFont="0" applyFill="0" applyBorder="0" applyProtection="0">
      <alignment horizontal="center" vertical="center" wrapText="1"/>
    </xf>
    <xf numFmtId="9" fontId="86" fillId="0" borderId="0" applyFont="0" applyFill="0" applyBorder="0" applyAlignment="0" applyProtection="0"/>
    <xf numFmtId="4" fontId="87" fillId="0" borderId="0">
      <alignment horizontal="right"/>
    </xf>
    <xf numFmtId="192" fontId="29"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5" fillId="0" borderId="0" applyNumberFormat="0" applyFill="0" applyBorder="0" applyAlignment="0" applyProtection="0"/>
    <xf numFmtId="4" fontId="85" fillId="0" borderId="0" applyFont="0" applyFill="0" applyBorder="0" applyAlignment="0" applyProtection="0"/>
    <xf numFmtId="41" fontId="7" fillId="0" borderId="0" applyFont="0" applyFill="0" applyBorder="0" applyAlignment="0" applyProtection="0"/>
    <xf numFmtId="204" fontId="23" fillId="0" borderId="0" applyFont="0" applyFill="0" applyBorder="0" applyAlignment="0" applyProtection="0"/>
    <xf numFmtId="8" fontId="2" fillId="0" borderId="0" applyFont="0" applyFill="0" applyBorder="0" applyAlignment="0" applyProtection="0"/>
    <xf numFmtId="205" fontId="23" fillId="0" borderId="0" applyFont="0" applyFill="0" applyBorder="0" applyAlignment="0" applyProtection="0"/>
    <xf numFmtId="206" fontId="23" fillId="0" borderId="0" applyFont="0" applyFill="0" applyBorder="0" applyAlignment="0" applyProtection="0"/>
    <xf numFmtId="192" fontId="18" fillId="0" borderId="0"/>
    <xf numFmtId="41" fontId="18" fillId="0" borderId="0" applyFont="0" applyFill="0" applyBorder="0" applyAlignment="0" applyProtection="0"/>
    <xf numFmtId="43" fontId="18"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192" fontId="88" fillId="0" borderId="0"/>
    <xf numFmtId="200" fontId="7" fillId="0" borderId="0" applyFont="0" applyFill="0" applyBorder="0" applyAlignment="0" applyProtection="0"/>
    <xf numFmtId="207" fontId="85" fillId="0" borderId="0" applyFont="0" applyFill="0" applyBorder="0" applyAlignment="0" applyProtection="0"/>
    <xf numFmtId="192" fontId="55" fillId="0" borderId="0">
      <alignment vertical="top"/>
    </xf>
    <xf numFmtId="38" fontId="89" fillId="0" borderId="0" applyFont="0" applyFill="0" applyBorder="0" applyAlignment="0" applyProtection="0"/>
    <xf numFmtId="40" fontId="89" fillId="0" borderId="0" applyFont="0" applyFill="0" applyBorder="0" applyAlignment="0" applyProtection="0"/>
    <xf numFmtId="192" fontId="89" fillId="0" borderId="0" applyFont="0" applyFill="0" applyBorder="0" applyAlignment="0" applyProtection="0"/>
    <xf numFmtId="192" fontId="89" fillId="0" borderId="0" applyFont="0" applyFill="0" applyBorder="0" applyAlignment="0" applyProtection="0"/>
    <xf numFmtId="192" fontId="90" fillId="0" borderId="0"/>
    <xf numFmtId="0" fontId="23" fillId="0" borderId="0"/>
  </cellStyleXfs>
  <cellXfs count="172">
    <xf numFmtId="0" fontId="0" fillId="0" borderId="0" xfId="0">
      <alignment vertical="center"/>
      <protection locked="0"/>
    </xf>
    <xf numFmtId="0" fontId="39" fillId="0" borderId="0" xfId="47" applyFont="1" applyBorder="1" applyAlignment="1">
      <alignment vertical="center"/>
    </xf>
    <xf numFmtId="0" fontId="39" fillId="0" borderId="0" xfId="0" applyFont="1">
      <alignment vertical="center"/>
      <protection locked="0"/>
    </xf>
    <xf numFmtId="0" fontId="39" fillId="0" borderId="0" xfId="47" applyFont="1" applyBorder="1" applyAlignment="1">
      <alignment horizontal="left" vertical="center"/>
    </xf>
    <xf numFmtId="0" fontId="39" fillId="0" borderId="0" xfId="47" applyFont="1" applyBorder="1" applyAlignment="1">
      <alignment horizontal="right" vertical="center"/>
    </xf>
    <xf numFmtId="0" fontId="39" fillId="0" borderId="0" xfId="47" applyFont="1" applyBorder="1" applyAlignment="1">
      <alignment horizontal="center" vertical="center"/>
    </xf>
    <xf numFmtId="0" fontId="40" fillId="0" borderId="0" xfId="47" applyFont="1" applyBorder="1" applyAlignment="1">
      <alignment vertical="center"/>
    </xf>
    <xf numFmtId="0" fontId="39" fillId="0" borderId="0" xfId="47" applyFont="1" applyFill="1" applyBorder="1" applyAlignment="1">
      <alignment vertical="center"/>
    </xf>
    <xf numFmtId="0" fontId="39" fillId="0" borderId="0" xfId="0" applyFont="1" applyFill="1">
      <alignment vertical="center"/>
      <protection locked="0"/>
    </xf>
    <xf numFmtId="0" fontId="44" fillId="0" borderId="0" xfId="0" applyFont="1" applyBorder="1" applyAlignment="1">
      <alignment vertical="center"/>
      <protection locked="0"/>
    </xf>
    <xf numFmtId="0" fontId="39" fillId="0" borderId="0" xfId="0" applyFont="1" applyBorder="1">
      <alignment vertical="center"/>
      <protection locked="0"/>
    </xf>
    <xf numFmtId="0" fontId="45" fillId="0" borderId="0" xfId="0" applyFont="1" applyBorder="1" applyAlignment="1">
      <alignment vertical="center"/>
      <protection locked="0"/>
    </xf>
    <xf numFmtId="0" fontId="40" fillId="0" borderId="7" xfId="41" applyFont="1" applyFill="1" applyBorder="1"/>
    <xf numFmtId="0" fontId="39" fillId="0" borderId="11" xfId="34" applyFont="1" applyFill="1" applyBorder="1"/>
    <xf numFmtId="14" fontId="39" fillId="0" borderId="11" xfId="41" quotePrefix="1" applyNumberFormat="1" applyFont="1" applyFill="1" applyBorder="1" applyAlignment="1">
      <alignment horizontal="left"/>
    </xf>
    <xf numFmtId="0" fontId="39" fillId="0" borderId="13" xfId="41" applyFont="1" applyFill="1" applyBorder="1"/>
    <xf numFmtId="0" fontId="39" fillId="0" borderId="0" xfId="41" applyFont="1"/>
    <xf numFmtId="0" fontId="40" fillId="0" borderId="7" xfId="41" applyFont="1" applyBorder="1"/>
    <xf numFmtId="0" fontId="39" fillId="0" borderId="13" xfId="41" applyFont="1" applyBorder="1"/>
    <xf numFmtId="0" fontId="39" fillId="0" borderId="12" xfId="41" applyFont="1" applyBorder="1"/>
    <xf numFmtId="0" fontId="40" fillId="0" borderId="8" xfId="41" applyFont="1" applyFill="1" applyBorder="1"/>
    <xf numFmtId="0" fontId="39" fillId="0" borderId="0" xfId="41" applyFont="1" applyFill="1" applyBorder="1" applyAlignment="1">
      <alignment vertical="top" wrapText="1"/>
    </xf>
    <xf numFmtId="0" fontId="39" fillId="0" borderId="11" xfId="41" applyFont="1" applyFill="1" applyBorder="1"/>
    <xf numFmtId="0" fontId="39" fillId="0" borderId="12" xfId="41" applyFont="1" applyFill="1" applyBorder="1"/>
    <xf numFmtId="0" fontId="39" fillId="0" borderId="0" xfId="41" applyFont="1" applyFill="1"/>
    <xf numFmtId="14" fontId="49" fillId="0" borderId="11" xfId="41" quotePrefix="1" applyNumberFormat="1" applyFont="1" applyFill="1" applyBorder="1" applyAlignment="1">
      <alignment horizontal="left"/>
    </xf>
    <xf numFmtId="0" fontId="47" fillId="0" borderId="13" xfId="41" applyFont="1" applyFill="1" applyBorder="1"/>
    <xf numFmtId="0" fontId="39" fillId="0" borderId="11" xfId="41" quotePrefix="1" applyFont="1" applyBorder="1" applyAlignment="1">
      <alignment horizontal="left"/>
    </xf>
    <xf numFmtId="0" fontId="39" fillId="0" borderId="0" xfId="41" applyFont="1" applyAlignment="1"/>
    <xf numFmtId="0" fontId="39" fillId="0" borderId="0" xfId="41" applyFont="1" applyBorder="1"/>
    <xf numFmtId="0" fontId="39" fillId="0" borderId="0" xfId="41" applyFont="1" applyFill="1" applyBorder="1"/>
    <xf numFmtId="0" fontId="40" fillId="0" borderId="7" xfId="41" applyFont="1" applyFill="1" applyBorder="1" applyAlignment="1">
      <alignment horizontal="center" wrapText="1"/>
    </xf>
    <xf numFmtId="0" fontId="39" fillId="0" borderId="7" xfId="41" applyFont="1" applyFill="1" applyBorder="1" applyAlignment="1">
      <alignment horizontal="center"/>
    </xf>
    <xf numFmtId="0" fontId="39" fillId="0" borderId="7" xfId="41" applyFont="1" applyFill="1" applyBorder="1" applyAlignment="1"/>
    <xf numFmtId="14" fontId="39" fillId="0" borderId="7" xfId="41" applyNumberFormat="1" applyFont="1" applyFill="1" applyBorder="1" applyAlignment="1">
      <alignment horizontal="center"/>
    </xf>
    <xf numFmtId="0" fontId="50" fillId="0" borderId="7" xfId="46" applyFont="1" applyFill="1" applyBorder="1" applyAlignment="1">
      <alignment horizontal="center"/>
    </xf>
    <xf numFmtId="184" fontId="40" fillId="0" borderId="11" xfId="49" applyNumberFormat="1" applyFont="1" applyFill="1" applyBorder="1"/>
    <xf numFmtId="0" fontId="48" fillId="0" borderId="0" xfId="41" applyFont="1" applyAlignment="1">
      <alignment horizontal="right"/>
    </xf>
    <xf numFmtId="0" fontId="39" fillId="0" borderId="0" xfId="41" applyFont="1" applyFill="1" applyBorder="1" applyAlignment="1">
      <alignment horizontal="center"/>
    </xf>
    <xf numFmtId="0" fontId="39" fillId="0" borderId="0" xfId="41" applyFont="1" applyBorder="1" applyAlignment="1">
      <alignment horizontal="left"/>
    </xf>
    <xf numFmtId="0" fontId="39" fillId="0" borderId="0" xfId="41" applyFont="1" applyBorder="1" applyAlignment="1">
      <alignment horizontal="left" wrapText="1"/>
    </xf>
    <xf numFmtId="0" fontId="39" fillId="0" borderId="0" xfId="41" applyFont="1" applyFill="1" applyBorder="1" applyAlignment="1">
      <alignment horizontal="center" vertical="center" wrapText="1"/>
    </xf>
    <xf numFmtId="0" fontId="39" fillId="0" borderId="0" xfId="41" applyFont="1" applyBorder="1" applyAlignment="1">
      <alignment horizontal="center" vertical="center" wrapText="1"/>
    </xf>
    <xf numFmtId="14" fontId="39" fillId="0" borderId="0" xfId="41" applyNumberFormat="1" applyFont="1" applyFill="1" applyBorder="1" applyAlignment="1">
      <alignment horizontal="center"/>
    </xf>
    <xf numFmtId="0" fontId="50" fillId="0" borderId="0" xfId="46" applyFont="1" applyFill="1" applyBorder="1" applyAlignment="1">
      <alignment horizontal="center"/>
    </xf>
    <xf numFmtId="0" fontId="40" fillId="0" borderId="15" xfId="0" applyFont="1" applyFill="1" applyBorder="1" applyAlignment="1" applyProtection="1">
      <alignment vertical="center" wrapText="1"/>
      <protection locked="0"/>
    </xf>
    <xf numFmtId="0" fontId="53" fillId="0" borderId="0" xfId="51" applyFont="1">
      <alignment vertical="center"/>
    </xf>
    <xf numFmtId="0" fontId="53" fillId="0" borderId="0" xfId="51" applyFont="1" applyAlignment="1">
      <alignment vertical="center" wrapText="1"/>
    </xf>
    <xf numFmtId="0" fontId="53" fillId="0" borderId="0" xfId="51" applyFont="1" applyFill="1" applyAlignment="1">
      <alignment horizontal="center" vertical="center"/>
    </xf>
    <xf numFmtId="0" fontId="38" fillId="0" borderId="0" xfId="39" applyFont="1">
      <alignment vertical="center"/>
      <protection locked="0"/>
    </xf>
    <xf numFmtId="0" fontId="39" fillId="0" borderId="13" xfId="41" applyFont="1" applyBorder="1" applyAlignment="1"/>
    <xf numFmtId="0" fontId="39" fillId="0" borderId="12" xfId="41" applyFont="1" applyBorder="1" applyAlignment="1"/>
    <xf numFmtId="0" fontId="40" fillId="0" borderId="0" xfId="41" applyFont="1" applyBorder="1" applyAlignment="1">
      <alignment horizontal="center"/>
    </xf>
    <xf numFmtId="0" fontId="40" fillId="0" borderId="12" xfId="41" applyFont="1" applyFill="1" applyBorder="1" applyAlignment="1">
      <alignment horizontal="right"/>
    </xf>
    <xf numFmtId="0" fontId="40" fillId="0" borderId="0" xfId="41" applyFont="1" applyFill="1" applyAlignment="1">
      <alignment horizontal="left"/>
    </xf>
    <xf numFmtId="0" fontId="54" fillId="0" borderId="0" xfId="48" applyFont="1" applyFill="1" applyAlignment="1" applyProtection="1">
      <alignment horizontal="right"/>
    </xf>
    <xf numFmtId="0" fontId="39" fillId="0" borderId="0" xfId="39" applyFont="1">
      <alignment vertical="center"/>
      <protection locked="0"/>
    </xf>
    <xf numFmtId="0" fontId="16" fillId="0" borderId="0" xfId="39" applyFont="1">
      <alignment vertical="center"/>
      <protection locked="0"/>
    </xf>
    <xf numFmtId="0" fontId="43" fillId="0" borderId="7" xfId="51" applyFont="1" applyFill="1" applyBorder="1" applyAlignment="1">
      <alignment horizontal="center" vertical="center"/>
    </xf>
    <xf numFmtId="0" fontId="43" fillId="0" borderId="7" xfId="51" applyFont="1" applyFill="1" applyBorder="1" applyAlignment="1">
      <alignment horizontal="center" vertical="center" wrapText="1"/>
    </xf>
    <xf numFmtId="0" fontId="26" fillId="0" borderId="7" xfId="0" applyFont="1" applyFill="1" applyBorder="1" applyAlignment="1" applyProtection="1">
      <alignment horizontal="center" vertical="center" wrapText="1"/>
      <protection locked="0"/>
    </xf>
    <xf numFmtId="0" fontId="40" fillId="0" borderId="7" xfId="0" applyFont="1" applyFill="1" applyBorder="1" applyAlignment="1" applyProtection="1">
      <alignment horizontal="center" vertical="center" wrapText="1"/>
      <protection locked="0"/>
    </xf>
    <xf numFmtId="0" fontId="42" fillId="0" borderId="7" xfId="51" applyFont="1" applyFill="1" applyBorder="1">
      <alignment vertical="center"/>
    </xf>
    <xf numFmtId="0" fontId="42" fillId="0" borderId="7" xfId="51" applyFont="1" applyFill="1" applyBorder="1" applyAlignment="1">
      <alignment vertical="center" wrapText="1"/>
    </xf>
    <xf numFmtId="0" fontId="53" fillId="0" borderId="7" xfId="51" applyFont="1" applyFill="1" applyBorder="1">
      <alignment vertical="center"/>
    </xf>
    <xf numFmtId="0" fontId="40" fillId="0" borderId="7" xfId="39" applyFont="1" applyFill="1" applyBorder="1" applyAlignment="1" applyProtection="1"/>
    <xf numFmtId="0" fontId="40" fillId="0" borderId="7" xfId="41" applyFont="1" applyFill="1" applyBorder="1" applyAlignment="1">
      <alignment horizontal="left"/>
    </xf>
    <xf numFmtId="0" fontId="38" fillId="0" borderId="13" xfId="39" applyFont="1" applyBorder="1" applyAlignment="1">
      <protection locked="0"/>
    </xf>
    <xf numFmtId="0" fontId="40" fillId="0" borderId="11" xfId="34" applyFont="1" applyFill="1" applyBorder="1" applyAlignment="1"/>
    <xf numFmtId="0" fontId="38" fillId="0" borderId="11" xfId="39" applyFont="1" applyBorder="1">
      <alignment vertical="center"/>
      <protection locked="0"/>
    </xf>
    <xf numFmtId="0" fontId="39" fillId="0" borderId="13" xfId="39" applyFont="1" applyFill="1" applyBorder="1" applyAlignment="1" applyProtection="1"/>
    <xf numFmtId="0" fontId="37" fillId="0" borderId="0" xfId="39" applyFont="1" applyAlignment="1">
      <alignment vertical="center"/>
      <protection locked="0"/>
    </xf>
    <xf numFmtId="0" fontId="16" fillId="0" borderId="11" xfId="41" applyFont="1" applyBorder="1"/>
    <xf numFmtId="0" fontId="39" fillId="0" borderId="11" xfId="41" applyFont="1" applyBorder="1"/>
    <xf numFmtId="0" fontId="91" fillId="0" borderId="0" xfId="44" applyFont="1" applyBorder="1">
      <alignment vertical="center"/>
    </xf>
    <xf numFmtId="0" fontId="7" fillId="0" borderId="0" xfId="44" applyFont="1" applyBorder="1" applyAlignment="1" applyProtection="1">
      <alignment horizontal="left" vertical="center"/>
      <protection locked="0"/>
    </xf>
    <xf numFmtId="0" fontId="7" fillId="0" borderId="0" xfId="44" applyFont="1" applyBorder="1" applyAlignment="1" applyProtection="1">
      <alignment horizontal="right" vertical="center"/>
      <protection locked="0"/>
    </xf>
    <xf numFmtId="49" fontId="7" fillId="0" borderId="0" xfId="44" applyNumberFormat="1" applyFont="1" applyBorder="1" applyAlignment="1" applyProtection="1">
      <alignment horizontal="centerContinuous" vertical="center"/>
      <protection locked="0"/>
    </xf>
    <xf numFmtId="0" fontId="67" fillId="0" borderId="4" xfId="44" applyFont="1" applyBorder="1" applyAlignment="1" applyProtection="1">
      <alignment horizontal="left" vertical="center"/>
      <protection locked="0"/>
    </xf>
    <xf numFmtId="0" fontId="7" fillId="0" borderId="5" xfId="44" applyFont="1" applyBorder="1" applyAlignment="1" applyProtection="1">
      <alignment horizontal="left" vertical="center"/>
      <protection locked="0"/>
    </xf>
    <xf numFmtId="0" fontId="7" fillId="0" borderId="5" xfId="44" applyFont="1" applyBorder="1" applyAlignment="1" applyProtection="1">
      <alignment horizontal="right" vertical="center"/>
      <protection locked="0"/>
    </xf>
    <xf numFmtId="49" fontId="7" fillId="0" borderId="6" xfId="44" applyNumberFormat="1" applyFont="1" applyBorder="1" applyAlignment="1" applyProtection="1">
      <alignment horizontal="centerContinuous" vertical="center"/>
      <protection locked="0"/>
    </xf>
    <xf numFmtId="0" fontId="94" fillId="0" borderId="29" xfId="44" applyFont="1" applyBorder="1" applyAlignment="1" applyProtection="1">
      <alignment horizontal="left" vertical="center"/>
      <protection locked="0"/>
    </xf>
    <xf numFmtId="0" fontId="94" fillId="0" borderId="0" xfId="44" applyFont="1" applyBorder="1" applyAlignment="1" applyProtection="1">
      <alignment horizontal="left" vertical="center"/>
      <protection locked="0"/>
    </xf>
    <xf numFmtId="0" fontId="94" fillId="0" borderId="0" xfId="44" applyFont="1" applyBorder="1" applyAlignment="1" applyProtection="1">
      <alignment horizontal="right" vertical="center"/>
      <protection locked="0"/>
    </xf>
    <xf numFmtId="49" fontId="94" fillId="0" borderId="30" xfId="44" applyNumberFormat="1" applyFont="1" applyBorder="1" applyAlignment="1" applyProtection="1">
      <alignment horizontal="centerContinuous" vertical="center"/>
      <protection locked="0"/>
    </xf>
    <xf numFmtId="0" fontId="94" fillId="0" borderId="31" xfId="44" applyFont="1" applyBorder="1" applyAlignment="1" applyProtection="1">
      <alignment horizontal="left" vertical="center"/>
      <protection locked="0"/>
    </xf>
    <xf numFmtId="0" fontId="94" fillId="0" borderId="15" xfId="44" applyFont="1" applyBorder="1" applyAlignment="1" applyProtection="1">
      <alignment horizontal="left" vertical="center"/>
      <protection locked="0"/>
    </xf>
    <xf numFmtId="0" fontId="94" fillId="0" borderId="15" xfId="44" applyFont="1" applyBorder="1" applyAlignment="1" applyProtection="1">
      <alignment horizontal="right" vertical="center"/>
      <protection locked="0"/>
    </xf>
    <xf numFmtId="49" fontId="94" fillId="0" borderId="32" xfId="44" applyNumberFormat="1" applyFont="1" applyBorder="1" applyAlignment="1" applyProtection="1">
      <alignment horizontal="centerContinuous" vertical="center"/>
      <protection locked="0"/>
    </xf>
    <xf numFmtId="0" fontId="95" fillId="0" borderId="7" xfId="44" applyFont="1" applyBorder="1" applyAlignment="1">
      <alignment horizontal="center" vertical="center"/>
    </xf>
    <xf numFmtId="0" fontId="98" fillId="0" borderId="0" xfId="44" applyFont="1" applyBorder="1">
      <alignment vertical="center"/>
    </xf>
    <xf numFmtId="0" fontId="98" fillId="0" borderId="8" xfId="44" applyFont="1" applyBorder="1" applyAlignment="1">
      <alignment horizontal="left" vertical="center" wrapText="1"/>
    </xf>
    <xf numFmtId="0" fontId="98" fillId="0" borderId="14"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98" fillId="0" borderId="7" xfId="44" applyFont="1" applyBorder="1" applyAlignment="1">
      <alignment horizontal="center" vertical="center" wrapText="1"/>
    </xf>
    <xf numFmtId="0" fontId="95" fillId="0" borderId="7" xfId="44" applyFont="1" applyBorder="1" applyAlignment="1">
      <alignment horizontal="left" vertical="center" wrapText="1"/>
    </xf>
    <xf numFmtId="0" fontId="103" fillId="0" borderId="0" xfId="44" applyFont="1" applyBorder="1" applyAlignment="1">
      <alignment vertical="center"/>
    </xf>
    <xf numFmtId="0" fontId="105" fillId="0" borderId="0" xfId="44" applyFont="1" applyBorder="1" applyAlignment="1">
      <alignment vertical="center" wrapText="1"/>
    </xf>
    <xf numFmtId="0" fontId="106" fillId="0" borderId="0" xfId="44" applyFont="1" applyBorder="1" applyAlignment="1">
      <alignment vertical="center"/>
    </xf>
    <xf numFmtId="0" fontId="106" fillId="0" borderId="0" xfId="44" applyFont="1" applyBorder="1">
      <alignment vertical="center"/>
    </xf>
    <xf numFmtId="0" fontId="105" fillId="0" borderId="0" xfId="44" applyFont="1" applyBorder="1">
      <alignment vertical="center"/>
    </xf>
    <xf numFmtId="0" fontId="107" fillId="0" borderId="0" xfId="44" applyFont="1" applyBorder="1" applyAlignment="1">
      <alignment vertical="center" wrapText="1"/>
    </xf>
    <xf numFmtId="0" fontId="99" fillId="0" borderId="0" xfId="44" applyFont="1" applyBorder="1" applyAlignment="1">
      <alignment vertical="center"/>
    </xf>
    <xf numFmtId="0" fontId="108" fillId="0" borderId="0" xfId="44" applyFont="1" applyBorder="1">
      <alignment vertical="center"/>
    </xf>
    <xf numFmtId="0" fontId="37" fillId="0" borderId="0" xfId="45" applyFont="1" applyAlignment="1">
      <alignment vertical="center"/>
      <protection locked="0"/>
    </xf>
    <xf numFmtId="0" fontId="37" fillId="0" borderId="3" xfId="45" applyFont="1" applyBorder="1" applyAlignment="1">
      <alignment horizontal="center" vertical="center"/>
      <protection locked="0"/>
    </xf>
    <xf numFmtId="0" fontId="38" fillId="0" borderId="0" xfId="45" applyFont="1" applyAlignment="1">
      <alignment vertical="center"/>
      <protection locked="0"/>
    </xf>
    <xf numFmtId="0" fontId="39" fillId="4" borderId="0" xfId="45" applyFont="1" applyFill="1" applyBorder="1" applyAlignment="1">
      <alignment horizontal="justify" vertical="center" wrapText="1"/>
      <protection locked="0"/>
    </xf>
    <xf numFmtId="0" fontId="38" fillId="0" borderId="9" xfId="45" applyFont="1" applyBorder="1" applyAlignment="1">
      <alignment horizontal="center" wrapText="1"/>
      <protection locked="0"/>
    </xf>
    <xf numFmtId="0" fontId="109" fillId="0" borderId="0" xfId="45" applyFont="1" applyBorder="1" applyAlignment="1">
      <alignment horizontal="justify" wrapText="1"/>
      <protection locked="0"/>
    </xf>
    <xf numFmtId="0" fontId="38" fillId="0" borderId="0" xfId="45" applyFont="1">
      <protection locked="0"/>
    </xf>
    <xf numFmtId="0" fontId="109" fillId="0" borderId="0" xfId="45" applyFont="1" applyBorder="1" applyAlignment="1">
      <alignment horizontal="justify" vertical="top" wrapText="1"/>
      <protection locked="0"/>
    </xf>
    <xf numFmtId="0" fontId="38" fillId="0" borderId="0" xfId="45" applyFont="1" applyBorder="1">
      <protection locked="0"/>
    </xf>
    <xf numFmtId="0" fontId="41" fillId="0" borderId="9" xfId="48" applyFont="1" applyBorder="1" applyAlignment="1">
      <protection locked="0"/>
    </xf>
    <xf numFmtId="0" fontId="110" fillId="0" borderId="9" xfId="48" applyFont="1" applyBorder="1" applyAlignment="1">
      <protection locked="0"/>
    </xf>
    <xf numFmtId="0" fontId="38" fillId="0" borderId="10" xfId="45" applyFont="1" applyBorder="1" applyAlignment="1">
      <alignment horizontal="center" wrapText="1"/>
      <protection locked="0"/>
    </xf>
    <xf numFmtId="0" fontId="110" fillId="0" borderId="10" xfId="48" applyFont="1" applyBorder="1" applyAlignment="1">
      <protection locked="0"/>
    </xf>
    <xf numFmtId="0" fontId="46" fillId="0" borderId="0" xfId="45" applyFont="1" applyAlignment="1">
      <alignment horizontal="center"/>
      <protection locked="0"/>
    </xf>
    <xf numFmtId="0" fontId="38" fillId="0" borderId="0" xfId="45" applyFont="1" applyAlignment="1">
      <protection locked="0"/>
    </xf>
    <xf numFmtId="0" fontId="37" fillId="0" borderId="0" xfId="45" applyFont="1" applyAlignment="1">
      <alignment horizontal="justify"/>
      <protection locked="0"/>
    </xf>
    <xf numFmtId="0" fontId="38" fillId="0" borderId="0" xfId="45" applyFont="1" applyAlignment="1">
      <alignment horizontal="justify"/>
      <protection locked="0"/>
    </xf>
    <xf numFmtId="0" fontId="43" fillId="0" borderId="7" xfId="51" applyFont="1" applyFill="1" applyBorder="1" applyAlignment="1">
      <alignment horizontal="center" vertical="center"/>
    </xf>
    <xf numFmtId="0" fontId="14" fillId="0" borderId="9" xfId="48" applyBorder="1" applyAlignment="1">
      <protection locked="0"/>
    </xf>
    <xf numFmtId="0" fontId="14" fillId="0" borderId="9" xfId="48" applyBorder="1" applyAlignment="1">
      <alignment wrapText="1"/>
      <protection locked="0"/>
    </xf>
    <xf numFmtId="0" fontId="35" fillId="0" borderId="7" xfId="51" applyFont="1" applyFill="1" applyBorder="1">
      <alignment vertical="center"/>
    </xf>
    <xf numFmtId="0" fontId="45" fillId="0" borderId="0" xfId="0" applyFont="1" applyBorder="1" applyAlignment="1">
      <alignment horizontal="left" vertical="center" wrapText="1"/>
      <protection locked="0"/>
    </xf>
    <xf numFmtId="0" fontId="36" fillId="0" borderId="7" xfId="51" applyFont="1" applyFill="1" applyBorder="1" applyAlignment="1">
      <alignment horizontal="center" vertical="center"/>
    </xf>
    <xf numFmtId="0" fontId="43" fillId="0" borderId="7" xfId="51" applyFont="1" applyFill="1" applyBorder="1" applyAlignment="1">
      <alignment horizontal="center" vertical="center"/>
    </xf>
    <xf numFmtId="0" fontId="37" fillId="0" borderId="0" xfId="0" applyFont="1" applyAlignment="1">
      <alignment horizontal="center" vertical="center"/>
      <protection locked="0"/>
    </xf>
    <xf numFmtId="0" fontId="46" fillId="0" borderId="0" xfId="0" applyFont="1" applyAlignment="1">
      <alignment horizontal="center" vertical="center"/>
      <protection locked="0"/>
    </xf>
    <xf numFmtId="0" fontId="39" fillId="0" borderId="11" xfId="41" applyFont="1" applyFill="1" applyBorder="1" applyAlignment="1">
      <alignment horizontal="left" vertical="center" wrapText="1"/>
    </xf>
    <xf numFmtId="0" fontId="39" fillId="0" borderId="13" xfId="41" applyFont="1" applyFill="1" applyBorder="1" applyAlignment="1">
      <alignment horizontal="left" vertical="center" wrapText="1"/>
    </xf>
    <xf numFmtId="0" fontId="39" fillId="0" borderId="12" xfId="41" applyFont="1" applyFill="1" applyBorder="1" applyAlignment="1">
      <alignment horizontal="left" vertical="center" wrapText="1"/>
    </xf>
    <xf numFmtId="0" fontId="37" fillId="0" borderId="0" xfId="39" applyFont="1" applyAlignment="1">
      <alignment horizontal="center" vertical="center"/>
      <protection locked="0"/>
    </xf>
    <xf numFmtId="0" fontId="33" fillId="0" borderId="0" xfId="39" applyFont="1" applyAlignment="1">
      <alignment horizontal="center" vertical="center"/>
      <protection locked="0"/>
    </xf>
    <xf numFmtId="0" fontId="46" fillId="0" borderId="0" xfId="39" applyFont="1" applyAlignment="1">
      <alignment horizontal="center" vertical="center"/>
      <protection locked="0"/>
    </xf>
    <xf numFmtId="0" fontId="39" fillId="0" borderId="5" xfId="41" applyFont="1" applyFill="1" applyBorder="1" applyAlignment="1">
      <alignment horizontal="left" wrapText="1"/>
    </xf>
    <xf numFmtId="0" fontId="39" fillId="0" borderId="5" xfId="41" applyFont="1" applyBorder="1" applyAlignment="1"/>
    <xf numFmtId="0" fontId="39" fillId="0" borderId="6" xfId="41" applyFont="1" applyBorder="1" applyAlignment="1"/>
    <xf numFmtId="0" fontId="39" fillId="0" borderId="4" xfId="41" applyFont="1" applyBorder="1" applyAlignment="1">
      <alignment vertical="top" wrapText="1"/>
    </xf>
    <xf numFmtId="0" fontId="38" fillId="0" borderId="5" xfId="39" applyFont="1" applyBorder="1" applyAlignment="1">
      <alignment vertical="top" wrapText="1"/>
      <protection locked="0"/>
    </xf>
    <xf numFmtId="0" fontId="38" fillId="0" borderId="6" xfId="39" applyFont="1" applyBorder="1" applyAlignment="1">
      <alignment vertical="top" wrapText="1"/>
      <protection locked="0"/>
    </xf>
    <xf numFmtId="0" fontId="39" fillId="0" borderId="11" xfId="41" applyFont="1" applyFill="1" applyBorder="1" applyAlignment="1">
      <alignment horizontal="left" vertical="center"/>
    </xf>
    <xf numFmtId="0" fontId="39" fillId="0" borderId="13" xfId="41" applyFont="1" applyFill="1" applyBorder="1" applyAlignment="1">
      <alignment horizontal="left" vertical="center"/>
    </xf>
    <xf numFmtId="0" fontId="39" fillId="0" borderId="12" xfId="41" applyFont="1" applyFill="1" applyBorder="1" applyAlignment="1">
      <alignment horizontal="left" vertical="center"/>
    </xf>
    <xf numFmtId="0" fontId="66" fillId="0" borderId="0" xfId="192" applyFont="1" applyBorder="1" applyAlignment="1">
      <alignment horizontal="center"/>
    </xf>
    <xf numFmtId="0" fontId="92" fillId="0" borderId="0" xfId="44" applyFont="1" applyBorder="1" applyAlignment="1" applyProtection="1">
      <alignment horizontal="center" vertical="center"/>
      <protection locked="0"/>
    </xf>
    <xf numFmtId="0" fontId="95" fillId="0" borderId="7" xfId="44" applyFont="1" applyBorder="1" applyAlignment="1">
      <alignment horizontal="center" vertical="center"/>
    </xf>
    <xf numFmtId="0" fontId="95" fillId="0" borderId="11" xfId="44" applyFont="1" applyBorder="1" applyAlignment="1">
      <alignment horizontal="center" vertical="center"/>
    </xf>
    <xf numFmtId="0" fontId="95" fillId="0" borderId="12" xfId="44" applyFont="1" applyBorder="1" applyAlignment="1">
      <alignment horizontal="center" vertical="center"/>
    </xf>
    <xf numFmtId="0" fontId="98" fillId="0" borderId="4" xfId="44" applyFont="1" applyBorder="1" applyAlignment="1">
      <alignment horizontal="left" vertical="center" wrapText="1"/>
    </xf>
    <xf numFmtId="0" fontId="98" fillId="0" borderId="6" xfId="44" applyFont="1" applyBorder="1" applyAlignment="1">
      <alignment horizontal="left" vertical="center" wrapText="1"/>
    </xf>
    <xf numFmtId="0" fontId="98" fillId="0" borderId="31" xfId="44" applyFont="1" applyBorder="1" applyAlignment="1">
      <alignment horizontal="left" vertical="center" wrapText="1"/>
    </xf>
    <xf numFmtId="0" fontId="98" fillId="0" borderId="32"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55" fillId="0" borderId="4" xfId="44" applyFont="1" applyBorder="1" applyAlignment="1">
      <alignment horizontal="left" vertical="center" wrapText="1"/>
    </xf>
    <xf numFmtId="0" fontId="100" fillId="0" borderId="31" xfId="44" applyFont="1" applyBorder="1" applyAlignment="1">
      <alignment horizontal="left" vertical="center" wrapText="1"/>
    </xf>
    <xf numFmtId="0" fontId="101" fillId="0" borderId="32" xfId="44" applyFont="1" applyBorder="1" applyAlignment="1">
      <alignment horizontal="left" vertical="center" wrapText="1"/>
    </xf>
    <xf numFmtId="0" fontId="97" fillId="0" borderId="11" xfId="44" applyFont="1" applyBorder="1" applyAlignment="1">
      <alignment horizontal="center" vertical="center" wrapText="1"/>
    </xf>
    <xf numFmtId="0" fontId="95" fillId="0" borderId="12" xfId="44" applyFont="1" applyBorder="1" applyAlignment="1">
      <alignment horizontal="center" vertical="center" wrapText="1"/>
    </xf>
    <xf numFmtId="0" fontId="95" fillId="0" borderId="11" xfId="44" applyFont="1" applyBorder="1" applyAlignment="1">
      <alignment horizontal="left" vertical="center" wrapText="1"/>
    </xf>
    <xf numFmtId="0" fontId="95" fillId="0" borderId="12" xfId="44" applyFont="1" applyBorder="1" applyAlignment="1">
      <alignment horizontal="left" vertical="center" wrapText="1"/>
    </xf>
    <xf numFmtId="0" fontId="33" fillId="0" borderId="0" xfId="44" applyFont="1" applyBorder="1" applyAlignment="1" applyProtection="1">
      <alignment horizontal="center" vertical="center"/>
      <protection locked="0"/>
    </xf>
    <xf numFmtId="0" fontId="30" fillId="0" borderId="4" xfId="44" applyFont="1" applyBorder="1" applyAlignment="1">
      <alignment horizontal="left" vertical="center" wrapText="1"/>
    </xf>
    <xf numFmtId="0" fontId="98" fillId="0" borderId="29" xfId="44" applyFont="1" applyBorder="1" applyAlignment="1">
      <alignment horizontal="left" vertical="center" wrapText="1"/>
    </xf>
    <xf numFmtId="0" fontId="98" fillId="0" borderId="30" xfId="44" applyFont="1" applyBorder="1" applyAlignment="1">
      <alignment horizontal="left" vertical="center" wrapText="1"/>
    </xf>
    <xf numFmtId="0" fontId="98" fillId="0" borderId="33" xfId="44" applyFont="1" applyBorder="1" applyAlignment="1">
      <alignment horizontal="center" vertical="center" wrapText="1"/>
    </xf>
    <xf numFmtId="0" fontId="35" fillId="0" borderId="4" xfId="44" applyFont="1" applyBorder="1" applyAlignment="1">
      <alignment horizontal="left" vertical="center" wrapText="1"/>
    </xf>
    <xf numFmtId="0" fontId="36" fillId="0" borderId="11" xfId="44" applyFont="1" applyBorder="1" applyAlignment="1">
      <alignment horizontal="left" vertical="center" wrapText="1"/>
    </xf>
  </cellXfs>
  <cellStyles count="193">
    <cellStyle name="?" xfId="52"/>
    <cellStyle name="?餡_x000c_k" xfId="53"/>
    <cellStyle name="?餡_x000c_k?_x000d_^" xfId="54"/>
    <cellStyle name="?餡_x000c_k?_x000d_^黇_x0001_??_x0007__x0001__x0001_" xfId="55"/>
    <cellStyle name="@_text" xfId="1"/>
    <cellStyle name="_2005审计报表及附注-中国建材股份模板（房屋）" xfId="56"/>
    <cellStyle name="_2006年年报审计PBC表-XXX" xfId="57"/>
    <cellStyle name="_2006年年报审计填报资料" xfId="58"/>
    <cellStyle name="_Book1" xfId="59"/>
    <cellStyle name="_PBC审核提示" xfId="60"/>
    <cellStyle name="_宝丽华房地产20051231" xfId="61"/>
    <cellStyle name="_保证金-企业填写部分" xfId="62"/>
    <cellStyle name="_北新房屋2004年审-刘" xfId="63"/>
    <cellStyle name="_北新股份2005年审工作底稿" xfId="64"/>
    <cellStyle name="_北新建材关连交易基础表051230（10－12月版）更新稿" xfId="65"/>
    <cellStyle name="_北新建材-会计报表附注模版" xfId="66"/>
    <cellStyle name="_北新龙之星2004年审工作底稿" xfId="67"/>
    <cellStyle name="_北新物流2005底稿-刘" xfId="68"/>
    <cellStyle name="_北新置换memo" xfId="69"/>
    <cellStyle name="_存货结转测试" xfId="70"/>
    <cellStyle name="_存货数量与明细05.12" xfId="71"/>
    <cellStyle name="_动力厂2004年审工作底稿-刘" xfId="72"/>
    <cellStyle name="_分工" xfId="73"/>
    <cellStyle name="_工程施工项目现场审计提示" xfId="74"/>
    <cellStyle name="_关联交易" xfId="75"/>
    <cellStyle name="_关联交易、往来统计表" xfId="76"/>
    <cellStyle name="_建造合同-宜万指（正式版）" xfId="77"/>
    <cellStyle name="_科目核对表" xfId="78"/>
    <cellStyle name="_母PL" xfId="79"/>
    <cellStyle name="_人员分工备忘录" xfId="80"/>
    <cellStyle name="_审计所需资料清单－子公司" xfId="81"/>
    <cellStyle name="_一公司建造合同前5名" xfId="82"/>
    <cellStyle name="_一公司－刘丰收" xfId="83"/>
    <cellStyle name="_长期借款－江阴" xfId="84"/>
    <cellStyle name="_子公司审计提示模版-Liufs" xfId="85"/>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20% - Accent1" xfId="86"/>
    <cellStyle name="20% - Accent2" xfId="87"/>
    <cellStyle name="20% - Accent3" xfId="88"/>
    <cellStyle name="20% - Accent4" xfId="89"/>
    <cellStyle name="20% - Accent5" xfId="90"/>
    <cellStyle name="20% - Accent6" xfId="91"/>
    <cellStyle name="40% - Accent1" xfId="92"/>
    <cellStyle name="40% - Accent2" xfId="93"/>
    <cellStyle name="40% - Accent3" xfId="94"/>
    <cellStyle name="40% - Accent4" xfId="95"/>
    <cellStyle name="40% - Accent5" xfId="96"/>
    <cellStyle name="40% - Accent6" xfId="97"/>
    <cellStyle name="60% - Accent1" xfId="98"/>
    <cellStyle name="60% - Accent2" xfId="99"/>
    <cellStyle name="60% - Accent3" xfId="100"/>
    <cellStyle name="60% - Accent4" xfId="101"/>
    <cellStyle name="60% - Accent5" xfId="102"/>
    <cellStyle name="60% - Accent6" xfId="103"/>
    <cellStyle name="Accent1" xfId="104"/>
    <cellStyle name="Accent2" xfId="105"/>
    <cellStyle name="Accent3" xfId="106"/>
    <cellStyle name="Accent4" xfId="107"/>
    <cellStyle name="Accent5" xfId="108"/>
    <cellStyle name="Accent6" xfId="109"/>
    <cellStyle name="Bad" xfId="110"/>
    <cellStyle name="Black" xfId="14"/>
    <cellStyle name="Border" xfId="15"/>
    <cellStyle name="Calc Currency (0)" xfId="111"/>
    <cellStyle name="Calculation" xfId="112"/>
    <cellStyle name="Check Cell" xfId="113"/>
    <cellStyle name="Col Heads" xfId="16"/>
    <cellStyle name="Column_Title" xfId="114"/>
    <cellStyle name="Comma  - Style1" xfId="115"/>
    <cellStyle name="Comma  - Style2" xfId="116"/>
    <cellStyle name="Comma  - Style3" xfId="117"/>
    <cellStyle name="Comma  - Style4" xfId="118"/>
    <cellStyle name="Comma  - Style5" xfId="119"/>
    <cellStyle name="Comma  - Style6" xfId="120"/>
    <cellStyle name="Comma  - Style7" xfId="121"/>
    <cellStyle name="Comma  - Style8" xfId="122"/>
    <cellStyle name="Comma [0]_ rislugp" xfId="123"/>
    <cellStyle name="Comma,0" xfId="17"/>
    <cellStyle name="Comma,1" xfId="18"/>
    <cellStyle name="Comma,2" xfId="19"/>
    <cellStyle name="Comma_ rislugp" xfId="124"/>
    <cellStyle name="Currency [0]_ rislugp" xfId="125"/>
    <cellStyle name="Currency,0" xfId="20"/>
    <cellStyle name="Currency,2" xfId="21"/>
    <cellStyle name="Currency_ rislugp" xfId="126"/>
    <cellStyle name="Dezimal [0]_laroux" xfId="22"/>
    <cellStyle name="Dezimal_laroux" xfId="23"/>
    <cellStyle name="entry" xfId="127"/>
    <cellStyle name="entry box" xfId="128"/>
    <cellStyle name="Euro" xfId="24"/>
    <cellStyle name="Explanatory Text" xfId="129"/>
    <cellStyle name="Followed Hyperlink_AheadBehind.xls Chart 23" xfId="25"/>
    <cellStyle name="Good" xfId="130"/>
    <cellStyle name="Grey" xfId="26"/>
    <cellStyle name="Header1" xfId="131"/>
    <cellStyle name="Header2" xfId="132"/>
    <cellStyle name="Heading" xfId="133"/>
    <cellStyle name="Heading 1" xfId="134"/>
    <cellStyle name="Heading 2" xfId="135"/>
    <cellStyle name="Heading 3" xfId="136"/>
    <cellStyle name="Heading 4" xfId="137"/>
    <cellStyle name="Hyperlink_AheadBehind.xls Chart 23" xfId="27"/>
    <cellStyle name="Input" xfId="138"/>
    <cellStyle name="Input [yellow]" xfId="28"/>
    <cellStyle name="left" xfId="139"/>
    <cellStyle name="Linked Cell" xfId="140"/>
    <cellStyle name="Millares [0]_laroux" xfId="141"/>
    <cellStyle name="Millares_laroux" xfId="142"/>
    <cellStyle name="Milliers [0]_laroux" xfId="29"/>
    <cellStyle name="Milliers_laroux" xfId="30"/>
    <cellStyle name="Moneda [0]_laroux" xfId="143"/>
    <cellStyle name="Moneda_laroux" xfId="144"/>
    <cellStyle name="Mon閠aire [0]_laroux" xfId="145"/>
    <cellStyle name="Mon閠aire_laroux" xfId="146"/>
    <cellStyle name="Neutral" xfId="147"/>
    <cellStyle name="no dec" xfId="148"/>
    <cellStyle name="Non défini" xfId="31"/>
    <cellStyle name="Normal - Style1" xfId="32"/>
    <cellStyle name="Normal 2 2" xfId="33"/>
    <cellStyle name="Normal_ rislugp" xfId="149"/>
    <cellStyle name="Normal_Jinpan SOX Testing-qihongzhao" xfId="34"/>
    <cellStyle name="Normalny_Arkusz1" xfId="150"/>
    <cellStyle name="Note" xfId="151"/>
    <cellStyle name="Output" xfId="152"/>
    <cellStyle name="Percent (0)" xfId="153"/>
    <cellStyle name="Percent [2]" xfId="35"/>
    <cellStyle name="Prefilled" xfId="154"/>
    <cellStyle name="price" xfId="155"/>
    <cellStyle name="Red" xfId="36"/>
    <cellStyle name="revised" xfId="156"/>
    <cellStyle name="section" xfId="157"/>
    <cellStyle name="style" xfId="158"/>
    <cellStyle name="style1" xfId="159"/>
    <cellStyle name="style2" xfId="160"/>
    <cellStyle name="Tickmark" xfId="161"/>
    <cellStyle name="title" xfId="162"/>
    <cellStyle name="Total" xfId="163"/>
    <cellStyle name="Warning Text" xfId="164"/>
    <cellStyle name="wrap" xfId="165"/>
    <cellStyle name="パーセント_laroux" xfId="166"/>
    <cellStyle name="百分比 2" xfId="37"/>
    <cellStyle name="標準_１１月価格表" xfId="167"/>
    <cellStyle name="常规" xfId="0" builtinId="0"/>
    <cellStyle name="常规 2" xfId="38"/>
    <cellStyle name="常规 2 2" xfId="39"/>
    <cellStyle name="常规 2 2 2" xfId="40"/>
    <cellStyle name="常规 3" xfId="41"/>
    <cellStyle name="常规 4" xfId="42"/>
    <cellStyle name="常规 5" xfId="43"/>
    <cellStyle name="常规 5 2" xfId="44"/>
    <cellStyle name="常规 6" xfId="51"/>
    <cellStyle name="常规_c-资产类" xfId="192"/>
    <cellStyle name="常规_D1货币资金" xfId="45"/>
    <cellStyle name="常规_Revenue Control Testing - Hainan (Manchun2)" xfId="46"/>
    <cellStyle name="常规_Sheet1" xfId="47"/>
    <cellStyle name="超级链接_B4-1审计项目工时预算与控制表(集团)" xfId="168"/>
    <cellStyle name="超链接" xfId="48" builtinId="8"/>
    <cellStyle name="超链接 2" xfId="169"/>
    <cellStyle name="超链接 2 2" xfId="170"/>
    <cellStyle name="分级显示行_1_4附件二凯旋评估表" xfId="171"/>
    <cellStyle name="桁区切り [0.00]_１１月価格表" xfId="172"/>
    <cellStyle name="桁区切り_１１月価格表" xfId="173"/>
    <cellStyle name="霓付 [0]_97MBO" xfId="174"/>
    <cellStyle name="霓付_97MBO" xfId="175"/>
    <cellStyle name="烹拳 [0]_97MBO" xfId="176"/>
    <cellStyle name="烹拳_97MBO" xfId="177"/>
    <cellStyle name="普通_ 白土" xfId="178"/>
    <cellStyle name="千分位[0]_ 白土" xfId="179"/>
    <cellStyle name="千分位_ 白土" xfId="180"/>
    <cellStyle name="千位[0]_97汇总" xfId="181"/>
    <cellStyle name="千位_97汇总" xfId="182"/>
    <cellStyle name="千位分隔 2" xfId="49"/>
    <cellStyle name="千位分隔 3" xfId="50"/>
    <cellStyle name="钎霖_laroux" xfId="183"/>
    <cellStyle name="通貨 [0.00]_１１月価格表" xfId="184"/>
    <cellStyle name="通貨_１１月価格表" xfId="185"/>
    <cellStyle name="样式 1" xfId="186"/>
    <cellStyle name="콤마 [0]_BOILER-CO1" xfId="187"/>
    <cellStyle name="콤마_BOILER-CO1" xfId="188"/>
    <cellStyle name="통화 [0]_BOILER-CO1" xfId="189"/>
    <cellStyle name="통화_BOILER-CO1" xfId="190"/>
    <cellStyle name="표준_0N-HANDLING " xfId="19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80</xdr:row>
      <xdr:rowOff>171450</xdr:rowOff>
    </xdr:from>
    <xdr:to>
      <xdr:col>4</xdr:col>
      <xdr:colOff>695325</xdr:colOff>
      <xdr:row>109</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47625" y="19592925"/>
          <a:ext cx="4914900" cy="5124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dmin/Desktop/to%20intern/&#20869;&#25511;&#20102;&#35299;&#19982;&#27979;&#35797;-before%20revising/C1-11&#19994;&#21153;&#24490;&#29615;&#20869;&#25511;&#27979;&#35797;/C1%20&#38144;&#21806;&#19994;&#21153;&#20869;&#25511;&#27979;&#3579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表头（请先填写）"/>
      <sheetName val="汇总表"/>
      <sheetName val="汇总表（续）-非Voyager项目适用"/>
      <sheetName val="关键控制点测试方法分配表C1-1"/>
      <sheetName val="控制测试程序和过程记录表编制说明"/>
      <sheetName val="1根据客户底稿重新执行"/>
      <sheetName val="1根据客户底稿重新执行（记录表）"/>
      <sheetName val="2 CAAT"/>
      <sheetName val="3 抽样（检查）"/>
      <sheetName val="4 询问"/>
      <sheetName val="GT_Custom"/>
      <sheetName val="C1-3评价控制偏差"/>
      <sheetName val="示例-评价控制偏差"/>
    </sheetNames>
    <sheetDataSet>
      <sheetData sheetId="0">
        <row r="2">
          <cell r="A2" t="str">
            <v>客户名称：</v>
          </cell>
        </row>
        <row r="4">
          <cell r="A4" t="str">
            <v>编制人：</v>
          </cell>
        </row>
        <row r="5">
          <cell r="A5" t="str">
            <v>日 期：</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A1:H15"/>
  <sheetViews>
    <sheetView topLeftCell="B1" zoomScale="130" zoomScaleNormal="130" workbookViewId="0">
      <selection activeCell="H9" sqref="H9"/>
    </sheetView>
  </sheetViews>
  <sheetFormatPr defaultRowHeight="15.75"/>
  <cols>
    <col min="1" max="1" width="73.25" style="112" customWidth="1"/>
    <col min="2" max="2" width="4.625" style="112" customWidth="1"/>
    <col min="3" max="3" width="55.375" style="112" customWidth="1"/>
    <col min="4" max="16384" width="9" style="112"/>
  </cols>
  <sheetData>
    <row r="1" spans="1:8" s="108" customFormat="1" ht="20.100000000000001" customHeight="1">
      <c r="A1" s="106" t="s">
        <v>222</v>
      </c>
      <c r="B1" s="107" t="s">
        <v>223</v>
      </c>
      <c r="C1" s="107" t="s">
        <v>224</v>
      </c>
    </row>
    <row r="2" spans="1:8" ht="20.100000000000001" customHeight="1">
      <c r="A2" s="109" t="s">
        <v>225</v>
      </c>
      <c r="B2" s="110">
        <v>1</v>
      </c>
      <c r="C2" s="125" t="s">
        <v>251</v>
      </c>
      <c r="D2" s="111"/>
      <c r="E2" s="111"/>
      <c r="F2" s="111"/>
      <c r="G2" s="111"/>
      <c r="H2" s="111"/>
    </row>
    <row r="3" spans="1:8" ht="20.100000000000001" customHeight="1">
      <c r="A3" s="109" t="s">
        <v>226</v>
      </c>
      <c r="B3" s="110">
        <v>2</v>
      </c>
      <c r="C3" s="124" t="s">
        <v>240</v>
      </c>
      <c r="D3" s="111"/>
      <c r="E3" s="111"/>
      <c r="F3" s="111"/>
      <c r="G3" s="111"/>
      <c r="H3" s="113"/>
    </row>
    <row r="4" spans="1:8" ht="20.100000000000001" customHeight="1">
      <c r="A4" s="109" t="s">
        <v>227</v>
      </c>
      <c r="B4" s="110">
        <v>3</v>
      </c>
      <c r="C4" s="124" t="s">
        <v>241</v>
      </c>
      <c r="D4" s="114"/>
      <c r="E4" s="114"/>
      <c r="F4" s="114"/>
      <c r="G4" s="114"/>
      <c r="H4" s="114"/>
    </row>
    <row r="5" spans="1:8" ht="20.100000000000001" customHeight="1">
      <c r="A5" s="109" t="s">
        <v>228</v>
      </c>
      <c r="B5" s="110">
        <v>4</v>
      </c>
      <c r="C5" s="115"/>
    </row>
    <row r="6" spans="1:8" ht="20.100000000000001" customHeight="1">
      <c r="B6" s="110"/>
      <c r="C6" s="116"/>
    </row>
    <row r="7" spans="1:8" ht="20.100000000000001" customHeight="1">
      <c r="B7" s="117"/>
      <c r="C7" s="118"/>
    </row>
    <row r="8" spans="1:8" ht="20.100000000000001" customHeight="1">
      <c r="A8" s="119" t="s">
        <v>16</v>
      </c>
      <c r="C8" s="120"/>
    </row>
    <row r="9" spans="1:8" ht="20.100000000000001" customHeight="1">
      <c r="A9" s="119"/>
    </row>
    <row r="10" spans="1:8" ht="20.100000000000001" customHeight="1">
      <c r="A10" s="121" t="s">
        <v>229</v>
      </c>
    </row>
    <row r="11" spans="1:8" ht="45.75" customHeight="1">
      <c r="A11" s="122" t="s">
        <v>230</v>
      </c>
    </row>
    <row r="12" spans="1:8" ht="22.5" customHeight="1">
      <c r="A12" s="121" t="s">
        <v>231</v>
      </c>
    </row>
    <row r="13" spans="1:8" ht="36.75" customHeight="1">
      <c r="A13" s="122" t="s">
        <v>234</v>
      </c>
    </row>
    <row r="14" spans="1:8" ht="21.75" customHeight="1">
      <c r="A14" s="122" t="s">
        <v>235</v>
      </c>
    </row>
    <row r="15" spans="1:8">
      <c r="A15" s="122"/>
    </row>
  </sheetData>
  <phoneticPr fontId="15" type="noConversion"/>
  <hyperlinks>
    <hyperlink ref="C2" location="'C14控制测试汇总表'!A1" display="C14控制测试汇总表"/>
    <hyperlink ref="C4" location="'C14-2评价控制偏差'!A1" display="C14-2评价控制偏差表"/>
    <hyperlink ref="C3" location="'控制测试过程记录表（询问&amp;观察）C14-1'!A1" display="C14-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L64"/>
  <sheetViews>
    <sheetView tabSelected="1" view="pageBreakPreview" zoomScale="110" zoomScaleSheetLayoutView="110" workbookViewId="0">
      <selection activeCell="L12" sqref="L12"/>
    </sheetView>
  </sheetViews>
  <sheetFormatPr defaultRowHeight="16.5"/>
  <cols>
    <col min="1" max="1" width="14.625" style="46" customWidth="1"/>
    <col min="2" max="2" width="5.375" style="46" customWidth="1"/>
    <col min="3" max="3" width="33" style="47" customWidth="1"/>
    <col min="4" max="4" width="7.375" style="46" customWidth="1"/>
    <col min="5" max="5" width="7.25" style="46" customWidth="1"/>
    <col min="6" max="6" width="10.375" style="47" customWidth="1"/>
    <col min="7" max="7" width="21.375" style="47" customWidth="1"/>
    <col min="8" max="8" width="15.25" style="47" customWidth="1"/>
    <col min="9" max="10" width="9" style="46"/>
    <col min="11" max="11" width="11.625" style="46" customWidth="1"/>
    <col min="12" max="12" width="11.125" style="46" customWidth="1"/>
    <col min="13" max="16384" width="9" style="46"/>
  </cols>
  <sheetData>
    <row r="1" spans="1:12" ht="28.5" customHeight="1">
      <c r="A1" s="130" t="s">
        <v>18</v>
      </c>
      <c r="B1" s="130"/>
      <c r="C1" s="130"/>
      <c r="D1" s="130"/>
      <c r="E1" s="130"/>
      <c r="F1" s="130"/>
      <c r="G1" s="130"/>
      <c r="H1" s="130"/>
      <c r="I1" s="130"/>
      <c r="J1" s="130"/>
      <c r="K1" s="130"/>
      <c r="L1" s="130"/>
    </row>
    <row r="2" spans="1:12" ht="30" customHeight="1">
      <c r="A2" s="131" t="s">
        <v>250</v>
      </c>
      <c r="B2" s="131"/>
      <c r="C2" s="131"/>
      <c r="D2" s="131"/>
      <c r="E2" s="131"/>
      <c r="F2" s="131"/>
      <c r="G2" s="131"/>
      <c r="H2" s="131"/>
      <c r="I2" s="131"/>
      <c r="J2" s="131"/>
      <c r="K2" s="131"/>
      <c r="L2" s="131"/>
    </row>
    <row r="3" spans="1:12" ht="23.25" customHeight="1">
      <c r="A3" s="1" t="str">
        <f>'表头（请先填写）'!A2</f>
        <v>客户名称：</v>
      </c>
      <c r="B3" s="2"/>
      <c r="D3" s="3" t="str">
        <f>'表头（请先填写）'!A4</f>
        <v>编制人：</v>
      </c>
      <c r="E3" s="1"/>
      <c r="G3" s="46"/>
      <c r="H3" s="1" t="str">
        <f>'表头（请先填写）'!A5</f>
        <v>日 期：</v>
      </c>
      <c r="K3" s="4" t="s">
        <v>26</v>
      </c>
      <c r="L3" s="5" t="s">
        <v>242</v>
      </c>
    </row>
    <row r="4" spans="1:12" ht="23.25" customHeight="1">
      <c r="A4" s="1" t="str">
        <f>'表头（请先填写）'!A3</f>
        <v>会计期间：2013年度</v>
      </c>
      <c r="B4" s="2"/>
      <c r="D4" s="3" t="s">
        <v>17</v>
      </c>
      <c r="E4" s="1"/>
      <c r="G4" s="46"/>
      <c r="H4" s="1" t="s">
        <v>19</v>
      </c>
      <c r="K4" s="4" t="s">
        <v>25</v>
      </c>
      <c r="L4" s="5">
        <v>1</v>
      </c>
    </row>
    <row r="5" spans="1:12" ht="23.25" customHeight="1">
      <c r="A5" s="6" t="s">
        <v>20</v>
      </c>
      <c r="B5" s="1"/>
      <c r="C5" s="1"/>
      <c r="D5" s="2"/>
      <c r="E5" s="2"/>
      <c r="F5" s="2"/>
      <c r="G5" s="2"/>
      <c r="H5" s="2"/>
      <c r="I5" s="2"/>
      <c r="J5" s="2"/>
      <c r="K5" s="2"/>
      <c r="L5" s="2"/>
    </row>
    <row r="6" spans="1:12" ht="23.25" customHeight="1">
      <c r="A6" s="7" t="s">
        <v>249</v>
      </c>
      <c r="B6" s="1"/>
      <c r="C6" s="1"/>
      <c r="D6" s="1"/>
      <c r="E6" s="1"/>
      <c r="F6" s="1"/>
      <c r="G6" s="1"/>
      <c r="H6" s="1"/>
      <c r="I6" s="1"/>
      <c r="J6" s="1"/>
      <c r="K6" s="2"/>
      <c r="L6" s="2"/>
    </row>
    <row r="7" spans="1:12" ht="23.25" customHeight="1">
      <c r="A7" s="1" t="s">
        <v>21</v>
      </c>
      <c r="B7" s="1"/>
      <c r="C7" s="1"/>
      <c r="D7" s="1"/>
      <c r="E7" s="1"/>
      <c r="F7" s="1"/>
      <c r="G7" s="1"/>
      <c r="H7" s="1"/>
      <c r="I7" s="1"/>
      <c r="J7" s="1"/>
      <c r="K7" s="2"/>
      <c r="L7" s="2"/>
    </row>
    <row r="8" spans="1:12" ht="23.25" customHeight="1">
      <c r="A8" s="1" t="s">
        <v>22</v>
      </c>
      <c r="B8" s="1"/>
      <c r="C8" s="1"/>
      <c r="D8" s="1"/>
      <c r="E8" s="1"/>
      <c r="F8" s="1"/>
      <c r="G8" s="1"/>
      <c r="H8" s="1"/>
      <c r="I8" s="1"/>
      <c r="J8" s="1"/>
      <c r="K8" s="2"/>
      <c r="L8" s="2"/>
    </row>
    <row r="9" spans="1:12" ht="23.25" customHeight="1">
      <c r="A9" s="6" t="s">
        <v>31</v>
      </c>
      <c r="B9" s="2"/>
      <c r="C9" s="2"/>
      <c r="D9" s="2"/>
      <c r="E9" s="2"/>
      <c r="F9" s="2"/>
      <c r="G9" s="2"/>
      <c r="H9" s="2"/>
      <c r="I9" s="2"/>
      <c r="J9" s="2"/>
      <c r="K9" s="2"/>
      <c r="L9" s="2"/>
    </row>
    <row r="10" spans="1:12" ht="23.25" customHeight="1">
      <c r="A10" s="7" t="s">
        <v>23</v>
      </c>
      <c r="B10" s="8"/>
      <c r="C10" s="8"/>
      <c r="D10" s="2"/>
      <c r="E10" s="2"/>
      <c r="F10" s="2" t="s">
        <v>252</v>
      </c>
      <c r="G10" s="2"/>
      <c r="H10" s="2"/>
      <c r="I10" s="2"/>
      <c r="J10" s="2"/>
      <c r="K10" s="2"/>
      <c r="L10" s="2"/>
    </row>
    <row r="11" spans="1:12" ht="23.25" customHeight="1">
      <c r="A11" s="7" t="s">
        <v>232</v>
      </c>
      <c r="B11" s="8"/>
      <c r="C11" s="8"/>
      <c r="D11" s="2"/>
      <c r="E11" s="2"/>
      <c r="F11" s="2" t="s">
        <v>253</v>
      </c>
      <c r="G11" s="2"/>
      <c r="H11" s="2"/>
      <c r="I11" s="2"/>
      <c r="J11" s="2"/>
      <c r="K11" s="2"/>
      <c r="L11" s="2"/>
    </row>
    <row r="12" spans="1:12" ht="23.25" customHeight="1">
      <c r="A12" s="7" t="s">
        <v>233</v>
      </c>
      <c r="B12" s="8"/>
      <c r="C12" s="8"/>
      <c r="D12" s="2"/>
      <c r="E12" s="2"/>
      <c r="F12" s="2" t="s">
        <v>254</v>
      </c>
      <c r="G12" s="2"/>
      <c r="H12" s="2"/>
      <c r="I12" s="2"/>
      <c r="J12" s="2"/>
      <c r="K12" s="2"/>
      <c r="L12" s="2"/>
    </row>
    <row r="13" spans="1:12" ht="23.25" customHeight="1">
      <c r="A13" s="6" t="s">
        <v>27</v>
      </c>
      <c r="I13" s="45"/>
      <c r="J13" s="45"/>
      <c r="K13" s="45"/>
    </row>
    <row r="14" spans="1:12" s="48" customFormat="1" ht="63">
      <c r="A14" s="123" t="s">
        <v>28</v>
      </c>
      <c r="B14" s="128" t="s">
        <v>238</v>
      </c>
      <c r="C14" s="129"/>
      <c r="D14" s="58" t="s">
        <v>29</v>
      </c>
      <c r="E14" s="58" t="s">
        <v>30</v>
      </c>
      <c r="F14" s="59" t="s">
        <v>33</v>
      </c>
      <c r="G14" s="59" t="s">
        <v>32</v>
      </c>
      <c r="H14" s="59" t="s">
        <v>39</v>
      </c>
      <c r="I14" s="60" t="s">
        <v>46</v>
      </c>
      <c r="J14" s="61" t="s">
        <v>34</v>
      </c>
      <c r="K14" s="61" t="s">
        <v>35</v>
      </c>
      <c r="L14" s="61" t="s">
        <v>255</v>
      </c>
    </row>
    <row r="15" spans="1:12">
      <c r="A15" s="126" t="s">
        <v>243</v>
      </c>
      <c r="B15" s="62"/>
      <c r="C15" s="62"/>
      <c r="D15" s="62"/>
      <c r="E15" s="62"/>
      <c r="F15" s="62"/>
      <c r="G15" s="62"/>
      <c r="H15" s="62"/>
      <c r="I15" s="62"/>
      <c r="J15" s="62"/>
      <c r="K15" s="62"/>
      <c r="L15" s="62"/>
    </row>
    <row r="16" spans="1:12" ht="25.5" customHeight="1">
      <c r="A16" s="62"/>
      <c r="B16" s="62">
        <v>1</v>
      </c>
      <c r="C16" s="63"/>
      <c r="D16" s="62"/>
      <c r="E16" s="62"/>
      <c r="F16" s="63"/>
      <c r="G16" s="63"/>
      <c r="H16" s="63"/>
      <c r="I16" s="64"/>
      <c r="J16" s="64"/>
      <c r="K16" s="64"/>
      <c r="L16" s="64"/>
    </row>
    <row r="17" spans="1:12" ht="25.5" customHeight="1">
      <c r="A17" s="62"/>
      <c r="B17" s="62">
        <v>2</v>
      </c>
      <c r="C17" s="63"/>
      <c r="D17" s="62"/>
      <c r="E17" s="62"/>
      <c r="F17" s="63"/>
      <c r="G17" s="63"/>
      <c r="H17" s="63"/>
      <c r="I17" s="64"/>
      <c r="J17" s="64"/>
      <c r="K17" s="64"/>
      <c r="L17" s="64"/>
    </row>
    <row r="18" spans="1:12" ht="25.5" customHeight="1" collapsed="1">
      <c r="A18" s="62"/>
      <c r="B18" s="62" t="s">
        <v>236</v>
      </c>
      <c r="C18" s="63"/>
      <c r="D18" s="62"/>
      <c r="E18" s="62"/>
      <c r="F18" s="63"/>
      <c r="G18" s="63"/>
      <c r="H18" s="63"/>
      <c r="I18" s="64"/>
      <c r="J18" s="64"/>
      <c r="K18" s="64"/>
      <c r="L18" s="64"/>
    </row>
    <row r="19" spans="1:12" collapsed="1">
      <c r="A19" s="126" t="s">
        <v>244</v>
      </c>
      <c r="B19" s="62"/>
      <c r="C19" s="63"/>
      <c r="D19" s="62"/>
      <c r="E19" s="62"/>
      <c r="F19" s="63"/>
      <c r="G19" s="63"/>
      <c r="H19" s="63"/>
      <c r="I19" s="63"/>
      <c r="J19" s="63"/>
      <c r="K19" s="63"/>
      <c r="L19" s="63"/>
    </row>
    <row r="20" spans="1:12" ht="25.5" customHeight="1">
      <c r="A20" s="62"/>
      <c r="B20" s="62">
        <v>1</v>
      </c>
      <c r="C20" s="63"/>
      <c r="D20" s="62"/>
      <c r="E20" s="62"/>
      <c r="F20" s="63"/>
      <c r="G20" s="63"/>
      <c r="H20" s="63"/>
      <c r="I20" s="64"/>
      <c r="J20" s="64"/>
      <c r="K20" s="64"/>
      <c r="L20" s="64"/>
    </row>
    <row r="21" spans="1:12" ht="25.5" customHeight="1">
      <c r="A21" s="62"/>
      <c r="B21" s="62">
        <v>2</v>
      </c>
      <c r="C21" s="63"/>
      <c r="D21" s="62"/>
      <c r="E21" s="62"/>
      <c r="F21" s="63"/>
      <c r="G21" s="63"/>
      <c r="H21" s="63"/>
      <c r="I21" s="64"/>
      <c r="J21" s="64"/>
      <c r="K21" s="64"/>
      <c r="L21" s="64"/>
    </row>
    <row r="22" spans="1:12" ht="25.5" customHeight="1" collapsed="1">
      <c r="A22" s="62"/>
      <c r="B22" s="62" t="s">
        <v>236</v>
      </c>
      <c r="C22" s="63"/>
      <c r="D22" s="62"/>
      <c r="E22" s="62"/>
      <c r="F22" s="63"/>
      <c r="G22" s="63"/>
      <c r="H22" s="63"/>
      <c r="I22" s="64"/>
      <c r="J22" s="64"/>
      <c r="K22" s="64"/>
      <c r="L22" s="64"/>
    </row>
    <row r="23" spans="1:12" collapsed="1">
      <c r="A23" s="126" t="s">
        <v>245</v>
      </c>
      <c r="B23" s="62"/>
      <c r="C23" s="63"/>
      <c r="D23" s="62"/>
      <c r="E23" s="62"/>
      <c r="F23" s="63"/>
      <c r="G23" s="63"/>
      <c r="H23" s="63"/>
      <c r="I23" s="63"/>
      <c r="J23" s="63"/>
      <c r="K23" s="63"/>
      <c r="L23" s="63"/>
    </row>
    <row r="24" spans="1:12" ht="21" customHeight="1">
      <c r="A24" s="62"/>
      <c r="B24" s="62">
        <v>1</v>
      </c>
      <c r="C24" s="63"/>
      <c r="D24" s="62"/>
      <c r="E24" s="62"/>
      <c r="F24" s="63"/>
      <c r="G24" s="63"/>
      <c r="H24" s="63"/>
      <c r="I24" s="64"/>
      <c r="J24" s="64"/>
      <c r="K24" s="64"/>
      <c r="L24" s="64"/>
    </row>
    <row r="25" spans="1:12" ht="21" customHeight="1" collapsed="1">
      <c r="A25" s="62"/>
      <c r="B25" s="62">
        <v>2</v>
      </c>
      <c r="C25" s="63"/>
      <c r="D25" s="62"/>
      <c r="E25" s="62"/>
      <c r="F25" s="63"/>
      <c r="G25" s="63"/>
      <c r="H25" s="63"/>
      <c r="I25" s="64"/>
      <c r="J25" s="64"/>
      <c r="K25" s="64"/>
      <c r="L25" s="64"/>
    </row>
    <row r="26" spans="1:12" ht="21" customHeight="1" collapsed="1">
      <c r="A26" s="62"/>
      <c r="B26" s="62" t="s">
        <v>236</v>
      </c>
      <c r="C26" s="63"/>
      <c r="D26" s="62"/>
      <c r="E26" s="62"/>
      <c r="F26" s="63"/>
      <c r="G26" s="63"/>
      <c r="H26" s="63"/>
      <c r="I26" s="64"/>
      <c r="J26" s="64"/>
      <c r="K26" s="64"/>
      <c r="L26" s="64"/>
    </row>
    <row r="27" spans="1:12" collapsed="1">
      <c r="A27" s="126" t="s">
        <v>246</v>
      </c>
      <c r="B27" s="62"/>
      <c r="C27" s="63"/>
      <c r="D27" s="62"/>
      <c r="E27" s="62"/>
      <c r="F27" s="63"/>
      <c r="G27" s="63"/>
      <c r="H27" s="63"/>
      <c r="I27" s="63"/>
      <c r="J27" s="63"/>
      <c r="K27" s="63"/>
      <c r="L27" s="63"/>
    </row>
    <row r="28" spans="1:12" ht="25.5" customHeight="1">
      <c r="A28" s="62"/>
      <c r="B28" s="62">
        <v>1</v>
      </c>
      <c r="C28" s="63"/>
      <c r="D28" s="62"/>
      <c r="E28" s="62"/>
      <c r="F28" s="63"/>
      <c r="G28" s="63"/>
      <c r="H28" s="63"/>
      <c r="I28" s="64"/>
      <c r="J28" s="64"/>
      <c r="K28" s="64"/>
      <c r="L28" s="64"/>
    </row>
    <row r="29" spans="1:12" ht="25.5" customHeight="1">
      <c r="A29" s="62"/>
      <c r="B29" s="62">
        <v>2</v>
      </c>
      <c r="C29" s="63"/>
      <c r="D29" s="62"/>
      <c r="E29" s="62"/>
      <c r="F29" s="63"/>
      <c r="G29" s="63"/>
      <c r="H29" s="63"/>
      <c r="I29" s="64"/>
      <c r="J29" s="64"/>
      <c r="K29" s="64"/>
      <c r="L29" s="64"/>
    </row>
    <row r="30" spans="1:12" ht="25.5" customHeight="1" collapsed="1">
      <c r="A30" s="62"/>
      <c r="B30" s="62" t="s">
        <v>236</v>
      </c>
      <c r="C30" s="63"/>
      <c r="D30" s="62"/>
      <c r="E30" s="62"/>
      <c r="F30" s="63"/>
      <c r="G30" s="63"/>
      <c r="H30" s="63"/>
      <c r="I30" s="64"/>
      <c r="J30" s="64"/>
      <c r="K30" s="64"/>
      <c r="L30" s="64"/>
    </row>
    <row r="31" spans="1:12" ht="28.5" customHeight="1" collapsed="1">
      <c r="A31" s="62"/>
      <c r="B31" s="62"/>
      <c r="C31" s="63"/>
      <c r="D31" s="62"/>
      <c r="E31" s="62"/>
      <c r="F31" s="63"/>
      <c r="G31" s="63"/>
      <c r="H31" s="63"/>
      <c r="I31" s="64"/>
      <c r="J31" s="64"/>
      <c r="K31" s="64"/>
      <c r="L31" s="64"/>
    </row>
    <row r="32" spans="1:12" collapsed="1"/>
    <row r="33" spans="1:12">
      <c r="A33" s="9" t="s">
        <v>24</v>
      </c>
      <c r="B33" s="10"/>
      <c r="C33" s="10"/>
    </row>
    <row r="34" spans="1:12">
      <c r="A34" s="11" t="s">
        <v>36</v>
      </c>
      <c r="B34" s="10"/>
      <c r="C34" s="10"/>
    </row>
    <row r="35" spans="1:12">
      <c r="A35" s="11" t="s">
        <v>37</v>
      </c>
      <c r="B35" s="10"/>
      <c r="C35" s="10"/>
    </row>
    <row r="36" spans="1:12">
      <c r="A36" s="11" t="s">
        <v>38</v>
      </c>
      <c r="B36" s="10"/>
      <c r="C36" s="10"/>
    </row>
    <row r="37" spans="1:12" ht="32.25" customHeight="1">
      <c r="A37" s="127" t="s">
        <v>237</v>
      </c>
      <c r="B37" s="127"/>
      <c r="C37" s="127"/>
      <c r="D37" s="127"/>
      <c r="E37" s="127"/>
      <c r="F37" s="127"/>
      <c r="G37" s="127"/>
      <c r="H37" s="127"/>
      <c r="I37" s="127"/>
      <c r="J37" s="127"/>
      <c r="K37" s="127"/>
      <c r="L37" s="127"/>
    </row>
    <row r="59" spans="1:1">
      <c r="A59" s="56" t="s">
        <v>40</v>
      </c>
    </row>
    <row r="60" spans="1:1">
      <c r="A60" s="57" t="s">
        <v>41</v>
      </c>
    </row>
    <row r="61" spans="1:1">
      <c r="A61" s="57" t="s">
        <v>42</v>
      </c>
    </row>
    <row r="62" spans="1:1">
      <c r="A62" s="56" t="s">
        <v>43</v>
      </c>
    </row>
    <row r="63" spans="1:1">
      <c r="A63" s="56" t="s">
        <v>44</v>
      </c>
    </row>
    <row r="64" spans="1:1">
      <c r="A64" s="56" t="s">
        <v>45</v>
      </c>
    </row>
  </sheetData>
  <mergeCells count="4">
    <mergeCell ref="A37:L37"/>
    <mergeCell ref="B14:C14"/>
    <mergeCell ref="A1:L1"/>
    <mergeCell ref="A2:L2"/>
  </mergeCells>
  <phoneticPr fontId="52" type="noConversion"/>
  <dataValidations count="1">
    <dataValidation type="list" allowBlank="1" showInputMessage="1" showErrorMessage="1" sqref="H16:H31">
      <formula1>$A$59:$A$64</formula1>
    </dataValidation>
  </dataValidations>
  <pageMargins left="0.51181102362204722" right="0.31496062992125984"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K62"/>
  <sheetViews>
    <sheetView view="pageBreakPreview" topLeftCell="A37" zoomScale="120" zoomScaleNormal="130" zoomScaleSheetLayoutView="120" workbookViewId="0">
      <selection activeCell="F4" sqref="F4"/>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247</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103</v>
      </c>
      <c r="C15" s="18"/>
      <c r="D15" s="18"/>
      <c r="E15" s="18"/>
      <c r="F15" s="19"/>
      <c r="G15" s="16"/>
      <c r="H15" s="16"/>
      <c r="I15" s="16"/>
      <c r="J15" s="16"/>
      <c r="K15" s="16"/>
    </row>
    <row r="16" spans="1:11" ht="20.100000000000001" customHeight="1">
      <c r="A16" s="17" t="s">
        <v>52</v>
      </c>
      <c r="B16" s="141"/>
      <c r="C16" s="142"/>
      <c r="D16" s="142"/>
      <c r="E16" s="142"/>
      <c r="F16" s="143"/>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44" t="s">
        <v>104</v>
      </c>
      <c r="B19" s="145"/>
      <c r="C19" s="145"/>
      <c r="D19" s="145"/>
      <c r="E19" s="145"/>
      <c r="F19" s="146"/>
      <c r="G19" s="28"/>
      <c r="H19" s="28"/>
      <c r="I19" s="28"/>
      <c r="J19" s="16"/>
      <c r="K19" s="16"/>
    </row>
    <row r="20" spans="1:11" ht="30" customHeight="1">
      <c r="A20" s="132" t="s">
        <v>105</v>
      </c>
      <c r="B20" s="133"/>
      <c r="C20" s="133"/>
      <c r="D20" s="133"/>
      <c r="E20" s="133"/>
      <c r="F20" s="134"/>
      <c r="G20" s="16"/>
      <c r="H20" s="16"/>
      <c r="I20" s="16"/>
      <c r="J20" s="16"/>
      <c r="K20" s="16"/>
    </row>
    <row r="21" spans="1:11" ht="20.100000000000001" customHeight="1">
      <c r="A21" s="144" t="s">
        <v>106</v>
      </c>
      <c r="B21" s="145"/>
      <c r="C21" s="145"/>
      <c r="D21" s="145"/>
      <c r="E21" s="145"/>
      <c r="F21" s="146"/>
      <c r="G21" s="16"/>
      <c r="H21" s="16"/>
      <c r="I21" s="16"/>
      <c r="J21" s="16"/>
      <c r="K21" s="16"/>
    </row>
    <row r="22" spans="1:11" ht="20.100000000000001" customHeight="1">
      <c r="A22" s="144" t="s">
        <v>107</v>
      </c>
      <c r="B22" s="145"/>
      <c r="C22" s="145"/>
      <c r="D22" s="145"/>
      <c r="E22" s="145"/>
      <c r="F22" s="146"/>
      <c r="G22" s="16"/>
      <c r="H22" s="16"/>
      <c r="I22" s="16"/>
      <c r="J22" s="16"/>
      <c r="K22" s="16"/>
    </row>
    <row r="23" spans="1:11" ht="20.100000000000001" customHeight="1">
      <c r="A23" s="144" t="s">
        <v>108</v>
      </c>
      <c r="B23" s="145"/>
      <c r="C23" s="145"/>
      <c r="D23" s="145"/>
      <c r="E23" s="145"/>
      <c r="F23" s="146"/>
      <c r="G23" s="52"/>
      <c r="H23" s="52"/>
      <c r="I23" s="52"/>
      <c r="J23" s="52"/>
      <c r="K23" s="52"/>
    </row>
    <row r="24" spans="1:11" ht="20.100000000000001" customHeight="1">
      <c r="A24" s="144" t="s">
        <v>109</v>
      </c>
      <c r="B24" s="145"/>
      <c r="C24" s="145"/>
      <c r="D24" s="145"/>
      <c r="E24" s="145"/>
      <c r="F24" s="146"/>
      <c r="G24" s="52"/>
      <c r="H24" s="52"/>
      <c r="I24" s="52"/>
      <c r="J24" s="52"/>
      <c r="K24" s="52"/>
    </row>
    <row r="25" spans="1:11" ht="20.100000000000001" customHeight="1">
      <c r="A25" s="144" t="s">
        <v>110</v>
      </c>
      <c r="B25" s="145"/>
      <c r="C25" s="145"/>
      <c r="D25" s="145"/>
      <c r="E25" s="145"/>
      <c r="F25" s="146"/>
      <c r="G25" s="52"/>
      <c r="H25" s="52"/>
      <c r="I25" s="52"/>
      <c r="J25" s="52"/>
      <c r="K25" s="52"/>
    </row>
    <row r="26" spans="1:11" ht="20.100000000000001" customHeight="1">
      <c r="A26" s="144" t="s">
        <v>111</v>
      </c>
      <c r="B26" s="145"/>
      <c r="C26" s="145"/>
      <c r="D26" s="145"/>
      <c r="E26" s="145"/>
      <c r="F26" s="146"/>
      <c r="G26" s="52"/>
      <c r="H26" s="52"/>
      <c r="I26" s="52"/>
      <c r="J26" s="52"/>
      <c r="K26" s="52"/>
    </row>
    <row r="27" spans="1:11" ht="20.100000000000001" customHeight="1">
      <c r="A27" s="68" t="s">
        <v>49</v>
      </c>
      <c r="B27" s="67"/>
      <c r="C27" s="50"/>
      <c r="D27" s="50"/>
      <c r="E27" s="50"/>
      <c r="F27" s="51"/>
      <c r="G27" s="29"/>
      <c r="H27" s="29"/>
      <c r="I27" s="29"/>
      <c r="J27" s="29"/>
      <c r="K27" s="16"/>
    </row>
    <row r="28" spans="1:11">
      <c r="A28" s="31"/>
      <c r="B28" s="31"/>
      <c r="C28" s="31"/>
      <c r="D28" s="31"/>
      <c r="E28" s="31"/>
      <c r="F28" s="31"/>
      <c r="K28" s="24"/>
    </row>
    <row r="29" spans="1:11" ht="20.100000000000001" customHeight="1">
      <c r="A29" s="31"/>
      <c r="B29" s="31"/>
      <c r="C29" s="31"/>
      <c r="D29" s="31"/>
      <c r="E29" s="31"/>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18.75" customHeight="1">
      <c r="A40" s="66" t="s">
        <v>48</v>
      </c>
      <c r="B40" s="138"/>
      <c r="C40" s="139"/>
      <c r="D40" s="139"/>
      <c r="E40" s="139"/>
      <c r="F40" s="140"/>
      <c r="G40" s="24"/>
      <c r="H40" s="24"/>
      <c r="I40" s="24"/>
      <c r="J40" s="24"/>
      <c r="K40" s="24"/>
    </row>
    <row r="41" spans="1:11" ht="20.100000000000001" customHeight="1">
      <c r="A41" s="65" t="s">
        <v>47</v>
      </c>
      <c r="B41" s="36"/>
      <c r="C41" s="15"/>
      <c r="D41" s="15"/>
      <c r="E41" s="15"/>
      <c r="F41" s="23"/>
      <c r="G41" s="24"/>
      <c r="H41" s="24"/>
      <c r="I41" s="24"/>
      <c r="J41" s="24"/>
      <c r="K41" s="24"/>
    </row>
    <row r="42" spans="1:11" ht="20.100000000000001" customHeight="1">
      <c r="A42" s="24"/>
      <c r="B42" s="24"/>
      <c r="C42" s="24"/>
      <c r="D42" s="24"/>
      <c r="E42" s="30"/>
      <c r="F42" s="24"/>
      <c r="G42" s="24"/>
      <c r="H42" s="24"/>
      <c r="I42" s="24"/>
      <c r="J42" s="24"/>
      <c r="K42" s="24"/>
    </row>
    <row r="43" spans="1:11" ht="20.100000000000001" customHeight="1">
      <c r="A43" s="37"/>
      <c r="B43" s="16"/>
      <c r="C43" s="24"/>
      <c r="D43" s="24"/>
      <c r="E43" s="30"/>
      <c r="F43" s="24"/>
      <c r="G43" s="24"/>
      <c r="H43" s="24"/>
      <c r="I43" s="24"/>
      <c r="J43" s="24"/>
      <c r="K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c r="A52" s="24"/>
    </row>
    <row r="53" spans="1:11">
      <c r="A53" s="24"/>
    </row>
    <row r="54" spans="1:11">
      <c r="A54" s="24"/>
    </row>
    <row r="55" spans="1:11">
      <c r="A55" s="24"/>
      <c r="B55" s="38"/>
      <c r="C55" s="39"/>
      <c r="D55" s="40"/>
      <c r="E55" s="41"/>
      <c r="F55" s="41"/>
      <c r="G55" s="42"/>
      <c r="H55" s="43"/>
      <c r="I55" s="44"/>
      <c r="J55" s="44"/>
      <c r="K55" s="44"/>
    </row>
    <row r="56" spans="1:11" ht="15" customHeight="1">
      <c r="A56" s="24"/>
      <c r="B56" s="24"/>
      <c r="C56" s="38"/>
      <c r="D56" s="24"/>
      <c r="E56" s="24"/>
      <c r="F56" s="24"/>
      <c r="G56" s="24"/>
      <c r="H56" s="24"/>
      <c r="I56" s="24"/>
      <c r="J56" s="24"/>
      <c r="K56" s="24"/>
    </row>
    <row r="57" spans="1:11">
      <c r="A57" s="16"/>
      <c r="B57" s="16"/>
      <c r="C57" s="16"/>
      <c r="D57" s="16"/>
      <c r="E57" s="16"/>
      <c r="F57" s="16"/>
      <c r="G57" s="16"/>
      <c r="H57" s="16"/>
      <c r="I57" s="16"/>
      <c r="J57" s="16"/>
      <c r="K57" s="16"/>
    </row>
    <row r="58" spans="1:11">
      <c r="C58" s="16"/>
      <c r="D58" s="16"/>
      <c r="E58" s="16"/>
      <c r="F58" s="16"/>
      <c r="G58" s="16"/>
      <c r="H58" s="16"/>
      <c r="I58" s="16"/>
      <c r="J58" s="16"/>
      <c r="K58" s="16"/>
    </row>
    <row r="61" spans="1:11">
      <c r="C61" s="16"/>
      <c r="D61" s="16"/>
    </row>
    <row r="62" spans="1:11">
      <c r="A62" s="16"/>
      <c r="B62" s="16"/>
      <c r="C62" s="16"/>
      <c r="D62" s="16"/>
    </row>
  </sheetData>
  <mergeCells count="13">
    <mergeCell ref="A21:F21"/>
    <mergeCell ref="A22:F22"/>
    <mergeCell ref="A23:F23"/>
    <mergeCell ref="B40:F40"/>
    <mergeCell ref="A24:F24"/>
    <mergeCell ref="A25:F25"/>
    <mergeCell ref="A26:F26"/>
    <mergeCell ref="A20:F20"/>
    <mergeCell ref="A1:F1"/>
    <mergeCell ref="A2:F2"/>
    <mergeCell ref="B7:F7"/>
    <mergeCell ref="B16:F16"/>
    <mergeCell ref="A19:F19"/>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dimension ref="A1:K59"/>
  <sheetViews>
    <sheetView topLeftCell="A43" zoomScale="130" zoomScaleNormal="130" workbookViewId="0">
      <selection activeCell="G3" sqref="G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247</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67</v>
      </c>
      <c r="C15" s="18"/>
      <c r="D15" s="18"/>
      <c r="E15" s="18"/>
      <c r="F15" s="19"/>
      <c r="G15" s="16"/>
      <c r="H15" s="16"/>
      <c r="I15" s="16"/>
      <c r="J15" s="16"/>
      <c r="K15" s="16"/>
    </row>
    <row r="16" spans="1:11" ht="20.100000000000001" customHeight="1">
      <c r="A16" s="17" t="s">
        <v>52</v>
      </c>
      <c r="B16" s="141"/>
      <c r="C16" s="142"/>
      <c r="D16" s="142"/>
      <c r="E16" s="142"/>
      <c r="F16" s="143"/>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44" t="s">
        <v>70</v>
      </c>
      <c r="B19" s="145"/>
      <c r="C19" s="145"/>
      <c r="D19" s="145"/>
      <c r="E19" s="145"/>
      <c r="F19" s="146"/>
      <c r="G19" s="28"/>
      <c r="H19" s="28"/>
      <c r="I19" s="28"/>
      <c r="J19" s="16"/>
      <c r="K19" s="16"/>
    </row>
    <row r="20" spans="1:11" ht="57" customHeight="1">
      <c r="A20" s="132" t="s">
        <v>71</v>
      </c>
      <c r="B20" s="133"/>
      <c r="C20" s="133"/>
      <c r="D20" s="133"/>
      <c r="E20" s="133"/>
      <c r="F20" s="134"/>
      <c r="G20" s="16"/>
      <c r="H20" s="16"/>
      <c r="I20" s="16"/>
      <c r="J20" s="16"/>
      <c r="K20" s="16"/>
    </row>
    <row r="21" spans="1:11" ht="20.100000000000001" customHeight="1">
      <c r="A21" s="144" t="s">
        <v>72</v>
      </c>
      <c r="B21" s="145"/>
      <c r="C21" s="145"/>
      <c r="D21" s="145"/>
      <c r="E21" s="145"/>
      <c r="F21" s="146"/>
      <c r="G21" s="16"/>
      <c r="H21" s="16"/>
      <c r="I21" s="16"/>
      <c r="J21" s="16"/>
      <c r="K21" s="16"/>
    </row>
    <row r="22" spans="1:11" ht="20.100000000000001" customHeight="1">
      <c r="A22" s="144" t="s">
        <v>73</v>
      </c>
      <c r="B22" s="145"/>
      <c r="C22" s="145"/>
      <c r="D22" s="145"/>
      <c r="E22" s="145"/>
      <c r="F22" s="146"/>
      <c r="G22" s="16"/>
      <c r="H22" s="16"/>
      <c r="I22" s="16"/>
      <c r="J22" s="16"/>
      <c r="K22" s="16"/>
    </row>
    <row r="23" spans="1:11" ht="20.100000000000001" customHeight="1">
      <c r="A23" s="144" t="s">
        <v>74</v>
      </c>
      <c r="B23" s="145"/>
      <c r="C23" s="145"/>
      <c r="D23" s="145"/>
      <c r="E23" s="145"/>
      <c r="F23" s="146"/>
      <c r="G23" s="52"/>
      <c r="H23" s="52"/>
      <c r="I23" s="52"/>
      <c r="J23" s="52"/>
      <c r="K23" s="52"/>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8"/>
      <c r="C37" s="139"/>
      <c r="D37" s="139"/>
      <c r="E37" s="139"/>
      <c r="F37" s="140"/>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B37:F37"/>
    <mergeCell ref="A1:F1"/>
    <mergeCell ref="A2:F2"/>
    <mergeCell ref="B7:F7"/>
    <mergeCell ref="B16:F16"/>
    <mergeCell ref="A19:F19"/>
    <mergeCell ref="A20:F20"/>
    <mergeCell ref="A21:F21"/>
    <mergeCell ref="A22:F22"/>
    <mergeCell ref="A23:F23"/>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Narrow,常规"&amp;P/&amp;N</oddHeader>
  </headerFooter>
</worksheet>
</file>

<file path=xl/worksheets/sheet5.xml><?xml version="1.0" encoding="utf-8"?>
<worksheet xmlns="http://schemas.openxmlformats.org/spreadsheetml/2006/main" xmlns:r="http://schemas.openxmlformats.org/officeDocument/2006/relationships">
  <dimension ref="A1:K58"/>
  <sheetViews>
    <sheetView topLeftCell="A46"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247</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69</v>
      </c>
      <c r="C15" s="18"/>
      <c r="D15" s="18"/>
      <c r="E15" s="18"/>
      <c r="F15" s="19"/>
      <c r="G15" s="16"/>
      <c r="H15" s="16"/>
      <c r="I15" s="16"/>
      <c r="J15" s="16"/>
      <c r="K15" s="16"/>
    </row>
    <row r="16" spans="1:11" ht="20.100000000000001" customHeight="1">
      <c r="A16" s="17" t="s">
        <v>52</v>
      </c>
      <c r="B16" s="141"/>
      <c r="C16" s="142"/>
      <c r="D16" s="142"/>
      <c r="E16" s="142"/>
      <c r="F16" s="143"/>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2" t="s">
        <v>75</v>
      </c>
      <c r="B19" s="133"/>
      <c r="C19" s="133"/>
      <c r="D19" s="133"/>
      <c r="E19" s="133"/>
      <c r="F19" s="134"/>
      <c r="G19" s="28"/>
      <c r="H19" s="28"/>
      <c r="I19" s="28"/>
      <c r="J19" s="16"/>
      <c r="K19" s="16"/>
    </row>
    <row r="20" spans="1:11" ht="25.5" customHeight="1">
      <c r="A20" s="132" t="s">
        <v>76</v>
      </c>
      <c r="B20" s="133"/>
      <c r="C20" s="133"/>
      <c r="D20" s="133"/>
      <c r="E20" s="133"/>
      <c r="F20" s="134"/>
      <c r="G20" s="16"/>
      <c r="H20" s="16"/>
      <c r="I20" s="16"/>
      <c r="J20" s="16"/>
      <c r="K20" s="16"/>
    </row>
    <row r="21" spans="1:11" ht="36.75" customHeight="1">
      <c r="A21" s="132" t="s">
        <v>77</v>
      </c>
      <c r="B21" s="133"/>
      <c r="C21" s="133"/>
      <c r="D21" s="133"/>
      <c r="E21" s="133"/>
      <c r="F21" s="134"/>
      <c r="G21" s="16"/>
      <c r="H21" s="16"/>
      <c r="I21" s="16"/>
      <c r="J21" s="16"/>
      <c r="K21" s="16"/>
    </row>
    <row r="22" spans="1:11" ht="20.100000000000001" customHeight="1">
      <c r="A22" s="144" t="s">
        <v>78</v>
      </c>
      <c r="B22" s="145"/>
      <c r="C22" s="145"/>
      <c r="D22" s="145"/>
      <c r="E22" s="145"/>
      <c r="F22" s="146"/>
      <c r="G22" s="16"/>
      <c r="H22" s="16"/>
      <c r="I22" s="16"/>
      <c r="J22" s="16"/>
      <c r="K22" s="16"/>
    </row>
    <row r="23" spans="1:11" ht="20.100000000000001" customHeight="1">
      <c r="A23" s="68" t="s">
        <v>49</v>
      </c>
      <c r="B23" s="67"/>
      <c r="C23" s="50"/>
      <c r="D23" s="50"/>
      <c r="E23" s="50"/>
      <c r="F23" s="51"/>
      <c r="G23" s="29"/>
      <c r="H23" s="29"/>
      <c r="I23" s="29"/>
      <c r="J23" s="29"/>
      <c r="K23" s="16"/>
    </row>
    <row r="24" spans="1:11">
      <c r="A24" s="31"/>
      <c r="B24" s="31"/>
      <c r="C24" s="31"/>
      <c r="D24" s="31"/>
      <c r="E24" s="31"/>
      <c r="F24" s="31"/>
      <c r="K24" s="24"/>
    </row>
    <row r="25" spans="1:11" ht="20.100000000000001" customHeight="1">
      <c r="A25" s="31"/>
      <c r="B25" s="31"/>
      <c r="C25" s="31"/>
      <c r="D25" s="31"/>
      <c r="E25" s="31"/>
      <c r="F25" s="33"/>
      <c r="G25" s="24"/>
      <c r="H25" s="24"/>
      <c r="I25" s="24"/>
      <c r="J25" s="24"/>
      <c r="K25" s="24"/>
    </row>
    <row r="26" spans="1:11" ht="20.100000000000001" customHeight="1">
      <c r="A26" s="32"/>
      <c r="B26" s="34"/>
      <c r="C26" s="35"/>
      <c r="D26" s="35"/>
      <c r="E26" s="35"/>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18.75" customHeight="1">
      <c r="A36" s="66" t="s">
        <v>48</v>
      </c>
      <c r="B36" s="138"/>
      <c r="C36" s="139"/>
      <c r="D36" s="139"/>
      <c r="E36" s="139"/>
      <c r="F36" s="140"/>
      <c r="G36" s="24"/>
      <c r="H36" s="24"/>
      <c r="I36" s="24"/>
      <c r="J36" s="24"/>
      <c r="K36" s="24"/>
    </row>
    <row r="37" spans="1:11" ht="20.100000000000001" customHeight="1">
      <c r="A37" s="65" t="s">
        <v>47</v>
      </c>
      <c r="B37" s="36"/>
      <c r="C37" s="15"/>
      <c r="D37" s="15"/>
      <c r="E37" s="15"/>
      <c r="F37" s="23"/>
      <c r="G37" s="24"/>
      <c r="H37" s="24"/>
      <c r="I37" s="24"/>
      <c r="J37" s="24"/>
      <c r="K37" s="24"/>
    </row>
    <row r="38" spans="1:11" ht="20.100000000000001" customHeight="1">
      <c r="A38" s="24"/>
      <c r="B38" s="24"/>
      <c r="C38" s="24"/>
      <c r="D38" s="24"/>
      <c r="E38" s="30"/>
      <c r="F38" s="24"/>
      <c r="G38" s="24"/>
      <c r="H38" s="24"/>
      <c r="I38" s="24"/>
      <c r="J38" s="24"/>
      <c r="K38" s="24"/>
    </row>
    <row r="39" spans="1:11" ht="20.100000000000001" customHeight="1">
      <c r="A39" s="37"/>
      <c r="B39" s="16"/>
      <c r="C39" s="24"/>
      <c r="D39" s="24"/>
      <c r="E39" s="30"/>
      <c r="F39" s="24"/>
      <c r="G39" s="24"/>
      <c r="H39" s="24"/>
      <c r="I39" s="24"/>
      <c r="J39" s="24"/>
      <c r="K39" s="24"/>
    </row>
    <row r="40" spans="1:11" ht="20.100000000000001" customHeight="1">
      <c r="A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c r="A48" s="24"/>
    </row>
    <row r="49" spans="1:11">
      <c r="A49" s="24"/>
    </row>
    <row r="50" spans="1:11">
      <c r="A50" s="24"/>
    </row>
    <row r="51" spans="1:11">
      <c r="A51" s="24"/>
      <c r="B51" s="38"/>
      <c r="C51" s="39"/>
      <c r="D51" s="40"/>
      <c r="E51" s="41"/>
      <c r="F51" s="41"/>
      <c r="G51" s="42"/>
      <c r="H51" s="43"/>
      <c r="I51" s="44"/>
      <c r="J51" s="44"/>
      <c r="K51" s="44"/>
    </row>
    <row r="52" spans="1:11" ht="15" customHeight="1">
      <c r="A52" s="24"/>
      <c r="B52" s="24"/>
      <c r="C52" s="38"/>
      <c r="D52" s="24"/>
      <c r="E52" s="24"/>
      <c r="F52" s="24"/>
      <c r="G52" s="24"/>
      <c r="H52" s="24"/>
      <c r="I52" s="24"/>
      <c r="J52" s="24"/>
      <c r="K52" s="24"/>
    </row>
    <row r="53" spans="1:11">
      <c r="A53" s="16"/>
      <c r="B53" s="16"/>
      <c r="C53" s="16"/>
      <c r="D53" s="16"/>
      <c r="E53" s="16"/>
      <c r="F53" s="16"/>
      <c r="G53" s="16"/>
      <c r="H53" s="16"/>
      <c r="I53" s="16"/>
      <c r="J53" s="16"/>
      <c r="K53" s="16"/>
    </row>
    <row r="54" spans="1:11">
      <c r="C54" s="16"/>
      <c r="D54" s="16"/>
      <c r="E54" s="16"/>
      <c r="F54" s="16"/>
      <c r="G54" s="16"/>
      <c r="H54" s="16"/>
      <c r="I54" s="16"/>
      <c r="J54" s="16"/>
      <c r="K54" s="16"/>
    </row>
    <row r="57" spans="1:11">
      <c r="C57" s="16"/>
      <c r="D57" s="16"/>
    </row>
    <row r="58" spans="1:11">
      <c r="A58" s="16"/>
      <c r="B58" s="16"/>
      <c r="C58" s="16"/>
      <c r="D58" s="16"/>
    </row>
  </sheetData>
  <mergeCells count="9">
    <mergeCell ref="A21:F21"/>
    <mergeCell ref="A22:F22"/>
    <mergeCell ref="B36:F36"/>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dimension ref="A1:K63"/>
  <sheetViews>
    <sheetView topLeftCell="A40"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247</v>
      </c>
    </row>
    <row r="4" spans="1:11" ht="24" customHeight="1">
      <c r="A4" s="1" t="str">
        <f>'表头（请先填写）'!A3</f>
        <v>会计期间：2013年度</v>
      </c>
      <c r="C4" s="3" t="s">
        <v>66</v>
      </c>
      <c r="D4" s="1" t="s">
        <v>65</v>
      </c>
      <c r="F4" s="3" t="s">
        <v>64</v>
      </c>
    </row>
    <row r="5" spans="1:11" ht="20.100000000000001" customHeight="1">
      <c r="A5" s="12" t="s">
        <v>80</v>
      </c>
      <c r="B5" s="15"/>
      <c r="C5" s="70"/>
      <c r="D5" s="15"/>
      <c r="E5" s="18"/>
      <c r="F5" s="53"/>
      <c r="G5" s="54"/>
      <c r="H5" s="55"/>
      <c r="I5" s="16"/>
      <c r="J5" s="16"/>
      <c r="K5" s="16"/>
    </row>
    <row r="6" spans="1:11" ht="20.100000000000001" customHeight="1">
      <c r="A6" s="17" t="s">
        <v>81</v>
      </c>
      <c r="B6" s="18"/>
      <c r="C6" s="18"/>
      <c r="D6" s="18"/>
      <c r="E6" s="18"/>
      <c r="F6" s="19"/>
      <c r="G6" s="16"/>
      <c r="H6" s="16"/>
      <c r="I6" s="16"/>
      <c r="J6" s="16"/>
      <c r="K6" s="16"/>
    </row>
    <row r="7" spans="1:11" ht="20.100000000000001" customHeight="1">
      <c r="A7" s="20" t="s">
        <v>82</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83</v>
      </c>
      <c r="B9" s="22"/>
      <c r="C9" s="18"/>
      <c r="D9" s="18"/>
      <c r="E9" s="18"/>
      <c r="F9" s="19"/>
      <c r="G9" s="16"/>
      <c r="H9" s="16"/>
      <c r="I9" s="16"/>
      <c r="J9" s="16"/>
      <c r="K9" s="16"/>
    </row>
    <row r="10" spans="1:11" ht="20.100000000000001" customHeight="1">
      <c r="A10" s="17" t="s">
        <v>84</v>
      </c>
      <c r="B10" s="25"/>
      <c r="C10" s="18"/>
      <c r="D10" s="18"/>
      <c r="E10" s="18"/>
      <c r="F10" s="19"/>
      <c r="G10" s="16"/>
      <c r="H10" s="16"/>
      <c r="I10" s="16"/>
      <c r="J10" s="16"/>
      <c r="K10" s="16"/>
    </row>
    <row r="11" spans="1:11" ht="20.100000000000001" customHeight="1">
      <c r="A11" s="17" t="s">
        <v>85</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86</v>
      </c>
      <c r="B14" s="14"/>
      <c r="C14" s="15"/>
      <c r="D14" s="15"/>
      <c r="E14" s="15"/>
      <c r="F14" s="23"/>
      <c r="G14" s="24"/>
      <c r="H14" s="24"/>
      <c r="I14" s="24"/>
      <c r="J14" s="16"/>
      <c r="K14" s="16"/>
    </row>
    <row r="15" spans="1:11" ht="20.100000000000001" customHeight="1">
      <c r="A15" s="17" t="s">
        <v>87</v>
      </c>
      <c r="B15" s="73" t="s">
        <v>79</v>
      </c>
      <c r="C15" s="18"/>
      <c r="D15" s="18"/>
      <c r="E15" s="18"/>
      <c r="F15" s="19"/>
      <c r="G15" s="16"/>
      <c r="H15" s="16"/>
      <c r="I15" s="16"/>
      <c r="J15" s="16"/>
      <c r="K15" s="16"/>
    </row>
    <row r="16" spans="1:11" ht="20.100000000000001" customHeight="1">
      <c r="A16" s="17" t="s">
        <v>88</v>
      </c>
      <c r="B16" s="141"/>
      <c r="C16" s="142"/>
      <c r="D16" s="142"/>
      <c r="E16" s="142"/>
      <c r="F16" s="143"/>
      <c r="G16" s="16"/>
      <c r="H16" s="16"/>
      <c r="I16" s="16"/>
      <c r="J16" s="16"/>
      <c r="K16" s="16"/>
    </row>
    <row r="17" spans="1:11" ht="20.100000000000001" customHeight="1">
      <c r="A17" s="17" t="s">
        <v>89</v>
      </c>
      <c r="B17" s="27"/>
      <c r="C17" s="18"/>
      <c r="D17" s="18"/>
      <c r="E17" s="18"/>
      <c r="F17" s="19"/>
      <c r="G17" s="16"/>
      <c r="H17" s="16"/>
      <c r="I17" s="16"/>
      <c r="J17" s="16"/>
      <c r="K17" s="16"/>
    </row>
    <row r="18" spans="1:11" ht="20.100000000000001" customHeight="1">
      <c r="A18" s="12" t="s">
        <v>90</v>
      </c>
      <c r="B18" s="69"/>
      <c r="C18" s="50"/>
      <c r="D18" s="50"/>
      <c r="E18" s="50"/>
      <c r="F18" s="51"/>
      <c r="G18" s="28"/>
      <c r="H18" s="28"/>
      <c r="I18" s="28"/>
      <c r="J18" s="16"/>
      <c r="K18" s="16"/>
    </row>
    <row r="19" spans="1:11" ht="37.5" customHeight="1">
      <c r="A19" s="132" t="s">
        <v>94</v>
      </c>
      <c r="B19" s="133"/>
      <c r="C19" s="133"/>
      <c r="D19" s="133"/>
      <c r="E19" s="133"/>
      <c r="F19" s="134"/>
      <c r="G19" s="28"/>
      <c r="H19" s="28"/>
      <c r="I19" s="28"/>
      <c r="J19" s="16"/>
      <c r="K19" s="16"/>
    </row>
    <row r="20" spans="1:11" ht="21.75" customHeight="1">
      <c r="A20" s="132" t="s">
        <v>95</v>
      </c>
      <c r="B20" s="133"/>
      <c r="C20" s="133"/>
      <c r="D20" s="133"/>
      <c r="E20" s="133"/>
      <c r="F20" s="134"/>
      <c r="G20" s="16"/>
      <c r="H20" s="16"/>
      <c r="I20" s="16"/>
      <c r="J20" s="16"/>
      <c r="K20" s="16"/>
    </row>
    <row r="21" spans="1:11" ht="20.100000000000001" customHeight="1">
      <c r="A21" s="144" t="s">
        <v>96</v>
      </c>
      <c r="B21" s="145"/>
      <c r="C21" s="145"/>
      <c r="D21" s="145"/>
      <c r="E21" s="145"/>
      <c r="F21" s="146"/>
      <c r="G21" s="16"/>
      <c r="H21" s="16"/>
      <c r="I21" s="16"/>
      <c r="J21" s="16"/>
      <c r="K21" s="16"/>
    </row>
    <row r="22" spans="1:11" ht="20.100000000000001" customHeight="1">
      <c r="A22" s="144" t="s">
        <v>97</v>
      </c>
      <c r="B22" s="145"/>
      <c r="C22" s="145"/>
      <c r="D22" s="145"/>
      <c r="E22" s="145"/>
      <c r="F22" s="146"/>
      <c r="G22" s="16"/>
      <c r="H22" s="16"/>
      <c r="I22" s="16"/>
      <c r="J22" s="16"/>
      <c r="K22" s="16"/>
    </row>
    <row r="23" spans="1:11" ht="34.5" customHeight="1">
      <c r="A23" s="132" t="s">
        <v>98</v>
      </c>
      <c r="B23" s="145"/>
      <c r="C23" s="145"/>
      <c r="D23" s="145"/>
      <c r="E23" s="145"/>
      <c r="F23" s="146"/>
      <c r="G23" s="16"/>
      <c r="H23" s="16"/>
      <c r="I23" s="16"/>
      <c r="J23" s="16"/>
      <c r="K23" s="16"/>
    </row>
    <row r="24" spans="1:11" ht="33" customHeight="1">
      <c r="A24" s="132" t="s">
        <v>99</v>
      </c>
      <c r="B24" s="145"/>
      <c r="C24" s="145"/>
      <c r="D24" s="145"/>
      <c r="E24" s="145"/>
      <c r="F24" s="146"/>
      <c r="G24" s="16"/>
      <c r="H24" s="16"/>
      <c r="I24" s="16"/>
      <c r="J24" s="16"/>
      <c r="K24" s="16"/>
    </row>
    <row r="25" spans="1:11" ht="33" customHeight="1">
      <c r="A25" s="132" t="s">
        <v>100</v>
      </c>
      <c r="B25" s="145"/>
      <c r="C25" s="145"/>
      <c r="D25" s="145"/>
      <c r="E25" s="145"/>
      <c r="F25" s="146"/>
      <c r="G25" s="16"/>
      <c r="H25" s="16"/>
      <c r="I25" s="16"/>
      <c r="J25" s="16"/>
      <c r="K25" s="16"/>
    </row>
    <row r="26" spans="1:11" ht="33" customHeight="1">
      <c r="A26" s="132" t="s">
        <v>101</v>
      </c>
      <c r="B26" s="145"/>
      <c r="C26" s="145"/>
      <c r="D26" s="145"/>
      <c r="E26" s="145"/>
      <c r="F26" s="146"/>
      <c r="G26" s="16"/>
      <c r="H26" s="16"/>
      <c r="I26" s="16"/>
      <c r="J26" s="16"/>
      <c r="K26" s="16"/>
    </row>
    <row r="27" spans="1:11" ht="20.100000000000001" customHeight="1">
      <c r="A27" s="144" t="s">
        <v>102</v>
      </c>
      <c r="B27" s="145"/>
      <c r="C27" s="145"/>
      <c r="D27" s="145"/>
      <c r="E27" s="145"/>
      <c r="F27" s="146"/>
      <c r="G27" s="52"/>
      <c r="H27" s="52"/>
      <c r="I27" s="52"/>
      <c r="J27" s="52"/>
      <c r="K27" s="52"/>
    </row>
    <row r="28" spans="1:11" ht="20.100000000000001" customHeight="1">
      <c r="A28" s="68" t="s">
        <v>91</v>
      </c>
      <c r="B28" s="67"/>
      <c r="C28" s="50"/>
      <c r="D28" s="50"/>
      <c r="E28" s="50"/>
      <c r="F28" s="51"/>
      <c r="G28" s="29"/>
      <c r="H28" s="29"/>
      <c r="I28" s="29"/>
      <c r="J28" s="29"/>
      <c r="K28" s="16"/>
    </row>
    <row r="29" spans="1:11">
      <c r="A29" s="31"/>
      <c r="B29" s="31"/>
      <c r="C29" s="31"/>
      <c r="D29" s="31"/>
      <c r="E29" s="31"/>
      <c r="F29" s="31"/>
      <c r="K29" s="24"/>
    </row>
    <row r="30" spans="1:11" ht="20.100000000000001" customHeight="1">
      <c r="A30" s="31"/>
      <c r="B30" s="31"/>
      <c r="C30" s="31"/>
      <c r="D30" s="31"/>
      <c r="E30" s="31"/>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20.100000000000001" customHeight="1">
      <c r="A40" s="32"/>
      <c r="B40" s="34"/>
      <c r="C40" s="35"/>
      <c r="D40" s="35"/>
      <c r="E40" s="35"/>
      <c r="F40" s="33"/>
      <c r="G40" s="24"/>
      <c r="H40" s="24"/>
      <c r="I40" s="24"/>
      <c r="J40" s="24"/>
      <c r="K40" s="24"/>
    </row>
    <row r="41" spans="1:11" ht="18.75" customHeight="1">
      <c r="A41" s="66" t="s">
        <v>92</v>
      </c>
      <c r="B41" s="138"/>
      <c r="C41" s="139"/>
      <c r="D41" s="139"/>
      <c r="E41" s="139"/>
      <c r="F41" s="140"/>
      <c r="G41" s="24"/>
      <c r="H41" s="24"/>
      <c r="I41" s="24"/>
      <c r="J41" s="24"/>
      <c r="K41" s="24"/>
    </row>
    <row r="42" spans="1:11" ht="20.100000000000001" customHeight="1">
      <c r="A42" s="65" t="s">
        <v>93</v>
      </c>
      <c r="B42" s="36"/>
      <c r="C42" s="15"/>
      <c r="D42" s="15"/>
      <c r="E42" s="15"/>
      <c r="F42" s="23"/>
      <c r="G42" s="24"/>
      <c r="H42" s="24"/>
      <c r="I42" s="24"/>
      <c r="J42" s="24"/>
      <c r="K42" s="24"/>
    </row>
    <row r="43" spans="1:11" ht="20.100000000000001" customHeight="1">
      <c r="A43" s="24"/>
      <c r="B43" s="24"/>
      <c r="C43" s="24"/>
      <c r="D43" s="24"/>
      <c r="E43" s="30"/>
      <c r="F43" s="24"/>
      <c r="G43" s="24"/>
      <c r="H43" s="24"/>
      <c r="I43" s="24"/>
      <c r="J43" s="24"/>
      <c r="K43" s="24"/>
    </row>
    <row r="44" spans="1:11" ht="20.100000000000001" customHeight="1">
      <c r="A44" s="37"/>
      <c r="B44" s="16"/>
      <c r="C44" s="24"/>
      <c r="D44" s="24"/>
      <c r="E44" s="30"/>
      <c r="F44" s="24"/>
      <c r="G44" s="24"/>
      <c r="H44" s="24"/>
      <c r="I44" s="24"/>
      <c r="J44" s="24"/>
      <c r="K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ht="20.100000000000001" customHeight="1">
      <c r="A52" s="24"/>
    </row>
    <row r="53" spans="1:11">
      <c r="A53" s="24"/>
    </row>
    <row r="54" spans="1:11">
      <c r="A54" s="24"/>
    </row>
    <row r="55" spans="1:11">
      <c r="A55" s="24"/>
    </row>
    <row r="56" spans="1:11">
      <c r="A56" s="24"/>
      <c r="B56" s="38"/>
      <c r="C56" s="39"/>
      <c r="D56" s="40"/>
      <c r="E56" s="41"/>
      <c r="F56" s="41"/>
      <c r="G56" s="42"/>
      <c r="H56" s="43"/>
      <c r="I56" s="44"/>
      <c r="J56" s="44"/>
      <c r="K56" s="44"/>
    </row>
    <row r="57" spans="1:11" ht="15" customHeight="1">
      <c r="A57" s="24"/>
      <c r="B57" s="24"/>
      <c r="C57" s="38"/>
      <c r="D57" s="24"/>
      <c r="E57" s="24"/>
      <c r="F57" s="24"/>
      <c r="G57" s="24"/>
      <c r="H57" s="24"/>
      <c r="I57" s="24"/>
      <c r="J57" s="24"/>
      <c r="K57" s="24"/>
    </row>
    <row r="58" spans="1:11">
      <c r="A58" s="16"/>
      <c r="B58" s="16"/>
      <c r="C58" s="16"/>
      <c r="D58" s="16"/>
      <c r="E58" s="16"/>
      <c r="F58" s="16"/>
      <c r="G58" s="16"/>
      <c r="H58" s="16"/>
      <c r="I58" s="16"/>
      <c r="J58" s="16"/>
      <c r="K58" s="16"/>
    </row>
    <row r="59" spans="1:11">
      <c r="C59" s="16"/>
      <c r="D59" s="16"/>
      <c r="E59" s="16"/>
      <c r="F59" s="16"/>
      <c r="G59" s="16"/>
      <c r="H59" s="16"/>
      <c r="I59" s="16"/>
      <c r="J59" s="16"/>
      <c r="K59" s="16"/>
    </row>
    <row r="62" spans="1:11">
      <c r="C62" s="16"/>
      <c r="D62" s="16"/>
    </row>
    <row r="63" spans="1:11">
      <c r="A63" s="16"/>
      <c r="B63" s="16"/>
      <c r="C63" s="16"/>
      <c r="D63" s="16"/>
    </row>
  </sheetData>
  <mergeCells count="14">
    <mergeCell ref="A21:F21"/>
    <mergeCell ref="A22:F22"/>
    <mergeCell ref="A27:F27"/>
    <mergeCell ref="B41:F41"/>
    <mergeCell ref="A23:F23"/>
    <mergeCell ref="A24:F24"/>
    <mergeCell ref="A25:F25"/>
    <mergeCell ref="A26:F26"/>
    <mergeCell ref="A20:F20"/>
    <mergeCell ref="A1:F1"/>
    <mergeCell ref="A2:F2"/>
    <mergeCell ref="B7:F7"/>
    <mergeCell ref="B16:F16"/>
    <mergeCell ref="A19:F19"/>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7.xml><?xml version="1.0" encoding="utf-8"?>
<worksheet xmlns="http://schemas.openxmlformats.org/spreadsheetml/2006/main" xmlns:r="http://schemas.openxmlformats.org/officeDocument/2006/relationships">
  <dimension ref="A1:K61"/>
  <sheetViews>
    <sheetView topLeftCell="A37"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247</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112</v>
      </c>
      <c r="C15" s="18"/>
      <c r="D15" s="18"/>
      <c r="E15" s="18"/>
      <c r="F15" s="19"/>
      <c r="G15" s="16"/>
      <c r="H15" s="16"/>
      <c r="I15" s="16"/>
      <c r="J15" s="16"/>
      <c r="K15" s="16"/>
    </row>
    <row r="16" spans="1:11" ht="20.100000000000001" customHeight="1">
      <c r="A16" s="17" t="s">
        <v>52</v>
      </c>
      <c r="B16" s="141"/>
      <c r="C16" s="142"/>
      <c r="D16" s="142"/>
      <c r="E16" s="142"/>
      <c r="F16" s="143"/>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3" customHeight="1">
      <c r="A19" s="132" t="s">
        <v>113</v>
      </c>
      <c r="B19" s="145"/>
      <c r="C19" s="145"/>
      <c r="D19" s="145"/>
      <c r="E19" s="145"/>
      <c r="F19" s="146"/>
      <c r="G19" s="28"/>
      <c r="H19" s="28"/>
      <c r="I19" s="28"/>
      <c r="J19" s="16"/>
      <c r="K19" s="16"/>
    </row>
    <row r="20" spans="1:11" ht="22.5" customHeight="1">
      <c r="A20" s="132" t="s">
        <v>114</v>
      </c>
      <c r="B20" s="133"/>
      <c r="C20" s="133"/>
      <c r="D20" s="133"/>
      <c r="E20" s="133"/>
      <c r="F20" s="134"/>
      <c r="G20" s="16"/>
      <c r="H20" s="16"/>
      <c r="I20" s="16"/>
      <c r="J20" s="16"/>
      <c r="K20" s="16"/>
    </row>
    <row r="21" spans="1:11" ht="20.100000000000001" customHeight="1">
      <c r="A21" s="144" t="s">
        <v>115</v>
      </c>
      <c r="B21" s="145"/>
      <c r="C21" s="145"/>
      <c r="D21" s="145"/>
      <c r="E21" s="145"/>
      <c r="F21" s="146"/>
      <c r="G21" s="16"/>
      <c r="H21" s="16"/>
      <c r="I21" s="16"/>
      <c r="J21" s="16"/>
      <c r="K21" s="16"/>
    </row>
    <row r="22" spans="1:11" ht="26.25" customHeight="1">
      <c r="A22" s="132" t="s">
        <v>116</v>
      </c>
      <c r="B22" s="133"/>
      <c r="C22" s="133"/>
      <c r="D22" s="133"/>
      <c r="E22" s="133"/>
      <c r="F22" s="134"/>
      <c r="G22" s="16"/>
      <c r="H22" s="16"/>
      <c r="I22" s="16"/>
      <c r="J22" s="16"/>
      <c r="K22" s="16"/>
    </row>
    <row r="23" spans="1:11" ht="26.25" customHeight="1">
      <c r="A23" s="132" t="s">
        <v>117</v>
      </c>
      <c r="B23" s="133"/>
      <c r="C23" s="133"/>
      <c r="D23" s="133"/>
      <c r="E23" s="133"/>
      <c r="F23" s="134"/>
      <c r="G23" s="16"/>
      <c r="H23" s="16"/>
      <c r="I23" s="16"/>
      <c r="J23" s="16"/>
      <c r="K23" s="16"/>
    </row>
    <row r="24" spans="1:11" ht="26.25" customHeight="1">
      <c r="A24" s="132" t="s">
        <v>118</v>
      </c>
      <c r="B24" s="133"/>
      <c r="C24" s="133"/>
      <c r="D24" s="133"/>
      <c r="E24" s="133"/>
      <c r="F24" s="134"/>
      <c r="G24" s="16"/>
      <c r="H24" s="16"/>
      <c r="I24" s="16"/>
      <c r="J24" s="16"/>
      <c r="K24" s="16"/>
    </row>
    <row r="25" spans="1:11" ht="20.100000000000001" customHeight="1">
      <c r="A25" s="144" t="s">
        <v>119</v>
      </c>
      <c r="B25" s="145"/>
      <c r="C25" s="145"/>
      <c r="D25" s="145"/>
      <c r="E25" s="145"/>
      <c r="F25" s="146"/>
      <c r="G25" s="52"/>
      <c r="H25" s="52"/>
      <c r="I25" s="52"/>
      <c r="J25" s="52"/>
      <c r="K25" s="52"/>
    </row>
    <row r="26" spans="1:11" ht="20.100000000000001" customHeight="1">
      <c r="A26" s="68" t="s">
        <v>49</v>
      </c>
      <c r="B26" s="67"/>
      <c r="C26" s="50"/>
      <c r="D26" s="50"/>
      <c r="E26" s="50"/>
      <c r="F26" s="51"/>
      <c r="G26" s="29"/>
      <c r="H26" s="29"/>
      <c r="I26" s="29"/>
      <c r="J26" s="29"/>
      <c r="K26" s="16"/>
    </row>
    <row r="27" spans="1:11">
      <c r="A27" s="31"/>
      <c r="B27" s="31"/>
      <c r="C27" s="31"/>
      <c r="D27" s="31"/>
      <c r="E27" s="31"/>
      <c r="F27" s="31"/>
      <c r="K27" s="24"/>
    </row>
    <row r="28" spans="1:11" ht="20.100000000000001" customHeight="1">
      <c r="A28" s="31"/>
      <c r="B28" s="31"/>
      <c r="C28" s="31"/>
      <c r="D28" s="31"/>
      <c r="E28" s="31"/>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18.75" customHeight="1">
      <c r="A39" s="66" t="s">
        <v>48</v>
      </c>
      <c r="B39" s="138"/>
      <c r="C39" s="139"/>
      <c r="D39" s="139"/>
      <c r="E39" s="139"/>
      <c r="F39" s="140"/>
      <c r="G39" s="24"/>
      <c r="H39" s="24"/>
      <c r="I39" s="24"/>
      <c r="J39" s="24"/>
      <c r="K39" s="24"/>
    </row>
    <row r="40" spans="1:11" ht="20.100000000000001" customHeight="1">
      <c r="A40" s="65" t="s">
        <v>47</v>
      </c>
      <c r="B40" s="36"/>
      <c r="C40" s="15"/>
      <c r="D40" s="15"/>
      <c r="E40" s="15"/>
      <c r="F40" s="23"/>
      <c r="G40" s="24"/>
      <c r="H40" s="24"/>
      <c r="I40" s="24"/>
      <c r="J40" s="24"/>
      <c r="K40" s="24"/>
    </row>
    <row r="41" spans="1:11" ht="20.100000000000001" customHeight="1">
      <c r="A41" s="24"/>
      <c r="B41" s="24"/>
      <c r="C41" s="24"/>
      <c r="D41" s="24"/>
      <c r="E41" s="30"/>
      <c r="F41" s="24"/>
      <c r="G41" s="24"/>
      <c r="H41" s="24"/>
      <c r="I41" s="24"/>
      <c r="J41" s="24"/>
      <c r="K41" s="24"/>
    </row>
    <row r="42" spans="1:11" ht="20.100000000000001" customHeight="1">
      <c r="A42" s="37"/>
      <c r="B42" s="16"/>
      <c r="C42" s="24"/>
      <c r="D42" s="24"/>
      <c r="E42" s="30"/>
      <c r="F42" s="24"/>
      <c r="G42" s="24"/>
      <c r="H42" s="24"/>
      <c r="I42" s="24"/>
      <c r="J42" s="24"/>
      <c r="K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c r="A51" s="24"/>
    </row>
    <row r="52" spans="1:11">
      <c r="A52" s="24"/>
    </row>
    <row r="53" spans="1:11">
      <c r="A53" s="24"/>
    </row>
    <row r="54" spans="1:11">
      <c r="A54" s="24"/>
      <c r="B54" s="38"/>
      <c r="C54" s="39"/>
      <c r="D54" s="40"/>
      <c r="E54" s="41"/>
      <c r="F54" s="41"/>
      <c r="G54" s="42"/>
      <c r="H54" s="43"/>
      <c r="I54" s="44"/>
      <c r="J54" s="44"/>
      <c r="K54" s="44"/>
    </row>
    <row r="55" spans="1:11" ht="15" customHeight="1">
      <c r="A55" s="24"/>
      <c r="B55" s="24"/>
      <c r="C55" s="38"/>
      <c r="D55" s="24"/>
      <c r="E55" s="24"/>
      <c r="F55" s="24"/>
      <c r="G55" s="24"/>
      <c r="H55" s="24"/>
      <c r="I55" s="24"/>
      <c r="J55" s="24"/>
      <c r="K55" s="24"/>
    </row>
    <row r="56" spans="1:11">
      <c r="A56" s="16"/>
      <c r="B56" s="16"/>
      <c r="C56" s="16"/>
      <c r="D56" s="16"/>
      <c r="E56" s="16"/>
      <c r="F56" s="16"/>
      <c r="G56" s="16"/>
      <c r="H56" s="16"/>
      <c r="I56" s="16"/>
      <c r="J56" s="16"/>
      <c r="K56" s="16"/>
    </row>
    <row r="57" spans="1:11">
      <c r="C57" s="16"/>
      <c r="D57" s="16"/>
      <c r="E57" s="16"/>
      <c r="F57" s="16"/>
      <c r="G57" s="16"/>
      <c r="H57" s="16"/>
      <c r="I57" s="16"/>
      <c r="J57" s="16"/>
      <c r="K57" s="16"/>
    </row>
    <row r="60" spans="1:11">
      <c r="C60" s="16"/>
      <c r="D60" s="16"/>
    </row>
    <row r="61" spans="1:11">
      <c r="A61" s="16"/>
      <c r="B61" s="16"/>
      <c r="C61" s="16"/>
      <c r="D61" s="16"/>
    </row>
  </sheetData>
  <mergeCells count="12">
    <mergeCell ref="A21:F21"/>
    <mergeCell ref="A22:F22"/>
    <mergeCell ref="A25:F25"/>
    <mergeCell ref="B39:F39"/>
    <mergeCell ref="A23:F23"/>
    <mergeCell ref="A24:F24"/>
    <mergeCell ref="A20:F20"/>
    <mergeCell ref="A1:F1"/>
    <mergeCell ref="A2:F2"/>
    <mergeCell ref="B7:F7"/>
    <mergeCell ref="B16:F16"/>
    <mergeCell ref="A19:F19"/>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8.xml><?xml version="1.0" encoding="utf-8"?>
<worksheet xmlns="http://schemas.openxmlformats.org/spreadsheetml/2006/main" xmlns:r="http://schemas.openxmlformats.org/officeDocument/2006/relationships">
  <dimension ref="A1:K59"/>
  <sheetViews>
    <sheetView topLeftCell="A13"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247</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120</v>
      </c>
      <c r="C15" s="18"/>
      <c r="D15" s="18"/>
      <c r="E15" s="18"/>
      <c r="F15" s="19"/>
      <c r="G15" s="16"/>
      <c r="H15" s="16"/>
      <c r="I15" s="16"/>
      <c r="J15" s="16"/>
      <c r="K15" s="16"/>
    </row>
    <row r="16" spans="1:11" ht="20.100000000000001" customHeight="1">
      <c r="A16" s="17" t="s">
        <v>52</v>
      </c>
      <c r="B16" s="141"/>
      <c r="C16" s="142"/>
      <c r="D16" s="142"/>
      <c r="E16" s="142"/>
      <c r="F16" s="143"/>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2" t="s">
        <v>121</v>
      </c>
      <c r="B19" s="145"/>
      <c r="C19" s="145"/>
      <c r="D19" s="145"/>
      <c r="E19" s="145"/>
      <c r="F19" s="146"/>
      <c r="G19" s="28"/>
      <c r="H19" s="28"/>
      <c r="I19" s="28"/>
      <c r="J19" s="16"/>
      <c r="K19" s="16"/>
    </row>
    <row r="20" spans="1:11" ht="21" customHeight="1">
      <c r="A20" s="132" t="s">
        <v>122</v>
      </c>
      <c r="B20" s="133"/>
      <c r="C20" s="133"/>
      <c r="D20" s="133"/>
      <c r="E20" s="133"/>
      <c r="F20" s="134"/>
      <c r="G20" s="16"/>
      <c r="H20" s="16"/>
      <c r="I20" s="16"/>
      <c r="J20" s="16"/>
      <c r="K20" s="16"/>
    </row>
    <row r="21" spans="1:11" ht="29.25" customHeight="1">
      <c r="A21" s="132" t="s">
        <v>123</v>
      </c>
      <c r="B21" s="133"/>
      <c r="C21" s="133"/>
      <c r="D21" s="133"/>
      <c r="E21" s="133"/>
      <c r="F21" s="134"/>
      <c r="G21" s="16"/>
      <c r="H21" s="16"/>
      <c r="I21" s="16"/>
      <c r="J21" s="16"/>
      <c r="K21" s="16"/>
    </row>
    <row r="22" spans="1:11" ht="29.25" customHeight="1">
      <c r="A22" s="132" t="s">
        <v>124</v>
      </c>
      <c r="B22" s="133"/>
      <c r="C22" s="133"/>
      <c r="D22" s="133"/>
      <c r="E22" s="133"/>
      <c r="F22" s="134"/>
      <c r="G22" s="16"/>
      <c r="H22" s="16"/>
      <c r="I22" s="16"/>
      <c r="J22" s="16"/>
      <c r="K22" s="16"/>
    </row>
    <row r="23" spans="1:11" ht="21" customHeight="1">
      <c r="A23" s="132" t="s">
        <v>119</v>
      </c>
      <c r="B23" s="133"/>
      <c r="C23" s="133"/>
      <c r="D23" s="133"/>
      <c r="E23" s="133"/>
      <c r="F23" s="134"/>
      <c r="G23" s="16"/>
      <c r="H23" s="16"/>
      <c r="I23" s="16"/>
      <c r="J23" s="16"/>
      <c r="K23" s="16"/>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8"/>
      <c r="C37" s="139"/>
      <c r="D37" s="139"/>
      <c r="E37" s="139"/>
      <c r="F37" s="140"/>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A21:F21"/>
    <mergeCell ref="A22:F22"/>
    <mergeCell ref="B37:F37"/>
    <mergeCell ref="A23:F23"/>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9.xml><?xml version="1.0" encoding="utf-8"?>
<worksheet xmlns="http://schemas.openxmlformats.org/spreadsheetml/2006/main" xmlns:r="http://schemas.openxmlformats.org/officeDocument/2006/relationships">
  <dimension ref="A1:F80"/>
  <sheetViews>
    <sheetView zoomScale="130" zoomScaleNormal="130" workbookViewId="0">
      <selection activeCell="A4" sqref="A4"/>
    </sheetView>
  </sheetViews>
  <sheetFormatPr defaultRowHeight="14.25"/>
  <cols>
    <col min="1" max="1" width="23.25" style="74" customWidth="1"/>
    <col min="2" max="2" width="7" style="74" customWidth="1"/>
    <col min="3" max="3" width="4.75" style="74" customWidth="1"/>
    <col min="4" max="4" width="21" style="74" customWidth="1"/>
    <col min="5" max="5" width="21.875" style="74" customWidth="1"/>
    <col min="6" max="6" width="13.125" style="74" customWidth="1"/>
    <col min="7" max="16384" width="9" style="74"/>
  </cols>
  <sheetData>
    <row r="1" spans="1:6" ht="15.75">
      <c r="A1" s="147" t="s">
        <v>125</v>
      </c>
      <c r="B1" s="147"/>
      <c r="C1" s="147"/>
      <c r="D1" s="147"/>
      <c r="E1" s="147"/>
      <c r="F1" s="147"/>
    </row>
    <row r="2" spans="1:6" ht="24" customHeight="1">
      <c r="A2" s="148" t="s">
        <v>126</v>
      </c>
      <c r="B2" s="148"/>
      <c r="C2" s="148"/>
      <c r="D2" s="148"/>
      <c r="E2" s="148"/>
      <c r="F2" s="148"/>
    </row>
    <row r="3" spans="1:6" ht="17.25" customHeight="1">
      <c r="A3" s="75" t="str">
        <f>'表头（请先填写）'!A2</f>
        <v>客户名称：</v>
      </c>
      <c r="D3" s="75" t="str">
        <f>'[8]表头（请先填写）'!A4</f>
        <v>编制人：</v>
      </c>
      <c r="E3" s="75" t="str">
        <f>'[8]表头（请先填写）'!A5</f>
        <v>日 期：</v>
      </c>
      <c r="F3" s="75" t="s">
        <v>248</v>
      </c>
    </row>
    <row r="4" spans="1:6" ht="17.25" customHeight="1">
      <c r="A4" s="75" t="str">
        <f>'表头（请先填写）'!A3</f>
        <v>会计期间：2013年度</v>
      </c>
      <c r="D4" s="75" t="s">
        <v>127</v>
      </c>
      <c r="E4" s="75" t="s">
        <v>128</v>
      </c>
      <c r="F4" s="75" t="s">
        <v>129</v>
      </c>
    </row>
    <row r="5" spans="1:6" ht="9.75" customHeight="1">
      <c r="A5" s="75"/>
      <c r="B5" s="75"/>
      <c r="C5" s="75"/>
      <c r="D5" s="76"/>
      <c r="E5" s="75"/>
      <c r="F5" s="77"/>
    </row>
    <row r="6" spans="1:6" ht="17.25" customHeight="1">
      <c r="A6" s="78" t="s">
        <v>130</v>
      </c>
      <c r="B6" s="79"/>
      <c r="C6" s="79"/>
      <c r="D6" s="80"/>
      <c r="E6" s="79"/>
      <c r="F6" s="81"/>
    </row>
    <row r="7" spans="1:6" ht="17.25" customHeight="1">
      <c r="A7" s="82"/>
      <c r="B7" s="83"/>
      <c r="C7" s="83"/>
      <c r="D7" s="84"/>
      <c r="E7" s="83"/>
      <c r="F7" s="85"/>
    </row>
    <row r="8" spans="1:6" ht="17.25" customHeight="1">
      <c r="A8" s="82"/>
      <c r="B8" s="83"/>
      <c r="C8" s="83"/>
      <c r="D8" s="84"/>
      <c r="E8" s="83"/>
      <c r="F8" s="85"/>
    </row>
    <row r="9" spans="1:6" ht="17.25" customHeight="1">
      <c r="A9" s="86"/>
      <c r="B9" s="87"/>
      <c r="C9" s="87"/>
      <c r="D9" s="88"/>
      <c r="E9" s="87"/>
      <c r="F9" s="89"/>
    </row>
    <row r="10" spans="1:6" ht="9.75" customHeight="1">
      <c r="A10" s="75"/>
      <c r="B10" s="75"/>
      <c r="C10" s="75"/>
      <c r="D10" s="76"/>
      <c r="E10" s="75"/>
      <c r="F10" s="77"/>
    </row>
    <row r="11" spans="1:6" s="91" customFormat="1" ht="18.75" customHeight="1">
      <c r="A11" s="149" t="s">
        <v>131</v>
      </c>
      <c r="B11" s="149"/>
      <c r="C11" s="90" t="s">
        <v>132</v>
      </c>
      <c r="D11" s="150" t="s">
        <v>133</v>
      </c>
      <c r="E11" s="151"/>
      <c r="F11" s="90" t="s">
        <v>134</v>
      </c>
    </row>
    <row r="12" spans="1:6" s="91" customFormat="1" ht="68.25" customHeight="1">
      <c r="A12" s="152" t="s">
        <v>135</v>
      </c>
      <c r="B12" s="153"/>
      <c r="C12" s="156"/>
      <c r="D12" s="158"/>
      <c r="E12" s="153"/>
      <c r="F12" s="92"/>
    </row>
    <row r="13" spans="1:6" s="91" customFormat="1" ht="17.25" customHeight="1">
      <c r="A13" s="154"/>
      <c r="B13" s="155"/>
      <c r="C13" s="157"/>
      <c r="D13" s="159" t="str">
        <f>IF(C12="否","不属于控制偏差；进入步骤六",IF(C12="是","进入步骤二",""))</f>
        <v/>
      </c>
      <c r="E13" s="160"/>
      <c r="F13" s="93"/>
    </row>
    <row r="14" spans="1:6" s="91" customFormat="1" ht="68.25" customHeight="1">
      <c r="A14" s="152" t="s">
        <v>136</v>
      </c>
      <c r="B14" s="153"/>
      <c r="C14" s="156"/>
      <c r="D14" s="158"/>
      <c r="E14" s="153"/>
      <c r="F14" s="92"/>
    </row>
    <row r="15" spans="1:6" s="91" customFormat="1" ht="17.25" customHeight="1">
      <c r="A15" s="154"/>
      <c r="B15" s="155"/>
      <c r="C15" s="157"/>
      <c r="D15" s="159" t="str">
        <f>IF(C14="随机性偏差","确定应对措施；进入步骤三",IF(OR(C14="系统性偏差",C14="人为偏差"),"属于控制缺陷；进入步骤五",""))</f>
        <v/>
      </c>
      <c r="E15" s="160"/>
      <c r="F15" s="93"/>
    </row>
    <row r="16" spans="1:6" s="91" customFormat="1" ht="72.75" customHeight="1">
      <c r="A16" s="152" t="s">
        <v>137</v>
      </c>
      <c r="B16" s="153"/>
      <c r="C16" s="156"/>
      <c r="D16" s="158"/>
      <c r="E16" s="153"/>
      <c r="F16" s="92"/>
    </row>
    <row r="17" spans="1:6" s="91" customFormat="1" ht="18" customHeight="1">
      <c r="A17" s="154"/>
      <c r="B17" s="155"/>
      <c r="C17" s="157"/>
      <c r="D17" s="159" t="str">
        <f>IF(C16="直接认定为偏差","进入步骤五",IF(C16="扩大样本量","进入步骤四",""))</f>
        <v/>
      </c>
      <c r="E17" s="160"/>
      <c r="F17" s="93"/>
    </row>
    <row r="18" spans="1:6" s="91" customFormat="1" ht="69" customHeight="1">
      <c r="A18" s="152" t="s">
        <v>138</v>
      </c>
      <c r="B18" s="153"/>
      <c r="C18" s="156"/>
      <c r="D18" s="158"/>
      <c r="E18" s="153"/>
      <c r="F18" s="92"/>
    </row>
    <row r="19" spans="1:6" s="91" customFormat="1" ht="17.25" customHeight="1">
      <c r="A19" s="154"/>
      <c r="B19" s="155"/>
      <c r="C19" s="157"/>
      <c r="D19" s="159" t="str">
        <f>IF(C18="否","控制有效",IF(C18="是","该控制无效；进入步骤五",""))</f>
        <v/>
      </c>
      <c r="E19" s="160"/>
      <c r="F19" s="93"/>
    </row>
    <row r="20" spans="1:6" s="91" customFormat="1" ht="21" customHeight="1">
      <c r="A20" s="158" t="s">
        <v>139</v>
      </c>
      <c r="B20" s="153"/>
      <c r="C20" s="156" t="str">
        <f>IF(OR(D17="进入步骤五",D19="该控制无效；进入步骤五"),"评价缺陷","")</f>
        <v/>
      </c>
      <c r="D20" s="152"/>
      <c r="E20" s="153"/>
      <c r="F20" s="94"/>
    </row>
    <row r="21" spans="1:6" s="91" customFormat="1" ht="21" customHeight="1">
      <c r="A21" s="154"/>
      <c r="B21" s="155"/>
      <c r="C21" s="157"/>
      <c r="D21" s="159" t="str">
        <f>IF(OR(D17="进入步骤五",D19="该控制无效；进入步骤五"),"进入内部控制缺陷评价底稿","")</f>
        <v/>
      </c>
      <c r="E21" s="160"/>
      <c r="F21" s="95" t="str">
        <f>IF(LEN(D21)&gt;0,"T2","")</f>
        <v/>
      </c>
    </row>
    <row r="22" spans="1:6" s="91" customFormat="1" ht="97.5" customHeight="1">
      <c r="A22" s="158" t="s">
        <v>140</v>
      </c>
      <c r="B22" s="153"/>
      <c r="C22" s="156"/>
      <c r="D22" s="158"/>
      <c r="E22" s="153"/>
      <c r="F22" s="92"/>
    </row>
    <row r="23" spans="1:6" s="91" customFormat="1" ht="19.5" customHeight="1">
      <c r="A23" s="154"/>
      <c r="B23" s="155"/>
      <c r="C23" s="157"/>
      <c r="D23" s="159" t="str">
        <f>IF(C22="否","该控制例外情况不构成偏差或缺陷",IF(C22="是","存在设计缺陷；回到步骤五",""))</f>
        <v/>
      </c>
      <c r="E23" s="160"/>
      <c r="F23" s="93"/>
    </row>
    <row r="24" spans="1:6" s="91" customFormat="1" ht="45.75" customHeight="1">
      <c r="A24" s="161" t="s">
        <v>141</v>
      </c>
      <c r="B24" s="162"/>
      <c r="C24" s="96"/>
      <c r="D24" s="163" t="s">
        <v>142</v>
      </c>
      <c r="E24" s="164"/>
      <c r="F24" s="97"/>
    </row>
    <row r="25" spans="1:6" s="91" customFormat="1" ht="12.75"/>
    <row r="26" spans="1:6" s="91" customFormat="1" ht="12.75"/>
    <row r="27" spans="1:6">
      <c r="A27" s="98" t="s">
        <v>143</v>
      </c>
      <c r="B27" s="99"/>
      <c r="C27" s="99"/>
      <c r="D27" s="99"/>
      <c r="E27" s="99"/>
      <c r="F27" s="99"/>
    </row>
    <row r="28" spans="1:6">
      <c r="A28" s="98" t="s">
        <v>144</v>
      </c>
      <c r="B28" s="99"/>
      <c r="C28" s="99"/>
      <c r="D28" s="99"/>
      <c r="E28" s="99"/>
      <c r="F28" s="99"/>
    </row>
    <row r="29" spans="1:6">
      <c r="A29" s="100" t="s">
        <v>145</v>
      </c>
      <c r="B29" s="99"/>
      <c r="C29" s="99"/>
      <c r="D29" s="99"/>
      <c r="E29" s="99"/>
      <c r="F29" s="99"/>
    </row>
    <row r="30" spans="1:6">
      <c r="A30" s="100" t="s">
        <v>146</v>
      </c>
      <c r="B30" s="99"/>
      <c r="C30" s="99"/>
      <c r="D30" s="99"/>
      <c r="E30" s="99"/>
      <c r="F30" s="99"/>
    </row>
    <row r="31" spans="1:6">
      <c r="A31" s="100" t="s">
        <v>147</v>
      </c>
      <c r="B31" s="99"/>
      <c r="C31" s="99"/>
      <c r="D31" s="99"/>
      <c r="E31" s="99"/>
      <c r="F31" s="99"/>
    </row>
    <row r="32" spans="1:6">
      <c r="A32" s="100" t="s">
        <v>148</v>
      </c>
      <c r="B32" s="99"/>
      <c r="C32" s="99"/>
      <c r="D32" s="99"/>
      <c r="E32" s="99"/>
      <c r="F32" s="99"/>
    </row>
    <row r="33" spans="1:6">
      <c r="A33" s="100" t="s">
        <v>149</v>
      </c>
      <c r="B33" s="99"/>
      <c r="C33" s="99"/>
      <c r="D33" s="99"/>
      <c r="E33" s="99"/>
      <c r="F33" s="99"/>
    </row>
    <row r="34" spans="1:6">
      <c r="A34" s="100" t="s">
        <v>150</v>
      </c>
      <c r="B34" s="99"/>
      <c r="C34" s="99"/>
      <c r="D34" s="99"/>
      <c r="E34" s="99"/>
      <c r="F34" s="99"/>
    </row>
    <row r="35" spans="1:6">
      <c r="A35" s="100" t="s">
        <v>151</v>
      </c>
      <c r="B35" s="99"/>
      <c r="C35" s="99"/>
      <c r="D35" s="99"/>
      <c r="E35" s="99"/>
      <c r="F35" s="99"/>
    </row>
    <row r="36" spans="1:6">
      <c r="A36" s="100" t="s">
        <v>152</v>
      </c>
      <c r="B36" s="99"/>
      <c r="C36" s="99"/>
      <c r="D36" s="99"/>
      <c r="E36" s="99"/>
      <c r="F36" s="99"/>
    </row>
    <row r="37" spans="1:6">
      <c r="A37" s="100" t="s">
        <v>153</v>
      </c>
      <c r="B37" s="99"/>
      <c r="C37" s="99"/>
      <c r="D37" s="99"/>
      <c r="E37" s="99"/>
      <c r="F37" s="99"/>
    </row>
    <row r="38" spans="1:6">
      <c r="A38" s="100" t="s">
        <v>154</v>
      </c>
      <c r="B38" s="99"/>
      <c r="C38" s="99"/>
      <c r="D38" s="99"/>
      <c r="E38" s="99"/>
      <c r="F38" s="99"/>
    </row>
    <row r="39" spans="1:6" s="91" customFormat="1" ht="14.25" customHeight="1">
      <c r="A39" s="98" t="s">
        <v>155</v>
      </c>
      <c r="B39" s="99"/>
      <c r="C39" s="99"/>
      <c r="D39" s="99"/>
      <c r="E39" s="99"/>
      <c r="F39" s="99"/>
    </row>
    <row r="40" spans="1:6">
      <c r="A40" s="100" t="s">
        <v>156</v>
      </c>
      <c r="B40" s="99"/>
      <c r="C40" s="99"/>
      <c r="D40" s="99"/>
      <c r="E40" s="99"/>
      <c r="F40" s="99"/>
    </row>
    <row r="41" spans="1:6">
      <c r="A41" s="100" t="s">
        <v>157</v>
      </c>
      <c r="B41" s="99"/>
      <c r="C41" s="99"/>
      <c r="D41" s="99"/>
      <c r="E41" s="99"/>
      <c r="F41" s="99"/>
    </row>
    <row r="42" spans="1:6">
      <c r="A42" s="100" t="s">
        <v>158</v>
      </c>
      <c r="B42" s="99"/>
      <c r="C42" s="99"/>
      <c r="D42" s="99"/>
      <c r="E42" s="99"/>
      <c r="F42" s="99"/>
    </row>
    <row r="43" spans="1:6">
      <c r="A43" s="101" t="s">
        <v>159</v>
      </c>
      <c r="B43" s="102"/>
      <c r="C43" s="102"/>
      <c r="D43" s="102"/>
      <c r="E43" s="102"/>
      <c r="F43" s="102"/>
    </row>
    <row r="44" spans="1:6">
      <c r="A44" s="101"/>
      <c r="B44" s="102"/>
      <c r="C44" s="102"/>
      <c r="D44" s="102"/>
      <c r="E44" s="102"/>
      <c r="F44" s="102"/>
    </row>
    <row r="45" spans="1:6">
      <c r="A45" s="103" t="s">
        <v>160</v>
      </c>
      <c r="B45" s="99"/>
      <c r="C45" s="99"/>
      <c r="D45" s="99"/>
      <c r="E45" s="99"/>
      <c r="F45" s="99"/>
    </row>
    <row r="46" spans="1:6">
      <c r="A46" s="100" t="s">
        <v>161</v>
      </c>
      <c r="B46" s="99"/>
      <c r="C46" s="99"/>
      <c r="D46" s="99"/>
      <c r="E46" s="99"/>
      <c r="F46" s="99"/>
    </row>
    <row r="47" spans="1:6">
      <c r="A47" s="100" t="s">
        <v>162</v>
      </c>
      <c r="B47" s="99"/>
      <c r="C47" s="99"/>
      <c r="D47" s="99"/>
      <c r="E47" s="99"/>
      <c r="F47" s="99"/>
    </row>
    <row r="48" spans="1:6">
      <c r="A48" s="100" t="s">
        <v>163</v>
      </c>
      <c r="B48" s="99"/>
      <c r="C48" s="99"/>
      <c r="D48" s="99"/>
      <c r="E48" s="99"/>
      <c r="F48" s="99"/>
    </row>
    <row r="49" spans="1:6">
      <c r="A49" s="100" t="s">
        <v>164</v>
      </c>
      <c r="B49" s="99"/>
      <c r="C49" s="99"/>
      <c r="D49" s="99"/>
      <c r="E49" s="99"/>
      <c r="F49" s="99"/>
    </row>
    <row r="50" spans="1:6">
      <c r="A50" s="100" t="s">
        <v>165</v>
      </c>
      <c r="B50" s="99"/>
      <c r="C50" s="99"/>
      <c r="D50" s="99"/>
      <c r="E50" s="99"/>
      <c r="F50" s="99"/>
    </row>
    <row r="51" spans="1:6">
      <c r="A51" s="100" t="s">
        <v>166</v>
      </c>
      <c r="B51" s="99"/>
      <c r="C51" s="99"/>
      <c r="D51" s="99"/>
      <c r="E51" s="99"/>
      <c r="F51" s="99"/>
    </row>
    <row r="52" spans="1:6">
      <c r="A52" s="100" t="s">
        <v>167</v>
      </c>
      <c r="B52" s="99"/>
      <c r="C52" s="99"/>
      <c r="D52" s="99"/>
      <c r="E52" s="99"/>
      <c r="F52" s="99"/>
    </row>
    <row r="53" spans="1:6">
      <c r="A53" s="100" t="s">
        <v>168</v>
      </c>
      <c r="B53" s="99"/>
      <c r="C53" s="99"/>
      <c r="D53" s="99"/>
      <c r="E53" s="99"/>
      <c r="F53" s="99"/>
    </row>
    <row r="54" spans="1:6">
      <c r="A54" s="100" t="s">
        <v>169</v>
      </c>
      <c r="B54" s="99"/>
      <c r="C54" s="99"/>
      <c r="D54" s="99"/>
      <c r="E54" s="99"/>
      <c r="F54" s="99"/>
    </row>
    <row r="55" spans="1:6">
      <c r="A55" s="100" t="s">
        <v>170</v>
      </c>
      <c r="B55" s="99"/>
      <c r="C55" s="99"/>
      <c r="D55" s="99"/>
      <c r="E55" s="99"/>
      <c r="F55" s="99"/>
    </row>
    <row r="56" spans="1:6">
      <c r="A56" s="100" t="s">
        <v>171</v>
      </c>
      <c r="B56" s="99"/>
      <c r="C56" s="99"/>
      <c r="D56" s="99"/>
      <c r="E56" s="99"/>
      <c r="F56" s="99"/>
    </row>
    <row r="57" spans="1:6">
      <c r="A57" s="100" t="s">
        <v>172</v>
      </c>
      <c r="B57" s="99"/>
      <c r="C57" s="99"/>
      <c r="D57" s="99"/>
      <c r="E57" s="99"/>
      <c r="F57" s="99"/>
    </row>
    <row r="58" spans="1:6">
      <c r="A58" s="100"/>
      <c r="B58" s="99"/>
      <c r="C58" s="99"/>
      <c r="D58" s="99"/>
      <c r="E58" s="99"/>
      <c r="F58" s="99"/>
    </row>
    <row r="59" spans="1:6">
      <c r="A59" s="98" t="s">
        <v>173</v>
      </c>
    </row>
    <row r="60" spans="1:6">
      <c r="A60" s="104" t="s">
        <v>174</v>
      </c>
    </row>
    <row r="61" spans="1:6">
      <c r="A61" s="101" t="s">
        <v>175</v>
      </c>
    </row>
    <row r="62" spans="1:6">
      <c r="A62" s="101" t="s">
        <v>176</v>
      </c>
    </row>
    <row r="63" spans="1:6">
      <c r="A63" s="101" t="s">
        <v>177</v>
      </c>
    </row>
    <row r="64" spans="1:6">
      <c r="A64" s="101" t="s">
        <v>178</v>
      </c>
    </row>
    <row r="65" spans="1:1">
      <c r="A65" s="101" t="s">
        <v>179</v>
      </c>
    </row>
    <row r="67" spans="1:1">
      <c r="A67" s="98" t="s">
        <v>180</v>
      </c>
    </row>
    <row r="68" spans="1:1">
      <c r="A68" s="101" t="s">
        <v>181</v>
      </c>
    </row>
    <row r="69" spans="1:1">
      <c r="A69" s="101" t="s">
        <v>182</v>
      </c>
    </row>
    <row r="70" spans="1:1">
      <c r="A70" s="101" t="s">
        <v>183</v>
      </c>
    </row>
    <row r="71" spans="1:1">
      <c r="A71" s="101" t="s">
        <v>184</v>
      </c>
    </row>
    <row r="72" spans="1:1">
      <c r="A72" s="101"/>
    </row>
    <row r="73" spans="1:1">
      <c r="A73" s="98" t="s">
        <v>185</v>
      </c>
    </row>
    <row r="74" spans="1:1">
      <c r="A74" s="101" t="s">
        <v>186</v>
      </c>
    </row>
    <row r="76" spans="1:1">
      <c r="A76" s="98" t="s">
        <v>187</v>
      </c>
    </row>
    <row r="77" spans="1:1">
      <c r="A77" s="105" t="s">
        <v>188</v>
      </c>
    </row>
    <row r="78" spans="1:1">
      <c r="A78" s="105" t="s">
        <v>189</v>
      </c>
    </row>
    <row r="79" spans="1:1">
      <c r="A79" s="105" t="s">
        <v>190</v>
      </c>
    </row>
    <row r="80" spans="1:1">
      <c r="A80" s="101"/>
    </row>
  </sheetData>
  <mergeCells count="30">
    <mergeCell ref="A22:B23"/>
    <mergeCell ref="C22:C23"/>
    <mergeCell ref="D22:E22"/>
    <mergeCell ref="D23:E23"/>
    <mergeCell ref="A24:B24"/>
    <mergeCell ref="D24:E24"/>
    <mergeCell ref="A18:B19"/>
    <mergeCell ref="C18:C19"/>
    <mergeCell ref="D18:E18"/>
    <mergeCell ref="D19:E19"/>
    <mergeCell ref="A20:B21"/>
    <mergeCell ref="C20:C21"/>
    <mergeCell ref="D20:E20"/>
    <mergeCell ref="D21:E21"/>
    <mergeCell ref="A14:B15"/>
    <mergeCell ref="C14:C15"/>
    <mergeCell ref="D14:E14"/>
    <mergeCell ref="D15:E15"/>
    <mergeCell ref="A16:B17"/>
    <mergeCell ref="C16:C17"/>
    <mergeCell ref="D16:E16"/>
    <mergeCell ref="D17:E17"/>
    <mergeCell ref="A1:F1"/>
    <mergeCell ref="A2:F2"/>
    <mergeCell ref="A11:B11"/>
    <mergeCell ref="D11:E11"/>
    <mergeCell ref="A12:B13"/>
    <mergeCell ref="C12:C13"/>
    <mergeCell ref="D12:E12"/>
    <mergeCell ref="D13:E13"/>
  </mergeCells>
  <phoneticPr fontId="15" type="noConversion"/>
  <dataValidations count="3">
    <dataValidation type="list" allowBlank="1" showInputMessage="1" showErrorMessage="1" sqref="C12:C13 C18:C19 C22:C23">
      <formula1>"是,否"</formula1>
    </dataValidation>
    <dataValidation type="list" allowBlank="1" showInputMessage="1" showErrorMessage="1" sqref="C14:C15">
      <formula1>"系统性偏差,人为偏差,随机性偏差"</formula1>
    </dataValidation>
    <dataValidation type="list" allowBlank="1" showInputMessage="1" showErrorMessage="1" sqref="C16:C17">
      <formula1>"扩大样本量,直接认定为偏差"</formula1>
    </dataValidation>
  </dataValidations>
  <pageMargins left="0.70866141732283472" right="0.43307086614173229" top="0.62992125984251968" bottom="0.47244094488188981" header="0.31496062992125984" footer="0.31496062992125984"/>
  <pageSetup paperSize="9" orientation="portrait" blackAndWhite="1" r:id="rId1"/>
  <drawing r:id="rId2"/>
</worksheet>
</file>

<file path=xl/worksheets/sheet10.xml><?xml version="1.0" encoding="utf-8"?>
<worksheet xmlns="http://schemas.openxmlformats.org/spreadsheetml/2006/main" xmlns:r="http://schemas.openxmlformats.org/officeDocument/2006/relationships">
  <sheetPr>
    <tabColor theme="7" tint="0.39997558519241921"/>
  </sheetPr>
  <dimension ref="A1:F35"/>
  <sheetViews>
    <sheetView zoomScale="130" zoomScaleNormal="130" workbookViewId="0">
      <selection activeCell="F11" sqref="F11"/>
    </sheetView>
  </sheetViews>
  <sheetFormatPr defaultRowHeight="14.25"/>
  <cols>
    <col min="1" max="1" width="23.25" style="74" customWidth="1"/>
    <col min="2" max="2" width="5.125" style="74" customWidth="1"/>
    <col min="3" max="3" width="4.75" style="74" customWidth="1"/>
    <col min="4" max="4" width="16.875" style="74" customWidth="1"/>
    <col min="5" max="5" width="17" style="74" customWidth="1"/>
    <col min="6" max="6" width="12.375" style="74" customWidth="1"/>
    <col min="7" max="16384" width="9" style="74"/>
  </cols>
  <sheetData>
    <row r="1" spans="1:6" ht="15.75">
      <c r="A1" s="147" t="s">
        <v>125</v>
      </c>
      <c r="B1" s="147"/>
      <c r="C1" s="147"/>
      <c r="D1" s="147"/>
      <c r="E1" s="147"/>
      <c r="F1" s="147"/>
    </row>
    <row r="2" spans="1:6" ht="24" customHeight="1">
      <c r="A2" s="165" t="s">
        <v>191</v>
      </c>
      <c r="B2" s="148"/>
      <c r="C2" s="148"/>
      <c r="D2" s="148"/>
      <c r="E2" s="148"/>
      <c r="F2" s="148"/>
    </row>
    <row r="3" spans="1:6" ht="17.25" customHeight="1">
      <c r="A3" s="75" t="s">
        <v>192</v>
      </c>
      <c r="D3" s="75" t="s">
        <v>193</v>
      </c>
      <c r="E3" s="75" t="s">
        <v>221</v>
      </c>
      <c r="F3" s="75" t="s">
        <v>239</v>
      </c>
    </row>
    <row r="4" spans="1:6" ht="17.25" customHeight="1">
      <c r="A4" s="75" t="s">
        <v>219</v>
      </c>
      <c r="D4" s="75" t="s">
        <v>194</v>
      </c>
      <c r="E4" s="75" t="s">
        <v>220</v>
      </c>
      <c r="F4" s="75" t="s">
        <v>195</v>
      </c>
    </row>
    <row r="5" spans="1:6" ht="9.75" customHeight="1">
      <c r="A5" s="75"/>
      <c r="B5" s="75"/>
      <c r="C5" s="75"/>
      <c r="D5" s="76"/>
      <c r="E5" s="75"/>
      <c r="F5" s="77"/>
    </row>
    <row r="6" spans="1:6" ht="17.25" customHeight="1">
      <c r="A6" s="78" t="s">
        <v>196</v>
      </c>
      <c r="B6" s="79"/>
      <c r="C6" s="79"/>
      <c r="D6" s="80"/>
      <c r="E6" s="79"/>
      <c r="F6" s="81"/>
    </row>
    <row r="7" spans="1:6" ht="17.25" customHeight="1">
      <c r="A7" s="82" t="s">
        <v>197</v>
      </c>
      <c r="B7" s="83"/>
      <c r="C7" s="83"/>
      <c r="D7" s="84"/>
      <c r="E7" s="83"/>
      <c r="F7" s="85"/>
    </row>
    <row r="8" spans="1:6" ht="17.25" customHeight="1">
      <c r="A8" s="86" t="s">
        <v>198</v>
      </c>
      <c r="B8" s="87"/>
      <c r="C8" s="87"/>
      <c r="D8" s="88"/>
      <c r="E8" s="87"/>
      <c r="F8" s="89"/>
    </row>
    <row r="9" spans="1:6" ht="9.75" customHeight="1">
      <c r="A9" s="75"/>
      <c r="B9" s="75"/>
      <c r="C9" s="75"/>
      <c r="D9" s="76"/>
      <c r="E9" s="75"/>
      <c r="F9" s="77"/>
    </row>
    <row r="10" spans="1:6" s="91" customFormat="1" ht="18.75" customHeight="1">
      <c r="A10" s="149" t="s">
        <v>199</v>
      </c>
      <c r="B10" s="149"/>
      <c r="C10" s="90" t="s">
        <v>200</v>
      </c>
      <c r="D10" s="150" t="s">
        <v>201</v>
      </c>
      <c r="E10" s="151"/>
      <c r="F10" s="90" t="s">
        <v>202</v>
      </c>
    </row>
    <row r="11" spans="1:6" s="91" customFormat="1" ht="33.75" customHeight="1">
      <c r="A11" s="166" t="s">
        <v>203</v>
      </c>
      <c r="B11" s="153"/>
      <c r="C11" s="156" t="s">
        <v>204</v>
      </c>
      <c r="D11" s="166" t="s">
        <v>205</v>
      </c>
      <c r="E11" s="153"/>
      <c r="F11" s="92"/>
    </row>
    <row r="12" spans="1:6" s="91" customFormat="1" ht="17.25" customHeight="1">
      <c r="A12" s="167"/>
      <c r="B12" s="168"/>
      <c r="C12" s="169"/>
      <c r="D12" s="159" t="str">
        <f>IF(C11="是","进入步骤二","")</f>
        <v>进入步骤二</v>
      </c>
      <c r="E12" s="160"/>
      <c r="F12" s="93"/>
    </row>
    <row r="13" spans="1:6" s="91" customFormat="1" ht="35.25" customHeight="1">
      <c r="A13" s="167"/>
      <c r="B13" s="168"/>
      <c r="C13" s="169"/>
      <c r="D13" s="152"/>
      <c r="E13" s="153"/>
      <c r="F13" s="92"/>
    </row>
    <row r="14" spans="1:6" s="91" customFormat="1" ht="17.25" customHeight="1">
      <c r="A14" s="154"/>
      <c r="B14" s="155"/>
      <c r="C14" s="157"/>
      <c r="D14" s="159" t="str">
        <f>IF(C11="否","不属于控制偏差；进入步骤六","")</f>
        <v/>
      </c>
      <c r="E14" s="160"/>
      <c r="F14" s="93"/>
    </row>
    <row r="15" spans="1:6" s="91" customFormat="1" ht="36" customHeight="1">
      <c r="A15" s="166" t="s">
        <v>206</v>
      </c>
      <c r="B15" s="153"/>
      <c r="C15" s="156" t="s">
        <v>207</v>
      </c>
      <c r="D15" s="158"/>
      <c r="E15" s="153"/>
      <c r="F15" s="92"/>
    </row>
    <row r="16" spans="1:6" s="91" customFormat="1" ht="17.25" customHeight="1">
      <c r="A16" s="167"/>
      <c r="B16" s="168"/>
      <c r="C16" s="169"/>
      <c r="D16" s="159" t="str">
        <f>IF(OR(C15="系统性偏差",C15="人为偏差"),"属于控制缺陷；进入步骤五","")</f>
        <v/>
      </c>
      <c r="E16" s="160"/>
      <c r="F16" s="93"/>
    </row>
    <row r="17" spans="1:6" s="91" customFormat="1" ht="45" customHeight="1">
      <c r="A17" s="167"/>
      <c r="B17" s="168"/>
      <c r="C17" s="169"/>
      <c r="D17" s="170" t="s">
        <v>208</v>
      </c>
      <c r="E17" s="153"/>
      <c r="F17" s="92"/>
    </row>
    <row r="18" spans="1:6" s="91" customFormat="1" ht="17.25" customHeight="1">
      <c r="A18" s="154"/>
      <c r="B18" s="155"/>
      <c r="C18" s="157"/>
      <c r="D18" s="159" t="str">
        <f>IF(C15="随机性偏差","确定应对措施；进入步骤三","")</f>
        <v>确定应对措施；进入步骤三</v>
      </c>
      <c r="E18" s="160"/>
      <c r="F18" s="93"/>
    </row>
    <row r="19" spans="1:6" s="91" customFormat="1" ht="36" customHeight="1">
      <c r="A19" s="166" t="s">
        <v>209</v>
      </c>
      <c r="B19" s="153"/>
      <c r="C19" s="156" t="s">
        <v>210</v>
      </c>
      <c r="D19" s="166" t="s">
        <v>211</v>
      </c>
      <c r="E19" s="153"/>
      <c r="F19" s="92"/>
    </row>
    <row r="20" spans="1:6" s="91" customFormat="1" ht="18" customHeight="1">
      <c r="A20" s="167"/>
      <c r="B20" s="168"/>
      <c r="C20" s="169"/>
      <c r="D20" s="159" t="str">
        <f>IF(C19="扩大样本量","进入步骤四","")</f>
        <v>进入步骤四</v>
      </c>
      <c r="E20" s="160"/>
      <c r="F20" s="93"/>
    </row>
    <row r="21" spans="1:6" s="91" customFormat="1" ht="18" customHeight="1">
      <c r="A21" s="167"/>
      <c r="B21" s="168"/>
      <c r="C21" s="169"/>
      <c r="D21" s="152"/>
      <c r="E21" s="153"/>
      <c r="F21" s="92"/>
    </row>
    <row r="22" spans="1:6" s="91" customFormat="1" ht="18" customHeight="1">
      <c r="A22" s="154"/>
      <c r="B22" s="155"/>
      <c r="C22" s="157"/>
      <c r="D22" s="159" t="str">
        <f>IF(C19="直接认定为偏差","进入步骤五","")</f>
        <v/>
      </c>
      <c r="E22" s="160"/>
      <c r="F22" s="93"/>
    </row>
    <row r="23" spans="1:6" s="91" customFormat="1" ht="19.5" customHeight="1">
      <c r="A23" s="166" t="s">
        <v>212</v>
      </c>
      <c r="B23" s="153"/>
      <c r="C23" s="156" t="s">
        <v>213</v>
      </c>
      <c r="D23" s="158"/>
      <c r="E23" s="153"/>
      <c r="F23" s="92"/>
    </row>
    <row r="24" spans="1:6" s="91" customFormat="1" ht="17.25" customHeight="1">
      <c r="A24" s="167"/>
      <c r="B24" s="168"/>
      <c r="C24" s="169"/>
      <c r="D24" s="159" t="str">
        <f>IF(C23="是","该控制无效；进入步骤五","")</f>
        <v/>
      </c>
      <c r="E24" s="160"/>
      <c r="F24" s="93"/>
    </row>
    <row r="25" spans="1:6" s="91" customFormat="1" ht="33.75" customHeight="1">
      <c r="A25" s="167"/>
      <c r="B25" s="168"/>
      <c r="C25" s="169"/>
      <c r="D25" s="166" t="s">
        <v>214</v>
      </c>
      <c r="E25" s="153"/>
      <c r="F25" s="92"/>
    </row>
    <row r="26" spans="1:6" s="91" customFormat="1" ht="17.25" customHeight="1">
      <c r="A26" s="154"/>
      <c r="B26" s="155"/>
      <c r="C26" s="157"/>
      <c r="D26" s="159" t="str">
        <f>IF(C23="否","控制有效","")</f>
        <v>控制有效</v>
      </c>
      <c r="E26" s="160"/>
      <c r="F26" s="93"/>
    </row>
    <row r="27" spans="1:6" s="91" customFormat="1" ht="21" customHeight="1">
      <c r="A27" s="158" t="s">
        <v>215</v>
      </c>
      <c r="B27" s="153"/>
      <c r="C27" s="156" t="str">
        <f>IF(OR(D22="进入步骤五",D24="该控制无效；进入步骤五"),"评价缺陷","")</f>
        <v/>
      </c>
      <c r="D27" s="152"/>
      <c r="E27" s="153"/>
      <c r="F27" s="94"/>
    </row>
    <row r="28" spans="1:6" s="91" customFormat="1" ht="21" customHeight="1">
      <c r="A28" s="154"/>
      <c r="B28" s="155"/>
      <c r="C28" s="157"/>
      <c r="D28" s="159" t="str">
        <f>IF(C27="评价缺陷","进入内部控制缺陷评价底稿","")</f>
        <v/>
      </c>
      <c r="E28" s="160"/>
      <c r="F28" s="95" t="str">
        <f>IF(LEN(D28)&gt;0,"T2","")</f>
        <v/>
      </c>
    </row>
    <row r="29" spans="1:6" s="91" customFormat="1" ht="26.25" customHeight="1">
      <c r="A29" s="166" t="s">
        <v>216</v>
      </c>
      <c r="B29" s="153"/>
      <c r="C29" s="156"/>
      <c r="D29" s="158"/>
      <c r="E29" s="153"/>
      <c r="F29" s="92"/>
    </row>
    <row r="30" spans="1:6" s="91" customFormat="1" ht="19.5" customHeight="1">
      <c r="A30" s="167"/>
      <c r="B30" s="168"/>
      <c r="C30" s="169"/>
      <c r="D30" s="159" t="str">
        <f>IF(C29="是","存在设计缺陷；回到步骤五","")</f>
        <v/>
      </c>
      <c r="E30" s="160"/>
      <c r="F30" s="93"/>
    </row>
    <row r="31" spans="1:6" s="91" customFormat="1" ht="30.75" customHeight="1">
      <c r="A31" s="167"/>
      <c r="B31" s="168"/>
      <c r="C31" s="169"/>
      <c r="D31" s="152"/>
      <c r="E31" s="153"/>
      <c r="F31" s="92"/>
    </row>
    <row r="32" spans="1:6" s="91" customFormat="1" ht="19.5" customHeight="1">
      <c r="A32" s="154"/>
      <c r="B32" s="155"/>
      <c r="C32" s="157"/>
      <c r="D32" s="159" t="str">
        <f>IF(C29="否","该控制例外情况不构成偏差或缺陷","")</f>
        <v/>
      </c>
      <c r="E32" s="160"/>
      <c r="F32" s="93"/>
    </row>
    <row r="33" spans="1:6" s="91" customFormat="1" ht="39" customHeight="1">
      <c r="A33" s="161" t="s">
        <v>217</v>
      </c>
      <c r="B33" s="162"/>
      <c r="C33" s="96"/>
      <c r="D33" s="171" t="s">
        <v>218</v>
      </c>
      <c r="E33" s="164"/>
      <c r="F33" s="97"/>
    </row>
    <row r="34" spans="1:6" s="91" customFormat="1" ht="12.75"/>
    <row r="35" spans="1:6" s="91" customFormat="1" ht="12.75"/>
  </sheetData>
  <mergeCells count="40">
    <mergeCell ref="A33:B33"/>
    <mergeCell ref="D33:E33"/>
    <mergeCell ref="A27:B28"/>
    <mergeCell ref="C27:C28"/>
    <mergeCell ref="D27:E27"/>
    <mergeCell ref="D28:E28"/>
    <mergeCell ref="A29:B32"/>
    <mergeCell ref="C29:C32"/>
    <mergeCell ref="D29:E29"/>
    <mergeCell ref="D30:E30"/>
    <mergeCell ref="D31:E31"/>
    <mergeCell ref="D32:E32"/>
    <mergeCell ref="A23:B26"/>
    <mergeCell ref="C23:C26"/>
    <mergeCell ref="D23:E23"/>
    <mergeCell ref="D24:E24"/>
    <mergeCell ref="D25:E25"/>
    <mergeCell ref="D26:E26"/>
    <mergeCell ref="A19:B22"/>
    <mergeCell ref="C19:C22"/>
    <mergeCell ref="D19:E19"/>
    <mergeCell ref="D20:E20"/>
    <mergeCell ref="D21:E21"/>
    <mergeCell ref="D22:E22"/>
    <mergeCell ref="A15:B18"/>
    <mergeCell ref="C15:C18"/>
    <mergeCell ref="D15:E15"/>
    <mergeCell ref="D16:E16"/>
    <mergeCell ref="D17:E17"/>
    <mergeCell ref="D18:E18"/>
    <mergeCell ref="A1:F1"/>
    <mergeCell ref="A2:F2"/>
    <mergeCell ref="A10:B10"/>
    <mergeCell ref="D10:E10"/>
    <mergeCell ref="A11:B14"/>
    <mergeCell ref="C11:C14"/>
    <mergeCell ref="D11:E11"/>
    <mergeCell ref="D12:E12"/>
    <mergeCell ref="D13:E13"/>
    <mergeCell ref="D14:E14"/>
  </mergeCells>
  <phoneticPr fontId="15" type="noConversion"/>
  <dataValidations count="3">
    <dataValidation type="list" allowBlank="1" showInputMessage="1" showErrorMessage="1" sqref="C19:C22">
      <formula1>"扩大样本量,直接认定为偏差"</formula1>
    </dataValidation>
    <dataValidation type="list" allowBlank="1" showInputMessage="1" showErrorMessage="1" sqref="C15:C18">
      <formula1>"系统性偏差,人为偏差,随机性偏差"</formula1>
    </dataValidation>
    <dataValidation type="list" allowBlank="1" showInputMessage="1" showErrorMessage="1" sqref="C11:C14 C23:C26 C29:C32">
      <formula1>"是,否"</formula1>
    </dataValidation>
  </dataValidations>
  <pageMargins left="0.70866141732283472" right="0.43307086614173229" top="0.62992125984251968" bottom="0.47244094488188981" header="0.31496062992125984" footer="0.31496062992125984"/>
  <pageSetup paperSize="9" orientation="portrait" blackAndWhite="1" r:id="rId1"/>
</worksheet>
</file>

<file path=xl/worksheets/sheet11.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3</vt:i4>
      </vt:variant>
    </vt:vector>
  </HeadingPairs>
  <TitlesOfParts>
    <vt:vector size="14" baseType="lpstr">
      <vt:lpstr>表头（请先填写）</vt:lpstr>
      <vt:lpstr>C14控制测试汇总表</vt:lpstr>
      <vt:lpstr>C14-1控制测试过程记录表（询问&amp;观察）</vt:lpstr>
      <vt:lpstr>C14-1控制测试过程记录表（抽样）</vt:lpstr>
      <vt:lpstr>C14-1控制测试过程记录表（重新执行）</vt:lpstr>
      <vt:lpstr>C14-1控制测试过程记录表（CAAT）</vt:lpstr>
      <vt:lpstr>C14-1控制测试过程记录表（管理层-重新执行）</vt:lpstr>
      <vt:lpstr>C14-1控制测试过程记录表（管理层-仅复核）</vt:lpstr>
      <vt:lpstr>C14-2评价控制偏差</vt:lpstr>
      <vt:lpstr>示例-评价控制偏差</vt:lpstr>
      <vt:lpstr>GT_Custom</vt:lpstr>
      <vt:lpstr>'C14-2评价控制偏差'!Print_Area</vt:lpstr>
      <vt:lpstr>'C14控制测试汇总表'!Print_Area</vt:lpstr>
      <vt:lpstr>'示例-评价控制偏差'!Print_Area</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admin</cp:lastModifiedBy>
  <cp:lastPrinted>2013-12-17T03:04:35Z</cp:lastPrinted>
  <dcterms:created xsi:type="dcterms:W3CDTF">2007-10-17T03:54:43Z</dcterms:created>
  <dcterms:modified xsi:type="dcterms:W3CDTF">2013-12-25T02:27:59Z</dcterms:modified>
</cp:coreProperties>
</file>