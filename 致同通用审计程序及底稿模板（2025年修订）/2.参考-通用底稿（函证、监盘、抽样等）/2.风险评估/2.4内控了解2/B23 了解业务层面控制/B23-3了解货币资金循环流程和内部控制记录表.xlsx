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firstSheet="3" activeTab="3"/>
  </bookViews>
  <sheets>
    <sheet name="表头（请先填写）" sheetId="7" r:id="rId1"/>
    <sheet name="B23-3了解货币资金循环流程和内部控制记录表" sheetId="1" r:id="rId2"/>
    <sheet name="B23-3-1链接-企业对财务报表风险的应对" sheetId="4" r:id="rId3"/>
    <sheet name="B23-3-2穿行测试" sheetId="3" r:id="rId4"/>
    <sheet name="B23-3-3关键控制点选择表（财报审计适用）" sheetId="9" r:id="rId5"/>
    <sheet name="B23-3-4关键控制点选择表（整合审计适用）"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'B23-3-1链接-企业对财务报表风险的应对'!$A$1:$E$10</definedName>
    <definedName name="_xlnm.Print_Area" localSheetId="3">'B23-3-2穿行测试'!$A$1:$J$20</definedName>
    <definedName name="_xlnm.Print_Area" localSheetId="4">'B23-3-3关键控制点选择表（财报审计适用）'!$A$1:$I$23</definedName>
    <definedName name="_xlnm.Print_Area" localSheetId="5">'B23-3-4关键控制点选择表（整合审计适用）'!$A$1:$K$41</definedName>
    <definedName name="_xlnm.Print_Area" localSheetId="1">'B23-3了解货币资金循环流程和内部控制记录表'!$A$1:$E$41</definedName>
    <definedName name="_xlnm.Print_Titles" localSheetId="3">'B23-3-2穿行测试'!$5:$5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K39" i="10" l="1"/>
  <c r="J39" i="10"/>
  <c r="I39" i="10"/>
  <c r="H38" i="10"/>
  <c r="H37" i="10"/>
  <c r="H36" i="10"/>
  <c r="H35" i="10"/>
  <c r="H34" i="10"/>
  <c r="H33" i="10"/>
  <c r="H32" i="10"/>
  <c r="H31" i="10"/>
  <c r="H30" i="10"/>
  <c r="H29" i="10"/>
  <c r="H28" i="10"/>
  <c r="H27" i="10"/>
  <c r="K22" i="10"/>
  <c r="J22" i="10"/>
  <c r="I22" i="10"/>
  <c r="H21" i="10"/>
  <c r="H20" i="10"/>
  <c r="H19" i="10"/>
  <c r="H18" i="10"/>
  <c r="H17" i="10"/>
  <c r="H16" i="10"/>
  <c r="H15" i="10"/>
  <c r="H14" i="10"/>
  <c r="H13" i="10"/>
  <c r="H12" i="10"/>
  <c r="H11" i="10"/>
  <c r="H10" i="10"/>
  <c r="A4" i="10"/>
  <c r="G3" i="10"/>
  <c r="E3" i="10"/>
  <c r="A3" i="10"/>
  <c r="H22" i="10" l="1"/>
  <c r="I23" i="10" s="1"/>
  <c r="H39" i="10"/>
  <c r="K40" i="10" s="1"/>
  <c r="F15" i="9"/>
  <c r="F13" i="9"/>
  <c r="H21" i="9"/>
  <c r="I21" i="9"/>
  <c r="G21" i="9"/>
  <c r="K23" i="10" l="1"/>
  <c r="J23" i="10"/>
  <c r="I40" i="10"/>
  <c r="J40" i="10"/>
  <c r="F19" i="9"/>
  <c r="F20" i="9"/>
  <c r="F10" i="9"/>
  <c r="F11" i="9"/>
  <c r="F12" i="9"/>
  <c r="F14" i="9"/>
  <c r="F16" i="9"/>
  <c r="F17" i="9"/>
  <c r="F18" i="9"/>
  <c r="F9" i="9"/>
  <c r="F21" i="9" l="1"/>
  <c r="H22" i="9" s="1"/>
  <c r="I22" i="9" l="1"/>
  <c r="G22"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<sst xmlns="http://schemas.openxmlformats.org/spreadsheetml/2006/main" count="315" uniqueCount="204">
  <si>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</si>
  <si>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</si>
  <si>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</si>
  <si>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</si>
  <si>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</si>
  <si>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</si>
  <si>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</si>
  <si>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</si>
  <si>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</si>
  <si>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</si>
  <si>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</si>
  <si>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</si>
  <si>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</si>
  <si>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</si>
  <si>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</si>
  <si>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</si>
  <si>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</si>
  <si>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</si>
  <si>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</si>
  <si>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</si>
  <si>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</si>
  <si>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t>价值-净值 Valuation - Net</t>
  </si>
  <si>
    <t>价值-毛值 Valuation - Gross</t>
  </si>
  <si>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</si>
  <si>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</si>
  <si>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</si>
  <si>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</si>
  <si>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</si>
  <si>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</si>
  <si>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</si>
  <si>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</si>
  <si>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</si>
  <si>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rPr>
        <b/>
        <sz val="10"/>
        <rFont val="宋体"/>
        <family val="3"/>
        <charset val="134"/>
      </rPr>
      <t>是否进行控制测试</t>
    </r>
    <phoneticPr fontId="3" type="noConversion"/>
  </si>
  <si>
    <r>
      <rPr>
        <b/>
        <sz val="10"/>
        <rFont val="宋体"/>
        <family val="3"/>
        <charset val="134"/>
      </rPr>
      <t>原</t>
    </r>
    <r>
      <rPr>
        <b/>
        <sz val="10"/>
        <rFont val="Arial Narrow"/>
        <family val="2"/>
      </rPr>
      <t xml:space="preserve">  </t>
    </r>
    <r>
      <rPr>
        <b/>
        <sz val="10"/>
        <rFont val="宋体"/>
        <family val="3"/>
        <charset val="134"/>
      </rPr>
      <t>因</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</si>
  <si>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</si>
  <si>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</si>
  <si>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</si>
  <si>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</si>
  <si>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</si>
  <si>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</si>
  <si>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</si>
  <si>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</si>
  <si>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</si>
  <si>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</si>
  <si>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</si>
  <si>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</si>
  <si>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</si>
  <si>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</si>
  <si>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</si>
  <si>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</si>
  <si>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</si>
  <si>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</si>
  <si>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</si>
  <si>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</si>
  <si>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</si>
  <si>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</si>
  <si>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</si>
  <si>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</si>
  <si>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</si>
  <si>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</si>
  <si>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</si>
  <si>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</si>
  <si>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</si>
  <si>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</si>
  <si>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</si>
  <si>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</si>
  <si>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</si>
  <si>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</si>
  <si>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</si>
  <si>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</si>
  <si>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</si>
  <si>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</si>
  <si>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</si>
  <si>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</si>
  <si>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</si>
  <si>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</si>
  <si>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</si>
  <si>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</si>
  <si>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</si>
  <si>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</si>
  <si>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</si>
  <si>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</si>
  <si>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</si>
  <si>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</si>
  <si>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</si>
  <si>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</si>
  <si>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</si>
  <si>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</si>
  <si>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</si>
  <si>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</si>
  <si>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</si>
  <si>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</si>
  <si>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</si>
  <si>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</si>
  <si>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</si>
  <si>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</si>
  <si>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</si>
  <si>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</si>
  <si>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</si>
  <si>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</si>
  <si>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</si>
  <si>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</si>
  <si>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</si>
  <si>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</si>
  <si>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</si>
  <si>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</si>
  <si>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</si>
  <si>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</si>
  <si>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</si>
  <si>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t>关键控制点选择（货币资金循环）</t>
    <phoneticPr fontId="3" type="noConversion"/>
  </si>
  <si>
    <t>了解货币资金循环流程和内部控制记录表</t>
    <phoneticPr fontId="3" type="noConversion"/>
  </si>
  <si>
    <r>
      <rPr>
        <sz val="10"/>
        <rFont val="宋体"/>
        <family val="3"/>
        <charset val="134"/>
      </rPr>
      <t>索引号：</t>
    </r>
    <r>
      <rPr>
        <sz val="10"/>
        <rFont val="Arial Narrow"/>
        <family val="2"/>
      </rPr>
      <t>B23-3</t>
    </r>
    <phoneticPr fontId="3" type="noConversion"/>
  </si>
  <si>
    <t>一、本循环涉及的交易、账户及相关业务活动</t>
    <phoneticPr fontId="2" type="noConversion"/>
  </si>
  <si>
    <t>现金、银行存款、其他货币资金</t>
  </si>
  <si>
    <t>与现金有关的调整Cash-related adjustments</t>
    <phoneticPr fontId="3" type="noConversion"/>
  </si>
  <si>
    <t>货币资金维护Cash maintenance</t>
    <phoneticPr fontId="3" type="noConversion"/>
  </si>
  <si>
    <r>
      <t>1</t>
    </r>
    <r>
      <rPr>
        <sz val="10"/>
        <rFont val="宋体"/>
        <family val="3"/>
        <charset val="134"/>
      </rPr>
      <t>、与现金有关的调整</t>
    </r>
    <r>
      <rPr>
        <sz val="10"/>
        <rFont val="Arial Narrow"/>
        <family val="2"/>
      </rPr>
      <t>Cash-related adjustments</t>
    </r>
    <phoneticPr fontId="2" type="noConversion"/>
  </si>
  <si>
    <r>
      <t>2</t>
    </r>
    <r>
      <rPr>
        <sz val="10"/>
        <rFont val="宋体"/>
        <family val="3"/>
        <charset val="134"/>
      </rPr>
      <t>、货币资金维护</t>
    </r>
    <r>
      <rPr>
        <sz val="10"/>
        <rFont val="Arial Narrow"/>
        <family val="2"/>
      </rPr>
      <t>Cash maintenance</t>
    </r>
    <phoneticPr fontId="2" type="noConversion"/>
  </si>
  <si>
    <r>
      <rPr>
        <sz val="10"/>
        <rFont val="宋体"/>
        <family val="3"/>
        <charset val="134"/>
      </rPr>
      <t>索引号：</t>
    </r>
    <r>
      <rPr>
        <sz val="10"/>
        <rFont val="Arial Narrow"/>
        <family val="2"/>
      </rPr>
      <t>B23-3-1</t>
    </r>
    <phoneticPr fontId="3" type="noConversion"/>
  </si>
  <si>
    <t>存在/发生 Existence/Occurrence</t>
    <phoneticPr fontId="2" type="noConversion"/>
  </si>
  <si>
    <t>无效的已记录现金余额 Recorded cash in bank not valid （V4Recorded cash balance not valid）</t>
    <phoneticPr fontId="2" type="noConversion"/>
  </si>
  <si>
    <t>穿行测试（货币资金循环）</t>
    <phoneticPr fontId="3" type="noConversion"/>
  </si>
  <si>
    <r>
      <rPr>
        <sz val="10"/>
        <rFont val="宋体"/>
        <family val="3"/>
        <charset val="134"/>
      </rPr>
      <t>索引号：</t>
    </r>
    <r>
      <rPr>
        <sz val="10"/>
        <rFont val="Arial Narrow"/>
        <family val="2"/>
      </rPr>
      <t>B23-3-2</t>
    </r>
    <phoneticPr fontId="3" type="noConversion"/>
  </si>
  <si>
    <r>
      <t>与现金有关的调整</t>
    </r>
    <r>
      <rPr>
        <sz val="10"/>
        <rFont val="Arial Narrow"/>
        <family val="2"/>
      </rPr>
      <t>Cash-related adjustments</t>
    </r>
  </si>
  <si>
    <r>
      <t>货币资金维护</t>
    </r>
    <r>
      <rPr>
        <sz val="10"/>
        <rFont val="Arial Narrow"/>
        <family val="2"/>
      </rPr>
      <t>Cash maintenance</t>
    </r>
    <phoneticPr fontId="3" type="noConversion"/>
  </si>
  <si>
    <r>
      <t>无效的已记录现金余额</t>
    </r>
    <r>
      <rPr>
        <sz val="10"/>
        <color rgb="FFFF0000"/>
        <rFont val="Arial Narrow"/>
        <family val="2"/>
      </rPr>
      <t xml:space="preserve"> Recorded cash in bank not valid </t>
    </r>
    <r>
      <rPr>
        <sz val="10"/>
        <color rgb="FFFF0000"/>
        <rFont val="宋体"/>
        <family val="3"/>
        <charset val="134"/>
      </rPr>
      <t>（</t>
    </r>
    <r>
      <rPr>
        <sz val="10"/>
        <color rgb="FFFF0000"/>
        <rFont val="Arial Narrow"/>
        <family val="2"/>
      </rPr>
      <t>V4Recorded cash balance not valid</t>
    </r>
    <r>
      <rPr>
        <sz val="10"/>
        <color rgb="FFFF0000"/>
        <rFont val="宋体"/>
        <family val="3"/>
        <charset val="134"/>
      </rPr>
      <t>）</t>
    </r>
  </si>
  <si>
    <r>
      <t>未对账的库存现金</t>
    </r>
    <r>
      <rPr>
        <sz val="10"/>
        <color rgb="FFFF0000"/>
        <rFont val="Arial Narrow"/>
        <family val="2"/>
      </rPr>
      <t xml:space="preserve"> Recorded cash on hand not valid </t>
    </r>
    <r>
      <rPr>
        <sz val="10"/>
        <color rgb="FFFF0000"/>
        <rFont val="宋体"/>
        <family val="3"/>
        <charset val="134"/>
      </rPr>
      <t>（</t>
    </r>
    <r>
      <rPr>
        <sz val="10"/>
        <color rgb="FFFF0000"/>
        <rFont val="Arial Narrow"/>
        <family val="2"/>
      </rPr>
      <t>V4Cash on hand not reconciled</t>
    </r>
    <r>
      <rPr>
        <sz val="10"/>
        <color rgb="FFFF0000"/>
        <rFont val="宋体"/>
        <family val="3"/>
        <charset val="134"/>
      </rPr>
      <t>）</t>
    </r>
  </si>
  <si>
    <r>
      <t>存在</t>
    </r>
    <r>
      <rPr>
        <b/>
        <sz val="10"/>
        <rFont val="Arial Narrow"/>
        <family val="2"/>
      </rPr>
      <t>/</t>
    </r>
    <r>
      <rPr>
        <b/>
        <sz val="10"/>
        <rFont val="宋体"/>
        <family val="3"/>
        <charset val="134"/>
      </rPr>
      <t>发生</t>
    </r>
    <r>
      <rPr>
        <b/>
        <sz val="10"/>
        <rFont val="Arial Narrow"/>
        <family val="2"/>
      </rPr>
      <t xml:space="preserve"> Existence/Occurrence</t>
    </r>
    <phoneticPr fontId="3" type="noConversion"/>
  </si>
  <si>
    <r>
      <rPr>
        <b/>
        <sz val="10"/>
        <color theme="1"/>
        <rFont val="宋体"/>
        <family val="3"/>
        <charset val="134"/>
      </rPr>
      <t>价值</t>
    </r>
    <r>
      <rPr>
        <b/>
        <sz val="10"/>
        <color theme="1"/>
        <rFont val="Tahoma"/>
        <family val="2"/>
      </rPr>
      <t>-</t>
    </r>
    <r>
      <rPr>
        <b/>
        <sz val="10"/>
        <color theme="1"/>
        <rFont val="宋体"/>
        <family val="3"/>
        <charset val="134"/>
      </rPr>
      <t>毛值</t>
    </r>
    <r>
      <rPr>
        <sz val="10"/>
        <color theme="1"/>
        <rFont val="Tahoma"/>
        <family val="2"/>
      </rPr>
      <t xml:space="preserve"> </t>
    </r>
    <r>
      <rPr>
        <b/>
        <sz val="10"/>
        <color theme="1"/>
        <rFont val="Arial Narrow"/>
        <family val="2"/>
      </rPr>
      <t>Valuation - Gross</t>
    </r>
    <phoneticPr fontId="3" type="noConversion"/>
  </si>
  <si>
    <r>
      <t>未恰当计量的现金账户</t>
    </r>
    <r>
      <rPr>
        <sz val="10"/>
        <color rgb="FFFF0000"/>
        <rFont val="Arial Narrow"/>
        <family val="2"/>
      </rPr>
      <t xml:space="preserve"> Cash accounts denominated in foreign currencies not measured properly </t>
    </r>
    <r>
      <rPr>
        <sz val="10"/>
        <color rgb="FFFF0000"/>
        <rFont val="宋体"/>
        <family val="3"/>
        <charset val="134"/>
      </rPr>
      <t>（</t>
    </r>
    <r>
      <rPr>
        <sz val="10"/>
        <color rgb="FFFF0000"/>
        <rFont val="Arial Narrow"/>
        <family val="2"/>
      </rPr>
      <t>V4Cash accounts not measured properly</t>
    </r>
    <r>
      <rPr>
        <sz val="10"/>
        <color rgb="FFFF0000"/>
        <rFont val="宋体"/>
        <family val="3"/>
        <charset val="134"/>
      </rPr>
      <t>）</t>
    </r>
  </si>
  <si>
    <r>
      <t>非流动现金的存放</t>
    </r>
    <r>
      <rPr>
        <sz val="10"/>
        <color rgb="FFFF0000"/>
        <rFont val="Arial Narrow"/>
        <family val="2"/>
      </rPr>
      <t xml:space="preserve"> Cash repositories not solvent </t>
    </r>
    <r>
      <rPr>
        <sz val="10"/>
        <color rgb="FFFF0000"/>
        <rFont val="宋体"/>
        <family val="3"/>
        <charset val="134"/>
      </rPr>
      <t>（</t>
    </r>
    <r>
      <rPr>
        <sz val="10"/>
        <color rgb="FFFF0000"/>
        <rFont val="Arial Narrow"/>
        <family val="2"/>
      </rPr>
      <t>V4Cash repositories not liquid</t>
    </r>
    <r>
      <rPr>
        <sz val="10"/>
        <color rgb="FFFF0000"/>
        <rFont val="宋体"/>
        <family val="3"/>
        <charset val="134"/>
      </rPr>
      <t>）</t>
    </r>
  </si>
  <si>
    <r>
      <t>价值</t>
    </r>
    <r>
      <rPr>
        <b/>
        <sz val="10"/>
        <rFont val="Arial Narrow"/>
        <family val="2"/>
      </rPr>
      <t>-</t>
    </r>
    <r>
      <rPr>
        <b/>
        <sz val="10"/>
        <rFont val="宋体"/>
        <family val="3"/>
        <charset val="134"/>
      </rPr>
      <t>净值</t>
    </r>
    <r>
      <rPr>
        <b/>
        <sz val="10"/>
        <rFont val="Arial Narrow"/>
        <family val="2"/>
      </rPr>
      <t xml:space="preserve"> Valuation - Net</t>
    </r>
  </si>
  <si>
    <r>
      <rPr>
        <sz val="10"/>
        <rFont val="宋体"/>
        <family val="3"/>
        <charset val="134"/>
      </rPr>
      <t>索引号：</t>
    </r>
    <r>
      <rPr>
        <sz val="10"/>
        <rFont val="Arial Narrow"/>
        <family val="2"/>
      </rPr>
      <t>B23-3-3</t>
    </r>
    <phoneticPr fontId="3" type="noConversion"/>
  </si>
  <si>
    <r>
      <rPr>
        <b/>
        <sz val="10"/>
        <rFont val="宋体"/>
        <family val="3"/>
        <charset val="134"/>
      </rPr>
      <t>编制说明：</t>
    </r>
    <phoneticPr fontId="2"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</si>
  <si>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</si>
  <si>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</si>
  <si>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</si>
  <si>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</si>
  <si>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</si>
  <si>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</si>
  <si>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</si>
  <si>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</si>
  <si>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</si>
  <si>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</si>
  <si>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</si>
  <si>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</si>
  <si>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t>3</t>
    </r>
    <r>
      <rPr>
        <b/>
        <sz val="10"/>
        <rFont val="宋体"/>
        <family val="3"/>
        <charset val="134"/>
      </rPr>
      <t>、控制测试方法解读如下：</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</si>
  <si>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</si>
  <si>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</si>
  <si>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</si>
  <si>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</si>
  <si>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</si>
  <si>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</si>
  <si>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</si>
  <si>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</si>
  <si>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</si>
  <si>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</si>
  <si>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</si>
  <si>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</si>
  <si>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</si>
  <si>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</si>
  <si>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</si>
  <si>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</si>
  <si>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</si>
  <si>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</si>
  <si>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</si>
  <si>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</si>
  <si>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</si>
  <si>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</si>
  <si>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</si>
  <si>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</si>
  <si>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</si>
  <si>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</si>
  <si>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</si>
  <si>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</si>
  <si>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</si>
  <si>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</si>
  <si>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</si>
  <si>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How Audit Team Tests Key Controls</t>
    </r>
    <r>
      <rPr>
        <b/>
        <sz val="9"/>
        <rFont val="宋体"/>
        <family val="3"/>
        <charset val="134"/>
      </rPr>
      <t>审计项目组如何测试关键控制点</t>
    </r>
  </si>
  <si>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</si>
  <si>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</si>
  <si>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t>Not reasonably possible</t>
    </r>
    <r>
      <rPr>
        <b/>
        <sz val="9"/>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</si>
  <si>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</si>
  <si>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</si>
  <si>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</si>
  <si>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</si>
  <si>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</si>
  <si>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</si>
  <si>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</si>
  <si>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</si>
  <si>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</si>
  <si>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二、主要业务活动介绍/货币资金流程图</t>
    </r>
    <r>
      <rPr>
        <b/>
        <i/>
        <sz val="10"/>
        <color rgb="FF0000FF"/>
        <rFont val="宋体"/>
        <family val="3"/>
        <charset val="134"/>
      </rPr>
      <t>（需标注容易出错的领域）</t>
    </r>
    <phoneticPr fontId="3" type="noConversion"/>
  </si>
  <si>
    <r>
      <rPr>
        <sz val="10"/>
        <color rgb="FFFF0000"/>
        <rFont val="宋体"/>
        <family val="3"/>
        <charset val="134"/>
      </rPr>
      <t>未对账的库存现金</t>
    </r>
    <r>
      <rPr>
        <sz val="10"/>
        <color rgb="FFFF0000"/>
        <rFont val="Arial Narrow"/>
        <family val="2"/>
      </rPr>
      <t xml:space="preserve"> Recorded cash on hand not valid </t>
    </r>
    <r>
      <rPr>
        <sz val="10"/>
        <color rgb="FFFF0000"/>
        <rFont val="宋体"/>
        <family val="3"/>
        <charset val="134"/>
      </rPr>
      <t>（</t>
    </r>
    <r>
      <rPr>
        <sz val="10"/>
        <color rgb="FFFF0000"/>
        <rFont val="Arial Narrow"/>
        <family val="2"/>
      </rPr>
      <t>V4Cash on hand not reconciled</t>
    </r>
    <r>
      <rPr>
        <sz val="10"/>
        <color rgb="FFFF0000"/>
        <rFont val="宋体"/>
        <family val="3"/>
        <charset val="134"/>
      </rPr>
      <t>）</t>
    </r>
    <phoneticPr fontId="2" type="noConversion"/>
  </si>
  <si>
    <r>
      <t>B23-3</t>
    </r>
    <r>
      <rPr>
        <u/>
        <sz val="10"/>
        <color indexed="12"/>
        <rFont val="宋体"/>
        <family val="3"/>
        <charset val="134"/>
      </rPr>
      <t>了解货币资金循环流程和内部控制记录表</t>
    </r>
    <phoneticPr fontId="3" type="noConversion"/>
  </si>
  <si>
    <r>
      <t>B23-3-1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</si>
  <si>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</si>
  <si>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t>拟测试的控制</t>
    <phoneticPr fontId="3" type="noConversion"/>
  </si>
  <si>
    <r>
      <rPr>
        <sz val="10"/>
        <rFont val="宋体"/>
        <family val="3"/>
        <charset val="134"/>
      </rPr>
      <t>索引号：</t>
    </r>
    <r>
      <rPr>
        <sz val="10"/>
        <rFont val="Arial Narrow"/>
        <family val="2"/>
      </rPr>
      <t>B23-3-4</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</si>
  <si>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</si>
  <si>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</si>
  <si>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t>B23-3-2</t>
    </r>
    <r>
      <rPr>
        <u/>
        <sz val="10"/>
        <color indexed="12"/>
        <rFont val="宋体"/>
        <family val="3"/>
        <charset val="134"/>
      </rPr>
      <t>穿行测试</t>
    </r>
    <phoneticPr fontId="3" type="noConversion"/>
  </si>
  <si>
    <r>
      <t>B23-3-3</t>
    </r>
    <r>
      <rPr>
        <u/>
        <sz val="10"/>
        <color indexed="12"/>
        <rFont val="宋体"/>
        <family val="3"/>
        <charset val="134"/>
      </rPr>
      <t>关键控制点选择表（财报审计适用）</t>
    </r>
    <phoneticPr fontId="3" type="noConversion"/>
  </si>
  <si>
    <r>
      <t>B23-3-4</t>
    </r>
    <r>
      <rPr>
        <u/>
        <sz val="10"/>
        <color indexed="12"/>
        <rFont val="宋体"/>
        <family val="3"/>
        <charset val="134"/>
      </rPr>
      <t>关键控制点选择表（整合审计适用）</t>
    </r>
    <phoneticPr fontId="2"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</si>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</sst>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1">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10"/>
      <color theme="1"/>
      <name val="Tahoma"/>
      <family val="2"/>
    </font>
    <font>
      <b/>
      <sz val="10"/>
      <color theme="1"/>
      <name val="Tahoma"/>
      <family val="2"/>
    </font>
    <font>
      <b/>
      <sz val="9"/>
      <name val="Arial Narrow"/>
      <family val="2"/>
    </font>
    <font>
      <b/>
      <sz val="9"/>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10"/>
      <color rgb="FFFF0000"/>
      <name val="宋体"/>
      <family val="3"/>
      <charset val="134"/>
    </font>
    <font>
      <b/>
      <sz val="10"/>
      <color rgb="FFFF0000"/>
      <name val="Arial Narrow"/>
      <family val="2"/>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70">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0" fontId="61" fillId="0" borderId="24"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5"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93" fillId="30" borderId="24"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5"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77" fillId="0" borderId="29" xfId="188" applyBorder="1" applyAlignment="1">
      <protection locked="0"/>
    </xf>
    <xf numFmtId="0" fontId="4" fillId="0" borderId="0" xfId="0" applyFont="1" applyAlignment="1" applyProtection="1">
      <alignment vertical="center" wrapText="1"/>
      <protection locked="0"/>
    </xf>
    <xf numFmtId="0" fontId="55" fillId="0" borderId="0" xfId="187" applyFont="1" applyBorder="1" applyAlignment="1">
      <alignment horizontal="left" vertical="center"/>
    </xf>
    <xf numFmtId="0" fontId="55" fillId="0" borderId="24" xfId="154" applyFont="1" applyBorder="1" applyAlignment="1">
      <alignment vertical="center" wrapText="1"/>
      <protection locked="0"/>
    </xf>
    <xf numFmtId="0" fontId="55" fillId="0" borderId="24" xfId="154" applyFont="1" applyFill="1" applyBorder="1">
      <alignment vertical="center"/>
      <protection locked="0"/>
    </xf>
    <xf numFmtId="0" fontId="55" fillId="0" borderId="24" xfId="154" applyFont="1" applyBorder="1">
      <alignment vertical="center"/>
      <protection locked="0"/>
    </xf>
    <xf numFmtId="0" fontId="59" fillId="30" borderId="24" xfId="189" applyFont="1" applyFill="1" applyBorder="1" applyAlignment="1">
      <alignment vertical="center"/>
    </xf>
    <xf numFmtId="0" fontId="94" fillId="30" borderId="24" xfId="189" applyFont="1" applyFill="1" applyBorder="1" applyAlignment="1">
      <alignment vertical="center"/>
    </xf>
    <xf numFmtId="0" fontId="61" fillId="30" borderId="24" xfId="189" applyFont="1" applyFill="1" applyBorder="1" applyAlignment="1">
      <alignment vertical="center"/>
    </xf>
    <xf numFmtId="0" fontId="69" fillId="0" borderId="0" xfId="0" applyFont="1" applyAlignment="1" applyProtection="1">
      <alignment vertical="center"/>
      <protection locked="0"/>
    </xf>
    <xf numFmtId="0" fontId="102" fillId="35" borderId="31" xfId="154" applyFont="1" applyFill="1" applyBorder="1" applyAlignment="1">
      <alignment vertical="center" wrapText="1"/>
      <protection locked="0"/>
    </xf>
    <xf numFmtId="0" fontId="102" fillId="35" borderId="31" xfId="154" applyFont="1" applyFill="1" applyBorder="1" applyAlignment="1">
      <alignment horizontal="center" vertical="center" wrapText="1"/>
      <protection locked="0"/>
    </xf>
    <xf numFmtId="0" fontId="4" fillId="0" borderId="0" xfId="0" applyFont="1" applyAlignment="1" applyProtection="1">
      <alignment vertical="center" wrapText="1"/>
      <protection locked="0"/>
    </xf>
    <xf numFmtId="0" fontId="100" fillId="34" borderId="31" xfId="154" applyFont="1" applyFill="1" applyBorder="1" applyAlignment="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93" fillId="0" borderId="24" xfId="0" applyFont="1" applyBorder="1">
      <alignment vertical="center"/>
    </xf>
    <xf numFmtId="0" fontId="93" fillId="0" borderId="24" xfId="154" applyFont="1" applyBorder="1">
      <alignment vertical="center"/>
      <protection locked="0"/>
    </xf>
    <xf numFmtId="0" fontId="93" fillId="0" borderId="24" xfId="0" applyFont="1" applyBorder="1" applyAlignment="1">
      <alignment vertical="center"/>
    </xf>
    <xf numFmtId="0" fontId="94" fillId="0" borderId="24" xfId="0" applyFont="1" applyBorder="1">
      <alignment vertical="center"/>
    </xf>
    <xf numFmtId="0" fontId="4" fillId="0" borderId="0" xfId="154" applyFont="1" applyAlignment="1">
      <alignment vertical="center"/>
      <protection locked="0"/>
    </xf>
    <xf numFmtId="0" fontId="45" fillId="34" borderId="32" xfId="154" applyFont="1" applyFill="1" applyBorder="1" applyAlignment="1">
      <alignment vertical="center" wrapText="1"/>
      <protection locked="0"/>
    </xf>
    <xf numFmtId="0" fontId="4" fillId="0" borderId="0" xfId="154" applyFont="1" applyAlignment="1">
      <alignment horizontal="center" vertical="center"/>
      <protection locked="0"/>
    </xf>
    <xf numFmtId="0" fontId="110" fillId="35" borderId="31" xfId="154" applyFont="1" applyFill="1" applyBorder="1" applyAlignment="1">
      <alignment vertical="center" wrapText="1"/>
      <protection locked="0"/>
    </xf>
    <xf numFmtId="0" fontId="77" fillId="0" borderId="30" xfId="188" applyBorder="1" applyAlignmen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0" fontId="95" fillId="0" borderId="25" xfId="154" applyFont="1" applyBorder="1" applyAlignment="1">
      <alignment horizontal="center" vertical="center" wrapText="1"/>
      <protection locked="0"/>
    </xf>
    <xf numFmtId="0" fontId="95" fillId="0" borderId="26"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110" fillId="35" borderId="31" xfId="154" applyFont="1" applyFill="1" applyBorder="1" applyAlignment="1">
      <alignment horizontal="center" vertical="center" wrapText="1"/>
      <protection locked="0"/>
    </xf>
    <xf numFmtId="0" fontId="4" fillId="0" borderId="0" xfId="0" applyFont="1" applyAlignment="1" applyProtection="1">
      <alignment vertical="center" wrapText="1"/>
      <protection locked="0"/>
    </xf>
    <xf numFmtId="0" fontId="4" fillId="0" borderId="0" xfId="190" applyFont="1" applyAlignment="1">
      <alignment horizontal="left" vertical="center" wrapText="1"/>
      <protection locked="0"/>
    </xf>
    <xf numFmtId="0" fontId="45" fillId="34" borderId="31" xfId="154" applyFont="1" applyFill="1" applyBorder="1" applyAlignment="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104" fillId="35" borderId="31" xfId="154" applyFont="1" applyFill="1" applyBorder="1" applyAlignment="1">
      <alignment horizontal="left" vertical="center" wrapText="1"/>
      <protection locked="0"/>
    </xf>
    <xf numFmtId="0" fontId="100" fillId="34" borderId="31" xfId="154" applyFont="1" applyFill="1" applyBorder="1" applyAlignment="1">
      <alignment horizontal="center" vertical="center" wrapText="1"/>
      <protection locked="0"/>
    </xf>
    <xf numFmtId="0" fontId="102" fillId="35" borderId="31" xfId="154" applyFont="1" applyFill="1" applyBorder="1" applyAlignment="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9" sqref="C9"/>
    </sheetView>
  </sheetViews>
  <sheetFormatPr defaultRowHeight="15.75"/>
  <cols>
    <col min="1" max="1" width="73.25" style="45" customWidth="1"/>
    <col min="2" max="2" width="5.375" style="45" customWidth="1"/>
    <col min="3" max="3" width="36.75" style="45" customWidth="1"/>
    <col min="4" max="16384" width="9" style="45"/>
  </cols>
  <sheetData>
    <row r="1" spans="1:8" s="41" customFormat="1" ht="20.100000000000001" customHeight="1">
      <c r="A1" s="39" t="s">
        <v>47</v>
      </c>
      <c r="B1" s="40" t="s">
        <v>48</v>
      </c>
      <c r="C1" s="40" t="s">
        <v>49</v>
      </c>
    </row>
    <row r="2" spans="1:8" ht="20.100000000000001" customHeight="1">
      <c r="A2" s="42" t="s">
        <v>50</v>
      </c>
      <c r="B2" s="43">
        <v>1</v>
      </c>
      <c r="C2" s="116" t="s">
        <v>193</v>
      </c>
      <c r="D2" s="44"/>
      <c r="E2" s="44"/>
      <c r="F2" s="44"/>
      <c r="G2" s="44"/>
      <c r="H2" s="44"/>
    </row>
    <row r="3" spans="1:8" ht="20.100000000000001" customHeight="1">
      <c r="A3" s="42" t="s">
        <v>51</v>
      </c>
      <c r="B3" s="43">
        <v>2</v>
      </c>
      <c r="C3" s="116" t="s">
        <v>194</v>
      </c>
      <c r="D3" s="44"/>
      <c r="E3" s="44"/>
      <c r="F3" s="44"/>
      <c r="G3" s="44"/>
      <c r="H3" s="46"/>
    </row>
    <row r="4" spans="1:8" ht="20.100000000000001" customHeight="1">
      <c r="A4" s="42" t="s">
        <v>52</v>
      </c>
      <c r="B4" s="43">
        <v>3</v>
      </c>
      <c r="C4" s="116" t="s">
        <v>200</v>
      </c>
      <c r="E4" s="47"/>
      <c r="F4" s="47"/>
      <c r="G4" s="47"/>
      <c r="H4" s="47"/>
    </row>
    <row r="5" spans="1:8" ht="20.100000000000001" customHeight="1">
      <c r="A5" s="42" t="s">
        <v>53</v>
      </c>
      <c r="B5" s="43">
        <v>4</v>
      </c>
      <c r="C5" s="116" t="s">
        <v>201</v>
      </c>
    </row>
    <row r="6" spans="1:8" ht="20.100000000000001" customHeight="1">
      <c r="B6" s="51">
        <v>5</v>
      </c>
      <c r="C6" s="139" t="s">
        <v>202</v>
      </c>
    </row>
    <row r="7" spans="1:8" ht="20.100000000000001" customHeight="1"/>
    <row r="8" spans="1:8" ht="20.100000000000001" customHeight="1">
      <c r="A8" s="48" t="s">
        <v>54</v>
      </c>
    </row>
    <row r="9" spans="1:8" ht="20.100000000000001" customHeight="1">
      <c r="A9" s="49" t="s">
        <v>55</v>
      </c>
    </row>
    <row r="10" spans="1:8" ht="45.75" customHeight="1">
      <c r="A10" s="50" t="s">
        <v>56</v>
      </c>
    </row>
    <row r="11" spans="1:8" ht="22.5" customHeight="1">
      <c r="A11" s="49" t="s">
        <v>57</v>
      </c>
    </row>
    <row r="12" spans="1:8" ht="36.75" customHeight="1">
      <c r="A12" s="50" t="s">
        <v>58</v>
      </c>
    </row>
    <row r="13" spans="1:8" ht="21.75" customHeight="1">
      <c r="A13" s="50" t="s">
        <v>59</v>
      </c>
    </row>
    <row r="14" spans="1:8">
      <c r="A14" s="50"/>
    </row>
  </sheetData>
  <phoneticPr fontId="2" type="noConversion"/>
  <hyperlinks>
    <hyperlink ref="C2" location="'B23-3了解货币资金循环流程和内部控制记录表'!A1" display="B23-3了解货币资金循环流程和内部控制记录表"/>
    <hyperlink ref="C3" location="'B23-3-1链接-企业对财务报表风险的应对'!A1" display="B23-3-1链接-企业对财务报表风险的应对"/>
    <hyperlink ref="C4" location="'B23-3-2穿行测试'!A1" display="B23-3-2穿行测试"/>
    <hyperlink ref="C5" location="'B23-3-3关键控制点选择表（财报审计适用）'!A1" display="B23-3-3关键控制点选择表（财报审计适用）"/>
    <hyperlink ref="C6" location="'B23-3-4关键控制点选择表（整合审计适用）'!A1" display="B23-3-4关键控制点选择表（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8"/>
  <sheetViews>
    <sheetView zoomScaleSheetLayoutView="120" workbookViewId="0">
      <selection sqref="A1:E1"/>
    </sheetView>
  </sheetViews>
  <sheetFormatPr defaultRowHeight="15.75"/>
  <cols>
    <col min="1" max="1" width="11" style="14" customWidth="1"/>
    <col min="2" max="2" width="26.25" style="1" customWidth="1"/>
    <col min="3" max="3" width="15.125" style="1" customWidth="1"/>
    <col min="4" max="4" width="23.375" style="1" customWidth="1"/>
    <col min="5" max="5" width="15.5" style="1" customWidth="1"/>
    <col min="6" max="16384" width="9" style="1"/>
  </cols>
  <sheetData>
    <row r="1" spans="1:5">
      <c r="A1" s="146" t="s">
        <v>4</v>
      </c>
      <c r="B1" s="146"/>
      <c r="C1" s="146"/>
      <c r="D1" s="146"/>
      <c r="E1" s="146"/>
    </row>
    <row r="2" spans="1:5" ht="33" customHeight="1">
      <c r="A2" s="147" t="s">
        <v>110</v>
      </c>
      <c r="B2" s="148"/>
      <c r="C2" s="148"/>
      <c r="D2" s="148"/>
      <c r="E2" s="148"/>
    </row>
    <row r="3" spans="1:5" ht="20.25" customHeight="1">
      <c r="A3" s="2" t="str">
        <f>'表头（请先填写）'!A2</f>
        <v>客户名称：</v>
      </c>
      <c r="C3" s="3" t="str">
        <f>'表头（请先填写）'!A4</f>
        <v>编制人：</v>
      </c>
      <c r="D3" s="4" t="str">
        <f>'表头（请先填写）'!A5</f>
        <v>日 期：</v>
      </c>
      <c r="E3" s="4" t="s">
        <v>111</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60" t="s">
        <v>112</v>
      </c>
      <c r="B6" s="3"/>
      <c r="D6" s="4"/>
      <c r="E6" s="4"/>
    </row>
    <row r="7" spans="1:5" ht="20.25" customHeight="1">
      <c r="A7" s="19" t="s">
        <v>7</v>
      </c>
      <c r="B7" s="20"/>
      <c r="D7" s="4"/>
      <c r="E7" s="4"/>
    </row>
    <row r="8" spans="1:5" ht="20.25" customHeight="1">
      <c r="A8" s="118" t="s">
        <v>113</v>
      </c>
      <c r="D8" s="4"/>
      <c r="E8" s="4"/>
    </row>
    <row r="9" spans="1:5" ht="20.25" customHeight="1">
      <c r="A9" s="19" t="s">
        <v>8</v>
      </c>
      <c r="B9" s="20"/>
      <c r="C9" s="20"/>
      <c r="D9" s="20"/>
      <c r="E9" s="4"/>
    </row>
    <row r="10" spans="1:5" ht="27" customHeight="1">
      <c r="A10" s="77" t="s">
        <v>9</v>
      </c>
      <c r="B10" s="21" t="s">
        <v>10</v>
      </c>
      <c r="C10" s="22" t="s">
        <v>11</v>
      </c>
      <c r="D10" s="149" t="s">
        <v>12</v>
      </c>
      <c r="E10" s="150"/>
    </row>
    <row r="11" spans="1:5" s="18" customFormat="1" ht="30" customHeight="1">
      <c r="A11" s="76">
        <v>1</v>
      </c>
      <c r="B11" s="119" t="s">
        <v>114</v>
      </c>
      <c r="C11" s="114" t="s">
        <v>106</v>
      </c>
      <c r="D11" s="151" t="s">
        <v>3</v>
      </c>
      <c r="E11" s="152"/>
    </row>
    <row r="12" spans="1:5" s="18" customFormat="1" ht="27" customHeight="1">
      <c r="A12" s="76">
        <v>2</v>
      </c>
      <c r="B12" s="119" t="s">
        <v>115</v>
      </c>
      <c r="C12" s="114" t="s">
        <v>107</v>
      </c>
      <c r="D12" s="151" t="s">
        <v>3</v>
      </c>
      <c r="E12" s="152"/>
    </row>
    <row r="13" spans="1:5" s="18" customFormat="1" ht="27" customHeight="1">
      <c r="A13" s="23"/>
      <c r="B13" s="23" t="s">
        <v>13</v>
      </c>
      <c r="C13" s="24"/>
      <c r="D13" s="153"/>
      <c r="E13" s="154"/>
    </row>
    <row r="14" spans="1:5" ht="20.25" customHeight="1">
      <c r="A14" s="2"/>
      <c r="B14" s="3"/>
      <c r="D14" s="4"/>
      <c r="E14" s="4"/>
    </row>
    <row r="15" spans="1:5">
      <c r="A15" s="78" t="s">
        <v>84</v>
      </c>
    </row>
    <row r="16" spans="1:5">
      <c r="A16" s="115" t="s">
        <v>108</v>
      </c>
      <c r="B16" s="5" t="s">
        <v>14</v>
      </c>
      <c r="C16" s="5" t="s">
        <v>1</v>
      </c>
      <c r="D16" s="5" t="s">
        <v>15</v>
      </c>
      <c r="E16" s="5" t="s">
        <v>16</v>
      </c>
    </row>
    <row r="17" spans="1:5">
      <c r="A17" s="6" t="s">
        <v>17</v>
      </c>
      <c r="B17" s="7"/>
      <c r="C17" s="7"/>
      <c r="D17" s="7"/>
      <c r="E17" s="7"/>
    </row>
    <row r="18" spans="1:5">
      <c r="A18" s="6"/>
      <c r="B18" s="7"/>
      <c r="C18" s="7"/>
      <c r="D18" s="7"/>
      <c r="E18" s="7"/>
    </row>
    <row r="19" spans="1:5">
      <c r="A19" s="6"/>
      <c r="B19" s="7"/>
      <c r="C19" s="7"/>
      <c r="D19" s="7"/>
      <c r="E19" s="7"/>
    </row>
    <row r="20" spans="1:5">
      <c r="A20" s="6"/>
      <c r="B20" s="7"/>
      <c r="C20" s="7"/>
      <c r="D20" s="7"/>
      <c r="E20" s="7"/>
    </row>
    <row r="21" spans="1:5">
      <c r="A21" s="6" t="s">
        <v>2</v>
      </c>
      <c r="B21" s="7"/>
      <c r="C21" s="7"/>
      <c r="D21" s="7"/>
      <c r="E21" s="7"/>
    </row>
    <row r="22" spans="1:5">
      <c r="A22" s="6"/>
      <c r="B22" s="7"/>
      <c r="C22" s="7"/>
      <c r="D22" s="7"/>
      <c r="E22" s="7"/>
    </row>
    <row r="23" spans="1:5">
      <c r="A23" s="6"/>
      <c r="B23" s="7"/>
      <c r="C23" s="7"/>
      <c r="D23" s="7"/>
      <c r="E23" s="7"/>
    </row>
    <row r="24" spans="1:5">
      <c r="A24" s="6"/>
      <c r="B24" s="7"/>
      <c r="C24" s="7"/>
      <c r="D24" s="7"/>
      <c r="E24" s="7"/>
    </row>
    <row r="25" spans="1:5">
      <c r="A25" s="6" t="s">
        <v>18</v>
      </c>
      <c r="B25" s="7"/>
      <c r="C25" s="7"/>
      <c r="D25" s="7"/>
      <c r="E25" s="7"/>
    </row>
    <row r="26" spans="1:5">
      <c r="A26" s="6"/>
      <c r="B26" s="7"/>
      <c r="C26" s="7"/>
      <c r="D26" s="7"/>
      <c r="E26" s="7"/>
    </row>
    <row r="27" spans="1:5">
      <c r="A27" s="6"/>
      <c r="B27" s="7"/>
      <c r="C27" s="7"/>
      <c r="D27" s="7"/>
      <c r="E27" s="7"/>
    </row>
    <row r="28" spans="1:5">
      <c r="A28" s="6"/>
      <c r="B28" s="7"/>
      <c r="C28" s="7"/>
      <c r="D28" s="7"/>
      <c r="E28" s="7"/>
    </row>
    <row r="29" spans="1:5">
      <c r="A29" s="6" t="s">
        <v>19</v>
      </c>
      <c r="B29" s="7"/>
      <c r="C29" s="7"/>
      <c r="D29" s="7"/>
      <c r="E29" s="7"/>
    </row>
    <row r="30" spans="1:5">
      <c r="A30" s="6"/>
      <c r="B30" s="7"/>
      <c r="C30" s="7"/>
      <c r="D30" s="7"/>
      <c r="E30" s="7"/>
    </row>
    <row r="31" spans="1:5">
      <c r="A31" s="8"/>
      <c r="B31" s="8"/>
      <c r="C31" s="8"/>
      <c r="D31" s="8"/>
      <c r="E31" s="8"/>
    </row>
    <row r="32" spans="1:5">
      <c r="A32" s="8"/>
      <c r="B32" s="8"/>
      <c r="C32" s="8"/>
      <c r="D32" s="8"/>
      <c r="E32" s="8"/>
    </row>
    <row r="34" spans="1:5" s="9" customFormat="1" ht="25.5" customHeight="1">
      <c r="A34" s="60" t="s">
        <v>191</v>
      </c>
    </row>
    <row r="35" spans="1:5" s="9" customFormat="1" ht="19.5" customHeight="1">
      <c r="A35" s="10" t="s">
        <v>116</v>
      </c>
      <c r="B35" s="11"/>
      <c r="C35" s="11"/>
      <c r="D35" s="11"/>
      <c r="E35" s="11"/>
    </row>
    <row r="36" spans="1:5" s="9" customFormat="1" ht="25.5" customHeight="1">
      <c r="A36" s="140"/>
      <c r="B36" s="141"/>
      <c r="C36" s="141"/>
      <c r="D36" s="141"/>
      <c r="E36" s="142"/>
    </row>
    <row r="37" spans="1:5" s="9" customFormat="1" ht="25.5" customHeight="1">
      <c r="A37" s="143"/>
      <c r="B37" s="144"/>
      <c r="C37" s="144"/>
      <c r="D37" s="144"/>
      <c r="E37" s="145"/>
    </row>
    <row r="38" spans="1:5" s="9" customFormat="1" ht="19.5" customHeight="1">
      <c r="A38" s="15" t="s">
        <v>117</v>
      </c>
      <c r="B38" s="12"/>
      <c r="C38" s="12"/>
      <c r="D38" s="12"/>
      <c r="E38" s="12"/>
    </row>
    <row r="39" spans="1:5" s="9" customFormat="1" ht="25.5" customHeight="1">
      <c r="A39" s="140"/>
      <c r="B39" s="141"/>
      <c r="C39" s="141"/>
      <c r="D39" s="141"/>
      <c r="E39" s="142"/>
    </row>
    <row r="40" spans="1:5" s="9" customFormat="1" ht="30.75" customHeight="1">
      <c r="A40" s="143"/>
      <c r="B40" s="144"/>
      <c r="C40" s="144"/>
      <c r="D40" s="144"/>
      <c r="E40" s="145"/>
    </row>
    <row r="41" spans="1:5" s="9" customFormat="1" ht="3.75" customHeight="1">
      <c r="A41" s="61"/>
      <c r="B41" s="61"/>
      <c r="C41" s="61"/>
      <c r="D41" s="61"/>
      <c r="E41" s="61"/>
    </row>
    <row r="42" spans="1:5" s="9" customFormat="1" ht="12.75">
      <c r="A42" s="13"/>
    </row>
    <row r="43" spans="1:5" s="9" customFormat="1" ht="12.75">
      <c r="A43" s="13"/>
    </row>
    <row r="44" spans="1:5" s="9" customFormat="1" ht="12.75">
      <c r="A44" s="13"/>
    </row>
    <row r="45" spans="1:5" s="9" customFormat="1" ht="12.75">
      <c r="A45" s="13"/>
    </row>
    <row r="46" spans="1:5" s="9" customFormat="1" ht="12.75">
      <c r="A46" s="13"/>
    </row>
    <row r="47" spans="1:5" s="9" customFormat="1" ht="12.75">
      <c r="A47" s="13"/>
    </row>
    <row r="48" spans="1:5" s="9" customFormat="1" ht="12.75">
      <c r="A48" s="13"/>
    </row>
    <row r="49" spans="1:1" s="9" customFormat="1" ht="12.75">
      <c r="A49" s="13"/>
    </row>
    <row r="50" spans="1:1" s="9" customFormat="1" ht="12.75">
      <c r="A50" s="13"/>
    </row>
    <row r="51" spans="1:1" s="9" customFormat="1" ht="12.75">
      <c r="A51" s="13"/>
    </row>
    <row r="52" spans="1:1" s="9" customFormat="1" ht="12.75">
      <c r="A52" s="13"/>
    </row>
    <row r="53" spans="1:1" s="9" customFormat="1" ht="12.75">
      <c r="A53" s="13"/>
    </row>
    <row r="54" spans="1:1" s="9" customFormat="1" ht="12.75">
      <c r="A54" s="13"/>
    </row>
    <row r="55" spans="1:1" s="9" customFormat="1" ht="12.75">
      <c r="A55" s="13"/>
    </row>
    <row r="56" spans="1:1" s="9" customFormat="1" ht="12.75">
      <c r="A56" s="13"/>
    </row>
    <row r="57" spans="1:1" s="9" customFormat="1" ht="12.75">
      <c r="A57" s="13"/>
    </row>
    <row r="58" spans="1:1" s="9" customFormat="1" ht="12.75">
      <c r="A58" s="13"/>
    </row>
  </sheetData>
  <mergeCells count="8">
    <mergeCell ref="A36:E37"/>
    <mergeCell ref="A39:E40"/>
    <mergeCell ref="A1:E1"/>
    <mergeCell ref="A2:E2"/>
    <mergeCell ref="D10:E10"/>
    <mergeCell ref="D11:E11"/>
    <mergeCell ref="D12:E12"/>
    <mergeCell ref="D13:E13"/>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0"/>
  <sheetViews>
    <sheetView view="pageBreakPreview" zoomScale="115" zoomScaleSheetLayoutView="115" workbookViewId="0">
      <selection sqref="A1:E1"/>
    </sheetView>
  </sheetViews>
  <sheetFormatPr defaultRowHeight="16.5"/>
  <cols>
    <col min="1" max="1" width="25.75" style="25" customWidth="1"/>
    <col min="2" max="2" width="53.25" style="25" customWidth="1"/>
    <col min="3" max="3" width="8.375" style="25" customWidth="1"/>
    <col min="4" max="4" width="14.75" style="25" customWidth="1"/>
    <col min="5" max="5" width="35.25" style="25" customWidth="1"/>
    <col min="6" max="16384" width="9" style="25"/>
  </cols>
  <sheetData>
    <row r="1" spans="1:5" ht="18.75" customHeight="1">
      <c r="A1" s="146" t="s">
        <v>4</v>
      </c>
      <c r="B1" s="146"/>
      <c r="C1" s="146"/>
      <c r="D1" s="146"/>
      <c r="E1" s="146"/>
    </row>
    <row r="2" spans="1:5" ht="33" customHeight="1">
      <c r="A2" s="148" t="s">
        <v>23</v>
      </c>
      <c r="B2" s="148"/>
      <c r="C2" s="148"/>
      <c r="D2" s="148"/>
      <c r="E2" s="148"/>
    </row>
    <row r="3" spans="1:5" ht="24.75" customHeight="1">
      <c r="A3" s="2" t="str">
        <f>'表头（请先填写）'!A2</f>
        <v>客户名称：</v>
      </c>
      <c r="B3" s="4" t="str">
        <f>'表头（请先填写）'!A4</f>
        <v>编制人：</v>
      </c>
      <c r="C3" s="4" t="str">
        <f>'表头（请先填写）'!A5</f>
        <v>日 期：</v>
      </c>
      <c r="D3" s="4"/>
      <c r="E3" s="53" t="s">
        <v>118</v>
      </c>
    </row>
    <row r="4" spans="1:5" ht="24.75" customHeight="1">
      <c r="A4" s="2" t="str">
        <f>'表头（请先填写）'!A3</f>
        <v>会计期间：2013年度</v>
      </c>
      <c r="B4" s="4" t="s">
        <v>5</v>
      </c>
      <c r="C4" s="4" t="s">
        <v>0</v>
      </c>
      <c r="D4" s="4"/>
      <c r="E4" s="56" t="s">
        <v>86</v>
      </c>
    </row>
    <row r="5" spans="1:5" s="27" customFormat="1" ht="18" customHeight="1">
      <c r="A5" s="26" t="s">
        <v>85</v>
      </c>
      <c r="B5" s="52" t="s">
        <v>195</v>
      </c>
      <c r="C5" s="52" t="s">
        <v>60</v>
      </c>
      <c r="D5" s="55" t="s">
        <v>75</v>
      </c>
      <c r="E5" s="52" t="s">
        <v>61</v>
      </c>
    </row>
    <row r="6" spans="1:5" s="28" customFormat="1" ht="27.75" customHeight="1">
      <c r="A6" s="131" t="s">
        <v>119</v>
      </c>
      <c r="B6" s="132" t="s">
        <v>120</v>
      </c>
      <c r="C6" s="34"/>
      <c r="D6" s="34" t="s">
        <v>76</v>
      </c>
      <c r="E6" s="62" t="s">
        <v>78</v>
      </c>
    </row>
    <row r="7" spans="1:5" s="28" customFormat="1" ht="18" customHeight="1">
      <c r="A7" s="131"/>
      <c r="B7" s="133"/>
      <c r="C7" s="34"/>
      <c r="D7" s="34" t="s">
        <v>77</v>
      </c>
      <c r="E7" s="62"/>
    </row>
    <row r="8" spans="1:5" s="28" customFormat="1" ht="18" customHeight="1">
      <c r="A8" s="131" t="s">
        <v>119</v>
      </c>
      <c r="B8" s="131" t="s">
        <v>192</v>
      </c>
      <c r="C8" s="34"/>
      <c r="D8" s="34"/>
      <c r="E8" s="33"/>
    </row>
    <row r="9" spans="1:5">
      <c r="A9" s="131" t="s">
        <v>22</v>
      </c>
      <c r="B9" s="134" t="s">
        <v>129</v>
      </c>
      <c r="C9" s="34"/>
      <c r="D9" s="34"/>
      <c r="E9" s="33"/>
    </row>
    <row r="10" spans="1:5" s="28" customFormat="1" ht="12.75">
      <c r="A10" s="131" t="s">
        <v>21</v>
      </c>
      <c r="B10" s="134" t="s">
        <v>130</v>
      </c>
      <c r="C10" s="34"/>
      <c r="D10" s="34"/>
      <c r="E10" s="33"/>
    </row>
    <row r="11" spans="1:5" s="28" customFormat="1" ht="16.5" customHeight="1">
      <c r="A11" s="58"/>
      <c r="B11" s="58"/>
      <c r="C11" s="59"/>
      <c r="D11" s="59"/>
      <c r="E11" s="58"/>
    </row>
    <row r="12" spans="1:5" s="28" customFormat="1" ht="16.5" customHeight="1">
      <c r="A12" s="58"/>
      <c r="B12" s="58"/>
      <c r="C12" s="59"/>
      <c r="D12" s="59"/>
      <c r="E12" s="58"/>
    </row>
    <row r="13" spans="1:5" s="28" customFormat="1" ht="12.75">
      <c r="A13" s="79" t="s">
        <v>87</v>
      </c>
    </row>
    <row r="14" spans="1:5" s="28" customFormat="1" ht="12.75">
      <c r="A14" s="80" t="s">
        <v>88</v>
      </c>
    </row>
    <row r="15" spans="1:5" s="28" customFormat="1" ht="12.75">
      <c r="A15" s="80" t="s">
        <v>89</v>
      </c>
    </row>
    <row r="16" spans="1:5" s="28" customFormat="1" ht="12.75">
      <c r="A16" s="80" t="s">
        <v>90</v>
      </c>
    </row>
    <row r="17" spans="1:1" s="28" customFormat="1" ht="12.75">
      <c r="A17" s="80" t="s">
        <v>91</v>
      </c>
    </row>
    <row r="18" spans="1:1" s="28" customFormat="1" ht="12.75"/>
    <row r="27" spans="1:1">
      <c r="A27" s="38" t="s">
        <v>37</v>
      </c>
    </row>
    <row r="28" spans="1:1">
      <c r="A28" s="25" t="s">
        <v>38</v>
      </c>
    </row>
    <row r="29" spans="1:1">
      <c r="A29" s="17"/>
    </row>
    <row r="30" spans="1:1">
      <c r="A30" s="29"/>
    </row>
  </sheetData>
  <mergeCells count="2">
    <mergeCell ref="A1:E1"/>
    <mergeCell ref="A2:E2"/>
  </mergeCells>
  <phoneticPr fontId="2" type="noConversion"/>
  <dataValidations count="1">
    <dataValidation type="list" allowBlank="1" showInputMessage="1" showErrorMessage="1" sqref="C6:C12">
      <formula1>$A$27:$A$28</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0"/>
  <sheetViews>
    <sheetView tabSelected="1" view="pageBreakPreview" zoomScale="115" zoomScaleSheetLayoutView="115" workbookViewId="0">
      <selection activeCell="D9" sqref="D9"/>
    </sheetView>
  </sheetViews>
  <sheetFormatPr defaultRowHeight="15.75"/>
  <cols>
    <col min="1" max="1" width="8.625" style="29" customWidth="1"/>
    <col min="2" max="2" width="4.375" style="29" customWidth="1"/>
    <col min="3" max="3" width="23.875" style="29" customWidth="1"/>
    <col min="4" max="4" width="11.875" style="29" customWidth="1"/>
    <col min="5" max="5" width="13.75" style="29" customWidth="1"/>
    <col min="6" max="6" width="14" style="29" customWidth="1"/>
    <col min="7" max="7" width="29.625" style="29" customWidth="1"/>
    <col min="8" max="8" width="9.5" style="29" customWidth="1"/>
    <col min="9" max="9" width="11.125" style="29" customWidth="1"/>
    <col min="10" max="10" width="14.25" style="29" customWidth="1"/>
    <col min="11" max="16384" width="9" style="29"/>
  </cols>
  <sheetData>
    <row r="1" spans="1:10" ht="30" customHeight="1">
      <c r="A1" s="155" t="s">
        <v>20</v>
      </c>
      <c r="B1" s="155"/>
      <c r="C1" s="155"/>
      <c r="D1" s="155"/>
      <c r="E1" s="155"/>
      <c r="F1" s="155"/>
      <c r="G1" s="155"/>
      <c r="H1" s="155"/>
      <c r="I1" s="155"/>
      <c r="J1" s="155"/>
    </row>
    <row r="2" spans="1:10" ht="27.95" customHeight="1">
      <c r="A2" s="156" t="s">
        <v>121</v>
      </c>
      <c r="B2" s="157"/>
      <c r="C2" s="157"/>
      <c r="D2" s="157"/>
      <c r="E2" s="157"/>
      <c r="F2" s="157"/>
      <c r="G2" s="157"/>
      <c r="H2" s="157"/>
      <c r="I2" s="157"/>
      <c r="J2" s="157"/>
    </row>
    <row r="3" spans="1:10" ht="18" customHeight="1">
      <c r="A3" s="20" t="str">
        <f>'表头（请先填写）'!A2</f>
        <v>客户名称：</v>
      </c>
      <c r="B3" s="20"/>
      <c r="C3" s="20"/>
      <c r="E3" s="20" t="str">
        <f>'表头（请先填写）'!A4</f>
        <v>编制人：</v>
      </c>
      <c r="G3" s="20" t="str">
        <f>'表头（请先填写）'!A5</f>
        <v>日 期：</v>
      </c>
      <c r="J3" s="20" t="s">
        <v>122</v>
      </c>
    </row>
    <row r="4" spans="1:10" ht="18" customHeight="1">
      <c r="A4" s="20" t="str">
        <f>'表头（请先填写）'!A3</f>
        <v>会计期间：2013年度</v>
      </c>
      <c r="B4" s="20"/>
      <c r="C4" s="20"/>
      <c r="E4" s="20" t="s">
        <v>5</v>
      </c>
      <c r="G4" s="20" t="s">
        <v>24</v>
      </c>
      <c r="J4" s="20" t="s">
        <v>25</v>
      </c>
    </row>
    <row r="5" spans="1:10" s="30" customFormat="1" ht="41.25" customHeight="1">
      <c r="A5" s="66" t="s">
        <v>63</v>
      </c>
      <c r="B5" s="158" t="s">
        <v>62</v>
      </c>
      <c r="C5" s="159"/>
      <c r="D5" s="65" t="s">
        <v>26</v>
      </c>
      <c r="E5" s="65" t="s">
        <v>27</v>
      </c>
      <c r="F5" s="67" t="s">
        <v>79</v>
      </c>
      <c r="G5" s="65" t="s">
        <v>28</v>
      </c>
      <c r="H5" s="65" t="s">
        <v>29</v>
      </c>
      <c r="I5" s="65" t="s">
        <v>36</v>
      </c>
      <c r="J5" s="65" t="s">
        <v>30</v>
      </c>
    </row>
    <row r="6" spans="1:10" s="30" customFormat="1" ht="20.100000000000001" customHeight="1">
      <c r="A6" s="120" t="s">
        <v>123</v>
      </c>
      <c r="B6" s="31"/>
      <c r="C6" s="31"/>
      <c r="D6" s="31"/>
      <c r="E6" s="31"/>
      <c r="F6" s="31"/>
      <c r="G6" s="31"/>
      <c r="H6" s="31"/>
      <c r="I6" s="31"/>
      <c r="J6" s="31"/>
    </row>
    <row r="7" spans="1:10" s="30" customFormat="1" ht="20.100000000000001" customHeight="1">
      <c r="A7" s="31"/>
      <c r="B7" s="31">
        <v>1</v>
      </c>
      <c r="C7" s="31"/>
      <c r="D7" s="31"/>
      <c r="E7" s="31"/>
      <c r="F7" s="31"/>
      <c r="G7" s="31"/>
      <c r="H7" s="31"/>
      <c r="I7" s="31"/>
      <c r="J7" s="31"/>
    </row>
    <row r="8" spans="1:10" s="30" customFormat="1" ht="20.100000000000001" customHeight="1">
      <c r="A8" s="31"/>
      <c r="B8" s="31">
        <v>2</v>
      </c>
      <c r="C8" s="31"/>
      <c r="D8" s="31"/>
      <c r="E8" s="31"/>
      <c r="F8" s="31"/>
      <c r="G8" s="31"/>
      <c r="H8" s="31"/>
      <c r="I8" s="31"/>
      <c r="J8" s="31"/>
    </row>
    <row r="9" spans="1:10" s="30" customFormat="1" ht="20.100000000000001" customHeight="1">
      <c r="A9" s="31"/>
      <c r="B9" s="31">
        <v>3</v>
      </c>
      <c r="C9" s="31"/>
      <c r="D9" s="31"/>
      <c r="E9" s="31"/>
      <c r="F9" s="31"/>
      <c r="G9" s="31"/>
      <c r="H9" s="31"/>
      <c r="I9" s="31"/>
      <c r="J9" s="31"/>
    </row>
    <row r="10" spans="1:10" s="20" customFormat="1" ht="20.100000000000001" customHeight="1">
      <c r="A10" s="32"/>
      <c r="B10" s="32" t="s">
        <v>64</v>
      </c>
      <c r="C10" s="32"/>
      <c r="D10" s="31"/>
      <c r="E10" s="32"/>
      <c r="F10" s="32"/>
      <c r="G10" s="32"/>
      <c r="H10" s="32"/>
      <c r="I10" s="32"/>
      <c r="J10" s="32"/>
    </row>
    <row r="11" spans="1:10" s="20" customFormat="1" ht="20.100000000000001" customHeight="1">
      <c r="A11" s="32"/>
      <c r="B11" s="32"/>
      <c r="C11" s="32"/>
      <c r="D11" s="31"/>
      <c r="E11" s="32"/>
      <c r="F11" s="32"/>
      <c r="G11" s="32"/>
      <c r="H11" s="32"/>
      <c r="I11" s="32"/>
      <c r="J11" s="32"/>
    </row>
    <row r="12" spans="1:10" s="20" customFormat="1" ht="20.100000000000001" customHeight="1">
      <c r="A12" s="121" t="s">
        <v>124</v>
      </c>
      <c r="B12" s="32"/>
      <c r="C12" s="32"/>
      <c r="D12" s="31"/>
      <c r="E12" s="32"/>
      <c r="F12" s="32"/>
      <c r="G12" s="32"/>
      <c r="H12" s="32"/>
      <c r="I12" s="32"/>
      <c r="J12" s="32"/>
    </row>
    <row r="13" spans="1:10" s="20" customFormat="1" ht="20.100000000000001" customHeight="1">
      <c r="A13" s="32"/>
      <c r="B13" s="32">
        <v>1</v>
      </c>
      <c r="C13" s="32"/>
      <c r="D13" s="31"/>
      <c r="E13" s="32"/>
      <c r="F13" s="32"/>
      <c r="G13" s="32"/>
      <c r="H13" s="32"/>
      <c r="I13" s="32"/>
      <c r="J13" s="32"/>
    </row>
    <row r="14" spans="1:10" s="20" customFormat="1" ht="20.100000000000001" customHeight="1">
      <c r="A14" s="31"/>
      <c r="B14" s="31">
        <v>2</v>
      </c>
      <c r="C14" s="31"/>
      <c r="D14" s="31"/>
      <c r="E14" s="32"/>
      <c r="F14" s="32"/>
      <c r="G14" s="32"/>
      <c r="H14" s="32"/>
      <c r="I14" s="32"/>
      <c r="J14" s="32"/>
    </row>
    <row r="15" spans="1:10" s="20" customFormat="1" ht="20.100000000000001" customHeight="1">
      <c r="A15" s="31"/>
      <c r="B15" s="31">
        <v>3</v>
      </c>
      <c r="C15" s="31"/>
      <c r="D15" s="31"/>
      <c r="E15" s="32"/>
      <c r="F15" s="32"/>
      <c r="G15" s="32"/>
      <c r="H15" s="32"/>
      <c r="I15" s="32"/>
      <c r="J15" s="32"/>
    </row>
    <row r="16" spans="1:10" s="20" customFormat="1" ht="20.100000000000001" customHeight="1">
      <c r="A16" s="31"/>
      <c r="B16" s="31" t="s">
        <v>64</v>
      </c>
      <c r="C16" s="31"/>
      <c r="D16" s="31"/>
      <c r="E16" s="32"/>
      <c r="F16" s="32"/>
      <c r="G16" s="32"/>
      <c r="H16" s="32"/>
      <c r="I16" s="32"/>
      <c r="J16" s="32"/>
    </row>
    <row r="17" spans="1:10" s="20" customFormat="1" ht="20.100000000000001" customHeight="1">
      <c r="A17" s="32"/>
      <c r="B17" s="32"/>
      <c r="C17" s="32"/>
      <c r="D17" s="31"/>
      <c r="E17" s="32"/>
      <c r="F17" s="32"/>
      <c r="G17" s="32"/>
      <c r="H17" s="32"/>
      <c r="I17" s="32"/>
      <c r="J17" s="32"/>
    </row>
    <row r="18" spans="1:10" s="20" customFormat="1" ht="20.100000000000001" customHeight="1">
      <c r="A18" s="31"/>
      <c r="B18" s="31"/>
      <c r="C18" s="31"/>
      <c r="D18" s="31"/>
      <c r="E18" s="32"/>
      <c r="F18" s="32"/>
      <c r="G18" s="32"/>
      <c r="H18" s="32"/>
      <c r="I18" s="32"/>
      <c r="J18" s="32"/>
    </row>
    <row r="19" spans="1:10" s="20" customFormat="1" ht="20.100000000000001" customHeight="1">
      <c r="A19" s="31"/>
      <c r="B19" s="31"/>
      <c r="C19" s="31"/>
      <c r="D19" s="31"/>
      <c r="E19" s="32"/>
      <c r="F19" s="32"/>
      <c r="G19" s="32"/>
      <c r="H19" s="32"/>
      <c r="I19" s="32"/>
      <c r="J19" s="32"/>
    </row>
    <row r="20" spans="1:10" s="20" customFormat="1" ht="20.100000000000001" customHeight="1">
      <c r="A20" s="32"/>
      <c r="B20" s="32"/>
      <c r="C20" s="32"/>
      <c r="D20" s="31"/>
      <c r="E20" s="32"/>
      <c r="F20" s="32"/>
      <c r="G20" s="32"/>
      <c r="H20" s="32"/>
      <c r="I20" s="32"/>
      <c r="J20" s="32"/>
    </row>
    <row r="21" spans="1:10" s="20" customFormat="1" ht="20.100000000000001" customHeight="1"/>
    <row r="22" spans="1:10" s="20" customFormat="1" ht="20.100000000000001" customHeight="1">
      <c r="A22" s="81" t="s">
        <v>92</v>
      </c>
      <c r="B22" s="35"/>
      <c r="C22" s="35"/>
    </row>
    <row r="23" spans="1:10" s="20" customFormat="1" ht="12.75">
      <c r="A23" s="82" t="s">
        <v>93</v>
      </c>
      <c r="B23" s="36"/>
      <c r="C23" s="36"/>
    </row>
    <row r="24" spans="1:10" s="20" customFormat="1" ht="12.75">
      <c r="A24" s="82" t="s">
        <v>94</v>
      </c>
      <c r="B24" s="36"/>
      <c r="C24" s="36"/>
    </row>
    <row r="25" spans="1:10" s="20" customFormat="1" ht="12.75">
      <c r="A25" s="82" t="s">
        <v>95</v>
      </c>
      <c r="B25" s="36"/>
      <c r="C25" s="36"/>
    </row>
    <row r="26" spans="1:10" s="20" customFormat="1" ht="12.75">
      <c r="A26" s="82" t="s">
        <v>96</v>
      </c>
      <c r="B26" s="36"/>
      <c r="C26" s="36"/>
    </row>
    <row r="27" spans="1:10" s="20" customFormat="1" ht="12.75">
      <c r="A27" s="82" t="s">
        <v>97</v>
      </c>
      <c r="B27" s="36"/>
      <c r="C27" s="36"/>
    </row>
    <row r="28" spans="1:10" s="20" customFormat="1" ht="12.75">
      <c r="A28" s="82" t="s">
        <v>98</v>
      </c>
      <c r="B28" s="36"/>
      <c r="C28" s="36"/>
    </row>
    <row r="29" spans="1:10" s="20" customFormat="1" ht="12.75">
      <c r="A29" s="82" t="s">
        <v>31</v>
      </c>
      <c r="B29" s="54"/>
      <c r="C29" s="54"/>
    </row>
    <row r="30" spans="1:10" s="20" customFormat="1" ht="12.75">
      <c r="A30" s="82" t="s">
        <v>99</v>
      </c>
      <c r="B30" s="54"/>
      <c r="C30" s="54"/>
    </row>
    <row r="31" spans="1:10" s="20" customFormat="1" ht="12.75">
      <c r="A31" s="82" t="s">
        <v>100</v>
      </c>
      <c r="B31" s="54"/>
      <c r="C31" s="54"/>
    </row>
    <row r="32" spans="1:10" s="20" customFormat="1" ht="12.75">
      <c r="A32" s="82" t="s">
        <v>101</v>
      </c>
      <c r="B32" s="54"/>
      <c r="C32" s="54"/>
    </row>
    <row r="33" s="20" customFormat="1" ht="12.75"/>
    <row r="34" s="20" customFormat="1" ht="12.75"/>
    <row r="35" s="20" customFormat="1" ht="12.75"/>
    <row r="36" s="20" customFormat="1" ht="12.75"/>
    <row r="37" s="20" customFormat="1" ht="12.75"/>
    <row r="38" s="20" customFormat="1" ht="12.75"/>
    <row r="39" s="20" customFormat="1" ht="12.75"/>
    <row r="40" s="20" customFormat="1" ht="12.75"/>
    <row r="41" s="20" customFormat="1" ht="12.75"/>
    <row r="42" s="20" customFormat="1" ht="12.75"/>
    <row r="43" s="20" customFormat="1" ht="12.75"/>
    <row r="44" s="20" customFormat="1" ht="12.75"/>
    <row r="45" s="20" customFormat="1" ht="12.75"/>
    <row r="46" s="20" customFormat="1" ht="12.75"/>
    <row r="47" s="20" customFormat="1" ht="12.75"/>
    <row r="48" s="20" customFormat="1" ht="12.75"/>
    <row r="49" s="20" customFormat="1" ht="12.75"/>
    <row r="50" s="20" customFormat="1" ht="12.75"/>
    <row r="51" s="20" customFormat="1" ht="12.75"/>
    <row r="52" s="20" customFormat="1" ht="12.75"/>
    <row r="53" s="20" customFormat="1" ht="12.75"/>
    <row r="54" s="20" customFormat="1" ht="12.75"/>
    <row r="55" s="20" customFormat="1" ht="12.75"/>
    <row r="56" s="20" customFormat="1" ht="12.75"/>
    <row r="57" s="20" customFormat="1" ht="12.75"/>
    <row r="58" s="20" customFormat="1" ht="12.75"/>
    <row r="59" s="20" customFormat="1" ht="12.75"/>
    <row r="60" s="20" customFormat="1" ht="12.75"/>
    <row r="61" s="20" customFormat="1" ht="12.75"/>
    <row r="62" s="20" customFormat="1" ht="12.75"/>
    <row r="63" s="20" customFormat="1" ht="12.75"/>
    <row r="64" s="20" customFormat="1" ht="12.75"/>
    <row r="65" s="20" customFormat="1" ht="12.75"/>
    <row r="66" s="20" customFormat="1" ht="12.75"/>
    <row r="67" s="20" customFormat="1" ht="12.75"/>
    <row r="68" s="20" customFormat="1" ht="12.75"/>
    <row r="69" s="20" customFormat="1" ht="12.75"/>
    <row r="70" s="20" customFormat="1" ht="12.75"/>
    <row r="71" s="20" customFormat="1" ht="12.75"/>
    <row r="72" s="20" customFormat="1" ht="12.75"/>
    <row r="73" s="20" customFormat="1" ht="12.75"/>
    <row r="74" s="20" customFormat="1" ht="12.75"/>
    <row r="75" s="20" customFormat="1" ht="12.75"/>
    <row r="76" s="20" customFormat="1" ht="12.75"/>
    <row r="77" s="20" customFormat="1" ht="12.75"/>
    <row r="78" s="20" customFormat="1" ht="12.75"/>
    <row r="79" s="20" customFormat="1" ht="12.75"/>
    <row r="80" s="20" customFormat="1" ht="12.75"/>
    <row r="81" spans="1:1" s="20" customFormat="1" ht="12.75"/>
    <row r="82" spans="1:1" s="20" customFormat="1" ht="12.75"/>
    <row r="83" spans="1:1" s="20" customFormat="1" ht="12.75">
      <c r="A83" s="16" t="s">
        <v>73</v>
      </c>
    </row>
    <row r="84" spans="1:1" s="20" customFormat="1" ht="12.75">
      <c r="A84" s="16" t="s">
        <v>74</v>
      </c>
    </row>
    <row r="85" spans="1:1" s="20" customFormat="1" ht="12.75"/>
    <row r="86" spans="1:1" s="20" customFormat="1" ht="12.75"/>
    <row r="87" spans="1:1" s="20" customFormat="1" ht="12.75"/>
    <row r="88" spans="1:1" s="20" customFormat="1" ht="12.75"/>
    <row r="89" spans="1:1" s="20" customFormat="1" ht="12.75"/>
    <row r="90" spans="1:1" s="20" customFormat="1" ht="12.75"/>
    <row r="91" spans="1:1" s="20" customFormat="1" ht="12.75"/>
    <row r="92" spans="1:1" s="20" customFormat="1" ht="12.75"/>
    <row r="93" spans="1:1" s="20" customFormat="1" ht="12.75"/>
    <row r="94" spans="1:1" s="20" customFormat="1" ht="12.75"/>
    <row r="95" spans="1:1" s="20" customFormat="1" ht="12.75"/>
    <row r="96" spans="1:1" s="20" customFormat="1" ht="12.75"/>
    <row r="97" s="20" customFormat="1" ht="12.75"/>
    <row r="98" s="20" customFormat="1" ht="12.75"/>
    <row r="99" s="20" customFormat="1" ht="12.75"/>
    <row r="100" s="20" customFormat="1" ht="12.75"/>
  </sheetData>
  <mergeCells count="3">
    <mergeCell ref="A1:J1"/>
    <mergeCell ref="A2:J2"/>
    <mergeCell ref="B5:C5"/>
  </mergeCells>
  <phoneticPr fontId="3" type="noConversion"/>
  <dataValidations count="1">
    <dataValidation type="list" allowBlank="1" showInputMessage="1" showErrorMessage="1" sqref="D7:D20">
      <formula1>$A$83:$A$84</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4"/>
  <sheetViews>
    <sheetView view="pageBreakPreview" zoomScale="120" zoomScaleNormal="100" zoomScaleSheetLayoutView="120" workbookViewId="0">
      <selection activeCell="B9" sqref="B9"/>
    </sheetView>
  </sheetViews>
  <sheetFormatPr defaultRowHeight="15.75"/>
  <cols>
    <col min="1" max="1" width="4.875" style="84" customWidth="1"/>
    <col min="2" max="2" width="53.625" style="84" customWidth="1"/>
    <col min="3" max="3" width="12.375" style="84" customWidth="1"/>
    <col min="4" max="4" width="4.375" style="84" customWidth="1"/>
    <col min="5" max="5" width="32.375" style="84" customWidth="1"/>
    <col min="6" max="6" width="11.375" style="71" customWidth="1"/>
    <col min="7" max="7" width="14" style="84" customWidth="1"/>
    <col min="8" max="8" width="9" style="84" customWidth="1"/>
    <col min="9" max="9" width="13.25" style="84" customWidth="1"/>
    <col min="10" max="16384" width="9" style="84"/>
  </cols>
  <sheetData>
    <row r="1" spans="1:9" ht="21.75" customHeight="1">
      <c r="A1" s="155" t="s">
        <v>20</v>
      </c>
      <c r="B1" s="155"/>
      <c r="C1" s="155"/>
      <c r="D1" s="155"/>
      <c r="E1" s="155"/>
      <c r="F1" s="155"/>
      <c r="G1" s="155"/>
      <c r="H1" s="155"/>
      <c r="I1" s="155"/>
    </row>
    <row r="2" spans="1:9" ht="27.95" customHeight="1">
      <c r="A2" s="156" t="s">
        <v>109</v>
      </c>
      <c r="B2" s="157"/>
      <c r="C2" s="157"/>
      <c r="D2" s="157"/>
      <c r="E2" s="157"/>
      <c r="F2" s="157"/>
      <c r="G2" s="157"/>
      <c r="H2" s="157"/>
      <c r="I2" s="157"/>
    </row>
    <row r="3" spans="1:9" ht="20.100000000000001" customHeight="1">
      <c r="A3" s="85" t="str">
        <f>'B23-3了解货币资金循环流程和内部控制记录表'!A3</f>
        <v>客户名称：</v>
      </c>
      <c r="C3" s="85" t="str">
        <f>'B23-3了解货币资金循环流程和内部控制记录表'!C3</f>
        <v>编制人：</v>
      </c>
      <c r="E3" s="85" t="str">
        <f>'B23-3了解货币资金循环流程和内部控制记录表'!D3</f>
        <v>日 期：</v>
      </c>
      <c r="I3" s="85" t="s">
        <v>132</v>
      </c>
    </row>
    <row r="4" spans="1:9" ht="20.100000000000001" customHeight="1">
      <c r="A4" s="85" t="str">
        <f>'B23-3了解货币资金循环流程和内部控制记录表'!A4</f>
        <v>会计期间：2013年度</v>
      </c>
      <c r="C4" s="85" t="s">
        <v>5</v>
      </c>
      <c r="E4" s="85" t="s">
        <v>24</v>
      </c>
      <c r="I4" s="85" t="s">
        <v>25</v>
      </c>
    </row>
    <row r="5" spans="1:9" ht="6" customHeight="1">
      <c r="A5" s="85"/>
      <c r="C5" s="85"/>
      <c r="E5" s="85"/>
      <c r="I5" s="85"/>
    </row>
    <row r="6" spans="1:9" ht="20.100000000000001" customHeight="1">
      <c r="A6" s="105" t="s">
        <v>105</v>
      </c>
      <c r="C6" s="85"/>
      <c r="E6" s="85"/>
      <c r="I6" s="85"/>
    </row>
    <row r="7" spans="1:9" s="86" customFormat="1" ht="56.25" customHeight="1">
      <c r="A7" s="75" t="s">
        <v>80</v>
      </c>
      <c r="B7" s="75" t="s">
        <v>39</v>
      </c>
      <c r="C7" s="75" t="s">
        <v>81</v>
      </c>
      <c r="D7" s="164" t="s">
        <v>46</v>
      </c>
      <c r="E7" s="164"/>
      <c r="F7" s="64" t="s">
        <v>65</v>
      </c>
      <c r="G7" s="64" t="s">
        <v>66</v>
      </c>
      <c r="H7" s="64" t="s">
        <v>67</v>
      </c>
      <c r="I7" s="64" t="s">
        <v>68</v>
      </c>
    </row>
    <row r="8" spans="1:9" s="86" customFormat="1" ht="18" customHeight="1">
      <c r="A8" s="122" t="s">
        <v>127</v>
      </c>
      <c r="B8" s="37"/>
      <c r="C8" s="90"/>
      <c r="D8" s="90"/>
      <c r="E8" s="90"/>
      <c r="F8" s="69"/>
      <c r="G8" s="90"/>
      <c r="H8" s="90"/>
      <c r="I8" s="90"/>
    </row>
    <row r="9" spans="1:9" s="86" customFormat="1" ht="18" customHeight="1">
      <c r="A9" s="89"/>
      <c r="B9" s="123" t="s">
        <v>125</v>
      </c>
      <c r="C9" s="90"/>
      <c r="D9" s="90">
        <v>1</v>
      </c>
      <c r="E9" s="90"/>
      <c r="F9" s="70">
        <f>IF(OR(G9&lt;&gt;0,H9&lt;&gt;0,I9&lt;&gt;0),1,0)</f>
        <v>0</v>
      </c>
      <c r="G9" s="90"/>
      <c r="H9" s="90"/>
      <c r="I9" s="90"/>
    </row>
    <row r="10" spans="1:9" s="86" customFormat="1" ht="18" customHeight="1">
      <c r="A10" s="89"/>
      <c r="B10" s="37"/>
      <c r="C10" s="90"/>
      <c r="D10" s="90">
        <v>2</v>
      </c>
      <c r="E10" s="90"/>
      <c r="F10" s="70">
        <f t="shared" ref="F10:F20" si="0">IF(OR(G10&lt;&gt;0,H10&lt;&gt;0,I10&lt;&gt;0),1,0)</f>
        <v>0</v>
      </c>
      <c r="G10" s="90"/>
      <c r="H10" s="90"/>
      <c r="I10" s="90"/>
    </row>
    <row r="11" spans="1:9" s="86" customFormat="1" ht="18" customHeight="1">
      <c r="A11" s="89"/>
      <c r="B11" s="37"/>
      <c r="C11" s="90"/>
      <c r="D11" s="90" t="s">
        <v>13</v>
      </c>
      <c r="E11" s="90"/>
      <c r="F11" s="70">
        <f t="shared" si="0"/>
        <v>0</v>
      </c>
      <c r="G11" s="90"/>
      <c r="H11" s="90"/>
      <c r="I11" s="90"/>
    </row>
    <row r="12" spans="1:9" ht="18" customHeight="1">
      <c r="A12" s="89"/>
      <c r="B12" s="123" t="s">
        <v>126</v>
      </c>
      <c r="C12" s="91"/>
      <c r="D12" s="91"/>
      <c r="E12" s="91"/>
      <c r="F12" s="70">
        <f t="shared" si="0"/>
        <v>0</v>
      </c>
      <c r="G12" s="90"/>
      <c r="H12" s="91"/>
      <c r="I12" s="90"/>
    </row>
    <row r="13" spans="1:9" ht="18" customHeight="1">
      <c r="A13" s="89"/>
      <c r="B13" s="123"/>
      <c r="C13" s="91"/>
      <c r="D13" s="91"/>
      <c r="E13" s="91"/>
      <c r="F13" s="70">
        <f t="shared" si="0"/>
        <v>0</v>
      </c>
      <c r="G13" s="90"/>
      <c r="H13" s="91"/>
      <c r="I13" s="90"/>
    </row>
    <row r="14" spans="1:9" ht="18" customHeight="1">
      <c r="A14" s="124" t="s">
        <v>128</v>
      </c>
      <c r="B14" s="37"/>
      <c r="C14" s="91"/>
      <c r="D14" s="91"/>
      <c r="E14" s="91"/>
      <c r="F14" s="70">
        <f t="shared" si="0"/>
        <v>0</v>
      </c>
      <c r="G14" s="90"/>
      <c r="H14" s="91"/>
      <c r="I14" s="90"/>
    </row>
    <row r="15" spans="1:9" ht="18" customHeight="1">
      <c r="A15" s="89"/>
      <c r="B15" s="123" t="s">
        <v>129</v>
      </c>
      <c r="C15" s="91"/>
      <c r="D15" s="91"/>
      <c r="E15" s="91"/>
      <c r="F15" s="70">
        <f>IF(OR(G15&lt;&gt;0,H15&lt;&gt;0,I15&lt;&gt;0),1,0)</f>
        <v>0</v>
      </c>
      <c r="G15" s="90"/>
      <c r="H15" s="91"/>
      <c r="I15" s="90"/>
    </row>
    <row r="16" spans="1:9" ht="18" customHeight="1">
      <c r="A16" s="89"/>
      <c r="B16" s="83"/>
      <c r="C16" s="91"/>
      <c r="D16" s="91"/>
      <c r="E16" s="91"/>
      <c r="F16" s="70">
        <f t="shared" si="0"/>
        <v>0</v>
      </c>
      <c r="G16" s="90"/>
      <c r="H16" s="91"/>
      <c r="I16" s="90"/>
    </row>
    <row r="17" spans="1:9" ht="18" customHeight="1">
      <c r="A17" s="122" t="s">
        <v>131</v>
      </c>
      <c r="B17" s="83"/>
      <c r="C17" s="91"/>
      <c r="D17" s="91"/>
      <c r="E17" s="91"/>
      <c r="F17" s="70">
        <f t="shared" si="0"/>
        <v>0</v>
      </c>
      <c r="G17" s="90"/>
      <c r="H17" s="91"/>
      <c r="I17" s="90"/>
    </row>
    <row r="18" spans="1:9" ht="18" customHeight="1">
      <c r="A18" s="89"/>
      <c r="B18" s="123" t="s">
        <v>130</v>
      </c>
      <c r="C18" s="91"/>
      <c r="D18" s="91"/>
      <c r="E18" s="91"/>
      <c r="F18" s="70">
        <f t="shared" si="0"/>
        <v>0</v>
      </c>
      <c r="G18" s="90"/>
      <c r="H18" s="91"/>
      <c r="I18" s="90"/>
    </row>
    <row r="19" spans="1:9" ht="18" customHeight="1">
      <c r="A19" s="89"/>
      <c r="B19" s="37"/>
      <c r="C19" s="91"/>
      <c r="D19" s="91"/>
      <c r="E19" s="91"/>
      <c r="F19" s="70">
        <f t="shared" si="0"/>
        <v>0</v>
      </c>
      <c r="G19" s="90"/>
      <c r="H19" s="91"/>
      <c r="I19" s="90"/>
    </row>
    <row r="20" spans="1:9" ht="18" customHeight="1">
      <c r="A20" s="89"/>
      <c r="B20" s="37"/>
      <c r="C20" s="91"/>
      <c r="D20" s="91"/>
      <c r="E20" s="91"/>
      <c r="F20" s="70">
        <f t="shared" si="0"/>
        <v>0</v>
      </c>
      <c r="G20" s="90"/>
      <c r="H20" s="91"/>
      <c r="I20" s="90"/>
    </row>
    <row r="21" spans="1:9" ht="18" customHeight="1">
      <c r="A21" s="108"/>
      <c r="B21" s="107"/>
      <c r="C21" s="106" t="s">
        <v>102</v>
      </c>
      <c r="D21" s="109"/>
      <c r="E21" s="109"/>
      <c r="F21" s="110">
        <f>SUM(F9:F20)</f>
        <v>0</v>
      </c>
      <c r="G21" s="111">
        <f>COUNTA(G9:G20)</f>
        <v>0</v>
      </c>
      <c r="H21" s="111">
        <f t="shared" ref="H21:I21" si="1">COUNTA(H9:H20)</f>
        <v>0</v>
      </c>
      <c r="I21" s="111">
        <f t="shared" si="1"/>
        <v>0</v>
      </c>
    </row>
    <row r="22" spans="1:9" ht="18" customHeight="1">
      <c r="A22" s="89"/>
      <c r="B22" s="37"/>
      <c r="C22" s="91"/>
      <c r="D22" s="91"/>
      <c r="E22" s="91"/>
      <c r="F22" s="92"/>
      <c r="G22" s="93" t="e">
        <f>G21/F21</f>
        <v>#DIV/0!</v>
      </c>
      <c r="H22" s="93" t="e">
        <f>H21/F21</f>
        <v>#DIV/0!</v>
      </c>
      <c r="I22" s="93" t="e">
        <f>I21/F21</f>
        <v>#DIV/0!</v>
      </c>
    </row>
    <row r="23" spans="1:9" ht="18" customHeight="1">
      <c r="A23" s="89"/>
      <c r="B23" s="37"/>
      <c r="C23" s="91"/>
      <c r="D23" s="91"/>
      <c r="E23" s="91"/>
      <c r="F23" s="113" t="s">
        <v>103</v>
      </c>
      <c r="G23" s="94" t="s">
        <v>69</v>
      </c>
      <c r="H23" s="94" t="s">
        <v>70</v>
      </c>
      <c r="I23" s="94" t="s">
        <v>71</v>
      </c>
    </row>
    <row r="24" spans="1:9">
      <c r="A24" s="97" t="s">
        <v>133</v>
      </c>
      <c r="D24" s="71"/>
      <c r="F24" s="84"/>
    </row>
    <row r="25" spans="1:9">
      <c r="A25" s="98" t="s">
        <v>203</v>
      </c>
      <c r="D25" s="71"/>
      <c r="F25" s="84"/>
    </row>
    <row r="26" spans="1:9">
      <c r="A26" s="98" t="s">
        <v>135</v>
      </c>
      <c r="D26" s="71"/>
      <c r="F26" s="84"/>
    </row>
    <row r="27" spans="1:9">
      <c r="A27" s="98" t="s">
        <v>136</v>
      </c>
      <c r="D27" s="71"/>
      <c r="F27" s="84"/>
    </row>
    <row r="28" spans="1:9">
      <c r="A28" s="98" t="s">
        <v>34</v>
      </c>
      <c r="D28" s="71"/>
      <c r="F28" s="84"/>
    </row>
    <row r="29" spans="1:9">
      <c r="A29" s="98" t="s">
        <v>137</v>
      </c>
      <c r="D29" s="71"/>
      <c r="F29" s="84"/>
    </row>
    <row r="30" spans="1:9">
      <c r="A30" s="98" t="s">
        <v>138</v>
      </c>
      <c r="D30" s="71"/>
      <c r="F30" s="84"/>
    </row>
    <row r="31" spans="1:9">
      <c r="A31" s="98" t="s">
        <v>139</v>
      </c>
      <c r="D31" s="71"/>
      <c r="F31" s="84"/>
    </row>
    <row r="32" spans="1:9">
      <c r="A32" s="98" t="s">
        <v>140</v>
      </c>
      <c r="D32" s="71"/>
      <c r="F32" s="84"/>
    </row>
    <row r="33" spans="1:9">
      <c r="A33" s="98" t="s">
        <v>141</v>
      </c>
      <c r="D33" s="71"/>
      <c r="F33" s="84"/>
    </row>
    <row r="34" spans="1:9">
      <c r="A34" s="98" t="s">
        <v>142</v>
      </c>
      <c r="D34" s="71"/>
      <c r="F34" s="84"/>
    </row>
    <row r="35" spans="1:9">
      <c r="A35" s="98" t="s">
        <v>143</v>
      </c>
      <c r="D35" s="71"/>
      <c r="F35" s="84"/>
    </row>
    <row r="36" spans="1:9">
      <c r="A36" s="98" t="s">
        <v>144</v>
      </c>
      <c r="D36" s="71"/>
      <c r="F36" s="84"/>
    </row>
    <row r="37" spans="1:9">
      <c r="A37" s="98" t="s">
        <v>145</v>
      </c>
      <c r="D37" s="71"/>
      <c r="F37" s="84"/>
    </row>
    <row r="38" spans="1:9">
      <c r="A38" s="98" t="s">
        <v>35</v>
      </c>
      <c r="D38" s="71"/>
      <c r="F38" s="84"/>
    </row>
    <row r="39" spans="1:9">
      <c r="A39" s="125" t="s">
        <v>146</v>
      </c>
      <c r="B39" s="99"/>
      <c r="C39" s="99"/>
      <c r="D39" s="72"/>
      <c r="E39" s="99"/>
      <c r="F39" s="99"/>
      <c r="G39" s="99"/>
      <c r="H39" s="99"/>
      <c r="I39" s="99"/>
    </row>
    <row r="40" spans="1:9">
      <c r="A40" s="100" t="s">
        <v>147</v>
      </c>
      <c r="B40" s="100"/>
      <c r="D40" s="71"/>
      <c r="F40" s="84"/>
    </row>
    <row r="41" spans="1:9">
      <c r="A41" s="100" t="s">
        <v>148</v>
      </c>
      <c r="B41" s="100"/>
      <c r="D41" s="71"/>
      <c r="F41" s="84"/>
    </row>
    <row r="42" spans="1:9">
      <c r="A42" s="100" t="s">
        <v>149</v>
      </c>
      <c r="B42" s="100"/>
      <c r="D42" s="71"/>
      <c r="F42" s="84"/>
    </row>
    <row r="43" spans="1:9">
      <c r="A43" s="101" t="s">
        <v>150</v>
      </c>
      <c r="B43" s="101" t="s">
        <v>151</v>
      </c>
      <c r="D43" s="71"/>
      <c r="F43" s="84"/>
    </row>
    <row r="44" spans="1:9">
      <c r="A44" s="102">
        <v>1</v>
      </c>
      <c r="B44" s="102" t="s">
        <v>152</v>
      </c>
      <c r="D44" s="71"/>
      <c r="F44" s="84"/>
    </row>
    <row r="45" spans="1:9">
      <c r="A45" s="102">
        <v>2</v>
      </c>
      <c r="B45" s="102" t="s">
        <v>153</v>
      </c>
      <c r="D45" s="71"/>
      <c r="F45" s="84"/>
    </row>
    <row r="46" spans="1:9">
      <c r="A46" s="102">
        <v>3</v>
      </c>
      <c r="B46" s="102" t="s">
        <v>154</v>
      </c>
      <c r="D46" s="71"/>
      <c r="F46" s="84"/>
    </row>
    <row r="47" spans="1:9">
      <c r="A47" s="102">
        <v>4</v>
      </c>
      <c r="B47" s="102" t="s">
        <v>155</v>
      </c>
      <c r="D47" s="71"/>
      <c r="F47" s="84"/>
    </row>
    <row r="48" spans="1:9" ht="106.5" customHeight="1">
      <c r="A48" s="161" t="s">
        <v>156</v>
      </c>
      <c r="B48" s="161"/>
      <c r="C48" s="161"/>
      <c r="D48" s="161"/>
      <c r="E48" s="161"/>
      <c r="F48" s="161"/>
      <c r="G48" s="161"/>
      <c r="H48" s="161"/>
      <c r="I48" s="161"/>
    </row>
    <row r="49" spans="1:9" ht="21.75" customHeight="1">
      <c r="A49" s="103" t="s">
        <v>157</v>
      </c>
      <c r="B49" s="103"/>
      <c r="C49" s="103"/>
      <c r="D49" s="73"/>
      <c r="E49" s="103"/>
      <c r="F49" s="103"/>
      <c r="G49" s="103"/>
      <c r="H49" s="103"/>
      <c r="I49" s="103"/>
    </row>
    <row r="50" spans="1:9" ht="25.5" customHeight="1">
      <c r="A50" s="161" t="s">
        <v>158</v>
      </c>
      <c r="B50" s="161"/>
      <c r="C50" s="161"/>
      <c r="D50" s="161"/>
      <c r="E50" s="161"/>
      <c r="F50" s="161"/>
      <c r="G50" s="161"/>
      <c r="H50" s="161"/>
      <c r="I50" s="161"/>
    </row>
    <row r="51" spans="1:9" ht="25.5" customHeight="1">
      <c r="A51" s="103" t="s">
        <v>159</v>
      </c>
      <c r="B51" s="103"/>
      <c r="C51" s="103"/>
      <c r="D51" s="73"/>
      <c r="E51" s="103"/>
      <c r="F51" s="103"/>
      <c r="G51" s="103"/>
      <c r="H51" s="103"/>
      <c r="I51" s="103"/>
    </row>
    <row r="52" spans="1:9" ht="25.5" customHeight="1">
      <c r="A52" s="161" t="s">
        <v>160</v>
      </c>
      <c r="B52" s="161"/>
      <c r="C52" s="161"/>
      <c r="D52" s="161"/>
      <c r="E52" s="161"/>
      <c r="F52" s="161"/>
      <c r="G52" s="161"/>
      <c r="H52" s="161"/>
      <c r="I52" s="161"/>
    </row>
    <row r="53" spans="1:9" ht="34.5" customHeight="1">
      <c r="A53" s="161" t="s">
        <v>161</v>
      </c>
      <c r="B53" s="161"/>
      <c r="C53" s="161"/>
      <c r="D53" s="161"/>
      <c r="E53" s="161"/>
      <c r="F53" s="161"/>
      <c r="G53" s="161"/>
      <c r="H53" s="161"/>
      <c r="I53" s="161"/>
    </row>
    <row r="54" spans="1:9" ht="25.5" customHeight="1">
      <c r="A54" s="161" t="s">
        <v>162</v>
      </c>
      <c r="B54" s="161"/>
      <c r="C54" s="161"/>
      <c r="D54" s="161"/>
      <c r="E54" s="161"/>
      <c r="F54" s="161"/>
      <c r="G54" s="161"/>
      <c r="H54" s="161"/>
      <c r="I54" s="161"/>
    </row>
    <row r="55" spans="1:9" ht="25.5" customHeight="1">
      <c r="A55" s="103" t="s">
        <v>163</v>
      </c>
      <c r="B55" s="103"/>
      <c r="C55" s="103"/>
      <c r="D55" s="73"/>
      <c r="E55" s="103"/>
      <c r="F55" s="103"/>
      <c r="G55" s="103"/>
      <c r="H55" s="103"/>
      <c r="I55" s="103"/>
    </row>
    <row r="56" spans="1:9" ht="113.25" customHeight="1">
      <c r="A56" s="161" t="s">
        <v>164</v>
      </c>
      <c r="B56" s="161"/>
      <c r="C56" s="161"/>
      <c r="D56" s="161"/>
      <c r="E56" s="161"/>
      <c r="F56" s="161"/>
      <c r="G56" s="161"/>
      <c r="H56" s="161"/>
      <c r="I56" s="161"/>
    </row>
    <row r="57" spans="1:9" ht="25.5" customHeight="1">
      <c r="A57" s="161" t="s">
        <v>165</v>
      </c>
      <c r="B57" s="161"/>
      <c r="C57" s="161"/>
      <c r="D57" s="161"/>
      <c r="E57" s="161"/>
      <c r="F57" s="161"/>
      <c r="G57" s="161"/>
      <c r="H57" s="161"/>
      <c r="I57" s="161"/>
    </row>
    <row r="58" spans="1:9" ht="25.5" customHeight="1">
      <c r="A58" s="103" t="s">
        <v>166</v>
      </c>
      <c r="B58" s="103"/>
      <c r="C58" s="103"/>
      <c r="D58" s="73"/>
      <c r="E58" s="103"/>
      <c r="F58" s="103"/>
      <c r="G58" s="103"/>
      <c r="H58" s="103"/>
      <c r="I58" s="103"/>
    </row>
    <row r="59" spans="1:9" ht="25.5" customHeight="1">
      <c r="A59" s="161" t="s">
        <v>167</v>
      </c>
      <c r="B59" s="161"/>
      <c r="C59" s="161"/>
      <c r="D59" s="161"/>
      <c r="E59" s="161"/>
      <c r="F59" s="161"/>
      <c r="G59" s="161"/>
      <c r="H59" s="161"/>
      <c r="I59" s="161"/>
    </row>
    <row r="60" spans="1:9" ht="25.5" customHeight="1">
      <c r="A60" s="161" t="s">
        <v>168</v>
      </c>
      <c r="B60" s="161"/>
      <c r="C60" s="161"/>
      <c r="D60" s="161"/>
      <c r="E60" s="161"/>
      <c r="F60" s="161"/>
      <c r="G60" s="161"/>
      <c r="H60" s="161"/>
      <c r="I60" s="161"/>
    </row>
    <row r="61" spans="1:9" ht="25.5" customHeight="1">
      <c r="A61" s="161" t="s">
        <v>169</v>
      </c>
      <c r="B61" s="161"/>
      <c r="C61" s="161"/>
      <c r="D61" s="161"/>
      <c r="E61" s="161"/>
      <c r="F61" s="161"/>
      <c r="G61" s="161"/>
      <c r="H61" s="161"/>
      <c r="I61" s="161"/>
    </row>
    <row r="62" spans="1:9" ht="25.5" customHeight="1">
      <c r="A62" s="103" t="s">
        <v>170</v>
      </c>
      <c r="B62" s="103"/>
      <c r="C62" s="103"/>
      <c r="D62" s="73"/>
      <c r="E62" s="103"/>
      <c r="F62" s="103"/>
      <c r="G62" s="103"/>
      <c r="H62" s="103"/>
      <c r="I62" s="103"/>
    </row>
    <row r="63" spans="1:9" ht="104.25" customHeight="1">
      <c r="A63" s="161" t="s">
        <v>171</v>
      </c>
      <c r="B63" s="161"/>
      <c r="C63" s="161"/>
      <c r="D63" s="161"/>
      <c r="E63" s="161"/>
      <c r="F63" s="161"/>
      <c r="G63" s="161"/>
      <c r="H63" s="161"/>
      <c r="I63" s="161"/>
    </row>
    <row r="64" spans="1:9" ht="25.5" customHeight="1">
      <c r="A64" s="161" t="s">
        <v>172</v>
      </c>
      <c r="B64" s="161"/>
      <c r="C64" s="161"/>
      <c r="D64" s="161"/>
      <c r="E64" s="161"/>
      <c r="F64" s="161"/>
      <c r="G64" s="161"/>
      <c r="H64" s="161"/>
      <c r="I64" s="161"/>
    </row>
    <row r="65" spans="1:9" ht="25.5" customHeight="1">
      <c r="A65" s="161" t="s">
        <v>173</v>
      </c>
      <c r="B65" s="161"/>
      <c r="C65" s="161"/>
      <c r="D65" s="161"/>
      <c r="E65" s="161"/>
      <c r="F65" s="161"/>
      <c r="G65" s="161"/>
      <c r="H65" s="161"/>
      <c r="I65" s="161"/>
    </row>
    <row r="66" spans="1:9" ht="25.5" customHeight="1">
      <c r="A66" s="103" t="s">
        <v>174</v>
      </c>
      <c r="B66" s="103"/>
      <c r="C66" s="103"/>
      <c r="D66" s="73"/>
      <c r="E66" s="103"/>
      <c r="F66" s="103"/>
      <c r="G66" s="103"/>
      <c r="H66" s="103"/>
      <c r="I66" s="103"/>
    </row>
    <row r="67" spans="1:9" ht="25.5" customHeight="1">
      <c r="A67" s="161" t="s">
        <v>175</v>
      </c>
      <c r="B67" s="161"/>
      <c r="C67" s="161"/>
      <c r="D67" s="161"/>
      <c r="E67" s="161"/>
      <c r="F67" s="161"/>
      <c r="G67" s="161"/>
      <c r="H67" s="161"/>
      <c r="I67" s="161"/>
    </row>
    <row r="68" spans="1:9" ht="19.5" customHeight="1">
      <c r="A68" s="125" t="s">
        <v>176</v>
      </c>
      <c r="B68" s="117"/>
      <c r="C68" s="117"/>
      <c r="D68" s="117"/>
      <c r="E68" s="117"/>
      <c r="F68" s="117"/>
      <c r="G68" s="117"/>
      <c r="H68" s="117"/>
      <c r="I68" s="117"/>
    </row>
    <row r="69" spans="1:9" ht="18.75" customHeight="1" thickBot="1">
      <c r="A69" s="162" t="s">
        <v>198</v>
      </c>
      <c r="B69" s="162"/>
      <c r="C69" s="162"/>
      <c r="D69" s="162"/>
      <c r="E69" s="162"/>
      <c r="F69" s="162"/>
      <c r="G69" s="162"/>
    </row>
    <row r="70" spans="1:9" s="85" customFormat="1" ht="45" customHeight="1" thickBot="1">
      <c r="A70" s="135"/>
      <c r="B70" s="136" t="s">
        <v>178</v>
      </c>
      <c r="C70" s="163" t="s">
        <v>199</v>
      </c>
      <c r="D70" s="163"/>
      <c r="E70" s="137"/>
      <c r="F70" s="135"/>
      <c r="G70" s="135"/>
    </row>
    <row r="71" spans="1:9" s="85" customFormat="1" ht="45" customHeight="1" thickBot="1">
      <c r="A71" s="135"/>
      <c r="B71" s="138" t="s">
        <v>182</v>
      </c>
      <c r="C71" s="160" t="s">
        <v>183</v>
      </c>
      <c r="D71" s="160"/>
      <c r="E71" s="137"/>
      <c r="F71" s="135"/>
      <c r="G71" s="135"/>
    </row>
    <row r="72" spans="1:9" s="85" customFormat="1" ht="18.75" customHeight="1" thickBot="1">
      <c r="A72" s="135"/>
      <c r="B72" s="138" t="s">
        <v>185</v>
      </c>
      <c r="C72" s="160" t="s">
        <v>186</v>
      </c>
      <c r="D72" s="160"/>
      <c r="E72" s="137"/>
      <c r="F72" s="135"/>
      <c r="G72" s="135"/>
    </row>
    <row r="73" spans="1:9" s="85" customFormat="1" ht="18.75" customHeight="1" thickBot="1">
      <c r="A73" s="135"/>
      <c r="B73" s="138" t="s">
        <v>187</v>
      </c>
      <c r="C73" s="160" t="s">
        <v>188</v>
      </c>
      <c r="D73" s="160"/>
      <c r="E73" s="137"/>
      <c r="F73" s="135"/>
      <c r="G73" s="135"/>
    </row>
    <row r="74" spans="1:9" s="85" customFormat="1" ht="18.75" customHeight="1">
      <c r="D74" s="74"/>
    </row>
    <row r="127" spans="6:6" s="85" customFormat="1" ht="12.75">
      <c r="F127" s="74"/>
    </row>
    <row r="128" spans="6:6" s="85" customFormat="1" ht="12.75">
      <c r="F128" s="74"/>
    </row>
    <row r="129" spans="1:6" s="85" customFormat="1" ht="12.75">
      <c r="F129" s="74"/>
    </row>
    <row r="130" spans="1:6" s="85" customFormat="1" ht="12.75">
      <c r="F130" s="74"/>
    </row>
    <row r="131" spans="1:6" s="85" customFormat="1" ht="12.75">
      <c r="F131" s="74"/>
    </row>
    <row r="132" spans="1:6" s="85" customFormat="1" ht="12.75">
      <c r="F132" s="74"/>
    </row>
    <row r="133" spans="1:6" s="85" customFormat="1" ht="12.75">
      <c r="F133" s="74"/>
    </row>
    <row r="134" spans="1:6" s="85" customFormat="1" ht="12.75">
      <c r="F134" s="74"/>
    </row>
    <row r="135" spans="1:6" s="85" customFormat="1" ht="12.75">
      <c r="F135" s="74"/>
    </row>
    <row r="136" spans="1:6" s="85" customFormat="1" ht="12.75">
      <c r="F136" s="74"/>
    </row>
    <row r="137" spans="1:6" s="85" customFormat="1" ht="12.75">
      <c r="F137" s="74"/>
    </row>
    <row r="138" spans="1:6" s="85" customFormat="1" ht="12.75">
      <c r="F138" s="74"/>
    </row>
    <row r="139" spans="1:6" s="85" customFormat="1" ht="12.75">
      <c r="A139" s="104" t="s">
        <v>40</v>
      </c>
      <c r="F139" s="74"/>
    </row>
    <row r="140" spans="1:6" s="85" customFormat="1" ht="12.75">
      <c r="A140" s="85" t="s">
        <v>41</v>
      </c>
      <c r="F140" s="74"/>
    </row>
    <row r="141" spans="1:6" s="85" customFormat="1" ht="12.75">
      <c r="F141" s="74"/>
    </row>
    <row r="142" spans="1:6" s="85" customFormat="1" ht="12.75">
      <c r="F142" s="74"/>
    </row>
    <row r="143" spans="1:6" s="85" customFormat="1" ht="12.75">
      <c r="F143" s="74"/>
    </row>
    <row r="144" spans="1:6" s="85" customFormat="1" ht="12.75">
      <c r="F144" s="74"/>
    </row>
    <row r="145" spans="1:6" s="85" customFormat="1" ht="12.75">
      <c r="F145" s="74"/>
    </row>
    <row r="146" spans="1:6" s="85" customFormat="1" ht="12.75">
      <c r="A146" s="85" t="s">
        <v>42</v>
      </c>
      <c r="F146" s="74"/>
    </row>
    <row r="147" spans="1:6" s="85" customFormat="1" ht="12.75">
      <c r="A147" s="104" t="s">
        <v>43</v>
      </c>
      <c r="F147" s="74"/>
    </row>
    <row r="148" spans="1:6" s="85" customFormat="1" ht="12.75">
      <c r="A148" s="104" t="s">
        <v>44</v>
      </c>
      <c r="F148" s="74"/>
    </row>
    <row r="149" spans="1:6" s="85" customFormat="1" ht="12.75">
      <c r="A149" s="85" t="s">
        <v>45</v>
      </c>
      <c r="F149" s="74"/>
    </row>
    <row r="150" spans="1:6" s="85" customFormat="1" ht="12.75">
      <c r="F150" s="74"/>
    </row>
    <row r="151" spans="1:6" s="85" customFormat="1" ht="12.75">
      <c r="F151" s="74"/>
    </row>
    <row r="152" spans="1:6" s="85" customFormat="1" ht="12.75">
      <c r="F152" s="74"/>
    </row>
    <row r="153" spans="1:6" s="85" customFormat="1" ht="12.75">
      <c r="F153" s="74"/>
    </row>
    <row r="154" spans="1:6" s="85" customFormat="1" ht="12.75">
      <c r="F154" s="74"/>
    </row>
    <row r="155" spans="1:6" s="85" customFormat="1" ht="12.75">
      <c r="F155" s="74"/>
    </row>
    <row r="156" spans="1:6" s="85" customFormat="1" ht="12.75">
      <c r="F156" s="74"/>
    </row>
    <row r="157" spans="1:6" s="85" customFormat="1" ht="12.75">
      <c r="F157" s="74"/>
    </row>
    <row r="158" spans="1:6" s="85" customFormat="1" ht="12.75">
      <c r="F158" s="74"/>
    </row>
    <row r="159" spans="1:6" s="85" customFormat="1" ht="12.75">
      <c r="F159" s="74"/>
    </row>
    <row r="160" spans="1:6" s="85" customFormat="1" ht="12.75">
      <c r="F160" s="74"/>
    </row>
    <row r="161" spans="6:6" s="85" customFormat="1" ht="12.75">
      <c r="F161" s="74"/>
    </row>
    <row r="162" spans="6:6" s="85" customFormat="1" ht="12.75">
      <c r="F162" s="74"/>
    </row>
    <row r="163" spans="6:6" s="85" customFormat="1" ht="12.75">
      <c r="F163" s="74"/>
    </row>
    <row r="164" spans="6:6" s="85" customFormat="1" ht="12.75">
      <c r="F164" s="74"/>
    </row>
    <row r="165" spans="6:6" s="85" customFormat="1" ht="12.75">
      <c r="F165" s="74"/>
    </row>
    <row r="166" spans="6:6" s="85" customFormat="1" ht="12.75">
      <c r="F166" s="74"/>
    </row>
    <row r="167" spans="6:6" s="85" customFormat="1" ht="12.75">
      <c r="F167" s="74"/>
    </row>
    <row r="168" spans="6:6" s="85" customFormat="1" ht="12.75">
      <c r="F168" s="74"/>
    </row>
    <row r="169" spans="6:6" s="85" customFormat="1" ht="12.75">
      <c r="F169" s="74"/>
    </row>
    <row r="170" spans="6:6" s="85" customFormat="1" ht="12.75">
      <c r="F170" s="74"/>
    </row>
    <row r="171" spans="6:6" s="85" customFormat="1" ht="12.75">
      <c r="F171" s="74"/>
    </row>
    <row r="172" spans="6:6" s="85" customFormat="1" ht="12.75">
      <c r="F172" s="74"/>
    </row>
    <row r="173" spans="6:6" s="85" customFormat="1" ht="12.75">
      <c r="F173" s="74"/>
    </row>
    <row r="174" spans="6:6" s="85" customFormat="1" ht="12.75">
      <c r="F174" s="74"/>
    </row>
    <row r="175" spans="6:6" s="85" customFormat="1" ht="12.75">
      <c r="F175" s="74"/>
    </row>
    <row r="176" spans="6:6" s="85" customFormat="1" ht="12.75">
      <c r="F176" s="74"/>
    </row>
    <row r="177" spans="6:6" s="85" customFormat="1" ht="12.75">
      <c r="F177" s="74"/>
    </row>
    <row r="178" spans="6:6" s="85" customFormat="1" ht="12.75">
      <c r="F178" s="74"/>
    </row>
    <row r="179" spans="6:6" s="85" customFormat="1" ht="12.75">
      <c r="F179" s="74"/>
    </row>
    <row r="180" spans="6:6" s="85" customFormat="1" ht="12.75">
      <c r="F180" s="74"/>
    </row>
    <row r="181" spans="6:6" s="85" customFormat="1" ht="12.75">
      <c r="F181" s="74"/>
    </row>
    <row r="182" spans="6:6" s="85" customFormat="1" ht="12.75">
      <c r="F182" s="74"/>
    </row>
    <row r="183" spans="6:6" s="85" customFormat="1" ht="12.75">
      <c r="F183" s="74"/>
    </row>
    <row r="184" spans="6:6" s="85" customFormat="1" ht="12.75">
      <c r="F184" s="74"/>
    </row>
  </sheetData>
  <mergeCells count="22">
    <mergeCell ref="A59:I59"/>
    <mergeCell ref="A60:I60"/>
    <mergeCell ref="A61:I61"/>
    <mergeCell ref="A63:I63"/>
    <mergeCell ref="A1:I1"/>
    <mergeCell ref="A2:I2"/>
    <mergeCell ref="D7:E7"/>
    <mergeCell ref="A48:I48"/>
    <mergeCell ref="A50:I50"/>
    <mergeCell ref="A52:I52"/>
    <mergeCell ref="A53:I53"/>
    <mergeCell ref="A54:I54"/>
    <mergeCell ref="A56:I56"/>
    <mergeCell ref="A57:I57"/>
    <mergeCell ref="C72:D72"/>
    <mergeCell ref="C73:D73"/>
    <mergeCell ref="A64:I64"/>
    <mergeCell ref="A65:I65"/>
    <mergeCell ref="A67:I67"/>
    <mergeCell ref="C71:D71"/>
    <mergeCell ref="A69:G69"/>
    <mergeCell ref="C70:D70"/>
  </mergeCells>
  <phoneticPr fontId="3" type="noConversion"/>
  <dataValidations count="1">
    <dataValidation type="list" allowBlank="1" showInputMessage="1" showErrorMessage="1" sqref="G9:G20">
      <formula1>$A$146:$A$149</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5"/>
  <sheetViews>
    <sheetView view="pageBreakPreview" topLeftCell="A85" zoomScale="120" zoomScaleNormal="100" zoomScaleSheetLayoutView="120" workbookViewId="0">
      <selection activeCell="E49" sqref="E49"/>
    </sheetView>
  </sheetViews>
  <sheetFormatPr defaultRowHeight="15.75"/>
  <cols>
    <col min="1" max="1" width="4.875" style="84" customWidth="1"/>
    <col min="2" max="2" width="53.625" style="84" customWidth="1"/>
    <col min="3" max="3" width="8.625" style="84" hidden="1" customWidth="1"/>
    <col min="4" max="4" width="20.625" style="84" hidden="1" customWidth="1"/>
    <col min="5" max="5" width="12.375" style="84" customWidth="1"/>
    <col min="6" max="6" width="4.375" style="84" customWidth="1"/>
    <col min="7" max="7" width="32.375" style="84" customWidth="1"/>
    <col min="8" max="8" width="11.375" style="71" customWidth="1"/>
    <col min="9" max="9" width="14" style="84" customWidth="1"/>
    <col min="10" max="10" width="9" style="84" customWidth="1"/>
    <col min="11" max="11" width="13.25" style="84" customWidth="1"/>
    <col min="12" max="16384" width="9" style="84"/>
  </cols>
  <sheetData>
    <row r="1" spans="1:11" ht="21.75" customHeight="1">
      <c r="A1" s="155" t="s">
        <v>20</v>
      </c>
      <c r="B1" s="155"/>
      <c r="C1" s="155"/>
      <c r="D1" s="155"/>
      <c r="E1" s="155"/>
      <c r="F1" s="155"/>
      <c r="G1" s="155"/>
      <c r="H1" s="155"/>
      <c r="I1" s="155"/>
      <c r="J1" s="155"/>
      <c r="K1" s="155"/>
    </row>
    <row r="2" spans="1:11" ht="27.95" customHeight="1">
      <c r="A2" s="156" t="s">
        <v>109</v>
      </c>
      <c r="B2" s="157"/>
      <c r="C2" s="157"/>
      <c r="D2" s="157"/>
      <c r="E2" s="157"/>
      <c r="F2" s="157"/>
      <c r="G2" s="157"/>
      <c r="H2" s="157"/>
      <c r="I2" s="157"/>
      <c r="J2" s="157"/>
      <c r="K2" s="157"/>
    </row>
    <row r="3" spans="1:11" ht="20.100000000000001" customHeight="1">
      <c r="A3" s="85" t="str">
        <f>'B23-3了解货币资金循环流程和内部控制记录表'!A3</f>
        <v>客户名称：</v>
      </c>
      <c r="E3" s="85" t="str">
        <f>'B23-3了解货币资金循环流程和内部控制记录表'!C3</f>
        <v>编制人：</v>
      </c>
      <c r="G3" s="85" t="str">
        <f>'B23-3了解货币资金循环流程和内部控制记录表'!D3</f>
        <v>日 期：</v>
      </c>
      <c r="K3" s="85" t="s">
        <v>197</v>
      </c>
    </row>
    <row r="4" spans="1:11" ht="20.100000000000001" customHeight="1">
      <c r="A4" s="85" t="str">
        <f>'B23-3了解货币资金循环流程和内部控制记录表'!A4</f>
        <v>会计期间：2013年度</v>
      </c>
      <c r="E4" s="85" t="s">
        <v>5</v>
      </c>
      <c r="G4" s="85" t="s">
        <v>24</v>
      </c>
      <c r="K4" s="85" t="s">
        <v>25</v>
      </c>
    </row>
    <row r="5" spans="1:11" ht="6" customHeight="1">
      <c r="A5" s="85"/>
      <c r="E5" s="85"/>
      <c r="G5" s="85"/>
      <c r="K5" s="85"/>
    </row>
    <row r="6" spans="1:11" ht="20.100000000000001" customHeight="1">
      <c r="A6" s="105" t="s">
        <v>105</v>
      </c>
      <c r="E6" s="85"/>
      <c r="G6" s="85"/>
      <c r="K6" s="85"/>
    </row>
    <row r="7" spans="1:11" s="86" customFormat="1" ht="56.25" customHeight="1">
      <c r="A7" s="130" t="s">
        <v>80</v>
      </c>
      <c r="B7" s="130" t="s">
        <v>39</v>
      </c>
      <c r="C7" s="64" t="s">
        <v>32</v>
      </c>
      <c r="D7" s="64" t="s">
        <v>33</v>
      </c>
      <c r="E7" s="130" t="s">
        <v>81</v>
      </c>
      <c r="F7" s="164" t="s">
        <v>196</v>
      </c>
      <c r="G7" s="164"/>
      <c r="H7" s="64" t="s">
        <v>65</v>
      </c>
      <c r="I7" s="64" t="s">
        <v>66</v>
      </c>
      <c r="J7" s="64" t="s">
        <v>67</v>
      </c>
      <c r="K7" s="64" t="s">
        <v>68</v>
      </c>
    </row>
    <row r="8" spans="1:11" s="86" customFormat="1">
      <c r="A8" s="87" t="s">
        <v>82</v>
      </c>
      <c r="B8" s="63"/>
      <c r="C8" s="63"/>
      <c r="D8" s="63"/>
      <c r="E8" s="63"/>
      <c r="F8" s="88"/>
      <c r="G8" s="57"/>
      <c r="H8" s="68"/>
      <c r="I8" s="63"/>
      <c r="J8" s="63"/>
      <c r="K8" s="63"/>
    </row>
    <row r="9" spans="1:11" s="86" customFormat="1" ht="18" customHeight="1">
      <c r="A9" s="122" t="s">
        <v>127</v>
      </c>
      <c r="B9" s="37"/>
      <c r="C9" s="90"/>
      <c r="D9" s="90"/>
      <c r="E9" s="90"/>
      <c r="F9" s="90"/>
      <c r="G9" s="90"/>
      <c r="H9" s="69"/>
      <c r="I9" s="90"/>
      <c r="J9" s="90"/>
      <c r="K9" s="90"/>
    </row>
    <row r="10" spans="1:11" s="86" customFormat="1" ht="18" customHeight="1">
      <c r="A10" s="89"/>
      <c r="B10" s="123" t="s">
        <v>125</v>
      </c>
      <c r="C10" s="90"/>
      <c r="D10" s="90"/>
      <c r="E10" s="90"/>
      <c r="F10" s="90">
        <v>1</v>
      </c>
      <c r="G10" s="90"/>
      <c r="H10" s="70">
        <f>IF(OR(I10&lt;&gt;0,J10&lt;&gt;0,K10&lt;&gt;0),1,0)</f>
        <v>0</v>
      </c>
      <c r="I10" s="90"/>
      <c r="J10" s="90"/>
      <c r="K10" s="90"/>
    </row>
    <row r="11" spans="1:11" s="86" customFormat="1" ht="18" customHeight="1">
      <c r="A11" s="89"/>
      <c r="B11" s="37"/>
      <c r="C11" s="90"/>
      <c r="D11" s="90"/>
      <c r="E11" s="90"/>
      <c r="F11" s="90">
        <v>2</v>
      </c>
      <c r="G11" s="90"/>
      <c r="H11" s="70">
        <f t="shared" ref="H11:H21" si="0">IF(OR(I11&lt;&gt;0,J11&lt;&gt;0,K11&lt;&gt;0),1,0)</f>
        <v>0</v>
      </c>
      <c r="I11" s="90"/>
      <c r="J11" s="90"/>
      <c r="K11" s="90"/>
    </row>
    <row r="12" spans="1:11" s="86" customFormat="1" ht="18" customHeight="1">
      <c r="A12" s="89"/>
      <c r="B12" s="37"/>
      <c r="C12" s="90"/>
      <c r="D12" s="90"/>
      <c r="E12" s="90"/>
      <c r="F12" s="90" t="s">
        <v>13</v>
      </c>
      <c r="G12" s="90"/>
      <c r="H12" s="70">
        <f t="shared" si="0"/>
        <v>0</v>
      </c>
      <c r="I12" s="90"/>
      <c r="J12" s="90"/>
      <c r="K12" s="90"/>
    </row>
    <row r="13" spans="1:11" ht="18" customHeight="1">
      <c r="A13" s="89"/>
      <c r="B13" s="123" t="s">
        <v>126</v>
      </c>
      <c r="C13" s="90"/>
      <c r="D13" s="91"/>
      <c r="E13" s="91"/>
      <c r="F13" s="91"/>
      <c r="G13" s="91"/>
      <c r="H13" s="70">
        <f t="shared" si="0"/>
        <v>0</v>
      </c>
      <c r="I13" s="90"/>
      <c r="J13" s="91"/>
      <c r="K13" s="90"/>
    </row>
    <row r="14" spans="1:11" ht="18" customHeight="1">
      <c r="A14" s="89"/>
      <c r="B14" s="123"/>
      <c r="C14" s="90"/>
      <c r="D14" s="91"/>
      <c r="E14" s="91"/>
      <c r="F14" s="91"/>
      <c r="G14" s="91"/>
      <c r="H14" s="70">
        <f t="shared" si="0"/>
        <v>0</v>
      </c>
      <c r="I14" s="90"/>
      <c r="J14" s="91"/>
      <c r="K14" s="90"/>
    </row>
    <row r="15" spans="1:11" ht="18" customHeight="1">
      <c r="A15" s="124" t="s">
        <v>128</v>
      </c>
      <c r="B15" s="37"/>
      <c r="C15" s="90"/>
      <c r="D15" s="91"/>
      <c r="E15" s="91"/>
      <c r="F15" s="91"/>
      <c r="G15" s="91"/>
      <c r="H15" s="70">
        <f t="shared" si="0"/>
        <v>0</v>
      </c>
      <c r="I15" s="90"/>
      <c r="J15" s="91"/>
      <c r="K15" s="90"/>
    </row>
    <row r="16" spans="1:11" ht="18" customHeight="1">
      <c r="A16" s="89"/>
      <c r="B16" s="123" t="s">
        <v>129</v>
      </c>
      <c r="C16" s="90"/>
      <c r="D16" s="91"/>
      <c r="E16" s="91"/>
      <c r="F16" s="91"/>
      <c r="G16" s="91"/>
      <c r="H16" s="70">
        <f>IF(OR(I16&lt;&gt;0,J16&lt;&gt;0,K16&lt;&gt;0),1,0)</f>
        <v>0</v>
      </c>
      <c r="I16" s="90"/>
      <c r="J16" s="91"/>
      <c r="K16" s="90"/>
    </row>
    <row r="17" spans="1:11" ht="18" customHeight="1">
      <c r="A17" s="89"/>
      <c r="B17" s="83"/>
      <c r="C17" s="90"/>
      <c r="D17" s="91"/>
      <c r="E17" s="91"/>
      <c r="F17" s="91"/>
      <c r="G17" s="91"/>
      <c r="H17" s="70">
        <f t="shared" si="0"/>
        <v>0</v>
      </c>
      <c r="I17" s="90"/>
      <c r="J17" s="91"/>
      <c r="K17" s="90"/>
    </row>
    <row r="18" spans="1:11" ht="18" customHeight="1">
      <c r="A18" s="122" t="s">
        <v>131</v>
      </c>
      <c r="B18" s="83"/>
      <c r="C18" s="90"/>
      <c r="D18" s="91"/>
      <c r="E18" s="91"/>
      <c r="F18" s="91"/>
      <c r="G18" s="91"/>
      <c r="H18" s="70">
        <f t="shared" si="0"/>
        <v>0</v>
      </c>
      <c r="I18" s="90"/>
      <c r="J18" s="91"/>
      <c r="K18" s="90"/>
    </row>
    <row r="19" spans="1:11" ht="18" customHeight="1">
      <c r="A19" s="89"/>
      <c r="B19" s="123" t="s">
        <v>130</v>
      </c>
      <c r="C19" s="90"/>
      <c r="D19" s="91"/>
      <c r="E19" s="91"/>
      <c r="F19" s="91"/>
      <c r="G19" s="91"/>
      <c r="H19" s="70">
        <f t="shared" si="0"/>
        <v>0</v>
      </c>
      <c r="I19" s="90"/>
      <c r="J19" s="91"/>
      <c r="K19" s="90"/>
    </row>
    <row r="20" spans="1:11" ht="18" customHeight="1">
      <c r="A20" s="89"/>
      <c r="B20" s="37"/>
      <c r="C20" s="90"/>
      <c r="D20" s="91"/>
      <c r="E20" s="91"/>
      <c r="F20" s="91"/>
      <c r="G20" s="91"/>
      <c r="H20" s="70">
        <f t="shared" si="0"/>
        <v>0</v>
      </c>
      <c r="I20" s="90"/>
      <c r="J20" s="91"/>
      <c r="K20" s="90"/>
    </row>
    <row r="21" spans="1:11" ht="18" customHeight="1">
      <c r="A21" s="89"/>
      <c r="B21" s="37"/>
      <c r="C21" s="90"/>
      <c r="D21" s="91"/>
      <c r="E21" s="91"/>
      <c r="F21" s="91"/>
      <c r="G21" s="91"/>
      <c r="H21" s="70">
        <f t="shared" si="0"/>
        <v>0</v>
      </c>
      <c r="I21" s="90"/>
      <c r="J21" s="91"/>
      <c r="K21" s="90"/>
    </row>
    <row r="22" spans="1:11" ht="18" customHeight="1">
      <c r="A22" s="108"/>
      <c r="B22" s="107"/>
      <c r="C22" s="109"/>
      <c r="D22" s="109"/>
      <c r="E22" s="106" t="s">
        <v>102</v>
      </c>
      <c r="F22" s="109"/>
      <c r="G22" s="109"/>
      <c r="H22" s="110">
        <f>SUM(H10:H21)</f>
        <v>0</v>
      </c>
      <c r="I22" s="111">
        <f>COUNTA(I10:I21)</f>
        <v>0</v>
      </c>
      <c r="J22" s="111">
        <f t="shared" ref="J22:K22" si="1">COUNTA(J10:J21)</f>
        <v>0</v>
      </c>
      <c r="K22" s="111">
        <f t="shared" si="1"/>
        <v>0</v>
      </c>
    </row>
    <row r="23" spans="1:11" ht="18" customHeight="1">
      <c r="A23" s="89"/>
      <c r="B23" s="37"/>
      <c r="C23" s="90"/>
      <c r="D23" s="91"/>
      <c r="E23" s="91"/>
      <c r="F23" s="91"/>
      <c r="G23" s="91"/>
      <c r="H23" s="92"/>
      <c r="I23" s="93" t="e">
        <f>I22/H22</f>
        <v>#DIV/0!</v>
      </c>
      <c r="J23" s="93" t="e">
        <f>J22/H22</f>
        <v>#DIV/0!</v>
      </c>
      <c r="K23" s="93" t="e">
        <f>K22/H22</f>
        <v>#DIV/0!</v>
      </c>
    </row>
    <row r="24" spans="1:11" ht="18" customHeight="1">
      <c r="A24" s="89"/>
      <c r="B24" s="37"/>
      <c r="C24" s="90"/>
      <c r="D24" s="91"/>
      <c r="E24" s="91"/>
      <c r="F24" s="91"/>
      <c r="G24" s="91"/>
      <c r="H24" s="113" t="s">
        <v>103</v>
      </c>
      <c r="I24" s="94" t="s">
        <v>69</v>
      </c>
      <c r="J24" s="94" t="s">
        <v>70</v>
      </c>
      <c r="K24" s="94" t="s">
        <v>71</v>
      </c>
    </row>
    <row r="25" spans="1:11" ht="18" customHeight="1">
      <c r="A25" s="95" t="s">
        <v>83</v>
      </c>
      <c r="B25" s="37"/>
      <c r="C25" s="90"/>
      <c r="D25" s="91"/>
      <c r="E25" s="91"/>
      <c r="F25" s="91"/>
      <c r="G25" s="91"/>
      <c r="H25" s="70"/>
      <c r="I25" s="91"/>
      <c r="J25" s="91"/>
      <c r="K25" s="90"/>
    </row>
    <row r="26" spans="1:11" s="86" customFormat="1" ht="18" customHeight="1">
      <c r="A26" s="122" t="s">
        <v>127</v>
      </c>
      <c r="B26" s="37"/>
      <c r="C26" s="90"/>
      <c r="D26" s="90"/>
      <c r="E26" s="90"/>
      <c r="F26" s="90"/>
      <c r="G26" s="90"/>
      <c r="H26" s="69"/>
      <c r="I26" s="90"/>
      <c r="J26" s="90"/>
      <c r="K26" s="90"/>
    </row>
    <row r="27" spans="1:11" s="86" customFormat="1" ht="18" customHeight="1">
      <c r="A27" s="89"/>
      <c r="B27" s="123" t="s">
        <v>125</v>
      </c>
      <c r="C27" s="90"/>
      <c r="D27" s="90"/>
      <c r="E27" s="90"/>
      <c r="F27" s="90">
        <v>1</v>
      </c>
      <c r="G27" s="90"/>
      <c r="H27" s="70">
        <f>IF(OR(I27&lt;&gt;0,J27&lt;&gt;0,K27&lt;&gt;0),1,0)</f>
        <v>0</v>
      </c>
      <c r="I27" s="90"/>
      <c r="J27" s="90"/>
      <c r="K27" s="90"/>
    </row>
    <row r="28" spans="1:11" s="86" customFormat="1" ht="18" customHeight="1">
      <c r="A28" s="89"/>
      <c r="B28" s="37"/>
      <c r="C28" s="90"/>
      <c r="D28" s="90"/>
      <c r="E28" s="90"/>
      <c r="F28" s="90">
        <v>2</v>
      </c>
      <c r="G28" s="90"/>
      <c r="H28" s="70">
        <f t="shared" ref="H28:H38" si="2">IF(OR(I28&lt;&gt;0,J28&lt;&gt;0,K28&lt;&gt;0),1,0)</f>
        <v>0</v>
      </c>
      <c r="I28" s="90"/>
      <c r="J28" s="90"/>
      <c r="K28" s="90"/>
    </row>
    <row r="29" spans="1:11" s="86" customFormat="1" ht="18" customHeight="1">
      <c r="A29" s="89"/>
      <c r="B29" s="37"/>
      <c r="C29" s="90"/>
      <c r="D29" s="90"/>
      <c r="E29" s="90"/>
      <c r="F29" s="90" t="s">
        <v>13</v>
      </c>
      <c r="G29" s="90"/>
      <c r="H29" s="70">
        <f t="shared" si="2"/>
        <v>0</v>
      </c>
      <c r="I29" s="90"/>
      <c r="J29" s="90"/>
      <c r="K29" s="90"/>
    </row>
    <row r="30" spans="1:11" ht="18" customHeight="1">
      <c r="A30" s="89"/>
      <c r="B30" s="123" t="s">
        <v>126</v>
      </c>
      <c r="C30" s="90"/>
      <c r="D30" s="91"/>
      <c r="E30" s="91"/>
      <c r="F30" s="91"/>
      <c r="G30" s="91"/>
      <c r="H30" s="70">
        <f t="shared" si="2"/>
        <v>0</v>
      </c>
      <c r="I30" s="90"/>
      <c r="J30" s="91"/>
      <c r="K30" s="90"/>
    </row>
    <row r="31" spans="1:11" ht="18" customHeight="1">
      <c r="A31" s="89"/>
      <c r="B31" s="123"/>
      <c r="C31" s="90"/>
      <c r="D31" s="91"/>
      <c r="E31" s="91"/>
      <c r="F31" s="91"/>
      <c r="G31" s="91"/>
      <c r="H31" s="70">
        <f t="shared" si="2"/>
        <v>0</v>
      </c>
      <c r="I31" s="90"/>
      <c r="J31" s="91"/>
      <c r="K31" s="90"/>
    </row>
    <row r="32" spans="1:11" ht="18" customHeight="1">
      <c r="A32" s="124" t="s">
        <v>128</v>
      </c>
      <c r="B32" s="37"/>
      <c r="C32" s="90"/>
      <c r="D32" s="91"/>
      <c r="E32" s="91"/>
      <c r="F32" s="91"/>
      <c r="G32" s="91"/>
      <c r="H32" s="70">
        <f t="shared" si="2"/>
        <v>0</v>
      </c>
      <c r="I32" s="90"/>
      <c r="J32" s="91"/>
      <c r="K32" s="90"/>
    </row>
    <row r="33" spans="1:11" ht="18" customHeight="1">
      <c r="A33" s="89"/>
      <c r="B33" s="123" t="s">
        <v>129</v>
      </c>
      <c r="C33" s="90"/>
      <c r="D33" s="91"/>
      <c r="E33" s="91"/>
      <c r="F33" s="91"/>
      <c r="G33" s="91"/>
      <c r="H33" s="70">
        <f t="shared" si="2"/>
        <v>0</v>
      </c>
      <c r="I33" s="90"/>
      <c r="J33" s="91"/>
      <c r="K33" s="90"/>
    </row>
    <row r="34" spans="1:11" ht="18" customHeight="1">
      <c r="A34" s="89"/>
      <c r="B34" s="83"/>
      <c r="C34" s="90"/>
      <c r="D34" s="91"/>
      <c r="E34" s="91"/>
      <c r="F34" s="91"/>
      <c r="G34" s="91"/>
      <c r="H34" s="70">
        <f t="shared" si="2"/>
        <v>0</v>
      </c>
      <c r="I34" s="90"/>
      <c r="J34" s="91"/>
      <c r="K34" s="90"/>
    </row>
    <row r="35" spans="1:11" ht="18" customHeight="1">
      <c r="A35" s="122" t="s">
        <v>131</v>
      </c>
      <c r="B35" s="83"/>
      <c r="C35" s="90"/>
      <c r="D35" s="91"/>
      <c r="E35" s="91"/>
      <c r="F35" s="91"/>
      <c r="G35" s="91"/>
      <c r="H35" s="70">
        <f t="shared" si="2"/>
        <v>0</v>
      </c>
      <c r="I35" s="90"/>
      <c r="J35" s="91"/>
      <c r="K35" s="90"/>
    </row>
    <row r="36" spans="1:11" ht="18" customHeight="1">
      <c r="A36" s="89"/>
      <c r="B36" s="123" t="s">
        <v>130</v>
      </c>
      <c r="C36" s="90"/>
      <c r="D36" s="91"/>
      <c r="E36" s="91"/>
      <c r="F36" s="91"/>
      <c r="G36" s="91"/>
      <c r="H36" s="70">
        <f t="shared" si="2"/>
        <v>0</v>
      </c>
      <c r="I36" s="90"/>
      <c r="J36" s="91"/>
      <c r="K36" s="90"/>
    </row>
    <row r="37" spans="1:11" ht="18" customHeight="1">
      <c r="A37" s="89"/>
      <c r="B37" s="37"/>
      <c r="C37" s="90"/>
      <c r="D37" s="91"/>
      <c r="E37" s="91"/>
      <c r="F37" s="91"/>
      <c r="G37" s="91"/>
      <c r="H37" s="70">
        <f>IF(OR(I37&lt;&gt;0,J37&lt;&gt;0,K37&lt;&gt;0),1,0)</f>
        <v>0</v>
      </c>
      <c r="I37" s="90"/>
      <c r="J37" s="91"/>
      <c r="K37" s="90"/>
    </row>
    <row r="38" spans="1:11" ht="18" customHeight="1">
      <c r="A38" s="89"/>
      <c r="B38" s="37"/>
      <c r="C38" s="90"/>
      <c r="D38" s="91"/>
      <c r="E38" s="91"/>
      <c r="F38" s="91"/>
      <c r="G38" s="91"/>
      <c r="H38" s="70">
        <f t="shared" si="2"/>
        <v>0</v>
      </c>
      <c r="I38" s="90"/>
      <c r="J38" s="91"/>
      <c r="K38" s="90"/>
    </row>
    <row r="39" spans="1:11" ht="18" customHeight="1">
      <c r="A39" s="108"/>
      <c r="B39" s="112"/>
      <c r="C39" s="109"/>
      <c r="D39" s="109"/>
      <c r="E39" s="106" t="s">
        <v>102</v>
      </c>
      <c r="F39" s="109"/>
      <c r="G39" s="109"/>
      <c r="H39" s="110">
        <f>SUM(H27:H38)</f>
        <v>0</v>
      </c>
      <c r="I39" s="111">
        <f>COUNTA(I27:I38)</f>
        <v>0</v>
      </c>
      <c r="J39" s="111">
        <f t="shared" ref="J39:K39" si="3">COUNTA(J27:J38)</f>
        <v>0</v>
      </c>
      <c r="K39" s="111">
        <f t="shared" si="3"/>
        <v>0</v>
      </c>
    </row>
    <row r="40" spans="1:11" ht="18" customHeight="1">
      <c r="A40" s="89"/>
      <c r="B40" s="37"/>
      <c r="C40" s="90"/>
      <c r="D40" s="91"/>
      <c r="E40" s="91"/>
      <c r="F40" s="91"/>
      <c r="G40" s="91"/>
      <c r="H40" s="92"/>
      <c r="I40" s="93" t="e">
        <f>I39/H39</f>
        <v>#DIV/0!</v>
      </c>
      <c r="J40" s="93" t="e">
        <f>J39/H39</f>
        <v>#DIV/0!</v>
      </c>
      <c r="K40" s="93" t="e">
        <f>K39/H39</f>
        <v>#DIV/0!</v>
      </c>
    </row>
    <row r="41" spans="1:11">
      <c r="A41" s="96"/>
      <c r="B41" s="96"/>
      <c r="C41" s="96"/>
      <c r="D41" s="96"/>
      <c r="E41" s="96"/>
      <c r="F41" s="96"/>
      <c r="G41" s="96"/>
      <c r="H41" s="113" t="s">
        <v>104</v>
      </c>
      <c r="I41" s="94" t="s">
        <v>72</v>
      </c>
      <c r="J41" s="94" t="s">
        <v>72</v>
      </c>
      <c r="K41" s="94" t="s">
        <v>72</v>
      </c>
    </row>
    <row r="42" spans="1:11">
      <c r="A42" s="97" t="s">
        <v>133</v>
      </c>
      <c r="F42" s="71"/>
      <c r="H42" s="84"/>
    </row>
    <row r="43" spans="1:11">
      <c r="A43" s="98" t="s">
        <v>134</v>
      </c>
      <c r="F43" s="71"/>
      <c r="H43" s="84"/>
    </row>
    <row r="44" spans="1:11">
      <c r="A44" s="98" t="s">
        <v>135</v>
      </c>
      <c r="F44" s="71"/>
      <c r="H44" s="84"/>
    </row>
    <row r="45" spans="1:11">
      <c r="A45" s="98" t="s">
        <v>136</v>
      </c>
      <c r="F45" s="71"/>
      <c r="H45" s="84"/>
    </row>
    <row r="46" spans="1:11">
      <c r="A46" s="98" t="s">
        <v>34</v>
      </c>
      <c r="F46" s="71"/>
      <c r="H46" s="84"/>
    </row>
    <row r="47" spans="1:11">
      <c r="A47" s="98" t="s">
        <v>137</v>
      </c>
      <c r="F47" s="71"/>
      <c r="H47" s="84"/>
    </row>
    <row r="48" spans="1:11">
      <c r="A48" s="98" t="s">
        <v>138</v>
      </c>
      <c r="F48" s="71"/>
      <c r="H48" s="84"/>
    </row>
    <row r="49" spans="1:11">
      <c r="A49" s="98" t="s">
        <v>139</v>
      </c>
      <c r="F49" s="71"/>
      <c r="H49" s="84"/>
    </row>
    <row r="50" spans="1:11">
      <c r="A50" s="98" t="s">
        <v>140</v>
      </c>
      <c r="F50" s="71"/>
      <c r="H50" s="84"/>
    </row>
    <row r="51" spans="1:11">
      <c r="A51" s="98" t="s">
        <v>141</v>
      </c>
      <c r="F51" s="71"/>
      <c r="H51" s="84"/>
    </row>
    <row r="52" spans="1:11">
      <c r="A52" s="98" t="s">
        <v>142</v>
      </c>
      <c r="F52" s="71"/>
      <c r="H52" s="84"/>
    </row>
    <row r="53" spans="1:11">
      <c r="A53" s="98" t="s">
        <v>143</v>
      </c>
      <c r="F53" s="71"/>
      <c r="H53" s="84"/>
    </row>
    <row r="54" spans="1:11">
      <c r="A54" s="98" t="s">
        <v>144</v>
      </c>
      <c r="F54" s="71"/>
      <c r="H54" s="84"/>
    </row>
    <row r="55" spans="1:11">
      <c r="A55" s="98" t="s">
        <v>145</v>
      </c>
      <c r="F55" s="71"/>
      <c r="H55" s="84"/>
    </row>
    <row r="56" spans="1:11">
      <c r="A56" s="98" t="s">
        <v>35</v>
      </c>
      <c r="F56" s="71"/>
      <c r="H56" s="84"/>
    </row>
    <row r="57" spans="1:11">
      <c r="A57" s="125" t="s">
        <v>146</v>
      </c>
      <c r="B57" s="99"/>
      <c r="C57" s="99"/>
      <c r="D57" s="99"/>
      <c r="E57" s="99"/>
      <c r="F57" s="72"/>
      <c r="G57" s="99"/>
      <c r="H57" s="99"/>
      <c r="I57" s="99"/>
      <c r="J57" s="99"/>
      <c r="K57" s="99"/>
    </row>
    <row r="58" spans="1:11">
      <c r="A58" s="100" t="s">
        <v>147</v>
      </c>
      <c r="B58" s="100"/>
      <c r="F58" s="71"/>
      <c r="H58" s="84"/>
    </row>
    <row r="59" spans="1:11">
      <c r="A59" s="100" t="s">
        <v>148</v>
      </c>
      <c r="B59" s="100"/>
      <c r="F59" s="71"/>
      <c r="H59" s="84"/>
    </row>
    <row r="60" spans="1:11">
      <c r="A60" s="100" t="s">
        <v>149</v>
      </c>
      <c r="B60" s="100"/>
      <c r="F60" s="71"/>
      <c r="H60" s="84"/>
    </row>
    <row r="61" spans="1:11">
      <c r="A61" s="101" t="s">
        <v>150</v>
      </c>
      <c r="B61" s="101" t="s">
        <v>151</v>
      </c>
      <c r="F61" s="71"/>
      <c r="H61" s="84"/>
    </row>
    <row r="62" spans="1:11">
      <c r="A62" s="102">
        <v>1</v>
      </c>
      <c r="B62" s="102" t="s">
        <v>152</v>
      </c>
      <c r="F62" s="71"/>
      <c r="H62" s="84"/>
    </row>
    <row r="63" spans="1:11">
      <c r="A63" s="102">
        <v>2</v>
      </c>
      <c r="B63" s="102" t="s">
        <v>153</v>
      </c>
      <c r="F63" s="71"/>
      <c r="H63" s="84"/>
    </row>
    <row r="64" spans="1:11">
      <c r="A64" s="102">
        <v>3</v>
      </c>
      <c r="B64" s="102" t="s">
        <v>154</v>
      </c>
      <c r="F64" s="71"/>
      <c r="H64" s="84"/>
    </row>
    <row r="65" spans="1:11">
      <c r="A65" s="102">
        <v>4</v>
      </c>
      <c r="B65" s="102" t="s">
        <v>155</v>
      </c>
      <c r="F65" s="71"/>
      <c r="H65" s="84"/>
    </row>
    <row r="66" spans="1:11" ht="106.5" customHeight="1">
      <c r="A66" s="161" t="s">
        <v>156</v>
      </c>
      <c r="B66" s="161"/>
      <c r="C66" s="161"/>
      <c r="D66" s="161"/>
      <c r="E66" s="161"/>
      <c r="F66" s="161"/>
      <c r="G66" s="161"/>
      <c r="H66" s="161"/>
      <c r="I66" s="161"/>
      <c r="J66" s="161"/>
      <c r="K66" s="161"/>
    </row>
    <row r="67" spans="1:11" ht="21.75" customHeight="1">
      <c r="A67" s="103" t="s">
        <v>157</v>
      </c>
      <c r="B67" s="103"/>
      <c r="C67" s="103"/>
      <c r="D67" s="103"/>
      <c r="E67" s="103"/>
      <c r="F67" s="73"/>
      <c r="G67" s="103"/>
      <c r="H67" s="103"/>
      <c r="I67" s="103"/>
      <c r="J67" s="103"/>
      <c r="K67" s="103"/>
    </row>
    <row r="68" spans="1:11" ht="25.5" customHeight="1">
      <c r="A68" s="161" t="s">
        <v>158</v>
      </c>
      <c r="B68" s="161"/>
      <c r="C68" s="161"/>
      <c r="D68" s="161"/>
      <c r="E68" s="161"/>
      <c r="F68" s="161"/>
      <c r="G68" s="161"/>
      <c r="H68" s="161"/>
      <c r="I68" s="161"/>
      <c r="J68" s="161"/>
      <c r="K68" s="161"/>
    </row>
    <row r="69" spans="1:11" ht="25.5" customHeight="1">
      <c r="A69" s="103" t="s">
        <v>159</v>
      </c>
      <c r="B69" s="103"/>
      <c r="C69" s="103"/>
      <c r="D69" s="103"/>
      <c r="E69" s="103"/>
      <c r="F69" s="73"/>
      <c r="G69" s="103"/>
      <c r="H69" s="103"/>
      <c r="I69" s="103"/>
      <c r="J69" s="103"/>
      <c r="K69" s="103"/>
    </row>
    <row r="70" spans="1:11" ht="25.5" customHeight="1">
      <c r="A70" s="161" t="s">
        <v>160</v>
      </c>
      <c r="B70" s="161"/>
      <c r="C70" s="161"/>
      <c r="D70" s="161"/>
      <c r="E70" s="161"/>
      <c r="F70" s="161"/>
      <c r="G70" s="161"/>
      <c r="H70" s="161"/>
      <c r="I70" s="161"/>
      <c r="J70" s="161"/>
      <c r="K70" s="161"/>
    </row>
    <row r="71" spans="1:11" ht="34.5" customHeight="1">
      <c r="A71" s="161" t="s">
        <v>161</v>
      </c>
      <c r="B71" s="161"/>
      <c r="C71" s="161"/>
      <c r="D71" s="161"/>
      <c r="E71" s="161"/>
      <c r="F71" s="161"/>
      <c r="G71" s="161"/>
      <c r="H71" s="161"/>
      <c r="I71" s="161"/>
      <c r="J71" s="161"/>
      <c r="K71" s="161"/>
    </row>
    <row r="72" spans="1:11" ht="25.5" customHeight="1">
      <c r="A72" s="161" t="s">
        <v>162</v>
      </c>
      <c r="B72" s="161"/>
      <c r="C72" s="161"/>
      <c r="D72" s="161"/>
      <c r="E72" s="161"/>
      <c r="F72" s="161"/>
      <c r="G72" s="161"/>
      <c r="H72" s="161"/>
      <c r="I72" s="161"/>
      <c r="J72" s="161"/>
      <c r="K72" s="161"/>
    </row>
    <row r="73" spans="1:11" ht="25.5" customHeight="1">
      <c r="A73" s="103" t="s">
        <v>163</v>
      </c>
      <c r="B73" s="103"/>
      <c r="C73" s="103"/>
      <c r="D73" s="103"/>
      <c r="E73" s="103"/>
      <c r="F73" s="73"/>
      <c r="G73" s="103"/>
      <c r="H73" s="103"/>
      <c r="I73" s="103"/>
      <c r="J73" s="103"/>
      <c r="K73" s="103"/>
    </row>
    <row r="74" spans="1:11" ht="113.25" customHeight="1">
      <c r="A74" s="161" t="s">
        <v>164</v>
      </c>
      <c r="B74" s="161"/>
      <c r="C74" s="161"/>
      <c r="D74" s="161"/>
      <c r="E74" s="161"/>
      <c r="F74" s="161"/>
      <c r="G74" s="161"/>
      <c r="H74" s="161"/>
      <c r="I74" s="161"/>
      <c r="J74" s="161"/>
      <c r="K74" s="161"/>
    </row>
    <row r="75" spans="1:11" ht="25.5" customHeight="1">
      <c r="A75" s="161" t="s">
        <v>165</v>
      </c>
      <c r="B75" s="161"/>
      <c r="C75" s="161"/>
      <c r="D75" s="161"/>
      <c r="E75" s="161"/>
      <c r="F75" s="161"/>
      <c r="G75" s="161"/>
      <c r="H75" s="161"/>
      <c r="I75" s="161"/>
      <c r="J75" s="161"/>
      <c r="K75" s="161"/>
    </row>
    <row r="76" spans="1:11" ht="25.5" customHeight="1">
      <c r="A76" s="103" t="s">
        <v>166</v>
      </c>
      <c r="B76" s="103"/>
      <c r="C76" s="103"/>
      <c r="D76" s="103"/>
      <c r="E76" s="103"/>
      <c r="F76" s="73"/>
      <c r="G76" s="103"/>
      <c r="H76" s="103"/>
      <c r="I76" s="103"/>
      <c r="J76" s="103"/>
      <c r="K76" s="103"/>
    </row>
    <row r="77" spans="1:11" ht="25.5" customHeight="1">
      <c r="A77" s="161" t="s">
        <v>167</v>
      </c>
      <c r="B77" s="161"/>
      <c r="C77" s="161"/>
      <c r="D77" s="161"/>
      <c r="E77" s="161"/>
      <c r="F77" s="161"/>
      <c r="G77" s="161"/>
      <c r="H77" s="161"/>
      <c r="I77" s="161"/>
      <c r="J77" s="161"/>
      <c r="K77" s="161"/>
    </row>
    <row r="78" spans="1:11" ht="25.5" customHeight="1">
      <c r="A78" s="161" t="s">
        <v>168</v>
      </c>
      <c r="B78" s="161"/>
      <c r="C78" s="161"/>
      <c r="D78" s="161"/>
      <c r="E78" s="161"/>
      <c r="F78" s="161"/>
      <c r="G78" s="161"/>
      <c r="H78" s="161"/>
      <c r="I78" s="161"/>
      <c r="J78" s="161"/>
      <c r="K78" s="161"/>
    </row>
    <row r="79" spans="1:11" ht="25.5" customHeight="1">
      <c r="A79" s="161" t="s">
        <v>169</v>
      </c>
      <c r="B79" s="161"/>
      <c r="C79" s="161"/>
      <c r="D79" s="161"/>
      <c r="E79" s="161"/>
      <c r="F79" s="161"/>
      <c r="G79" s="161"/>
      <c r="H79" s="161"/>
      <c r="I79" s="161"/>
      <c r="J79" s="161"/>
      <c r="K79" s="161"/>
    </row>
    <row r="80" spans="1:11" ht="25.5" customHeight="1">
      <c r="A80" s="103" t="s">
        <v>170</v>
      </c>
      <c r="B80" s="103"/>
      <c r="C80" s="103"/>
      <c r="D80" s="103"/>
      <c r="E80" s="103"/>
      <c r="F80" s="73"/>
      <c r="G80" s="103"/>
      <c r="H80" s="103"/>
      <c r="I80" s="103"/>
      <c r="J80" s="103"/>
      <c r="K80" s="103"/>
    </row>
    <row r="81" spans="1:11" ht="104.25" customHeight="1">
      <c r="A81" s="161" t="s">
        <v>171</v>
      </c>
      <c r="B81" s="161"/>
      <c r="C81" s="161"/>
      <c r="D81" s="161"/>
      <c r="E81" s="161"/>
      <c r="F81" s="161"/>
      <c r="G81" s="161"/>
      <c r="H81" s="161"/>
      <c r="I81" s="161"/>
      <c r="J81" s="161"/>
      <c r="K81" s="161"/>
    </row>
    <row r="82" spans="1:11" ht="25.5" customHeight="1">
      <c r="A82" s="161" t="s">
        <v>172</v>
      </c>
      <c r="B82" s="161"/>
      <c r="C82" s="161"/>
      <c r="D82" s="161"/>
      <c r="E82" s="161"/>
      <c r="F82" s="161"/>
      <c r="G82" s="161"/>
      <c r="H82" s="161"/>
      <c r="I82" s="161"/>
      <c r="J82" s="161"/>
      <c r="K82" s="161"/>
    </row>
    <row r="83" spans="1:11" ht="25.5" customHeight="1">
      <c r="A83" s="161" t="s">
        <v>173</v>
      </c>
      <c r="B83" s="161"/>
      <c r="C83" s="161"/>
      <c r="D83" s="161"/>
      <c r="E83" s="161"/>
      <c r="F83" s="161"/>
      <c r="G83" s="161"/>
      <c r="H83" s="161"/>
      <c r="I83" s="161"/>
      <c r="J83" s="161"/>
      <c r="K83" s="161"/>
    </row>
    <row r="84" spans="1:11" ht="25.5" customHeight="1">
      <c r="A84" s="103" t="s">
        <v>174</v>
      </c>
      <c r="B84" s="103"/>
      <c r="C84" s="103"/>
      <c r="D84" s="103"/>
      <c r="E84" s="103"/>
      <c r="F84" s="73"/>
      <c r="G84" s="103"/>
      <c r="H84" s="103"/>
      <c r="I84" s="103"/>
      <c r="J84" s="103"/>
      <c r="K84" s="103"/>
    </row>
    <row r="85" spans="1:11" ht="25.5" customHeight="1">
      <c r="A85" s="161" t="s">
        <v>175</v>
      </c>
      <c r="B85" s="161"/>
      <c r="C85" s="161"/>
      <c r="D85" s="161"/>
      <c r="E85" s="161"/>
      <c r="F85" s="161"/>
      <c r="G85" s="161"/>
      <c r="H85" s="161"/>
      <c r="I85" s="161"/>
      <c r="J85" s="161"/>
      <c r="K85" s="161"/>
    </row>
    <row r="86" spans="1:11" ht="19.5" customHeight="1">
      <c r="A86" s="125" t="s">
        <v>176</v>
      </c>
      <c r="B86" s="128"/>
      <c r="C86" s="128"/>
      <c r="D86" s="128"/>
      <c r="E86" s="128"/>
      <c r="F86" s="128"/>
      <c r="G86" s="128"/>
      <c r="H86" s="128"/>
      <c r="I86" s="128"/>
      <c r="J86" s="128"/>
      <c r="K86" s="128"/>
    </row>
    <row r="87" spans="1:11" ht="18.75" customHeight="1" thickBot="1">
      <c r="A87" s="168" t="s">
        <v>177</v>
      </c>
      <c r="B87" s="169"/>
      <c r="C87" s="169"/>
      <c r="D87" s="169"/>
      <c r="E87" s="169"/>
      <c r="F87" s="169"/>
      <c r="G87" s="169"/>
      <c r="H87" s="84"/>
    </row>
    <row r="88" spans="1:11" s="85" customFormat="1" ht="45" customHeight="1" thickBot="1">
      <c r="B88" s="166" t="s">
        <v>178</v>
      </c>
      <c r="C88" s="166" t="s">
        <v>179</v>
      </c>
      <c r="D88" s="166"/>
      <c r="E88" s="166"/>
      <c r="F88" s="74"/>
    </row>
    <row r="89" spans="1:11" s="85" customFormat="1" ht="45" customHeight="1" thickBot="1">
      <c r="B89" s="166"/>
      <c r="C89" s="166" t="s">
        <v>180</v>
      </c>
      <c r="D89" s="166"/>
      <c r="E89" s="129" t="s">
        <v>181</v>
      </c>
      <c r="F89" s="74"/>
    </row>
    <row r="90" spans="1:11" s="85" customFormat="1" ht="18.75" customHeight="1" thickBot="1">
      <c r="B90" s="126" t="s">
        <v>182</v>
      </c>
      <c r="C90" s="167" t="s">
        <v>183</v>
      </c>
      <c r="D90" s="167"/>
      <c r="E90" s="127" t="s">
        <v>184</v>
      </c>
      <c r="F90" s="74"/>
    </row>
    <row r="91" spans="1:11" s="85" customFormat="1" ht="18.75" customHeight="1" thickBot="1">
      <c r="B91" s="126" t="s">
        <v>185</v>
      </c>
      <c r="C91" s="167" t="s">
        <v>186</v>
      </c>
      <c r="D91" s="167"/>
      <c r="E91" s="127" t="s">
        <v>184</v>
      </c>
      <c r="F91" s="74"/>
    </row>
    <row r="92" spans="1:11" s="85" customFormat="1" ht="18.75" customHeight="1" thickBot="1">
      <c r="B92" s="126" t="s">
        <v>187</v>
      </c>
      <c r="C92" s="167" t="s">
        <v>188</v>
      </c>
      <c r="D92" s="167"/>
      <c r="E92" s="127" t="s">
        <v>184</v>
      </c>
      <c r="F92" s="74"/>
    </row>
    <row r="93" spans="1:11" s="85" customFormat="1" ht="30.75" customHeight="1" thickBot="1">
      <c r="B93" s="165" t="s">
        <v>189</v>
      </c>
      <c r="C93" s="165"/>
      <c r="D93" s="165"/>
      <c r="E93" s="165"/>
      <c r="F93" s="74"/>
    </row>
    <row r="94" spans="1:11" s="85" customFormat="1" ht="33" customHeight="1" thickBot="1">
      <c r="B94" s="165" t="s">
        <v>190</v>
      </c>
      <c r="C94" s="165"/>
      <c r="D94" s="165"/>
      <c r="E94" s="165"/>
      <c r="F94" s="74"/>
    </row>
    <row r="95" spans="1:11" s="85" customFormat="1" ht="18.75" customHeight="1">
      <c r="F95" s="74"/>
    </row>
    <row r="98" spans="1:8" s="85" customFormat="1" ht="12.75">
      <c r="H98" s="74"/>
    </row>
    <row r="99" spans="1:8" s="85" customFormat="1" ht="12.75">
      <c r="H99" s="74"/>
    </row>
    <row r="100" spans="1:8" s="85" customFormat="1" ht="12.75">
      <c r="H100" s="74"/>
    </row>
    <row r="101" spans="1:8" s="85" customFormat="1" ht="12.75">
      <c r="H101" s="74"/>
    </row>
    <row r="102" spans="1:8" s="85" customFormat="1" ht="12.75">
      <c r="H102" s="74"/>
    </row>
    <row r="103" spans="1:8" s="85" customFormat="1" ht="12.75">
      <c r="H103" s="74"/>
    </row>
    <row r="104" spans="1:8" s="85" customFormat="1" ht="12.75">
      <c r="H104" s="74"/>
    </row>
    <row r="105" spans="1:8" s="85" customFormat="1" ht="12.75">
      <c r="H105" s="74"/>
    </row>
    <row r="106" spans="1:8" s="85" customFormat="1" ht="12.75">
      <c r="H106" s="74"/>
    </row>
    <row r="107" spans="1:8" s="85" customFormat="1" ht="12.75">
      <c r="H107" s="74"/>
    </row>
    <row r="108" spans="1:8" s="85" customFormat="1" ht="12.75">
      <c r="H108" s="74"/>
    </row>
    <row r="109" spans="1:8" s="85" customFormat="1" ht="12.75">
      <c r="H109" s="74"/>
    </row>
    <row r="110" spans="1:8" s="85" customFormat="1" ht="12.75">
      <c r="A110" s="104" t="s">
        <v>40</v>
      </c>
      <c r="H110" s="74"/>
    </row>
    <row r="111" spans="1:8" s="85" customFormat="1" ht="12.75">
      <c r="A111" s="85" t="s">
        <v>41</v>
      </c>
      <c r="H111" s="74"/>
    </row>
    <row r="112" spans="1:8" s="85" customFormat="1" ht="12.75">
      <c r="H112" s="74"/>
    </row>
    <row r="113" spans="1:8" s="85" customFormat="1" ht="12.75">
      <c r="H113" s="74"/>
    </row>
    <row r="114" spans="1:8" s="85" customFormat="1" ht="12.75">
      <c r="H114" s="74"/>
    </row>
    <row r="115" spans="1:8" s="85" customFormat="1" ht="12.75">
      <c r="H115" s="74"/>
    </row>
    <row r="116" spans="1:8" s="85" customFormat="1" ht="12.75">
      <c r="H116" s="74"/>
    </row>
    <row r="117" spans="1:8" s="85" customFormat="1" ht="12.75">
      <c r="A117" s="85" t="s">
        <v>42</v>
      </c>
      <c r="H117" s="74"/>
    </row>
    <row r="118" spans="1:8" s="85" customFormat="1" ht="12.75">
      <c r="A118" s="104" t="s">
        <v>43</v>
      </c>
      <c r="H118" s="74"/>
    </row>
    <row r="119" spans="1:8" s="85" customFormat="1" ht="12.75">
      <c r="A119" s="104" t="s">
        <v>44</v>
      </c>
      <c r="H119" s="74"/>
    </row>
    <row r="120" spans="1:8" s="85" customFormat="1" ht="12.75">
      <c r="A120" s="85" t="s">
        <v>45</v>
      </c>
      <c r="H120" s="74"/>
    </row>
    <row r="121" spans="1:8" s="85" customFormat="1" ht="12.75">
      <c r="H121" s="74"/>
    </row>
    <row r="122" spans="1:8" s="85" customFormat="1" ht="12.75">
      <c r="H122" s="74"/>
    </row>
    <row r="123" spans="1:8" s="85" customFormat="1" ht="12.75">
      <c r="H123" s="74"/>
    </row>
    <row r="124" spans="1:8" s="85" customFormat="1" ht="12.75">
      <c r="H124" s="74"/>
    </row>
    <row r="125" spans="1:8" s="85" customFormat="1" ht="12.75">
      <c r="H125" s="74"/>
    </row>
    <row r="126" spans="1:8" s="85" customFormat="1" ht="12.75">
      <c r="H126" s="74"/>
    </row>
    <row r="127" spans="1:8" s="85" customFormat="1" ht="12.75">
      <c r="H127" s="74"/>
    </row>
    <row r="128" spans="1:8" s="85" customFormat="1" ht="12.75">
      <c r="H128" s="74"/>
    </row>
    <row r="129" spans="8:8" s="85" customFormat="1" ht="12.75">
      <c r="H129" s="74"/>
    </row>
    <row r="130" spans="8:8" s="85" customFormat="1" ht="12.75">
      <c r="H130" s="74"/>
    </row>
    <row r="131" spans="8:8" s="85" customFormat="1" ht="12.75">
      <c r="H131" s="74"/>
    </row>
    <row r="132" spans="8:8" s="85" customFormat="1" ht="12.75">
      <c r="H132" s="74"/>
    </row>
    <row r="133" spans="8:8" s="85" customFormat="1" ht="12.75">
      <c r="H133" s="74"/>
    </row>
    <row r="134" spans="8:8" s="85" customFormat="1" ht="12.75">
      <c r="H134" s="74"/>
    </row>
    <row r="135" spans="8:8" s="85" customFormat="1" ht="12.75">
      <c r="H135" s="74"/>
    </row>
    <row r="136" spans="8:8" s="85" customFormat="1" ht="12.75">
      <c r="H136" s="74"/>
    </row>
    <row r="137" spans="8:8" s="85" customFormat="1" ht="12.75">
      <c r="H137" s="74"/>
    </row>
    <row r="138" spans="8:8" s="85" customFormat="1" ht="12.75">
      <c r="H138" s="74"/>
    </row>
    <row r="139" spans="8:8" s="85" customFormat="1" ht="12.75">
      <c r="H139" s="74"/>
    </row>
    <row r="140" spans="8:8" s="85" customFormat="1" ht="12.75">
      <c r="H140" s="74"/>
    </row>
    <row r="141" spans="8:8" s="85" customFormat="1" ht="12.75">
      <c r="H141" s="74"/>
    </row>
    <row r="142" spans="8:8" s="85" customFormat="1" ht="12.75">
      <c r="H142" s="74"/>
    </row>
    <row r="143" spans="8:8" s="85" customFormat="1" ht="12.75">
      <c r="H143" s="74"/>
    </row>
    <row r="144" spans="8:8" s="85" customFormat="1" ht="12.75">
      <c r="H144" s="74"/>
    </row>
    <row r="145" spans="8:8" s="85" customFormat="1" ht="12.75">
      <c r="H145" s="74"/>
    </row>
    <row r="146" spans="8:8" s="85" customFormat="1" ht="12.75">
      <c r="H146" s="74"/>
    </row>
    <row r="147" spans="8:8" s="85" customFormat="1" ht="12.75">
      <c r="H147" s="74"/>
    </row>
    <row r="148" spans="8:8" s="85" customFormat="1" ht="12.75">
      <c r="H148" s="74"/>
    </row>
    <row r="149" spans="8:8" s="85" customFormat="1" ht="12.75">
      <c r="H149" s="74"/>
    </row>
    <row r="150" spans="8:8" s="85" customFormat="1" ht="12.75">
      <c r="H150" s="74"/>
    </row>
    <row r="151" spans="8:8" s="85" customFormat="1" ht="12.75">
      <c r="H151" s="74"/>
    </row>
    <row r="152" spans="8:8" s="85" customFormat="1" ht="12.75">
      <c r="H152" s="74"/>
    </row>
    <row r="153" spans="8:8" s="85" customFormat="1" ht="12.75">
      <c r="H153" s="74"/>
    </row>
    <row r="154" spans="8:8" s="85" customFormat="1" ht="12.75">
      <c r="H154" s="74"/>
    </row>
    <row r="155" spans="8:8" s="85" customFormat="1" ht="12.75">
      <c r="H155" s="74"/>
    </row>
  </sheetData>
  <mergeCells count="26">
    <mergeCell ref="A70:K70"/>
    <mergeCell ref="A1:K1"/>
    <mergeCell ref="A2:K2"/>
    <mergeCell ref="F7:G7"/>
    <mergeCell ref="A66:K66"/>
    <mergeCell ref="A68:K68"/>
    <mergeCell ref="A87:G87"/>
    <mergeCell ref="A71:K71"/>
    <mergeCell ref="A72:K72"/>
    <mergeCell ref="A74:K74"/>
    <mergeCell ref="A75:K75"/>
    <mergeCell ref="A77:K77"/>
    <mergeCell ref="A78:K78"/>
    <mergeCell ref="A79:K79"/>
    <mergeCell ref="A81:K81"/>
    <mergeCell ref="A82:K82"/>
    <mergeCell ref="A83:K83"/>
    <mergeCell ref="A85:K85"/>
    <mergeCell ref="B93:E93"/>
    <mergeCell ref="B94:E94"/>
    <mergeCell ref="B88:B89"/>
    <mergeCell ref="C88:E88"/>
    <mergeCell ref="C89:D89"/>
    <mergeCell ref="C90:D90"/>
    <mergeCell ref="C91:D91"/>
    <mergeCell ref="C92:D92"/>
  </mergeCells>
  <phoneticPr fontId="2" type="noConversion"/>
  <dataValidations count="3">
    <dataValidation type="list" allowBlank="1" showInputMessage="1" showErrorMessage="1" sqref="I10:I21 I27:I38">
      <formula1>$A$117:$A$120</formula1>
    </dataValidation>
    <dataValidation type="list" allowBlank="1" showInputMessage="1" showErrorMessage="1" sqref="C10:C25 C27:C40">
      <formula1>$A$110:$A$111</formula1>
    </dataValidation>
    <dataValidation type="list" allowBlank="1" showInputMessage="1" showErrorMessage="1" sqref="K37:K38 K25:K26">
      <formula1>$A$117:$A$122</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B23-3了解货币资金循环流程和内部控制记录表</vt:lpstr>
      <vt:lpstr>B23-3-1链接-企业对财务报表风险的应对</vt:lpstr>
      <vt:lpstr>B23-3-2穿行测试</vt:lpstr>
      <vt:lpstr>B23-3-3关键控制点选择表（财报审计适用）</vt:lpstr>
      <vt:lpstr>B23-3-4关键控制点选择表（整合审计适用）</vt:lpstr>
      <vt:lpstr>'B23-3-1链接-企业对财务报表风险的应对'!Print_Area</vt:lpstr>
      <vt:lpstr>'B23-3-2穿行测试'!Print_Area</vt:lpstr>
      <vt:lpstr>'B23-3-3关键控制点选择表（财报审计适用）'!Print_Area</vt:lpstr>
      <vt:lpstr>'B23-3-4关键控制点选择表（整合审计适用）'!Print_Area</vt:lpstr>
      <vt:lpstr>'B23-3了解货币资金循环流程和内部控制记录表'!Print_Area</vt:lpstr>
      <vt:lpstr>'B23-3-2穿行测试'!Print_Titles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cp:lastPrinted>2013-12-16T08:43:11Z</cp:lastPrinted>
  <dcterms:created xsi:type="dcterms:W3CDTF">2013-12-10T07:47:08Z</dcterms:created>
  <dcterms:modified xsi:type="dcterms:W3CDTF">2013-12-28T07:15:25Z</dcterms:modified>
</cp:coreProperties>
</file>