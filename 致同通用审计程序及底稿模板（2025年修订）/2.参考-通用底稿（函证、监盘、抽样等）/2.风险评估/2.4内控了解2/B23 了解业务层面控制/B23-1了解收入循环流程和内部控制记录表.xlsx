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firstSheet="4" activeTab="5"/>
  </bookViews>
  <sheets>
    <sheet name="表头（请先填写）" sheetId="7" r:id="rId1"/>
    <sheet name="B23-1了解收入循环流程和内部控制记录表" sheetId="1" r:id="rId2"/>
    <sheet name="B23-1-1链接-企业对财务报表风险的应对" sheetId="4" r:id="rId3"/>
    <sheet name="B23-1-2穿行测试" sheetId="3" r:id="rId4"/>
    <sheet name="B23-1-3关键控制点选择表（财报审计适用）" sheetId="10" r:id="rId5"/>
    <sheet name="B23-1-4关键控制点选择表（整合审计适用）" sheetId="9"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4">#REF!</definedName>
    <definedName name="_1、">#REF!</definedName>
    <definedName name="_1、受本循环影响的相关交易和账户余额" localSheetId="4">#REF!</definedName>
    <definedName name="_1、受本循环影响的相关交易和账户余额">#REF!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'B23-1-1链接-企业对财务报表风险的应对'!$A$1:$E$26</definedName>
    <definedName name="_xlnm.Print_Area" localSheetId="3">'B23-1-2穿行测试'!$A$1:$J$44</definedName>
    <definedName name="_xlnm.Print_Area" localSheetId="4">'B23-1-3关键控制点选择表（财报审计适用）'!$A$1:$I$46</definedName>
    <definedName name="_xlnm.Print_Area" localSheetId="5">'B23-1-4关键控制点选择表（整合审计适用）'!$A$1:$I$85</definedName>
    <definedName name="_xlnm.Print_Area" localSheetId="1">'B23-1了解收入循环流程和内部控制记录表'!$A$1:$E$58</definedName>
    <definedName name="_xlnm.Print_Titles" localSheetId="3">'B23-1-2穿行测试'!$5:$5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44" i="10" l="1"/>
  <c r="H44" i="10"/>
  <c r="G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A4" i="10"/>
  <c r="F3" i="10"/>
  <c r="C3" i="10"/>
  <c r="A3" i="10"/>
  <c r="F44" i="10" l="1"/>
  <c r="G45" i="10" s="1"/>
  <c r="F14" i="9"/>
  <c r="F15" i="9"/>
  <c r="F16" i="9"/>
  <c r="F17" i="9"/>
  <c r="I45" i="10" l="1"/>
  <c r="H45" i="10"/>
  <c r="G83" i="9"/>
  <c r="I83" i="9"/>
  <c r="H83" i="9"/>
  <c r="H45" i="9"/>
  <c r="I45" i="9"/>
  <c r="G45" i="9"/>
  <c r="F43" i="9" l="1"/>
  <c r="F44"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11" i="9"/>
  <c r="F12" i="9"/>
  <c r="F13" i="9"/>
  <c r="F18" i="9"/>
  <c r="F19" i="9"/>
  <c r="F20" i="9"/>
  <c r="F21" i="9"/>
  <c r="F22" i="9"/>
  <c r="F23" i="9"/>
  <c r="F24" i="9"/>
  <c r="F25" i="9"/>
  <c r="F26" i="9"/>
  <c r="F27" i="9"/>
  <c r="F28" i="9"/>
  <c r="F29" i="9"/>
  <c r="F30" i="9"/>
  <c r="F31" i="9"/>
  <c r="F32" i="9"/>
  <c r="F33" i="9"/>
  <c r="F34" i="9"/>
  <c r="F35" i="9"/>
  <c r="F36" i="9"/>
  <c r="F37" i="9"/>
  <c r="F38" i="9"/>
  <c r="F39" i="9"/>
  <c r="F40" i="9"/>
  <c r="F41" i="9"/>
  <c r="F42" i="9"/>
  <c r="F10" i="9"/>
  <c r="F83" i="9" l="1"/>
  <c r="G84" i="9" s="1"/>
  <c r="F45" i="9"/>
  <c r="H46" i="9" s="1"/>
  <c r="I84" i="9" l="1"/>
  <c r="I46" i="9"/>
  <c r="H84" i="9"/>
  <c r="G46" i="9"/>
  <c r="C3" i="4"/>
  <c r="B3" i="4"/>
  <c r="A4" i="4"/>
  <c r="A3" i="4"/>
  <c r="G3" i="3"/>
  <c r="E3" i="3"/>
  <c r="A4" i="3"/>
  <c r="A3" i="3"/>
  <c r="D3" i="1"/>
  <c r="F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<sst xmlns="http://schemas.openxmlformats.org/spreadsheetml/2006/main" count="433" uniqueCount="363">
  <si>
    <r>
      <rPr>
        <sz val="10"/>
        <rFont val="宋体"/>
        <family val="3"/>
        <charset val="134"/>
      </rPr>
      <t>日期：</t>
    </r>
    <phoneticPr fontId="3" type="noConversion"/>
  </si>
  <si>
    <r>
      <rPr>
        <sz val="10"/>
        <rFont val="宋体"/>
        <family val="3"/>
        <charset val="134"/>
      </rPr>
      <t>索引号：</t>
    </r>
    <r>
      <rPr>
        <sz val="10"/>
        <rFont val="Arial Narrow"/>
        <family val="2"/>
      </rPr>
      <t>B23-1</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</si>
  <si>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</si>
  <si>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</si>
  <si>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</si>
  <si>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</si>
  <si>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</si>
  <si>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</si>
  <si>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</si>
  <si>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</si>
  <si>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</si>
  <si>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</si>
  <si>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</si>
  <si>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</si>
  <si>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</si>
  <si>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</si>
  <si>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</si>
  <si>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</si>
  <si>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</si>
  <si>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</si>
  <si>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</si>
  <si>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</si>
  <si>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sz val="10"/>
        <rFont val="宋体"/>
        <family val="3"/>
        <charset val="134"/>
      </rPr>
      <t>参考事例：</t>
    </r>
    <phoneticPr fontId="2" type="noConversion"/>
  </si>
  <si>
    <t>完整性 Completeness</t>
  </si>
  <si>
    <r>
      <rPr>
        <b/>
        <sz val="12"/>
        <rFont val="宋体"/>
        <family val="3"/>
        <charset val="134"/>
      </rPr>
      <t>致同会计师事务所</t>
    </r>
  </si>
  <si>
    <t>对于合同的会计记录不符合合同条款 Contract accounting not consistent with terms</t>
  </si>
  <si>
    <t>价值-净值 Valuation - Net</t>
  </si>
  <si>
    <t>坏账准备计提不充分 Allowance for doubtful accounts not adequate</t>
  </si>
  <si>
    <t>为隐藏舞弊而虚构客户 Fictitious customers created to conceal fraud；包括舞弊交易的销售 Revenues fraudulently recognized</t>
  </si>
  <si>
    <t>截止 Cutoff</t>
  </si>
  <si>
    <t>未正确计入恰当期间的收入 Revenue not recorded in correct period</t>
  </si>
  <si>
    <t>价值-毛值 Valuation - Gross</t>
  </si>
  <si>
    <t xml:space="preserve">错误定价 Products sold not priced correctly </t>
  </si>
  <si>
    <t>包括舞弊交易的销售 Revenues fraudulently recognized</t>
  </si>
  <si>
    <t>无效的已接单但未出货的收入 Bill and hold revenue not valid</t>
  </si>
  <si>
    <t>协议包含未识别的嵌入衍生工具。Agreements contain unidentified embedded derivatives</t>
  </si>
  <si>
    <t>通过增加客户信用及应收款项的方式隐藏从客户那里收回的款项，从而进行盗窃。 Theft of customer collections concealed by issuing credits</t>
  </si>
  <si>
    <t>不准确的合同估计 Contract estimates not accurate</t>
  </si>
  <si>
    <t>外币计量不恰当 Foreign currency measurements not proper</t>
  </si>
  <si>
    <t>多重要素安排会计核算不恰当 Multiple-element arrangements not accounted for properly</t>
  </si>
  <si>
    <t>不恰当的利息计算 Imputed interest not proper</t>
  </si>
  <si>
    <t>权利/义务 Rights/Obligations</t>
  </si>
  <si>
    <t>应收帐款销售和折扣记录不恰当 Receivables discounted or sold not accounted for properly</t>
  </si>
  <si>
    <t>已完成合同的担保或持续性义务未得到适当的会计处理 Warranties or continuing obligations on completed contracts not accounted for properly</t>
  </si>
  <si>
    <t>退货和客户索赔负债不足够 Goods returned and customer claims liabilities not adequate</t>
  </si>
  <si>
    <t>存在和发生  Existence/Occurrence</t>
  </si>
  <si>
    <t>已记录应收款项不存在 Recorded receivables not valid</t>
  </si>
  <si>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</si>
  <si>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</si>
  <si>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</si>
  <si>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</si>
  <si>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</si>
  <si>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</si>
  <si>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</si>
  <si>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</si>
  <si>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</si>
  <si>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rPr>
        <b/>
        <sz val="10"/>
        <rFont val="宋体"/>
        <family val="3"/>
        <charset val="134"/>
      </rPr>
      <t>截止性</t>
    </r>
    <r>
      <rPr>
        <b/>
        <sz val="10"/>
        <rFont val="Arial Narrow"/>
        <family val="2"/>
      </rPr>
      <t xml:space="preserve"> Cutoff</t>
    </r>
    <phoneticPr fontId="3" type="noConversion"/>
  </si>
  <si>
    <r>
      <rPr>
        <b/>
        <sz val="10"/>
        <rFont val="宋体"/>
        <family val="3"/>
        <charset val="134"/>
      </rPr>
      <t>存在和发生</t>
    </r>
    <r>
      <rPr>
        <b/>
        <sz val="10"/>
        <rFont val="Arial Narrow"/>
        <family val="2"/>
      </rPr>
      <t xml:space="preserve">  Existence/Occurrence</t>
    </r>
    <phoneticPr fontId="3" type="noConversion"/>
  </si>
  <si>
    <r>
      <rPr>
        <b/>
        <sz val="10"/>
        <rFont val="宋体"/>
        <family val="3"/>
        <charset val="134"/>
      </rPr>
      <t>准确性</t>
    </r>
    <r>
      <rPr>
        <b/>
        <sz val="10"/>
        <rFont val="Arial Narrow"/>
        <family val="2"/>
      </rPr>
      <t xml:space="preserve"> - </t>
    </r>
    <r>
      <rPr>
        <b/>
        <sz val="10"/>
        <rFont val="宋体"/>
        <family val="3"/>
        <charset val="134"/>
      </rPr>
      <t>净值</t>
    </r>
    <r>
      <rPr>
        <b/>
        <sz val="10"/>
        <rFont val="Arial Narrow"/>
        <family val="2"/>
      </rPr>
      <t xml:space="preserve"> Valuation - Net</t>
    </r>
    <phoneticPr fontId="3" type="noConversion"/>
  </si>
  <si>
    <r>
      <rPr>
        <b/>
        <sz val="10"/>
        <rFont val="宋体"/>
        <family val="3"/>
        <charset val="134"/>
      </rPr>
      <t>准确性</t>
    </r>
    <r>
      <rPr>
        <b/>
        <sz val="10"/>
        <rFont val="Arial Narrow"/>
        <family val="2"/>
      </rPr>
      <t xml:space="preserve"> - </t>
    </r>
    <r>
      <rPr>
        <b/>
        <sz val="10"/>
        <rFont val="宋体"/>
        <family val="3"/>
        <charset val="134"/>
      </rPr>
      <t>毛值</t>
    </r>
    <r>
      <rPr>
        <b/>
        <sz val="10"/>
        <rFont val="Arial Narrow"/>
        <family val="2"/>
      </rPr>
      <t xml:space="preserve"> Valuation - Gross</t>
    </r>
    <phoneticPr fontId="3" type="noConversion"/>
  </si>
  <si>
    <r>
      <rPr>
        <b/>
        <sz val="10"/>
        <rFont val="宋体"/>
        <family val="3"/>
        <charset val="134"/>
      </rPr>
      <t>完整性</t>
    </r>
    <r>
      <rPr>
        <b/>
        <sz val="10"/>
        <rFont val="Arial Narrow"/>
        <family val="2"/>
      </rPr>
      <t xml:space="preserve"> Completeness</t>
    </r>
    <phoneticPr fontId="3" type="noConversion"/>
  </si>
  <si>
    <r>
      <rPr>
        <b/>
        <sz val="10"/>
        <rFont val="宋体"/>
        <family val="3"/>
        <charset val="134"/>
      </rPr>
      <t>权利</t>
    </r>
    <r>
      <rPr>
        <b/>
        <sz val="10"/>
        <rFont val="Arial Narrow"/>
        <family val="2"/>
      </rPr>
      <t>/</t>
    </r>
    <r>
      <rPr>
        <b/>
        <sz val="10"/>
        <rFont val="宋体"/>
        <family val="3"/>
        <charset val="134"/>
      </rPr>
      <t>义务</t>
    </r>
    <r>
      <rPr>
        <b/>
        <sz val="10"/>
        <rFont val="Arial Narrow"/>
        <family val="2"/>
      </rPr>
      <t xml:space="preserve"> Rights/Obligations</t>
    </r>
  </si>
  <si>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</si>
  <si>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</si>
  <si>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</si>
  <si>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</si>
  <si>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</si>
  <si>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</si>
  <si>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</si>
  <si>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</si>
  <si>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</si>
  <si>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</si>
  <si>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</si>
  <si>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</si>
  <si>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</si>
  <si>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</si>
  <si>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</si>
  <si>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</si>
  <si>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</si>
  <si>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</si>
  <si>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</si>
  <si>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</si>
  <si>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</si>
  <si>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</si>
  <si>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</si>
  <si>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</si>
  <si>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</si>
  <si>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</si>
  <si>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</si>
  <si>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</si>
  <si>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</si>
  <si>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</si>
  <si>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</si>
  <si>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</si>
  <si>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</si>
  <si>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</si>
  <si>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</si>
  <si>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</si>
  <si>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</si>
  <si>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</si>
  <si>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</si>
  <si>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</si>
  <si>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</si>
  <si>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</si>
  <si>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</si>
  <si>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</si>
  <si>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</si>
  <si>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</si>
  <si>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</si>
  <si>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</si>
  <si>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</si>
  <si>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</si>
  <si>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</si>
  <si>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</si>
  <si>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</si>
  <si>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</si>
  <si>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</si>
  <si>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</si>
  <si>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</si>
  <si>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</si>
  <si>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</si>
  <si>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</si>
  <si>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</si>
  <si>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</si>
  <si>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</si>
  <si>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</si>
  <si>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</si>
  <si>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控制</t>
    <phoneticPr fontId="3" type="noConversion"/>
  </si>
  <si>
    <t>活动</t>
    <phoneticPr fontId="3" type="noConversion"/>
  </si>
  <si>
    <r>
      <rPr>
        <sz val="10"/>
        <rFont val="宋体"/>
        <family val="3"/>
        <charset val="134"/>
      </rPr>
      <t>新合约</t>
    </r>
    <r>
      <rPr>
        <sz val="10"/>
        <rFont val="Arial Narrow"/>
        <family val="2"/>
      </rPr>
      <t>/</t>
    </r>
    <r>
      <rPr>
        <sz val="10"/>
        <rFont val="宋体"/>
        <family val="3"/>
        <charset val="134"/>
      </rPr>
      <t>变更单</t>
    </r>
    <r>
      <rPr>
        <sz val="10"/>
        <rFont val="Arial Narrow"/>
        <family val="2"/>
      </rPr>
      <t xml:space="preserve"> New contract/change orders</t>
    </r>
    <phoneticPr fontId="3" type="noConversion"/>
  </si>
  <si>
    <r>
      <rPr>
        <sz val="10"/>
        <rFont val="宋体"/>
        <family val="3"/>
        <charset val="134"/>
      </rPr>
      <t>销售订单</t>
    </r>
    <r>
      <rPr>
        <sz val="10"/>
        <rFont val="Arial Narrow"/>
        <family val="2"/>
      </rPr>
      <t xml:space="preserve"> Sales order</t>
    </r>
    <phoneticPr fontId="3" type="noConversion"/>
  </si>
  <si>
    <t>……</t>
    <phoneticPr fontId="3" type="noConversion"/>
  </si>
  <si>
    <r>
      <rPr>
        <sz val="10"/>
        <rFont val="宋体"/>
        <family val="3"/>
        <charset val="134"/>
      </rPr>
      <t>开具发票</t>
    </r>
    <r>
      <rPr>
        <sz val="10"/>
        <rFont val="Arial Narrow"/>
        <family val="2"/>
      </rPr>
      <t xml:space="preserve"> Invoicing</t>
    </r>
    <phoneticPr fontId="3" type="noConversion"/>
  </si>
  <si>
    <r>
      <rPr>
        <sz val="10"/>
        <rFont val="宋体"/>
        <family val="3"/>
        <charset val="134"/>
      </rPr>
      <t>收款</t>
    </r>
    <r>
      <rPr>
        <sz val="10"/>
        <rFont val="Arial Narrow"/>
        <family val="2"/>
      </rPr>
      <t xml:space="preserve"> Customer collections</t>
    </r>
    <phoneticPr fontId="3" type="noConversion"/>
  </si>
  <si>
    <r>
      <rPr>
        <sz val="10"/>
        <rFont val="宋体"/>
        <family val="3"/>
        <charset val="134"/>
      </rPr>
      <t>嵌入式衍生工具</t>
    </r>
    <r>
      <rPr>
        <sz val="10"/>
        <rFont val="Arial Narrow"/>
        <family val="2"/>
      </rPr>
      <t xml:space="preserve"> Embedded derivatives</t>
    </r>
    <phoneticPr fontId="3" type="noConversion"/>
  </si>
  <si>
    <r>
      <rPr>
        <sz val="10"/>
        <rFont val="宋体"/>
        <family val="3"/>
        <charset val="134"/>
      </rPr>
      <t>与销售相关的调整、准备</t>
    </r>
    <r>
      <rPr>
        <sz val="10"/>
        <rFont val="Arial Narrow"/>
        <family val="2"/>
      </rPr>
      <t xml:space="preserve"> Sales-related adjustments and allowances</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</si>
  <si>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</si>
  <si>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</si>
  <si>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</si>
  <si>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</si>
  <si>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</si>
  <si>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</si>
  <si>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</si>
  <si>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</si>
  <si>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</si>
  <si>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</si>
  <si>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r>
      <t>1</t>
    </r>
    <r>
      <rPr>
        <sz val="10"/>
        <rFont val="宋体"/>
        <family val="3"/>
        <charset val="134"/>
      </rPr>
      <t>、新合约</t>
    </r>
    <r>
      <rPr>
        <sz val="10"/>
        <rFont val="Arial Narrow"/>
        <family val="2"/>
      </rPr>
      <t>/</t>
    </r>
    <r>
      <rPr>
        <sz val="10"/>
        <rFont val="宋体"/>
        <family val="3"/>
        <charset val="134"/>
      </rPr>
      <t>变更单</t>
    </r>
    <r>
      <rPr>
        <sz val="10"/>
        <rFont val="Arial Narrow"/>
        <family val="2"/>
      </rPr>
      <t xml:space="preserve"> New contract/change orders</t>
    </r>
    <phoneticPr fontId="2" type="noConversion"/>
  </si>
  <si>
    <r>
      <t>2</t>
    </r>
    <r>
      <rPr>
        <sz val="10"/>
        <rFont val="宋体"/>
        <family val="3"/>
        <charset val="134"/>
      </rPr>
      <t>、销售订单</t>
    </r>
    <r>
      <rPr>
        <sz val="10"/>
        <rFont val="Arial Narrow"/>
        <family val="2"/>
      </rPr>
      <t xml:space="preserve"> Sales order</t>
    </r>
    <phoneticPr fontId="2" type="noConversion"/>
  </si>
  <si>
    <t>1.****</t>
    <phoneticPr fontId="2" type="noConversion"/>
  </si>
  <si>
    <t>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</si>
  <si>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</si>
  <si>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</si>
  <si>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</si>
  <si>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</si>
  <si>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</si>
  <si>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r>
      <rPr>
        <sz val="10"/>
        <rFont val="宋体"/>
        <family val="3"/>
        <charset val="134"/>
      </rPr>
      <t>销售订单</t>
    </r>
    <r>
      <rPr>
        <sz val="10"/>
        <rFont val="Arial Narrow"/>
        <family val="2"/>
      </rPr>
      <t xml:space="preserve"> Sales order</t>
    </r>
    <phoneticPr fontId="3" type="noConversion"/>
  </si>
  <si>
    <r>
      <rPr>
        <sz val="10"/>
        <rFont val="宋体"/>
        <family val="3"/>
        <charset val="134"/>
      </rPr>
      <t>开具发票</t>
    </r>
    <r>
      <rPr>
        <sz val="10"/>
        <rFont val="Arial Narrow"/>
        <family val="2"/>
      </rPr>
      <t xml:space="preserve"> Invoicing</t>
    </r>
    <phoneticPr fontId="3" type="noConversion"/>
  </si>
  <si>
    <r>
      <rPr>
        <sz val="10"/>
        <rFont val="宋体"/>
        <family val="3"/>
        <charset val="134"/>
      </rPr>
      <t>对客户的收款</t>
    </r>
    <r>
      <rPr>
        <sz val="10"/>
        <rFont val="Arial Narrow"/>
        <family val="2"/>
      </rPr>
      <t xml:space="preserve"> Customer collections</t>
    </r>
    <phoneticPr fontId="3" type="noConversion"/>
  </si>
  <si>
    <r>
      <rPr>
        <sz val="10"/>
        <rFont val="宋体"/>
        <family val="3"/>
        <charset val="134"/>
      </rPr>
      <t>嵌入式衍生工具</t>
    </r>
    <r>
      <rPr>
        <sz val="10"/>
        <rFont val="Arial Narrow"/>
        <family val="2"/>
      </rPr>
      <t xml:space="preserve"> Embedded derivatives</t>
    </r>
    <phoneticPr fontId="3" type="noConversion"/>
  </si>
  <si>
    <r>
      <rPr>
        <sz val="10"/>
        <rFont val="宋体"/>
        <family val="3"/>
        <charset val="134"/>
      </rPr>
      <t>与销售相关的调整、准备</t>
    </r>
    <r>
      <rPr>
        <sz val="10"/>
        <rFont val="Arial Narrow"/>
        <family val="2"/>
      </rPr>
      <t xml:space="preserve"> Sales-related adjustments and allowances</t>
    </r>
    <phoneticPr fontId="3" type="noConversion"/>
  </si>
  <si>
    <r>
      <rPr>
        <sz val="10"/>
        <rFont val="宋体"/>
        <family val="3"/>
        <charset val="134"/>
      </rPr>
      <t>新合约</t>
    </r>
    <r>
      <rPr>
        <sz val="10"/>
        <rFont val="Arial Narrow"/>
        <family val="2"/>
      </rPr>
      <t>/</t>
    </r>
    <r>
      <rPr>
        <sz val="10"/>
        <rFont val="宋体"/>
        <family val="3"/>
        <charset val="134"/>
      </rPr>
      <t>变更订单</t>
    </r>
    <r>
      <rPr>
        <sz val="10"/>
        <rFont val="Arial Narrow"/>
        <family val="2"/>
      </rPr>
      <t xml:space="preserve"> New contract/change orders</t>
    </r>
    <phoneticPr fontId="3" type="noConversion"/>
  </si>
  <si>
    <t>二、本循环业务涉及的主要人员及其职责</t>
    <phoneticPr fontId="2" type="noConversion"/>
  </si>
  <si>
    <r>
      <t>3</t>
    </r>
    <r>
      <rPr>
        <sz val="10"/>
        <rFont val="宋体"/>
        <family val="3"/>
        <charset val="134"/>
      </rPr>
      <t>、开具发票</t>
    </r>
    <r>
      <rPr>
        <sz val="10"/>
        <rFont val="Arial Narrow"/>
        <family val="2"/>
      </rPr>
      <t xml:space="preserve"> Invoicing</t>
    </r>
    <phoneticPr fontId="2" type="noConversion"/>
  </si>
  <si>
    <r>
      <t>4</t>
    </r>
    <r>
      <rPr>
        <sz val="10"/>
        <rFont val="宋体"/>
        <family val="3"/>
        <charset val="134"/>
      </rPr>
      <t>、收款</t>
    </r>
    <r>
      <rPr>
        <sz val="10"/>
        <rFont val="Arial Narrow"/>
        <family val="2"/>
      </rPr>
      <t xml:space="preserve"> Customer collections</t>
    </r>
    <phoneticPr fontId="2" type="noConversion"/>
  </si>
  <si>
    <r>
      <t>5</t>
    </r>
    <r>
      <rPr>
        <sz val="10"/>
        <rFont val="宋体"/>
        <family val="3"/>
        <charset val="134"/>
      </rPr>
      <t>、嵌入式衍生工具</t>
    </r>
    <r>
      <rPr>
        <sz val="10"/>
        <rFont val="Arial Narrow"/>
        <family val="2"/>
      </rPr>
      <t xml:space="preserve"> Embedded derivatives</t>
    </r>
    <phoneticPr fontId="2" type="noConversion"/>
  </si>
  <si>
    <r>
      <t>6</t>
    </r>
    <r>
      <rPr>
        <sz val="10"/>
        <rFont val="宋体"/>
        <family val="3"/>
        <charset val="134"/>
      </rPr>
      <t>、与销售相关的调整、准备</t>
    </r>
    <r>
      <rPr>
        <sz val="10"/>
        <rFont val="Arial Narrow"/>
        <family val="2"/>
      </rPr>
      <t xml:space="preserve"> Sales-related adjustments and allowances</t>
    </r>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</si>
  <si>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</si>
  <si>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</si>
  <si>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</si>
  <si>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</si>
  <si>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</si>
  <si>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</si>
  <si>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</si>
  <si>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</si>
  <si>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</si>
  <si>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</si>
  <si>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sz val="10"/>
        <color rgb="FFFF0000"/>
        <rFont val="宋体"/>
        <family val="3"/>
        <charset val="134"/>
      </rPr>
      <t>未正确计入恰当期间的收入</t>
    </r>
    <r>
      <rPr>
        <sz val="10"/>
        <color rgb="FFFF0000"/>
        <rFont val="Arial Narrow"/>
        <family val="2"/>
      </rPr>
      <t xml:space="preserve"> Revenue not recorded in correct period</t>
    </r>
    <phoneticPr fontId="3" type="noConversion"/>
  </si>
  <si>
    <r>
      <rPr>
        <sz val="10"/>
        <color rgb="FFFF0000"/>
        <rFont val="宋体"/>
        <family val="3"/>
        <charset val="134"/>
      </rPr>
      <t>无效的已接单但未出货的收入</t>
    </r>
    <r>
      <rPr>
        <sz val="10"/>
        <color rgb="FFFF0000"/>
        <rFont val="Arial Narrow"/>
        <family val="2"/>
      </rPr>
      <t xml:space="preserve"> Bill and hold revenue not valid</t>
    </r>
    <phoneticPr fontId="3" type="noConversion"/>
  </si>
  <si>
    <r>
      <rPr>
        <sz val="10"/>
        <color rgb="FFFF0000"/>
        <rFont val="宋体"/>
        <family val="3"/>
        <charset val="134"/>
      </rPr>
      <t>虚构客户以隐藏舞弊动机</t>
    </r>
    <r>
      <rPr>
        <sz val="10"/>
        <color rgb="FFFF0000"/>
        <rFont val="Arial Narrow"/>
        <family val="2"/>
      </rPr>
      <t xml:space="preserve"> Fictitious customers created to conceal fraud</t>
    </r>
    <phoneticPr fontId="3" type="noConversion"/>
  </si>
  <si>
    <r>
      <rPr>
        <sz val="10"/>
        <color rgb="FFFF0000"/>
        <rFont val="宋体"/>
        <family val="3"/>
        <charset val="134"/>
      </rPr>
      <t>包括舞弊交易的销售</t>
    </r>
    <r>
      <rPr>
        <sz val="10"/>
        <color rgb="FFFF0000"/>
        <rFont val="Arial Narrow"/>
        <family val="2"/>
      </rPr>
      <t xml:space="preserve"> Revenues fraudulently recognized</t>
    </r>
    <phoneticPr fontId="3" type="noConversion"/>
  </si>
  <si>
    <r>
      <rPr>
        <sz val="10"/>
        <color rgb="FFFF0000"/>
        <rFont val="宋体"/>
        <family val="3"/>
        <charset val="134"/>
      </rPr>
      <t>挪用客户收款</t>
    </r>
    <r>
      <rPr>
        <sz val="10"/>
        <color rgb="FFFF0000"/>
        <rFont val="Arial Narrow"/>
        <family val="2"/>
      </rPr>
      <t xml:space="preserve"> Customer collections misappropriated</t>
    </r>
    <phoneticPr fontId="3" type="noConversion"/>
  </si>
  <si>
    <r>
      <rPr>
        <sz val="10"/>
        <color rgb="FFFF0000"/>
        <rFont val="Garamond"/>
        <family val="1"/>
      </rPr>
      <t>已记录应收款项不存在</t>
    </r>
    <r>
      <rPr>
        <sz val="10"/>
        <color rgb="FFFF0000"/>
        <rFont val="Arial Narrow"/>
        <family val="2"/>
      </rPr>
      <t xml:space="preserve"> Recorded receivables not valid</t>
    </r>
  </si>
  <si>
    <r>
      <rPr>
        <sz val="10"/>
        <color rgb="FFFF0000"/>
        <rFont val="宋体"/>
        <family val="3"/>
        <charset val="134"/>
      </rPr>
      <t>未记录的现销</t>
    </r>
    <r>
      <rPr>
        <sz val="10"/>
        <color rgb="FFFF0000"/>
        <rFont val="Arial Narrow"/>
        <family val="2"/>
      </rPr>
      <t xml:space="preserve"> Cash sales not recorded</t>
    </r>
    <phoneticPr fontId="3" type="noConversion"/>
  </si>
  <si>
    <r>
      <rPr>
        <sz val="10"/>
        <color rgb="FFFF0000"/>
        <rFont val="宋体"/>
        <family val="3"/>
        <charset val="134"/>
      </rPr>
      <t>对于合同的会计记录不符合合同条款</t>
    </r>
    <r>
      <rPr>
        <sz val="10"/>
        <color rgb="FFFF0000"/>
        <rFont val="Arial Narrow"/>
        <family val="2"/>
      </rPr>
      <t xml:space="preserve"> Contract accounting not consistent with terms</t>
    </r>
    <phoneticPr fontId="3" type="noConversion"/>
  </si>
  <si>
    <r>
      <rPr>
        <sz val="10"/>
        <color rgb="FFFF0000"/>
        <rFont val="宋体"/>
        <family val="3"/>
        <charset val="134"/>
      </rPr>
      <t>坏账准备计提不充分</t>
    </r>
    <r>
      <rPr>
        <sz val="10"/>
        <color rgb="FFFF0000"/>
        <rFont val="Arial Narrow"/>
        <family val="2"/>
      </rPr>
      <t xml:space="preserve"> Allowance for doubtful accounts not adequate</t>
    </r>
  </si>
  <si>
    <r>
      <rPr>
        <sz val="10"/>
        <color rgb="FFFF0000"/>
        <rFont val="宋体"/>
        <family val="3"/>
        <charset val="134"/>
      </rPr>
      <t>退货和客户索赔负债不足够</t>
    </r>
    <r>
      <rPr>
        <sz val="10"/>
        <color rgb="FFFF0000"/>
        <rFont val="Arial Narrow"/>
        <family val="2"/>
      </rPr>
      <t xml:space="preserve"> Goods returned and customer claims liabilities not adequate</t>
    </r>
    <phoneticPr fontId="3" type="noConversion"/>
  </si>
  <si>
    <r>
      <rPr>
        <sz val="10"/>
        <color rgb="FFFF0000"/>
        <rFont val="宋体"/>
        <family val="3"/>
        <charset val="134"/>
      </rPr>
      <t>不恰当的利息计算</t>
    </r>
    <r>
      <rPr>
        <sz val="10"/>
        <color rgb="FFFF0000"/>
        <rFont val="Arial Narrow"/>
        <family val="2"/>
      </rPr>
      <t xml:space="preserve"> Imputed interest not proper</t>
    </r>
    <phoneticPr fontId="3" type="noConversion"/>
  </si>
  <si>
    <r>
      <rPr>
        <sz val="10"/>
        <color rgb="FFFF0000"/>
        <rFont val="Garamond"/>
        <family val="1"/>
      </rPr>
      <t>计价不正确</t>
    </r>
    <r>
      <rPr>
        <sz val="10"/>
        <color rgb="FFFF0000"/>
        <rFont val="Arial Narrow"/>
        <family val="2"/>
      </rPr>
      <t xml:space="preserve"> Pricing not correct</t>
    </r>
    <phoneticPr fontId="3" type="noConversion"/>
  </si>
  <si>
    <r>
      <rPr>
        <sz val="10"/>
        <color rgb="FFFF0000"/>
        <rFont val="Garamond"/>
        <family val="1"/>
      </rPr>
      <t>估计的合同收入不准确</t>
    </r>
    <r>
      <rPr>
        <sz val="10"/>
        <color rgb="FFFF0000"/>
        <rFont val="Arial Narrow"/>
        <family val="2"/>
      </rPr>
      <t xml:space="preserve"> Contract estimates not accurate</t>
    </r>
  </si>
  <si>
    <r>
      <rPr>
        <sz val="10"/>
        <color rgb="FFFF0000"/>
        <rFont val="宋体"/>
        <family val="3"/>
        <charset val="134"/>
      </rPr>
      <t>外币计量不恰当</t>
    </r>
    <r>
      <rPr>
        <sz val="10"/>
        <color rgb="FFFF0000"/>
        <rFont val="Arial Narrow"/>
        <family val="2"/>
      </rPr>
      <t xml:space="preserve"> Foreign currency measurements not proper</t>
    </r>
    <phoneticPr fontId="3" type="noConversion"/>
  </si>
  <si>
    <r>
      <rPr>
        <sz val="10"/>
        <color rgb="FFFF0000"/>
        <rFont val="宋体"/>
        <family val="3"/>
        <charset val="134"/>
      </rPr>
      <t>多重要素安排会计核算不恰当</t>
    </r>
    <r>
      <rPr>
        <sz val="10"/>
        <color rgb="FFFF0000"/>
        <rFont val="Arial Narrow"/>
        <family val="2"/>
      </rPr>
      <t xml:space="preserve"> Multiple-element arrangements not accounted for properly</t>
    </r>
    <phoneticPr fontId="3" type="noConversion"/>
  </si>
  <si>
    <r>
      <rPr>
        <sz val="10"/>
        <color rgb="FFFF0000"/>
        <rFont val="宋体"/>
        <family val="3"/>
        <charset val="134"/>
      </rPr>
      <t>收入记录不完整</t>
    </r>
    <r>
      <rPr>
        <sz val="10"/>
        <color rgb="FFFF0000"/>
        <rFont val="Arial Narrow"/>
        <family val="2"/>
      </rPr>
      <t xml:space="preserve"> Revenue transactions not recorded</t>
    </r>
    <phoneticPr fontId="3" type="noConversion"/>
  </si>
  <si>
    <r>
      <rPr>
        <sz val="10"/>
        <color rgb="FFFF0000"/>
        <rFont val="宋体"/>
        <family val="3"/>
        <charset val="134"/>
      </rPr>
      <t>协议包含未识别的嵌入衍生工具</t>
    </r>
    <r>
      <rPr>
        <sz val="10"/>
        <color rgb="FFFF0000"/>
        <rFont val="Arial Narrow"/>
        <family val="2"/>
      </rPr>
      <t xml:space="preserve"> Agreements contain unidentified embedded derivatives</t>
    </r>
    <phoneticPr fontId="3" type="noConversion"/>
  </si>
  <si>
    <r>
      <rPr>
        <sz val="10"/>
        <color rgb="FFFF0000"/>
        <rFont val="宋体"/>
        <family val="3"/>
        <charset val="134"/>
      </rPr>
      <t>通过操纵客户信用额度，盗用客户收款</t>
    </r>
    <r>
      <rPr>
        <sz val="10"/>
        <color rgb="FFFF0000"/>
        <rFont val="Arial Narrow"/>
        <family val="2"/>
      </rPr>
      <t xml:space="preserve"> Theft of customer collections concealed by issuing credits</t>
    </r>
    <phoneticPr fontId="3" type="noConversion"/>
  </si>
  <si>
    <r>
      <rPr>
        <sz val="10"/>
        <color rgb="FFFF0000"/>
        <rFont val="宋体"/>
        <family val="3"/>
        <charset val="134"/>
      </rPr>
      <t>应收帐款销售和折扣记录不恰当</t>
    </r>
    <r>
      <rPr>
        <sz val="10"/>
        <color rgb="FFFF0000"/>
        <rFont val="Arial Narrow"/>
        <family val="2"/>
      </rPr>
      <t xml:space="preserve"> Receivables discounted or sold not accounted for properly</t>
    </r>
    <phoneticPr fontId="3" type="noConversion"/>
  </si>
  <si>
    <r>
      <rPr>
        <sz val="10"/>
        <color rgb="FFFF0000"/>
        <rFont val="宋体"/>
        <family val="3"/>
        <charset val="134"/>
      </rPr>
      <t>已完成合同的担保或持续性义务未得到适当的会计处理</t>
    </r>
    <r>
      <rPr>
        <sz val="10"/>
        <color rgb="FFFF0000"/>
        <rFont val="Arial Narrow"/>
        <family val="2"/>
      </rPr>
      <t xml:space="preserve"> Warranties or continuing obligations on completed contracts not accounted for properly</t>
    </r>
    <phoneticPr fontId="3" type="noConversion"/>
  </si>
  <si>
    <r>
      <rPr>
        <sz val="10"/>
        <color rgb="FFFF0000"/>
        <rFont val="宋体"/>
        <family val="3"/>
        <charset val="134"/>
      </rPr>
      <t>未正确计入恰当期间的收入</t>
    </r>
    <r>
      <rPr>
        <sz val="10"/>
        <color rgb="FFFF0000"/>
        <rFont val="Arial Narrow"/>
        <family val="2"/>
      </rPr>
      <t xml:space="preserve"> Revenue not recorded in correct period</t>
    </r>
    <phoneticPr fontId="3" type="noConversion"/>
  </si>
  <si>
    <r>
      <rPr>
        <sz val="10"/>
        <color rgb="FFFF0000"/>
        <rFont val="宋体"/>
        <family val="3"/>
        <charset val="134"/>
      </rPr>
      <t>无效的已接单但未出货的收入</t>
    </r>
    <r>
      <rPr>
        <sz val="10"/>
        <color rgb="FFFF0000"/>
        <rFont val="Arial Narrow"/>
        <family val="2"/>
      </rPr>
      <t xml:space="preserve"> Bill and hold revenue not valid</t>
    </r>
    <phoneticPr fontId="3" type="noConversion"/>
  </si>
  <si>
    <r>
      <rPr>
        <sz val="10"/>
        <color rgb="FFFF0000"/>
        <rFont val="宋体"/>
        <family val="3"/>
        <charset val="134"/>
      </rPr>
      <t>虚构客户以隐藏舞弊动机</t>
    </r>
    <r>
      <rPr>
        <sz val="10"/>
        <color rgb="FFFF0000"/>
        <rFont val="Arial Narrow"/>
        <family val="2"/>
      </rPr>
      <t xml:space="preserve"> Fictitious customers created to conceal fraud</t>
    </r>
    <phoneticPr fontId="3" type="noConversion"/>
  </si>
  <si>
    <r>
      <rPr>
        <sz val="10"/>
        <color rgb="FFFF0000"/>
        <rFont val="宋体"/>
        <family val="3"/>
        <charset val="134"/>
      </rPr>
      <t>包括舞弊交易的销售</t>
    </r>
    <r>
      <rPr>
        <sz val="10"/>
        <color rgb="FFFF0000"/>
        <rFont val="Arial Narrow"/>
        <family val="2"/>
      </rPr>
      <t xml:space="preserve"> Revenues fraudulently recognized</t>
    </r>
    <phoneticPr fontId="3" type="noConversion"/>
  </si>
  <si>
    <r>
      <rPr>
        <sz val="10"/>
        <color rgb="FFFF0000"/>
        <rFont val="宋体"/>
        <family val="3"/>
        <charset val="134"/>
      </rPr>
      <t>挪用客户收款</t>
    </r>
    <r>
      <rPr>
        <sz val="10"/>
        <color rgb="FFFF0000"/>
        <rFont val="Arial Narrow"/>
        <family val="2"/>
      </rPr>
      <t xml:space="preserve"> Customer collections misappropriated</t>
    </r>
    <phoneticPr fontId="3" type="noConversion"/>
  </si>
  <si>
    <r>
      <rPr>
        <sz val="10"/>
        <color rgb="FFFF0000"/>
        <rFont val="宋体"/>
        <family val="3"/>
        <charset val="134"/>
      </rPr>
      <t>未记录的现销</t>
    </r>
    <r>
      <rPr>
        <sz val="10"/>
        <color rgb="FFFF0000"/>
        <rFont val="Arial Narrow"/>
        <family val="2"/>
      </rPr>
      <t xml:space="preserve"> Cash sales not recorded</t>
    </r>
    <phoneticPr fontId="3" type="noConversion"/>
  </si>
  <si>
    <r>
      <rPr>
        <sz val="10"/>
        <color rgb="FFFF0000"/>
        <rFont val="宋体"/>
        <family val="3"/>
        <charset val="134"/>
      </rPr>
      <t>对于合同的会计记录不符合合同条款</t>
    </r>
    <r>
      <rPr>
        <sz val="10"/>
        <color rgb="FFFF0000"/>
        <rFont val="Arial Narrow"/>
        <family val="2"/>
      </rPr>
      <t xml:space="preserve"> Contract accounting not consistent with terms</t>
    </r>
    <phoneticPr fontId="3" type="noConversion"/>
  </si>
  <si>
    <r>
      <rPr>
        <sz val="10"/>
        <color rgb="FFFF0000"/>
        <rFont val="宋体"/>
        <family val="3"/>
        <charset val="134"/>
      </rPr>
      <t>收入记录不完整</t>
    </r>
    <r>
      <rPr>
        <sz val="10"/>
        <color rgb="FFFF0000"/>
        <rFont val="Arial Narrow"/>
        <family val="2"/>
      </rPr>
      <t xml:space="preserve"> Revenue transactions not recorded</t>
    </r>
    <phoneticPr fontId="3" type="noConversion"/>
  </si>
  <si>
    <r>
      <rPr>
        <sz val="10"/>
        <color rgb="FFFF0000"/>
        <rFont val="宋体"/>
        <family val="3"/>
        <charset val="134"/>
      </rPr>
      <t>协议包含未识别的嵌入衍生工具</t>
    </r>
    <r>
      <rPr>
        <sz val="10"/>
        <color rgb="FFFF0000"/>
        <rFont val="Arial Narrow"/>
        <family val="2"/>
      </rPr>
      <t xml:space="preserve"> Agreements contain unidentified embedded derivatives</t>
    </r>
    <phoneticPr fontId="3" type="noConversion"/>
  </si>
  <si>
    <r>
      <rPr>
        <sz val="10"/>
        <color rgb="FFFF0000"/>
        <rFont val="宋体"/>
        <family val="3"/>
        <charset val="134"/>
      </rPr>
      <t>通过操纵客户信用额度，盗用客户收款</t>
    </r>
    <r>
      <rPr>
        <sz val="10"/>
        <color rgb="FFFF0000"/>
        <rFont val="Arial Narrow"/>
        <family val="2"/>
      </rPr>
      <t xml:space="preserve"> Theft of customer collections concealed by issuing credits</t>
    </r>
    <phoneticPr fontId="3" type="noConversion"/>
  </si>
  <si>
    <r>
      <rPr>
        <sz val="10"/>
        <color rgb="FFFF0000"/>
        <rFont val="宋体"/>
        <family val="3"/>
        <charset val="134"/>
      </rPr>
      <t>应收帐款销售和折扣记录不恰当</t>
    </r>
    <r>
      <rPr>
        <sz val="10"/>
        <color rgb="FFFF0000"/>
        <rFont val="Arial Narrow"/>
        <family val="2"/>
      </rPr>
      <t xml:space="preserve"> Receivables discounted or sold not accounted for properly</t>
    </r>
    <phoneticPr fontId="3" type="noConversion"/>
  </si>
  <si>
    <r>
      <rPr>
        <sz val="10"/>
        <color rgb="FFFF0000"/>
        <rFont val="宋体"/>
        <family val="3"/>
        <charset val="134"/>
      </rPr>
      <t>已完成合同的担保或持续性义务未得到适当的会计处理</t>
    </r>
    <r>
      <rPr>
        <sz val="10"/>
        <color rgb="FFFF0000"/>
        <rFont val="Arial Narrow"/>
        <family val="2"/>
      </rPr>
      <t xml:space="preserve"> Warranties or continuing obligations on completed contracts not accounted for properly</t>
    </r>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</si>
  <si>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</si>
  <si>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</si>
  <si>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</si>
  <si>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</si>
  <si>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</si>
  <si>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</si>
  <si>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</si>
  <si>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</si>
  <si>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</si>
  <si>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</si>
  <si>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</si>
  <si>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</si>
  <si>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</si>
  <si>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</si>
  <si>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</si>
  <si>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</si>
  <si>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</si>
  <si>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</si>
  <si>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</si>
  <si>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</si>
  <si>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</si>
  <si>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</si>
  <si>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</si>
  <si>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</si>
  <si>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rPr>
        <sz val="10"/>
        <color rgb="FFFF0000"/>
        <rFont val="宋体"/>
        <family val="2"/>
        <charset val="134"/>
      </rPr>
      <t>完整性</t>
    </r>
    <r>
      <rPr>
        <sz val="10"/>
        <color rgb="FFFF0000"/>
        <rFont val="Arial Narrow"/>
        <family val="2"/>
      </rPr>
      <t xml:space="preserve"> Completeness</t>
    </r>
  </si>
  <si>
    <r>
      <rPr>
        <sz val="10"/>
        <rFont val="宋体"/>
        <family val="3"/>
        <charset val="134"/>
      </rPr>
      <t>索引号：</t>
    </r>
    <r>
      <rPr>
        <sz val="10"/>
        <rFont val="Arial Narrow"/>
        <family val="2"/>
      </rPr>
      <t>B23-1-2</t>
    </r>
    <phoneticPr fontId="3" type="noConversion"/>
  </si>
  <si>
    <r>
      <t>三、主要业务活动介绍/销售业务流程图</t>
    </r>
    <r>
      <rPr>
        <b/>
        <i/>
        <sz val="10"/>
        <color rgb="FF0000FF"/>
        <rFont val="宋体"/>
        <family val="3"/>
        <charset val="134"/>
      </rPr>
      <t>（需标注容易出错的领域）</t>
    </r>
    <phoneticPr fontId="3" type="noConversion"/>
  </si>
  <si>
    <r>
      <rPr>
        <b/>
        <sz val="12"/>
        <rFont val="宋体"/>
        <family val="3"/>
        <charset val="134"/>
      </rPr>
      <t>致同会计师事务所</t>
    </r>
    <phoneticPr fontId="3" type="noConversion"/>
  </si>
  <si>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</si>
  <si>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sz val="10"/>
        <rFont val="宋体"/>
        <family val="3"/>
        <charset val="134"/>
      </rPr>
      <t>索引号：</t>
    </r>
    <r>
      <rPr>
        <sz val="10"/>
        <rFont val="Arial Narrow"/>
        <family val="2"/>
      </rPr>
      <t>B23-1-1</t>
    </r>
    <phoneticPr fontId="3" type="noConversion"/>
  </si>
  <si>
    <r>
      <rPr>
        <sz val="10"/>
        <rFont val="宋体"/>
        <family val="3"/>
        <charset val="134"/>
      </rPr>
      <t>复核人：</t>
    </r>
    <phoneticPr fontId="3" type="noConversion"/>
  </si>
  <si>
    <r>
      <rPr>
        <sz val="10"/>
        <rFont val="宋体"/>
        <family val="3"/>
        <charset val="134"/>
      </rPr>
      <t>日期：</t>
    </r>
    <phoneticPr fontId="3" type="noConversion"/>
  </si>
  <si>
    <r>
      <t xml:space="preserve">                             </t>
    </r>
    <r>
      <rPr>
        <sz val="10"/>
        <rFont val="宋体"/>
        <family val="3"/>
        <charset val="134"/>
      </rPr>
      <t>页次：</t>
    </r>
    <r>
      <rPr>
        <sz val="10"/>
        <rFont val="Arial Narrow"/>
        <family val="2"/>
      </rPr>
      <t xml:space="preserve"> </t>
    </r>
    <phoneticPr fontId="3" type="noConversion"/>
  </si>
  <si>
    <r>
      <rPr>
        <b/>
        <sz val="10"/>
        <color theme="1"/>
        <rFont val="宋体"/>
        <family val="3"/>
        <charset val="134"/>
      </rPr>
      <t>认定</t>
    </r>
    <phoneticPr fontId="2" type="noConversion"/>
  </si>
  <si>
    <r>
      <rPr>
        <b/>
        <sz val="10"/>
        <color theme="1"/>
        <rFont val="宋体"/>
        <family val="3"/>
        <charset val="134"/>
      </rPr>
      <t>是否适用</t>
    </r>
    <phoneticPr fontId="2" type="noConversion"/>
  </si>
  <si>
    <r>
      <rPr>
        <b/>
        <sz val="10"/>
        <color theme="1"/>
        <rFont val="宋体"/>
        <family val="3"/>
        <charset val="134"/>
      </rPr>
      <t>应对风险的活动</t>
    </r>
    <phoneticPr fontId="2" type="noConversion"/>
  </si>
  <si>
    <r>
      <rPr>
        <b/>
        <sz val="10"/>
        <color theme="1"/>
        <rFont val="宋体"/>
        <family val="3"/>
        <charset val="134"/>
      </rPr>
      <t>应对风险的控制</t>
    </r>
    <phoneticPr fontId="2" type="noConversion"/>
  </si>
  <si>
    <r>
      <rPr>
        <sz val="10"/>
        <color rgb="FFFF0000"/>
        <rFont val="宋体"/>
        <family val="3"/>
        <charset val="134"/>
      </rPr>
      <t>未记录的收入交易</t>
    </r>
    <r>
      <rPr>
        <sz val="10"/>
        <color rgb="FFFF0000"/>
        <rFont val="Arial Narrow"/>
        <family val="2"/>
      </rPr>
      <t xml:space="preserve"> Revenue transactions not recorded</t>
    </r>
    <phoneticPr fontId="2" type="noConversion"/>
  </si>
  <si>
    <r>
      <rPr>
        <sz val="10"/>
        <color rgb="FFFF0000"/>
        <rFont val="宋体"/>
        <family val="3"/>
        <charset val="134"/>
      </rPr>
      <t>挪用客户收款</t>
    </r>
    <r>
      <rPr>
        <sz val="10"/>
        <color rgb="FFFF0000"/>
        <rFont val="Arial Narrow"/>
        <family val="2"/>
      </rPr>
      <t xml:space="preserve"> Customer collections misappropriated</t>
    </r>
    <r>
      <rPr>
        <sz val="10"/>
        <color rgb="FFFF0000"/>
        <rFont val="宋体"/>
        <family val="3"/>
        <charset val="134"/>
      </rPr>
      <t>；</t>
    </r>
    <phoneticPr fontId="2" type="noConversion"/>
  </si>
  <si>
    <r>
      <rPr>
        <sz val="10"/>
        <color rgb="FFFF0000"/>
        <rFont val="宋体"/>
        <family val="3"/>
        <charset val="134"/>
      </rPr>
      <t>未记录的现销</t>
    </r>
    <r>
      <rPr>
        <sz val="10"/>
        <color rgb="FFFF0000"/>
        <rFont val="Arial Narrow"/>
        <family val="2"/>
      </rPr>
      <t xml:space="preserve"> Cash sales not recorded</t>
    </r>
    <phoneticPr fontId="2"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</si>
  <si>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</si>
  <si>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</si>
  <si>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</si>
  <si>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</si>
  <si>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</si>
  <si>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sz val="11"/>
        <color theme="1"/>
        <rFont val="宋体"/>
        <family val="3"/>
        <charset val="134"/>
      </rPr>
      <t>√</t>
    </r>
    <phoneticPr fontId="2" type="noConversion"/>
  </si>
  <si>
    <r>
      <rPr>
        <sz val="10"/>
        <color rgb="FFFF0000"/>
        <rFont val="宋体"/>
        <family val="3"/>
        <charset val="134"/>
      </rPr>
      <t>应收票据及坏账准备、应收账款及坏账准备、预收款项、主营业务收入</t>
    </r>
    <phoneticPr fontId="3" type="noConversion"/>
  </si>
  <si>
    <t>1.****
2.****</t>
    <phoneticPr fontId="2" type="noConversion"/>
  </si>
  <si>
    <t>CAAT</t>
  </si>
  <si>
    <r>
      <rPr>
        <sz val="10"/>
        <rFont val="宋体"/>
        <family val="3"/>
        <charset val="134"/>
      </rPr>
      <t>索引号：</t>
    </r>
    <r>
      <rPr>
        <sz val="10"/>
        <rFont val="Arial Narrow"/>
        <family val="2"/>
      </rPr>
      <t>B23-1-4</t>
    </r>
    <phoneticPr fontId="3" type="noConversion"/>
  </si>
  <si>
    <r>
      <rPr>
        <sz val="10"/>
        <rFont val="宋体"/>
        <family val="3"/>
        <charset val="134"/>
      </rPr>
      <t>索引号：</t>
    </r>
    <r>
      <rPr>
        <sz val="10"/>
        <rFont val="Times New Roman"/>
        <family val="1"/>
      </rPr>
      <t>B23-1-3</t>
    </r>
    <phoneticPr fontId="3" type="noConversion"/>
  </si>
  <si>
    <r>
      <rPr>
        <sz val="10"/>
        <rFont val="宋体"/>
        <family val="3"/>
        <charset val="134"/>
      </rPr>
      <t>复核人：</t>
    </r>
    <phoneticPr fontId="3" type="noConversion"/>
  </si>
  <si>
    <r>
      <rPr>
        <sz val="10"/>
        <rFont val="宋体"/>
        <family val="3"/>
        <charset val="134"/>
      </rPr>
      <t>日</t>
    </r>
    <r>
      <rPr>
        <sz val="10"/>
        <rFont val="Times New Roman"/>
        <family val="1"/>
      </rPr>
      <t xml:space="preserve"> </t>
    </r>
    <r>
      <rPr>
        <sz val="10"/>
        <rFont val="宋体"/>
        <family val="3"/>
        <charset val="134"/>
      </rPr>
      <t>期：</t>
    </r>
    <phoneticPr fontId="3" type="noConversion"/>
  </si>
  <si>
    <r>
      <rPr>
        <sz val="10"/>
        <rFont val="宋体"/>
        <family val="3"/>
        <charset val="134"/>
      </rPr>
      <t>页次：</t>
    </r>
    <phoneticPr fontId="3" type="noConversion"/>
  </si>
  <si>
    <r>
      <rPr>
        <b/>
        <sz val="10"/>
        <color rgb="FF0000FF"/>
        <rFont val="宋体"/>
        <family val="3"/>
        <charset val="134"/>
      </rPr>
      <t>风险、相关的</t>
    </r>
    <r>
      <rPr>
        <b/>
        <sz val="10"/>
        <color rgb="FF0000FF"/>
        <rFont val="Times New Roman"/>
        <family val="1"/>
      </rPr>
      <t>“</t>
    </r>
    <r>
      <rPr>
        <b/>
        <sz val="10"/>
        <color rgb="FF0000FF"/>
        <rFont val="宋体"/>
        <family val="3"/>
        <charset val="134"/>
      </rPr>
      <t>流程</t>
    </r>
    <r>
      <rPr>
        <b/>
        <sz val="10"/>
        <color rgb="FF0000FF"/>
        <rFont val="Times New Roman"/>
        <family val="1"/>
      </rPr>
      <t>”</t>
    </r>
    <r>
      <rPr>
        <b/>
        <sz val="10"/>
        <color rgb="FF0000FF"/>
        <rFont val="宋体"/>
        <family val="3"/>
        <charset val="134"/>
      </rPr>
      <t>和</t>
    </r>
    <r>
      <rPr>
        <b/>
        <sz val="10"/>
        <color rgb="FF0000FF"/>
        <rFont val="Times New Roman"/>
        <family val="1"/>
      </rPr>
      <t>“</t>
    </r>
    <r>
      <rPr>
        <b/>
        <sz val="10"/>
        <color rgb="FF0000FF"/>
        <rFont val="宋体"/>
        <family val="3"/>
        <charset val="134"/>
      </rPr>
      <t>活动</t>
    </r>
    <r>
      <rPr>
        <b/>
        <sz val="10"/>
        <color rgb="FF0000FF"/>
        <rFont val="Times New Roman"/>
        <family val="1"/>
      </rPr>
      <t>”</t>
    </r>
    <r>
      <rPr>
        <b/>
        <sz val="10"/>
        <color rgb="FF0000FF"/>
        <rFont val="宋体"/>
        <family val="3"/>
        <charset val="134"/>
      </rPr>
      <t>须根据具体情况分析填列，下表列示内容不适用须删除。</t>
    </r>
    <phoneticPr fontId="2" type="noConversion"/>
  </si>
  <si>
    <r>
      <rPr>
        <b/>
        <sz val="10"/>
        <rFont val="宋体"/>
        <family val="3"/>
        <charset val="134"/>
      </rPr>
      <t>认定</t>
    </r>
    <phoneticPr fontId="3" type="noConversion"/>
  </si>
  <si>
    <r>
      <rPr>
        <b/>
        <sz val="10"/>
        <rFont val="宋体"/>
        <family val="3"/>
        <charset val="134"/>
      </rPr>
      <t>风险</t>
    </r>
    <phoneticPr fontId="3" type="noConversion"/>
  </si>
  <si>
    <r>
      <rPr>
        <b/>
        <sz val="10"/>
        <rFont val="宋体"/>
        <family val="3"/>
        <charset val="134"/>
      </rPr>
      <t>与风险相关的活动</t>
    </r>
    <phoneticPr fontId="3" type="noConversion"/>
  </si>
  <si>
    <r>
      <rPr>
        <b/>
        <sz val="10"/>
        <rFont val="宋体"/>
        <family val="3"/>
        <charset val="134"/>
      </rPr>
      <t>拟测试的控制</t>
    </r>
    <phoneticPr fontId="3" type="noConversion"/>
  </si>
  <si>
    <r>
      <rPr>
        <b/>
        <sz val="10"/>
        <rFont val="宋体"/>
        <family val="3"/>
        <charset val="134"/>
      </rPr>
      <t>关键控制点数量（</t>
    </r>
    <r>
      <rPr>
        <b/>
        <sz val="10"/>
        <rFont val="Times New Roman"/>
        <family val="1"/>
      </rPr>
      <t>D=A+B+C</t>
    </r>
    <r>
      <rPr>
        <b/>
        <sz val="10"/>
        <rFont val="宋体"/>
        <family val="3"/>
        <charset val="134"/>
      </rPr>
      <t>）</t>
    </r>
    <phoneticPr fontId="3" type="noConversion"/>
  </si>
  <si>
    <r>
      <rPr>
        <b/>
        <sz val="10"/>
        <rFont val="宋体"/>
        <family val="3"/>
        <charset val="134"/>
      </rPr>
      <t>直接测试方法（询问观察</t>
    </r>
    <r>
      <rPr>
        <b/>
        <sz val="10"/>
        <rFont val="Times New Roman"/>
        <family val="1"/>
      </rPr>
      <t>/CAAT/</t>
    </r>
    <r>
      <rPr>
        <b/>
        <sz val="10"/>
        <rFont val="宋体"/>
        <family val="3"/>
        <charset val="134"/>
      </rPr>
      <t>抽样（检查）</t>
    </r>
    <r>
      <rPr>
        <b/>
        <sz val="10"/>
        <rFont val="Times New Roman"/>
        <family val="1"/>
      </rPr>
      <t>/</t>
    </r>
    <r>
      <rPr>
        <b/>
        <sz val="10"/>
        <rFont val="宋体"/>
        <family val="3"/>
        <charset val="134"/>
      </rPr>
      <t>重新执行</t>
    </r>
    <r>
      <rPr>
        <b/>
        <sz val="10"/>
        <rFont val="Times New Roman"/>
        <family val="1"/>
      </rPr>
      <t>)-A</t>
    </r>
    <phoneticPr fontId="3" type="noConversion"/>
  </si>
  <si>
    <r>
      <rPr>
        <b/>
        <sz val="10"/>
        <rFont val="宋体"/>
        <family val="3"/>
        <charset val="134"/>
      </rPr>
      <t>管理层</t>
    </r>
    <r>
      <rPr>
        <b/>
        <sz val="10"/>
        <rFont val="Times New Roman"/>
        <family val="1"/>
      </rPr>
      <t>-</t>
    </r>
    <r>
      <rPr>
        <b/>
        <sz val="10"/>
        <rFont val="宋体"/>
        <family val="3"/>
        <charset val="134"/>
      </rPr>
      <t>重新执行</t>
    </r>
    <r>
      <rPr>
        <b/>
        <sz val="10"/>
        <rFont val="Times New Roman"/>
        <family val="1"/>
      </rPr>
      <t>-B</t>
    </r>
    <phoneticPr fontId="3" type="noConversion"/>
  </si>
  <si>
    <r>
      <rPr>
        <b/>
        <sz val="10"/>
        <rFont val="宋体"/>
        <family val="3"/>
        <charset val="134"/>
      </rPr>
      <t>管理层</t>
    </r>
    <r>
      <rPr>
        <b/>
        <sz val="10"/>
        <rFont val="Times New Roman"/>
        <family val="1"/>
      </rPr>
      <t>-</t>
    </r>
    <r>
      <rPr>
        <b/>
        <sz val="10"/>
        <rFont val="宋体"/>
        <family val="3"/>
        <charset val="134"/>
      </rPr>
      <t>仅复核</t>
    </r>
    <r>
      <rPr>
        <b/>
        <sz val="10"/>
        <rFont val="Times New Roman"/>
        <family val="1"/>
      </rPr>
      <t>-C</t>
    </r>
    <phoneticPr fontId="3" type="noConversion"/>
  </si>
  <si>
    <r>
      <rPr>
        <b/>
        <sz val="10"/>
        <rFont val="宋体"/>
        <family val="3"/>
        <charset val="134"/>
      </rPr>
      <t>截止性</t>
    </r>
    <r>
      <rPr>
        <b/>
        <sz val="10"/>
        <rFont val="Times New Roman"/>
        <family val="1"/>
      </rPr>
      <t xml:space="preserve"> Cutoff</t>
    </r>
    <phoneticPr fontId="3" type="noConversion"/>
  </si>
  <si>
    <r>
      <rPr>
        <sz val="10"/>
        <color rgb="FFFF0000"/>
        <rFont val="宋体"/>
        <family val="3"/>
        <charset val="134"/>
      </rPr>
      <t>未正确计入恰当期间的收入</t>
    </r>
    <r>
      <rPr>
        <sz val="10"/>
        <color rgb="FFFF0000"/>
        <rFont val="Times New Roman"/>
        <family val="1"/>
      </rPr>
      <t xml:space="preserve"> Revenue not recorded in correct period</t>
    </r>
    <phoneticPr fontId="3" type="noConversion"/>
  </si>
  <si>
    <r>
      <rPr>
        <sz val="10"/>
        <rFont val="Arial Narrow"/>
        <family val="2"/>
      </rPr>
      <t>抽样</t>
    </r>
  </si>
  <si>
    <r>
      <rPr>
        <sz val="10"/>
        <color rgb="FFFF0000"/>
        <rFont val="宋体"/>
        <family val="3"/>
        <charset val="134"/>
      </rPr>
      <t>无效的已接单但未出货的收入</t>
    </r>
    <r>
      <rPr>
        <sz val="10"/>
        <color rgb="FFFF0000"/>
        <rFont val="Times New Roman"/>
        <family val="1"/>
      </rPr>
      <t xml:space="preserve"> Bill and hold revenue not valid</t>
    </r>
    <phoneticPr fontId="3" type="noConversion"/>
  </si>
  <si>
    <r>
      <rPr>
        <b/>
        <sz val="10"/>
        <rFont val="宋体"/>
        <family val="3"/>
        <charset val="134"/>
      </rPr>
      <t>存在和发生</t>
    </r>
    <r>
      <rPr>
        <b/>
        <sz val="10"/>
        <rFont val="Times New Roman"/>
        <family val="1"/>
      </rPr>
      <t xml:space="preserve">  Existence/Occurrence</t>
    </r>
    <phoneticPr fontId="3" type="noConversion"/>
  </si>
  <si>
    <r>
      <rPr>
        <sz val="10"/>
        <color rgb="FFFF0000"/>
        <rFont val="宋体"/>
        <family val="3"/>
        <charset val="134"/>
      </rPr>
      <t>虚构客户以隐藏舞弊动机</t>
    </r>
    <r>
      <rPr>
        <sz val="10"/>
        <color rgb="FFFF0000"/>
        <rFont val="Times New Roman"/>
        <family val="1"/>
      </rPr>
      <t xml:space="preserve"> Fictitious customers created to conceal fraud</t>
    </r>
    <phoneticPr fontId="3" type="noConversion"/>
  </si>
  <si>
    <r>
      <rPr>
        <sz val="10"/>
        <rFont val="宋体"/>
        <family val="3"/>
        <charset val="134"/>
      </rPr>
      <t>客户主文档是否定期复核，相关事项得到适当审批</t>
    </r>
    <phoneticPr fontId="3" type="noConversion"/>
  </si>
  <si>
    <r>
      <rPr>
        <sz val="10"/>
        <rFont val="Arial Narrow"/>
        <family val="2"/>
      </rPr>
      <t>重新执行</t>
    </r>
  </si>
  <si>
    <r>
      <rPr>
        <sz val="10"/>
        <rFont val="宋体"/>
        <family val="3"/>
        <charset val="134"/>
      </rPr>
      <t>在客户主文档中新增项目时，录入信息恰当的与原始资料核对</t>
    </r>
    <phoneticPr fontId="3" type="noConversion"/>
  </si>
  <si>
    <r>
      <rPr>
        <sz val="10"/>
        <color rgb="FFFF0000"/>
        <rFont val="宋体"/>
        <family val="3"/>
        <charset val="134"/>
      </rPr>
      <t>包括舞弊交易的销售</t>
    </r>
    <r>
      <rPr>
        <sz val="10"/>
        <color rgb="FFFF0000"/>
        <rFont val="Times New Roman"/>
        <family val="1"/>
      </rPr>
      <t xml:space="preserve"> Revenues fraudulently recognized</t>
    </r>
    <phoneticPr fontId="3" type="noConversion"/>
  </si>
  <si>
    <r>
      <rPr>
        <sz val="10"/>
        <color rgb="FFFF0000"/>
        <rFont val="宋体"/>
        <family val="3"/>
        <charset val="134"/>
      </rPr>
      <t>挪用客户收款</t>
    </r>
    <r>
      <rPr>
        <sz val="10"/>
        <color rgb="FFFF0000"/>
        <rFont val="Times New Roman"/>
        <family val="1"/>
      </rPr>
      <t xml:space="preserve"> Customer collections misappropriated</t>
    </r>
    <phoneticPr fontId="3" type="noConversion"/>
  </si>
  <si>
    <r>
      <rPr>
        <sz val="10"/>
        <color rgb="FFFF0000"/>
        <rFont val="Garamond"/>
        <family val="1"/>
      </rPr>
      <t>已记录应收款项不存在</t>
    </r>
    <r>
      <rPr>
        <sz val="10"/>
        <color rgb="FFFF0000"/>
        <rFont val="Times New Roman"/>
        <family val="1"/>
      </rPr>
      <t xml:space="preserve"> Recorded receivables not valid</t>
    </r>
  </si>
  <si>
    <r>
      <rPr>
        <sz val="10"/>
        <color rgb="FFFF0000"/>
        <rFont val="宋体"/>
        <family val="3"/>
        <charset val="134"/>
      </rPr>
      <t>未记录的现销</t>
    </r>
    <r>
      <rPr>
        <sz val="10"/>
        <color rgb="FFFF0000"/>
        <rFont val="Times New Roman"/>
        <family val="1"/>
      </rPr>
      <t xml:space="preserve"> Cash sales not recorded</t>
    </r>
    <phoneticPr fontId="3" type="noConversion"/>
  </si>
  <si>
    <r>
      <rPr>
        <sz val="10"/>
        <color rgb="FFFF0000"/>
        <rFont val="宋体"/>
        <family val="3"/>
        <charset val="134"/>
      </rPr>
      <t>对于合同的会计记录不符合合同条款</t>
    </r>
    <r>
      <rPr>
        <sz val="10"/>
        <color rgb="FFFF0000"/>
        <rFont val="Times New Roman"/>
        <family val="1"/>
      </rPr>
      <t xml:space="preserve"> Contract accounting not consistent with terms</t>
    </r>
    <phoneticPr fontId="3" type="noConversion"/>
  </si>
  <si>
    <r>
      <rPr>
        <b/>
        <sz val="10"/>
        <rFont val="宋体"/>
        <family val="3"/>
        <charset val="134"/>
      </rPr>
      <t>准确性</t>
    </r>
    <r>
      <rPr>
        <b/>
        <sz val="10"/>
        <rFont val="Times New Roman"/>
        <family val="1"/>
      </rPr>
      <t xml:space="preserve"> - </t>
    </r>
    <r>
      <rPr>
        <b/>
        <sz val="10"/>
        <rFont val="宋体"/>
        <family val="3"/>
        <charset val="134"/>
      </rPr>
      <t>净值</t>
    </r>
    <r>
      <rPr>
        <b/>
        <sz val="10"/>
        <rFont val="Times New Roman"/>
        <family val="1"/>
      </rPr>
      <t xml:space="preserve"> Valuation - Net</t>
    </r>
    <phoneticPr fontId="3" type="noConversion"/>
  </si>
  <si>
    <r>
      <rPr>
        <sz val="10"/>
        <color rgb="FFFF0000"/>
        <rFont val="宋体"/>
        <family val="3"/>
        <charset val="134"/>
      </rPr>
      <t>坏账准备计提不充分</t>
    </r>
    <r>
      <rPr>
        <sz val="10"/>
        <color rgb="FFFF0000"/>
        <rFont val="Times New Roman"/>
        <family val="1"/>
      </rPr>
      <t xml:space="preserve"> Allowance for doubtful accounts not adequate</t>
    </r>
  </si>
  <si>
    <r>
      <rPr>
        <sz val="10"/>
        <color rgb="FFFF0000"/>
        <rFont val="宋体"/>
        <family val="3"/>
        <charset val="134"/>
      </rPr>
      <t>退货和客户索赔负债不足够</t>
    </r>
    <r>
      <rPr>
        <sz val="10"/>
        <color rgb="FFFF0000"/>
        <rFont val="Times New Roman"/>
        <family val="1"/>
      </rPr>
      <t xml:space="preserve"> Goods returned and customer claims liabilities not adequate</t>
    </r>
    <phoneticPr fontId="3" type="noConversion"/>
  </si>
  <si>
    <r>
      <rPr>
        <sz val="10"/>
        <color rgb="FFFF0000"/>
        <rFont val="宋体"/>
        <family val="3"/>
        <charset val="134"/>
      </rPr>
      <t>不恰当的利息计算</t>
    </r>
    <r>
      <rPr>
        <sz val="10"/>
        <color rgb="FFFF0000"/>
        <rFont val="Times New Roman"/>
        <family val="1"/>
      </rPr>
      <t xml:space="preserve"> Imputed interest not proper</t>
    </r>
    <phoneticPr fontId="3" type="noConversion"/>
  </si>
  <si>
    <r>
      <rPr>
        <b/>
        <sz val="10"/>
        <rFont val="宋体"/>
        <family val="3"/>
        <charset val="134"/>
      </rPr>
      <t>准确性</t>
    </r>
    <r>
      <rPr>
        <b/>
        <sz val="10"/>
        <rFont val="Times New Roman"/>
        <family val="1"/>
      </rPr>
      <t xml:space="preserve"> - </t>
    </r>
    <r>
      <rPr>
        <b/>
        <sz val="10"/>
        <rFont val="宋体"/>
        <family val="3"/>
        <charset val="134"/>
      </rPr>
      <t>毛值</t>
    </r>
    <r>
      <rPr>
        <b/>
        <sz val="10"/>
        <rFont val="Times New Roman"/>
        <family val="1"/>
      </rPr>
      <t xml:space="preserve"> Valuation - Gross</t>
    </r>
    <phoneticPr fontId="3" type="noConversion"/>
  </si>
  <si>
    <r>
      <rPr>
        <sz val="10"/>
        <color rgb="FFFF0000"/>
        <rFont val="Garamond"/>
        <family val="1"/>
      </rPr>
      <t>计价不正确</t>
    </r>
    <r>
      <rPr>
        <sz val="10"/>
        <color rgb="FFFF0000"/>
        <rFont val="Times New Roman"/>
        <family val="1"/>
      </rPr>
      <t xml:space="preserve"> Pricing not correct</t>
    </r>
    <phoneticPr fontId="3" type="noConversion"/>
  </si>
  <si>
    <r>
      <rPr>
        <sz val="10"/>
        <color rgb="FFFF0000"/>
        <rFont val="Garamond"/>
        <family val="1"/>
      </rPr>
      <t>估计的合同收入不准确</t>
    </r>
    <r>
      <rPr>
        <sz val="10"/>
        <color rgb="FFFF0000"/>
        <rFont val="Times New Roman"/>
        <family val="1"/>
      </rPr>
      <t xml:space="preserve"> Contract estimates not accurate</t>
    </r>
  </si>
  <si>
    <r>
      <rPr>
        <sz val="10"/>
        <color rgb="FFFF0000"/>
        <rFont val="宋体"/>
        <family val="3"/>
        <charset val="134"/>
      </rPr>
      <t>外币计量不恰当</t>
    </r>
    <r>
      <rPr>
        <sz val="10"/>
        <color rgb="FFFF0000"/>
        <rFont val="Times New Roman"/>
        <family val="1"/>
      </rPr>
      <t xml:space="preserve"> Foreign currency measurements not proper</t>
    </r>
    <phoneticPr fontId="3" type="noConversion"/>
  </si>
  <si>
    <r>
      <rPr>
        <sz val="10"/>
        <color rgb="FFFF0000"/>
        <rFont val="宋体"/>
        <family val="3"/>
        <charset val="134"/>
      </rPr>
      <t>多重要素安排会计核算不恰当</t>
    </r>
    <r>
      <rPr>
        <sz val="10"/>
        <color rgb="FFFF0000"/>
        <rFont val="Times New Roman"/>
        <family val="1"/>
      </rPr>
      <t xml:space="preserve"> Multiple-element arrangements not accounted for properly</t>
    </r>
    <phoneticPr fontId="3" type="noConversion"/>
  </si>
  <si>
    <r>
      <rPr>
        <b/>
        <sz val="10"/>
        <rFont val="宋体"/>
        <family val="3"/>
        <charset val="134"/>
      </rPr>
      <t>完整性</t>
    </r>
    <r>
      <rPr>
        <b/>
        <sz val="10"/>
        <rFont val="Times New Roman"/>
        <family val="1"/>
      </rPr>
      <t xml:space="preserve"> Completeness</t>
    </r>
    <phoneticPr fontId="3" type="noConversion"/>
  </si>
  <si>
    <r>
      <rPr>
        <sz val="10"/>
        <color rgb="FFFF0000"/>
        <rFont val="宋体"/>
        <family val="3"/>
        <charset val="134"/>
      </rPr>
      <t>收入记录不完整</t>
    </r>
    <r>
      <rPr>
        <sz val="10"/>
        <color rgb="FFFF0000"/>
        <rFont val="Times New Roman"/>
        <family val="1"/>
      </rPr>
      <t xml:space="preserve"> Revenue transactions not recorded</t>
    </r>
    <phoneticPr fontId="3" type="noConversion"/>
  </si>
  <si>
    <r>
      <rPr>
        <sz val="10"/>
        <color rgb="FFFF0000"/>
        <rFont val="宋体"/>
        <family val="3"/>
        <charset val="134"/>
      </rPr>
      <t>协议包含未识别的嵌入衍生工具</t>
    </r>
    <r>
      <rPr>
        <sz val="10"/>
        <color rgb="FFFF0000"/>
        <rFont val="Times New Roman"/>
        <family val="1"/>
      </rPr>
      <t xml:space="preserve"> Agreements contain unidentified embedded derivatives</t>
    </r>
    <phoneticPr fontId="3" type="noConversion"/>
  </si>
  <si>
    <r>
      <rPr>
        <sz val="10"/>
        <color rgb="FFFF0000"/>
        <rFont val="宋体"/>
        <family val="3"/>
        <charset val="134"/>
      </rPr>
      <t>通过操纵客户信用额度，盗用客户收款</t>
    </r>
    <r>
      <rPr>
        <sz val="10"/>
        <color rgb="FFFF0000"/>
        <rFont val="Times New Roman"/>
        <family val="1"/>
      </rPr>
      <t xml:space="preserve"> Theft of customer collections concealed by issuing credits</t>
    </r>
    <phoneticPr fontId="3" type="noConversion"/>
  </si>
  <si>
    <r>
      <rPr>
        <b/>
        <sz val="10"/>
        <rFont val="宋体"/>
        <family val="3"/>
        <charset val="134"/>
      </rPr>
      <t>权利</t>
    </r>
    <r>
      <rPr>
        <b/>
        <sz val="10"/>
        <rFont val="Times New Roman"/>
        <family val="1"/>
      </rPr>
      <t>/</t>
    </r>
    <r>
      <rPr>
        <b/>
        <sz val="10"/>
        <rFont val="宋体"/>
        <family val="3"/>
        <charset val="134"/>
      </rPr>
      <t>义务</t>
    </r>
    <r>
      <rPr>
        <b/>
        <sz val="10"/>
        <rFont val="Times New Roman"/>
        <family val="1"/>
      </rPr>
      <t xml:space="preserve"> Rights/Obligations</t>
    </r>
  </si>
  <si>
    <r>
      <rPr>
        <sz val="10"/>
        <color rgb="FFFF0000"/>
        <rFont val="宋体"/>
        <family val="3"/>
        <charset val="134"/>
      </rPr>
      <t>应收帐款销售和折扣记录不恰当</t>
    </r>
    <r>
      <rPr>
        <sz val="10"/>
        <color rgb="FFFF0000"/>
        <rFont val="Times New Roman"/>
        <family val="1"/>
      </rPr>
      <t xml:space="preserve"> Receivables discounted or sold not accounted for properly</t>
    </r>
    <phoneticPr fontId="3" type="noConversion"/>
  </si>
  <si>
    <r>
      <rPr>
        <sz val="10"/>
        <color rgb="FFFF0000"/>
        <rFont val="宋体"/>
        <family val="3"/>
        <charset val="134"/>
      </rPr>
      <t>已完成合同的担保或持续性义务未得到适当的会计处理</t>
    </r>
    <r>
      <rPr>
        <sz val="10"/>
        <color rgb="FFFF0000"/>
        <rFont val="Times New Roman"/>
        <family val="1"/>
      </rPr>
      <t xml:space="preserve"> Warranties or continuing obligations on completed contracts not accounted for properly</t>
    </r>
    <phoneticPr fontId="3" type="noConversion"/>
  </si>
  <si>
    <r>
      <rPr>
        <b/>
        <sz val="10"/>
        <rFont val="宋体"/>
        <family val="3"/>
        <charset val="134"/>
      </rPr>
      <t>合计</t>
    </r>
    <phoneticPr fontId="3" type="noConversion"/>
  </si>
  <si>
    <r>
      <rPr>
        <sz val="10"/>
        <rFont val="宋体"/>
        <family val="3"/>
        <charset val="134"/>
      </rPr>
      <t>各种测试方法所占比例</t>
    </r>
    <phoneticPr fontId="2" type="noConversion"/>
  </si>
  <si>
    <r>
      <rPr>
        <b/>
        <sz val="10"/>
        <rFont val="宋体"/>
        <family val="3"/>
        <charset val="134"/>
      </rPr>
      <t>编制说明：</t>
    </r>
    <phoneticPr fontId="2" type="noConversion"/>
  </si>
  <si>
    <r>
      <t>1</t>
    </r>
    <r>
      <rPr>
        <sz val="10"/>
        <rFont val="宋体"/>
        <family val="3"/>
        <charset val="134"/>
      </rPr>
      <t>、审计人员应根据风险评估的结果（</t>
    </r>
    <r>
      <rPr>
        <sz val="10"/>
        <rFont val="Times New Roman"/>
        <family val="1"/>
      </rPr>
      <t>B22-1</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</si>
  <si>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</si>
  <si>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</si>
  <si>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Times New Roman"/>
        <family val="1"/>
      </rPr>
      <t>1</t>
    </r>
    <r>
      <rPr>
        <sz val="10"/>
        <rFont val="宋体"/>
        <family val="3"/>
        <charset val="134"/>
      </rPr>
      <t>）和将减少测试范围的实质性审计程序强调的风险相同</t>
    </r>
    <r>
      <rPr>
        <sz val="10"/>
        <rFont val="Times New Roman"/>
        <family val="1"/>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</si>
  <si>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Times New Roman"/>
        <family val="1"/>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</si>
  <si>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Times New Roman"/>
        <family val="1"/>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</si>
  <si>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Times New Roman"/>
        <family val="1"/>
      </rPr>
      <t>4</t>
    </r>
    <r>
      <rPr>
        <sz val="10"/>
        <rFont val="宋体"/>
        <family val="3"/>
        <charset val="134"/>
      </rPr>
      <t>）</t>
    </r>
    <r>
      <rPr>
        <sz val="10"/>
        <rFont val="Times New Roman"/>
        <family val="1"/>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</si>
  <si>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</si>
  <si>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Times New Roman"/>
        <family val="1"/>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</si>
  <si>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Times New Roman"/>
        <family val="1"/>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</si>
  <si>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Times New Roman"/>
        <family val="1"/>
      </rPr>
      <t>3</t>
    </r>
    <r>
      <rPr>
        <sz val="10"/>
        <rFont val="宋体"/>
        <family val="3"/>
        <charset val="134"/>
      </rPr>
      <t>）并不一定必须对每一个</t>
    </r>
    <r>
      <rPr>
        <sz val="10"/>
        <rFont val="Times New Roman"/>
        <family val="1"/>
      </rPr>
      <t>“</t>
    </r>
    <r>
      <rPr>
        <sz val="10"/>
        <rFont val="宋体"/>
        <family val="3"/>
        <charset val="134"/>
      </rPr>
      <t>比较重要</t>
    </r>
    <r>
      <rPr>
        <sz val="10"/>
        <rFont val="Times New Roman"/>
        <family val="1"/>
      </rPr>
      <t>”</t>
    </r>
    <r>
      <rPr>
        <sz val="10"/>
        <rFont val="宋体"/>
        <family val="3"/>
        <charset val="134"/>
      </rPr>
      <t>的流程都进行控制测试，但对于</t>
    </r>
    <r>
      <rPr>
        <sz val="10"/>
        <rFont val="Times New Roman"/>
        <family val="1"/>
      </rPr>
      <t>“</t>
    </r>
    <r>
      <rPr>
        <sz val="10"/>
        <rFont val="宋体"/>
        <family val="3"/>
        <charset val="134"/>
      </rPr>
      <t>比较重要</t>
    </r>
    <r>
      <rPr>
        <sz val="10"/>
        <rFont val="Times New Roman"/>
        <family val="1"/>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</si>
  <si>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Times New Roman"/>
        <family val="1"/>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</si>
  <si>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Times New Roman"/>
        <family val="1"/>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</si>
  <si>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Times New Roman"/>
        <family val="1"/>
      </rPr>
      <t>6</t>
    </r>
    <r>
      <rPr>
        <sz val="10"/>
        <rFont val="宋体"/>
        <family val="3"/>
        <charset val="134"/>
      </rPr>
      <t>）对同一种风险无需进行重复的控制测试。</t>
    </r>
    <phoneticPr fontId="3" type="noConversion"/>
  </si>
  <si>
    <r>
      <t>3</t>
    </r>
    <r>
      <rPr>
        <b/>
        <sz val="10"/>
        <rFont val="宋体"/>
        <family val="3"/>
        <charset val="134"/>
      </rPr>
      <t>、控制测试方法解读如下：</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</si>
  <si>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</si>
  <si>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Times New Roman"/>
        <family val="1"/>
      </rPr>
      <t>CAAT</t>
    </r>
    <r>
      <rPr>
        <sz val="10"/>
        <rFont val="宋体"/>
        <family val="3"/>
        <charset val="134"/>
      </rPr>
      <t>、抽样、重新执行</t>
    </r>
    <phoneticPr fontId="3" type="noConversion"/>
  </si>
  <si>
    <t>对应关系表如下：</t>
    <phoneticPr fontId="3" type="noConversion"/>
  </si>
  <si>
    <t>序号</t>
    <phoneticPr fontId="3" type="noConversion"/>
  </si>
  <si>
    <t>询问</t>
    <phoneticPr fontId="3" type="noConversion"/>
  </si>
  <si>
    <t>观察</t>
    <phoneticPr fontId="3" type="noConversion"/>
  </si>
  <si>
    <t>检查</t>
    <phoneticPr fontId="3" type="noConversion"/>
  </si>
  <si>
    <t>重新执行</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</si>
  <si>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</si>
  <si>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rPr>
        <sz val="10"/>
        <rFont val="宋体"/>
        <family val="3"/>
        <charset val="134"/>
      </rPr>
      <t>（</t>
    </r>
    <r>
      <rPr>
        <sz val="10"/>
        <rFont val="Times New Roman"/>
        <family val="1"/>
      </rPr>
      <t>1</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</si>
  <si>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</si>
  <si>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</si>
  <si>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</si>
  <si>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</si>
  <si>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</si>
  <si>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</si>
  <si>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</si>
  <si>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</si>
  <si>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</si>
  <si>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</si>
  <si>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</si>
  <si>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</si>
  <si>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rPr>
        <sz val="10"/>
        <rFont val="宋体"/>
        <family val="3"/>
        <charset val="134"/>
      </rPr>
      <t>（</t>
    </r>
    <r>
      <rPr>
        <sz val="10"/>
        <rFont val="Times New Roman"/>
        <family val="1"/>
      </rPr>
      <t>5</t>
    </r>
    <r>
      <rPr>
        <sz val="10"/>
        <rFont val="宋体"/>
        <family val="3"/>
        <charset val="134"/>
      </rPr>
      <t>）根据客户底稿重新执行与只复核客户底稿</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</si>
  <si>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</si>
  <si>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</si>
  <si>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</si>
  <si>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）服务审计师</t>
    </r>
    <phoneticPr fontId="3" type="noConversion"/>
  </si>
  <si>
    <r>
      <t>4</t>
    </r>
    <r>
      <rPr>
        <b/>
        <sz val="10"/>
        <rFont val="宋体"/>
        <family val="3"/>
        <charset val="134"/>
      </rPr>
      <t>、控制测试方法分配比例：</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</si>
  <si>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</si>
  <si>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</si>
  <si>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rPr>
        <sz val="10"/>
        <rFont val="宋体"/>
        <family val="3"/>
        <charset val="134"/>
      </rPr>
      <t>√</t>
    </r>
    <phoneticPr fontId="2" type="noConversion"/>
  </si>
  <si>
    <r>
      <rPr>
        <sz val="10"/>
        <rFont val="宋体"/>
        <family val="3"/>
        <charset val="134"/>
      </rPr>
      <t>询问</t>
    </r>
    <r>
      <rPr>
        <sz val="10"/>
        <rFont val="Times New Roman"/>
        <family val="1"/>
      </rPr>
      <t>&amp;</t>
    </r>
    <r>
      <rPr>
        <sz val="10"/>
        <rFont val="宋体"/>
        <family val="3"/>
        <charset val="134"/>
      </rPr>
      <t>观察</t>
    </r>
    <phoneticPr fontId="2" type="noConversion"/>
  </si>
  <si>
    <r>
      <rPr>
        <sz val="10"/>
        <rFont val="宋体"/>
        <family val="3"/>
        <charset val="134"/>
      </rPr>
      <t>抽样</t>
    </r>
    <phoneticPr fontId="2" type="noConversion"/>
  </si>
  <si>
    <r>
      <rPr>
        <sz val="10"/>
        <rFont val="宋体"/>
        <family val="3"/>
        <charset val="134"/>
      </rPr>
      <t>重新执行</t>
    </r>
    <phoneticPr fontId="2" type="noConversion"/>
  </si>
  <si>
    <r>
      <t>B23-1-1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</si>
  <si>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B23-1-2</t>
    </r>
    <r>
      <rPr>
        <u/>
        <sz val="10"/>
        <color indexed="12"/>
        <rFont val="宋体"/>
        <family val="3"/>
        <charset val="134"/>
      </rPr>
      <t>穿行测试</t>
    </r>
    <phoneticPr fontId="3" type="noConversion"/>
  </si>
  <si>
    <r>
      <t>B23-1-3</t>
    </r>
    <r>
      <rPr>
        <u/>
        <sz val="10"/>
        <color indexed="12"/>
        <rFont val="宋体"/>
        <family val="3"/>
        <charset val="134"/>
      </rPr>
      <t>关键控制点选择表（财报审计适用）</t>
    </r>
    <phoneticPr fontId="3" type="noConversion"/>
  </si>
  <si>
    <t>B23-1-4关键控制点选择表（整合审计适用）</t>
    <phoneticPr fontId="3"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</si>
  <si>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</si>
  <si>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t>了解收入循环流程和内部控制记录表</t>
    <phoneticPr fontId="3" type="noConversion"/>
  </si>
  <si>
    <t>穿行测试（收入循环）</t>
    <phoneticPr fontId="3" type="noConversion"/>
  </si>
  <si>
    <t>关键控制点选择（收入循环）</t>
    <phoneticPr fontId="3" type="noConversion"/>
  </si>
  <si>
    <t>关键控制点选择（收入循环）</t>
    <phoneticPr fontId="3" type="noConversion"/>
  </si>
  <si>
    <r>
      <t>B23-1</t>
    </r>
    <r>
      <rPr>
        <u/>
        <sz val="10"/>
        <color indexed="12"/>
        <rFont val="宋体"/>
        <family val="3"/>
        <charset val="134"/>
      </rPr>
      <t>了解收入循环流程和内部控制记录表</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</si>
</sst>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15">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sz val="10"/>
      <color rgb="FFFF0000"/>
      <name val="Garamond"/>
      <family val="1"/>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sz val="10"/>
      <color rgb="FFFF0000"/>
      <name val="宋体"/>
      <family val="2"/>
      <charset val="134"/>
    </font>
    <font>
      <b/>
      <sz val="10"/>
      <color rgb="FFFF0000"/>
      <name val="宋体"/>
      <family val="3"/>
      <charset val="134"/>
    </font>
    <font>
      <b/>
      <sz val="10"/>
      <color rgb="FFFF0000"/>
      <name val="Arial Narrow"/>
      <family val="2"/>
    </font>
    <font>
      <b/>
      <sz val="12"/>
      <name val="Times New Roman"/>
      <family val="1"/>
    </font>
    <font>
      <b/>
      <sz val="16"/>
      <name val="Times New Roman"/>
      <family val="1"/>
    </font>
    <font>
      <b/>
      <sz val="10"/>
      <color rgb="FF0000FF"/>
      <name val="Times New Roman"/>
      <family val="1"/>
    </font>
    <font>
      <sz val="10"/>
      <color rgb="FFFF0000"/>
      <name val="Times New Roman"/>
      <family val="1"/>
    </font>
    <font>
      <sz val="9"/>
      <color rgb="FF000000"/>
      <name val="Times New Roman"/>
      <family val="1"/>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209">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0"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9"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0" xfId="186" applyFont="1" applyBorder="1" applyAlignment="1">
      <alignment horizontal="center" wrapText="1"/>
      <protection locked="0"/>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93" fillId="30" borderId="24" xfId="189" applyFont="1" applyFill="1" applyBorder="1" applyAlignment="1">
      <alignment vertical="center"/>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7"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6"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9" xfId="188" applyBorder="1" applyAlignment="1">
      <protection locked="0"/>
    </xf>
    <xf numFmtId="0" fontId="99" fillId="35" borderId="32" xfId="154" applyFont="1" applyFill="1" applyBorder="1" applyAlignment="1">
      <alignment vertical="center" wrapText="1"/>
      <protection locked="0"/>
    </xf>
    <xf numFmtId="0" fontId="99" fillId="35" borderId="32" xfId="154" applyFont="1" applyFill="1" applyBorder="1" applyAlignment="1">
      <alignment horizontal="center" vertical="center" wrapText="1"/>
      <protection locked="0"/>
    </xf>
    <xf numFmtId="0" fontId="69" fillId="0" borderId="0" xfId="0" applyFont="1" applyAlignment="1" applyProtection="1">
      <alignment vertical="center"/>
      <protection locked="0"/>
    </xf>
    <xf numFmtId="0" fontId="105" fillId="34" borderId="32" xfId="154" applyFont="1" applyFill="1" applyBorder="1" applyAlignment="1">
      <alignment horizontal="center" vertical="center" wrapText="1"/>
      <protection locked="0"/>
    </xf>
    <xf numFmtId="0" fontId="93" fillId="0" borderId="24" xfId="0" applyFont="1" applyBorder="1">
      <alignment vertical="center"/>
    </xf>
    <xf numFmtId="0" fontId="93" fillId="0" borderId="24" xfId="0" applyFont="1" applyBorder="1" applyAlignment="1">
      <alignment vertical="center"/>
    </xf>
    <xf numFmtId="0" fontId="93" fillId="0" borderId="24" xfId="154" applyFont="1" applyBorder="1">
      <alignment vertical="center"/>
      <protection locked="0"/>
    </xf>
    <xf numFmtId="0" fontId="93" fillId="0" borderId="24" xfId="154" applyFont="1" applyFill="1" applyBorder="1">
      <alignment vertical="center"/>
      <protection locked="0"/>
    </xf>
    <xf numFmtId="0" fontId="70" fillId="0" borderId="25" xfId="0" applyFont="1" applyBorder="1" applyAlignment="1">
      <alignment horizontal="center" vertical="center"/>
    </xf>
    <xf numFmtId="0" fontId="93" fillId="0" borderId="0" xfId="187" applyFont="1" applyBorder="1" applyAlignment="1">
      <alignment horizontal="left" vertical="center"/>
    </xf>
    <xf numFmtId="0" fontId="4" fillId="0" borderId="0" xfId="0" applyFont="1" applyAlignment="1" applyProtection="1">
      <alignment vertical="center" wrapText="1"/>
      <protection locked="0"/>
    </xf>
    <xf numFmtId="0" fontId="55" fillId="0" borderId="24" xfId="154" applyFont="1" applyFill="1" applyBorder="1" applyAlignment="1">
      <alignment vertical="center"/>
      <protection locked="0"/>
    </xf>
    <xf numFmtId="0" fontId="55" fillId="0" borderId="24" xfId="154" applyFont="1" applyBorder="1" applyAlignment="1">
      <alignment vertical="center"/>
      <protection locked="0"/>
    </xf>
    <xf numFmtId="0" fontId="54" fillId="0" borderId="0" xfId="154" applyFont="1" applyAlignment="1">
      <alignment vertical="center"/>
      <protection locked="0"/>
    </xf>
    <xf numFmtId="0" fontId="4" fillId="0" borderId="0" xfId="154" applyFont="1" applyAlignment="1">
      <alignment vertical="center"/>
      <protection locked="0"/>
    </xf>
    <xf numFmtId="0" fontId="54" fillId="0" borderId="0" xfId="154" applyFont="1" applyAlignment="1">
      <alignment horizontal="center" vertical="center"/>
      <protection locked="0"/>
    </xf>
    <xf numFmtId="0" fontId="112" fillId="0" borderId="0" xfId="189" applyFont="1" applyAlignment="1" applyProtection="1">
      <alignment vertical="center"/>
      <protection locked="0"/>
    </xf>
    <xf numFmtId="0" fontId="74" fillId="0" borderId="24" xfId="154" applyFont="1" applyFill="1" applyBorder="1" applyAlignment="1" applyProtection="1">
      <alignment horizontal="center" vertical="center" wrapText="1"/>
      <protection locked="0"/>
    </xf>
    <xf numFmtId="0" fontId="54" fillId="0" borderId="0" xfId="154" applyFont="1" applyFill="1" applyAlignment="1">
      <alignment vertical="center"/>
      <protection locked="0"/>
    </xf>
    <xf numFmtId="0" fontId="74" fillId="30" borderId="24" xfId="189" applyFont="1" applyFill="1" applyBorder="1" applyAlignment="1">
      <alignment vertical="center"/>
    </xf>
    <xf numFmtId="0" fontId="4" fillId="30" borderId="24" xfId="189" applyFont="1" applyFill="1" applyBorder="1" applyAlignment="1">
      <alignment vertical="center"/>
    </xf>
    <xf numFmtId="0" fontId="4" fillId="0" borderId="24" xfId="154" applyFont="1" applyFill="1" applyBorder="1" applyAlignment="1">
      <alignment vertical="center"/>
      <protection locked="0"/>
    </xf>
    <xf numFmtId="207" fontId="4" fillId="0" borderId="24" xfId="185" applyNumberFormat="1" applyFont="1" applyFill="1" applyBorder="1" applyAlignment="1" applyProtection="1">
      <alignment horizontal="center" vertical="center"/>
      <protection locked="0"/>
    </xf>
    <xf numFmtId="0" fontId="113" fillId="30" borderId="24" xfId="189" applyFont="1" applyFill="1" applyBorder="1" applyAlignment="1">
      <alignment vertical="center"/>
    </xf>
    <xf numFmtId="207" fontId="4" fillId="0" borderId="24" xfId="185" applyNumberFormat="1" applyFont="1" applyFill="1" applyBorder="1" applyAlignment="1" applyProtection="1">
      <alignment horizontal="center" vertical="center" shrinkToFit="1"/>
      <protection locked="0"/>
    </xf>
    <xf numFmtId="0" fontId="4" fillId="0" borderId="24" xfId="154" applyFont="1" applyBorder="1" applyAlignment="1">
      <alignment vertical="center"/>
      <protection locked="0"/>
    </xf>
    <xf numFmtId="0" fontId="74" fillId="33" borderId="24" xfId="189" applyFont="1" applyFill="1" applyBorder="1" applyAlignment="1">
      <alignment vertical="center"/>
    </xf>
    <xf numFmtId="0" fontId="4" fillId="33" borderId="24" xfId="193" applyFont="1" applyFill="1" applyBorder="1" applyAlignment="1">
      <alignment vertical="center"/>
    </xf>
    <xf numFmtId="43" fontId="74" fillId="33" borderId="24" xfId="192" applyFont="1" applyFill="1" applyBorder="1" applyAlignment="1" applyProtection="1">
      <alignment horizontal="center" vertical="center"/>
    </xf>
    <xf numFmtId="0" fontId="4" fillId="33" borderId="24" xfId="154" applyFont="1" applyFill="1" applyBorder="1" applyAlignment="1">
      <alignment vertical="center"/>
      <protection locked="0"/>
    </xf>
    <xf numFmtId="207" fontId="74" fillId="33" borderId="24" xfId="185" applyNumberFormat="1" applyFont="1" applyFill="1" applyBorder="1" applyAlignment="1" applyProtection="1">
      <alignment horizontal="center" vertical="center" shrinkToFit="1"/>
      <protection locked="0"/>
    </xf>
    <xf numFmtId="207" fontId="74" fillId="33" borderId="24" xfId="185" applyNumberFormat="1" applyFont="1" applyFill="1" applyBorder="1" applyAlignment="1" applyProtection="1">
      <alignment vertical="center" shrinkToFit="1"/>
      <protection locked="0"/>
    </xf>
    <xf numFmtId="207" fontId="4" fillId="31" borderId="24" xfId="185" applyNumberFormat="1" applyFont="1" applyFill="1" applyBorder="1" applyAlignment="1">
      <alignment horizontal="center" vertical="center" shrinkToFit="1"/>
    </xf>
    <xf numFmtId="9" fontId="4" fillId="31" borderId="24" xfId="152" applyFont="1" applyFill="1" applyBorder="1" applyAlignment="1">
      <alignment horizontal="center" vertical="center"/>
    </xf>
    <xf numFmtId="43" fontId="4" fillId="32" borderId="24" xfId="192" applyFont="1" applyFill="1" applyBorder="1" applyAlignment="1">
      <alignment horizontal="center" vertical="center" shrinkToFit="1"/>
    </xf>
    <xf numFmtId="0" fontId="74" fillId="32" borderId="24" xfId="155" applyFont="1" applyFill="1" applyBorder="1" applyAlignment="1" applyProtection="1">
      <alignment horizontal="center" vertical="center"/>
    </xf>
    <xf numFmtId="0" fontId="74" fillId="0" borderId="0" xfId="154" applyFont="1" applyAlignment="1">
      <alignment vertical="center"/>
      <protection locked="0"/>
    </xf>
    <xf numFmtId="0" fontId="4" fillId="0" borderId="0" xfId="0" applyFont="1" applyFill="1" applyAlignment="1" applyProtection="1">
      <alignment vertical="center"/>
      <protection locked="0"/>
    </xf>
    <xf numFmtId="0" fontId="74" fillId="0" borderId="0" xfId="0" applyFont="1" applyAlignment="1" applyProtection="1">
      <alignment vertical="center"/>
      <protection locked="0"/>
    </xf>
    <xf numFmtId="0" fontId="4" fillId="0" borderId="0" xfId="190" applyFont="1" applyAlignment="1">
      <alignment vertical="center"/>
      <protection locked="0"/>
    </xf>
    <xf numFmtId="0" fontId="74" fillId="0" borderId="24" xfId="190" applyFont="1" applyBorder="1" applyAlignment="1">
      <alignment horizontal="center" vertical="center"/>
      <protection locked="0"/>
    </xf>
    <xf numFmtId="0" fontId="4" fillId="0" borderId="24" xfId="190" applyFont="1" applyBorder="1" applyAlignment="1">
      <alignment vertical="center"/>
      <protection locked="0"/>
    </xf>
    <xf numFmtId="0" fontId="45" fillId="34" borderId="33" xfId="154" applyFont="1" applyFill="1" applyBorder="1" applyAlignment="1">
      <alignment vertical="center" wrapText="1"/>
      <protection locked="0"/>
    </xf>
    <xf numFmtId="0" fontId="4" fillId="0" borderId="0" xfId="154" applyFont="1" applyAlignment="1">
      <alignment horizontal="center" vertical="center"/>
      <protection locked="0"/>
    </xf>
    <xf numFmtId="0" fontId="114" fillId="35" borderId="32" xfId="154" applyFont="1" applyFill="1" applyBorder="1" applyAlignment="1">
      <alignment vertical="center" wrapText="1"/>
      <protection locked="0"/>
    </xf>
    <xf numFmtId="0" fontId="77" fillId="0" borderId="30" xfId="188" applyBorder="1" applyAlignment="1">
      <protection locked="0"/>
    </xf>
    <xf numFmtId="0" fontId="96" fillId="0" borderId="25" xfId="154" applyFont="1" applyBorder="1" applyAlignment="1">
      <alignment horizontal="center" vertical="center" wrapText="1"/>
      <protection locked="0"/>
    </xf>
    <xf numFmtId="0" fontId="96" fillId="0" borderId="26"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31" xfId="1" applyFont="1" applyBorder="1" applyAlignment="1">
      <alignment horizontal="left" vertical="center" wrapTex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5"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68" fillId="0" borderId="1" xfId="1" applyFont="1" applyBorder="1" applyAlignment="1">
      <alignment horizontal="center"/>
      <protection locked="0"/>
    </xf>
    <xf numFmtId="176" fontId="68" fillId="0" borderId="2" xfId="1" applyFont="1" applyBorder="1" applyAlignment="1">
      <alignment horizontal="center"/>
      <protection locked="0"/>
    </xf>
    <xf numFmtId="176" fontId="68" fillId="0" borderId="3" xfId="1" applyFont="1" applyBorder="1" applyAlignment="1">
      <alignment horizontal="center"/>
      <protection locked="0"/>
    </xf>
    <xf numFmtId="176" fontId="68" fillId="0" borderId="5" xfId="1" applyFont="1" applyBorder="1" applyAlignment="1">
      <alignment horizontal="center"/>
      <protection locked="0"/>
    </xf>
    <xf numFmtId="176" fontId="68" fillId="0" borderId="6" xfId="1" applyFont="1" applyBorder="1" applyAlignment="1">
      <alignment horizontal="center"/>
      <protection locked="0"/>
    </xf>
    <xf numFmtId="176" fontId="68" fillId="0" borderId="7" xfId="1" applyFont="1" applyBorder="1" applyAlignment="1">
      <alignment horizontal="center"/>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45" fillId="34" borderId="32" xfId="154" applyFont="1" applyFill="1" applyBorder="1" applyAlignment="1">
      <alignment horizontal="center" vertical="center" wrapText="1"/>
      <protection locked="0"/>
    </xf>
    <xf numFmtId="0" fontId="114" fillId="35" borderId="32" xfId="154" applyFont="1" applyFill="1" applyBorder="1" applyAlignment="1">
      <alignment horizontal="center" vertical="center" wrapText="1"/>
      <protection locked="0"/>
    </xf>
    <xf numFmtId="0" fontId="4" fillId="0" borderId="0" xfId="0" applyFont="1" applyAlignment="1" applyProtection="1">
      <alignment vertical="center" wrapText="1"/>
      <protection locked="0"/>
    </xf>
    <xf numFmtId="0" fontId="4" fillId="0" borderId="0" xfId="190" applyFont="1" applyAlignment="1">
      <alignment horizontal="left" vertical="center" wrapText="1"/>
      <protection locked="0"/>
    </xf>
    <xf numFmtId="0" fontId="110" fillId="0" borderId="0" xfId="154" applyFont="1" applyAlignment="1">
      <alignment horizontal="center" vertical="center"/>
      <protection locked="0"/>
    </xf>
    <xf numFmtId="0" fontId="111" fillId="0" borderId="0" xfId="154" applyFont="1" applyAlignment="1">
      <alignment horizontal="center" vertical="center"/>
      <protection locked="0"/>
    </xf>
    <xf numFmtId="0" fontId="74" fillId="0" borderId="24" xfId="154" applyFont="1" applyFill="1" applyBorder="1" applyAlignment="1" applyProtection="1">
      <alignment horizontal="center" vertical="center" wrapText="1"/>
      <protection locked="0"/>
    </xf>
    <xf numFmtId="0" fontId="59" fillId="0" borderId="24" xfId="154" applyFont="1" applyFill="1" applyBorder="1" applyAlignment="1" applyProtection="1">
      <alignment horizontal="center" vertical="center" wrapText="1"/>
      <protection locked="0"/>
    </xf>
    <xf numFmtId="0" fontId="99" fillId="35" borderId="32" xfId="154" applyFont="1" applyFill="1" applyBorder="1" applyAlignment="1">
      <alignment horizontal="center" vertical="center" wrapText="1"/>
      <protection locked="0"/>
    </xf>
    <xf numFmtId="0" fontId="101" fillId="35" borderId="32" xfId="154" applyFont="1" applyFill="1" applyBorder="1" applyAlignment="1">
      <alignment horizontal="left"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xf numFmtId="0" fontId="105" fillId="34" borderId="32" xfId="154" applyFont="1" applyFill="1" applyBorder="1" applyAlignment="1">
      <alignment horizontal="center"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60</xdr:row>
          <xdr:rowOff>0</xdr:rowOff>
        </xdr:from>
        <xdr:to>
          <xdr:col>1</xdr:col>
          <xdr:colOff>76200</xdr:colOff>
          <xdr:row>64</xdr:row>
          <xdr:rowOff>38100</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PowerPoint_Presentation1.pptx"/></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C11" sqref="C11"/>
    </sheetView>
  </sheetViews>
  <sheetFormatPr defaultRowHeight="15.75"/>
  <cols>
    <col min="1" max="1" width="73.25" style="45" customWidth="1"/>
    <col min="2" max="2" width="5.375" style="45" customWidth="1"/>
    <col min="3" max="3" width="36.75" style="45" customWidth="1"/>
    <col min="4" max="16384" width="9" style="45"/>
  </cols>
  <sheetData>
    <row r="1" spans="1:8" s="41" customFormat="1" ht="20.100000000000001" customHeight="1">
      <c r="A1" s="39" t="s">
        <v>114</v>
      </c>
      <c r="B1" s="40" t="s">
        <v>115</v>
      </c>
      <c r="C1" s="40" t="s">
        <v>116</v>
      </c>
    </row>
    <row r="2" spans="1:8" ht="20.100000000000001" customHeight="1">
      <c r="A2" s="42" t="s">
        <v>117</v>
      </c>
      <c r="B2" s="43">
        <v>1</v>
      </c>
      <c r="C2" s="114" t="s">
        <v>362</v>
      </c>
      <c r="D2" s="44"/>
      <c r="E2" s="44"/>
      <c r="F2" s="44"/>
      <c r="G2" s="44"/>
      <c r="H2" s="44"/>
    </row>
    <row r="3" spans="1:8" ht="20.100000000000001" customHeight="1">
      <c r="A3" s="42" t="s">
        <v>118</v>
      </c>
      <c r="B3" s="43">
        <v>2</v>
      </c>
      <c r="C3" s="114" t="s">
        <v>353</v>
      </c>
      <c r="D3" s="44"/>
      <c r="E3" s="44"/>
      <c r="F3" s="44"/>
      <c r="G3" s="44"/>
      <c r="H3" s="46"/>
    </row>
    <row r="4" spans="1:8" ht="20.100000000000001" customHeight="1">
      <c r="A4" s="42" t="s">
        <v>119</v>
      </c>
      <c r="B4" s="43">
        <v>3</v>
      </c>
      <c r="C4" s="114" t="s">
        <v>354</v>
      </c>
      <c r="E4" s="47"/>
      <c r="F4" s="47"/>
      <c r="G4" s="47"/>
      <c r="H4" s="47"/>
    </row>
    <row r="5" spans="1:8" ht="20.100000000000001" customHeight="1">
      <c r="A5" s="42" t="s">
        <v>120</v>
      </c>
      <c r="B5" s="43">
        <v>4</v>
      </c>
      <c r="C5" s="114" t="s">
        <v>355</v>
      </c>
    </row>
    <row r="6" spans="1:8" ht="20.100000000000001" customHeight="1">
      <c r="B6" s="51">
        <v>5</v>
      </c>
      <c r="C6" s="160" t="s">
        <v>356</v>
      </c>
    </row>
    <row r="7" spans="1:8" ht="20.100000000000001" customHeight="1"/>
    <row r="8" spans="1:8" ht="20.100000000000001" customHeight="1">
      <c r="A8" s="48" t="s">
        <v>121</v>
      </c>
    </row>
    <row r="9" spans="1:8" ht="20.100000000000001" customHeight="1">
      <c r="A9" s="49" t="s">
        <v>122</v>
      </c>
    </row>
    <row r="10" spans="1:8" ht="45.75" customHeight="1">
      <c r="A10" s="50" t="s">
        <v>123</v>
      </c>
    </row>
    <row r="11" spans="1:8" ht="22.5" customHeight="1">
      <c r="A11" s="49" t="s">
        <v>124</v>
      </c>
    </row>
    <row r="12" spans="1:8" ht="36.75" customHeight="1">
      <c r="A12" s="50" t="s">
        <v>125</v>
      </c>
    </row>
    <row r="13" spans="1:8" ht="21.75" customHeight="1">
      <c r="A13" s="50" t="s">
        <v>126</v>
      </c>
    </row>
    <row r="14" spans="1:8">
      <c r="A14" s="50"/>
    </row>
  </sheetData>
  <phoneticPr fontId="2" type="noConversion"/>
  <hyperlinks>
    <hyperlink ref="C2" location="'B23-1了解收入循环流程和内部控制记录表'!A1" display="B23-1了解收入循环流程和内部控制记录表"/>
    <hyperlink ref="C3" location="'B23-1-1链接-企业对财务报表风险的应对'!A1" display="B23-1-1链接-企业对财务报表风险的应对"/>
    <hyperlink ref="C4" location="'B23-1-2穿行测试'!A1" display="B23-1-2穿行测试"/>
    <hyperlink ref="C5" location="'B23-1-3关键控制点选择表（财报审计适用）'!A1" display="B23-1-3关键控制点选择表（财报审计适用）"/>
    <hyperlink ref="C6" location="'B23-1-4关键控制点选择表（整合审计适用）'!A1" display="B23-1-4关键控制点选择表（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E75"/>
  <sheetViews>
    <sheetView view="pageBreakPreview" topLeftCell="A52" zoomScale="120" zoomScaleNormal="145" zoomScaleSheetLayoutView="120" workbookViewId="0">
      <selection activeCell="D8" sqref="D8"/>
    </sheetView>
  </sheetViews>
  <sheetFormatPr defaultRowHeight="15.75"/>
  <cols>
    <col min="1" max="1" width="11" style="15" customWidth="1"/>
    <col min="2" max="2" width="26.25" style="1" customWidth="1"/>
    <col min="3" max="3" width="15.125" style="1" customWidth="1"/>
    <col min="4" max="4" width="23.375" style="1" customWidth="1"/>
    <col min="5" max="5" width="15.5" style="1" customWidth="1"/>
    <col min="6" max="16384" width="9" style="1"/>
  </cols>
  <sheetData>
    <row r="1" spans="1:5">
      <c r="A1" s="165" t="s">
        <v>5</v>
      </c>
      <c r="B1" s="165"/>
      <c r="C1" s="165"/>
      <c r="D1" s="165"/>
      <c r="E1" s="165"/>
    </row>
    <row r="2" spans="1:5" ht="33" customHeight="1">
      <c r="A2" s="166" t="s">
        <v>358</v>
      </c>
      <c r="B2" s="167"/>
      <c r="C2" s="167"/>
      <c r="D2" s="167"/>
      <c r="E2" s="167"/>
    </row>
    <row r="3" spans="1:5" ht="20.25" customHeight="1">
      <c r="A3" s="2" t="str">
        <f>'表头（请先填写）'!A2</f>
        <v>客户名称：</v>
      </c>
      <c r="C3" s="3" t="str">
        <f>'表头（请先填写）'!A4</f>
        <v>编制人：</v>
      </c>
      <c r="D3" s="4" t="str">
        <f>'表头（请先填写）'!A5</f>
        <v>日 期：</v>
      </c>
      <c r="E3" s="4" t="s">
        <v>1</v>
      </c>
    </row>
    <row r="4" spans="1:5" ht="20.25" customHeight="1">
      <c r="A4" s="2" t="str">
        <f>'表头（请先填写）'!A3</f>
        <v>会计期间：2013年度</v>
      </c>
      <c r="C4" s="3" t="s">
        <v>6</v>
      </c>
      <c r="D4" s="4" t="s">
        <v>0</v>
      </c>
      <c r="E4" s="4" t="s">
        <v>7</v>
      </c>
    </row>
    <row r="5" spans="1:5" ht="4.5" customHeight="1">
      <c r="A5" s="2"/>
      <c r="C5" s="3"/>
      <c r="D5" s="4"/>
      <c r="E5" s="4"/>
    </row>
    <row r="6" spans="1:5" ht="20.25" customHeight="1">
      <c r="A6" s="9" t="s">
        <v>8</v>
      </c>
      <c r="B6" s="3"/>
      <c r="D6" s="4"/>
      <c r="E6" s="4"/>
    </row>
    <row r="7" spans="1:5" ht="20.25" customHeight="1">
      <c r="A7" s="19" t="s">
        <v>9</v>
      </c>
      <c r="B7" s="20"/>
      <c r="D7" s="4"/>
      <c r="E7" s="4"/>
    </row>
    <row r="8" spans="1:5" ht="20.25" customHeight="1">
      <c r="A8" s="124" t="s">
        <v>254</v>
      </c>
      <c r="D8" s="4"/>
      <c r="E8" s="4"/>
    </row>
    <row r="9" spans="1:5" ht="20.25" customHeight="1">
      <c r="A9" s="19" t="s">
        <v>10</v>
      </c>
      <c r="B9" s="20"/>
      <c r="C9" s="20"/>
      <c r="D9" s="20"/>
      <c r="E9" s="4"/>
    </row>
    <row r="10" spans="1:5" ht="27" customHeight="1">
      <c r="A10" s="74" t="s">
        <v>11</v>
      </c>
      <c r="B10" s="21" t="s">
        <v>12</v>
      </c>
      <c r="C10" s="22" t="s">
        <v>13</v>
      </c>
      <c r="D10" s="168" t="s">
        <v>14</v>
      </c>
      <c r="E10" s="169"/>
    </row>
    <row r="11" spans="1:5" s="18" customFormat="1" ht="30" customHeight="1">
      <c r="A11" s="73">
        <v>1</v>
      </c>
      <c r="B11" s="23" t="s">
        <v>160</v>
      </c>
      <c r="C11" s="111" t="s">
        <v>212</v>
      </c>
      <c r="D11" s="161" t="s">
        <v>4</v>
      </c>
      <c r="E11" s="162"/>
    </row>
    <row r="12" spans="1:5" s="18" customFormat="1" ht="27" customHeight="1">
      <c r="A12" s="73">
        <v>2</v>
      </c>
      <c r="B12" s="23" t="s">
        <v>155</v>
      </c>
      <c r="C12" s="111" t="s">
        <v>213</v>
      </c>
      <c r="D12" s="161" t="s">
        <v>4</v>
      </c>
      <c r="E12" s="162"/>
    </row>
    <row r="13" spans="1:5" s="18" customFormat="1" ht="27" customHeight="1">
      <c r="A13" s="73">
        <v>3</v>
      </c>
      <c r="B13" s="23" t="s">
        <v>156</v>
      </c>
      <c r="C13" s="111" t="s">
        <v>213</v>
      </c>
      <c r="D13" s="161" t="s">
        <v>4</v>
      </c>
      <c r="E13" s="162"/>
    </row>
    <row r="14" spans="1:5" s="18" customFormat="1" ht="27" customHeight="1">
      <c r="A14" s="73">
        <v>4</v>
      </c>
      <c r="B14" s="23" t="s">
        <v>157</v>
      </c>
      <c r="C14" s="111" t="s">
        <v>213</v>
      </c>
      <c r="D14" s="161" t="s">
        <v>4</v>
      </c>
      <c r="E14" s="162"/>
    </row>
    <row r="15" spans="1:5" s="18" customFormat="1" ht="27" customHeight="1">
      <c r="A15" s="73">
        <v>5</v>
      </c>
      <c r="B15" s="23" t="s">
        <v>158</v>
      </c>
      <c r="C15" s="111" t="s">
        <v>213</v>
      </c>
      <c r="D15" s="161" t="s">
        <v>4</v>
      </c>
      <c r="E15" s="162"/>
    </row>
    <row r="16" spans="1:5" s="18" customFormat="1" ht="33" customHeight="1">
      <c r="A16" s="73">
        <v>6</v>
      </c>
      <c r="B16" s="23" t="s">
        <v>159</v>
      </c>
      <c r="C16" s="111" t="s">
        <v>213</v>
      </c>
      <c r="D16" s="161" t="s">
        <v>4</v>
      </c>
      <c r="E16" s="162"/>
    </row>
    <row r="17" spans="1:5" s="18" customFormat="1" ht="27" customHeight="1">
      <c r="A17" s="23"/>
      <c r="B17" s="23" t="s">
        <v>15</v>
      </c>
      <c r="C17" s="24"/>
      <c r="D17" s="163"/>
      <c r="E17" s="164"/>
    </row>
    <row r="18" spans="1:5" ht="20.25" customHeight="1">
      <c r="A18" s="2"/>
      <c r="B18" s="3"/>
      <c r="D18" s="4"/>
      <c r="E18" s="4"/>
    </row>
    <row r="19" spans="1:5">
      <c r="A19" s="75" t="s">
        <v>161</v>
      </c>
    </row>
    <row r="20" spans="1:5">
      <c r="A20" s="112" t="s">
        <v>214</v>
      </c>
      <c r="B20" s="5" t="s">
        <v>16</v>
      </c>
      <c r="C20" s="5" t="s">
        <v>2</v>
      </c>
      <c r="D20" s="5" t="s">
        <v>17</v>
      </c>
      <c r="E20" s="5" t="s">
        <v>18</v>
      </c>
    </row>
    <row r="21" spans="1:5">
      <c r="A21" s="6" t="s">
        <v>19</v>
      </c>
      <c r="B21" s="7"/>
      <c r="C21" s="7"/>
      <c r="D21" s="7"/>
      <c r="E21" s="7"/>
    </row>
    <row r="22" spans="1:5">
      <c r="A22" s="6"/>
      <c r="B22" s="7"/>
      <c r="C22" s="7"/>
      <c r="D22" s="7"/>
      <c r="E22" s="7"/>
    </row>
    <row r="23" spans="1:5">
      <c r="A23" s="6"/>
      <c r="B23" s="7"/>
      <c r="C23" s="7"/>
      <c r="D23" s="7"/>
      <c r="E23" s="7"/>
    </row>
    <row r="24" spans="1:5">
      <c r="A24" s="6"/>
      <c r="B24" s="7"/>
      <c r="C24" s="7"/>
      <c r="D24" s="7"/>
      <c r="E24" s="7"/>
    </row>
    <row r="25" spans="1:5">
      <c r="A25" s="6" t="s">
        <v>3</v>
      </c>
      <c r="B25" s="7"/>
      <c r="C25" s="7"/>
      <c r="D25" s="7"/>
      <c r="E25" s="7"/>
    </row>
    <row r="26" spans="1:5">
      <c r="A26" s="6"/>
      <c r="B26" s="7"/>
      <c r="C26" s="7"/>
      <c r="D26" s="7"/>
      <c r="E26" s="7"/>
    </row>
    <row r="27" spans="1:5">
      <c r="A27" s="6"/>
      <c r="B27" s="7"/>
      <c r="C27" s="7"/>
      <c r="D27" s="7"/>
      <c r="E27" s="7"/>
    </row>
    <row r="28" spans="1:5">
      <c r="A28" s="6"/>
      <c r="B28" s="7"/>
      <c r="C28" s="7"/>
      <c r="D28" s="7"/>
      <c r="E28" s="7"/>
    </row>
    <row r="29" spans="1:5">
      <c r="A29" s="6" t="s">
        <v>20</v>
      </c>
      <c r="B29" s="7"/>
      <c r="C29" s="7"/>
      <c r="D29" s="7"/>
      <c r="E29" s="7"/>
    </row>
    <row r="30" spans="1:5">
      <c r="A30" s="6"/>
      <c r="B30" s="7"/>
      <c r="C30" s="7"/>
      <c r="D30" s="7"/>
      <c r="E30" s="7"/>
    </row>
    <row r="31" spans="1:5">
      <c r="A31" s="6"/>
      <c r="B31" s="7"/>
      <c r="C31" s="7"/>
      <c r="D31" s="7"/>
      <c r="E31" s="7"/>
    </row>
    <row r="32" spans="1:5">
      <c r="A32" s="6"/>
      <c r="B32" s="7"/>
      <c r="C32" s="7"/>
      <c r="D32" s="7"/>
      <c r="E32" s="7"/>
    </row>
    <row r="33" spans="1:5">
      <c r="A33" s="6" t="s">
        <v>21</v>
      </c>
      <c r="B33" s="7"/>
      <c r="C33" s="7"/>
      <c r="D33" s="7"/>
      <c r="E33" s="7"/>
    </row>
    <row r="34" spans="1:5">
      <c r="A34" s="6"/>
      <c r="B34" s="7"/>
      <c r="C34" s="7"/>
      <c r="D34" s="7"/>
      <c r="E34" s="7"/>
    </row>
    <row r="35" spans="1:5">
      <c r="A35" s="8"/>
      <c r="B35" s="8"/>
      <c r="C35" s="8"/>
      <c r="D35" s="8"/>
      <c r="E35" s="8"/>
    </row>
    <row r="36" spans="1:5">
      <c r="A36" s="8"/>
      <c r="B36" s="8"/>
      <c r="C36" s="8"/>
      <c r="D36" s="8"/>
      <c r="E36" s="8"/>
    </row>
    <row r="38" spans="1:5" s="10" customFormat="1" ht="25.5" customHeight="1">
      <c r="A38" s="57" t="s">
        <v>234</v>
      </c>
    </row>
    <row r="39" spans="1:5" s="10" customFormat="1" ht="19.5" customHeight="1">
      <c r="A39" s="11" t="s">
        <v>146</v>
      </c>
      <c r="B39" s="12"/>
      <c r="C39" s="12"/>
      <c r="D39" s="12"/>
      <c r="E39" s="12"/>
    </row>
    <row r="40" spans="1:5" s="10" customFormat="1" ht="25.5" customHeight="1">
      <c r="A40" s="170"/>
      <c r="B40" s="171"/>
      <c r="C40" s="171"/>
      <c r="D40" s="171"/>
      <c r="E40" s="172"/>
    </row>
    <row r="41" spans="1:5" s="10" customFormat="1" ht="25.5" customHeight="1">
      <c r="A41" s="173"/>
      <c r="B41" s="174"/>
      <c r="C41" s="174"/>
      <c r="D41" s="174"/>
      <c r="E41" s="175"/>
    </row>
    <row r="42" spans="1:5" s="10" customFormat="1" ht="19.5" customHeight="1">
      <c r="A42" s="16" t="s">
        <v>147</v>
      </c>
      <c r="B42" s="13"/>
      <c r="C42" s="13"/>
      <c r="D42" s="13"/>
      <c r="E42" s="13"/>
    </row>
    <row r="43" spans="1:5" s="10" customFormat="1" ht="25.5" customHeight="1">
      <c r="A43" s="170"/>
      <c r="B43" s="171"/>
      <c r="C43" s="171"/>
      <c r="D43" s="171"/>
      <c r="E43" s="172"/>
    </row>
    <row r="44" spans="1:5" s="10" customFormat="1" ht="30.75" customHeight="1">
      <c r="A44" s="173"/>
      <c r="B44" s="174"/>
      <c r="C44" s="174"/>
      <c r="D44" s="174"/>
      <c r="E44" s="175"/>
    </row>
    <row r="45" spans="1:5" s="10" customFormat="1" ht="18.75" customHeight="1">
      <c r="A45" s="16" t="s">
        <v>162</v>
      </c>
      <c r="B45" s="13"/>
      <c r="C45" s="13"/>
      <c r="D45" s="13"/>
      <c r="E45" s="13"/>
    </row>
    <row r="46" spans="1:5" s="10" customFormat="1" ht="25.5" customHeight="1">
      <c r="A46" s="170"/>
      <c r="B46" s="171"/>
      <c r="C46" s="171"/>
      <c r="D46" s="171"/>
      <c r="E46" s="172"/>
    </row>
    <row r="47" spans="1:5" s="10" customFormat="1" ht="24.75" customHeight="1">
      <c r="A47" s="176"/>
      <c r="B47" s="177"/>
      <c r="C47" s="177"/>
      <c r="D47" s="177"/>
      <c r="E47" s="178"/>
    </row>
    <row r="48" spans="1:5" s="10" customFormat="1" ht="24.75" customHeight="1">
      <c r="A48" s="173"/>
      <c r="B48" s="174"/>
      <c r="C48" s="174"/>
      <c r="D48" s="174"/>
      <c r="E48" s="175"/>
    </row>
    <row r="49" spans="1:5" s="10" customFormat="1" ht="18.75" customHeight="1">
      <c r="A49" s="16" t="s">
        <v>163</v>
      </c>
      <c r="B49" s="13"/>
      <c r="C49" s="13"/>
      <c r="D49" s="13"/>
      <c r="E49" s="13"/>
    </row>
    <row r="50" spans="1:5" s="10" customFormat="1" ht="34.5" customHeight="1">
      <c r="A50" s="179"/>
      <c r="B50" s="180"/>
      <c r="C50" s="180"/>
      <c r="D50" s="180"/>
      <c r="E50" s="181"/>
    </row>
    <row r="51" spans="1:5" s="10" customFormat="1" ht="34.5" customHeight="1">
      <c r="A51" s="182"/>
      <c r="B51" s="183"/>
      <c r="C51" s="183"/>
      <c r="D51" s="183"/>
      <c r="E51" s="184"/>
    </row>
    <row r="52" spans="1:5" s="10" customFormat="1" ht="17.25" customHeight="1">
      <c r="A52" s="16" t="s">
        <v>164</v>
      </c>
      <c r="B52" s="13"/>
      <c r="C52" s="13"/>
      <c r="D52" s="13"/>
      <c r="E52" s="13"/>
    </row>
    <row r="53" spans="1:5" s="10" customFormat="1" ht="25.5" customHeight="1">
      <c r="A53" s="185"/>
      <c r="B53" s="186"/>
      <c r="C53" s="186"/>
      <c r="D53" s="186"/>
      <c r="E53" s="187"/>
    </row>
    <row r="54" spans="1:5" s="10" customFormat="1" ht="25.5" customHeight="1">
      <c r="A54" s="188"/>
      <c r="B54" s="189"/>
      <c r="C54" s="189"/>
      <c r="D54" s="189"/>
      <c r="E54" s="190"/>
    </row>
    <row r="55" spans="1:5" s="10" customFormat="1" ht="19.5" customHeight="1">
      <c r="A55" s="16" t="s">
        <v>165</v>
      </c>
      <c r="B55" s="13"/>
      <c r="C55" s="13"/>
      <c r="D55" s="13"/>
      <c r="E55" s="13"/>
    </row>
    <row r="56" spans="1:5" s="10" customFormat="1" ht="34.5" customHeight="1">
      <c r="A56" s="170"/>
      <c r="B56" s="171"/>
      <c r="C56" s="171"/>
      <c r="D56" s="171"/>
      <c r="E56" s="172"/>
    </row>
    <row r="57" spans="1:5" s="10" customFormat="1" ht="32.25" customHeight="1">
      <c r="A57" s="173"/>
      <c r="B57" s="174"/>
      <c r="C57" s="174"/>
      <c r="D57" s="174"/>
      <c r="E57" s="175"/>
    </row>
    <row r="58" spans="1:5" s="10" customFormat="1" ht="3.75" customHeight="1">
      <c r="A58" s="58"/>
      <c r="B58" s="58"/>
      <c r="C58" s="58"/>
      <c r="D58" s="58"/>
      <c r="E58" s="58"/>
    </row>
    <row r="59" spans="1:5" s="10" customFormat="1" ht="12.75">
      <c r="A59" s="14"/>
    </row>
    <row r="60" spans="1:5" s="10" customFormat="1" ht="12.75">
      <c r="A60" s="14" t="s">
        <v>22</v>
      </c>
    </row>
    <row r="61" spans="1:5" s="10" customFormat="1" ht="12.75">
      <c r="A61" s="14"/>
    </row>
    <row r="62" spans="1:5" s="10" customFormat="1" ht="12.75">
      <c r="A62" s="14"/>
    </row>
    <row r="63" spans="1:5" s="10" customFormat="1" ht="12.75">
      <c r="A63" s="14"/>
    </row>
    <row r="64" spans="1:5" s="10" customFormat="1" ht="12.75">
      <c r="A64" s="14"/>
    </row>
    <row r="65" spans="1:1" s="10" customFormat="1" ht="12.75">
      <c r="A65" s="14"/>
    </row>
    <row r="66" spans="1:1" s="10" customFormat="1" ht="12.75">
      <c r="A66" s="14"/>
    </row>
    <row r="67" spans="1:1" s="10" customFormat="1" ht="12.75">
      <c r="A67" s="14"/>
    </row>
    <row r="68" spans="1:1" s="10" customFormat="1" ht="12.75">
      <c r="A68" s="14"/>
    </row>
    <row r="69" spans="1:1" s="10" customFormat="1" ht="12.75">
      <c r="A69" s="14"/>
    </row>
    <row r="70" spans="1:1" s="10" customFormat="1" ht="12.75">
      <c r="A70" s="14"/>
    </row>
    <row r="71" spans="1:1" s="10" customFormat="1" ht="12.75">
      <c r="A71" s="14"/>
    </row>
    <row r="72" spans="1:1" s="10" customFormat="1" ht="12.75">
      <c r="A72" s="14"/>
    </row>
    <row r="73" spans="1:1" s="10" customFormat="1" ht="12.75">
      <c r="A73" s="14"/>
    </row>
    <row r="74" spans="1:1" s="10" customFormat="1" ht="12.75">
      <c r="A74" s="14"/>
    </row>
    <row r="75" spans="1:1" s="10" customFormat="1" ht="12.75">
      <c r="A75" s="14"/>
    </row>
  </sheetData>
  <mergeCells count="16">
    <mergeCell ref="A40:E41"/>
    <mergeCell ref="A43:E44"/>
    <mergeCell ref="A46:E48"/>
    <mergeCell ref="A50:E51"/>
    <mergeCell ref="A56:E57"/>
    <mergeCell ref="A53:E54"/>
    <mergeCell ref="A1:E1"/>
    <mergeCell ref="A2:E2"/>
    <mergeCell ref="D10:E10"/>
    <mergeCell ref="D11:E11"/>
    <mergeCell ref="D12:E12"/>
    <mergeCell ref="D13:E13"/>
    <mergeCell ref="D14:E14"/>
    <mergeCell ref="D15:E15"/>
    <mergeCell ref="D16:E16"/>
    <mergeCell ref="D17:E17"/>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drawing r:id="rId2"/>
  <legacyDrawing r:id="rId3"/>
  <oleObjects>
    <mc:AlternateContent xmlns:mc="http://schemas.openxmlformats.org/markup-compatibility/2006">
      <mc:Choice Requires="x14">
        <oleObject progId="Presentation" dvAspect="DVASPECT_ICON" shapeId="1025" r:id="rId4">
          <objectPr defaultSize="0" r:id="rId5">
            <anchor moveWithCells="1">
              <from>
                <xdr:col>0</xdr:col>
                <xdr:colOff>0</xdr:colOff>
                <xdr:row>60</xdr:row>
                <xdr:rowOff>0</xdr:rowOff>
              </from>
              <to>
                <xdr:col>1</xdr:col>
                <xdr:colOff>76200</xdr:colOff>
                <xdr:row>64</xdr:row>
                <xdr:rowOff>38100</xdr:rowOff>
              </to>
            </anchor>
          </objectPr>
        </oleObject>
      </mc:Choice>
      <mc:Fallback>
        <oleObject progId="Presentation" dvAspect="DVASPECT_ICON" shapeId="102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6"/>
  <sheetViews>
    <sheetView view="pageBreakPreview" zoomScale="115" zoomScaleNormal="130" zoomScaleSheetLayoutView="115" workbookViewId="0">
      <selection activeCell="B5" sqref="B5"/>
    </sheetView>
  </sheetViews>
  <sheetFormatPr defaultRowHeight="16.5"/>
  <cols>
    <col min="1" max="1" width="25.75" style="25" customWidth="1"/>
    <col min="2" max="2" width="53.25" style="25" customWidth="1"/>
    <col min="3" max="3" width="8.375" style="25" customWidth="1"/>
    <col min="4" max="4" width="14.75" style="25" customWidth="1"/>
    <col min="5" max="5" width="35.25" style="25" customWidth="1"/>
    <col min="6" max="16384" width="9" style="25"/>
  </cols>
  <sheetData>
    <row r="1" spans="1:5" ht="18.75" customHeight="1">
      <c r="A1" s="165" t="s">
        <v>235</v>
      </c>
      <c r="B1" s="165"/>
      <c r="C1" s="165"/>
      <c r="D1" s="165"/>
      <c r="E1" s="165"/>
    </row>
    <row r="2" spans="1:5" ht="33" customHeight="1">
      <c r="A2" s="167" t="s">
        <v>236</v>
      </c>
      <c r="B2" s="167"/>
      <c r="C2" s="167"/>
      <c r="D2" s="167"/>
      <c r="E2" s="167"/>
    </row>
    <row r="3" spans="1:5" ht="24.75" customHeight="1">
      <c r="A3" s="2" t="str">
        <f>'表头（请先填写）'!A2</f>
        <v>客户名称：</v>
      </c>
      <c r="B3" s="4" t="str">
        <f>'表头（请先填写）'!A4</f>
        <v>编制人：</v>
      </c>
      <c r="C3" s="4" t="str">
        <f>'表头（请先填写）'!A5</f>
        <v>日 期：</v>
      </c>
      <c r="D3" s="4"/>
      <c r="E3" s="52" t="s">
        <v>237</v>
      </c>
    </row>
    <row r="4" spans="1:5" ht="24.75" customHeight="1">
      <c r="A4" s="2" t="str">
        <f>'表头（请先填写）'!A3</f>
        <v>会计期间：2013年度</v>
      </c>
      <c r="B4" s="4" t="s">
        <v>238</v>
      </c>
      <c r="C4" s="4" t="s">
        <v>239</v>
      </c>
      <c r="D4" s="4"/>
      <c r="E4" s="4" t="s">
        <v>240</v>
      </c>
    </row>
    <row r="5" spans="1:5" s="27" customFormat="1" ht="18" customHeight="1">
      <c r="A5" s="26" t="s">
        <v>241</v>
      </c>
      <c r="B5" s="26" t="s">
        <v>357</v>
      </c>
      <c r="C5" s="26" t="s">
        <v>242</v>
      </c>
      <c r="D5" s="123" t="s">
        <v>243</v>
      </c>
      <c r="E5" s="26" t="s">
        <v>244</v>
      </c>
    </row>
    <row r="6" spans="1:5" s="28" customFormat="1" ht="27.75" customHeight="1">
      <c r="A6" s="119" t="s">
        <v>232</v>
      </c>
      <c r="B6" s="120" t="s">
        <v>245</v>
      </c>
      <c r="C6" s="35"/>
      <c r="D6" s="35" t="s">
        <v>148</v>
      </c>
      <c r="E6" s="59" t="s">
        <v>255</v>
      </c>
    </row>
    <row r="7" spans="1:5" s="28" customFormat="1" ht="18" customHeight="1">
      <c r="A7" s="119"/>
      <c r="B7" s="120"/>
      <c r="C7" s="35"/>
      <c r="D7" s="35" t="s">
        <v>149</v>
      </c>
      <c r="E7" s="59"/>
    </row>
    <row r="8" spans="1:5" s="28" customFormat="1" ht="18" customHeight="1">
      <c r="A8" s="119" t="s">
        <v>232</v>
      </c>
      <c r="B8" s="119" t="s">
        <v>35</v>
      </c>
      <c r="C8" s="35"/>
      <c r="D8" s="35"/>
      <c r="E8" s="33"/>
    </row>
    <row r="9" spans="1:5" s="28" customFormat="1" ht="18" customHeight="1">
      <c r="A9" s="119" t="s">
        <v>23</v>
      </c>
      <c r="B9" s="119" t="s">
        <v>36</v>
      </c>
      <c r="C9" s="35"/>
      <c r="D9" s="35"/>
      <c r="E9" s="33"/>
    </row>
    <row r="10" spans="1:5" s="28" customFormat="1" ht="18" customHeight="1">
      <c r="A10" s="121" t="s">
        <v>29</v>
      </c>
      <c r="B10" s="121" t="s">
        <v>30</v>
      </c>
      <c r="C10" s="35"/>
      <c r="D10" s="35"/>
      <c r="E10" s="33"/>
    </row>
    <row r="11" spans="1:5" s="28" customFormat="1" ht="18" customHeight="1">
      <c r="A11" s="121" t="s">
        <v>29</v>
      </c>
      <c r="B11" s="122" t="s">
        <v>34</v>
      </c>
      <c r="C11" s="35"/>
      <c r="D11" s="35"/>
      <c r="E11" s="33"/>
    </row>
    <row r="12" spans="1:5" s="28" customFormat="1" ht="18" customHeight="1">
      <c r="A12" s="119" t="s">
        <v>45</v>
      </c>
      <c r="B12" s="119" t="s">
        <v>46</v>
      </c>
      <c r="C12" s="35"/>
      <c r="D12" s="35"/>
      <c r="E12" s="32"/>
    </row>
    <row r="13" spans="1:5" s="28" customFormat="1" ht="18" customHeight="1">
      <c r="A13" s="119" t="s">
        <v>45</v>
      </c>
      <c r="B13" s="119" t="s">
        <v>28</v>
      </c>
      <c r="C13" s="35"/>
      <c r="D13" s="35"/>
      <c r="E13" s="32"/>
    </row>
    <row r="14" spans="1:5" s="28" customFormat="1" ht="18" customHeight="1">
      <c r="A14" s="119" t="s">
        <v>45</v>
      </c>
      <c r="B14" s="119" t="s">
        <v>33</v>
      </c>
      <c r="C14" s="35"/>
      <c r="D14" s="35"/>
      <c r="E14" s="32"/>
    </row>
    <row r="15" spans="1:5">
      <c r="A15" s="119" t="s">
        <v>45</v>
      </c>
      <c r="B15" s="119" t="s">
        <v>246</v>
      </c>
      <c r="C15" s="35"/>
      <c r="D15" s="35"/>
      <c r="E15" s="33"/>
    </row>
    <row r="16" spans="1:5">
      <c r="A16" s="119" t="s">
        <v>45</v>
      </c>
      <c r="B16" s="119" t="s">
        <v>247</v>
      </c>
      <c r="C16" s="35"/>
      <c r="D16" s="35"/>
      <c r="E16" s="32"/>
    </row>
    <row r="17" spans="1:5" s="28" customFormat="1" ht="18" customHeight="1">
      <c r="A17" s="119" t="s">
        <v>45</v>
      </c>
      <c r="B17" s="119" t="s">
        <v>25</v>
      </c>
      <c r="C17" s="35"/>
      <c r="D17" s="35"/>
      <c r="E17" s="33"/>
    </row>
    <row r="18" spans="1:5">
      <c r="A18" s="119" t="s">
        <v>31</v>
      </c>
      <c r="B18" s="119" t="s">
        <v>32</v>
      </c>
      <c r="C18" s="35"/>
      <c r="D18" s="35"/>
      <c r="E18" s="33"/>
    </row>
    <row r="19" spans="1:5">
      <c r="A19" s="119" t="s">
        <v>31</v>
      </c>
      <c r="B19" s="119" t="s">
        <v>38</v>
      </c>
      <c r="C19" s="35"/>
      <c r="D19" s="35"/>
      <c r="E19" s="33"/>
    </row>
    <row r="20" spans="1:5">
      <c r="A20" s="119" t="s">
        <v>31</v>
      </c>
      <c r="B20" s="119" t="s">
        <v>39</v>
      </c>
      <c r="C20" s="35"/>
      <c r="D20" s="35"/>
      <c r="E20" s="33"/>
    </row>
    <row r="21" spans="1:5" s="28" customFormat="1" ht="18" customHeight="1">
      <c r="A21" s="119" t="s">
        <v>31</v>
      </c>
      <c r="B21" s="119" t="s">
        <v>37</v>
      </c>
      <c r="C21" s="35"/>
      <c r="D21" s="35"/>
      <c r="E21" s="33"/>
    </row>
    <row r="22" spans="1:5" s="28" customFormat="1" ht="12.75">
      <c r="A22" s="119" t="s">
        <v>26</v>
      </c>
      <c r="B22" s="119" t="s">
        <v>27</v>
      </c>
      <c r="C22" s="35"/>
      <c r="D22" s="35"/>
      <c r="E22" s="33"/>
    </row>
    <row r="23" spans="1:5" s="28" customFormat="1" ht="18.75" customHeight="1">
      <c r="A23" s="119" t="s">
        <v>26</v>
      </c>
      <c r="B23" s="119" t="s">
        <v>44</v>
      </c>
      <c r="C23" s="35"/>
      <c r="D23" s="35"/>
      <c r="E23" s="33"/>
    </row>
    <row r="24" spans="1:5" s="28" customFormat="1" ht="16.5" customHeight="1">
      <c r="A24" s="119" t="s">
        <v>26</v>
      </c>
      <c r="B24" s="119" t="s">
        <v>40</v>
      </c>
      <c r="C24" s="35"/>
      <c r="D24" s="35"/>
      <c r="E24" s="34"/>
    </row>
    <row r="25" spans="1:5" s="28" customFormat="1" ht="16.5" customHeight="1">
      <c r="A25" s="119" t="s">
        <v>41</v>
      </c>
      <c r="B25" s="119" t="s">
        <v>42</v>
      </c>
      <c r="C25" s="35"/>
      <c r="D25" s="35"/>
      <c r="E25" s="34"/>
    </row>
    <row r="26" spans="1:5" s="28" customFormat="1" ht="16.5" customHeight="1">
      <c r="A26" s="119" t="s">
        <v>41</v>
      </c>
      <c r="B26" s="119" t="s">
        <v>43</v>
      </c>
      <c r="C26" s="35"/>
      <c r="D26" s="35"/>
      <c r="E26" s="33"/>
    </row>
    <row r="27" spans="1:5" s="28" customFormat="1" ht="16.5" customHeight="1">
      <c r="A27" s="55"/>
      <c r="B27" s="55"/>
      <c r="C27" s="56"/>
      <c r="D27" s="56"/>
      <c r="E27" s="55"/>
    </row>
    <row r="28" spans="1:5" s="28" customFormat="1" ht="16.5" customHeight="1">
      <c r="A28" s="55"/>
      <c r="B28" s="55"/>
      <c r="C28" s="56"/>
      <c r="D28" s="56"/>
      <c r="E28" s="55"/>
    </row>
    <row r="29" spans="1:5" s="28" customFormat="1" ht="12.75">
      <c r="A29" s="76" t="s">
        <v>248</v>
      </c>
    </row>
    <row r="30" spans="1:5" s="28" customFormat="1" ht="12.75">
      <c r="A30" s="77" t="s">
        <v>249</v>
      </c>
    </row>
    <row r="31" spans="1:5" s="28" customFormat="1" ht="12.75">
      <c r="A31" s="77" t="s">
        <v>250</v>
      </c>
    </row>
    <row r="32" spans="1:5" s="28" customFormat="1" ht="12.75">
      <c r="A32" s="77" t="s">
        <v>251</v>
      </c>
    </row>
    <row r="33" spans="1:1" s="28" customFormat="1" ht="12.75">
      <c r="A33" s="77" t="s">
        <v>252</v>
      </c>
    </row>
    <row r="34" spans="1:1" s="28" customFormat="1" ht="12.75"/>
    <row r="43" spans="1:1">
      <c r="A43" s="25" t="s">
        <v>253</v>
      </c>
    </row>
    <row r="44" spans="1:1">
      <c r="A44" s="25" t="s">
        <v>86</v>
      </c>
    </row>
    <row r="45" spans="1:1">
      <c r="A45" s="29"/>
    </row>
    <row r="46" spans="1:1">
      <c r="A46" s="29"/>
    </row>
  </sheetData>
  <mergeCells count="2">
    <mergeCell ref="A1:E1"/>
    <mergeCell ref="A2:E2"/>
  </mergeCells>
  <phoneticPr fontId="2" type="noConversion"/>
  <dataValidations count="1">
    <dataValidation type="list" allowBlank="1" showInputMessage="1" showErrorMessage="1" sqref="C6:C28">
      <formula1>$A$43:$A$44</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6"/>
  <sheetViews>
    <sheetView view="pageBreakPreview" zoomScale="115" zoomScaleSheetLayoutView="115" workbookViewId="0">
      <selection activeCell="D41" sqref="D41"/>
    </sheetView>
  </sheetViews>
  <sheetFormatPr defaultRowHeight="15.75"/>
  <cols>
    <col min="1" max="1" width="8.625" style="29" customWidth="1"/>
    <col min="2" max="2" width="4.375" style="29" customWidth="1"/>
    <col min="3" max="3" width="23.875" style="29" customWidth="1"/>
    <col min="4" max="4" width="11.875" style="29" customWidth="1"/>
    <col min="5" max="5" width="13.75" style="29" customWidth="1"/>
    <col min="6" max="6" width="14" style="29" customWidth="1"/>
    <col min="7" max="7" width="29.625" style="29" customWidth="1"/>
    <col min="8" max="8" width="9.5" style="29" customWidth="1"/>
    <col min="9" max="9" width="11.125" style="29" customWidth="1"/>
    <col min="10" max="10" width="14.25" style="29" customWidth="1"/>
    <col min="11" max="16384" width="9" style="29"/>
  </cols>
  <sheetData>
    <row r="1" spans="1:10" ht="30" customHeight="1">
      <c r="A1" s="191" t="s">
        <v>24</v>
      </c>
      <c r="B1" s="191"/>
      <c r="C1" s="191"/>
      <c r="D1" s="191"/>
      <c r="E1" s="191"/>
      <c r="F1" s="191"/>
      <c r="G1" s="191"/>
      <c r="H1" s="191"/>
      <c r="I1" s="191"/>
      <c r="J1" s="191"/>
    </row>
    <row r="2" spans="1:10" ht="27.95" customHeight="1">
      <c r="A2" s="192" t="s">
        <v>359</v>
      </c>
      <c r="B2" s="193"/>
      <c r="C2" s="193"/>
      <c r="D2" s="193"/>
      <c r="E2" s="193"/>
      <c r="F2" s="193"/>
      <c r="G2" s="193"/>
      <c r="H2" s="193"/>
      <c r="I2" s="193"/>
      <c r="J2" s="193"/>
    </row>
    <row r="3" spans="1:10" ht="18" customHeight="1">
      <c r="A3" s="20" t="str">
        <f>'表头（请先填写）'!A2</f>
        <v>客户名称：</v>
      </c>
      <c r="B3" s="20"/>
      <c r="C3" s="20"/>
      <c r="E3" s="20" t="str">
        <f>'表头（请先填写）'!A4</f>
        <v>编制人：</v>
      </c>
      <c r="G3" s="20" t="str">
        <f>'表头（请先填写）'!A5</f>
        <v>日 期：</v>
      </c>
      <c r="J3" s="20" t="s">
        <v>233</v>
      </c>
    </row>
    <row r="4" spans="1:10" ht="18" customHeight="1">
      <c r="A4" s="20" t="str">
        <f>'表头（请先填写）'!A3</f>
        <v>会计期间：2013年度</v>
      </c>
      <c r="B4" s="20"/>
      <c r="C4" s="20"/>
      <c r="E4" s="20" t="s">
        <v>6</v>
      </c>
      <c r="G4" s="20" t="s">
        <v>48</v>
      </c>
      <c r="J4" s="20" t="s">
        <v>49</v>
      </c>
    </row>
    <row r="5" spans="1:10" s="30" customFormat="1" ht="41.25" customHeight="1">
      <c r="A5" s="63" t="s">
        <v>128</v>
      </c>
      <c r="B5" s="194" t="s">
        <v>127</v>
      </c>
      <c r="C5" s="195"/>
      <c r="D5" s="62" t="s">
        <v>50</v>
      </c>
      <c r="E5" s="62" t="s">
        <v>51</v>
      </c>
      <c r="F5" s="64" t="s">
        <v>150</v>
      </c>
      <c r="G5" s="62" t="s">
        <v>52</v>
      </c>
      <c r="H5" s="62" t="s">
        <v>53</v>
      </c>
      <c r="I5" s="62" t="s">
        <v>85</v>
      </c>
      <c r="J5" s="62" t="s">
        <v>54</v>
      </c>
    </row>
    <row r="6" spans="1:10" s="30" customFormat="1" ht="20.100000000000001" customHeight="1">
      <c r="A6" s="31" t="s">
        <v>129</v>
      </c>
      <c r="B6" s="31"/>
      <c r="C6" s="31"/>
      <c r="D6" s="31"/>
      <c r="E6" s="31"/>
      <c r="F6" s="31"/>
      <c r="G6" s="31"/>
      <c r="H6" s="31"/>
      <c r="I6" s="31"/>
      <c r="J6" s="31"/>
    </row>
    <row r="7" spans="1:10" s="30" customFormat="1" ht="20.100000000000001" customHeight="1">
      <c r="A7" s="31"/>
      <c r="B7" s="31">
        <v>1</v>
      </c>
      <c r="C7" s="31"/>
      <c r="D7" s="31"/>
      <c r="E7" s="31"/>
      <c r="F7" s="31"/>
      <c r="G7" s="31"/>
      <c r="H7" s="31"/>
      <c r="I7" s="31"/>
      <c r="J7" s="31"/>
    </row>
    <row r="8" spans="1:10" s="30" customFormat="1" ht="20.100000000000001" customHeight="1">
      <c r="A8" s="31"/>
      <c r="B8" s="31">
        <v>2</v>
      </c>
      <c r="C8" s="31"/>
      <c r="D8" s="31"/>
      <c r="E8" s="31"/>
      <c r="F8" s="31"/>
      <c r="G8" s="31"/>
      <c r="H8" s="31"/>
      <c r="I8" s="31"/>
      <c r="J8" s="31"/>
    </row>
    <row r="9" spans="1:10" s="30" customFormat="1" ht="20.100000000000001" customHeight="1">
      <c r="A9" s="31"/>
      <c r="B9" s="31">
        <v>3</v>
      </c>
      <c r="C9" s="31"/>
      <c r="D9" s="31"/>
      <c r="E9" s="31"/>
      <c r="F9" s="31"/>
      <c r="G9" s="31"/>
      <c r="H9" s="31"/>
      <c r="I9" s="31"/>
      <c r="J9" s="31"/>
    </row>
    <row r="10" spans="1:10" s="20" customFormat="1" ht="20.100000000000001" customHeight="1">
      <c r="A10" s="32"/>
      <c r="B10" s="32" t="s">
        <v>131</v>
      </c>
      <c r="C10" s="32"/>
      <c r="D10" s="31"/>
      <c r="E10" s="32"/>
      <c r="F10" s="32"/>
      <c r="G10" s="32"/>
      <c r="H10" s="32"/>
      <c r="I10" s="32"/>
      <c r="J10" s="32"/>
    </row>
    <row r="11" spans="1:10" s="20" customFormat="1" ht="20.100000000000001" customHeight="1">
      <c r="A11" s="32"/>
      <c r="B11" s="32"/>
      <c r="C11" s="32"/>
      <c r="D11" s="31"/>
      <c r="E11" s="32"/>
      <c r="F11" s="32"/>
      <c r="G11" s="32"/>
      <c r="H11" s="32"/>
      <c r="I11" s="32"/>
      <c r="J11" s="32"/>
    </row>
    <row r="12" spans="1:10" s="20" customFormat="1" ht="20.100000000000001" customHeight="1">
      <c r="A12" s="32" t="s">
        <v>130</v>
      </c>
      <c r="B12" s="32"/>
      <c r="C12" s="32"/>
      <c r="D12" s="31"/>
      <c r="E12" s="32"/>
      <c r="F12" s="32"/>
      <c r="G12" s="32"/>
      <c r="H12" s="32"/>
      <c r="I12" s="32"/>
      <c r="J12" s="32"/>
    </row>
    <row r="13" spans="1:10" s="20" customFormat="1" ht="20.100000000000001" customHeight="1">
      <c r="A13" s="32"/>
      <c r="B13" s="32">
        <v>1</v>
      </c>
      <c r="C13" s="32"/>
      <c r="D13" s="31"/>
      <c r="E13" s="32"/>
      <c r="F13" s="32"/>
      <c r="G13" s="32"/>
      <c r="H13" s="32"/>
      <c r="I13" s="32"/>
      <c r="J13" s="32"/>
    </row>
    <row r="14" spans="1:10" s="20" customFormat="1" ht="20.100000000000001" customHeight="1">
      <c r="A14" s="31"/>
      <c r="B14" s="31">
        <v>2</v>
      </c>
      <c r="C14" s="31"/>
      <c r="D14" s="31"/>
      <c r="E14" s="32"/>
      <c r="F14" s="32"/>
      <c r="G14" s="32"/>
      <c r="H14" s="32"/>
      <c r="I14" s="32"/>
      <c r="J14" s="32"/>
    </row>
    <row r="15" spans="1:10" s="20" customFormat="1" ht="20.100000000000001" customHeight="1">
      <c r="A15" s="31"/>
      <c r="B15" s="31">
        <v>3</v>
      </c>
      <c r="C15" s="31"/>
      <c r="D15" s="31"/>
      <c r="E15" s="32"/>
      <c r="F15" s="32"/>
      <c r="G15" s="32"/>
      <c r="H15" s="32"/>
      <c r="I15" s="32"/>
      <c r="J15" s="32"/>
    </row>
    <row r="16" spans="1:10" s="20" customFormat="1" ht="20.100000000000001" customHeight="1">
      <c r="A16" s="31"/>
      <c r="B16" s="31" t="s">
        <v>131</v>
      </c>
      <c r="C16" s="31"/>
      <c r="D16" s="31"/>
      <c r="E16" s="32"/>
      <c r="F16" s="32"/>
      <c r="G16" s="32"/>
      <c r="H16" s="32"/>
      <c r="I16" s="32"/>
      <c r="J16" s="32"/>
    </row>
    <row r="17" spans="1:10" s="20" customFormat="1" ht="20.100000000000001" customHeight="1">
      <c r="A17" s="32"/>
      <c r="B17" s="32"/>
      <c r="C17" s="32"/>
      <c r="D17" s="31"/>
      <c r="E17" s="32"/>
      <c r="F17" s="32"/>
      <c r="G17" s="32"/>
      <c r="H17" s="32"/>
      <c r="I17" s="32"/>
      <c r="J17" s="32"/>
    </row>
    <row r="18" spans="1:10" s="20" customFormat="1" ht="20.100000000000001" customHeight="1">
      <c r="A18" s="32" t="s">
        <v>132</v>
      </c>
      <c r="B18" s="32"/>
      <c r="C18" s="32"/>
      <c r="D18" s="31"/>
      <c r="E18" s="32"/>
      <c r="F18" s="32"/>
      <c r="G18" s="32"/>
      <c r="H18" s="32"/>
      <c r="I18" s="32"/>
      <c r="J18" s="32"/>
    </row>
    <row r="19" spans="1:10" s="20" customFormat="1" ht="20.100000000000001" customHeight="1">
      <c r="A19" s="32"/>
      <c r="B19" s="32">
        <v>1</v>
      </c>
      <c r="C19" s="32"/>
      <c r="D19" s="31"/>
      <c r="E19" s="32"/>
      <c r="F19" s="32"/>
      <c r="G19" s="32"/>
      <c r="H19" s="32"/>
      <c r="I19" s="32"/>
      <c r="J19" s="32"/>
    </row>
    <row r="20" spans="1:10" s="20" customFormat="1" ht="20.100000000000001" customHeight="1">
      <c r="A20" s="32"/>
      <c r="B20" s="32">
        <v>2</v>
      </c>
      <c r="C20" s="32"/>
      <c r="D20" s="31"/>
      <c r="E20" s="32"/>
      <c r="F20" s="32"/>
      <c r="G20" s="32"/>
      <c r="H20" s="32"/>
      <c r="I20" s="32"/>
      <c r="J20" s="32"/>
    </row>
    <row r="21" spans="1:10" s="20" customFormat="1" ht="20.100000000000001" customHeight="1">
      <c r="A21" s="32"/>
      <c r="B21" s="32">
        <v>3</v>
      </c>
      <c r="C21" s="32"/>
      <c r="D21" s="31"/>
      <c r="E21" s="32"/>
      <c r="F21" s="32"/>
      <c r="G21" s="32"/>
      <c r="H21" s="32"/>
      <c r="I21" s="32"/>
      <c r="J21" s="32"/>
    </row>
    <row r="22" spans="1:10" s="20" customFormat="1" ht="20.100000000000001" customHeight="1">
      <c r="A22" s="32"/>
      <c r="B22" s="32" t="s">
        <v>131</v>
      </c>
      <c r="C22" s="32"/>
      <c r="D22" s="31"/>
      <c r="E22" s="32"/>
      <c r="F22" s="32"/>
      <c r="G22" s="32"/>
      <c r="H22" s="32"/>
      <c r="I22" s="32"/>
      <c r="J22" s="32"/>
    </row>
    <row r="23" spans="1:10" s="20" customFormat="1" ht="20.100000000000001" customHeight="1">
      <c r="A23" s="32"/>
      <c r="B23" s="32"/>
      <c r="C23" s="32"/>
      <c r="D23" s="31"/>
      <c r="E23" s="32"/>
      <c r="F23" s="32"/>
      <c r="G23" s="32"/>
      <c r="H23" s="32"/>
      <c r="I23" s="32"/>
      <c r="J23" s="32"/>
    </row>
    <row r="24" spans="1:10" s="20" customFormat="1" ht="20.100000000000001" customHeight="1">
      <c r="A24" s="32" t="s">
        <v>133</v>
      </c>
      <c r="B24" s="32"/>
      <c r="C24" s="32"/>
      <c r="D24" s="31"/>
      <c r="E24" s="32"/>
      <c r="F24" s="32"/>
      <c r="G24" s="32"/>
      <c r="H24" s="32"/>
      <c r="I24" s="32"/>
      <c r="J24" s="32"/>
    </row>
    <row r="25" spans="1:10" s="20" customFormat="1" ht="20.100000000000001" customHeight="1">
      <c r="A25" s="32"/>
      <c r="B25" s="32">
        <v>1</v>
      </c>
      <c r="C25" s="32"/>
      <c r="D25" s="31"/>
      <c r="E25" s="32"/>
      <c r="F25" s="32"/>
      <c r="G25" s="32"/>
      <c r="H25" s="32"/>
      <c r="I25" s="32"/>
      <c r="J25" s="32"/>
    </row>
    <row r="26" spans="1:10" s="20" customFormat="1" ht="20.100000000000001" customHeight="1">
      <c r="A26" s="32"/>
      <c r="B26" s="32">
        <v>2</v>
      </c>
      <c r="C26" s="32"/>
      <c r="D26" s="31"/>
      <c r="E26" s="32"/>
      <c r="F26" s="32"/>
      <c r="G26" s="32"/>
      <c r="H26" s="32"/>
      <c r="I26" s="32"/>
      <c r="J26" s="32"/>
    </row>
    <row r="27" spans="1:10" s="20" customFormat="1" ht="20.100000000000001" customHeight="1">
      <c r="A27" s="31"/>
      <c r="B27" s="31">
        <v>3</v>
      </c>
      <c r="C27" s="31"/>
      <c r="D27" s="31"/>
      <c r="E27" s="32"/>
      <c r="F27" s="32"/>
      <c r="G27" s="32"/>
      <c r="H27" s="32"/>
      <c r="I27" s="32"/>
      <c r="J27" s="32"/>
    </row>
    <row r="28" spans="1:10" s="20" customFormat="1" ht="20.100000000000001" customHeight="1">
      <c r="A28" s="31"/>
      <c r="B28" s="31" t="s">
        <v>131</v>
      </c>
      <c r="C28" s="31"/>
      <c r="D28" s="31"/>
      <c r="E28" s="32"/>
      <c r="F28" s="32"/>
      <c r="G28" s="32"/>
      <c r="H28" s="32"/>
      <c r="I28" s="32"/>
      <c r="J28" s="32"/>
    </row>
    <row r="29" spans="1:10" s="20" customFormat="1" ht="20.100000000000001" customHeight="1">
      <c r="A29" s="31"/>
      <c r="B29" s="31"/>
      <c r="C29" s="31"/>
      <c r="D29" s="31"/>
      <c r="E29" s="32"/>
      <c r="F29" s="32"/>
      <c r="G29" s="32"/>
      <c r="H29" s="32"/>
      <c r="I29" s="32"/>
      <c r="J29" s="32"/>
    </row>
    <row r="30" spans="1:10" s="20" customFormat="1" ht="20.100000000000001" customHeight="1">
      <c r="A30" s="31" t="s">
        <v>134</v>
      </c>
      <c r="B30" s="31"/>
      <c r="C30" s="31"/>
      <c r="D30" s="31"/>
      <c r="E30" s="32"/>
      <c r="F30" s="32"/>
      <c r="G30" s="32"/>
      <c r="H30" s="32"/>
      <c r="I30" s="32"/>
      <c r="J30" s="32"/>
    </row>
    <row r="31" spans="1:10" s="20" customFormat="1" ht="20.100000000000001" customHeight="1">
      <c r="A31" s="31"/>
      <c r="B31" s="32">
        <v>1</v>
      </c>
      <c r="C31" s="31"/>
      <c r="D31" s="31"/>
      <c r="E31" s="32"/>
      <c r="F31" s="32"/>
      <c r="G31" s="32"/>
      <c r="H31" s="32"/>
      <c r="I31" s="32"/>
      <c r="J31" s="32"/>
    </row>
    <row r="32" spans="1:10" s="20" customFormat="1" ht="20.100000000000001" customHeight="1">
      <c r="A32" s="31"/>
      <c r="B32" s="32">
        <v>2</v>
      </c>
      <c r="C32" s="31"/>
      <c r="D32" s="31"/>
      <c r="E32" s="32"/>
      <c r="F32" s="32"/>
      <c r="G32" s="32"/>
      <c r="H32" s="32"/>
      <c r="I32" s="32"/>
      <c r="J32" s="32"/>
    </row>
    <row r="33" spans="1:10" s="20" customFormat="1" ht="20.100000000000001" customHeight="1">
      <c r="A33" s="31"/>
      <c r="B33" s="31">
        <v>3</v>
      </c>
      <c r="C33" s="31"/>
      <c r="D33" s="31"/>
      <c r="E33" s="32"/>
      <c r="F33" s="32"/>
      <c r="G33" s="32"/>
      <c r="H33" s="32"/>
      <c r="I33" s="32"/>
      <c r="J33" s="32"/>
    </row>
    <row r="34" spans="1:10" s="20" customFormat="1" ht="20.100000000000001" customHeight="1">
      <c r="A34" s="31"/>
      <c r="B34" s="31" t="s">
        <v>131</v>
      </c>
      <c r="C34" s="31"/>
      <c r="D34" s="31"/>
      <c r="E34" s="32"/>
      <c r="F34" s="32"/>
      <c r="G34" s="32"/>
      <c r="H34" s="32"/>
      <c r="I34" s="32"/>
      <c r="J34" s="32"/>
    </row>
    <row r="35" spans="1:10" s="20" customFormat="1" ht="20.100000000000001" customHeight="1">
      <c r="A35" s="31"/>
      <c r="B35" s="31"/>
      <c r="C35" s="31"/>
      <c r="D35" s="31"/>
      <c r="E35" s="32"/>
      <c r="F35" s="32"/>
      <c r="G35" s="32"/>
      <c r="H35" s="32"/>
      <c r="I35" s="32"/>
      <c r="J35" s="32"/>
    </row>
    <row r="36" spans="1:10" s="20" customFormat="1" ht="20.100000000000001" customHeight="1">
      <c r="A36" s="31" t="s">
        <v>135</v>
      </c>
      <c r="B36" s="31"/>
      <c r="C36" s="31"/>
      <c r="D36" s="31"/>
      <c r="E36" s="32"/>
      <c r="F36" s="32"/>
      <c r="G36" s="32"/>
      <c r="H36" s="32"/>
      <c r="I36" s="32"/>
      <c r="J36" s="32"/>
    </row>
    <row r="37" spans="1:10" s="20" customFormat="1" ht="20.100000000000001" customHeight="1">
      <c r="A37" s="31"/>
      <c r="B37" s="32">
        <v>1</v>
      </c>
      <c r="C37" s="31"/>
      <c r="D37" s="31"/>
      <c r="E37" s="32"/>
      <c r="F37" s="32"/>
      <c r="G37" s="32"/>
      <c r="H37" s="32"/>
      <c r="I37" s="32"/>
      <c r="J37" s="32"/>
    </row>
    <row r="38" spans="1:10" s="20" customFormat="1" ht="20.100000000000001" customHeight="1">
      <c r="A38" s="31"/>
      <c r="B38" s="32">
        <v>2</v>
      </c>
      <c r="C38" s="31"/>
      <c r="D38" s="31"/>
      <c r="E38" s="32"/>
      <c r="F38" s="32"/>
      <c r="G38" s="32"/>
      <c r="H38" s="32"/>
      <c r="I38" s="32"/>
      <c r="J38" s="32"/>
    </row>
    <row r="39" spans="1:10" s="20" customFormat="1" ht="20.100000000000001" customHeight="1">
      <c r="A39" s="31"/>
      <c r="B39" s="31">
        <v>3</v>
      </c>
      <c r="C39" s="31"/>
      <c r="D39" s="31"/>
      <c r="E39" s="32"/>
      <c r="F39" s="32"/>
      <c r="G39" s="32"/>
      <c r="H39" s="32"/>
      <c r="I39" s="32"/>
      <c r="J39" s="32"/>
    </row>
    <row r="40" spans="1:10" s="20" customFormat="1" ht="20.100000000000001" customHeight="1">
      <c r="A40" s="31"/>
      <c r="B40" s="31" t="s">
        <v>131</v>
      </c>
      <c r="C40" s="31"/>
      <c r="D40" s="31"/>
      <c r="E40" s="32"/>
      <c r="F40" s="32"/>
      <c r="G40" s="32"/>
      <c r="H40" s="32"/>
      <c r="I40" s="32"/>
      <c r="J40" s="32"/>
    </row>
    <row r="41" spans="1:10" s="20" customFormat="1" ht="20.100000000000001" customHeight="1">
      <c r="A41" s="31"/>
      <c r="B41" s="31"/>
      <c r="C41" s="31"/>
      <c r="D41" s="31"/>
      <c r="E41" s="32"/>
      <c r="F41" s="32"/>
      <c r="G41" s="32"/>
      <c r="H41" s="32"/>
      <c r="I41" s="32"/>
      <c r="J41" s="32"/>
    </row>
    <row r="42" spans="1:10" s="20" customFormat="1" ht="20.100000000000001" customHeight="1">
      <c r="A42" s="31"/>
      <c r="B42" s="31"/>
      <c r="C42" s="31"/>
      <c r="D42" s="31"/>
      <c r="E42" s="32"/>
      <c r="F42" s="32"/>
      <c r="G42" s="32"/>
      <c r="H42" s="32"/>
      <c r="I42" s="32"/>
      <c r="J42" s="32"/>
    </row>
    <row r="43" spans="1:10" s="20" customFormat="1" ht="20.100000000000001" customHeight="1">
      <c r="A43" s="31"/>
      <c r="B43" s="31"/>
      <c r="C43" s="31"/>
      <c r="D43" s="31"/>
      <c r="E43" s="32"/>
      <c r="F43" s="32"/>
      <c r="G43" s="32"/>
      <c r="H43" s="32"/>
      <c r="I43" s="32"/>
      <c r="J43" s="32"/>
    </row>
    <row r="44" spans="1:10" s="20" customFormat="1" ht="20.100000000000001" customHeight="1">
      <c r="A44" s="32"/>
      <c r="B44" s="32"/>
      <c r="C44" s="32"/>
      <c r="D44" s="31"/>
      <c r="E44" s="32"/>
      <c r="F44" s="32"/>
      <c r="G44" s="32"/>
      <c r="H44" s="32"/>
      <c r="I44" s="32"/>
      <c r="J44" s="32"/>
    </row>
    <row r="45" spans="1:10" s="20" customFormat="1" ht="20.100000000000001" customHeight="1">
      <c r="A45" s="78" t="s">
        <v>166</v>
      </c>
      <c r="B45" s="36"/>
      <c r="C45" s="36"/>
    </row>
    <row r="46" spans="1:10" s="20" customFormat="1" ht="12.75">
      <c r="A46" s="79" t="s">
        <v>167</v>
      </c>
      <c r="B46" s="37"/>
      <c r="C46" s="37"/>
    </row>
    <row r="47" spans="1:10" s="20" customFormat="1" ht="12.75">
      <c r="A47" s="79" t="s">
        <v>168</v>
      </c>
      <c r="B47" s="37"/>
      <c r="C47" s="37"/>
    </row>
    <row r="48" spans="1:10" s="20" customFormat="1" ht="12.75">
      <c r="A48" s="79" t="s">
        <v>169</v>
      </c>
      <c r="B48" s="37"/>
      <c r="C48" s="37"/>
    </row>
    <row r="49" spans="1:3" s="20" customFormat="1" ht="12.75">
      <c r="A49" s="79" t="s">
        <v>170</v>
      </c>
      <c r="B49" s="37"/>
      <c r="C49" s="37"/>
    </row>
    <row r="50" spans="1:3" s="20" customFormat="1" ht="12.75">
      <c r="A50" s="79" t="s">
        <v>171</v>
      </c>
      <c r="B50" s="37"/>
      <c r="C50" s="37"/>
    </row>
    <row r="51" spans="1:3" s="20" customFormat="1" ht="12.75">
      <c r="A51" s="79" t="s">
        <v>172</v>
      </c>
      <c r="B51" s="37"/>
      <c r="C51" s="37"/>
    </row>
    <row r="52" spans="1:3" s="20" customFormat="1" ht="12.75">
      <c r="A52" s="79" t="s">
        <v>55</v>
      </c>
      <c r="B52" s="53"/>
      <c r="C52" s="53"/>
    </row>
    <row r="53" spans="1:3" s="20" customFormat="1" ht="12.75">
      <c r="A53" s="79" t="s">
        <v>173</v>
      </c>
      <c r="B53" s="53"/>
      <c r="C53" s="53"/>
    </row>
    <row r="54" spans="1:3" s="20" customFormat="1" ht="12.75">
      <c r="A54" s="79" t="s">
        <v>174</v>
      </c>
      <c r="B54" s="53"/>
      <c r="C54" s="53"/>
    </row>
    <row r="55" spans="1:3" s="20" customFormat="1" ht="12.75">
      <c r="A55" s="79" t="s">
        <v>175</v>
      </c>
      <c r="B55" s="53"/>
      <c r="C55" s="53"/>
    </row>
    <row r="56" spans="1:3" s="20" customFormat="1" ht="12.75"/>
    <row r="57" spans="1:3" s="20" customFormat="1" ht="12.75"/>
    <row r="58" spans="1:3" s="20" customFormat="1" ht="12.75"/>
    <row r="59" spans="1:3" s="20" customFormat="1" ht="12.75"/>
    <row r="60" spans="1:3" s="20" customFormat="1" ht="12.75"/>
    <row r="61" spans="1:3" s="20" customFormat="1" ht="12.75"/>
    <row r="62" spans="1:3" s="20" customFormat="1" ht="12.75"/>
    <row r="63" spans="1:3" s="20" customFormat="1" ht="12.75"/>
    <row r="64" spans="1:3" s="20" customFormat="1" ht="12.75"/>
    <row r="65" spans="1:1" s="20" customFormat="1" ht="12.75"/>
    <row r="66" spans="1:1" s="20" customFormat="1" ht="12.75"/>
    <row r="67" spans="1:1" s="20" customFormat="1" ht="12.75"/>
    <row r="68" spans="1:1" s="20" customFormat="1" ht="12.75"/>
    <row r="69" spans="1:1" s="20" customFormat="1" ht="12.75">
      <c r="A69" s="17" t="s">
        <v>144</v>
      </c>
    </row>
    <row r="70" spans="1:1" s="20" customFormat="1" ht="12.75">
      <c r="A70" s="17" t="s">
        <v>145</v>
      </c>
    </row>
    <row r="71" spans="1:1" s="20" customFormat="1" ht="12.75"/>
    <row r="72" spans="1:1" s="20" customFormat="1" ht="12.75"/>
    <row r="73" spans="1:1" s="20" customFormat="1" ht="12.75"/>
    <row r="74" spans="1:1" s="20" customFormat="1" ht="12.75"/>
    <row r="75" spans="1:1" s="20" customFormat="1" ht="12.75"/>
    <row r="76" spans="1:1" s="20" customFormat="1" ht="12.75"/>
    <row r="77" spans="1:1" s="20" customFormat="1" ht="12.75"/>
    <row r="78" spans="1:1" s="20" customFormat="1" ht="12.75"/>
    <row r="79" spans="1:1" s="20" customFormat="1" ht="12.75"/>
    <row r="80" spans="1:1" s="20" customFormat="1" ht="12.75"/>
    <row r="81" s="20" customFormat="1" ht="12.75"/>
    <row r="82" s="20" customFormat="1" ht="12.75"/>
    <row r="83" s="20" customFormat="1" ht="12.75"/>
    <row r="84" s="20" customFormat="1" ht="12.75"/>
    <row r="85" s="20" customFormat="1" ht="12.75"/>
    <row r="86" s="20" customFormat="1" ht="12.75"/>
  </sheetData>
  <mergeCells count="3">
    <mergeCell ref="A1:J1"/>
    <mergeCell ref="A2:J2"/>
    <mergeCell ref="B5:C5"/>
  </mergeCells>
  <phoneticPr fontId="3" type="noConversion"/>
  <dataValidations count="1">
    <dataValidation type="list" allowBlank="1" showInputMessage="1" showErrorMessage="1" sqref="D7:D44">
      <formula1>$A$69:$A$70</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4"/>
  <sheetViews>
    <sheetView view="pageBreakPreview" topLeftCell="A10" zoomScale="120" zoomScaleNormal="120" zoomScaleSheetLayoutView="120" workbookViewId="0">
      <selection activeCell="A3" sqref="A3"/>
    </sheetView>
  </sheetViews>
  <sheetFormatPr defaultRowHeight="15.75"/>
  <cols>
    <col min="1" max="1" width="4.875" style="128" customWidth="1"/>
    <col min="2" max="2" width="53.625" style="128" customWidth="1"/>
    <col min="3" max="3" width="12.375" style="128" customWidth="1"/>
    <col min="4" max="4" width="4.375" style="128" customWidth="1"/>
    <col min="5" max="5" width="32.375" style="128" customWidth="1"/>
    <col min="6" max="6" width="11.375" style="130" customWidth="1"/>
    <col min="7" max="7" width="14" style="128" customWidth="1"/>
    <col min="8" max="8" width="9" style="128" customWidth="1"/>
    <col min="9" max="9" width="13.25" style="128" customWidth="1"/>
    <col min="10" max="16384" width="9" style="128"/>
  </cols>
  <sheetData>
    <row r="1" spans="1:9" ht="21.75" customHeight="1">
      <c r="A1" s="200" t="s">
        <v>24</v>
      </c>
      <c r="B1" s="200"/>
      <c r="C1" s="200"/>
      <c r="D1" s="200"/>
      <c r="E1" s="200"/>
      <c r="F1" s="200"/>
      <c r="G1" s="200"/>
      <c r="H1" s="200"/>
      <c r="I1" s="200"/>
    </row>
    <row r="2" spans="1:9" ht="27.95" customHeight="1">
      <c r="A2" s="192" t="s">
        <v>360</v>
      </c>
      <c r="B2" s="201"/>
      <c r="C2" s="201"/>
      <c r="D2" s="201"/>
      <c r="E2" s="201"/>
      <c r="F2" s="201"/>
      <c r="G2" s="201"/>
      <c r="H2" s="201"/>
      <c r="I2" s="201"/>
    </row>
    <row r="3" spans="1:9" ht="20.100000000000001" customHeight="1">
      <c r="A3" s="129" t="str">
        <f>'B23-1了解收入循环流程和内部控制记录表'!A3</f>
        <v>客户名称：</v>
      </c>
      <c r="C3" s="129" t="str">
        <f>'B23-1了解收入循环流程和内部控制记录表'!C3</f>
        <v>编制人：</v>
      </c>
      <c r="F3" s="129" t="str">
        <f>'B23-1了解收入循环流程和内部控制记录表'!D3</f>
        <v>日 期：</v>
      </c>
      <c r="I3" s="129" t="s">
        <v>258</v>
      </c>
    </row>
    <row r="4" spans="1:9" ht="20.100000000000001" customHeight="1">
      <c r="A4" s="129" t="str">
        <f>'B23-1了解收入循环流程和内部控制记录表'!A4</f>
        <v>会计期间：2013年度</v>
      </c>
      <c r="C4" s="129" t="s">
        <v>259</v>
      </c>
      <c r="F4" s="129" t="s">
        <v>260</v>
      </c>
      <c r="I4" s="129" t="s">
        <v>261</v>
      </c>
    </row>
    <row r="5" spans="1:9" ht="6" customHeight="1">
      <c r="A5" s="129"/>
      <c r="C5" s="129"/>
      <c r="E5" s="129"/>
      <c r="I5" s="129"/>
    </row>
    <row r="6" spans="1:9" ht="20.100000000000001" customHeight="1">
      <c r="A6" s="131" t="s">
        <v>262</v>
      </c>
      <c r="C6" s="129"/>
      <c r="E6" s="129"/>
      <c r="I6" s="129"/>
    </row>
    <row r="7" spans="1:9" s="133" customFormat="1" ht="56.25" customHeight="1">
      <c r="A7" s="132" t="s">
        <v>263</v>
      </c>
      <c r="B7" s="132" t="s">
        <v>264</v>
      </c>
      <c r="C7" s="132" t="s">
        <v>265</v>
      </c>
      <c r="D7" s="202" t="s">
        <v>266</v>
      </c>
      <c r="E7" s="202"/>
      <c r="F7" s="132" t="s">
        <v>267</v>
      </c>
      <c r="G7" s="132" t="s">
        <v>268</v>
      </c>
      <c r="H7" s="132" t="s">
        <v>269</v>
      </c>
      <c r="I7" s="132" t="s">
        <v>270</v>
      </c>
    </row>
    <row r="8" spans="1:9" s="133" customFormat="1" ht="18" customHeight="1">
      <c r="A8" s="134" t="s">
        <v>271</v>
      </c>
      <c r="B8" s="135"/>
      <c r="C8" s="136"/>
      <c r="D8" s="136"/>
      <c r="E8" s="136"/>
      <c r="F8" s="137"/>
      <c r="G8" s="136"/>
      <c r="H8" s="136"/>
      <c r="I8" s="136"/>
    </row>
    <row r="9" spans="1:9" s="133" customFormat="1" ht="18" customHeight="1">
      <c r="A9" s="134"/>
      <c r="B9" s="138" t="s">
        <v>272</v>
      </c>
      <c r="C9" s="136"/>
      <c r="D9" s="136">
        <v>1</v>
      </c>
      <c r="E9" s="136"/>
      <c r="F9" s="139">
        <f>IF(OR(G9&lt;&gt;0,H9&lt;&gt;0,I9&lt;&gt;0),1,0)</f>
        <v>1</v>
      </c>
      <c r="G9" s="136" t="s">
        <v>273</v>
      </c>
      <c r="H9" s="136"/>
      <c r="I9" s="136"/>
    </row>
    <row r="10" spans="1:9" s="133" customFormat="1" ht="18" customHeight="1">
      <c r="A10" s="134"/>
      <c r="B10" s="135"/>
      <c r="C10" s="136"/>
      <c r="D10" s="136">
        <v>2</v>
      </c>
      <c r="E10" s="136"/>
      <c r="F10" s="139">
        <f t="shared" ref="F10:F43" si="0">IF(OR(G10&lt;&gt;0,H10&lt;&gt;0,I10&lt;&gt;0),1,0)</f>
        <v>0</v>
      </c>
      <c r="G10" s="136"/>
      <c r="H10" s="136"/>
      <c r="I10" s="136"/>
    </row>
    <row r="11" spans="1:9" s="133" customFormat="1" ht="18" customHeight="1">
      <c r="A11" s="134"/>
      <c r="B11" s="135"/>
      <c r="C11" s="136"/>
      <c r="D11" s="136" t="s">
        <v>15</v>
      </c>
      <c r="E11" s="136"/>
      <c r="F11" s="139">
        <f t="shared" si="0"/>
        <v>0</v>
      </c>
      <c r="G11" s="136"/>
      <c r="H11" s="136"/>
      <c r="I11" s="136"/>
    </row>
    <row r="12" spans="1:9" ht="18" customHeight="1">
      <c r="A12" s="134"/>
      <c r="B12" s="138" t="s">
        <v>274</v>
      </c>
      <c r="C12" s="140"/>
      <c r="D12" s="140"/>
      <c r="E12" s="140"/>
      <c r="F12" s="139">
        <f t="shared" si="0"/>
        <v>1</v>
      </c>
      <c r="G12" s="136" t="s">
        <v>256</v>
      </c>
      <c r="H12" s="140"/>
      <c r="I12" s="136"/>
    </row>
    <row r="13" spans="1:9" ht="18" customHeight="1">
      <c r="A13" s="134" t="s">
        <v>275</v>
      </c>
      <c r="B13" s="135"/>
      <c r="C13" s="140"/>
      <c r="D13" s="140"/>
      <c r="E13" s="140"/>
      <c r="F13" s="139">
        <f t="shared" si="0"/>
        <v>0</v>
      </c>
      <c r="G13" s="136"/>
      <c r="H13" s="140"/>
      <c r="I13" s="136"/>
    </row>
    <row r="14" spans="1:9" ht="18" customHeight="1">
      <c r="A14" s="134"/>
      <c r="B14" s="138" t="s">
        <v>276</v>
      </c>
      <c r="C14" s="140"/>
      <c r="D14" s="140">
        <v>1</v>
      </c>
      <c r="E14" s="140" t="s">
        <v>277</v>
      </c>
      <c r="F14" s="139">
        <f t="shared" si="0"/>
        <v>1</v>
      </c>
      <c r="G14" s="136" t="s">
        <v>278</v>
      </c>
      <c r="H14" s="140"/>
      <c r="I14" s="136"/>
    </row>
    <row r="15" spans="1:9" ht="18" customHeight="1">
      <c r="A15" s="134"/>
      <c r="B15" s="138"/>
      <c r="C15" s="140"/>
      <c r="D15" s="140">
        <v>2</v>
      </c>
      <c r="E15" s="140" t="s">
        <v>279</v>
      </c>
      <c r="F15" s="139">
        <f t="shared" si="0"/>
        <v>1</v>
      </c>
      <c r="G15" s="136" t="s">
        <v>273</v>
      </c>
      <c r="H15" s="140"/>
      <c r="I15" s="136"/>
    </row>
    <row r="16" spans="1:9" ht="18" customHeight="1">
      <c r="A16" s="134"/>
      <c r="B16" s="138"/>
      <c r="C16" s="140"/>
      <c r="D16" s="140"/>
      <c r="E16" s="140"/>
      <c r="F16" s="139">
        <f t="shared" si="0"/>
        <v>0</v>
      </c>
      <c r="G16" s="136"/>
      <c r="H16" s="140"/>
      <c r="I16" s="136"/>
    </row>
    <row r="17" spans="1:9" ht="18" customHeight="1">
      <c r="A17" s="134"/>
      <c r="B17" s="138" t="s">
        <v>280</v>
      </c>
      <c r="C17" s="140"/>
      <c r="D17" s="140"/>
      <c r="E17" s="140"/>
      <c r="F17" s="139">
        <f t="shared" si="0"/>
        <v>0</v>
      </c>
      <c r="G17" s="140"/>
      <c r="H17" s="140"/>
      <c r="I17" s="136"/>
    </row>
    <row r="18" spans="1:9" ht="18" customHeight="1">
      <c r="A18" s="134"/>
      <c r="B18" s="138" t="s">
        <v>281</v>
      </c>
      <c r="C18" s="140"/>
      <c r="D18" s="140"/>
      <c r="E18" s="140"/>
      <c r="F18" s="139">
        <f t="shared" si="0"/>
        <v>0</v>
      </c>
      <c r="G18" s="140"/>
      <c r="H18" s="140"/>
      <c r="I18" s="136"/>
    </row>
    <row r="19" spans="1:9" ht="18" customHeight="1">
      <c r="A19" s="134"/>
      <c r="B19" s="138" t="s">
        <v>282</v>
      </c>
      <c r="C19" s="140"/>
      <c r="D19" s="140"/>
      <c r="E19" s="140"/>
      <c r="F19" s="139">
        <f t="shared" si="0"/>
        <v>0</v>
      </c>
      <c r="G19" s="140"/>
      <c r="H19" s="140"/>
      <c r="I19" s="136"/>
    </row>
    <row r="20" spans="1:9" ht="18" customHeight="1">
      <c r="A20" s="134"/>
      <c r="B20" s="138" t="s">
        <v>283</v>
      </c>
      <c r="C20" s="140"/>
      <c r="D20" s="140"/>
      <c r="E20" s="140"/>
      <c r="F20" s="139">
        <f t="shared" si="0"/>
        <v>0</v>
      </c>
      <c r="G20" s="140"/>
      <c r="H20" s="140"/>
      <c r="I20" s="136"/>
    </row>
    <row r="21" spans="1:9" ht="18" customHeight="1">
      <c r="A21" s="134"/>
      <c r="B21" s="138" t="s">
        <v>284</v>
      </c>
      <c r="C21" s="140"/>
      <c r="D21" s="140"/>
      <c r="E21" s="140"/>
      <c r="F21" s="139">
        <f t="shared" si="0"/>
        <v>0</v>
      </c>
      <c r="G21" s="140"/>
      <c r="H21" s="140"/>
      <c r="I21" s="136"/>
    </row>
    <row r="22" spans="1:9" ht="18" customHeight="1">
      <c r="A22" s="134"/>
      <c r="B22" s="135"/>
      <c r="C22" s="140"/>
      <c r="D22" s="140"/>
      <c r="E22" s="140"/>
      <c r="F22" s="139">
        <f t="shared" si="0"/>
        <v>0</v>
      </c>
      <c r="G22" s="140"/>
      <c r="H22" s="140"/>
      <c r="I22" s="136"/>
    </row>
    <row r="23" spans="1:9" ht="18" customHeight="1">
      <c r="A23" s="134" t="s">
        <v>285</v>
      </c>
      <c r="B23" s="135"/>
      <c r="C23" s="140"/>
      <c r="D23" s="140"/>
      <c r="E23" s="140"/>
      <c r="F23" s="139">
        <f t="shared" si="0"/>
        <v>0</v>
      </c>
      <c r="G23" s="140"/>
      <c r="H23" s="140"/>
      <c r="I23" s="136"/>
    </row>
    <row r="24" spans="1:9" ht="18" customHeight="1">
      <c r="A24" s="135"/>
      <c r="B24" s="138" t="s">
        <v>286</v>
      </c>
      <c r="C24" s="140"/>
      <c r="D24" s="140"/>
      <c r="E24" s="140"/>
      <c r="F24" s="139">
        <f t="shared" si="0"/>
        <v>0</v>
      </c>
      <c r="G24" s="140"/>
      <c r="H24" s="140"/>
      <c r="I24" s="136"/>
    </row>
    <row r="25" spans="1:9" ht="18" customHeight="1">
      <c r="A25" s="134"/>
      <c r="B25" s="138" t="s">
        <v>287</v>
      </c>
      <c r="C25" s="140"/>
      <c r="D25" s="140"/>
      <c r="E25" s="140"/>
      <c r="F25" s="139">
        <f t="shared" si="0"/>
        <v>0</v>
      </c>
      <c r="G25" s="140"/>
      <c r="H25" s="140"/>
      <c r="I25" s="136"/>
    </row>
    <row r="26" spans="1:9" ht="18" customHeight="1">
      <c r="A26" s="134"/>
      <c r="B26" s="138" t="s">
        <v>288</v>
      </c>
      <c r="C26" s="140"/>
      <c r="D26" s="140"/>
      <c r="E26" s="140"/>
      <c r="F26" s="139">
        <f t="shared" si="0"/>
        <v>0</v>
      </c>
      <c r="G26" s="140"/>
      <c r="H26" s="140"/>
      <c r="I26" s="136"/>
    </row>
    <row r="27" spans="1:9" ht="18" customHeight="1">
      <c r="A27" s="134"/>
      <c r="B27" s="135"/>
      <c r="C27" s="140"/>
      <c r="D27" s="140"/>
      <c r="E27" s="140"/>
      <c r="F27" s="139">
        <f t="shared" si="0"/>
        <v>0</v>
      </c>
      <c r="G27" s="140"/>
      <c r="H27" s="140"/>
      <c r="I27" s="136"/>
    </row>
    <row r="28" spans="1:9" ht="18" customHeight="1">
      <c r="A28" s="134" t="s">
        <v>289</v>
      </c>
      <c r="B28" s="135"/>
      <c r="C28" s="140"/>
      <c r="D28" s="140"/>
      <c r="E28" s="140"/>
      <c r="F28" s="139">
        <f t="shared" si="0"/>
        <v>0</v>
      </c>
      <c r="G28" s="140"/>
      <c r="H28" s="140"/>
      <c r="I28" s="136"/>
    </row>
    <row r="29" spans="1:9" ht="18" customHeight="1">
      <c r="A29" s="134"/>
      <c r="B29" s="138" t="s">
        <v>290</v>
      </c>
      <c r="C29" s="140"/>
      <c r="D29" s="140"/>
      <c r="E29" s="140"/>
      <c r="F29" s="139">
        <f t="shared" si="0"/>
        <v>0</v>
      </c>
      <c r="G29" s="140"/>
      <c r="H29" s="140"/>
      <c r="I29" s="136"/>
    </row>
    <row r="30" spans="1:9" ht="18" customHeight="1">
      <c r="A30" s="134"/>
      <c r="B30" s="138" t="s">
        <v>291</v>
      </c>
      <c r="C30" s="140"/>
      <c r="D30" s="140"/>
      <c r="E30" s="140"/>
      <c r="F30" s="139">
        <f t="shared" si="0"/>
        <v>0</v>
      </c>
      <c r="G30" s="140"/>
      <c r="H30" s="140"/>
      <c r="I30" s="136"/>
    </row>
    <row r="31" spans="1:9" ht="18" customHeight="1">
      <c r="A31" s="134"/>
      <c r="B31" s="138" t="s">
        <v>292</v>
      </c>
      <c r="C31" s="140"/>
      <c r="D31" s="140"/>
      <c r="E31" s="140"/>
      <c r="F31" s="139">
        <f t="shared" si="0"/>
        <v>0</v>
      </c>
      <c r="G31" s="140"/>
      <c r="H31" s="140"/>
      <c r="I31" s="136"/>
    </row>
    <row r="32" spans="1:9" ht="18" customHeight="1">
      <c r="A32" s="134"/>
      <c r="B32" s="138" t="s">
        <v>293</v>
      </c>
      <c r="C32" s="140"/>
      <c r="D32" s="140"/>
      <c r="E32" s="140"/>
      <c r="F32" s="139">
        <f t="shared" si="0"/>
        <v>0</v>
      </c>
      <c r="G32" s="140"/>
      <c r="H32" s="140"/>
      <c r="I32" s="136"/>
    </row>
    <row r="33" spans="1:9" ht="18" customHeight="1">
      <c r="A33" s="134"/>
      <c r="B33" s="135"/>
      <c r="C33" s="140"/>
      <c r="D33" s="140"/>
      <c r="E33" s="140"/>
      <c r="F33" s="139">
        <f t="shared" si="0"/>
        <v>0</v>
      </c>
      <c r="G33" s="140"/>
      <c r="H33" s="140"/>
      <c r="I33" s="136"/>
    </row>
    <row r="34" spans="1:9" ht="18" customHeight="1">
      <c r="A34" s="134" t="s">
        <v>294</v>
      </c>
      <c r="B34" s="135"/>
      <c r="C34" s="140"/>
      <c r="D34" s="140"/>
      <c r="E34" s="140"/>
      <c r="F34" s="139">
        <f t="shared" si="0"/>
        <v>0</v>
      </c>
      <c r="G34" s="140"/>
      <c r="H34" s="140"/>
      <c r="I34" s="136"/>
    </row>
    <row r="35" spans="1:9" ht="18" customHeight="1">
      <c r="A35" s="134"/>
      <c r="B35" s="138" t="s">
        <v>295</v>
      </c>
      <c r="C35" s="140"/>
      <c r="D35" s="140"/>
      <c r="E35" s="140"/>
      <c r="F35" s="139">
        <f t="shared" si="0"/>
        <v>0</v>
      </c>
      <c r="G35" s="140"/>
      <c r="H35" s="140"/>
      <c r="I35" s="136"/>
    </row>
    <row r="36" spans="1:9" ht="18" customHeight="1">
      <c r="A36" s="134"/>
      <c r="B36" s="138" t="s">
        <v>296</v>
      </c>
      <c r="C36" s="140"/>
      <c r="D36" s="140"/>
      <c r="E36" s="140"/>
      <c r="F36" s="139">
        <f t="shared" si="0"/>
        <v>0</v>
      </c>
      <c r="G36" s="140"/>
      <c r="H36" s="140"/>
      <c r="I36" s="136"/>
    </row>
    <row r="37" spans="1:9" ht="18" customHeight="1">
      <c r="A37" s="134"/>
      <c r="B37" s="138" t="s">
        <v>297</v>
      </c>
      <c r="C37" s="140"/>
      <c r="D37" s="140"/>
      <c r="E37" s="140"/>
      <c r="F37" s="139">
        <f t="shared" si="0"/>
        <v>0</v>
      </c>
      <c r="G37" s="140"/>
      <c r="H37" s="140"/>
      <c r="I37" s="136"/>
    </row>
    <row r="38" spans="1:9" ht="18" customHeight="1">
      <c r="A38" s="134"/>
      <c r="B38" s="135"/>
      <c r="C38" s="140"/>
      <c r="D38" s="140"/>
      <c r="E38" s="140"/>
      <c r="F38" s="139">
        <f t="shared" si="0"/>
        <v>0</v>
      </c>
      <c r="G38" s="140"/>
      <c r="H38" s="140"/>
      <c r="I38" s="136"/>
    </row>
    <row r="39" spans="1:9" ht="18" customHeight="1">
      <c r="A39" s="134" t="s">
        <v>298</v>
      </c>
      <c r="B39" s="135"/>
      <c r="C39" s="140"/>
      <c r="D39" s="140"/>
      <c r="E39" s="140"/>
      <c r="F39" s="139">
        <f t="shared" si="0"/>
        <v>0</v>
      </c>
      <c r="G39" s="140"/>
      <c r="H39" s="140"/>
      <c r="I39" s="136"/>
    </row>
    <row r="40" spans="1:9" ht="18" customHeight="1">
      <c r="A40" s="134"/>
      <c r="B40" s="138" t="s">
        <v>299</v>
      </c>
      <c r="C40" s="140"/>
      <c r="D40" s="140"/>
      <c r="E40" s="140"/>
      <c r="F40" s="139">
        <f t="shared" si="0"/>
        <v>0</v>
      </c>
      <c r="G40" s="140"/>
      <c r="H40" s="140"/>
      <c r="I40" s="136"/>
    </row>
    <row r="41" spans="1:9" ht="18" customHeight="1">
      <c r="A41" s="134"/>
      <c r="B41" s="138" t="s">
        <v>300</v>
      </c>
      <c r="C41" s="140"/>
      <c r="D41" s="140"/>
      <c r="E41" s="140"/>
      <c r="F41" s="139">
        <f t="shared" si="0"/>
        <v>0</v>
      </c>
      <c r="G41" s="140"/>
      <c r="H41" s="140"/>
      <c r="I41" s="136"/>
    </row>
    <row r="42" spans="1:9" ht="18" customHeight="1">
      <c r="A42" s="134"/>
      <c r="B42" s="135"/>
      <c r="C42" s="140"/>
      <c r="D42" s="140"/>
      <c r="E42" s="140"/>
      <c r="F42" s="139">
        <f t="shared" si="0"/>
        <v>0</v>
      </c>
      <c r="G42" s="140"/>
      <c r="H42" s="140"/>
      <c r="I42" s="136"/>
    </row>
    <row r="43" spans="1:9" ht="18" customHeight="1">
      <c r="A43" s="134"/>
      <c r="B43" s="135"/>
      <c r="C43" s="140"/>
      <c r="D43" s="140"/>
      <c r="E43" s="140"/>
      <c r="F43" s="139">
        <f t="shared" si="0"/>
        <v>0</v>
      </c>
      <c r="G43" s="140"/>
      <c r="H43" s="140"/>
      <c r="I43" s="136"/>
    </row>
    <row r="44" spans="1:9" ht="18" customHeight="1">
      <c r="A44" s="141"/>
      <c r="B44" s="142"/>
      <c r="C44" s="143" t="s">
        <v>301</v>
      </c>
      <c r="D44" s="144"/>
      <c r="E44" s="144"/>
      <c r="F44" s="145">
        <f>SUM(F9:F43)</f>
        <v>4</v>
      </c>
      <c r="G44" s="146">
        <f>COUNTA(G9:G43)</f>
        <v>4</v>
      </c>
      <c r="H44" s="146">
        <f t="shared" ref="H44:I44" si="1">COUNTA(H9:H43)</f>
        <v>0</v>
      </c>
      <c r="I44" s="146">
        <f t="shared" si="1"/>
        <v>0</v>
      </c>
    </row>
    <row r="45" spans="1:9" ht="18" customHeight="1">
      <c r="A45" s="134"/>
      <c r="B45" s="135"/>
      <c r="C45" s="140"/>
      <c r="D45" s="140"/>
      <c r="E45" s="140"/>
      <c r="F45" s="147"/>
      <c r="G45" s="148">
        <f>G44/F44</f>
        <v>1</v>
      </c>
      <c r="H45" s="148">
        <f>H44/F44</f>
        <v>0</v>
      </c>
      <c r="I45" s="148">
        <f>I44/F44</f>
        <v>0</v>
      </c>
    </row>
    <row r="46" spans="1:9" ht="18" customHeight="1">
      <c r="A46" s="134"/>
      <c r="B46" s="135"/>
      <c r="C46" s="140"/>
      <c r="D46" s="140"/>
      <c r="E46" s="140"/>
      <c r="F46" s="149" t="s">
        <v>302</v>
      </c>
      <c r="G46" s="150" t="s">
        <v>140</v>
      </c>
      <c r="H46" s="150" t="s">
        <v>141</v>
      </c>
      <c r="I46" s="150" t="s">
        <v>142</v>
      </c>
    </row>
    <row r="47" spans="1:9">
      <c r="A47" s="151" t="s">
        <v>303</v>
      </c>
    </row>
    <row r="48" spans="1:9">
      <c r="A48" s="152" t="s">
        <v>304</v>
      </c>
    </row>
    <row r="49" spans="1:11">
      <c r="A49" s="152" t="s">
        <v>305</v>
      </c>
    </row>
    <row r="50" spans="1:11">
      <c r="A50" s="152" t="s">
        <v>306</v>
      </c>
    </row>
    <row r="51" spans="1:11">
      <c r="A51" s="152" t="s">
        <v>307</v>
      </c>
    </row>
    <row r="52" spans="1:11">
      <c r="A52" s="152" t="s">
        <v>308</v>
      </c>
    </row>
    <row r="53" spans="1:11">
      <c r="A53" s="152" t="s">
        <v>309</v>
      </c>
    </row>
    <row r="54" spans="1:11">
      <c r="A54" s="152" t="s">
        <v>310</v>
      </c>
    </row>
    <row r="55" spans="1:11">
      <c r="A55" s="152" t="s">
        <v>311</v>
      </c>
    </row>
    <row r="56" spans="1:11">
      <c r="A56" s="152" t="s">
        <v>312</v>
      </c>
    </row>
    <row r="57" spans="1:11">
      <c r="A57" s="152" t="s">
        <v>313</v>
      </c>
    </row>
    <row r="58" spans="1:11">
      <c r="A58" s="152" t="s">
        <v>314</v>
      </c>
    </row>
    <row r="59" spans="1:11">
      <c r="A59" s="152" t="s">
        <v>315</v>
      </c>
    </row>
    <row r="60" spans="1:11">
      <c r="A60" s="152" t="s">
        <v>316</v>
      </c>
    </row>
    <row r="61" spans="1:11">
      <c r="A61" s="152" t="s">
        <v>317</v>
      </c>
    </row>
    <row r="62" spans="1:11">
      <c r="A62" s="153" t="s">
        <v>318</v>
      </c>
      <c r="B62" s="100"/>
      <c r="C62" s="100"/>
      <c r="D62" s="100"/>
      <c r="E62" s="100"/>
      <c r="F62" s="70"/>
      <c r="G62" s="100"/>
      <c r="H62" s="100"/>
      <c r="I62" s="100"/>
      <c r="J62" s="100"/>
      <c r="K62" s="100"/>
    </row>
    <row r="63" spans="1:11">
      <c r="A63" s="154" t="s">
        <v>319</v>
      </c>
      <c r="B63" s="154"/>
    </row>
    <row r="64" spans="1:11">
      <c r="A64" s="154" t="s">
        <v>320</v>
      </c>
      <c r="B64" s="154"/>
    </row>
    <row r="65" spans="1:11">
      <c r="A65" s="154" t="s">
        <v>321</v>
      </c>
      <c r="B65" s="154"/>
    </row>
    <row r="66" spans="1:11">
      <c r="A66" s="155" t="s">
        <v>322</v>
      </c>
      <c r="B66" s="155" t="s">
        <v>80</v>
      </c>
    </row>
    <row r="67" spans="1:11">
      <c r="A67" s="156">
        <v>1</v>
      </c>
      <c r="B67" s="156" t="s">
        <v>323</v>
      </c>
    </row>
    <row r="68" spans="1:11">
      <c r="A68" s="156">
        <v>2</v>
      </c>
      <c r="B68" s="156" t="s">
        <v>324</v>
      </c>
    </row>
    <row r="69" spans="1:11">
      <c r="A69" s="156">
        <v>3</v>
      </c>
      <c r="B69" s="156" t="s">
        <v>325</v>
      </c>
    </row>
    <row r="70" spans="1:11">
      <c r="A70" s="156">
        <v>4</v>
      </c>
      <c r="B70" s="156" t="s">
        <v>326</v>
      </c>
    </row>
    <row r="71" spans="1:11" ht="106.5" customHeight="1">
      <c r="A71" s="198" t="s">
        <v>327</v>
      </c>
      <c r="B71" s="198"/>
      <c r="C71" s="198"/>
      <c r="D71" s="198"/>
      <c r="E71" s="198"/>
      <c r="F71" s="198"/>
      <c r="G71" s="198"/>
      <c r="H71" s="198"/>
      <c r="I71" s="198"/>
      <c r="J71" s="198"/>
      <c r="K71" s="198"/>
    </row>
    <row r="72" spans="1:11" ht="21.75" customHeight="1">
      <c r="A72" s="100" t="s">
        <v>328</v>
      </c>
      <c r="B72" s="100"/>
      <c r="C72" s="100"/>
      <c r="D72" s="100"/>
      <c r="E72" s="100"/>
      <c r="F72" s="70"/>
      <c r="G72" s="100"/>
      <c r="H72" s="100"/>
      <c r="I72" s="100"/>
      <c r="J72" s="100"/>
      <c r="K72" s="100"/>
    </row>
    <row r="73" spans="1:11" ht="25.5" customHeight="1">
      <c r="A73" s="198" t="s">
        <v>329</v>
      </c>
      <c r="B73" s="198"/>
      <c r="C73" s="198"/>
      <c r="D73" s="198"/>
      <c r="E73" s="198"/>
      <c r="F73" s="198"/>
      <c r="G73" s="198"/>
      <c r="H73" s="198"/>
      <c r="I73" s="198"/>
      <c r="J73" s="198"/>
      <c r="K73" s="198"/>
    </row>
    <row r="74" spans="1:11" ht="25.5" customHeight="1">
      <c r="A74" s="100" t="s">
        <v>330</v>
      </c>
      <c r="B74" s="100"/>
      <c r="C74" s="100"/>
      <c r="D74" s="100"/>
      <c r="E74" s="100"/>
      <c r="F74" s="70"/>
      <c r="G74" s="100"/>
      <c r="H74" s="100"/>
      <c r="I74" s="100"/>
      <c r="J74" s="100"/>
      <c r="K74" s="100"/>
    </row>
    <row r="75" spans="1:11" ht="25.5" customHeight="1">
      <c r="A75" s="198" t="s">
        <v>331</v>
      </c>
      <c r="B75" s="198"/>
      <c r="C75" s="198"/>
      <c r="D75" s="198"/>
      <c r="E75" s="198"/>
      <c r="F75" s="198"/>
      <c r="G75" s="198"/>
      <c r="H75" s="198"/>
      <c r="I75" s="198"/>
      <c r="J75" s="198"/>
      <c r="K75" s="198"/>
    </row>
    <row r="76" spans="1:11" ht="34.5" customHeight="1">
      <c r="A76" s="198" t="s">
        <v>332</v>
      </c>
      <c r="B76" s="198"/>
      <c r="C76" s="198"/>
      <c r="D76" s="198"/>
      <c r="E76" s="198"/>
      <c r="F76" s="198"/>
      <c r="G76" s="198"/>
      <c r="H76" s="198"/>
      <c r="I76" s="198"/>
      <c r="J76" s="198"/>
      <c r="K76" s="198"/>
    </row>
    <row r="77" spans="1:11" ht="25.5" customHeight="1">
      <c r="A77" s="198" t="s">
        <v>333</v>
      </c>
      <c r="B77" s="198"/>
      <c r="C77" s="198"/>
      <c r="D77" s="198"/>
      <c r="E77" s="198"/>
      <c r="F77" s="198"/>
      <c r="G77" s="198"/>
      <c r="H77" s="198"/>
      <c r="I77" s="198"/>
      <c r="J77" s="198"/>
      <c r="K77" s="198"/>
    </row>
    <row r="78" spans="1:11" ht="25.5" customHeight="1">
      <c r="A78" s="100" t="s">
        <v>334</v>
      </c>
      <c r="B78" s="100"/>
      <c r="C78" s="100"/>
      <c r="D78" s="100"/>
      <c r="E78" s="100"/>
      <c r="F78" s="70"/>
      <c r="G78" s="100"/>
      <c r="H78" s="100"/>
      <c r="I78" s="100"/>
      <c r="J78" s="100"/>
      <c r="K78" s="100"/>
    </row>
    <row r="79" spans="1:11" ht="113.25" customHeight="1">
      <c r="A79" s="198" t="s">
        <v>335</v>
      </c>
      <c r="B79" s="198"/>
      <c r="C79" s="198"/>
      <c r="D79" s="198"/>
      <c r="E79" s="198"/>
      <c r="F79" s="198"/>
      <c r="G79" s="198"/>
      <c r="H79" s="198"/>
      <c r="I79" s="198"/>
      <c r="J79" s="198"/>
      <c r="K79" s="198"/>
    </row>
    <row r="80" spans="1:11" ht="25.5" customHeight="1">
      <c r="A80" s="198" t="s">
        <v>336</v>
      </c>
      <c r="B80" s="198"/>
      <c r="C80" s="198"/>
      <c r="D80" s="198"/>
      <c r="E80" s="198"/>
      <c r="F80" s="198"/>
      <c r="G80" s="198"/>
      <c r="H80" s="198"/>
      <c r="I80" s="198"/>
      <c r="J80" s="198"/>
      <c r="K80" s="198"/>
    </row>
    <row r="81" spans="1:11" ht="25.5" customHeight="1">
      <c r="A81" s="100" t="s">
        <v>337</v>
      </c>
      <c r="B81" s="100"/>
      <c r="C81" s="100"/>
      <c r="D81" s="100"/>
      <c r="E81" s="100"/>
      <c r="F81" s="70"/>
      <c r="G81" s="100"/>
      <c r="H81" s="100"/>
      <c r="I81" s="100"/>
      <c r="J81" s="100"/>
      <c r="K81" s="100"/>
    </row>
    <row r="82" spans="1:11" ht="25.5" customHeight="1">
      <c r="A82" s="198" t="s">
        <v>338</v>
      </c>
      <c r="B82" s="198"/>
      <c r="C82" s="198"/>
      <c r="D82" s="198"/>
      <c r="E82" s="198"/>
      <c r="F82" s="198"/>
      <c r="G82" s="198"/>
      <c r="H82" s="198"/>
      <c r="I82" s="198"/>
      <c r="J82" s="198"/>
      <c r="K82" s="198"/>
    </row>
    <row r="83" spans="1:11" ht="25.5" customHeight="1">
      <c r="A83" s="198" t="s">
        <v>339</v>
      </c>
      <c r="B83" s="198"/>
      <c r="C83" s="198"/>
      <c r="D83" s="198"/>
      <c r="E83" s="198"/>
      <c r="F83" s="198"/>
      <c r="G83" s="198"/>
      <c r="H83" s="198"/>
      <c r="I83" s="198"/>
      <c r="J83" s="198"/>
      <c r="K83" s="198"/>
    </row>
    <row r="84" spans="1:11" ht="25.5" customHeight="1">
      <c r="A84" s="198" t="s">
        <v>340</v>
      </c>
      <c r="B84" s="198"/>
      <c r="C84" s="198"/>
      <c r="D84" s="198"/>
      <c r="E84" s="198"/>
      <c r="F84" s="198"/>
      <c r="G84" s="198"/>
      <c r="H84" s="198"/>
      <c r="I84" s="198"/>
      <c r="J84" s="198"/>
      <c r="K84" s="198"/>
    </row>
    <row r="85" spans="1:11" ht="25.5" customHeight="1">
      <c r="A85" s="100" t="s">
        <v>341</v>
      </c>
      <c r="B85" s="100"/>
      <c r="C85" s="100"/>
      <c r="D85" s="100"/>
      <c r="E85" s="100"/>
      <c r="F85" s="70"/>
      <c r="G85" s="100"/>
      <c r="H85" s="100"/>
      <c r="I85" s="100"/>
      <c r="J85" s="100"/>
      <c r="K85" s="100"/>
    </row>
    <row r="86" spans="1:11" ht="104.25" customHeight="1">
      <c r="A86" s="198" t="s">
        <v>342</v>
      </c>
      <c r="B86" s="198"/>
      <c r="C86" s="198"/>
      <c r="D86" s="198"/>
      <c r="E86" s="198"/>
      <c r="F86" s="198"/>
      <c r="G86" s="198"/>
      <c r="H86" s="198"/>
      <c r="I86" s="198"/>
      <c r="J86" s="198"/>
      <c r="K86" s="198"/>
    </row>
    <row r="87" spans="1:11" ht="25.5" customHeight="1">
      <c r="A87" s="198" t="s">
        <v>343</v>
      </c>
      <c r="B87" s="198"/>
      <c r="C87" s="198"/>
      <c r="D87" s="198"/>
      <c r="E87" s="198"/>
      <c r="F87" s="198"/>
      <c r="G87" s="198"/>
      <c r="H87" s="198"/>
      <c r="I87" s="198"/>
      <c r="J87" s="198"/>
      <c r="K87" s="198"/>
    </row>
    <row r="88" spans="1:11" ht="25.5" customHeight="1">
      <c r="A88" s="198" t="s">
        <v>344</v>
      </c>
      <c r="B88" s="198"/>
      <c r="C88" s="198"/>
      <c r="D88" s="198"/>
      <c r="E88" s="198"/>
      <c r="F88" s="198"/>
      <c r="G88" s="198"/>
      <c r="H88" s="198"/>
      <c r="I88" s="198"/>
      <c r="J88" s="198"/>
      <c r="K88" s="198"/>
    </row>
    <row r="89" spans="1:11" ht="25.5" customHeight="1">
      <c r="A89" s="100" t="s">
        <v>345</v>
      </c>
      <c r="B89" s="100"/>
      <c r="C89" s="100"/>
      <c r="D89" s="100"/>
      <c r="E89" s="100"/>
      <c r="F89" s="70"/>
      <c r="G89" s="100"/>
      <c r="H89" s="100"/>
      <c r="I89" s="100"/>
      <c r="J89" s="100"/>
      <c r="K89" s="100"/>
    </row>
    <row r="90" spans="1:11" ht="25.5" customHeight="1">
      <c r="A90" s="198" t="s">
        <v>105</v>
      </c>
      <c r="B90" s="198"/>
      <c r="C90" s="198"/>
      <c r="D90" s="198"/>
      <c r="E90" s="198"/>
      <c r="F90" s="198"/>
      <c r="G90" s="198"/>
      <c r="H90" s="198"/>
      <c r="I90" s="198"/>
      <c r="J90" s="198"/>
      <c r="K90" s="198"/>
    </row>
    <row r="91" spans="1:11" ht="19.5" customHeight="1">
      <c r="A91" s="153" t="s">
        <v>346</v>
      </c>
      <c r="B91" s="125"/>
      <c r="C91" s="125"/>
      <c r="D91" s="125"/>
      <c r="E91" s="125"/>
      <c r="F91" s="125"/>
      <c r="G91" s="125"/>
      <c r="H91" s="125"/>
      <c r="I91" s="125"/>
      <c r="J91" s="125"/>
      <c r="K91" s="125"/>
    </row>
    <row r="92" spans="1:11" ht="18.75" customHeight="1" thickBot="1">
      <c r="A92" s="199" t="s">
        <v>347</v>
      </c>
      <c r="B92" s="199"/>
      <c r="C92" s="199"/>
      <c r="D92" s="199"/>
      <c r="E92" s="199"/>
      <c r="F92" s="199"/>
      <c r="G92" s="199"/>
    </row>
    <row r="93" spans="1:11" s="129" customFormat="1" ht="37.5" customHeight="1" thickBot="1">
      <c r="B93" s="157" t="s">
        <v>225</v>
      </c>
      <c r="C93" s="196" t="s">
        <v>348</v>
      </c>
      <c r="D93" s="196"/>
      <c r="E93" s="158"/>
    </row>
    <row r="94" spans="1:11" s="129" customFormat="1" ht="18.75" customHeight="1" thickBot="1">
      <c r="B94" s="159" t="s">
        <v>216</v>
      </c>
      <c r="C94" s="197" t="s">
        <v>217</v>
      </c>
      <c r="D94" s="197"/>
      <c r="E94" s="158"/>
    </row>
    <row r="95" spans="1:11" s="129" customFormat="1" ht="18.75" customHeight="1" thickBot="1">
      <c r="B95" s="159" t="s">
        <v>219</v>
      </c>
      <c r="C95" s="197" t="s">
        <v>220</v>
      </c>
      <c r="D95" s="197"/>
      <c r="E95" s="158"/>
    </row>
    <row r="96" spans="1:11" s="129" customFormat="1" ht="18.75" customHeight="1" thickBot="1">
      <c r="B96" s="159" t="s">
        <v>221</v>
      </c>
      <c r="C96" s="197" t="s">
        <v>222</v>
      </c>
      <c r="D96" s="197"/>
      <c r="E96" s="158"/>
    </row>
    <row r="97" spans="6:6" s="129" customFormat="1" ht="18.75" customHeight="1">
      <c r="F97" s="158"/>
    </row>
    <row r="98" spans="6:6" s="129" customFormat="1" ht="18.75" customHeight="1">
      <c r="F98" s="158"/>
    </row>
    <row r="99" spans="6:6" s="129" customFormat="1" ht="18.75" customHeight="1">
      <c r="F99" s="158"/>
    </row>
    <row r="100" spans="6:6" s="129" customFormat="1" ht="18.75" customHeight="1">
      <c r="F100" s="158"/>
    </row>
    <row r="101" spans="6:6" s="129" customFormat="1" ht="18.75" customHeight="1">
      <c r="F101" s="158"/>
    </row>
    <row r="102" spans="6:6" s="129" customFormat="1" ht="18.75" customHeight="1">
      <c r="F102" s="158"/>
    </row>
    <row r="103" spans="6:6" s="129" customFormat="1" ht="18.75" customHeight="1">
      <c r="F103" s="158"/>
    </row>
    <row r="104" spans="6:6" s="129" customFormat="1" ht="18.75" customHeight="1">
      <c r="F104" s="158"/>
    </row>
    <row r="105" spans="6:6" s="129" customFormat="1" ht="18.75" customHeight="1">
      <c r="F105" s="158"/>
    </row>
    <row r="106" spans="6:6" s="129" customFormat="1" ht="18.75" customHeight="1">
      <c r="F106" s="158"/>
    </row>
    <row r="107" spans="6:6" s="129" customFormat="1" ht="18.75" customHeight="1">
      <c r="F107" s="158"/>
    </row>
    <row r="108" spans="6:6" s="129" customFormat="1" ht="18.75" customHeight="1">
      <c r="F108" s="158"/>
    </row>
    <row r="109" spans="6:6" s="129" customFormat="1" ht="18.75" customHeight="1">
      <c r="F109" s="158"/>
    </row>
    <row r="110" spans="6:6" s="129" customFormat="1" ht="18.75" customHeight="1">
      <c r="F110" s="158"/>
    </row>
    <row r="111" spans="6:6" s="129" customFormat="1" ht="18.75" customHeight="1">
      <c r="F111" s="158"/>
    </row>
    <row r="112" spans="6:6" s="129" customFormat="1" ht="18.75" customHeight="1">
      <c r="F112" s="158"/>
    </row>
    <row r="113" spans="6:6" s="129" customFormat="1" ht="18.75" customHeight="1">
      <c r="F113" s="158"/>
    </row>
    <row r="114" spans="6:6" s="129" customFormat="1" ht="18.75" customHeight="1">
      <c r="F114" s="158"/>
    </row>
    <row r="115" spans="6:6" s="129" customFormat="1" ht="18.75" customHeight="1">
      <c r="F115" s="158"/>
    </row>
    <row r="116" spans="6:6" s="129" customFormat="1" ht="18.75" customHeight="1">
      <c r="F116" s="158"/>
    </row>
    <row r="117" spans="6:6" s="129" customFormat="1" ht="18.75" customHeight="1">
      <c r="F117" s="158"/>
    </row>
    <row r="118" spans="6:6" s="129" customFormat="1" ht="18.75" customHeight="1">
      <c r="F118" s="158"/>
    </row>
    <row r="119" spans="6:6" s="129" customFormat="1" ht="18.75" customHeight="1">
      <c r="F119" s="158"/>
    </row>
    <row r="120" spans="6:6" s="129" customFormat="1" ht="18.75" customHeight="1">
      <c r="F120" s="158"/>
    </row>
    <row r="121" spans="6:6" s="129" customFormat="1" ht="18.75" customHeight="1">
      <c r="F121" s="158"/>
    </row>
    <row r="122" spans="6:6" s="129" customFormat="1" ht="18.75" customHeight="1">
      <c r="F122" s="158"/>
    </row>
    <row r="123" spans="6:6" s="129" customFormat="1" ht="18.75" customHeight="1">
      <c r="F123" s="158"/>
    </row>
    <row r="124" spans="6:6" s="129" customFormat="1" ht="18.75" customHeight="1">
      <c r="F124" s="158"/>
    </row>
    <row r="125" spans="6:6" s="129" customFormat="1" ht="18.75" customHeight="1">
      <c r="F125" s="158"/>
    </row>
    <row r="126" spans="6:6" s="129" customFormat="1" ht="18.75" customHeight="1">
      <c r="F126" s="158"/>
    </row>
    <row r="127" spans="6:6" s="129" customFormat="1" ht="18.75" customHeight="1">
      <c r="F127" s="158"/>
    </row>
    <row r="128" spans="6:6" s="129" customFormat="1" ht="18.75" customHeight="1">
      <c r="F128" s="158"/>
    </row>
    <row r="129" spans="1:6" s="129" customFormat="1" ht="18.75" customHeight="1">
      <c r="F129" s="158"/>
    </row>
    <row r="130" spans="1:6" s="129" customFormat="1" ht="18.75" customHeight="1">
      <c r="F130" s="158"/>
    </row>
    <row r="131" spans="1:6" s="129" customFormat="1" ht="18.75" customHeight="1">
      <c r="F131" s="158"/>
    </row>
    <row r="132" spans="1:6" s="129" customFormat="1" ht="12.75">
      <c r="F132" s="158"/>
    </row>
    <row r="133" spans="1:6" s="129" customFormat="1" ht="12.75">
      <c r="F133" s="158"/>
    </row>
    <row r="134" spans="1:6" s="129" customFormat="1" ht="12.75">
      <c r="F134" s="158"/>
    </row>
    <row r="135" spans="1:6" s="129" customFormat="1" ht="12.75">
      <c r="F135" s="158"/>
    </row>
    <row r="136" spans="1:6" s="129" customFormat="1" ht="12.75">
      <c r="F136" s="158"/>
    </row>
    <row r="137" spans="1:6" s="129" customFormat="1" ht="12.75">
      <c r="F137" s="158"/>
    </row>
    <row r="138" spans="1:6" s="129" customFormat="1" ht="12.75">
      <c r="F138" s="158"/>
    </row>
    <row r="139" spans="1:6" s="129" customFormat="1" ht="12.75">
      <c r="A139" s="129" t="s">
        <v>349</v>
      </c>
      <c r="F139" s="158"/>
    </row>
    <row r="140" spans="1:6" s="129" customFormat="1" ht="12.75">
      <c r="A140" s="129" t="s">
        <v>108</v>
      </c>
      <c r="F140" s="158"/>
    </row>
    <row r="141" spans="1:6" s="129" customFormat="1" ht="12.75">
      <c r="F141" s="158"/>
    </row>
    <row r="142" spans="1:6" s="129" customFormat="1" ht="12.75">
      <c r="F142" s="158"/>
    </row>
    <row r="143" spans="1:6" s="129" customFormat="1" ht="12.75">
      <c r="F143" s="158"/>
    </row>
    <row r="144" spans="1:6" s="129" customFormat="1" ht="12.75">
      <c r="F144" s="158"/>
    </row>
    <row r="145" spans="1:6" s="129" customFormat="1" ht="12.75">
      <c r="F145" s="158"/>
    </row>
    <row r="146" spans="1:6" s="129" customFormat="1" ht="12.75">
      <c r="A146" s="129" t="s">
        <v>350</v>
      </c>
      <c r="F146" s="158"/>
    </row>
    <row r="147" spans="1:6" s="129" customFormat="1" ht="12.75">
      <c r="A147" s="129" t="s">
        <v>351</v>
      </c>
      <c r="F147" s="158"/>
    </row>
    <row r="148" spans="1:6" s="129" customFormat="1" ht="12.75">
      <c r="A148" s="129" t="s">
        <v>352</v>
      </c>
      <c r="F148" s="158"/>
    </row>
    <row r="149" spans="1:6" s="129" customFormat="1" ht="12.75">
      <c r="A149" s="129" t="s">
        <v>112</v>
      </c>
      <c r="F149" s="158"/>
    </row>
    <row r="150" spans="1:6" s="129" customFormat="1" ht="12.75">
      <c r="F150" s="158"/>
    </row>
    <row r="151" spans="1:6" s="129" customFormat="1" ht="12.75">
      <c r="F151" s="158"/>
    </row>
    <row r="152" spans="1:6" s="129" customFormat="1" ht="12.75">
      <c r="F152" s="158"/>
    </row>
    <row r="153" spans="1:6" s="129" customFormat="1" ht="12.75">
      <c r="F153" s="158"/>
    </row>
    <row r="154" spans="1:6" s="129" customFormat="1" ht="12.75">
      <c r="F154" s="158"/>
    </row>
    <row r="155" spans="1:6" s="129" customFormat="1" ht="12.75">
      <c r="F155" s="158"/>
    </row>
    <row r="156" spans="1:6" s="129" customFormat="1" ht="12.75">
      <c r="F156" s="158"/>
    </row>
    <row r="157" spans="1:6" s="129" customFormat="1" ht="12.75">
      <c r="F157" s="158"/>
    </row>
    <row r="158" spans="1:6" s="129" customFormat="1" ht="12.75">
      <c r="F158" s="158"/>
    </row>
    <row r="159" spans="1:6" s="129" customFormat="1" ht="12.75">
      <c r="F159" s="158"/>
    </row>
    <row r="160" spans="1:6" s="129" customFormat="1" ht="12.75">
      <c r="F160" s="158"/>
    </row>
    <row r="161" spans="6:6" s="129" customFormat="1" ht="12.75">
      <c r="F161" s="158"/>
    </row>
    <row r="162" spans="6:6" s="129" customFormat="1" ht="12.75">
      <c r="F162" s="158"/>
    </row>
    <row r="163" spans="6:6" s="129" customFormat="1" ht="12.75">
      <c r="F163" s="158"/>
    </row>
    <row r="164" spans="6:6" s="129" customFormat="1" ht="12.75">
      <c r="F164" s="158"/>
    </row>
    <row r="165" spans="6:6" s="129" customFormat="1" ht="12.75">
      <c r="F165" s="158"/>
    </row>
    <row r="166" spans="6:6" s="129" customFormat="1" ht="12.75">
      <c r="F166" s="158"/>
    </row>
    <row r="167" spans="6:6" s="129" customFormat="1" ht="12.75">
      <c r="F167" s="158"/>
    </row>
    <row r="168" spans="6:6" s="129" customFormat="1" ht="12.75">
      <c r="F168" s="158"/>
    </row>
    <row r="169" spans="6:6" s="129" customFormat="1" ht="12.75">
      <c r="F169" s="158"/>
    </row>
    <row r="170" spans="6:6" s="129" customFormat="1" ht="12.75">
      <c r="F170" s="158"/>
    </row>
    <row r="171" spans="6:6" s="129" customFormat="1" ht="12.75">
      <c r="F171" s="158"/>
    </row>
    <row r="172" spans="6:6" s="129" customFormat="1" ht="12.75">
      <c r="F172" s="158"/>
    </row>
    <row r="173" spans="6:6" s="129" customFormat="1" ht="12.75">
      <c r="F173" s="158"/>
    </row>
    <row r="174" spans="6:6" s="129" customFormat="1" ht="12.75">
      <c r="F174" s="158"/>
    </row>
    <row r="175" spans="6:6" s="129" customFormat="1" ht="12.75">
      <c r="F175" s="158"/>
    </row>
    <row r="176" spans="6:6" s="129" customFormat="1" ht="12.75">
      <c r="F176" s="158"/>
    </row>
    <row r="177" spans="6:6" s="129" customFormat="1" ht="12.75">
      <c r="F177" s="158"/>
    </row>
    <row r="178" spans="6:6" s="129" customFormat="1" ht="12.75">
      <c r="F178" s="158"/>
    </row>
    <row r="179" spans="6:6" s="129" customFormat="1" ht="12.75">
      <c r="F179" s="158"/>
    </row>
    <row r="180" spans="6:6" s="129" customFormat="1" ht="12.75">
      <c r="F180" s="158"/>
    </row>
    <row r="181" spans="6:6" s="129" customFormat="1" ht="12.75">
      <c r="F181" s="158"/>
    </row>
    <row r="182" spans="6:6" s="129" customFormat="1" ht="12.75">
      <c r="F182" s="158"/>
    </row>
    <row r="183" spans="6:6" s="129" customFormat="1" ht="12.75">
      <c r="F183" s="158"/>
    </row>
    <row r="184" spans="6:6" s="129" customFormat="1" ht="12.75">
      <c r="F184" s="158"/>
    </row>
  </sheetData>
  <mergeCells count="22">
    <mergeCell ref="A83:K83"/>
    <mergeCell ref="A1:I1"/>
    <mergeCell ref="A2:I2"/>
    <mergeCell ref="D7:E7"/>
    <mergeCell ref="A71:K71"/>
    <mergeCell ref="A73:K73"/>
    <mergeCell ref="A75:K75"/>
    <mergeCell ref="A76:K76"/>
    <mergeCell ref="A77:K77"/>
    <mergeCell ref="A79:K79"/>
    <mergeCell ref="A80:K80"/>
    <mergeCell ref="A82:K82"/>
    <mergeCell ref="C93:D93"/>
    <mergeCell ref="C94:D94"/>
    <mergeCell ref="C95:D95"/>
    <mergeCell ref="C96:D96"/>
    <mergeCell ref="A84:K84"/>
    <mergeCell ref="A86:K86"/>
    <mergeCell ref="A87:K87"/>
    <mergeCell ref="A88:K88"/>
    <mergeCell ref="A90:K90"/>
    <mergeCell ref="A92:G92"/>
  </mergeCells>
  <phoneticPr fontId="2" type="noConversion"/>
  <dataValidations count="1">
    <dataValidation type="list" allowBlank="1" showInputMessage="1" showErrorMessage="1" sqref="G9:G16">
      <formula1>$A$146:$A$149</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6"/>
  <sheetViews>
    <sheetView tabSelected="1" view="pageBreakPreview" topLeftCell="A7" zoomScale="120" zoomScaleNormal="120" zoomScaleSheetLayoutView="120" workbookViewId="0">
      <selection activeCell="B8" sqref="B8"/>
    </sheetView>
  </sheetViews>
  <sheetFormatPr defaultRowHeight="15.75"/>
  <cols>
    <col min="1" max="1" width="4.875" style="81" customWidth="1"/>
    <col min="2" max="2" width="53.625" style="81" customWidth="1"/>
    <col min="3" max="3" width="12.375" style="81" customWidth="1"/>
    <col min="4" max="4" width="4.375" style="81" customWidth="1"/>
    <col min="5" max="5" width="32.375" style="81" customWidth="1"/>
    <col min="6" max="6" width="11.375" style="68" customWidth="1"/>
    <col min="7" max="7" width="14" style="81" customWidth="1"/>
    <col min="8" max="8" width="9" style="81" customWidth="1"/>
    <col min="9" max="9" width="13.25" style="81" customWidth="1"/>
    <col min="10" max="16384" width="9" style="81"/>
  </cols>
  <sheetData>
    <row r="1" spans="1:9" ht="21.75" customHeight="1">
      <c r="A1" s="191" t="s">
        <v>24</v>
      </c>
      <c r="B1" s="191"/>
      <c r="C1" s="191"/>
      <c r="D1" s="191"/>
      <c r="E1" s="191"/>
      <c r="F1" s="191"/>
      <c r="G1" s="191"/>
      <c r="H1" s="191"/>
      <c r="I1" s="191"/>
    </row>
    <row r="2" spans="1:9" ht="27.95" customHeight="1">
      <c r="A2" s="192" t="s">
        <v>361</v>
      </c>
      <c r="B2" s="193"/>
      <c r="C2" s="193"/>
      <c r="D2" s="193"/>
      <c r="E2" s="193"/>
      <c r="F2" s="193"/>
      <c r="G2" s="193"/>
      <c r="H2" s="193"/>
      <c r="I2" s="193"/>
    </row>
    <row r="3" spans="1:9" ht="20.100000000000001" customHeight="1">
      <c r="A3" s="82" t="str">
        <f>'B23-1了解收入循环流程和内部控制记录表'!A3</f>
        <v>客户名称：</v>
      </c>
      <c r="C3" s="82" t="str">
        <f>'B23-1了解收入循环流程和内部控制记录表'!C3</f>
        <v>编制人：</v>
      </c>
      <c r="F3" s="82" t="str">
        <f>'B23-1了解收入循环流程和内部控制记录表'!D3</f>
        <v>日 期：</v>
      </c>
      <c r="I3" s="82" t="s">
        <v>257</v>
      </c>
    </row>
    <row r="4" spans="1:9" ht="20.100000000000001" customHeight="1">
      <c r="A4" s="82" t="str">
        <f>'B23-1了解收入循环流程和内部控制记录表'!A4</f>
        <v>会计期间：2013年度</v>
      </c>
      <c r="C4" s="82" t="s">
        <v>6</v>
      </c>
      <c r="F4" s="82" t="s">
        <v>48</v>
      </c>
      <c r="I4" s="82" t="s">
        <v>49</v>
      </c>
    </row>
    <row r="5" spans="1:9" ht="6" customHeight="1">
      <c r="A5" s="82"/>
      <c r="C5" s="82"/>
      <c r="E5" s="82"/>
      <c r="I5" s="82"/>
    </row>
    <row r="6" spans="1:9" ht="20.100000000000001" customHeight="1">
      <c r="A6" s="102" t="s">
        <v>211</v>
      </c>
      <c r="C6" s="82"/>
      <c r="E6" s="82"/>
      <c r="I6" s="82"/>
    </row>
    <row r="7" spans="1:9" s="83" customFormat="1" ht="56.25" customHeight="1">
      <c r="A7" s="72" t="s">
        <v>151</v>
      </c>
      <c r="B7" s="72" t="s">
        <v>106</v>
      </c>
      <c r="C7" s="72" t="s">
        <v>152</v>
      </c>
      <c r="D7" s="203" t="s">
        <v>113</v>
      </c>
      <c r="E7" s="203"/>
      <c r="F7" s="61" t="s">
        <v>136</v>
      </c>
      <c r="G7" s="61" t="s">
        <v>137</v>
      </c>
      <c r="H7" s="61" t="s">
        <v>138</v>
      </c>
      <c r="I7" s="61" t="s">
        <v>139</v>
      </c>
    </row>
    <row r="8" spans="1:9" s="83" customFormat="1">
      <c r="A8" s="84" t="s">
        <v>153</v>
      </c>
      <c r="B8" s="60"/>
      <c r="C8" s="60"/>
      <c r="D8" s="85"/>
      <c r="E8" s="54"/>
      <c r="F8" s="65"/>
      <c r="G8" s="60"/>
      <c r="H8" s="60"/>
      <c r="I8" s="60"/>
    </row>
    <row r="9" spans="1:9" s="83" customFormat="1" ht="18" customHeight="1">
      <c r="A9" s="86" t="s">
        <v>56</v>
      </c>
      <c r="B9" s="38"/>
      <c r="C9" s="87"/>
      <c r="D9" s="87"/>
      <c r="E9" s="87"/>
      <c r="F9" s="66"/>
      <c r="G9" s="87"/>
      <c r="H9" s="87"/>
      <c r="I9" s="87"/>
    </row>
    <row r="10" spans="1:9" s="83" customFormat="1" ht="18" customHeight="1">
      <c r="A10" s="86"/>
      <c r="B10" s="80" t="s">
        <v>176</v>
      </c>
      <c r="C10" s="87"/>
      <c r="D10" s="87">
        <v>1</v>
      </c>
      <c r="E10" s="126"/>
      <c r="F10" s="67">
        <f>IF(OR(G10&lt;&gt;0,H10&lt;&gt;0,I10&lt;&gt;0),1,0)</f>
        <v>0</v>
      </c>
      <c r="G10" s="87"/>
      <c r="H10" s="87"/>
      <c r="I10" s="87"/>
    </row>
    <row r="11" spans="1:9" s="83" customFormat="1" ht="18" customHeight="1">
      <c r="A11" s="86"/>
      <c r="B11" s="38"/>
      <c r="C11" s="87"/>
      <c r="D11" s="87">
        <v>2</v>
      </c>
      <c r="E11" s="126"/>
      <c r="F11" s="67">
        <f t="shared" ref="F11:F44" si="0">IF(OR(G11&lt;&gt;0,H11&lt;&gt;0,I11&lt;&gt;0),1,0)</f>
        <v>0</v>
      </c>
      <c r="G11" s="87"/>
      <c r="H11" s="87"/>
      <c r="I11" s="87"/>
    </row>
    <row r="12" spans="1:9" s="83" customFormat="1" ht="18" customHeight="1">
      <c r="A12" s="86"/>
      <c r="B12" s="38"/>
      <c r="C12" s="87"/>
      <c r="D12" s="87" t="s">
        <v>15</v>
      </c>
      <c r="E12" s="87"/>
      <c r="F12" s="67">
        <f t="shared" si="0"/>
        <v>0</v>
      </c>
      <c r="G12" s="87"/>
      <c r="H12" s="126"/>
      <c r="I12" s="87"/>
    </row>
    <row r="13" spans="1:9" ht="18" customHeight="1">
      <c r="A13" s="86"/>
      <c r="B13" s="80" t="s">
        <v>177</v>
      </c>
      <c r="C13" s="88"/>
      <c r="D13" s="88"/>
      <c r="E13" s="88"/>
      <c r="F13" s="67">
        <f t="shared" si="0"/>
        <v>0</v>
      </c>
      <c r="G13" s="87"/>
      <c r="H13" s="88"/>
      <c r="I13" s="87"/>
    </row>
    <row r="14" spans="1:9" ht="18" customHeight="1">
      <c r="A14" s="86" t="s">
        <v>57</v>
      </c>
      <c r="B14" s="38"/>
      <c r="C14" s="88"/>
      <c r="D14" s="88"/>
      <c r="E14" s="88"/>
      <c r="F14" s="67">
        <f t="shared" si="0"/>
        <v>0</v>
      </c>
      <c r="G14" s="87"/>
      <c r="H14" s="88"/>
      <c r="I14" s="126"/>
    </row>
    <row r="15" spans="1:9" ht="18" customHeight="1">
      <c r="A15" s="86"/>
      <c r="B15" s="80" t="s">
        <v>178</v>
      </c>
      <c r="C15" s="88"/>
      <c r="D15" s="88">
        <v>1</v>
      </c>
      <c r="E15" s="127"/>
      <c r="F15" s="67">
        <f t="shared" si="0"/>
        <v>0</v>
      </c>
      <c r="G15" s="87"/>
      <c r="H15" s="88"/>
      <c r="I15" s="126"/>
    </row>
    <row r="16" spans="1:9" ht="18" customHeight="1">
      <c r="A16" s="86"/>
      <c r="B16" s="80"/>
      <c r="C16" s="88"/>
      <c r="D16" s="88">
        <v>2</v>
      </c>
      <c r="E16" s="127"/>
      <c r="F16" s="67">
        <f t="shared" si="0"/>
        <v>0</v>
      </c>
      <c r="G16" s="87"/>
      <c r="H16" s="88"/>
      <c r="I16" s="126"/>
    </row>
    <row r="17" spans="1:9" ht="18" customHeight="1">
      <c r="A17" s="86"/>
      <c r="B17" s="80"/>
      <c r="C17" s="88"/>
      <c r="D17" s="88"/>
      <c r="E17" s="88"/>
      <c r="F17" s="67">
        <f t="shared" si="0"/>
        <v>0</v>
      </c>
      <c r="G17" s="87"/>
      <c r="H17" s="88"/>
      <c r="I17" s="126"/>
    </row>
    <row r="18" spans="1:9" ht="18" customHeight="1">
      <c r="A18" s="86"/>
      <c r="B18" s="80" t="s">
        <v>179</v>
      </c>
      <c r="C18" s="88"/>
      <c r="D18" s="88"/>
      <c r="E18" s="88"/>
      <c r="F18" s="67">
        <f t="shared" si="0"/>
        <v>0</v>
      </c>
      <c r="G18" s="88"/>
      <c r="H18" s="88"/>
      <c r="I18" s="87"/>
    </row>
    <row r="19" spans="1:9" ht="18" customHeight="1">
      <c r="A19" s="86"/>
      <c r="B19" s="80" t="s">
        <v>180</v>
      </c>
      <c r="C19" s="88"/>
      <c r="D19" s="88"/>
      <c r="E19" s="88"/>
      <c r="F19" s="67">
        <f t="shared" si="0"/>
        <v>0</v>
      </c>
      <c r="G19" s="88"/>
      <c r="H19" s="88"/>
      <c r="I19" s="87"/>
    </row>
    <row r="20" spans="1:9" ht="18" customHeight="1">
      <c r="A20" s="86"/>
      <c r="B20" s="80" t="s">
        <v>181</v>
      </c>
      <c r="C20" s="88"/>
      <c r="D20" s="88"/>
      <c r="E20" s="88"/>
      <c r="F20" s="67">
        <f t="shared" si="0"/>
        <v>0</v>
      </c>
      <c r="G20" s="88"/>
      <c r="H20" s="88"/>
      <c r="I20" s="87"/>
    </row>
    <row r="21" spans="1:9" ht="18" customHeight="1">
      <c r="A21" s="86"/>
      <c r="B21" s="80" t="s">
        <v>182</v>
      </c>
      <c r="C21" s="88"/>
      <c r="D21" s="88"/>
      <c r="E21" s="88"/>
      <c r="F21" s="67">
        <f t="shared" si="0"/>
        <v>0</v>
      </c>
      <c r="G21" s="88"/>
      <c r="H21" s="88"/>
      <c r="I21" s="87"/>
    </row>
    <row r="22" spans="1:9" ht="18" customHeight="1">
      <c r="A22" s="86"/>
      <c r="B22" s="80" t="s">
        <v>183</v>
      </c>
      <c r="C22" s="88"/>
      <c r="D22" s="88"/>
      <c r="E22" s="88"/>
      <c r="F22" s="67">
        <f t="shared" si="0"/>
        <v>0</v>
      </c>
      <c r="G22" s="88"/>
      <c r="H22" s="88"/>
      <c r="I22" s="87"/>
    </row>
    <row r="23" spans="1:9" ht="18" customHeight="1">
      <c r="A23" s="86"/>
      <c r="B23" s="38"/>
      <c r="C23" s="88"/>
      <c r="D23" s="88"/>
      <c r="E23" s="88"/>
      <c r="F23" s="67">
        <f t="shared" si="0"/>
        <v>0</v>
      </c>
      <c r="G23" s="88"/>
      <c r="H23" s="88"/>
      <c r="I23" s="87"/>
    </row>
    <row r="24" spans="1:9" ht="18" customHeight="1">
      <c r="A24" s="86" t="s">
        <v>58</v>
      </c>
      <c r="B24" s="38"/>
      <c r="C24" s="88"/>
      <c r="D24" s="88"/>
      <c r="E24" s="88"/>
      <c r="F24" s="67">
        <f t="shared" si="0"/>
        <v>0</v>
      </c>
      <c r="G24" s="88"/>
      <c r="H24" s="88"/>
      <c r="I24" s="87"/>
    </row>
    <row r="25" spans="1:9" ht="18" customHeight="1">
      <c r="A25" s="38"/>
      <c r="B25" s="80" t="s">
        <v>184</v>
      </c>
      <c r="C25" s="88"/>
      <c r="D25" s="88"/>
      <c r="E25" s="88"/>
      <c r="F25" s="67">
        <f t="shared" si="0"/>
        <v>0</v>
      </c>
      <c r="G25" s="88"/>
      <c r="H25" s="88"/>
      <c r="I25" s="87"/>
    </row>
    <row r="26" spans="1:9" ht="18" customHeight="1">
      <c r="A26" s="86"/>
      <c r="B26" s="80" t="s">
        <v>185</v>
      </c>
      <c r="C26" s="88"/>
      <c r="D26" s="88"/>
      <c r="E26" s="88"/>
      <c r="F26" s="67">
        <f t="shared" si="0"/>
        <v>0</v>
      </c>
      <c r="G26" s="88"/>
      <c r="H26" s="88"/>
      <c r="I26" s="87"/>
    </row>
    <row r="27" spans="1:9" ht="18" customHeight="1">
      <c r="A27" s="86"/>
      <c r="B27" s="80" t="s">
        <v>186</v>
      </c>
      <c r="C27" s="88"/>
      <c r="D27" s="88"/>
      <c r="E27" s="88"/>
      <c r="F27" s="67">
        <f t="shared" si="0"/>
        <v>0</v>
      </c>
      <c r="G27" s="88"/>
      <c r="H27" s="88"/>
      <c r="I27" s="87"/>
    </row>
    <row r="28" spans="1:9" ht="18" customHeight="1">
      <c r="A28" s="86"/>
      <c r="B28" s="38"/>
      <c r="C28" s="88"/>
      <c r="D28" s="88"/>
      <c r="E28" s="88"/>
      <c r="F28" s="67">
        <f t="shared" si="0"/>
        <v>0</v>
      </c>
      <c r="G28" s="88"/>
      <c r="H28" s="88"/>
      <c r="I28" s="87"/>
    </row>
    <row r="29" spans="1:9" ht="18" customHeight="1">
      <c r="A29" s="86" t="s">
        <v>59</v>
      </c>
      <c r="B29" s="38"/>
      <c r="C29" s="88"/>
      <c r="D29" s="88"/>
      <c r="E29" s="88"/>
      <c r="F29" s="67">
        <f t="shared" si="0"/>
        <v>0</v>
      </c>
      <c r="G29" s="88"/>
      <c r="H29" s="88"/>
      <c r="I29" s="87"/>
    </row>
    <row r="30" spans="1:9" ht="18" customHeight="1">
      <c r="A30" s="86"/>
      <c r="B30" s="80" t="s">
        <v>187</v>
      </c>
      <c r="C30" s="88"/>
      <c r="D30" s="88"/>
      <c r="E30" s="88"/>
      <c r="F30" s="67">
        <f t="shared" si="0"/>
        <v>0</v>
      </c>
      <c r="G30" s="88"/>
      <c r="H30" s="88"/>
      <c r="I30" s="87"/>
    </row>
    <row r="31" spans="1:9" ht="18" customHeight="1">
      <c r="A31" s="86"/>
      <c r="B31" s="80" t="s">
        <v>188</v>
      </c>
      <c r="C31" s="88"/>
      <c r="D31" s="88"/>
      <c r="E31" s="88"/>
      <c r="F31" s="67">
        <f t="shared" si="0"/>
        <v>0</v>
      </c>
      <c r="G31" s="88"/>
      <c r="H31" s="88"/>
      <c r="I31" s="87"/>
    </row>
    <row r="32" spans="1:9" ht="18" customHeight="1">
      <c r="A32" s="86"/>
      <c r="B32" s="80" t="s">
        <v>189</v>
      </c>
      <c r="C32" s="88"/>
      <c r="D32" s="88"/>
      <c r="E32" s="88"/>
      <c r="F32" s="67">
        <f t="shared" si="0"/>
        <v>0</v>
      </c>
      <c r="G32" s="88"/>
      <c r="H32" s="88"/>
      <c r="I32" s="87"/>
    </row>
    <row r="33" spans="1:9" ht="18" customHeight="1">
      <c r="A33" s="86"/>
      <c r="B33" s="80" t="s">
        <v>190</v>
      </c>
      <c r="C33" s="88"/>
      <c r="D33" s="88"/>
      <c r="E33" s="88"/>
      <c r="F33" s="67">
        <f t="shared" si="0"/>
        <v>0</v>
      </c>
      <c r="G33" s="88"/>
      <c r="H33" s="88"/>
      <c r="I33" s="87"/>
    </row>
    <row r="34" spans="1:9" ht="18" customHeight="1">
      <c r="A34" s="86"/>
      <c r="B34" s="38"/>
      <c r="C34" s="88"/>
      <c r="D34" s="88"/>
      <c r="E34" s="88"/>
      <c r="F34" s="67">
        <f t="shared" si="0"/>
        <v>0</v>
      </c>
      <c r="G34" s="88"/>
      <c r="H34" s="88"/>
      <c r="I34" s="87"/>
    </row>
    <row r="35" spans="1:9" ht="18" customHeight="1">
      <c r="A35" s="86" t="s">
        <v>60</v>
      </c>
      <c r="B35" s="38"/>
      <c r="C35" s="88"/>
      <c r="D35" s="88"/>
      <c r="E35" s="88"/>
      <c r="F35" s="67">
        <f t="shared" si="0"/>
        <v>0</v>
      </c>
      <c r="G35" s="88"/>
      <c r="H35" s="88"/>
      <c r="I35" s="87"/>
    </row>
    <row r="36" spans="1:9" ht="18" customHeight="1">
      <c r="A36" s="86"/>
      <c r="B36" s="80" t="s">
        <v>191</v>
      </c>
      <c r="C36" s="88"/>
      <c r="D36" s="88"/>
      <c r="E36" s="88"/>
      <c r="F36" s="67">
        <f t="shared" si="0"/>
        <v>0</v>
      </c>
      <c r="G36" s="88"/>
      <c r="H36" s="88"/>
      <c r="I36" s="87"/>
    </row>
    <row r="37" spans="1:9" ht="18" customHeight="1">
      <c r="A37" s="86"/>
      <c r="B37" s="80" t="s">
        <v>192</v>
      </c>
      <c r="C37" s="88"/>
      <c r="D37" s="88"/>
      <c r="E37" s="88"/>
      <c r="F37" s="67">
        <f t="shared" si="0"/>
        <v>0</v>
      </c>
      <c r="G37" s="88"/>
      <c r="H37" s="88"/>
      <c r="I37" s="87"/>
    </row>
    <row r="38" spans="1:9" ht="18" customHeight="1">
      <c r="A38" s="86"/>
      <c r="B38" s="80" t="s">
        <v>193</v>
      </c>
      <c r="C38" s="88"/>
      <c r="D38" s="88"/>
      <c r="E38" s="88"/>
      <c r="F38" s="67">
        <f t="shared" si="0"/>
        <v>0</v>
      </c>
      <c r="G38" s="88"/>
      <c r="H38" s="88"/>
      <c r="I38" s="87"/>
    </row>
    <row r="39" spans="1:9" ht="18" customHeight="1">
      <c r="A39" s="86"/>
      <c r="B39" s="38"/>
      <c r="C39" s="88"/>
      <c r="D39" s="88"/>
      <c r="E39" s="88"/>
      <c r="F39" s="67">
        <f t="shared" si="0"/>
        <v>0</v>
      </c>
      <c r="G39" s="88"/>
      <c r="H39" s="88"/>
      <c r="I39" s="87"/>
    </row>
    <row r="40" spans="1:9" ht="18" customHeight="1">
      <c r="A40" s="86" t="s">
        <v>61</v>
      </c>
      <c r="B40" s="38"/>
      <c r="C40" s="88"/>
      <c r="D40" s="88"/>
      <c r="E40" s="88"/>
      <c r="F40" s="67">
        <f t="shared" si="0"/>
        <v>0</v>
      </c>
      <c r="G40" s="88"/>
      <c r="H40" s="88"/>
      <c r="I40" s="87"/>
    </row>
    <row r="41" spans="1:9" ht="18" customHeight="1">
      <c r="A41" s="86"/>
      <c r="B41" s="80" t="s">
        <v>194</v>
      </c>
      <c r="C41" s="88"/>
      <c r="D41" s="88"/>
      <c r="E41" s="88"/>
      <c r="F41" s="67">
        <f t="shared" si="0"/>
        <v>0</v>
      </c>
      <c r="G41" s="88"/>
      <c r="H41" s="88"/>
      <c r="I41" s="87"/>
    </row>
    <row r="42" spans="1:9" ht="18" customHeight="1">
      <c r="A42" s="86"/>
      <c r="B42" s="80" t="s">
        <v>195</v>
      </c>
      <c r="C42" s="88"/>
      <c r="D42" s="88"/>
      <c r="E42" s="88"/>
      <c r="F42" s="67">
        <f t="shared" si="0"/>
        <v>0</v>
      </c>
      <c r="G42" s="88"/>
      <c r="H42" s="88"/>
      <c r="I42" s="87"/>
    </row>
    <row r="43" spans="1:9" ht="18" customHeight="1">
      <c r="A43" s="86"/>
      <c r="B43" s="38"/>
      <c r="C43" s="88"/>
      <c r="D43" s="88"/>
      <c r="E43" s="88"/>
      <c r="F43" s="67">
        <f t="shared" si="0"/>
        <v>0</v>
      </c>
      <c r="G43" s="88"/>
      <c r="H43" s="88"/>
      <c r="I43" s="87"/>
    </row>
    <row r="44" spans="1:9" ht="18" customHeight="1">
      <c r="A44" s="86"/>
      <c r="B44" s="38"/>
      <c r="C44" s="88"/>
      <c r="D44" s="88"/>
      <c r="E44" s="88"/>
      <c r="F44" s="67">
        <f t="shared" si="0"/>
        <v>0</v>
      </c>
      <c r="G44" s="88"/>
      <c r="H44" s="88"/>
      <c r="I44" s="87"/>
    </row>
    <row r="45" spans="1:9" ht="18" customHeight="1">
      <c r="A45" s="105"/>
      <c r="B45" s="104"/>
      <c r="C45" s="103" t="s">
        <v>208</v>
      </c>
      <c r="D45" s="106"/>
      <c r="E45" s="106"/>
      <c r="F45" s="107">
        <f>SUM(F10:F44)</f>
        <v>0</v>
      </c>
      <c r="G45" s="108">
        <f>COUNTA(G10:G44)</f>
        <v>0</v>
      </c>
      <c r="H45" s="108">
        <f t="shared" ref="H45:I45" si="1">COUNTA(H10:H44)</f>
        <v>0</v>
      </c>
      <c r="I45" s="108">
        <f t="shared" si="1"/>
        <v>0</v>
      </c>
    </row>
    <row r="46" spans="1:9" ht="18" customHeight="1">
      <c r="A46" s="86"/>
      <c r="B46" s="38"/>
      <c r="C46" s="88"/>
      <c r="D46" s="88"/>
      <c r="E46" s="88"/>
      <c r="F46" s="89"/>
      <c r="G46" s="90" t="e">
        <f>G45/F45</f>
        <v>#DIV/0!</v>
      </c>
      <c r="H46" s="90" t="e">
        <f>H45/F45</f>
        <v>#DIV/0!</v>
      </c>
      <c r="I46" s="90" t="e">
        <f>I45/F45</f>
        <v>#DIV/0!</v>
      </c>
    </row>
    <row r="47" spans="1:9" ht="18" customHeight="1">
      <c r="A47" s="86"/>
      <c r="B47" s="38"/>
      <c r="C47" s="88"/>
      <c r="D47" s="88"/>
      <c r="E47" s="88"/>
      <c r="F47" s="110" t="s">
        <v>209</v>
      </c>
      <c r="G47" s="91" t="s">
        <v>140</v>
      </c>
      <c r="H47" s="91" t="s">
        <v>141</v>
      </c>
      <c r="I47" s="91" t="s">
        <v>142</v>
      </c>
    </row>
    <row r="48" spans="1:9" ht="18" customHeight="1">
      <c r="A48" s="92" t="s">
        <v>154</v>
      </c>
      <c r="B48" s="38"/>
      <c r="C48" s="88"/>
      <c r="D48" s="88"/>
      <c r="E48" s="88"/>
      <c r="F48" s="67"/>
      <c r="G48" s="88"/>
      <c r="H48" s="88"/>
      <c r="I48" s="87"/>
    </row>
    <row r="49" spans="1:9" s="83" customFormat="1" ht="18" customHeight="1">
      <c r="A49" s="86" t="s">
        <v>56</v>
      </c>
      <c r="B49" s="38"/>
      <c r="C49" s="87"/>
      <c r="D49" s="87"/>
      <c r="E49" s="87"/>
      <c r="F49" s="66"/>
      <c r="G49" s="87"/>
      <c r="H49" s="87"/>
      <c r="I49" s="87"/>
    </row>
    <row r="50" spans="1:9" s="83" customFormat="1" ht="18" customHeight="1">
      <c r="A50" s="86"/>
      <c r="B50" s="80" t="s">
        <v>196</v>
      </c>
      <c r="C50" s="87"/>
      <c r="D50" s="87">
        <v>1</v>
      </c>
      <c r="E50" s="87"/>
      <c r="F50" s="67">
        <f>IF(OR(G50&lt;&gt;0,H50&lt;&gt;0,I50&lt;&gt;0),1,0)</f>
        <v>0</v>
      </c>
      <c r="G50" s="87"/>
      <c r="H50" s="87"/>
      <c r="I50" s="87"/>
    </row>
    <row r="51" spans="1:9" s="83" customFormat="1" ht="18" customHeight="1">
      <c r="A51" s="86"/>
      <c r="B51" s="38"/>
      <c r="C51" s="87"/>
      <c r="D51" s="87">
        <v>2</v>
      </c>
      <c r="E51" s="87"/>
      <c r="F51" s="67">
        <f t="shared" ref="F51:F80" si="2">IF(OR(G51&lt;&gt;0,H51&lt;&gt;0,I51&lt;&gt;0),1,0)</f>
        <v>0</v>
      </c>
      <c r="G51" s="87"/>
      <c r="H51" s="87"/>
      <c r="I51" s="87"/>
    </row>
    <row r="52" spans="1:9" s="83" customFormat="1" ht="18" customHeight="1">
      <c r="A52" s="86"/>
      <c r="B52" s="38"/>
      <c r="C52" s="87"/>
      <c r="D52" s="87" t="s">
        <v>15</v>
      </c>
      <c r="E52" s="87"/>
      <c r="F52" s="67">
        <f t="shared" si="2"/>
        <v>0</v>
      </c>
      <c r="G52" s="87"/>
      <c r="H52" s="87"/>
      <c r="I52" s="87"/>
    </row>
    <row r="53" spans="1:9" ht="18" customHeight="1">
      <c r="A53" s="86"/>
      <c r="B53" s="80" t="s">
        <v>197</v>
      </c>
      <c r="C53" s="88"/>
      <c r="D53" s="88"/>
      <c r="E53" s="88"/>
      <c r="F53" s="67">
        <f t="shared" si="2"/>
        <v>0</v>
      </c>
      <c r="G53" s="88"/>
      <c r="H53" s="88"/>
      <c r="I53" s="87"/>
    </row>
    <row r="54" spans="1:9" ht="18" customHeight="1">
      <c r="A54" s="86" t="s">
        <v>57</v>
      </c>
      <c r="B54" s="38"/>
      <c r="C54" s="88"/>
      <c r="D54" s="88"/>
      <c r="E54" s="88"/>
      <c r="F54" s="67">
        <f t="shared" si="2"/>
        <v>0</v>
      </c>
      <c r="G54" s="88"/>
      <c r="H54" s="88"/>
      <c r="I54" s="87"/>
    </row>
    <row r="55" spans="1:9" ht="18" customHeight="1">
      <c r="A55" s="86"/>
      <c r="B55" s="80" t="s">
        <v>198</v>
      </c>
      <c r="C55" s="88"/>
      <c r="D55" s="88"/>
      <c r="E55" s="88"/>
      <c r="F55" s="67">
        <f t="shared" si="2"/>
        <v>0</v>
      </c>
      <c r="G55" s="88"/>
      <c r="H55" s="88"/>
      <c r="I55" s="87"/>
    </row>
    <row r="56" spans="1:9" ht="18" customHeight="1">
      <c r="A56" s="86"/>
      <c r="B56" s="80" t="s">
        <v>199</v>
      </c>
      <c r="C56" s="88"/>
      <c r="D56" s="88"/>
      <c r="E56" s="88"/>
      <c r="F56" s="67">
        <f t="shared" si="2"/>
        <v>0</v>
      </c>
      <c r="G56" s="88"/>
      <c r="H56" s="88"/>
      <c r="I56" s="87"/>
    </row>
    <row r="57" spans="1:9" ht="18" customHeight="1">
      <c r="A57" s="86"/>
      <c r="B57" s="80" t="s">
        <v>200</v>
      </c>
      <c r="C57" s="88"/>
      <c r="D57" s="88"/>
      <c r="E57" s="88"/>
      <c r="F57" s="67">
        <f t="shared" si="2"/>
        <v>0</v>
      </c>
      <c r="G57" s="88"/>
      <c r="H57" s="88"/>
      <c r="I57" s="87"/>
    </row>
    <row r="58" spans="1:9" ht="18" customHeight="1">
      <c r="A58" s="86"/>
      <c r="B58" s="80" t="s">
        <v>181</v>
      </c>
      <c r="C58" s="88"/>
      <c r="D58" s="88"/>
      <c r="E58" s="88"/>
      <c r="F58" s="67">
        <f t="shared" si="2"/>
        <v>0</v>
      </c>
      <c r="G58" s="88"/>
      <c r="H58" s="88"/>
      <c r="I58" s="87"/>
    </row>
    <row r="59" spans="1:9" ht="18" customHeight="1">
      <c r="A59" s="86"/>
      <c r="B59" s="80" t="s">
        <v>201</v>
      </c>
      <c r="C59" s="88"/>
      <c r="D59" s="88"/>
      <c r="E59" s="88"/>
      <c r="F59" s="67">
        <f t="shared" si="2"/>
        <v>0</v>
      </c>
      <c r="G59" s="88"/>
      <c r="H59" s="88"/>
      <c r="I59" s="87"/>
    </row>
    <row r="60" spans="1:9" ht="18" customHeight="1">
      <c r="A60" s="86"/>
      <c r="B60" s="80" t="s">
        <v>202</v>
      </c>
      <c r="C60" s="88"/>
      <c r="D60" s="88"/>
      <c r="E60" s="88"/>
      <c r="F60" s="67">
        <f t="shared" si="2"/>
        <v>0</v>
      </c>
      <c r="G60" s="88"/>
      <c r="H60" s="88"/>
      <c r="I60" s="87"/>
    </row>
    <row r="61" spans="1:9" ht="18" customHeight="1">
      <c r="A61" s="86"/>
      <c r="B61" s="38"/>
      <c r="C61" s="88"/>
      <c r="D61" s="88"/>
      <c r="E61" s="88"/>
      <c r="F61" s="67">
        <f t="shared" si="2"/>
        <v>0</v>
      </c>
      <c r="G61" s="88"/>
      <c r="H61" s="88"/>
      <c r="I61" s="87"/>
    </row>
    <row r="62" spans="1:9" ht="18" customHeight="1">
      <c r="A62" s="86" t="s">
        <v>58</v>
      </c>
      <c r="B62" s="38"/>
      <c r="C62" s="88"/>
      <c r="D62" s="88"/>
      <c r="E62" s="88"/>
      <c r="F62" s="67">
        <f t="shared" si="2"/>
        <v>0</v>
      </c>
      <c r="G62" s="88"/>
      <c r="H62" s="88"/>
      <c r="I62" s="87"/>
    </row>
    <row r="63" spans="1:9" ht="18" customHeight="1">
      <c r="A63" s="38"/>
      <c r="B63" s="80" t="s">
        <v>184</v>
      </c>
      <c r="C63" s="88"/>
      <c r="D63" s="88"/>
      <c r="E63" s="88"/>
      <c r="F63" s="67">
        <f t="shared" si="2"/>
        <v>0</v>
      </c>
      <c r="G63" s="88"/>
      <c r="H63" s="88"/>
      <c r="I63" s="87"/>
    </row>
    <row r="64" spans="1:9" ht="18" customHeight="1">
      <c r="A64" s="86"/>
      <c r="B64" s="80" t="s">
        <v>185</v>
      </c>
      <c r="C64" s="88"/>
      <c r="D64" s="88"/>
      <c r="E64" s="88"/>
      <c r="F64" s="67">
        <f t="shared" si="2"/>
        <v>0</v>
      </c>
      <c r="G64" s="88"/>
      <c r="H64" s="88"/>
      <c r="I64" s="87"/>
    </row>
    <row r="65" spans="1:9" ht="18" customHeight="1">
      <c r="A65" s="86"/>
      <c r="B65" s="80" t="s">
        <v>186</v>
      </c>
      <c r="C65" s="88"/>
      <c r="D65" s="88"/>
      <c r="E65" s="88"/>
      <c r="F65" s="67">
        <f t="shared" si="2"/>
        <v>0</v>
      </c>
      <c r="G65" s="88"/>
      <c r="H65" s="88"/>
      <c r="I65" s="87"/>
    </row>
    <row r="66" spans="1:9" ht="18" customHeight="1">
      <c r="A66" s="86"/>
      <c r="B66" s="38"/>
      <c r="C66" s="88"/>
      <c r="D66" s="88"/>
      <c r="E66" s="88"/>
      <c r="F66" s="67">
        <f t="shared" si="2"/>
        <v>0</v>
      </c>
      <c r="G66" s="88"/>
      <c r="H66" s="88"/>
      <c r="I66" s="87"/>
    </row>
    <row r="67" spans="1:9" ht="18" customHeight="1">
      <c r="A67" s="86" t="s">
        <v>59</v>
      </c>
      <c r="B67" s="38"/>
      <c r="C67" s="88"/>
      <c r="D67" s="88"/>
      <c r="E67" s="88"/>
      <c r="F67" s="67">
        <f t="shared" si="2"/>
        <v>0</v>
      </c>
      <c r="G67" s="88"/>
      <c r="H67" s="88"/>
      <c r="I67" s="87"/>
    </row>
    <row r="68" spans="1:9" ht="18" customHeight="1">
      <c r="A68" s="86"/>
      <c r="B68" s="80" t="s">
        <v>187</v>
      </c>
      <c r="C68" s="88"/>
      <c r="D68" s="88"/>
      <c r="E68" s="88"/>
      <c r="F68" s="67">
        <f t="shared" si="2"/>
        <v>0</v>
      </c>
      <c r="G68" s="88"/>
      <c r="H68" s="88"/>
      <c r="I68" s="87"/>
    </row>
    <row r="69" spans="1:9" ht="18" customHeight="1">
      <c r="A69" s="86"/>
      <c r="B69" s="80" t="s">
        <v>188</v>
      </c>
      <c r="C69" s="88"/>
      <c r="D69" s="88"/>
      <c r="E69" s="88"/>
      <c r="F69" s="67">
        <f t="shared" si="2"/>
        <v>0</v>
      </c>
      <c r="G69" s="88"/>
      <c r="H69" s="88"/>
      <c r="I69" s="87"/>
    </row>
    <row r="70" spans="1:9" ht="18" customHeight="1">
      <c r="A70" s="86"/>
      <c r="B70" s="80" t="s">
        <v>189</v>
      </c>
      <c r="C70" s="88"/>
      <c r="D70" s="88"/>
      <c r="E70" s="88"/>
      <c r="F70" s="67">
        <f t="shared" si="2"/>
        <v>0</v>
      </c>
      <c r="G70" s="88"/>
      <c r="H70" s="88"/>
      <c r="I70" s="87"/>
    </row>
    <row r="71" spans="1:9" ht="18" customHeight="1">
      <c r="A71" s="86"/>
      <c r="B71" s="80" t="s">
        <v>190</v>
      </c>
      <c r="C71" s="88"/>
      <c r="D71" s="88"/>
      <c r="E71" s="88"/>
      <c r="F71" s="67">
        <f t="shared" si="2"/>
        <v>0</v>
      </c>
      <c r="G71" s="88"/>
      <c r="H71" s="88"/>
      <c r="I71" s="87"/>
    </row>
    <row r="72" spans="1:9" ht="18" customHeight="1">
      <c r="A72" s="86"/>
      <c r="B72" s="38"/>
      <c r="C72" s="88"/>
      <c r="D72" s="88"/>
      <c r="E72" s="88"/>
      <c r="F72" s="67">
        <f t="shared" si="2"/>
        <v>0</v>
      </c>
      <c r="G72" s="88"/>
      <c r="H72" s="88"/>
      <c r="I72" s="87"/>
    </row>
    <row r="73" spans="1:9" ht="18" customHeight="1">
      <c r="A73" s="86" t="s">
        <v>60</v>
      </c>
      <c r="B73" s="38"/>
      <c r="C73" s="88"/>
      <c r="D73" s="88"/>
      <c r="E73" s="88"/>
      <c r="F73" s="67">
        <f t="shared" si="2"/>
        <v>0</v>
      </c>
      <c r="G73" s="88"/>
      <c r="H73" s="88"/>
      <c r="I73" s="87"/>
    </row>
    <row r="74" spans="1:9" ht="18" customHeight="1">
      <c r="A74" s="86"/>
      <c r="B74" s="80" t="s">
        <v>203</v>
      </c>
      <c r="C74" s="88"/>
      <c r="D74" s="88"/>
      <c r="E74" s="88"/>
      <c r="F74" s="67">
        <f t="shared" si="2"/>
        <v>0</v>
      </c>
      <c r="G74" s="88"/>
      <c r="H74" s="88"/>
      <c r="I74" s="87"/>
    </row>
    <row r="75" spans="1:9" ht="18" customHeight="1">
      <c r="A75" s="86"/>
      <c r="B75" s="80" t="s">
        <v>204</v>
      </c>
      <c r="C75" s="88"/>
      <c r="D75" s="88"/>
      <c r="E75" s="88"/>
      <c r="F75" s="67">
        <f t="shared" si="2"/>
        <v>0</v>
      </c>
      <c r="G75" s="88"/>
      <c r="H75" s="88"/>
      <c r="I75" s="87"/>
    </row>
    <row r="76" spans="1:9" ht="18" customHeight="1">
      <c r="A76" s="86"/>
      <c r="B76" s="80" t="s">
        <v>205</v>
      </c>
      <c r="C76" s="88"/>
      <c r="D76" s="88"/>
      <c r="E76" s="88"/>
      <c r="F76" s="67">
        <f t="shared" si="2"/>
        <v>0</v>
      </c>
      <c r="G76" s="88"/>
      <c r="H76" s="88"/>
      <c r="I76" s="87"/>
    </row>
    <row r="77" spans="1:9" ht="18" customHeight="1">
      <c r="A77" s="86"/>
      <c r="B77" s="38"/>
      <c r="C77" s="88"/>
      <c r="D77" s="88"/>
      <c r="E77" s="88"/>
      <c r="F77" s="67">
        <f t="shared" si="2"/>
        <v>0</v>
      </c>
      <c r="G77" s="88"/>
      <c r="H77" s="88"/>
      <c r="I77" s="87"/>
    </row>
    <row r="78" spans="1:9" ht="18" customHeight="1">
      <c r="A78" s="86" t="s">
        <v>61</v>
      </c>
      <c r="B78" s="38"/>
      <c r="C78" s="88"/>
      <c r="D78" s="88"/>
      <c r="E78" s="88"/>
      <c r="F78" s="67">
        <f t="shared" si="2"/>
        <v>0</v>
      </c>
      <c r="G78" s="88"/>
      <c r="H78" s="88"/>
      <c r="I78" s="87"/>
    </row>
    <row r="79" spans="1:9" ht="18" customHeight="1">
      <c r="A79" s="86"/>
      <c r="B79" s="80" t="s">
        <v>206</v>
      </c>
      <c r="C79" s="88"/>
      <c r="D79" s="88"/>
      <c r="E79" s="88"/>
      <c r="F79" s="67">
        <f t="shared" si="2"/>
        <v>0</v>
      </c>
      <c r="G79" s="88"/>
      <c r="H79" s="88"/>
      <c r="I79" s="87"/>
    </row>
    <row r="80" spans="1:9" ht="18" customHeight="1">
      <c r="A80" s="86"/>
      <c r="B80" s="80" t="s">
        <v>207</v>
      </c>
      <c r="C80" s="88"/>
      <c r="D80" s="88"/>
      <c r="E80" s="88"/>
      <c r="F80" s="67">
        <f t="shared" si="2"/>
        <v>0</v>
      </c>
      <c r="G80" s="88"/>
      <c r="H80" s="88"/>
      <c r="I80" s="87"/>
    </row>
    <row r="81" spans="1:9" ht="18" customHeight="1">
      <c r="A81" s="86"/>
      <c r="B81" s="38"/>
      <c r="C81" s="88"/>
      <c r="D81" s="88"/>
      <c r="E81" s="88"/>
      <c r="F81" s="67"/>
      <c r="G81" s="88"/>
      <c r="H81" s="88"/>
      <c r="I81" s="87"/>
    </row>
    <row r="82" spans="1:9" ht="18" customHeight="1">
      <c r="A82" s="86"/>
      <c r="B82" s="38"/>
      <c r="C82" s="88"/>
      <c r="D82" s="88"/>
      <c r="E82" s="88"/>
      <c r="F82" s="67"/>
      <c r="G82" s="88"/>
      <c r="H82" s="88"/>
      <c r="I82" s="87"/>
    </row>
    <row r="83" spans="1:9" ht="18" customHeight="1">
      <c r="A83" s="105"/>
      <c r="B83" s="109"/>
      <c r="C83" s="103" t="s">
        <v>208</v>
      </c>
      <c r="D83" s="106"/>
      <c r="E83" s="106"/>
      <c r="F83" s="107">
        <f>SUM(F50:F82)</f>
        <v>0</v>
      </c>
      <c r="G83" s="108">
        <f>COUNTA(G50:G82)</f>
        <v>0</v>
      </c>
      <c r="H83" s="108">
        <f t="shared" ref="H83" si="3">COUNTA(H50:H82)</f>
        <v>0</v>
      </c>
      <c r="I83" s="108">
        <f t="shared" ref="I83" si="4">COUNTA(I50:I82)</f>
        <v>0</v>
      </c>
    </row>
    <row r="84" spans="1:9" ht="18" customHeight="1">
      <c r="A84" s="86"/>
      <c r="B84" s="38"/>
      <c r="C84" s="88"/>
      <c r="D84" s="88"/>
      <c r="E84" s="88"/>
      <c r="F84" s="89"/>
      <c r="G84" s="90" t="e">
        <f>G83/F83</f>
        <v>#DIV/0!</v>
      </c>
      <c r="H84" s="90" t="e">
        <f>H83/F83</f>
        <v>#DIV/0!</v>
      </c>
      <c r="I84" s="90" t="e">
        <f>I83/F83</f>
        <v>#DIV/0!</v>
      </c>
    </row>
    <row r="85" spans="1:9">
      <c r="A85" s="93"/>
      <c r="B85" s="93"/>
      <c r="C85" s="93"/>
      <c r="D85" s="93"/>
      <c r="E85" s="93"/>
      <c r="F85" s="110" t="s">
        <v>210</v>
      </c>
      <c r="G85" s="91" t="s">
        <v>143</v>
      </c>
      <c r="H85" s="91" t="s">
        <v>143</v>
      </c>
      <c r="I85" s="91" t="s">
        <v>143</v>
      </c>
    </row>
    <row r="86" spans="1:9">
      <c r="A86" s="94" t="s">
        <v>47</v>
      </c>
    </row>
    <row r="87" spans="1:9">
      <c r="A87" s="95" t="s">
        <v>62</v>
      </c>
    </row>
    <row r="88" spans="1:9">
      <c r="A88" s="95" t="s">
        <v>63</v>
      </c>
    </row>
    <row r="89" spans="1:9">
      <c r="A89" s="95" t="s">
        <v>64</v>
      </c>
    </row>
    <row r="90" spans="1:9">
      <c r="A90" s="95" t="s">
        <v>65</v>
      </c>
    </row>
    <row r="91" spans="1:9">
      <c r="A91" s="95" t="s">
        <v>66</v>
      </c>
    </row>
    <row r="92" spans="1:9">
      <c r="A92" s="95" t="s">
        <v>67</v>
      </c>
    </row>
    <row r="93" spans="1:9">
      <c r="A93" s="95" t="s">
        <v>68</v>
      </c>
    </row>
    <row r="94" spans="1:9">
      <c r="A94" s="95" t="s">
        <v>69</v>
      </c>
    </row>
    <row r="95" spans="1:9">
      <c r="A95" s="95" t="s">
        <v>70</v>
      </c>
    </row>
    <row r="96" spans="1:9">
      <c r="A96" s="95" t="s">
        <v>71</v>
      </c>
    </row>
    <row r="97" spans="1:11">
      <c r="A97" s="95" t="s">
        <v>72</v>
      </c>
    </row>
    <row r="98" spans="1:11">
      <c r="A98" s="95" t="s">
        <v>73</v>
      </c>
    </row>
    <row r="99" spans="1:11">
      <c r="A99" s="95" t="s">
        <v>74</v>
      </c>
    </row>
    <row r="100" spans="1:11">
      <c r="A100" s="95" t="s">
        <v>75</v>
      </c>
    </row>
    <row r="101" spans="1:11">
      <c r="A101" s="117" t="s">
        <v>227</v>
      </c>
      <c r="B101" s="96"/>
      <c r="C101" s="96"/>
      <c r="D101" s="96"/>
      <c r="E101" s="96"/>
      <c r="F101" s="69"/>
      <c r="G101" s="96"/>
      <c r="H101" s="96"/>
      <c r="I101" s="96"/>
      <c r="J101" s="96"/>
      <c r="K101" s="96"/>
    </row>
    <row r="102" spans="1:11">
      <c r="A102" s="97" t="s">
        <v>76</v>
      </c>
      <c r="B102" s="97"/>
    </row>
    <row r="103" spans="1:11">
      <c r="A103" s="97" t="s">
        <v>77</v>
      </c>
      <c r="B103" s="97"/>
    </row>
    <row r="104" spans="1:11">
      <c r="A104" s="97" t="s">
        <v>78</v>
      </c>
      <c r="B104" s="97"/>
    </row>
    <row r="105" spans="1:11">
      <c r="A105" s="98" t="s">
        <v>79</v>
      </c>
      <c r="B105" s="98" t="s">
        <v>80</v>
      </c>
    </row>
    <row r="106" spans="1:11">
      <c r="A106" s="99">
        <v>1</v>
      </c>
      <c r="B106" s="99" t="s">
        <v>81</v>
      </c>
    </row>
    <row r="107" spans="1:11">
      <c r="A107" s="99">
        <v>2</v>
      </c>
      <c r="B107" s="99" t="s">
        <v>82</v>
      </c>
    </row>
    <row r="108" spans="1:11">
      <c r="A108" s="99">
        <v>3</v>
      </c>
      <c r="B108" s="99" t="s">
        <v>83</v>
      </c>
    </row>
    <row r="109" spans="1:11">
      <c r="A109" s="99">
        <v>4</v>
      </c>
      <c r="B109" s="99" t="s">
        <v>84</v>
      </c>
    </row>
    <row r="110" spans="1:11" ht="106.5" customHeight="1">
      <c r="A110" s="198" t="s">
        <v>215</v>
      </c>
      <c r="B110" s="198"/>
      <c r="C110" s="198"/>
      <c r="D110" s="198"/>
      <c r="E110" s="198"/>
      <c r="F110" s="198"/>
      <c r="G110" s="198"/>
      <c r="H110" s="198"/>
      <c r="I110" s="198"/>
      <c r="J110" s="198"/>
      <c r="K110" s="198"/>
    </row>
    <row r="111" spans="1:11" ht="21.75" customHeight="1">
      <c r="A111" s="100" t="s">
        <v>87</v>
      </c>
      <c r="B111" s="100"/>
      <c r="C111" s="100"/>
      <c r="D111" s="100"/>
      <c r="E111" s="100"/>
      <c r="F111" s="70"/>
      <c r="G111" s="100"/>
      <c r="H111" s="100"/>
      <c r="I111" s="100"/>
      <c r="J111" s="100"/>
      <c r="K111" s="100"/>
    </row>
    <row r="112" spans="1:11" ht="25.5" customHeight="1">
      <c r="A112" s="198" t="s">
        <v>88</v>
      </c>
      <c r="B112" s="198"/>
      <c r="C112" s="198"/>
      <c r="D112" s="198"/>
      <c r="E112" s="198"/>
      <c r="F112" s="198"/>
      <c r="G112" s="198"/>
      <c r="H112" s="198"/>
      <c r="I112" s="198"/>
      <c r="J112" s="198"/>
      <c r="K112" s="198"/>
    </row>
    <row r="113" spans="1:11" ht="25.5" customHeight="1">
      <c r="A113" s="100" t="s">
        <v>89</v>
      </c>
      <c r="B113" s="100"/>
      <c r="C113" s="100"/>
      <c r="D113" s="100"/>
      <c r="E113" s="100"/>
      <c r="F113" s="70"/>
      <c r="G113" s="100"/>
      <c r="H113" s="100"/>
      <c r="I113" s="100"/>
      <c r="J113" s="100"/>
      <c r="K113" s="100"/>
    </row>
    <row r="114" spans="1:11" ht="25.5" customHeight="1">
      <c r="A114" s="198" t="s">
        <v>90</v>
      </c>
      <c r="B114" s="198"/>
      <c r="C114" s="198"/>
      <c r="D114" s="198"/>
      <c r="E114" s="198"/>
      <c r="F114" s="198"/>
      <c r="G114" s="198"/>
      <c r="H114" s="198"/>
      <c r="I114" s="198"/>
      <c r="J114" s="198"/>
      <c r="K114" s="198"/>
    </row>
    <row r="115" spans="1:11" ht="34.5" customHeight="1">
      <c r="A115" s="198" t="s">
        <v>91</v>
      </c>
      <c r="B115" s="198"/>
      <c r="C115" s="198"/>
      <c r="D115" s="198"/>
      <c r="E115" s="198"/>
      <c r="F115" s="198"/>
      <c r="G115" s="198"/>
      <c r="H115" s="198"/>
      <c r="I115" s="198"/>
      <c r="J115" s="198"/>
      <c r="K115" s="198"/>
    </row>
    <row r="116" spans="1:11" ht="25.5" customHeight="1">
      <c r="A116" s="198" t="s">
        <v>92</v>
      </c>
      <c r="B116" s="198"/>
      <c r="C116" s="198"/>
      <c r="D116" s="198"/>
      <c r="E116" s="198"/>
      <c r="F116" s="198"/>
      <c r="G116" s="198"/>
      <c r="H116" s="198"/>
      <c r="I116" s="198"/>
      <c r="J116" s="198"/>
      <c r="K116" s="198"/>
    </row>
    <row r="117" spans="1:11" ht="25.5" customHeight="1">
      <c r="A117" s="100" t="s">
        <v>93</v>
      </c>
      <c r="B117" s="100"/>
      <c r="C117" s="100"/>
      <c r="D117" s="100"/>
      <c r="E117" s="100"/>
      <c r="F117" s="70"/>
      <c r="G117" s="100"/>
      <c r="H117" s="100"/>
      <c r="I117" s="100"/>
      <c r="J117" s="100"/>
      <c r="K117" s="100"/>
    </row>
    <row r="118" spans="1:11" ht="113.25" customHeight="1">
      <c r="A118" s="198" t="s">
        <v>94</v>
      </c>
      <c r="B118" s="198"/>
      <c r="C118" s="198"/>
      <c r="D118" s="198"/>
      <c r="E118" s="198"/>
      <c r="F118" s="198"/>
      <c r="G118" s="198"/>
      <c r="H118" s="198"/>
      <c r="I118" s="198"/>
      <c r="J118" s="198"/>
      <c r="K118" s="198"/>
    </row>
    <row r="119" spans="1:11" ht="25.5" customHeight="1">
      <c r="A119" s="198" t="s">
        <v>95</v>
      </c>
      <c r="B119" s="198"/>
      <c r="C119" s="198"/>
      <c r="D119" s="198"/>
      <c r="E119" s="198"/>
      <c r="F119" s="198"/>
      <c r="G119" s="198"/>
      <c r="H119" s="198"/>
      <c r="I119" s="198"/>
      <c r="J119" s="198"/>
      <c r="K119" s="198"/>
    </row>
    <row r="120" spans="1:11" ht="25.5" customHeight="1">
      <c r="A120" s="100" t="s">
        <v>96</v>
      </c>
      <c r="B120" s="100"/>
      <c r="C120" s="100"/>
      <c r="D120" s="100"/>
      <c r="E120" s="100"/>
      <c r="F120" s="70"/>
      <c r="G120" s="100"/>
      <c r="H120" s="100"/>
      <c r="I120" s="100"/>
      <c r="J120" s="100"/>
      <c r="K120" s="100"/>
    </row>
    <row r="121" spans="1:11" ht="25.5" customHeight="1">
      <c r="A121" s="198" t="s">
        <v>97</v>
      </c>
      <c r="B121" s="198"/>
      <c r="C121" s="198"/>
      <c r="D121" s="198"/>
      <c r="E121" s="198"/>
      <c r="F121" s="198"/>
      <c r="G121" s="198"/>
      <c r="H121" s="198"/>
      <c r="I121" s="198"/>
      <c r="J121" s="198"/>
      <c r="K121" s="198"/>
    </row>
    <row r="122" spans="1:11" ht="25.5" customHeight="1">
      <c r="A122" s="198" t="s">
        <v>98</v>
      </c>
      <c r="B122" s="198"/>
      <c r="C122" s="198"/>
      <c r="D122" s="198"/>
      <c r="E122" s="198"/>
      <c r="F122" s="198"/>
      <c r="G122" s="198"/>
      <c r="H122" s="198"/>
      <c r="I122" s="198"/>
      <c r="J122" s="198"/>
      <c r="K122" s="198"/>
    </row>
    <row r="123" spans="1:11" ht="25.5" customHeight="1">
      <c r="A123" s="198" t="s">
        <v>100</v>
      </c>
      <c r="B123" s="198"/>
      <c r="C123" s="198"/>
      <c r="D123" s="198"/>
      <c r="E123" s="198"/>
      <c r="F123" s="198"/>
      <c r="G123" s="198"/>
      <c r="H123" s="198"/>
      <c r="I123" s="198"/>
      <c r="J123" s="198"/>
      <c r="K123" s="198"/>
    </row>
    <row r="124" spans="1:11" ht="25.5" customHeight="1">
      <c r="A124" s="100" t="s">
        <v>99</v>
      </c>
      <c r="B124" s="100"/>
      <c r="C124" s="100"/>
      <c r="D124" s="100"/>
      <c r="E124" s="100"/>
      <c r="F124" s="70"/>
      <c r="G124" s="100"/>
      <c r="H124" s="100"/>
      <c r="I124" s="100"/>
      <c r="J124" s="100"/>
      <c r="K124" s="100"/>
    </row>
    <row r="125" spans="1:11" ht="104.25" customHeight="1">
      <c r="A125" s="198" t="s">
        <v>101</v>
      </c>
      <c r="B125" s="198"/>
      <c r="C125" s="198"/>
      <c r="D125" s="198"/>
      <c r="E125" s="198"/>
      <c r="F125" s="198"/>
      <c r="G125" s="198"/>
      <c r="H125" s="198"/>
      <c r="I125" s="198"/>
      <c r="J125" s="198"/>
      <c r="K125" s="198"/>
    </row>
    <row r="126" spans="1:11" ht="25.5" customHeight="1">
      <c r="A126" s="198" t="s">
        <v>102</v>
      </c>
      <c r="B126" s="198"/>
      <c r="C126" s="198"/>
      <c r="D126" s="198"/>
      <c r="E126" s="198"/>
      <c r="F126" s="198"/>
      <c r="G126" s="198"/>
      <c r="H126" s="198"/>
      <c r="I126" s="198"/>
      <c r="J126" s="198"/>
      <c r="K126" s="198"/>
    </row>
    <row r="127" spans="1:11" ht="25.5" customHeight="1">
      <c r="A127" s="198" t="s">
        <v>103</v>
      </c>
      <c r="B127" s="198"/>
      <c r="C127" s="198"/>
      <c r="D127" s="198"/>
      <c r="E127" s="198"/>
      <c r="F127" s="198"/>
      <c r="G127" s="198"/>
      <c r="H127" s="198"/>
      <c r="I127" s="198"/>
      <c r="J127" s="198"/>
      <c r="K127" s="198"/>
    </row>
    <row r="128" spans="1:11" ht="25.5" customHeight="1">
      <c r="A128" s="100" t="s">
        <v>104</v>
      </c>
      <c r="B128" s="100"/>
      <c r="C128" s="100"/>
      <c r="D128" s="100"/>
      <c r="E128" s="100"/>
      <c r="F128" s="70"/>
      <c r="G128" s="100"/>
      <c r="H128" s="100"/>
      <c r="I128" s="100"/>
      <c r="J128" s="100"/>
      <c r="K128" s="100"/>
    </row>
    <row r="129" spans="1:11" ht="25.5" customHeight="1">
      <c r="A129" s="198" t="s">
        <v>105</v>
      </c>
      <c r="B129" s="198"/>
      <c r="C129" s="198"/>
      <c r="D129" s="198"/>
      <c r="E129" s="198"/>
      <c r="F129" s="198"/>
      <c r="G129" s="198"/>
      <c r="H129" s="198"/>
      <c r="I129" s="198"/>
      <c r="J129" s="198"/>
      <c r="K129" s="198"/>
    </row>
    <row r="130" spans="1:11" ht="19.5" customHeight="1">
      <c r="A130" s="117" t="s">
        <v>228</v>
      </c>
      <c r="B130" s="113"/>
      <c r="C130" s="113"/>
      <c r="D130" s="113"/>
      <c r="E130" s="113"/>
      <c r="F130" s="113"/>
      <c r="G130" s="113"/>
      <c r="H130" s="113"/>
      <c r="I130" s="113"/>
      <c r="J130" s="113"/>
      <c r="K130" s="113"/>
    </row>
    <row r="131" spans="1:11" ht="18.75" customHeight="1" thickBot="1">
      <c r="A131" s="206" t="s">
        <v>229</v>
      </c>
      <c r="B131" s="207"/>
      <c r="C131" s="207"/>
      <c r="D131" s="207"/>
      <c r="E131" s="207"/>
      <c r="F131" s="207"/>
      <c r="G131" s="207"/>
    </row>
    <row r="132" spans="1:11" s="82" customFormat="1" ht="33" customHeight="1" thickBot="1">
      <c r="B132" s="208" t="s">
        <v>225</v>
      </c>
      <c r="C132" s="208" t="s">
        <v>230</v>
      </c>
      <c r="D132" s="208"/>
      <c r="E132" s="208"/>
      <c r="F132" s="71"/>
    </row>
    <row r="133" spans="1:11" s="82" customFormat="1" ht="37.5" customHeight="1" thickBot="1">
      <c r="B133" s="208"/>
      <c r="C133" s="208" t="s">
        <v>231</v>
      </c>
      <c r="D133" s="208"/>
      <c r="E133" s="118" t="s">
        <v>226</v>
      </c>
      <c r="F133" s="71"/>
    </row>
    <row r="134" spans="1:11" s="82" customFormat="1" ht="18.75" customHeight="1" thickBot="1">
      <c r="B134" s="115" t="s">
        <v>216</v>
      </c>
      <c r="C134" s="204" t="s">
        <v>217</v>
      </c>
      <c r="D134" s="204"/>
      <c r="E134" s="116" t="s">
        <v>218</v>
      </c>
      <c r="F134" s="71"/>
    </row>
    <row r="135" spans="1:11" s="82" customFormat="1" ht="18.75" customHeight="1" thickBot="1">
      <c r="B135" s="115" t="s">
        <v>219</v>
      </c>
      <c r="C135" s="204" t="s">
        <v>220</v>
      </c>
      <c r="D135" s="204"/>
      <c r="E135" s="116" t="s">
        <v>218</v>
      </c>
      <c r="F135" s="71"/>
    </row>
    <row r="136" spans="1:11" s="82" customFormat="1" ht="18.75" customHeight="1" thickBot="1">
      <c r="B136" s="115" t="s">
        <v>221</v>
      </c>
      <c r="C136" s="204" t="s">
        <v>222</v>
      </c>
      <c r="D136" s="204"/>
      <c r="E136" s="116" t="s">
        <v>218</v>
      </c>
      <c r="F136" s="71"/>
    </row>
    <row r="137" spans="1:11" s="82" customFormat="1" ht="30.75" customHeight="1" thickBot="1">
      <c r="B137" s="205" t="s">
        <v>223</v>
      </c>
      <c r="C137" s="205"/>
      <c r="D137" s="205"/>
      <c r="E137" s="205"/>
      <c r="F137" s="71"/>
    </row>
    <row r="138" spans="1:11" s="82" customFormat="1" ht="33" customHeight="1" thickBot="1">
      <c r="B138" s="205" t="s">
        <v>224</v>
      </c>
      <c r="C138" s="205"/>
      <c r="D138" s="205"/>
      <c r="E138" s="205"/>
      <c r="F138" s="71"/>
    </row>
    <row r="139" spans="1:11" s="82" customFormat="1" ht="18.75" customHeight="1">
      <c r="F139" s="71"/>
    </row>
    <row r="140" spans="1:11" s="82" customFormat="1" ht="18.75" customHeight="1">
      <c r="F140" s="71"/>
    </row>
    <row r="141" spans="1:11" s="82" customFormat="1" ht="18.75" customHeight="1">
      <c r="F141" s="71"/>
    </row>
    <row r="142" spans="1:11" s="82" customFormat="1" ht="18.75" customHeight="1">
      <c r="F142" s="71"/>
    </row>
    <row r="143" spans="1:11" s="82" customFormat="1" ht="18.75" customHeight="1">
      <c r="F143" s="71"/>
    </row>
    <row r="144" spans="1:11" s="82" customFormat="1" ht="18.75" customHeight="1">
      <c r="F144" s="71"/>
    </row>
    <row r="145" spans="6:6" s="82" customFormat="1" ht="18.75" customHeight="1">
      <c r="F145" s="71"/>
    </row>
    <row r="146" spans="6:6" s="82" customFormat="1" ht="18.75" customHeight="1">
      <c r="F146" s="71"/>
    </row>
    <row r="147" spans="6:6" s="82" customFormat="1" ht="18.75" customHeight="1">
      <c r="F147" s="71"/>
    </row>
    <row r="148" spans="6:6" s="82" customFormat="1" ht="18.75" customHeight="1">
      <c r="F148" s="71"/>
    </row>
    <row r="149" spans="6:6" s="82" customFormat="1" ht="18.75" customHeight="1">
      <c r="F149" s="71"/>
    </row>
    <row r="150" spans="6:6" s="82" customFormat="1" ht="18.75" customHeight="1">
      <c r="F150" s="71"/>
    </row>
    <row r="151" spans="6:6" s="82" customFormat="1" ht="18.75" customHeight="1">
      <c r="F151" s="71"/>
    </row>
    <row r="152" spans="6:6" s="82" customFormat="1" ht="18.75" customHeight="1">
      <c r="F152" s="71"/>
    </row>
    <row r="153" spans="6:6" s="82" customFormat="1" ht="18.75" customHeight="1">
      <c r="F153" s="71"/>
    </row>
    <row r="154" spans="6:6" s="82" customFormat="1" ht="18.75" customHeight="1">
      <c r="F154" s="71"/>
    </row>
    <row r="155" spans="6:6" s="82" customFormat="1" ht="18.75" customHeight="1">
      <c r="F155" s="71"/>
    </row>
    <row r="156" spans="6:6" s="82" customFormat="1" ht="18.75" customHeight="1">
      <c r="F156" s="71"/>
    </row>
    <row r="157" spans="6:6" s="82" customFormat="1" ht="18.75" customHeight="1">
      <c r="F157" s="71"/>
    </row>
    <row r="158" spans="6:6" s="82" customFormat="1" ht="18.75" customHeight="1">
      <c r="F158" s="71"/>
    </row>
    <row r="159" spans="6:6" s="82" customFormat="1" ht="18.75" customHeight="1">
      <c r="F159" s="71"/>
    </row>
    <row r="160" spans="6:6" s="82" customFormat="1" ht="18.75" customHeight="1">
      <c r="F160" s="71"/>
    </row>
    <row r="161" spans="6:6" s="82" customFormat="1" ht="18.75" customHeight="1">
      <c r="F161" s="71"/>
    </row>
    <row r="162" spans="6:6" s="82" customFormat="1" ht="18.75" customHeight="1">
      <c r="F162" s="71"/>
    </row>
    <row r="163" spans="6:6" s="82" customFormat="1" ht="18.75" customHeight="1">
      <c r="F163" s="71"/>
    </row>
    <row r="164" spans="6:6" s="82" customFormat="1" ht="18.75" customHeight="1">
      <c r="F164" s="71"/>
    </row>
    <row r="165" spans="6:6" s="82" customFormat="1" ht="18.75" customHeight="1">
      <c r="F165" s="71"/>
    </row>
    <row r="166" spans="6:6" s="82" customFormat="1" ht="18.75" customHeight="1">
      <c r="F166" s="71"/>
    </row>
    <row r="167" spans="6:6" s="82" customFormat="1" ht="18.75" customHeight="1">
      <c r="F167" s="71"/>
    </row>
    <row r="168" spans="6:6" s="82" customFormat="1" ht="18.75" customHeight="1">
      <c r="F168" s="71"/>
    </row>
    <row r="169" spans="6:6" s="82" customFormat="1" ht="18.75" customHeight="1">
      <c r="F169" s="71"/>
    </row>
    <row r="170" spans="6:6" s="82" customFormat="1" ht="18.75" customHeight="1">
      <c r="F170" s="71"/>
    </row>
    <row r="171" spans="6:6" s="82" customFormat="1" ht="18.75" customHeight="1">
      <c r="F171" s="71"/>
    </row>
    <row r="172" spans="6:6" s="82" customFormat="1" ht="18.75" customHeight="1">
      <c r="F172" s="71"/>
    </row>
    <row r="173" spans="6:6" s="82" customFormat="1" ht="18.75" customHeight="1">
      <c r="F173" s="71"/>
    </row>
    <row r="174" spans="6:6" s="82" customFormat="1" ht="12.75">
      <c r="F174" s="71"/>
    </row>
    <row r="175" spans="6:6" s="82" customFormat="1" ht="12.75">
      <c r="F175" s="71"/>
    </row>
    <row r="176" spans="6:6" s="82" customFormat="1" ht="12.75">
      <c r="F176" s="71"/>
    </row>
    <row r="177" spans="1:6" s="82" customFormat="1" ht="12.75">
      <c r="F177" s="71"/>
    </row>
    <row r="178" spans="1:6" s="82" customFormat="1" ht="12.75">
      <c r="F178" s="71"/>
    </row>
    <row r="179" spans="1:6" s="82" customFormat="1" ht="12.75">
      <c r="F179" s="71"/>
    </row>
    <row r="180" spans="1:6" s="82" customFormat="1" ht="12.75">
      <c r="F180" s="71"/>
    </row>
    <row r="181" spans="1:6" s="82" customFormat="1" ht="12.75">
      <c r="A181" s="101" t="s">
        <v>107</v>
      </c>
      <c r="F181" s="71"/>
    </row>
    <row r="182" spans="1:6" s="82" customFormat="1" ht="12.75">
      <c r="A182" s="82" t="s">
        <v>108</v>
      </c>
      <c r="F182" s="71"/>
    </row>
    <row r="183" spans="1:6" s="82" customFormat="1" ht="12.75">
      <c r="F183" s="71"/>
    </row>
    <row r="184" spans="1:6" s="82" customFormat="1" ht="12.75">
      <c r="F184" s="71"/>
    </row>
    <row r="185" spans="1:6" s="82" customFormat="1" ht="12.75">
      <c r="F185" s="71"/>
    </row>
    <row r="186" spans="1:6" s="82" customFormat="1" ht="12.75">
      <c r="F186" s="71"/>
    </row>
    <row r="187" spans="1:6" s="82" customFormat="1" ht="12.75">
      <c r="F187" s="71"/>
    </row>
    <row r="188" spans="1:6" s="82" customFormat="1" ht="12.75">
      <c r="A188" s="82" t="s">
        <v>109</v>
      </c>
      <c r="F188" s="71"/>
    </row>
    <row r="189" spans="1:6" s="82" customFormat="1" ht="12.75">
      <c r="A189" s="101" t="s">
        <v>110</v>
      </c>
      <c r="F189" s="71"/>
    </row>
    <row r="190" spans="1:6" s="82" customFormat="1" ht="12.75">
      <c r="A190" s="101" t="s">
        <v>111</v>
      </c>
      <c r="F190" s="71"/>
    </row>
    <row r="191" spans="1:6" s="82" customFormat="1" ht="12.75">
      <c r="A191" s="82" t="s">
        <v>112</v>
      </c>
      <c r="F191" s="71"/>
    </row>
    <row r="192" spans="1:6" s="82" customFormat="1" ht="12.75">
      <c r="F192" s="71"/>
    </row>
    <row r="193" spans="6:6" s="82" customFormat="1" ht="12.75">
      <c r="F193" s="71"/>
    </row>
    <row r="194" spans="6:6" s="82" customFormat="1" ht="12.75">
      <c r="F194" s="71"/>
    </row>
    <row r="195" spans="6:6" s="82" customFormat="1" ht="12.75">
      <c r="F195" s="71"/>
    </row>
    <row r="196" spans="6:6" s="82" customFormat="1" ht="12.75">
      <c r="F196" s="71"/>
    </row>
    <row r="197" spans="6:6" s="82" customFormat="1" ht="12.75">
      <c r="F197" s="71"/>
    </row>
    <row r="198" spans="6:6" s="82" customFormat="1" ht="12.75">
      <c r="F198" s="71"/>
    </row>
    <row r="199" spans="6:6" s="82" customFormat="1" ht="12.75">
      <c r="F199" s="71"/>
    </row>
    <row r="200" spans="6:6" s="82" customFormat="1" ht="12.75">
      <c r="F200" s="71"/>
    </row>
    <row r="201" spans="6:6" s="82" customFormat="1" ht="12.75">
      <c r="F201" s="71"/>
    </row>
    <row r="202" spans="6:6" s="82" customFormat="1" ht="12.75">
      <c r="F202" s="71"/>
    </row>
    <row r="203" spans="6:6" s="82" customFormat="1" ht="12.75">
      <c r="F203" s="71"/>
    </row>
    <row r="204" spans="6:6" s="82" customFormat="1" ht="12.75">
      <c r="F204" s="71"/>
    </row>
    <row r="205" spans="6:6" s="82" customFormat="1" ht="12.75">
      <c r="F205" s="71"/>
    </row>
    <row r="206" spans="6:6" s="82" customFormat="1" ht="12.75">
      <c r="F206" s="71"/>
    </row>
    <row r="207" spans="6:6" s="82" customFormat="1" ht="12.75">
      <c r="F207" s="71"/>
    </row>
    <row r="208" spans="6:6" s="82" customFormat="1" ht="12.75">
      <c r="F208" s="71"/>
    </row>
    <row r="209" spans="6:6" s="82" customFormat="1" ht="12.75">
      <c r="F209" s="71"/>
    </row>
    <row r="210" spans="6:6" s="82" customFormat="1" ht="12.75">
      <c r="F210" s="71"/>
    </row>
    <row r="211" spans="6:6" s="82" customFormat="1" ht="12.75">
      <c r="F211" s="71"/>
    </row>
    <row r="212" spans="6:6" s="82" customFormat="1" ht="12.75">
      <c r="F212" s="71"/>
    </row>
    <row r="213" spans="6:6" s="82" customFormat="1" ht="12.75">
      <c r="F213" s="71"/>
    </row>
    <row r="214" spans="6:6" s="82" customFormat="1" ht="12.75">
      <c r="F214" s="71"/>
    </row>
    <row r="215" spans="6:6" s="82" customFormat="1" ht="12.75">
      <c r="F215" s="71"/>
    </row>
    <row r="216" spans="6:6" s="82" customFormat="1" ht="12.75">
      <c r="F216" s="71"/>
    </row>
    <row r="217" spans="6:6" s="82" customFormat="1" ht="12.75">
      <c r="F217" s="71"/>
    </row>
    <row r="218" spans="6:6" s="82" customFormat="1" ht="12.75">
      <c r="F218" s="71"/>
    </row>
    <row r="219" spans="6:6" s="82" customFormat="1" ht="12.75">
      <c r="F219" s="71"/>
    </row>
    <row r="220" spans="6:6" s="82" customFormat="1" ht="12.75">
      <c r="F220" s="71"/>
    </row>
    <row r="221" spans="6:6" s="82" customFormat="1" ht="12.75">
      <c r="F221" s="71"/>
    </row>
    <row r="222" spans="6:6" s="82" customFormat="1" ht="12.75">
      <c r="F222" s="71"/>
    </row>
    <row r="223" spans="6:6" s="82" customFormat="1" ht="12.75">
      <c r="F223" s="71"/>
    </row>
    <row r="224" spans="6:6" s="82" customFormat="1" ht="12.75">
      <c r="F224" s="71"/>
    </row>
    <row r="225" spans="6:6" s="82" customFormat="1" ht="12.75">
      <c r="F225" s="71"/>
    </row>
    <row r="226" spans="6:6" s="82" customFormat="1" ht="12.75">
      <c r="F226" s="71"/>
    </row>
  </sheetData>
  <mergeCells count="26">
    <mergeCell ref="B132:B133"/>
    <mergeCell ref="C132:E132"/>
    <mergeCell ref="C133:D133"/>
    <mergeCell ref="C134:D134"/>
    <mergeCell ref="C135:D135"/>
    <mergeCell ref="C136:D136"/>
    <mergeCell ref="B137:E137"/>
    <mergeCell ref="B138:E138"/>
    <mergeCell ref="A131:G131"/>
    <mergeCell ref="A114:K114"/>
    <mergeCell ref="A116:K116"/>
    <mergeCell ref="A122:K122"/>
    <mergeCell ref="A129:K129"/>
    <mergeCell ref="A118:K118"/>
    <mergeCell ref="A115:K115"/>
    <mergeCell ref="A119:K119"/>
    <mergeCell ref="A121:K121"/>
    <mergeCell ref="A123:K123"/>
    <mergeCell ref="A125:K125"/>
    <mergeCell ref="A126:K126"/>
    <mergeCell ref="A127:K127"/>
    <mergeCell ref="A1:I1"/>
    <mergeCell ref="A2:I2"/>
    <mergeCell ref="D7:E7"/>
    <mergeCell ref="A110:K110"/>
    <mergeCell ref="A112:K112"/>
  </mergeCells>
  <phoneticPr fontId="3" type="noConversion"/>
  <dataValidations count="2">
    <dataValidation type="list" allowBlank="1" showInputMessage="1" showErrorMessage="1" sqref="I48:I49 I81:I82">
      <formula1>$A$188:$A$193</formula1>
    </dataValidation>
    <dataValidation type="list" allowBlank="1" showInputMessage="1" showErrorMessage="1" sqref="G10:G17 G50">
      <formula1>$A$188:$A$191</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B23-1了解收入循环流程和内部控制记录表</vt:lpstr>
      <vt:lpstr>B23-1-1链接-企业对财务报表风险的应对</vt:lpstr>
      <vt:lpstr>B23-1-2穿行测试</vt:lpstr>
      <vt:lpstr>B23-1-3关键控制点选择表（财报审计适用）</vt:lpstr>
      <vt:lpstr>B23-1-4关键控制点选择表（整合审计适用）</vt:lpstr>
      <vt:lpstr>'B23-1-1链接-企业对财务报表风险的应对'!Print_Area</vt:lpstr>
      <vt:lpstr>'B23-1-2穿行测试'!Print_Area</vt:lpstr>
      <vt:lpstr>'B23-1-3关键控制点选择表（财报审计适用）'!Print_Area</vt:lpstr>
      <vt:lpstr>'B23-1-4关键控制点选择表（整合审计适用）'!Print_Area</vt:lpstr>
      <vt:lpstr>'B23-1了解收入循环流程和内部控制记录表'!Print_Area</vt:lpstr>
      <vt:lpstr>'B23-1-2穿行测试'!Print_Titles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2013-12-19T07:11:54Z</cp:lastPrinted>
  <dcterms:created xsi:type="dcterms:W3CDTF">2013-12-10T07:47:08Z</dcterms:created>
  <dcterms:modified xsi:type="dcterms:W3CDTF">2015-09-17T02:59:14Z</dcterms:modified>
</cp:coreProperties>
</file>