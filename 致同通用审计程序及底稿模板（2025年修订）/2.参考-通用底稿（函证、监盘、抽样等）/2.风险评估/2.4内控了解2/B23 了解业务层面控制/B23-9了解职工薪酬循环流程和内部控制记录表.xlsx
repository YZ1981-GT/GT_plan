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activeTab="1"/>
  </bookViews>
  <sheets>
    <sheet name="表头（请先填写）" sheetId="7" r:id="rId1"/>
    <sheet name="B23-9了解职工薪酬循环流程和内部控制记录表" sheetId="1" r:id="rId2"/>
    <sheet name="B23-9-1链接-企业对财务报表风险的应对" sheetId="4" r:id="rId3"/>
    <sheet name="B23-9-2穿行测试" sheetId="3" r:id="rId4"/>
    <sheet name="B23-9-3关键控制点选择表（财报审计适用）" sheetId="9" r:id="rId5"/>
    <sheet name="B23-9-4关键控制点选择表（整合审计适用） " sheetId="10"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'B23-9-1链接-企业对财务报表风险的应对'!$A$1:$E$13</definedName>
    <definedName name="_xlnm.Print_Area" localSheetId="3">'B23-9-2穿行测试'!$A$1:$J$29</definedName>
    <definedName name="_xlnm.Print_Area" localSheetId="4">'B23-9-3关键控制点选择表（财报审计适用）'!$A$1:$I$26</definedName>
    <definedName name="_xlnm.Print_Area" localSheetId="5">'B23-9-4关键控制点选择表（整合审计适用） '!$A$1:$I$47</definedName>
    <definedName name="_xlnm.Print_Area" localSheetId="1">'B23-9了解职工薪酬循环流程和内部控制记录表'!$A$1:$E$50</definedName>
    <definedName name="_xlnm.Print_Titles" localSheetId="3">'B23-9-2穿行测试'!$5:$5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45" i="10" l="1"/>
  <c r="H45" i="10"/>
  <c r="G45" i="10"/>
  <c r="F44" i="10"/>
  <c r="F43" i="10"/>
  <c r="F42" i="10"/>
  <c r="F41" i="10"/>
  <c r="F40" i="10"/>
  <c r="F39" i="10"/>
  <c r="F38" i="10"/>
  <c r="F37" i="10"/>
  <c r="F36" i="10"/>
  <c r="F35" i="10"/>
  <c r="F34" i="10"/>
  <c r="F33" i="10"/>
  <c r="F32" i="10"/>
  <c r="F31" i="10"/>
  <c r="F30" i="10"/>
  <c r="I25" i="10"/>
  <c r="H25" i="10"/>
  <c r="G25" i="10"/>
  <c r="F24" i="10"/>
  <c r="F23" i="10"/>
  <c r="F22" i="10"/>
  <c r="F21" i="10"/>
  <c r="F20" i="10"/>
  <c r="F19" i="10"/>
  <c r="F18" i="10"/>
  <c r="F17" i="10"/>
  <c r="F16" i="10"/>
  <c r="F15" i="10"/>
  <c r="F14" i="10"/>
  <c r="F13" i="10"/>
  <c r="F12" i="10"/>
  <c r="F11" i="10"/>
  <c r="F10" i="10"/>
  <c r="A4" i="10"/>
  <c r="E3" i="10"/>
  <c r="C3" i="10"/>
  <c r="A3" i="10"/>
  <c r="G24" i="9"/>
  <c r="F13" i="9"/>
  <c r="F14" i="9"/>
  <c r="F15" i="9"/>
  <c r="F16" i="9"/>
  <c r="H24" i="9"/>
  <c r="I24" i="9"/>
  <c r="F25" i="10" l="1"/>
  <c r="I26" i="10" s="1"/>
  <c r="F45" i="10"/>
  <c r="I46" i="10" s="1"/>
  <c r="F22" i="9"/>
  <c r="F23" i="9"/>
  <c r="F10" i="9"/>
  <c r="F11" i="9"/>
  <c r="F12" i="9"/>
  <c r="F17" i="9"/>
  <c r="F18" i="9"/>
  <c r="F19" i="9"/>
  <c r="F20" i="9"/>
  <c r="F21" i="9"/>
  <c r="F9" i="9"/>
  <c r="G26" i="10" l="1"/>
  <c r="H46" i="10"/>
  <c r="G46" i="10"/>
  <c r="H26" i="10"/>
  <c r="F24" i="9"/>
  <c r="H25" i="9" s="1"/>
  <c r="I25" i="9" l="1"/>
  <c r="G25" i="9"/>
  <c r="C3" i="4"/>
  <c r="B3" i="4"/>
  <c r="A4" i="4"/>
  <c r="A3" i="4"/>
  <c r="G3" i="3"/>
  <c r="E3" i="3"/>
  <c r="A4" i="3"/>
  <c r="A3" i="3"/>
  <c r="D3" i="1"/>
  <c r="E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<sst xmlns="http://schemas.openxmlformats.org/spreadsheetml/2006/main" count="340" uniqueCount="215">
  <si>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</si>
  <si>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</si>
  <si>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</si>
  <si>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</si>
  <si>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</si>
  <si>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</si>
  <si>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</si>
  <si>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</si>
  <si>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</si>
  <si>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</si>
  <si>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</si>
  <si>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</si>
  <si>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</si>
  <si>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</si>
  <si>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</si>
  <si>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</si>
  <si>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</si>
  <si>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</si>
  <si>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</si>
  <si>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</si>
  <si>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</si>
  <si>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宋体"/>
        <family val="3"/>
        <charset val="134"/>
      </rPr>
      <t>致同会计师事务所</t>
    </r>
  </si>
  <si>
    <t>权利/义务 Rights/Obligations</t>
  </si>
  <si>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</si>
  <si>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t>存在和发生  Existence/Occurrence</t>
  </si>
  <si>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</si>
  <si>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</si>
  <si>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</si>
  <si>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</si>
  <si>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</si>
  <si>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</si>
  <si>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</si>
  <si>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</si>
  <si>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</si>
  <si>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rPr>
        <b/>
        <sz val="10"/>
        <rFont val="宋体"/>
        <family val="3"/>
        <charset val="134"/>
      </rPr>
      <t>权利</t>
    </r>
    <r>
      <rPr>
        <b/>
        <sz val="10"/>
        <rFont val="Arial Narrow"/>
        <family val="2"/>
      </rPr>
      <t>/</t>
    </r>
    <r>
      <rPr>
        <b/>
        <sz val="10"/>
        <rFont val="宋体"/>
        <family val="3"/>
        <charset val="134"/>
      </rPr>
      <t>义务</t>
    </r>
    <r>
      <rPr>
        <b/>
        <sz val="10"/>
        <rFont val="Arial Narrow"/>
        <family val="2"/>
      </rPr>
      <t xml:space="preserve"> Rights/Obligations</t>
    </r>
  </si>
  <si>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</si>
  <si>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</si>
  <si>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</si>
  <si>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</si>
  <si>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</si>
  <si>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</si>
  <si>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</si>
  <si>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</si>
  <si>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</si>
  <si>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</si>
  <si>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</si>
  <si>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</si>
  <si>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</si>
  <si>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</si>
  <si>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</si>
  <si>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</si>
  <si>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</si>
  <si>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</si>
  <si>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</si>
  <si>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</si>
  <si>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</si>
  <si>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</si>
  <si>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</si>
  <si>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</si>
  <si>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</si>
  <si>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</si>
  <si>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</si>
  <si>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</si>
  <si>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</si>
  <si>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</si>
  <si>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</si>
  <si>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</si>
  <si>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</si>
  <si>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</si>
  <si>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</si>
  <si>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</si>
  <si>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</si>
  <si>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</si>
  <si>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</si>
  <si>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</si>
  <si>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</si>
  <si>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</si>
  <si>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</si>
  <si>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</si>
  <si>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</si>
  <si>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</si>
  <si>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</si>
  <si>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</si>
  <si>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</si>
  <si>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</si>
  <si>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</si>
  <si>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</si>
  <si>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</si>
  <si>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</si>
  <si>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</si>
  <si>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</si>
  <si>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</si>
  <si>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</si>
  <si>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</si>
  <si>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</si>
  <si>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</si>
  <si>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</si>
  <si>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</si>
  <si>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</si>
  <si>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</si>
  <si>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</si>
  <si>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是否适用</t>
    <phoneticPr fontId="2" type="noConversion"/>
  </si>
  <si>
    <t>应对风险的控制</t>
    <phoneticPr fontId="2"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</si>
  <si>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</si>
  <si>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</si>
  <si>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</si>
  <si>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</si>
  <si>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</si>
  <si>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</si>
  <si>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</si>
  <si>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</si>
  <si>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</si>
  <si>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</si>
  <si>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</si>
  <si>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</si>
  <si>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</si>
  <si>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应对风险的活动</t>
    <phoneticPr fontId="2"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</si>
  <si>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</si>
  <si>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</si>
  <si>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</si>
  <si>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</si>
  <si>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</si>
  <si>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</si>
  <si>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</si>
  <si>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</si>
  <si>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theme="1"/>
        <rFont val="宋体"/>
        <family val="3"/>
        <charset val="134"/>
      </rPr>
      <t>认定</t>
    </r>
    <phoneticPr fontId="2" type="noConversion"/>
  </si>
  <si>
    <t xml:space="preserve">                             页次： </t>
    <phoneticPr fontId="3"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</si>
  <si>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</si>
  <si>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</si>
  <si>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</si>
  <si>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</si>
  <si>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</si>
  <si>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</si>
  <si>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</si>
  <si>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</si>
  <si>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</si>
  <si>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</si>
  <si>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</si>
  <si>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</si>
  <si>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</si>
  <si>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</si>
  <si>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</si>
  <si>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</si>
  <si>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</si>
  <si>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</si>
  <si>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</si>
  <si>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</si>
  <si>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</si>
  <si>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</si>
  <si>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</si>
  <si>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</si>
  <si>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</si>
  <si>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</si>
  <si>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</si>
  <si>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</si>
  <si>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</si>
  <si>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</si>
  <si>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</si>
  <si>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</si>
  <si>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</si>
  <si>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</si>
  <si>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</si>
  <si>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</si>
  <si>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</si>
  <si>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</si>
  <si>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</si>
  <si>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rPr>
        <sz val="10"/>
        <color rgb="FFFF0000"/>
        <rFont val="宋体"/>
        <family val="2"/>
        <charset val="134"/>
      </rPr>
      <t>完整性</t>
    </r>
    <r>
      <rPr>
        <sz val="10"/>
        <color rgb="FFFF0000"/>
        <rFont val="Arial Narrow"/>
        <family val="2"/>
      </rPr>
      <t xml:space="preserve"> Completeness</t>
    </r>
  </si>
  <si>
    <r>
      <rPr>
        <sz val="10"/>
        <rFont val="宋体"/>
        <family val="3"/>
        <charset val="134"/>
      </rPr>
      <t>索引号：</t>
    </r>
    <r>
      <rPr>
        <sz val="10"/>
        <rFont val="Arial Narrow"/>
        <family val="2"/>
      </rPr>
      <t>B23-9-2</t>
    </r>
    <phoneticPr fontId="3" type="noConversion"/>
  </si>
  <si>
    <t>穿行测试（职工薪酬循环）</t>
    <phoneticPr fontId="3" type="noConversion"/>
  </si>
  <si>
    <r>
      <rPr>
        <sz val="10"/>
        <rFont val="宋体"/>
        <family val="3"/>
        <charset val="134"/>
      </rPr>
      <t>索引号：</t>
    </r>
    <r>
      <rPr>
        <sz val="10"/>
        <rFont val="Arial Narrow"/>
        <family val="2"/>
      </rPr>
      <t>B23-9-3</t>
    </r>
    <phoneticPr fontId="3" type="noConversion"/>
  </si>
  <si>
    <r>
      <rPr>
        <sz val="10"/>
        <rFont val="宋体"/>
        <family val="3"/>
        <charset val="134"/>
      </rPr>
      <t>索引号：</t>
    </r>
    <r>
      <rPr>
        <sz val="10"/>
        <rFont val="Arial Narrow"/>
        <family val="2"/>
      </rPr>
      <t>B23-9-1</t>
    </r>
    <phoneticPr fontId="3" type="noConversion"/>
  </si>
  <si>
    <t>关键控制点选择（职工薪酬循环）</t>
    <phoneticPr fontId="3" type="noConversion"/>
  </si>
  <si>
    <t>B23-9了解职工薪酬循环流程和内部控制记录表</t>
  </si>
  <si>
    <r>
      <t>B23-9-1</t>
    </r>
    <r>
      <rPr>
        <u/>
        <sz val="10"/>
        <color indexed="12"/>
        <rFont val="Arial Narrow"/>
        <family val="2"/>
      </rPr>
      <t>链接</t>
    </r>
    <r>
      <rPr>
        <u/>
        <sz val="10"/>
        <color indexed="12"/>
        <rFont val="Arial"/>
        <family val="2"/>
      </rPr>
      <t>-</t>
    </r>
    <r>
      <rPr>
        <u/>
        <sz val="10"/>
        <color indexed="12"/>
        <rFont val="Arial Narrow"/>
        <family val="2"/>
      </rPr>
      <t>企业对财务报表风险的应对</t>
    </r>
  </si>
  <si>
    <t>B23-9-2穿行测试</t>
  </si>
  <si>
    <t>了解职工薪酬循环流程和内部控制记录表</t>
    <phoneticPr fontId="3" type="noConversion"/>
  </si>
  <si>
    <r>
      <t>4</t>
    </r>
    <r>
      <rPr>
        <sz val="10"/>
        <rFont val="宋体"/>
        <family val="3"/>
        <charset val="134"/>
      </rPr>
      <t>、工薪有关的调整</t>
    </r>
    <r>
      <rPr>
        <sz val="10"/>
        <rFont val="Arial Narrow"/>
        <family val="2"/>
      </rPr>
      <t>Payroll-related adjustments</t>
    </r>
    <phoneticPr fontId="2" type="noConversion"/>
  </si>
  <si>
    <r>
      <t>3</t>
    </r>
    <r>
      <rPr>
        <sz val="10"/>
        <rFont val="宋体"/>
        <family val="3"/>
        <charset val="134"/>
      </rPr>
      <t>、福利与纳税义务</t>
    </r>
    <r>
      <rPr>
        <sz val="10"/>
        <rFont val="Arial Narrow"/>
        <family val="2"/>
      </rPr>
      <t>Benefits and tax liabilities</t>
    </r>
    <phoneticPr fontId="2" type="noConversion"/>
  </si>
  <si>
    <r>
      <t>2</t>
    </r>
    <r>
      <rPr>
        <sz val="10"/>
        <rFont val="宋体"/>
        <family val="3"/>
        <charset val="134"/>
      </rPr>
      <t>、支付员工工资</t>
    </r>
    <r>
      <rPr>
        <sz val="10"/>
        <rFont val="Arial Narrow"/>
        <family val="2"/>
      </rPr>
      <t>Pay employees</t>
    </r>
    <phoneticPr fontId="2" type="noConversion"/>
  </si>
  <si>
    <r>
      <t>1</t>
    </r>
    <r>
      <rPr>
        <sz val="10"/>
        <rFont val="宋体"/>
        <family val="3"/>
        <charset val="134"/>
      </rPr>
      <t>、雇佣</t>
    </r>
    <r>
      <rPr>
        <sz val="10"/>
        <rFont val="Arial Narrow"/>
        <family val="2"/>
      </rPr>
      <t>Hiring</t>
    </r>
    <phoneticPr fontId="2" type="noConversion"/>
  </si>
  <si>
    <r>
      <rPr>
        <b/>
        <sz val="10"/>
        <rFont val="宋体"/>
        <family val="3"/>
        <charset val="134"/>
      </rPr>
      <t>完整性</t>
    </r>
    <r>
      <rPr>
        <b/>
        <sz val="10"/>
        <rFont val="Arial Narrow"/>
        <family val="2"/>
      </rPr>
      <t xml:space="preserve"> Completeness</t>
    </r>
  </si>
  <si>
    <r>
      <rPr>
        <sz val="10"/>
        <color rgb="FFFF0000"/>
        <rFont val="宋体"/>
        <family val="3"/>
        <charset val="134"/>
      </rPr>
      <t>低估的奖金或分红应付款</t>
    </r>
    <r>
      <rPr>
        <sz val="10"/>
        <color rgb="FFFF0000"/>
        <rFont val="Arial Narrow"/>
        <family val="2"/>
      </rPr>
      <t xml:space="preserve"> Bonus or profit sharing obligations and expenses understated </t>
    </r>
    <r>
      <rPr>
        <sz val="10"/>
        <color rgb="FFFF0000"/>
        <rFont val="宋体"/>
        <family val="3"/>
        <charset val="134"/>
      </rPr>
      <t>（</t>
    </r>
    <r>
      <rPr>
        <sz val="10"/>
        <color rgb="FFFF0000"/>
        <rFont val="Arial Narrow"/>
        <family val="2"/>
      </rPr>
      <t>V4Bonus or profit sharing obligations understated</t>
    </r>
    <r>
      <rPr>
        <sz val="10"/>
        <color rgb="FFFF0000"/>
        <rFont val="宋体"/>
        <family val="3"/>
        <charset val="134"/>
      </rPr>
      <t>）</t>
    </r>
    <phoneticPr fontId="3" type="noConversion"/>
  </si>
  <si>
    <r>
      <rPr>
        <sz val="10"/>
        <color rgb="FFFF0000"/>
        <rFont val="宋体"/>
        <family val="3"/>
        <charset val="134"/>
      </rPr>
      <t>低估的带薪假应付款</t>
    </r>
    <r>
      <rPr>
        <sz val="10"/>
        <color rgb="FFFF0000"/>
        <rFont val="Arial Narrow"/>
        <family val="2"/>
      </rPr>
      <t xml:space="preserve"> Compensated absences obligations and expenses understated </t>
    </r>
    <r>
      <rPr>
        <sz val="10"/>
        <color rgb="FFFF0000"/>
        <rFont val="宋体"/>
        <family val="3"/>
        <charset val="134"/>
      </rPr>
      <t>（</t>
    </r>
    <r>
      <rPr>
        <sz val="10"/>
        <color rgb="FFFF0000"/>
        <rFont val="Arial Narrow"/>
        <family val="2"/>
      </rPr>
      <t xml:space="preserve">V4Compensated absences obligations </t>
    </r>
  </si>
  <si>
    <r>
      <rPr>
        <sz val="10"/>
        <color rgb="FFFF0000"/>
        <rFont val="宋体"/>
        <family val="3"/>
        <charset val="134"/>
      </rPr>
      <t>低估的薪工税应付款</t>
    </r>
    <r>
      <rPr>
        <sz val="10"/>
        <color rgb="FFFF0000"/>
        <rFont val="Arial Narrow"/>
        <family val="2"/>
      </rPr>
      <t xml:space="preserve"> Payroll tax obligations and expenses understated </t>
    </r>
    <r>
      <rPr>
        <sz val="10"/>
        <color rgb="FFFF0000"/>
        <rFont val="宋体"/>
        <family val="3"/>
        <charset val="134"/>
      </rPr>
      <t>（</t>
    </r>
    <r>
      <rPr>
        <sz val="10"/>
        <color rgb="FFFF0000"/>
        <rFont val="Arial Narrow"/>
        <family val="2"/>
      </rPr>
      <t>V4Payroll tax obligations understated</t>
    </r>
    <r>
      <rPr>
        <sz val="10"/>
        <color rgb="FFFF0000"/>
        <rFont val="宋体"/>
        <family val="3"/>
        <charset val="134"/>
      </rPr>
      <t>）</t>
    </r>
    <phoneticPr fontId="3" type="noConversion"/>
  </si>
  <si>
    <r>
      <rPr>
        <sz val="10"/>
        <color rgb="FFFF0000"/>
        <rFont val="宋体"/>
        <family val="3"/>
        <charset val="134"/>
      </rPr>
      <t>日期回溯错误的股票期权</t>
    </r>
    <r>
      <rPr>
        <sz val="10"/>
        <color rgb="FFFF0000"/>
        <rFont val="Arial Narrow"/>
        <family val="2"/>
      </rPr>
      <t xml:space="preserve"> Stock options fraudulently backdated or spring loaded</t>
    </r>
    <phoneticPr fontId="3" type="noConversion"/>
  </si>
  <si>
    <r>
      <rPr>
        <sz val="10"/>
        <color rgb="FFFF0000"/>
        <rFont val="宋体"/>
        <family val="3"/>
        <charset val="134"/>
      </rPr>
      <t>低估的应付职工薪酬</t>
    </r>
    <r>
      <rPr>
        <sz val="10"/>
        <color rgb="FFFF0000"/>
        <rFont val="Arial Narrow"/>
        <family val="2"/>
      </rPr>
      <t xml:space="preserve"> Employee compensation and benefit obligation and expenses understated </t>
    </r>
    <r>
      <rPr>
        <sz val="10"/>
        <color rgb="FFFF0000"/>
        <rFont val="宋体"/>
        <family val="3"/>
        <charset val="134"/>
      </rPr>
      <t>（</t>
    </r>
    <r>
      <rPr>
        <sz val="10"/>
        <color rgb="FFFF0000"/>
        <rFont val="Arial Narrow"/>
        <family val="2"/>
      </rPr>
      <t>V4Employee compensation accruals understated</t>
    </r>
    <r>
      <rPr>
        <sz val="10"/>
        <color rgb="FFFF0000"/>
        <rFont val="宋体"/>
        <family val="3"/>
        <charset val="134"/>
      </rPr>
      <t>）</t>
    </r>
    <phoneticPr fontId="3" type="noConversion"/>
  </si>
  <si>
    <r>
      <rPr>
        <b/>
        <sz val="10"/>
        <rFont val="宋体"/>
        <family val="3"/>
        <charset val="134"/>
      </rPr>
      <t>存在和发生</t>
    </r>
    <r>
      <rPr>
        <b/>
        <sz val="10"/>
        <rFont val="Arial Narrow"/>
        <family val="2"/>
      </rPr>
      <t xml:space="preserve">  Existence/Occurrence</t>
    </r>
    <phoneticPr fontId="3" type="noConversion"/>
  </si>
  <si>
    <r>
      <rPr>
        <sz val="10"/>
        <color rgb="FFFF0000"/>
        <rFont val="宋体"/>
        <family val="3"/>
        <charset val="134"/>
      </rPr>
      <t>利用向虚构的员工支付款项进行的盗窃</t>
    </r>
    <r>
      <rPr>
        <sz val="10"/>
        <color rgb="FFFF0000"/>
        <rFont val="Arial Narrow"/>
        <family val="2"/>
      </rPr>
      <t xml:space="preserve"> Theft perpetrated through payments to fictitious employees</t>
    </r>
    <phoneticPr fontId="3" type="noConversion"/>
  </si>
  <si>
    <r>
      <rPr>
        <sz val="10"/>
        <color rgb="FFFF0000"/>
        <rFont val="宋体"/>
        <family val="3"/>
        <charset val="134"/>
      </rPr>
      <t>未缴纳的个人所得税</t>
    </r>
    <r>
      <rPr>
        <sz val="10"/>
        <color rgb="FFFF0000"/>
        <rFont val="Arial Narrow"/>
        <family val="2"/>
      </rPr>
      <t xml:space="preserve"> Payroll taxes not remitted</t>
    </r>
    <phoneticPr fontId="3" type="noConversion"/>
  </si>
  <si>
    <t>合计</t>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</si>
  <si>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</si>
  <si>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r>
      <rPr>
        <sz val="10"/>
        <color rgb="FFFF0000"/>
        <rFont val="宋体"/>
        <family val="3"/>
        <charset val="134"/>
      </rPr>
      <t>利用向虚构的员工支付款项进行的盗窃</t>
    </r>
    <r>
      <rPr>
        <sz val="10"/>
        <color rgb="FFFF0000"/>
        <rFont val="Arial Narrow"/>
        <family val="2"/>
      </rPr>
      <t xml:space="preserve"> Theft perpetrated through payments to fictitious employees</t>
    </r>
    <phoneticPr fontId="3" type="noConversion"/>
  </si>
  <si>
    <r>
      <rPr>
        <sz val="10"/>
        <rFont val="宋体"/>
        <family val="3"/>
        <charset val="134"/>
      </rPr>
      <t>雇佣</t>
    </r>
    <r>
      <rPr>
        <sz val="10"/>
        <rFont val="Arial Narrow"/>
        <family val="2"/>
      </rPr>
      <t>Hiring</t>
    </r>
    <phoneticPr fontId="3" type="noConversion"/>
  </si>
  <si>
    <r>
      <rPr>
        <sz val="10"/>
        <rFont val="宋体"/>
        <family val="3"/>
        <charset val="134"/>
      </rPr>
      <t>支付员工工资</t>
    </r>
    <r>
      <rPr>
        <sz val="10"/>
        <rFont val="Arial Narrow"/>
        <family val="2"/>
      </rPr>
      <t>Pay employees</t>
    </r>
    <phoneticPr fontId="3" type="noConversion"/>
  </si>
  <si>
    <r>
      <rPr>
        <sz val="10"/>
        <rFont val="宋体"/>
        <family val="3"/>
        <charset val="134"/>
      </rPr>
      <t>福利与纳税义务</t>
    </r>
    <r>
      <rPr>
        <sz val="10"/>
        <rFont val="Arial Narrow"/>
        <family val="2"/>
      </rPr>
      <t>Benefits and tax liabilities</t>
    </r>
    <phoneticPr fontId="3" type="noConversion"/>
  </si>
  <si>
    <r>
      <rPr>
        <sz val="10"/>
        <rFont val="宋体"/>
        <family val="3"/>
        <charset val="134"/>
      </rPr>
      <t>工薪有关的调整</t>
    </r>
    <r>
      <rPr>
        <sz val="10"/>
        <rFont val="Arial Narrow"/>
        <family val="2"/>
      </rPr>
      <t>Payroll-related adjustments</t>
    </r>
    <phoneticPr fontId="3" type="noConversion"/>
  </si>
  <si>
    <r>
      <rPr>
        <sz val="10"/>
        <color rgb="FFFF0000"/>
        <rFont val="宋体"/>
        <family val="3"/>
        <charset val="134"/>
      </rPr>
      <t>低估的奖金或分红应付款</t>
    </r>
    <r>
      <rPr>
        <sz val="10"/>
        <color rgb="FFFF0000"/>
        <rFont val="Arial Narrow"/>
        <family val="2"/>
      </rPr>
      <t xml:space="preserve"> Bonus or profit sharing obligations and expenses understated </t>
    </r>
    <r>
      <rPr>
        <sz val="10"/>
        <color rgb="FFFF0000"/>
        <rFont val="宋体"/>
        <family val="3"/>
        <charset val="134"/>
      </rPr>
      <t>（</t>
    </r>
    <r>
      <rPr>
        <sz val="10"/>
        <color rgb="FFFF0000"/>
        <rFont val="Arial Narrow"/>
        <family val="2"/>
      </rPr>
      <t>V4Bonus or profit sharing obligations understated</t>
    </r>
    <r>
      <rPr>
        <sz val="10"/>
        <color rgb="FFFF0000"/>
        <rFont val="宋体"/>
        <family val="3"/>
        <charset val="134"/>
      </rPr>
      <t>）</t>
    </r>
    <phoneticPr fontId="2" type="noConversion"/>
  </si>
  <si>
    <r>
      <rPr>
        <sz val="10"/>
        <color rgb="FFFF0000"/>
        <rFont val="宋体"/>
        <family val="3"/>
        <charset val="134"/>
      </rPr>
      <t>低估的带薪假应付款</t>
    </r>
    <r>
      <rPr>
        <sz val="10"/>
        <color rgb="FFFF0000"/>
        <rFont val="Arial Narrow"/>
        <family val="2"/>
      </rPr>
      <t xml:space="preserve"> Compensated absences obligations and expenses understated </t>
    </r>
    <r>
      <rPr>
        <sz val="10"/>
        <color rgb="FFFF0000"/>
        <rFont val="宋体"/>
        <family val="3"/>
        <charset val="134"/>
      </rPr>
      <t>（</t>
    </r>
    <r>
      <rPr>
        <sz val="10"/>
        <color rgb="FFFF0000"/>
        <rFont val="Arial Narrow"/>
        <family val="2"/>
      </rPr>
      <t xml:space="preserve">V4Compensated absences obligations </t>
    </r>
    <phoneticPr fontId="2" type="noConversion"/>
  </si>
  <si>
    <r>
      <rPr>
        <sz val="10"/>
        <color rgb="FFFF0000"/>
        <rFont val="宋体"/>
        <family val="3"/>
        <charset val="134"/>
      </rPr>
      <t>完整性</t>
    </r>
    <r>
      <rPr>
        <sz val="10"/>
        <color rgb="FFFF0000"/>
        <rFont val="Arial Narrow"/>
        <family val="2"/>
      </rPr>
      <t xml:space="preserve"> Completeness</t>
    </r>
    <phoneticPr fontId="2" type="noConversion"/>
  </si>
  <si>
    <r>
      <rPr>
        <sz val="10"/>
        <color rgb="FFFF0000"/>
        <rFont val="宋体"/>
        <family val="3"/>
        <charset val="134"/>
      </rPr>
      <t>低估的薪工税应付款</t>
    </r>
    <r>
      <rPr>
        <sz val="10"/>
        <color rgb="FFFF0000"/>
        <rFont val="Arial Narrow"/>
        <family val="2"/>
      </rPr>
      <t xml:space="preserve"> Payroll tax obligations and expenses understated </t>
    </r>
    <r>
      <rPr>
        <sz val="10"/>
        <color rgb="FFFF0000"/>
        <rFont val="宋体"/>
        <family val="3"/>
        <charset val="134"/>
      </rPr>
      <t>（</t>
    </r>
    <r>
      <rPr>
        <sz val="10"/>
        <color rgb="FFFF0000"/>
        <rFont val="Arial Narrow"/>
        <family val="2"/>
      </rPr>
      <t>V4Payroll tax obligations understated</t>
    </r>
    <r>
      <rPr>
        <sz val="10"/>
        <color rgb="FFFF0000"/>
        <rFont val="宋体"/>
        <family val="3"/>
        <charset val="134"/>
      </rPr>
      <t>）</t>
    </r>
    <r>
      <rPr>
        <sz val="10"/>
        <color rgb="FFFF0000"/>
        <rFont val="Arial Narrow"/>
        <family val="2"/>
      </rPr>
      <t>credits</t>
    </r>
    <phoneticPr fontId="2" type="noConversion"/>
  </si>
  <si>
    <r>
      <rPr>
        <sz val="10"/>
        <color rgb="FFFF0000"/>
        <rFont val="宋体"/>
        <family val="3"/>
        <charset val="134"/>
      </rPr>
      <t>完整性</t>
    </r>
    <r>
      <rPr>
        <sz val="10"/>
        <color rgb="FFFF0000"/>
        <rFont val="Arial Narrow"/>
        <family val="2"/>
      </rPr>
      <t xml:space="preserve"> Completeness</t>
    </r>
  </si>
  <si>
    <r>
      <rPr>
        <sz val="10"/>
        <color rgb="FFFF0000"/>
        <rFont val="宋体"/>
        <family val="3"/>
        <charset val="134"/>
      </rPr>
      <t>日期回溯错误的股票期权</t>
    </r>
    <r>
      <rPr>
        <sz val="10"/>
        <color rgb="FFFF0000"/>
        <rFont val="Arial Narrow"/>
        <family val="2"/>
      </rPr>
      <t xml:space="preserve"> Stock options fraudulently backdated or spring loaded</t>
    </r>
    <phoneticPr fontId="2" type="noConversion"/>
  </si>
  <si>
    <r>
      <rPr>
        <sz val="10"/>
        <color rgb="FFFF0000"/>
        <rFont val="宋体"/>
        <family val="3"/>
        <charset val="134"/>
      </rPr>
      <t>低估的应付职工薪酬</t>
    </r>
    <r>
      <rPr>
        <sz val="10"/>
        <color rgb="FFFF0000"/>
        <rFont val="Arial Narrow"/>
        <family val="2"/>
      </rPr>
      <t xml:space="preserve"> Employee compensation and benefit obligation and expenses understated </t>
    </r>
    <r>
      <rPr>
        <sz val="10"/>
        <color rgb="FFFF0000"/>
        <rFont val="宋体"/>
        <family val="3"/>
        <charset val="134"/>
      </rPr>
      <t>（</t>
    </r>
    <r>
      <rPr>
        <sz val="10"/>
        <color rgb="FFFF0000"/>
        <rFont val="Arial Narrow"/>
        <family val="2"/>
      </rPr>
      <t>V4Employee compensation accruals understated</t>
    </r>
    <r>
      <rPr>
        <sz val="10"/>
        <color rgb="FFFF0000"/>
        <rFont val="宋体"/>
        <family val="3"/>
        <charset val="134"/>
      </rPr>
      <t>）</t>
    </r>
    <phoneticPr fontId="2" type="noConversion"/>
  </si>
  <si>
    <r>
      <rPr>
        <sz val="10"/>
        <color rgb="FFFF0000"/>
        <rFont val="宋体"/>
        <family val="3"/>
        <charset val="134"/>
      </rPr>
      <t>利用向虚构的员工支付款项进行的盗窃</t>
    </r>
    <r>
      <rPr>
        <sz val="10"/>
        <color rgb="FFFF0000"/>
        <rFont val="Arial Narrow"/>
        <family val="2"/>
      </rPr>
      <t xml:space="preserve"> Theft perpetrated through payments to fictitious employees</t>
    </r>
    <phoneticPr fontId="2" type="noConversion"/>
  </si>
  <si>
    <r>
      <rPr>
        <sz val="10"/>
        <color rgb="FFFF0000"/>
        <rFont val="宋体"/>
        <family val="3"/>
        <charset val="134"/>
      </rPr>
      <t>未缴纳的个人所得税</t>
    </r>
    <r>
      <rPr>
        <sz val="10"/>
        <color rgb="FFFF0000"/>
        <rFont val="Arial Narrow"/>
        <family val="2"/>
      </rPr>
      <t xml:space="preserve"> Payroll taxes not remitted</t>
    </r>
    <phoneticPr fontId="2" type="noConversion"/>
  </si>
  <si>
    <r>
      <rPr>
        <sz val="10"/>
        <rFont val="宋体"/>
        <family val="3"/>
        <charset val="134"/>
      </rPr>
      <t>索引号：</t>
    </r>
    <r>
      <rPr>
        <sz val="10"/>
        <rFont val="Arial Narrow"/>
        <family val="2"/>
      </rPr>
      <t>B23-9</t>
    </r>
    <phoneticPr fontId="3" type="noConversion"/>
  </si>
  <si>
    <r>
      <t>二、主要业务活动介绍/职工薪酬流程图</t>
    </r>
    <r>
      <rPr>
        <b/>
        <i/>
        <sz val="10"/>
        <color rgb="FF0000FF"/>
        <rFont val="宋体"/>
        <family val="3"/>
        <charset val="134"/>
      </rPr>
      <t>（需标注容易出错的领域）</t>
    </r>
    <phoneticPr fontId="3"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</si>
  <si>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</si>
  <si>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rPr>
        <sz val="10"/>
        <rFont val="宋体"/>
        <family val="3"/>
        <charset val="134"/>
      </rPr>
      <t>索引号：</t>
    </r>
    <r>
      <rPr>
        <sz val="10"/>
        <rFont val="Arial Narrow"/>
        <family val="2"/>
      </rPr>
      <t>B23-9-4</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</si>
  <si>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</si>
  <si>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</si>
  <si>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t>B23-9-3</t>
    </r>
    <r>
      <rPr>
        <u/>
        <sz val="10"/>
        <color indexed="12"/>
        <rFont val="宋体"/>
        <family val="3"/>
        <charset val="134"/>
      </rPr>
      <t>关键控制点选择表（财报审计适用）</t>
    </r>
    <phoneticPr fontId="2" type="noConversion"/>
  </si>
  <si>
    <r>
      <t>B23-9-4</t>
    </r>
    <r>
      <rPr>
        <u/>
        <sz val="10"/>
        <color indexed="12"/>
        <rFont val="宋体"/>
        <family val="3"/>
        <charset val="134"/>
      </rPr>
      <t>关键控制点选择表（整合审计适用）</t>
    </r>
    <r>
      <rPr>
        <u/>
        <sz val="10"/>
        <color indexed="12"/>
        <rFont val="Arial"/>
        <family val="2"/>
      </rPr>
      <t xml:space="preserve"> </t>
    </r>
    <phoneticPr fontId="2"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</si>
  <si>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</si>
  <si>
    <t>应付职工薪酬、长期应付职工薪酬、设定受益计划净资产</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</si>
</sst>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11">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u/>
      <sz val="10"/>
      <color indexed="12"/>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sz val="10"/>
      <color rgb="FFFF0000"/>
      <name val="宋体"/>
      <family val="2"/>
      <charset val="134"/>
    </font>
    <font>
      <b/>
      <sz val="10"/>
      <color rgb="FFFF0000"/>
      <name val="宋体"/>
      <family val="3"/>
      <charset val="134"/>
    </font>
    <font>
      <b/>
      <sz val="10"/>
      <color rgb="FFFF0000"/>
      <name val="Arial Narrow"/>
      <family val="2"/>
    </font>
    <font>
      <sz val="9"/>
      <color rgb="FF000000"/>
      <name val="Times New Roman"/>
      <family val="1"/>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75">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0" fontId="1"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0"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84" fillId="0" borderId="0" xfId="0" applyFo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9"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0" xfId="186" applyFont="1" applyBorder="1" applyAlignment="1">
      <alignment horizontal="center" wrapText="1"/>
      <protection locked="0"/>
    </xf>
    <xf numFmtId="0" fontId="61" fillId="0" borderId="24" xfId="0" applyFont="1" applyBorder="1" applyAlignment="1">
      <alignment horizontal="center" vertical="center"/>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61" fillId="0" borderId="25" xfId="0" applyFont="1" applyBorder="1" applyAlignment="1">
      <alignment horizontal="center" vertical="center"/>
    </xf>
    <xf numFmtId="176" fontId="55" fillId="0" borderId="0" xfId="1" applyFont="1" applyFill="1" applyBorder="1" applyAlignment="1">
      <alignment horizontal="lef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90" fillId="0" borderId="0" xfId="154" applyFont="1">
      <alignment vertical="center"/>
      <protection locked="0"/>
    </xf>
    <xf numFmtId="0" fontId="92" fillId="0" borderId="0" xfId="154" applyFont="1">
      <alignment vertical="center"/>
      <protection locked="0"/>
    </xf>
    <xf numFmtId="0" fontId="90" fillId="0" borderId="0" xfId="154" applyFont="1" applyBorder="1">
      <alignment vertical="center"/>
      <protection locked="0"/>
    </xf>
    <xf numFmtId="43" fontId="92" fillId="0" borderId="0" xfId="185" applyFont="1" applyBorder="1" applyProtection="1">
      <alignment vertical="center"/>
      <protection locked="0"/>
    </xf>
    <xf numFmtId="0" fontId="94" fillId="30" borderId="24" xfId="189" applyFont="1" applyFill="1" applyBorder="1" applyAlignment="1">
      <alignment vertical="center"/>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8"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8"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1"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6"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9" xfId="188" applyBorder="1" applyAlignment="1">
      <protection locked="0"/>
    </xf>
    <xf numFmtId="0" fontId="99" fillId="35" borderId="32" xfId="154" applyFont="1" applyFill="1" applyBorder="1" applyAlignment="1">
      <alignment vertical="center" wrapText="1"/>
      <protection locked="0"/>
    </xf>
    <xf numFmtId="0" fontId="69" fillId="0" borderId="0" xfId="0" applyFont="1" applyAlignment="1" applyProtection="1">
      <alignment vertical="center"/>
      <protection locked="0"/>
    </xf>
    <xf numFmtId="0" fontId="94" fillId="0" borderId="24" xfId="0" applyFont="1" applyBorder="1">
      <alignment vertical="center"/>
    </xf>
    <xf numFmtId="0" fontId="94" fillId="0" borderId="24" xfId="0" applyFont="1" applyBorder="1" applyAlignment="1">
      <alignment vertical="center"/>
    </xf>
    <xf numFmtId="0" fontId="94" fillId="0" borderId="24" xfId="154" applyFont="1" applyBorder="1">
      <alignment vertical="center"/>
      <protection locked="0"/>
    </xf>
    <xf numFmtId="0" fontId="94" fillId="0" borderId="24" xfId="154" applyFont="1" applyFill="1" applyBorder="1">
      <alignment vertical="center"/>
      <protection locked="0"/>
    </xf>
    <xf numFmtId="0" fontId="55" fillId="0" borderId="0" xfId="187" applyFont="1" applyBorder="1" applyAlignment="1">
      <alignment horizontal="left" vertical="center"/>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99" fillId="35" borderId="32" xfId="154" applyFont="1" applyFill="1" applyBorder="1" applyAlignment="1">
      <alignment horizontal="center" vertical="center" wrapText="1"/>
      <protection locked="0"/>
    </xf>
    <xf numFmtId="0" fontId="105" fillId="34" borderId="32" xfId="154" applyFont="1" applyFill="1" applyBorder="1" applyAlignment="1">
      <alignment horizontal="center" vertical="center" wrapText="1"/>
      <protection locked="0"/>
    </xf>
    <xf numFmtId="0" fontId="4" fillId="0" borderId="0" xfId="154" applyFont="1" applyAlignment="1">
      <alignment vertical="center"/>
      <protection locked="0"/>
    </xf>
    <xf numFmtId="0" fontId="45" fillId="34" borderId="33" xfId="154" applyFont="1" applyFill="1" applyBorder="1" applyAlignment="1">
      <alignment vertical="center" wrapText="1"/>
      <protection locked="0"/>
    </xf>
    <xf numFmtId="0" fontId="4" fillId="0" borderId="0" xfId="154" applyFont="1" applyAlignment="1">
      <alignment horizontal="center" vertical="center"/>
      <protection locked="0"/>
    </xf>
    <xf numFmtId="0" fontId="110" fillId="35" borderId="32" xfId="154" applyFont="1" applyFill="1" applyBorder="1" applyAlignment="1">
      <alignment vertical="center" wrapText="1"/>
      <protection locked="0"/>
    </xf>
    <xf numFmtId="0" fontId="77" fillId="0" borderId="30" xfId="188" applyBorder="1" applyAlignmen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31" xfId="1" applyFont="1" applyBorder="1" applyAlignment="1">
      <alignment horizontal="left" vertical="center" wrapTex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5"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0" fontId="96" fillId="0" borderId="25" xfId="154" applyFont="1" applyBorder="1" applyAlignment="1">
      <alignment horizontal="center" vertical="center" wrapText="1"/>
      <protection locked="0"/>
    </xf>
    <xf numFmtId="0" fontId="96" fillId="0" borderId="26"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110" fillId="35" borderId="32" xfId="154" applyFont="1" applyFill="1" applyBorder="1" applyAlignment="1">
      <alignment horizontal="center" vertical="center" wrapText="1"/>
      <protection locked="0"/>
    </xf>
    <xf numFmtId="0" fontId="45" fillId="34" borderId="32"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101" fillId="35" borderId="32" xfId="154" applyFont="1" applyFill="1" applyBorder="1" applyAlignment="1">
      <alignment horizontal="left" vertical="center" wrapText="1"/>
      <protection locked="0"/>
    </xf>
    <xf numFmtId="0" fontId="105" fillId="34" borderId="32" xfId="154" applyFont="1" applyFill="1" applyBorder="1" applyAlignment="1">
      <alignment horizontal="center" vertical="center" wrapText="1"/>
      <protection locked="0"/>
    </xf>
    <xf numFmtId="0" fontId="99" fillId="35" borderId="32" xfId="154" applyFont="1" applyFill="1" applyBorder="1" applyAlignment="1">
      <alignment horizontal="center"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C6" sqref="C6"/>
    </sheetView>
  </sheetViews>
  <sheetFormatPr defaultRowHeight="15.75"/>
  <cols>
    <col min="1" max="1" width="73.25" style="47" customWidth="1"/>
    <col min="2" max="2" width="5.375" style="47" customWidth="1"/>
    <col min="3" max="3" width="36.75" style="47" customWidth="1"/>
    <col min="4" max="16384" width="9" style="47"/>
  </cols>
  <sheetData>
    <row r="1" spans="1:8" s="43" customFormat="1" ht="20.100000000000001" customHeight="1">
      <c r="A1" s="41" t="s">
        <v>88</v>
      </c>
      <c r="B1" s="42" t="s">
        <v>89</v>
      </c>
      <c r="C1" s="42" t="s">
        <v>90</v>
      </c>
    </row>
    <row r="2" spans="1:8" ht="20.100000000000001" customHeight="1">
      <c r="A2" s="44" t="s">
        <v>91</v>
      </c>
      <c r="B2" s="45">
        <v>1</v>
      </c>
      <c r="C2" s="119" t="s">
        <v>172</v>
      </c>
      <c r="D2" s="46"/>
      <c r="E2" s="46"/>
      <c r="F2" s="46"/>
      <c r="G2" s="46"/>
      <c r="H2" s="46"/>
    </row>
    <row r="3" spans="1:8" ht="20.100000000000001" customHeight="1">
      <c r="A3" s="44" t="s">
        <v>92</v>
      </c>
      <c r="B3" s="45">
        <v>2</v>
      </c>
      <c r="C3" s="119" t="s">
        <v>173</v>
      </c>
      <c r="D3" s="46"/>
      <c r="E3" s="46"/>
      <c r="F3" s="46"/>
      <c r="G3" s="46"/>
      <c r="H3" s="48"/>
    </row>
    <row r="4" spans="1:8" ht="20.100000000000001" customHeight="1">
      <c r="A4" s="44" t="s">
        <v>93</v>
      </c>
      <c r="B4" s="45">
        <v>3</v>
      </c>
      <c r="C4" s="119" t="s">
        <v>174</v>
      </c>
      <c r="E4" s="49"/>
      <c r="F4" s="49"/>
      <c r="G4" s="49"/>
      <c r="H4" s="49"/>
    </row>
    <row r="5" spans="1:8" ht="20.100000000000001" customHeight="1">
      <c r="A5" s="44" t="s">
        <v>94</v>
      </c>
      <c r="B5" s="45">
        <v>4</v>
      </c>
      <c r="C5" s="119" t="s">
        <v>211</v>
      </c>
    </row>
    <row r="6" spans="1:8" ht="20.100000000000001" customHeight="1">
      <c r="B6" s="53">
        <v>5</v>
      </c>
      <c r="C6" s="135" t="s">
        <v>212</v>
      </c>
    </row>
    <row r="7" spans="1:8" ht="20.100000000000001" customHeight="1"/>
    <row r="8" spans="1:8" ht="20.100000000000001" customHeight="1">
      <c r="A8" s="50" t="s">
        <v>95</v>
      </c>
    </row>
    <row r="9" spans="1:8" ht="20.100000000000001" customHeight="1">
      <c r="A9" s="51" t="s">
        <v>96</v>
      </c>
    </row>
    <row r="10" spans="1:8" ht="45.75" customHeight="1">
      <c r="A10" s="52" t="s">
        <v>97</v>
      </c>
    </row>
    <row r="11" spans="1:8" ht="22.5" customHeight="1">
      <c r="A11" s="51" t="s">
        <v>98</v>
      </c>
    </row>
    <row r="12" spans="1:8" ht="36.75" customHeight="1">
      <c r="A12" s="52" t="s">
        <v>99</v>
      </c>
    </row>
    <row r="13" spans="1:8" ht="21.75" customHeight="1">
      <c r="A13" s="52" t="s">
        <v>100</v>
      </c>
    </row>
    <row r="14" spans="1:8">
      <c r="A14" s="52"/>
    </row>
  </sheetData>
  <phoneticPr fontId="2" type="noConversion"/>
  <hyperlinks>
    <hyperlink ref="C2" location="'B23-9了解职工薪酬循环流程和内部控制记录表'!A1" display="B23-9了解职工薪酬循环流程和内部控制记录表"/>
    <hyperlink ref="C3" location="'B23-9-1链接-企业对财务报表风险的应对'!A1" display="B23-9-1链接-企业对财务报表风险的应对"/>
    <hyperlink ref="C4" location="'B23-9-2穿行测试'!A1" display="B23-9-2穿行测试"/>
    <hyperlink ref="C5" location="'B23-9-3关键控制点选择表（财报审计适用）'!A1" display="B23-9-3关键控制点选择表（财报审计适用）"/>
    <hyperlink ref="C6" location="'B23-9-4关键控制点选择表（整合审计适用） '!A1" display="B23-9-4关键控制点选择表（整合审计适用） "/>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7"/>
  <sheetViews>
    <sheetView tabSelected="1" view="pageBreakPreview" zoomScale="120" zoomScaleNormal="145" zoomScaleSheetLayoutView="120" workbookViewId="0">
      <selection activeCell="D8" sqref="D8"/>
    </sheetView>
  </sheetViews>
  <sheetFormatPr defaultRowHeight="15.75"/>
  <cols>
    <col min="1" max="1" width="11" style="15" customWidth="1"/>
    <col min="2" max="2" width="26.25" style="1" customWidth="1"/>
    <col min="3" max="3" width="15.125" style="1" customWidth="1"/>
    <col min="4" max="4" width="23.375" style="1" customWidth="1"/>
    <col min="5" max="5" width="15.5" style="1" customWidth="1"/>
    <col min="6" max="16384" width="9" style="1"/>
  </cols>
  <sheetData>
    <row r="1" spans="1:5">
      <c r="A1" s="151" t="s">
        <v>4</v>
      </c>
      <c r="B1" s="151"/>
      <c r="C1" s="151"/>
      <c r="D1" s="151"/>
      <c r="E1" s="151"/>
    </row>
    <row r="2" spans="1:5" ht="33" customHeight="1">
      <c r="A2" s="152" t="s">
        <v>175</v>
      </c>
      <c r="B2" s="153"/>
      <c r="C2" s="153"/>
      <c r="D2" s="153"/>
      <c r="E2" s="153"/>
    </row>
    <row r="3" spans="1:5" ht="20.25" customHeight="1">
      <c r="A3" s="2" t="str">
        <f>'表头（请先填写）'!A2</f>
        <v>客户名称：</v>
      </c>
      <c r="C3" s="3" t="str">
        <f>'表头（请先填写）'!A4</f>
        <v>编制人：</v>
      </c>
      <c r="D3" s="4" t="str">
        <f>'表头（请先填写）'!A5</f>
        <v>日 期：</v>
      </c>
      <c r="E3" s="4" t="s">
        <v>205</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20" t="s">
        <v>8</v>
      </c>
      <c r="B7" s="21"/>
      <c r="D7" s="4"/>
      <c r="E7" s="4"/>
    </row>
    <row r="8" spans="1:5" ht="20.25" customHeight="1">
      <c r="A8" s="126" t="s">
        <v>214</v>
      </c>
      <c r="D8" s="4"/>
      <c r="E8" s="4"/>
    </row>
    <row r="9" spans="1:5" ht="20.25" customHeight="1">
      <c r="A9" s="20" t="s">
        <v>9</v>
      </c>
      <c r="B9" s="21"/>
      <c r="C9" s="21"/>
      <c r="D9" s="21"/>
      <c r="E9" s="4"/>
    </row>
    <row r="10" spans="1:5" ht="27" customHeight="1">
      <c r="A10" s="79" t="s">
        <v>10</v>
      </c>
      <c r="B10" s="22" t="s">
        <v>11</v>
      </c>
      <c r="C10" s="23" t="s">
        <v>12</v>
      </c>
      <c r="D10" s="154" t="s">
        <v>13</v>
      </c>
      <c r="E10" s="155"/>
    </row>
    <row r="11" spans="1:5" s="19" customFormat="1" ht="30" customHeight="1">
      <c r="A11" s="78">
        <v>1</v>
      </c>
      <c r="B11" s="24" t="s">
        <v>192</v>
      </c>
      <c r="C11" s="116" t="s">
        <v>146</v>
      </c>
      <c r="D11" s="156" t="s">
        <v>3</v>
      </c>
      <c r="E11" s="157"/>
    </row>
    <row r="12" spans="1:5" s="19" customFormat="1" ht="27" customHeight="1">
      <c r="A12" s="78">
        <v>2</v>
      </c>
      <c r="B12" s="24" t="s">
        <v>193</v>
      </c>
      <c r="C12" s="116" t="s">
        <v>147</v>
      </c>
      <c r="D12" s="156" t="s">
        <v>3</v>
      </c>
      <c r="E12" s="157"/>
    </row>
    <row r="13" spans="1:5" s="19" customFormat="1" ht="27" customHeight="1">
      <c r="A13" s="78">
        <v>3</v>
      </c>
      <c r="B13" s="24" t="s">
        <v>194</v>
      </c>
      <c r="C13" s="116" t="s">
        <v>147</v>
      </c>
      <c r="D13" s="156" t="s">
        <v>3</v>
      </c>
      <c r="E13" s="157"/>
    </row>
    <row r="14" spans="1:5" s="19" customFormat="1" ht="27" customHeight="1">
      <c r="A14" s="78">
        <v>4</v>
      </c>
      <c r="B14" s="24" t="s">
        <v>195</v>
      </c>
      <c r="C14" s="116" t="s">
        <v>147</v>
      </c>
      <c r="D14" s="156" t="s">
        <v>3</v>
      </c>
      <c r="E14" s="157"/>
    </row>
    <row r="15" spans="1:5" s="19" customFormat="1" ht="27" customHeight="1">
      <c r="A15" s="24"/>
      <c r="B15" s="24" t="s">
        <v>14</v>
      </c>
      <c r="C15" s="25"/>
      <c r="D15" s="158"/>
      <c r="E15" s="159"/>
    </row>
    <row r="16" spans="1:5" ht="20.25" customHeight="1">
      <c r="A16" s="2"/>
      <c r="B16" s="3"/>
      <c r="D16" s="4"/>
      <c r="E16" s="4"/>
    </row>
    <row r="17" spans="1:5">
      <c r="A17" s="80" t="s">
        <v>124</v>
      </c>
    </row>
    <row r="18" spans="1:5">
      <c r="A18" s="117" t="s">
        <v>148</v>
      </c>
      <c r="B18" s="5" t="s">
        <v>15</v>
      </c>
      <c r="C18" s="5" t="s">
        <v>1</v>
      </c>
      <c r="D18" s="5" t="s">
        <v>16</v>
      </c>
      <c r="E18" s="5" t="s">
        <v>17</v>
      </c>
    </row>
    <row r="19" spans="1:5">
      <c r="A19" s="6" t="s">
        <v>18</v>
      </c>
      <c r="B19" s="7"/>
      <c r="C19" s="7"/>
      <c r="D19" s="7"/>
      <c r="E19" s="7"/>
    </row>
    <row r="20" spans="1:5">
      <c r="A20" s="6"/>
      <c r="B20" s="7"/>
      <c r="C20" s="7"/>
      <c r="D20" s="7"/>
      <c r="E20" s="7"/>
    </row>
    <row r="21" spans="1:5">
      <c r="A21" s="6"/>
      <c r="B21" s="7"/>
      <c r="C21" s="7"/>
      <c r="D21" s="7"/>
      <c r="E21" s="7"/>
    </row>
    <row r="22" spans="1:5">
      <c r="A22" s="6"/>
      <c r="B22" s="7"/>
      <c r="C22" s="7"/>
      <c r="D22" s="7"/>
      <c r="E22" s="7"/>
    </row>
    <row r="23" spans="1:5">
      <c r="A23" s="6" t="s">
        <v>2</v>
      </c>
      <c r="B23" s="7"/>
      <c r="C23" s="7"/>
      <c r="D23" s="7"/>
      <c r="E23" s="7"/>
    </row>
    <row r="24" spans="1:5">
      <c r="A24" s="6"/>
      <c r="B24" s="7"/>
      <c r="C24" s="7"/>
      <c r="D24" s="7"/>
      <c r="E24" s="7"/>
    </row>
    <row r="25" spans="1:5">
      <c r="A25" s="6"/>
      <c r="B25" s="7"/>
      <c r="C25" s="7"/>
      <c r="D25" s="7"/>
      <c r="E25" s="7"/>
    </row>
    <row r="26" spans="1:5">
      <c r="A26" s="6"/>
      <c r="B26" s="7"/>
      <c r="C26" s="7"/>
      <c r="D26" s="7"/>
      <c r="E26" s="7"/>
    </row>
    <row r="27" spans="1:5">
      <c r="A27" s="6" t="s">
        <v>19</v>
      </c>
      <c r="B27" s="7"/>
      <c r="C27" s="7"/>
      <c r="D27" s="7"/>
      <c r="E27" s="7"/>
    </row>
    <row r="28" spans="1:5">
      <c r="A28" s="6"/>
      <c r="B28" s="7"/>
      <c r="C28" s="7"/>
      <c r="D28" s="7"/>
      <c r="E28" s="7"/>
    </row>
    <row r="29" spans="1:5">
      <c r="A29" s="6"/>
      <c r="B29" s="7"/>
      <c r="C29" s="7"/>
      <c r="D29" s="7"/>
      <c r="E29" s="7"/>
    </row>
    <row r="30" spans="1:5">
      <c r="A30" s="6"/>
      <c r="B30" s="7"/>
      <c r="C30" s="7"/>
      <c r="D30" s="7"/>
      <c r="E30" s="7"/>
    </row>
    <row r="31" spans="1:5">
      <c r="A31" s="6" t="s">
        <v>20</v>
      </c>
      <c r="B31" s="7"/>
      <c r="C31" s="7"/>
      <c r="D31" s="7"/>
      <c r="E31" s="7"/>
    </row>
    <row r="32" spans="1:5">
      <c r="A32" s="6"/>
      <c r="B32" s="7"/>
      <c r="C32" s="7"/>
      <c r="D32" s="7"/>
      <c r="E32" s="7"/>
    </row>
    <row r="33" spans="1:5">
      <c r="A33" s="8"/>
      <c r="B33" s="8"/>
      <c r="C33" s="8"/>
      <c r="D33" s="8"/>
      <c r="E33" s="8"/>
    </row>
    <row r="34" spans="1:5">
      <c r="A34" s="8"/>
      <c r="B34" s="8"/>
      <c r="C34" s="8"/>
      <c r="D34" s="8"/>
      <c r="E34" s="8"/>
    </row>
    <row r="36" spans="1:5" s="10" customFormat="1" ht="25.5" customHeight="1">
      <c r="A36" s="62" t="s">
        <v>206</v>
      </c>
    </row>
    <row r="37" spans="1:5" s="10" customFormat="1" ht="19.5" customHeight="1">
      <c r="A37" s="11" t="s">
        <v>179</v>
      </c>
      <c r="B37" s="12"/>
      <c r="C37" s="12"/>
      <c r="D37" s="12"/>
      <c r="E37" s="12"/>
    </row>
    <row r="38" spans="1:5" s="10" customFormat="1" ht="25.5" customHeight="1">
      <c r="A38" s="136"/>
      <c r="B38" s="137"/>
      <c r="C38" s="137"/>
      <c r="D38" s="137"/>
      <c r="E38" s="138"/>
    </row>
    <row r="39" spans="1:5" s="10" customFormat="1" ht="25.5" customHeight="1">
      <c r="A39" s="139"/>
      <c r="B39" s="140"/>
      <c r="C39" s="140"/>
      <c r="D39" s="140"/>
      <c r="E39" s="141"/>
    </row>
    <row r="40" spans="1:5" s="10" customFormat="1" ht="19.5" customHeight="1">
      <c r="A40" s="16" t="s">
        <v>178</v>
      </c>
      <c r="B40" s="13"/>
      <c r="C40" s="13"/>
      <c r="D40" s="13"/>
      <c r="E40" s="13"/>
    </row>
    <row r="41" spans="1:5" s="10" customFormat="1" ht="25.5" customHeight="1">
      <c r="A41" s="136"/>
      <c r="B41" s="137"/>
      <c r="C41" s="137"/>
      <c r="D41" s="137"/>
      <c r="E41" s="138"/>
    </row>
    <row r="42" spans="1:5" s="10" customFormat="1" ht="30.75" customHeight="1">
      <c r="A42" s="139"/>
      <c r="B42" s="140"/>
      <c r="C42" s="140"/>
      <c r="D42" s="140"/>
      <c r="E42" s="141"/>
    </row>
    <row r="43" spans="1:5" s="10" customFormat="1" ht="18.75" customHeight="1">
      <c r="A43" s="16" t="s">
        <v>177</v>
      </c>
      <c r="B43" s="13"/>
      <c r="C43" s="13"/>
      <c r="D43" s="13"/>
      <c r="E43" s="13"/>
    </row>
    <row r="44" spans="1:5" s="10" customFormat="1" ht="25.5" customHeight="1">
      <c r="A44" s="136"/>
      <c r="B44" s="137"/>
      <c r="C44" s="137"/>
      <c r="D44" s="137"/>
      <c r="E44" s="138"/>
    </row>
    <row r="45" spans="1:5" s="10" customFormat="1" ht="24.75" customHeight="1">
      <c r="A45" s="142"/>
      <c r="B45" s="143"/>
      <c r="C45" s="143"/>
      <c r="D45" s="143"/>
      <c r="E45" s="144"/>
    </row>
    <row r="46" spans="1:5" s="10" customFormat="1" ht="24.75" customHeight="1">
      <c r="A46" s="139"/>
      <c r="B46" s="140"/>
      <c r="C46" s="140"/>
      <c r="D46" s="140"/>
      <c r="E46" s="141"/>
    </row>
    <row r="47" spans="1:5" s="10" customFormat="1" ht="18.75" customHeight="1">
      <c r="A47" s="16" t="s">
        <v>176</v>
      </c>
      <c r="B47" s="13"/>
      <c r="C47" s="13"/>
      <c r="D47" s="13"/>
      <c r="E47" s="13"/>
    </row>
    <row r="48" spans="1:5" s="10" customFormat="1" ht="34.5" customHeight="1">
      <c r="A48" s="145"/>
      <c r="B48" s="146"/>
      <c r="C48" s="146"/>
      <c r="D48" s="146"/>
      <c r="E48" s="147"/>
    </row>
    <row r="49" spans="1:5" s="10" customFormat="1" ht="34.5" customHeight="1">
      <c r="A49" s="148"/>
      <c r="B49" s="149"/>
      <c r="C49" s="149"/>
      <c r="D49" s="149"/>
      <c r="E49" s="150"/>
    </row>
    <row r="50" spans="1:5" s="10" customFormat="1" ht="3.75" customHeight="1">
      <c r="A50" s="63"/>
      <c r="B50" s="63"/>
      <c r="C50" s="63"/>
      <c r="D50" s="63"/>
      <c r="E50" s="63"/>
    </row>
    <row r="51" spans="1:5" s="10" customFormat="1" ht="12.75">
      <c r="A51" s="14"/>
    </row>
    <row r="52" spans="1:5" s="10" customFormat="1" ht="12.75">
      <c r="A52" s="14"/>
    </row>
    <row r="53" spans="1:5" s="10" customFormat="1" ht="12.75">
      <c r="A53" s="14"/>
    </row>
    <row r="54" spans="1:5" s="10" customFormat="1" ht="12.75">
      <c r="A54" s="14"/>
    </row>
    <row r="55" spans="1:5" s="10" customFormat="1" ht="12.75">
      <c r="A55" s="14"/>
    </row>
    <row r="56" spans="1:5" s="10" customFormat="1" ht="12.75">
      <c r="A56" s="14"/>
    </row>
    <row r="57" spans="1:5" s="10" customFormat="1" ht="12.75">
      <c r="A57" s="14"/>
    </row>
    <row r="58" spans="1:5" s="10" customFormat="1" ht="12.75">
      <c r="A58" s="14"/>
    </row>
    <row r="59" spans="1:5" s="10" customFormat="1" ht="12.75">
      <c r="A59" s="14"/>
    </row>
    <row r="60" spans="1:5" s="10" customFormat="1" ht="12.75">
      <c r="A60" s="14"/>
    </row>
    <row r="61" spans="1:5" s="10" customFormat="1" ht="12.75">
      <c r="A61" s="14"/>
    </row>
    <row r="62" spans="1:5" s="10" customFormat="1" ht="12.75">
      <c r="A62" s="14"/>
    </row>
    <row r="63" spans="1:5" s="10" customFormat="1" ht="12.75">
      <c r="A63" s="14"/>
    </row>
    <row r="64" spans="1:5" s="10" customFormat="1" ht="12.75">
      <c r="A64" s="14"/>
    </row>
    <row r="65" spans="1:1" s="10" customFormat="1" ht="12.75">
      <c r="A65" s="14"/>
    </row>
    <row r="66" spans="1:1" s="10" customFormat="1" ht="12.75">
      <c r="A66" s="14"/>
    </row>
    <row r="67" spans="1:1" s="10" customFormat="1" ht="12.75">
      <c r="A67" s="14"/>
    </row>
  </sheetData>
  <mergeCells count="12">
    <mergeCell ref="A38:E39"/>
    <mergeCell ref="A41:E42"/>
    <mergeCell ref="A44:E46"/>
    <mergeCell ref="A48:E49"/>
    <mergeCell ref="A1:E1"/>
    <mergeCell ref="A2:E2"/>
    <mergeCell ref="D10:E10"/>
    <mergeCell ref="D11:E11"/>
    <mergeCell ref="D12:E12"/>
    <mergeCell ref="D13:E13"/>
    <mergeCell ref="D14:E14"/>
    <mergeCell ref="D15:E15"/>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3"/>
  <sheetViews>
    <sheetView view="pageBreakPreview" zoomScale="115" zoomScaleNormal="130" zoomScaleSheetLayoutView="115" workbookViewId="0">
      <selection activeCell="B8" sqref="B8"/>
    </sheetView>
  </sheetViews>
  <sheetFormatPr defaultRowHeight="16.5"/>
  <cols>
    <col min="1" max="1" width="25.75" style="26" customWidth="1"/>
    <col min="2" max="2" width="53.25" style="26" customWidth="1"/>
    <col min="3" max="3" width="8.375" style="26" customWidth="1"/>
    <col min="4" max="4" width="14.75" style="26" customWidth="1"/>
    <col min="5" max="5" width="35.25" style="26" customWidth="1"/>
    <col min="6" max="16384" width="9" style="26"/>
  </cols>
  <sheetData>
    <row r="1" spans="1:5" ht="18.75" customHeight="1">
      <c r="A1" s="151" t="s">
        <v>4</v>
      </c>
      <c r="B1" s="151"/>
      <c r="C1" s="151"/>
      <c r="D1" s="151"/>
      <c r="E1" s="151"/>
    </row>
    <row r="2" spans="1:5" ht="33" customHeight="1">
      <c r="A2" s="153" t="s">
        <v>23</v>
      </c>
      <c r="B2" s="153"/>
      <c r="C2" s="153"/>
      <c r="D2" s="153"/>
      <c r="E2" s="153"/>
    </row>
    <row r="3" spans="1:5" ht="24.75" customHeight="1">
      <c r="A3" s="2" t="str">
        <f>'表头（请先填写）'!A2</f>
        <v>客户名称：</v>
      </c>
      <c r="B3" s="4" t="str">
        <f>'表头（请先填写）'!A4</f>
        <v>编制人：</v>
      </c>
      <c r="C3" s="4" t="str">
        <f>'表头（请先填写）'!A5</f>
        <v>日 期：</v>
      </c>
      <c r="D3" s="4"/>
      <c r="E3" s="55" t="s">
        <v>170</v>
      </c>
    </row>
    <row r="4" spans="1:5" ht="24.75" customHeight="1">
      <c r="A4" s="2" t="str">
        <f>'表头（请先填写）'!A3</f>
        <v>会计期间：2013年度</v>
      </c>
      <c r="B4" s="4" t="s">
        <v>5</v>
      </c>
      <c r="C4" s="4" t="s">
        <v>0</v>
      </c>
      <c r="D4" s="4"/>
      <c r="E4" s="58" t="s">
        <v>126</v>
      </c>
    </row>
    <row r="5" spans="1:5" s="28" customFormat="1" ht="18" customHeight="1">
      <c r="A5" s="27" t="s">
        <v>125</v>
      </c>
      <c r="B5" s="27" t="s">
        <v>207</v>
      </c>
      <c r="C5" s="54" t="s">
        <v>101</v>
      </c>
      <c r="D5" s="57" t="s">
        <v>116</v>
      </c>
      <c r="E5" s="54" t="s">
        <v>102</v>
      </c>
    </row>
    <row r="6" spans="1:5" s="29" customFormat="1" ht="27.75" customHeight="1">
      <c r="A6" s="122" t="s">
        <v>166</v>
      </c>
      <c r="B6" s="123" t="s">
        <v>196</v>
      </c>
      <c r="C6" s="36"/>
      <c r="D6" s="36" t="s">
        <v>117</v>
      </c>
      <c r="E6" s="64" t="s">
        <v>119</v>
      </c>
    </row>
    <row r="7" spans="1:5" s="29" customFormat="1" ht="18" customHeight="1">
      <c r="A7" s="122"/>
      <c r="B7" s="123"/>
      <c r="C7" s="36"/>
      <c r="D7" s="36" t="s">
        <v>118</v>
      </c>
      <c r="E7" s="64"/>
    </row>
    <row r="8" spans="1:5" s="29" customFormat="1" ht="18" customHeight="1">
      <c r="A8" s="122" t="s">
        <v>166</v>
      </c>
      <c r="B8" s="122" t="s">
        <v>197</v>
      </c>
      <c r="C8" s="36"/>
      <c r="D8" s="36"/>
      <c r="E8" s="34"/>
    </row>
    <row r="9" spans="1:5" s="29" customFormat="1" ht="18" customHeight="1">
      <c r="A9" s="122" t="s">
        <v>198</v>
      </c>
      <c r="B9" s="122" t="s">
        <v>199</v>
      </c>
      <c r="C9" s="36"/>
      <c r="D9" s="36"/>
      <c r="E9" s="34"/>
    </row>
    <row r="10" spans="1:5" s="29" customFormat="1" ht="18" customHeight="1">
      <c r="A10" s="124" t="s">
        <v>200</v>
      </c>
      <c r="B10" s="124" t="s">
        <v>201</v>
      </c>
      <c r="C10" s="36"/>
      <c r="D10" s="36"/>
      <c r="E10" s="34"/>
    </row>
    <row r="11" spans="1:5" s="29" customFormat="1" ht="18" customHeight="1">
      <c r="A11" s="124" t="s">
        <v>200</v>
      </c>
      <c r="B11" s="125" t="s">
        <v>202</v>
      </c>
      <c r="C11" s="36"/>
      <c r="D11" s="36"/>
      <c r="E11" s="34"/>
    </row>
    <row r="12" spans="1:5" s="29" customFormat="1" ht="18" customHeight="1">
      <c r="A12" s="122" t="s">
        <v>24</v>
      </c>
      <c r="B12" s="122" t="s">
        <v>203</v>
      </c>
      <c r="C12" s="36"/>
      <c r="D12" s="36"/>
      <c r="E12" s="33"/>
    </row>
    <row r="13" spans="1:5" s="29" customFormat="1" ht="16.5" customHeight="1">
      <c r="A13" s="122" t="s">
        <v>22</v>
      </c>
      <c r="B13" s="122" t="s">
        <v>204</v>
      </c>
      <c r="C13" s="36"/>
      <c r="D13" s="36"/>
      <c r="E13" s="35"/>
    </row>
    <row r="14" spans="1:5" s="29" customFormat="1" ht="16.5" customHeight="1">
      <c r="A14" s="60"/>
      <c r="B14" s="60"/>
      <c r="C14" s="61"/>
      <c r="D14" s="61"/>
      <c r="E14" s="60"/>
    </row>
    <row r="15" spans="1:5" s="29" customFormat="1" ht="16.5" customHeight="1">
      <c r="A15" s="60"/>
      <c r="B15" s="60"/>
      <c r="C15" s="61"/>
      <c r="D15" s="61"/>
      <c r="E15" s="60"/>
    </row>
    <row r="16" spans="1:5" s="29" customFormat="1" ht="12.75">
      <c r="A16" s="81" t="s">
        <v>127</v>
      </c>
    </row>
    <row r="17" spans="1:1" s="29" customFormat="1" ht="12.75">
      <c r="A17" s="82" t="s">
        <v>128</v>
      </c>
    </row>
    <row r="18" spans="1:1" s="29" customFormat="1" ht="12.75">
      <c r="A18" s="82" t="s">
        <v>129</v>
      </c>
    </row>
    <row r="19" spans="1:1" s="29" customFormat="1" ht="12.75">
      <c r="A19" s="82" t="s">
        <v>130</v>
      </c>
    </row>
    <row r="20" spans="1:1" s="29" customFormat="1" ht="12.75">
      <c r="A20" s="82" t="s">
        <v>131</v>
      </c>
    </row>
    <row r="21" spans="1:1" s="29" customFormat="1" ht="12.75"/>
    <row r="30" spans="1:1">
      <c r="A30" s="40" t="s">
        <v>59</v>
      </c>
    </row>
    <row r="31" spans="1:1">
      <c r="A31" s="26" t="s">
        <v>60</v>
      </c>
    </row>
    <row r="32" spans="1:1">
      <c r="A32" s="18"/>
    </row>
    <row r="33" spans="1:1">
      <c r="A33" s="30"/>
    </row>
  </sheetData>
  <mergeCells count="2">
    <mergeCell ref="A1:E1"/>
    <mergeCell ref="A2:E2"/>
  </mergeCells>
  <phoneticPr fontId="2" type="noConversion"/>
  <dataValidations count="1">
    <dataValidation type="list" allowBlank="1" showInputMessage="1" showErrorMessage="1" sqref="C6:C15">
      <formula1>$A$30:$A$31</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2"/>
  <sheetViews>
    <sheetView view="pageBreakPreview" topLeftCell="A7" zoomScaleSheetLayoutView="100" workbookViewId="0">
      <selection activeCell="D11" sqref="D11"/>
    </sheetView>
  </sheetViews>
  <sheetFormatPr defaultRowHeight="15.75"/>
  <cols>
    <col min="1" max="1" width="8.625" style="30" customWidth="1"/>
    <col min="2" max="2" width="4.375" style="30" customWidth="1"/>
    <col min="3" max="3" width="23.875" style="30" customWidth="1"/>
    <col min="4" max="4" width="11.875" style="30" customWidth="1"/>
    <col min="5" max="5" width="13.75" style="30" customWidth="1"/>
    <col min="6" max="6" width="14" style="30" customWidth="1"/>
    <col min="7" max="7" width="29.625" style="30" customWidth="1"/>
    <col min="8" max="8" width="9.5" style="30" customWidth="1"/>
    <col min="9" max="9" width="11.125" style="30" customWidth="1"/>
    <col min="10" max="10" width="14.25" style="30" customWidth="1"/>
    <col min="11" max="16384" width="9" style="30"/>
  </cols>
  <sheetData>
    <row r="1" spans="1:10" ht="30" customHeight="1">
      <c r="A1" s="160" t="s">
        <v>21</v>
      </c>
      <c r="B1" s="160"/>
      <c r="C1" s="160"/>
      <c r="D1" s="160"/>
      <c r="E1" s="160"/>
      <c r="F1" s="160"/>
      <c r="G1" s="160"/>
      <c r="H1" s="160"/>
      <c r="I1" s="160"/>
      <c r="J1" s="160"/>
    </row>
    <row r="2" spans="1:10" ht="27.95" customHeight="1">
      <c r="A2" s="161" t="s">
        <v>168</v>
      </c>
      <c r="B2" s="162"/>
      <c r="C2" s="162"/>
      <c r="D2" s="162"/>
      <c r="E2" s="162"/>
      <c r="F2" s="162"/>
      <c r="G2" s="162"/>
      <c r="H2" s="162"/>
      <c r="I2" s="162"/>
      <c r="J2" s="162"/>
    </row>
    <row r="3" spans="1:10" ht="18" customHeight="1">
      <c r="A3" s="21" t="str">
        <f>'表头（请先填写）'!A2</f>
        <v>客户名称：</v>
      </c>
      <c r="B3" s="21"/>
      <c r="C3" s="21"/>
      <c r="E3" s="21" t="str">
        <f>'表头（请先填写）'!A4</f>
        <v>编制人：</v>
      </c>
      <c r="G3" s="21" t="str">
        <f>'表头（请先填写）'!A5</f>
        <v>日 期：</v>
      </c>
      <c r="J3" s="21" t="s">
        <v>167</v>
      </c>
    </row>
    <row r="4" spans="1:10" ht="18" customHeight="1">
      <c r="A4" s="21" t="str">
        <f>'表头（请先填写）'!A3</f>
        <v>会计期间：2013年度</v>
      </c>
      <c r="B4" s="21"/>
      <c r="C4" s="21"/>
      <c r="E4" s="21" t="s">
        <v>5</v>
      </c>
      <c r="G4" s="21" t="s">
        <v>26</v>
      </c>
      <c r="J4" s="21" t="s">
        <v>27</v>
      </c>
    </row>
    <row r="5" spans="1:10" s="31" customFormat="1" ht="41.25" customHeight="1">
      <c r="A5" s="68" t="s">
        <v>104</v>
      </c>
      <c r="B5" s="163" t="s">
        <v>103</v>
      </c>
      <c r="C5" s="164"/>
      <c r="D5" s="67" t="s">
        <v>28</v>
      </c>
      <c r="E5" s="67" t="s">
        <v>29</v>
      </c>
      <c r="F5" s="69" t="s">
        <v>120</v>
      </c>
      <c r="G5" s="67" t="s">
        <v>30</v>
      </c>
      <c r="H5" s="67" t="s">
        <v>31</v>
      </c>
      <c r="I5" s="67" t="s">
        <v>58</v>
      </c>
      <c r="J5" s="67" t="s">
        <v>32</v>
      </c>
    </row>
    <row r="6" spans="1:10" s="31" customFormat="1" ht="20.100000000000001" customHeight="1">
      <c r="A6" s="32" t="s">
        <v>192</v>
      </c>
      <c r="B6" s="32"/>
      <c r="C6" s="32"/>
      <c r="D6" s="32"/>
      <c r="E6" s="32"/>
      <c r="F6" s="32"/>
      <c r="G6" s="32"/>
      <c r="H6" s="32"/>
      <c r="I6" s="32"/>
      <c r="J6" s="32"/>
    </row>
    <row r="7" spans="1:10" s="31" customFormat="1" ht="20.100000000000001" customHeight="1">
      <c r="A7" s="32"/>
      <c r="B7" s="32">
        <v>1</v>
      </c>
      <c r="C7" s="32"/>
      <c r="D7" s="32"/>
      <c r="E7" s="32"/>
      <c r="F7" s="32"/>
      <c r="G7" s="32"/>
      <c r="H7" s="32"/>
      <c r="I7" s="32"/>
      <c r="J7" s="32"/>
    </row>
    <row r="8" spans="1:10" s="31" customFormat="1" ht="20.100000000000001" customHeight="1">
      <c r="A8" s="32"/>
      <c r="B8" s="32">
        <v>2</v>
      </c>
      <c r="C8" s="32"/>
      <c r="D8" s="32"/>
      <c r="E8" s="32"/>
      <c r="F8" s="32"/>
      <c r="G8" s="32"/>
      <c r="H8" s="32"/>
      <c r="I8" s="32"/>
      <c r="J8" s="32"/>
    </row>
    <row r="9" spans="1:10" s="31" customFormat="1" ht="20.100000000000001" customHeight="1">
      <c r="A9" s="32"/>
      <c r="B9" s="32">
        <v>3</v>
      </c>
      <c r="C9" s="32"/>
      <c r="D9" s="32"/>
      <c r="E9" s="32"/>
      <c r="F9" s="32"/>
      <c r="G9" s="32"/>
      <c r="H9" s="32"/>
      <c r="I9" s="32"/>
      <c r="J9" s="32"/>
    </row>
    <row r="10" spans="1:10" s="21" customFormat="1" ht="20.100000000000001" customHeight="1">
      <c r="A10" s="33"/>
      <c r="B10" s="33" t="s">
        <v>105</v>
      </c>
      <c r="C10" s="33"/>
      <c r="D10" s="32"/>
      <c r="E10" s="33"/>
      <c r="F10" s="33"/>
      <c r="G10" s="33"/>
      <c r="H10" s="33"/>
      <c r="I10" s="33"/>
      <c r="J10" s="33"/>
    </row>
    <row r="11" spans="1:10" s="21" customFormat="1" ht="20.100000000000001" customHeight="1">
      <c r="A11" s="33"/>
      <c r="B11" s="33"/>
      <c r="C11" s="33"/>
      <c r="D11" s="32"/>
      <c r="E11" s="33"/>
      <c r="F11" s="33"/>
      <c r="G11" s="33"/>
      <c r="H11" s="33"/>
      <c r="I11" s="33"/>
      <c r="J11" s="33"/>
    </row>
    <row r="12" spans="1:10" s="21" customFormat="1" ht="20.100000000000001" customHeight="1">
      <c r="A12" s="33" t="s">
        <v>193</v>
      </c>
      <c r="B12" s="33"/>
      <c r="C12" s="33"/>
      <c r="D12" s="32"/>
      <c r="E12" s="33"/>
      <c r="F12" s="33"/>
      <c r="G12" s="33"/>
      <c r="H12" s="33"/>
      <c r="I12" s="33"/>
      <c r="J12" s="33"/>
    </row>
    <row r="13" spans="1:10" s="21" customFormat="1" ht="20.100000000000001" customHeight="1">
      <c r="A13" s="33"/>
      <c r="B13" s="33">
        <v>1</v>
      </c>
      <c r="C13" s="33"/>
      <c r="D13" s="32"/>
      <c r="E13" s="33"/>
      <c r="F13" s="33"/>
      <c r="G13" s="33"/>
      <c r="H13" s="33"/>
      <c r="I13" s="33"/>
      <c r="J13" s="33"/>
    </row>
    <row r="14" spans="1:10" s="21" customFormat="1" ht="20.100000000000001" customHeight="1">
      <c r="A14" s="32"/>
      <c r="B14" s="32">
        <v>2</v>
      </c>
      <c r="C14" s="32"/>
      <c r="D14" s="32"/>
      <c r="E14" s="33"/>
      <c r="F14" s="33"/>
      <c r="G14" s="33"/>
      <c r="H14" s="33"/>
      <c r="I14" s="33"/>
      <c r="J14" s="33"/>
    </row>
    <row r="15" spans="1:10" s="21" customFormat="1" ht="20.100000000000001" customHeight="1">
      <c r="A15" s="32"/>
      <c r="B15" s="32">
        <v>3</v>
      </c>
      <c r="C15" s="32"/>
      <c r="D15" s="32"/>
      <c r="E15" s="33"/>
      <c r="F15" s="33"/>
      <c r="G15" s="33"/>
      <c r="H15" s="33"/>
      <c r="I15" s="33"/>
      <c r="J15" s="33"/>
    </row>
    <row r="16" spans="1:10" s="21" customFormat="1" ht="20.100000000000001" customHeight="1">
      <c r="A16" s="32"/>
      <c r="B16" s="32" t="s">
        <v>105</v>
      </c>
      <c r="C16" s="32"/>
      <c r="D16" s="32"/>
      <c r="E16" s="33"/>
      <c r="F16" s="33"/>
      <c r="G16" s="33"/>
      <c r="H16" s="33"/>
      <c r="I16" s="33"/>
      <c r="J16" s="33"/>
    </row>
    <row r="17" spans="1:10" s="21" customFormat="1" ht="20.100000000000001" customHeight="1">
      <c r="A17" s="33"/>
      <c r="B17" s="33"/>
      <c r="C17" s="33"/>
      <c r="D17" s="32"/>
      <c r="E17" s="33"/>
      <c r="F17" s="33"/>
      <c r="G17" s="33"/>
      <c r="H17" s="33"/>
      <c r="I17" s="33"/>
      <c r="J17" s="33"/>
    </row>
    <row r="18" spans="1:10" s="21" customFormat="1" ht="20.100000000000001" customHeight="1">
      <c r="A18" s="33" t="s">
        <v>194</v>
      </c>
      <c r="B18" s="33"/>
      <c r="C18" s="33"/>
      <c r="D18" s="32"/>
      <c r="E18" s="33"/>
      <c r="F18" s="33"/>
      <c r="G18" s="33"/>
      <c r="H18" s="33"/>
      <c r="I18" s="33"/>
      <c r="J18" s="33"/>
    </row>
    <row r="19" spans="1:10" s="21" customFormat="1" ht="20.100000000000001" customHeight="1">
      <c r="A19" s="33"/>
      <c r="B19" s="33">
        <v>1</v>
      </c>
      <c r="C19" s="33"/>
      <c r="D19" s="32"/>
      <c r="E19" s="33"/>
      <c r="F19" s="33"/>
      <c r="G19" s="33"/>
      <c r="H19" s="33"/>
      <c r="I19" s="33"/>
      <c r="J19" s="33"/>
    </row>
    <row r="20" spans="1:10" s="21" customFormat="1" ht="20.100000000000001" customHeight="1">
      <c r="A20" s="33"/>
      <c r="B20" s="33">
        <v>2</v>
      </c>
      <c r="C20" s="33"/>
      <c r="D20" s="32"/>
      <c r="E20" s="33"/>
      <c r="F20" s="33"/>
      <c r="G20" s="33"/>
      <c r="H20" s="33"/>
      <c r="I20" s="33"/>
      <c r="J20" s="33"/>
    </row>
    <row r="21" spans="1:10" s="21" customFormat="1" ht="20.100000000000001" customHeight="1">
      <c r="A21" s="33"/>
      <c r="B21" s="33">
        <v>3</v>
      </c>
      <c r="C21" s="33"/>
      <c r="D21" s="32"/>
      <c r="E21" s="33"/>
      <c r="F21" s="33"/>
      <c r="G21" s="33"/>
      <c r="H21" s="33"/>
      <c r="I21" s="33"/>
      <c r="J21" s="33"/>
    </row>
    <row r="22" spans="1:10" s="21" customFormat="1" ht="20.100000000000001" customHeight="1">
      <c r="A22" s="33"/>
      <c r="B22" s="33" t="s">
        <v>105</v>
      </c>
      <c r="C22" s="33"/>
      <c r="D22" s="32"/>
      <c r="E22" s="33"/>
      <c r="F22" s="33"/>
      <c r="G22" s="33"/>
      <c r="H22" s="33"/>
      <c r="I22" s="33"/>
      <c r="J22" s="33"/>
    </row>
    <row r="23" spans="1:10" s="21" customFormat="1" ht="20.100000000000001" customHeight="1">
      <c r="A23" s="33"/>
      <c r="B23" s="33"/>
      <c r="C23" s="33"/>
      <c r="D23" s="32"/>
      <c r="E23" s="33"/>
      <c r="F23" s="33"/>
      <c r="G23" s="33"/>
      <c r="H23" s="33"/>
      <c r="I23" s="33"/>
      <c r="J23" s="33"/>
    </row>
    <row r="24" spans="1:10" s="21" customFormat="1" ht="20.100000000000001" customHeight="1">
      <c r="A24" s="33" t="s">
        <v>195</v>
      </c>
      <c r="B24" s="33"/>
      <c r="C24" s="33"/>
      <c r="D24" s="32"/>
      <c r="E24" s="33"/>
      <c r="F24" s="33"/>
      <c r="G24" s="33"/>
      <c r="H24" s="33"/>
      <c r="I24" s="33"/>
      <c r="J24" s="33"/>
    </row>
    <row r="25" spans="1:10" s="21" customFormat="1" ht="20.100000000000001" customHeight="1">
      <c r="A25" s="33"/>
      <c r="B25" s="33">
        <v>1</v>
      </c>
      <c r="C25" s="33"/>
      <c r="D25" s="32"/>
      <c r="E25" s="33"/>
      <c r="F25" s="33"/>
      <c r="G25" s="33"/>
      <c r="H25" s="33"/>
      <c r="I25" s="33"/>
      <c r="J25" s="33"/>
    </row>
    <row r="26" spans="1:10" s="21" customFormat="1" ht="20.100000000000001" customHeight="1">
      <c r="A26" s="33"/>
      <c r="B26" s="33">
        <v>2</v>
      </c>
      <c r="C26" s="33"/>
      <c r="D26" s="32"/>
      <c r="E26" s="33"/>
      <c r="F26" s="33"/>
      <c r="G26" s="33"/>
      <c r="H26" s="33"/>
      <c r="I26" s="33"/>
      <c r="J26" s="33"/>
    </row>
    <row r="27" spans="1:10" s="21" customFormat="1" ht="20.100000000000001" customHeight="1">
      <c r="A27" s="32"/>
      <c r="B27" s="32">
        <v>3</v>
      </c>
      <c r="C27" s="32"/>
      <c r="D27" s="32"/>
      <c r="E27" s="33"/>
      <c r="F27" s="33"/>
      <c r="G27" s="33"/>
      <c r="H27" s="33"/>
      <c r="I27" s="33"/>
      <c r="J27" s="33"/>
    </row>
    <row r="28" spans="1:10" s="21" customFormat="1" ht="20.100000000000001" customHeight="1">
      <c r="A28" s="32"/>
      <c r="B28" s="32" t="s">
        <v>105</v>
      </c>
      <c r="C28" s="32"/>
      <c r="D28" s="32"/>
      <c r="E28" s="33"/>
      <c r="F28" s="33"/>
      <c r="G28" s="33"/>
      <c r="H28" s="33"/>
      <c r="I28" s="33"/>
      <c r="J28" s="33"/>
    </row>
    <row r="29" spans="1:10" s="21" customFormat="1" ht="20.100000000000001" customHeight="1">
      <c r="A29" s="33"/>
      <c r="B29" s="33"/>
      <c r="C29" s="33"/>
      <c r="D29" s="32"/>
      <c r="E29" s="33"/>
      <c r="F29" s="33"/>
      <c r="G29" s="33"/>
      <c r="H29" s="33"/>
      <c r="I29" s="33"/>
      <c r="J29" s="33"/>
    </row>
    <row r="30" spans="1:10" s="21" customFormat="1" ht="20.100000000000001" customHeight="1"/>
    <row r="31" spans="1:10" s="21" customFormat="1" ht="20.100000000000001" customHeight="1">
      <c r="A31" s="83" t="s">
        <v>132</v>
      </c>
      <c r="B31" s="37"/>
      <c r="C31" s="37"/>
    </row>
    <row r="32" spans="1:10" s="21" customFormat="1" ht="12.75">
      <c r="A32" s="84" t="s">
        <v>133</v>
      </c>
      <c r="B32" s="38"/>
      <c r="C32" s="38"/>
    </row>
    <row r="33" spans="1:3" s="21" customFormat="1" ht="12.75">
      <c r="A33" s="84" t="s">
        <v>134</v>
      </c>
      <c r="B33" s="38"/>
      <c r="C33" s="38"/>
    </row>
    <row r="34" spans="1:3" s="21" customFormat="1" ht="12.75">
      <c r="A34" s="84" t="s">
        <v>135</v>
      </c>
      <c r="B34" s="38"/>
      <c r="C34" s="38"/>
    </row>
    <row r="35" spans="1:3" s="21" customFormat="1" ht="12.75">
      <c r="A35" s="84" t="s">
        <v>136</v>
      </c>
      <c r="B35" s="38"/>
      <c r="C35" s="38"/>
    </row>
    <row r="36" spans="1:3" s="21" customFormat="1" ht="12.75">
      <c r="A36" s="84" t="s">
        <v>137</v>
      </c>
      <c r="B36" s="38"/>
      <c r="C36" s="38"/>
    </row>
    <row r="37" spans="1:3" s="21" customFormat="1" ht="12.75">
      <c r="A37" s="84" t="s">
        <v>138</v>
      </c>
      <c r="B37" s="38"/>
      <c r="C37" s="38"/>
    </row>
    <row r="38" spans="1:3" s="21" customFormat="1" ht="12.75">
      <c r="A38" s="84" t="s">
        <v>33</v>
      </c>
      <c r="B38" s="56"/>
      <c r="C38" s="56"/>
    </row>
    <row r="39" spans="1:3" s="21" customFormat="1" ht="12.75">
      <c r="A39" s="84" t="s">
        <v>139</v>
      </c>
      <c r="B39" s="56"/>
      <c r="C39" s="56"/>
    </row>
    <row r="40" spans="1:3" s="21" customFormat="1" ht="12.75">
      <c r="A40" s="84" t="s">
        <v>140</v>
      </c>
      <c r="B40" s="56"/>
      <c r="C40" s="56"/>
    </row>
    <row r="41" spans="1:3" s="21" customFormat="1" ht="12.75">
      <c r="A41" s="84" t="s">
        <v>141</v>
      </c>
      <c r="B41" s="56"/>
      <c r="C41" s="56"/>
    </row>
    <row r="42" spans="1:3" s="21" customFormat="1" ht="12.75"/>
    <row r="43" spans="1:3" s="21" customFormat="1" ht="12.75"/>
    <row r="44" spans="1:3" s="21" customFormat="1" ht="12.75"/>
    <row r="45" spans="1:3" s="21" customFormat="1" ht="12.75"/>
    <row r="46" spans="1:3" s="21" customFormat="1" ht="12.75"/>
    <row r="47" spans="1:3" s="21" customFormat="1" ht="12.75"/>
    <row r="48" spans="1:3" s="21" customFormat="1" ht="12.75"/>
    <row r="49" spans="1:1" s="21" customFormat="1" ht="12.75"/>
    <row r="50" spans="1:1" s="21" customFormat="1" ht="12.75"/>
    <row r="51" spans="1:1" s="21" customFormat="1" ht="12.75"/>
    <row r="52" spans="1:1" s="21" customFormat="1" ht="12.75"/>
    <row r="53" spans="1:1" s="21" customFormat="1" ht="12.75"/>
    <row r="54" spans="1:1" s="21" customFormat="1" ht="12.75"/>
    <row r="55" spans="1:1" s="21" customFormat="1" ht="12.75">
      <c r="A55" s="17" t="s">
        <v>114</v>
      </c>
    </row>
    <row r="56" spans="1:1" s="21" customFormat="1" ht="12.75">
      <c r="A56" s="17" t="s">
        <v>115</v>
      </c>
    </row>
    <row r="57" spans="1:1" s="21" customFormat="1" ht="12.75"/>
    <row r="58" spans="1:1" s="21" customFormat="1" ht="12.75"/>
    <row r="59" spans="1:1" s="21" customFormat="1" ht="12.75"/>
    <row r="60" spans="1:1" s="21" customFormat="1" ht="12.75"/>
    <row r="61" spans="1:1" s="21" customFormat="1" ht="12.75"/>
    <row r="62" spans="1:1" s="21" customFormat="1" ht="12.75"/>
    <row r="63" spans="1:1" s="21" customFormat="1" ht="12.75"/>
    <row r="64" spans="1:1" s="21" customFormat="1" ht="12.75"/>
    <row r="65" s="21" customFormat="1" ht="12.75"/>
    <row r="66" s="21" customFormat="1" ht="12.75"/>
    <row r="67" s="21" customFormat="1" ht="12.75"/>
    <row r="68" s="21" customFormat="1" ht="12.75"/>
    <row r="69" s="21" customFormat="1" ht="12.75"/>
    <row r="70" s="21" customFormat="1" ht="12.75"/>
    <row r="71" s="21" customFormat="1" ht="12.75"/>
    <row r="72" s="21" customFormat="1" ht="12.75"/>
  </sheetData>
  <mergeCells count="3">
    <mergeCell ref="A1:J1"/>
    <mergeCell ref="A2:J2"/>
    <mergeCell ref="B5:C5"/>
  </mergeCells>
  <phoneticPr fontId="3" type="noConversion"/>
  <dataValidations count="1">
    <dataValidation type="list" allowBlank="1" showInputMessage="1" showErrorMessage="1" sqref="D7:D29">
      <formula1>$A$55:$A$56</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63"/>
  <sheetViews>
    <sheetView view="pageBreakPreview" zoomScaleNormal="120" zoomScaleSheetLayoutView="100" workbookViewId="0">
      <selection activeCell="F32" sqref="F32"/>
    </sheetView>
  </sheetViews>
  <sheetFormatPr defaultRowHeight="15.75"/>
  <cols>
    <col min="1" max="1" width="4.875" style="86" customWidth="1"/>
    <col min="2" max="2" width="53.625" style="86" customWidth="1"/>
    <col min="3" max="3" width="12.375" style="86" customWidth="1"/>
    <col min="4" max="4" width="4.375" style="86" customWidth="1"/>
    <col min="5" max="5" width="32.375" style="86" customWidth="1"/>
    <col min="6" max="6" width="11.375" style="73" customWidth="1"/>
    <col min="7" max="7" width="14" style="86" customWidth="1"/>
    <col min="8" max="8" width="9" style="86" customWidth="1"/>
    <col min="9" max="9" width="13.25" style="86" customWidth="1"/>
    <col min="10" max="16384" width="9" style="86"/>
  </cols>
  <sheetData>
    <row r="1" spans="1:9" ht="21.75" customHeight="1">
      <c r="A1" s="160" t="s">
        <v>21</v>
      </c>
      <c r="B1" s="160"/>
      <c r="C1" s="160"/>
      <c r="D1" s="160"/>
      <c r="E1" s="160"/>
      <c r="F1" s="160"/>
      <c r="G1" s="160"/>
      <c r="H1" s="160"/>
      <c r="I1" s="160"/>
    </row>
    <row r="2" spans="1:9" ht="27.95" customHeight="1">
      <c r="A2" s="161" t="s">
        <v>171</v>
      </c>
      <c r="B2" s="162"/>
      <c r="C2" s="162"/>
      <c r="D2" s="162"/>
      <c r="E2" s="162"/>
      <c r="F2" s="162"/>
      <c r="G2" s="162"/>
      <c r="H2" s="162"/>
      <c r="I2" s="162"/>
    </row>
    <row r="3" spans="1:9" ht="20.100000000000001" customHeight="1">
      <c r="A3" s="87" t="str">
        <f>'B23-9了解职工薪酬循环流程和内部控制记录表'!A3</f>
        <v>客户名称：</v>
      </c>
      <c r="C3" s="87" t="str">
        <f>'B23-9了解职工薪酬循环流程和内部控制记录表'!C3</f>
        <v>编制人：</v>
      </c>
      <c r="E3" s="87" t="str">
        <f>'B23-9了解职工薪酬循环流程和内部控制记录表'!D3</f>
        <v>日 期：</v>
      </c>
      <c r="I3" s="87" t="s">
        <v>169</v>
      </c>
    </row>
    <row r="4" spans="1:9" ht="20.100000000000001" customHeight="1">
      <c r="A4" s="87" t="str">
        <f>'B23-9了解职工薪酬循环流程和内部控制记录表'!A4</f>
        <v>会计期间：2013年度</v>
      </c>
      <c r="C4" s="87" t="s">
        <v>5</v>
      </c>
      <c r="E4" s="87" t="s">
        <v>26</v>
      </c>
      <c r="I4" s="87" t="s">
        <v>27</v>
      </c>
    </row>
    <row r="5" spans="1:9" ht="6" customHeight="1">
      <c r="A5" s="87"/>
      <c r="C5" s="87"/>
      <c r="E5" s="87"/>
      <c r="I5" s="87"/>
    </row>
    <row r="6" spans="1:9" ht="20.100000000000001" customHeight="1">
      <c r="A6" s="107" t="s">
        <v>145</v>
      </c>
      <c r="C6" s="87"/>
      <c r="E6" s="87"/>
      <c r="I6" s="87"/>
    </row>
    <row r="7" spans="1:9" s="88" customFormat="1" ht="56.25" customHeight="1">
      <c r="A7" s="77" t="s">
        <v>121</v>
      </c>
      <c r="B7" s="77" t="s">
        <v>80</v>
      </c>
      <c r="C7" s="77" t="s">
        <v>122</v>
      </c>
      <c r="D7" s="165" t="s">
        <v>87</v>
      </c>
      <c r="E7" s="165"/>
      <c r="F7" s="66" t="s">
        <v>106</v>
      </c>
      <c r="G7" s="66" t="s">
        <v>107</v>
      </c>
      <c r="H7" s="66" t="s">
        <v>108</v>
      </c>
      <c r="I7" s="66" t="s">
        <v>109</v>
      </c>
    </row>
    <row r="8" spans="1:9" s="88" customFormat="1" ht="18" customHeight="1">
      <c r="A8" s="91" t="s">
        <v>180</v>
      </c>
      <c r="B8" s="39"/>
      <c r="C8" s="92"/>
      <c r="D8" s="92"/>
      <c r="E8" s="92"/>
      <c r="F8" s="71"/>
      <c r="G8" s="92"/>
      <c r="H8" s="92"/>
      <c r="I8" s="92"/>
    </row>
    <row r="9" spans="1:9" s="88" customFormat="1" ht="18" customHeight="1">
      <c r="A9" s="91"/>
      <c r="B9" s="85" t="s">
        <v>181</v>
      </c>
      <c r="C9" s="92"/>
      <c r="D9" s="92">
        <v>1</v>
      </c>
      <c r="E9" s="92"/>
      <c r="F9" s="72">
        <f>IF(OR(G9&lt;&gt;0,H9&lt;&gt;0,I9&lt;&gt;0),1,0)</f>
        <v>0</v>
      </c>
      <c r="G9" s="92"/>
      <c r="H9" s="92"/>
      <c r="I9" s="92"/>
    </row>
    <row r="10" spans="1:9" s="88" customFormat="1" ht="18" customHeight="1">
      <c r="A10" s="91"/>
      <c r="B10" s="39"/>
      <c r="C10" s="92"/>
      <c r="D10" s="92">
        <v>2</v>
      </c>
      <c r="E10" s="92"/>
      <c r="F10" s="72">
        <f t="shared" ref="F10:F23" si="0">IF(OR(G10&lt;&gt;0,H10&lt;&gt;0,I10&lt;&gt;0),1,0)</f>
        <v>0</v>
      </c>
      <c r="G10" s="92"/>
      <c r="H10" s="92"/>
      <c r="I10" s="92"/>
    </row>
    <row r="11" spans="1:9" s="88" customFormat="1" ht="18" customHeight="1">
      <c r="A11" s="91"/>
      <c r="B11" s="39"/>
      <c r="C11" s="92"/>
      <c r="D11" s="92" t="s">
        <v>14</v>
      </c>
      <c r="E11" s="92"/>
      <c r="F11" s="72">
        <f t="shared" si="0"/>
        <v>0</v>
      </c>
      <c r="G11" s="92"/>
      <c r="H11" s="92"/>
      <c r="I11" s="92"/>
    </row>
    <row r="12" spans="1:9" ht="18" customHeight="1">
      <c r="A12" s="91"/>
      <c r="B12" s="85" t="s">
        <v>182</v>
      </c>
      <c r="C12" s="93"/>
      <c r="D12" s="93"/>
      <c r="E12" s="93"/>
      <c r="F12" s="72">
        <f t="shared" si="0"/>
        <v>0</v>
      </c>
      <c r="G12" s="92"/>
      <c r="H12" s="93"/>
      <c r="I12" s="92"/>
    </row>
    <row r="13" spans="1:9" ht="18" customHeight="1">
      <c r="A13" s="91"/>
      <c r="B13" s="85" t="s">
        <v>183</v>
      </c>
      <c r="C13" s="93"/>
      <c r="D13" s="93"/>
      <c r="E13" s="93"/>
      <c r="F13" s="72">
        <f t="shared" si="0"/>
        <v>0</v>
      </c>
      <c r="G13" s="92"/>
      <c r="H13" s="93"/>
      <c r="I13" s="92"/>
    </row>
    <row r="14" spans="1:9" ht="18" customHeight="1">
      <c r="A14" s="91"/>
      <c r="B14" s="85" t="s">
        <v>184</v>
      </c>
      <c r="C14" s="93"/>
      <c r="D14" s="93"/>
      <c r="E14" s="93"/>
      <c r="F14" s="72">
        <f t="shared" si="0"/>
        <v>0</v>
      </c>
      <c r="G14" s="92"/>
      <c r="H14" s="93"/>
      <c r="I14" s="92"/>
    </row>
    <row r="15" spans="1:9" ht="18" customHeight="1">
      <c r="A15" s="91"/>
      <c r="B15" s="85" t="s">
        <v>185</v>
      </c>
      <c r="C15" s="93"/>
      <c r="D15" s="93"/>
      <c r="E15" s="93"/>
      <c r="F15" s="72">
        <f t="shared" si="0"/>
        <v>0</v>
      </c>
      <c r="G15" s="92"/>
      <c r="H15" s="93"/>
      <c r="I15" s="92"/>
    </row>
    <row r="16" spans="1:9" ht="18" customHeight="1">
      <c r="A16" s="91"/>
      <c r="B16" s="85"/>
      <c r="C16" s="93"/>
      <c r="D16" s="93"/>
      <c r="E16" s="93"/>
      <c r="F16" s="72">
        <f t="shared" si="0"/>
        <v>0</v>
      </c>
      <c r="G16" s="92"/>
      <c r="H16" s="93"/>
      <c r="I16" s="92"/>
    </row>
    <row r="17" spans="1:9" ht="18" customHeight="1">
      <c r="A17" s="91" t="s">
        <v>186</v>
      </c>
      <c r="B17" s="39"/>
      <c r="C17" s="93"/>
      <c r="D17" s="93"/>
      <c r="E17" s="93"/>
      <c r="F17" s="72">
        <f t="shared" si="0"/>
        <v>0</v>
      </c>
      <c r="G17" s="92"/>
      <c r="H17" s="93"/>
      <c r="I17" s="92"/>
    </row>
    <row r="18" spans="1:9" ht="18" customHeight="1">
      <c r="A18" s="91"/>
      <c r="B18" s="85" t="s">
        <v>187</v>
      </c>
      <c r="C18" s="93"/>
      <c r="D18" s="93"/>
      <c r="E18" s="93"/>
      <c r="F18" s="72">
        <f t="shared" si="0"/>
        <v>0</v>
      </c>
      <c r="G18" s="92"/>
      <c r="H18" s="93"/>
      <c r="I18" s="92"/>
    </row>
    <row r="19" spans="1:9" ht="18" customHeight="1">
      <c r="A19" s="91"/>
      <c r="B19" s="39"/>
      <c r="C19" s="93"/>
      <c r="D19" s="93"/>
      <c r="E19" s="93"/>
      <c r="F19" s="72">
        <f t="shared" si="0"/>
        <v>0</v>
      </c>
      <c r="G19" s="92"/>
      <c r="H19" s="93"/>
      <c r="I19" s="92"/>
    </row>
    <row r="20" spans="1:9" ht="18" customHeight="1">
      <c r="A20" s="91" t="s">
        <v>34</v>
      </c>
      <c r="B20" s="39"/>
      <c r="C20" s="93"/>
      <c r="D20" s="93"/>
      <c r="E20" s="93"/>
      <c r="F20" s="72">
        <f t="shared" si="0"/>
        <v>0</v>
      </c>
      <c r="G20" s="92"/>
      <c r="H20" s="93"/>
      <c r="I20" s="92"/>
    </row>
    <row r="21" spans="1:9" ht="18" customHeight="1">
      <c r="A21" s="91"/>
      <c r="B21" s="85" t="s">
        <v>188</v>
      </c>
      <c r="C21" s="93"/>
      <c r="D21" s="93"/>
      <c r="E21" s="93"/>
      <c r="F21" s="72">
        <f t="shared" si="0"/>
        <v>0</v>
      </c>
      <c r="G21" s="92"/>
      <c r="H21" s="93"/>
      <c r="I21" s="92"/>
    </row>
    <row r="22" spans="1:9" ht="18" customHeight="1">
      <c r="A22" s="91"/>
      <c r="B22" s="39"/>
      <c r="C22" s="93"/>
      <c r="D22" s="93"/>
      <c r="E22" s="93"/>
      <c r="F22" s="72">
        <f t="shared" si="0"/>
        <v>0</v>
      </c>
      <c r="G22" s="92"/>
      <c r="H22" s="93"/>
      <c r="I22" s="92"/>
    </row>
    <row r="23" spans="1:9" ht="18" customHeight="1">
      <c r="A23" s="91"/>
      <c r="B23" s="39"/>
      <c r="C23" s="93"/>
      <c r="D23" s="93"/>
      <c r="E23" s="93"/>
      <c r="F23" s="72">
        <f t="shared" si="0"/>
        <v>0</v>
      </c>
      <c r="G23" s="92"/>
      <c r="H23" s="93"/>
      <c r="I23" s="92"/>
    </row>
    <row r="24" spans="1:9" ht="18" customHeight="1">
      <c r="A24" s="110"/>
      <c r="B24" s="109"/>
      <c r="C24" s="108" t="s">
        <v>189</v>
      </c>
      <c r="D24" s="111"/>
      <c r="E24" s="111"/>
      <c r="F24" s="112">
        <f>SUM(F9:F23)</f>
        <v>0</v>
      </c>
      <c r="G24" s="113">
        <f>COUNTA(G9:G23)</f>
        <v>0</v>
      </c>
      <c r="H24" s="113">
        <f>COUNTA(H9:H23)</f>
        <v>0</v>
      </c>
      <c r="I24" s="113">
        <f t="shared" ref="I24" si="1">COUNTA(I9:I23)</f>
        <v>0</v>
      </c>
    </row>
    <row r="25" spans="1:9" ht="18" customHeight="1">
      <c r="A25" s="91"/>
      <c r="B25" s="39"/>
      <c r="C25" s="93"/>
      <c r="D25" s="93"/>
      <c r="E25" s="93"/>
      <c r="F25" s="94"/>
      <c r="G25" s="95" t="e">
        <f>G24/F24</f>
        <v>#DIV/0!</v>
      </c>
      <c r="H25" s="95" t="e">
        <f>H24/F24</f>
        <v>#DIV/0!</v>
      </c>
      <c r="I25" s="95" t="e">
        <f>I24/F24</f>
        <v>#DIV/0!</v>
      </c>
    </row>
    <row r="26" spans="1:9" ht="18" customHeight="1">
      <c r="A26" s="91"/>
      <c r="B26" s="39"/>
      <c r="C26" s="93"/>
      <c r="D26" s="93"/>
      <c r="E26" s="93"/>
      <c r="F26" s="115" t="s">
        <v>143</v>
      </c>
      <c r="G26" s="96" t="s">
        <v>110</v>
      </c>
      <c r="H26" s="96" t="s">
        <v>111</v>
      </c>
      <c r="I26" s="96" t="s">
        <v>112</v>
      </c>
    </row>
    <row r="27" spans="1:9">
      <c r="A27" s="99" t="s">
        <v>25</v>
      </c>
    </row>
    <row r="28" spans="1:9">
      <c r="A28" s="100" t="s">
        <v>213</v>
      </c>
    </row>
    <row r="29" spans="1:9">
      <c r="A29" s="100" t="s">
        <v>36</v>
      </c>
    </row>
    <row r="30" spans="1:9">
      <c r="A30" s="100" t="s">
        <v>37</v>
      </c>
    </row>
    <row r="31" spans="1:9">
      <c r="A31" s="100" t="s">
        <v>38</v>
      </c>
    </row>
    <row r="32" spans="1:9">
      <c r="A32" s="100" t="s">
        <v>39</v>
      </c>
    </row>
    <row r="33" spans="1:11">
      <c r="A33" s="100" t="s">
        <v>40</v>
      </c>
    </row>
    <row r="34" spans="1:11">
      <c r="A34" s="100" t="s">
        <v>41</v>
      </c>
    </row>
    <row r="35" spans="1:11">
      <c r="A35" s="100" t="s">
        <v>42</v>
      </c>
    </row>
    <row r="36" spans="1:11">
      <c r="A36" s="100" t="s">
        <v>43</v>
      </c>
    </row>
    <row r="37" spans="1:11">
      <c r="A37" s="100" t="s">
        <v>44</v>
      </c>
    </row>
    <row r="38" spans="1:11">
      <c r="A38" s="100" t="s">
        <v>45</v>
      </c>
    </row>
    <row r="39" spans="1:11">
      <c r="A39" s="100" t="s">
        <v>46</v>
      </c>
    </row>
    <row r="40" spans="1:11">
      <c r="A40" s="100" t="s">
        <v>47</v>
      </c>
    </row>
    <row r="41" spans="1:11">
      <c r="A41" s="100" t="s">
        <v>48</v>
      </c>
    </row>
    <row r="42" spans="1:11">
      <c r="A42" s="121" t="s">
        <v>161</v>
      </c>
      <c r="B42" s="101"/>
      <c r="C42" s="101"/>
      <c r="D42" s="101"/>
      <c r="E42" s="101"/>
      <c r="F42" s="74"/>
      <c r="G42" s="101"/>
      <c r="H42" s="101"/>
      <c r="I42" s="101"/>
      <c r="J42" s="101"/>
      <c r="K42" s="101"/>
    </row>
    <row r="43" spans="1:11">
      <c r="A43" s="102" t="s">
        <v>49</v>
      </c>
      <c r="B43" s="102"/>
    </row>
    <row r="44" spans="1:11">
      <c r="A44" s="102" t="s">
        <v>50</v>
      </c>
      <c r="B44" s="102"/>
    </row>
    <row r="45" spans="1:11">
      <c r="A45" s="102" t="s">
        <v>51</v>
      </c>
      <c r="B45" s="102"/>
    </row>
    <row r="46" spans="1:11">
      <c r="A46" s="103" t="s">
        <v>52</v>
      </c>
      <c r="B46" s="103" t="s">
        <v>53</v>
      </c>
    </row>
    <row r="47" spans="1:11">
      <c r="A47" s="104">
        <v>1</v>
      </c>
      <c r="B47" s="104" t="s">
        <v>54</v>
      </c>
    </row>
    <row r="48" spans="1:11">
      <c r="A48" s="104">
        <v>2</v>
      </c>
      <c r="B48" s="104" t="s">
        <v>55</v>
      </c>
    </row>
    <row r="49" spans="1:11">
      <c r="A49" s="104">
        <v>3</v>
      </c>
      <c r="B49" s="104" t="s">
        <v>56</v>
      </c>
    </row>
    <row r="50" spans="1:11">
      <c r="A50" s="104">
        <v>4</v>
      </c>
      <c r="B50" s="104" t="s">
        <v>57</v>
      </c>
    </row>
    <row r="51" spans="1:11" ht="106.5" customHeight="1">
      <c r="A51" s="166" t="s">
        <v>149</v>
      </c>
      <c r="B51" s="166"/>
      <c r="C51" s="166"/>
      <c r="D51" s="166"/>
      <c r="E51" s="166"/>
      <c r="F51" s="166"/>
      <c r="G51" s="166"/>
      <c r="H51" s="166"/>
      <c r="I51" s="166"/>
      <c r="J51" s="166"/>
      <c r="K51" s="166"/>
    </row>
    <row r="52" spans="1:11" ht="21.75" customHeight="1">
      <c r="A52" s="105" t="s">
        <v>61</v>
      </c>
      <c r="B52" s="105"/>
      <c r="C52" s="105"/>
      <c r="D52" s="105"/>
      <c r="E52" s="105"/>
      <c r="F52" s="75"/>
      <c r="G52" s="105"/>
      <c r="H52" s="105"/>
      <c r="I52" s="105"/>
      <c r="J52" s="105"/>
      <c r="K52" s="105"/>
    </row>
    <row r="53" spans="1:11" ht="25.5" customHeight="1">
      <c r="A53" s="166" t="s">
        <v>62</v>
      </c>
      <c r="B53" s="166"/>
      <c r="C53" s="166"/>
      <c r="D53" s="166"/>
      <c r="E53" s="166"/>
      <c r="F53" s="166"/>
      <c r="G53" s="166"/>
      <c r="H53" s="166"/>
      <c r="I53" s="166"/>
      <c r="J53" s="166"/>
      <c r="K53" s="166"/>
    </row>
    <row r="54" spans="1:11" ht="25.5" customHeight="1">
      <c r="A54" s="105" t="s">
        <v>63</v>
      </c>
      <c r="B54" s="105"/>
      <c r="C54" s="105"/>
      <c r="D54" s="105"/>
      <c r="E54" s="105"/>
      <c r="F54" s="75"/>
      <c r="G54" s="105"/>
      <c r="H54" s="105"/>
      <c r="I54" s="105"/>
      <c r="J54" s="105"/>
      <c r="K54" s="105"/>
    </row>
    <row r="55" spans="1:11" ht="25.5" customHeight="1">
      <c r="A55" s="166" t="s">
        <v>64</v>
      </c>
      <c r="B55" s="166"/>
      <c r="C55" s="166"/>
      <c r="D55" s="166"/>
      <c r="E55" s="166"/>
      <c r="F55" s="166"/>
      <c r="G55" s="166"/>
      <c r="H55" s="166"/>
      <c r="I55" s="166"/>
      <c r="J55" s="166"/>
      <c r="K55" s="166"/>
    </row>
    <row r="56" spans="1:11" ht="34.5" customHeight="1">
      <c r="A56" s="166" t="s">
        <v>65</v>
      </c>
      <c r="B56" s="166"/>
      <c r="C56" s="166"/>
      <c r="D56" s="166"/>
      <c r="E56" s="166"/>
      <c r="F56" s="166"/>
      <c r="G56" s="166"/>
      <c r="H56" s="166"/>
      <c r="I56" s="166"/>
      <c r="J56" s="166"/>
      <c r="K56" s="166"/>
    </row>
    <row r="57" spans="1:11" ht="25.5" customHeight="1">
      <c r="A57" s="166" t="s">
        <v>66</v>
      </c>
      <c r="B57" s="166"/>
      <c r="C57" s="166"/>
      <c r="D57" s="166"/>
      <c r="E57" s="166"/>
      <c r="F57" s="166"/>
      <c r="G57" s="166"/>
      <c r="H57" s="166"/>
      <c r="I57" s="166"/>
      <c r="J57" s="166"/>
      <c r="K57" s="166"/>
    </row>
    <row r="58" spans="1:11" ht="25.5" customHeight="1">
      <c r="A58" s="105" t="s">
        <v>67</v>
      </c>
      <c r="B58" s="105"/>
      <c r="C58" s="105"/>
      <c r="D58" s="105"/>
      <c r="E58" s="105"/>
      <c r="F58" s="75"/>
      <c r="G58" s="105"/>
      <c r="H58" s="105"/>
      <c r="I58" s="105"/>
      <c r="J58" s="105"/>
      <c r="K58" s="105"/>
    </row>
    <row r="59" spans="1:11" ht="113.25" customHeight="1">
      <c r="A59" s="166" t="s">
        <v>68</v>
      </c>
      <c r="B59" s="166"/>
      <c r="C59" s="166"/>
      <c r="D59" s="166"/>
      <c r="E59" s="166"/>
      <c r="F59" s="166"/>
      <c r="G59" s="166"/>
      <c r="H59" s="166"/>
      <c r="I59" s="166"/>
      <c r="J59" s="166"/>
      <c r="K59" s="166"/>
    </row>
    <row r="60" spans="1:11" ht="25.5" customHeight="1">
      <c r="A60" s="166" t="s">
        <v>69</v>
      </c>
      <c r="B60" s="166"/>
      <c r="C60" s="166"/>
      <c r="D60" s="166"/>
      <c r="E60" s="166"/>
      <c r="F60" s="166"/>
      <c r="G60" s="166"/>
      <c r="H60" s="166"/>
      <c r="I60" s="166"/>
      <c r="J60" s="166"/>
      <c r="K60" s="166"/>
    </row>
    <row r="61" spans="1:11" ht="25.5" customHeight="1">
      <c r="A61" s="105" t="s">
        <v>70</v>
      </c>
      <c r="B61" s="105"/>
      <c r="C61" s="105"/>
      <c r="D61" s="105"/>
      <c r="E61" s="105"/>
      <c r="F61" s="75"/>
      <c r="G61" s="105"/>
      <c r="H61" s="105"/>
      <c r="I61" s="105"/>
      <c r="J61" s="105"/>
      <c r="K61" s="105"/>
    </row>
    <row r="62" spans="1:11" ht="25.5" customHeight="1">
      <c r="A62" s="166" t="s">
        <v>71</v>
      </c>
      <c r="B62" s="166"/>
      <c r="C62" s="166"/>
      <c r="D62" s="166"/>
      <c r="E62" s="166"/>
      <c r="F62" s="166"/>
      <c r="G62" s="166"/>
      <c r="H62" s="166"/>
      <c r="I62" s="166"/>
      <c r="J62" s="166"/>
      <c r="K62" s="166"/>
    </row>
    <row r="63" spans="1:11" ht="25.5" customHeight="1">
      <c r="A63" s="166" t="s">
        <v>72</v>
      </c>
      <c r="B63" s="166"/>
      <c r="C63" s="166"/>
      <c r="D63" s="166"/>
      <c r="E63" s="166"/>
      <c r="F63" s="166"/>
      <c r="G63" s="166"/>
      <c r="H63" s="166"/>
      <c r="I63" s="166"/>
      <c r="J63" s="166"/>
      <c r="K63" s="166"/>
    </row>
    <row r="64" spans="1:11" ht="25.5" customHeight="1">
      <c r="A64" s="166" t="s">
        <v>74</v>
      </c>
      <c r="B64" s="166"/>
      <c r="C64" s="166"/>
      <c r="D64" s="166"/>
      <c r="E64" s="166"/>
      <c r="F64" s="166"/>
      <c r="G64" s="166"/>
      <c r="H64" s="166"/>
      <c r="I64" s="166"/>
      <c r="J64" s="166"/>
      <c r="K64" s="166"/>
    </row>
    <row r="65" spans="1:11" ht="25.5" customHeight="1">
      <c r="A65" s="105" t="s">
        <v>73</v>
      </c>
      <c r="B65" s="105"/>
      <c r="C65" s="105"/>
      <c r="D65" s="105"/>
      <c r="E65" s="105"/>
      <c r="F65" s="75"/>
      <c r="G65" s="105"/>
      <c r="H65" s="105"/>
      <c r="I65" s="105"/>
      <c r="J65" s="105"/>
      <c r="K65" s="105"/>
    </row>
    <row r="66" spans="1:11" ht="104.25" customHeight="1">
      <c r="A66" s="166" t="s">
        <v>75</v>
      </c>
      <c r="B66" s="166"/>
      <c r="C66" s="166"/>
      <c r="D66" s="166"/>
      <c r="E66" s="166"/>
      <c r="F66" s="166"/>
      <c r="G66" s="166"/>
      <c r="H66" s="166"/>
      <c r="I66" s="166"/>
      <c r="J66" s="166"/>
      <c r="K66" s="166"/>
    </row>
    <row r="67" spans="1:11" ht="25.5" customHeight="1">
      <c r="A67" s="166" t="s">
        <v>76</v>
      </c>
      <c r="B67" s="166"/>
      <c r="C67" s="166"/>
      <c r="D67" s="166"/>
      <c r="E67" s="166"/>
      <c r="F67" s="166"/>
      <c r="G67" s="166"/>
      <c r="H67" s="166"/>
      <c r="I67" s="166"/>
      <c r="J67" s="166"/>
      <c r="K67" s="166"/>
    </row>
    <row r="68" spans="1:11" ht="25.5" customHeight="1">
      <c r="A68" s="166" t="s">
        <v>77</v>
      </c>
      <c r="B68" s="166"/>
      <c r="C68" s="166"/>
      <c r="D68" s="166"/>
      <c r="E68" s="166"/>
      <c r="F68" s="166"/>
      <c r="G68" s="166"/>
      <c r="H68" s="166"/>
      <c r="I68" s="166"/>
      <c r="J68" s="166"/>
      <c r="K68" s="166"/>
    </row>
    <row r="69" spans="1:11" ht="25.5" customHeight="1">
      <c r="A69" s="105" t="s">
        <v>78</v>
      </c>
      <c r="B69" s="105"/>
      <c r="C69" s="105"/>
      <c r="D69" s="105"/>
      <c r="E69" s="105"/>
      <c r="F69" s="75"/>
      <c r="G69" s="105"/>
      <c r="H69" s="105"/>
      <c r="I69" s="105"/>
      <c r="J69" s="105"/>
      <c r="K69" s="105"/>
    </row>
    <row r="70" spans="1:11" ht="25.5" customHeight="1">
      <c r="A70" s="166" t="s">
        <v>79</v>
      </c>
      <c r="B70" s="166"/>
      <c r="C70" s="166"/>
      <c r="D70" s="166"/>
      <c r="E70" s="166"/>
      <c r="F70" s="166"/>
      <c r="G70" s="166"/>
      <c r="H70" s="166"/>
      <c r="I70" s="166"/>
      <c r="J70" s="166"/>
      <c r="K70" s="166"/>
    </row>
    <row r="71" spans="1:11" ht="19.5" customHeight="1">
      <c r="A71" s="121" t="s">
        <v>162</v>
      </c>
      <c r="B71" s="118"/>
      <c r="C71" s="118"/>
      <c r="D71" s="118"/>
      <c r="E71" s="118"/>
      <c r="F71" s="118"/>
      <c r="G71" s="118"/>
      <c r="H71" s="118"/>
      <c r="I71" s="118"/>
      <c r="J71" s="118"/>
      <c r="K71" s="118"/>
    </row>
    <row r="72" spans="1:11" ht="18.75" customHeight="1" thickBot="1">
      <c r="A72" s="169" t="s">
        <v>209</v>
      </c>
      <c r="B72" s="169"/>
      <c r="C72" s="169"/>
      <c r="D72" s="169"/>
      <c r="E72" s="169"/>
      <c r="F72" s="169"/>
      <c r="G72" s="169"/>
    </row>
    <row r="73" spans="1:11" s="87" customFormat="1" ht="33" customHeight="1" thickBot="1">
      <c r="A73" s="131"/>
      <c r="B73" s="132" t="s">
        <v>159</v>
      </c>
      <c r="C73" s="168" t="s">
        <v>210</v>
      </c>
      <c r="D73" s="168"/>
      <c r="E73" s="133"/>
      <c r="F73" s="131"/>
      <c r="G73" s="131"/>
    </row>
    <row r="74" spans="1:11" s="87" customFormat="1" ht="37.5" customHeight="1" thickBot="1">
      <c r="A74" s="131"/>
      <c r="B74" s="134" t="s">
        <v>150</v>
      </c>
      <c r="C74" s="167" t="s">
        <v>151</v>
      </c>
      <c r="D74" s="167"/>
      <c r="E74" s="133"/>
      <c r="F74" s="131"/>
      <c r="G74" s="131"/>
    </row>
    <row r="75" spans="1:11" s="87" customFormat="1" ht="18.75" customHeight="1" thickBot="1">
      <c r="A75" s="131"/>
      <c r="B75" s="134" t="s">
        <v>153</v>
      </c>
      <c r="C75" s="167" t="s">
        <v>154</v>
      </c>
      <c r="D75" s="167"/>
      <c r="E75" s="133"/>
      <c r="F75" s="131"/>
      <c r="G75" s="131"/>
    </row>
    <row r="76" spans="1:11" s="87" customFormat="1" ht="18.75" customHeight="1" thickBot="1">
      <c r="A76" s="131"/>
      <c r="B76" s="134" t="s">
        <v>155</v>
      </c>
      <c r="C76" s="167" t="s">
        <v>156</v>
      </c>
      <c r="D76" s="167"/>
      <c r="E76" s="133"/>
      <c r="F76" s="131"/>
      <c r="G76" s="131"/>
    </row>
    <row r="77" spans="1:11" s="87" customFormat="1" ht="18.75" customHeight="1">
      <c r="F77" s="76"/>
    </row>
    <row r="78" spans="1:11" s="87" customFormat="1" ht="18.75" customHeight="1">
      <c r="F78" s="76"/>
    </row>
    <row r="79" spans="1:11" s="87" customFormat="1" ht="18.75" customHeight="1">
      <c r="F79" s="76"/>
    </row>
    <row r="80" spans="1:11" s="87" customFormat="1" ht="18.75" customHeight="1">
      <c r="F80" s="76"/>
    </row>
    <row r="81" spans="6:6" s="87" customFormat="1" ht="18.75" customHeight="1">
      <c r="F81" s="76"/>
    </row>
    <row r="82" spans="6:6" s="87" customFormat="1" ht="18.75" customHeight="1">
      <c r="F82" s="76"/>
    </row>
    <row r="83" spans="6:6" s="87" customFormat="1" ht="18.75" customHeight="1">
      <c r="F83" s="76"/>
    </row>
    <row r="84" spans="6:6" s="87" customFormat="1" ht="18.75" customHeight="1">
      <c r="F84" s="76"/>
    </row>
    <row r="85" spans="6:6" s="87" customFormat="1" ht="18.75" customHeight="1">
      <c r="F85" s="76"/>
    </row>
    <row r="86" spans="6:6" s="87" customFormat="1" ht="18.75" customHeight="1">
      <c r="F86" s="76"/>
    </row>
    <row r="87" spans="6:6" s="87" customFormat="1" ht="18.75" customHeight="1">
      <c r="F87" s="76"/>
    </row>
    <row r="88" spans="6:6" s="87" customFormat="1" ht="18.75" customHeight="1">
      <c r="F88" s="76"/>
    </row>
    <row r="89" spans="6:6" s="87" customFormat="1" ht="18.75" customHeight="1">
      <c r="F89" s="76"/>
    </row>
    <row r="90" spans="6:6" s="87" customFormat="1" ht="18.75" customHeight="1">
      <c r="F90" s="76"/>
    </row>
    <row r="91" spans="6:6" s="87" customFormat="1" ht="18.75" customHeight="1">
      <c r="F91" s="76"/>
    </row>
    <row r="92" spans="6:6" s="87" customFormat="1" ht="18.75" customHeight="1">
      <c r="F92" s="76"/>
    </row>
    <row r="93" spans="6:6" s="87" customFormat="1" ht="18.75" customHeight="1">
      <c r="F93" s="76"/>
    </row>
    <row r="94" spans="6:6" s="87" customFormat="1" ht="18.75" customHeight="1">
      <c r="F94" s="76"/>
    </row>
    <row r="95" spans="6:6" s="87" customFormat="1" ht="18.75" customHeight="1">
      <c r="F95" s="76"/>
    </row>
    <row r="96" spans="6:6" s="87" customFormat="1" ht="18.75" customHeight="1">
      <c r="F96" s="76"/>
    </row>
    <row r="97" spans="6:6" s="87" customFormat="1" ht="18.75" customHeight="1">
      <c r="F97" s="76"/>
    </row>
    <row r="98" spans="6:6" s="87" customFormat="1" ht="18.75" customHeight="1">
      <c r="F98" s="76"/>
    </row>
    <row r="99" spans="6:6" s="87" customFormat="1" ht="18.75" customHeight="1">
      <c r="F99" s="76"/>
    </row>
    <row r="100" spans="6:6" s="87" customFormat="1" ht="18.75" customHeight="1">
      <c r="F100" s="76"/>
    </row>
    <row r="101" spans="6:6" s="87" customFormat="1" ht="18.75" customHeight="1">
      <c r="F101" s="76"/>
    </row>
    <row r="102" spans="6:6" s="87" customFormat="1" ht="18.75" customHeight="1">
      <c r="F102" s="76"/>
    </row>
    <row r="103" spans="6:6" s="87" customFormat="1" ht="18.75" customHeight="1">
      <c r="F103" s="76"/>
    </row>
    <row r="104" spans="6:6" s="87" customFormat="1" ht="18.75" customHeight="1">
      <c r="F104" s="76"/>
    </row>
    <row r="105" spans="6:6" s="87" customFormat="1" ht="18.75" customHeight="1">
      <c r="F105" s="76"/>
    </row>
    <row r="106" spans="6:6" s="87" customFormat="1" ht="18.75" customHeight="1">
      <c r="F106" s="76"/>
    </row>
    <row r="107" spans="6:6" s="87" customFormat="1" ht="18.75" customHeight="1">
      <c r="F107" s="76"/>
    </row>
    <row r="108" spans="6:6" s="87" customFormat="1" ht="18.75" customHeight="1">
      <c r="F108" s="76"/>
    </row>
    <row r="109" spans="6:6" s="87" customFormat="1" ht="18.75" customHeight="1">
      <c r="F109" s="76"/>
    </row>
    <row r="110" spans="6:6" s="87" customFormat="1" ht="18.75" customHeight="1">
      <c r="F110" s="76"/>
    </row>
    <row r="111" spans="6:6" s="87" customFormat="1" ht="12.75">
      <c r="F111" s="76"/>
    </row>
    <row r="112" spans="6:6" s="87" customFormat="1" ht="12.75">
      <c r="F112" s="76"/>
    </row>
    <row r="113" spans="1:6" s="87" customFormat="1" ht="12.75">
      <c r="F113" s="76"/>
    </row>
    <row r="114" spans="1:6" s="87" customFormat="1" ht="12.75">
      <c r="F114" s="76"/>
    </row>
    <row r="115" spans="1:6" s="87" customFormat="1" ht="12.75">
      <c r="F115" s="76"/>
    </row>
    <row r="116" spans="1:6" s="87" customFormat="1" ht="12.75">
      <c r="F116" s="76"/>
    </row>
    <row r="117" spans="1:6" s="87" customFormat="1" ht="12.75">
      <c r="F117" s="76"/>
    </row>
    <row r="118" spans="1:6" s="87" customFormat="1" ht="12.75">
      <c r="A118" s="106" t="s">
        <v>81</v>
      </c>
      <c r="F118" s="76"/>
    </row>
    <row r="119" spans="1:6" s="87" customFormat="1" ht="12.75">
      <c r="A119" s="87" t="s">
        <v>82</v>
      </c>
      <c r="F119" s="76"/>
    </row>
    <row r="120" spans="1:6" s="87" customFormat="1" ht="12.75">
      <c r="F120" s="76"/>
    </row>
    <row r="121" spans="1:6" s="87" customFormat="1" ht="12.75">
      <c r="F121" s="76"/>
    </row>
    <row r="122" spans="1:6" s="87" customFormat="1" ht="12.75">
      <c r="F122" s="76"/>
    </row>
    <row r="123" spans="1:6" s="87" customFormat="1" ht="12.75">
      <c r="F123" s="76"/>
    </row>
    <row r="124" spans="1:6" s="87" customFormat="1" ht="12.75">
      <c r="F124" s="76"/>
    </row>
    <row r="125" spans="1:6" s="87" customFormat="1" ht="12.75">
      <c r="A125" s="87" t="s">
        <v>83</v>
      </c>
      <c r="F125" s="76"/>
    </row>
    <row r="126" spans="1:6" s="87" customFormat="1" ht="12.75">
      <c r="A126" s="106" t="s">
        <v>84</v>
      </c>
      <c r="F126" s="76"/>
    </row>
    <row r="127" spans="1:6" s="87" customFormat="1" ht="12.75">
      <c r="A127" s="106" t="s">
        <v>85</v>
      </c>
      <c r="F127" s="76"/>
    </row>
    <row r="128" spans="1:6" s="87" customFormat="1" ht="12.75">
      <c r="A128" s="87" t="s">
        <v>86</v>
      </c>
      <c r="F128" s="76"/>
    </row>
    <row r="129" spans="6:6" s="87" customFormat="1" ht="12.75">
      <c r="F129" s="76"/>
    </row>
    <row r="130" spans="6:6" s="87" customFormat="1" ht="12.75">
      <c r="F130" s="76"/>
    </row>
    <row r="131" spans="6:6" s="87" customFormat="1" ht="12.75">
      <c r="F131" s="76"/>
    </row>
    <row r="132" spans="6:6" s="87" customFormat="1" ht="12.75">
      <c r="F132" s="76"/>
    </row>
    <row r="133" spans="6:6" s="87" customFormat="1" ht="12.75">
      <c r="F133" s="76"/>
    </row>
    <row r="134" spans="6:6" s="87" customFormat="1" ht="12.75">
      <c r="F134" s="76"/>
    </row>
    <row r="135" spans="6:6" s="87" customFormat="1" ht="12.75">
      <c r="F135" s="76"/>
    </row>
    <row r="136" spans="6:6" s="87" customFormat="1" ht="12.75">
      <c r="F136" s="76"/>
    </row>
    <row r="137" spans="6:6" s="87" customFormat="1" ht="12.75">
      <c r="F137" s="76"/>
    </row>
    <row r="138" spans="6:6" s="87" customFormat="1" ht="12.75">
      <c r="F138" s="76"/>
    </row>
    <row r="139" spans="6:6" s="87" customFormat="1" ht="12.75">
      <c r="F139" s="76"/>
    </row>
    <row r="140" spans="6:6" s="87" customFormat="1" ht="12.75">
      <c r="F140" s="76"/>
    </row>
    <row r="141" spans="6:6" s="87" customFormat="1" ht="12.75">
      <c r="F141" s="76"/>
    </row>
    <row r="142" spans="6:6" s="87" customFormat="1" ht="12.75">
      <c r="F142" s="76"/>
    </row>
    <row r="143" spans="6:6" s="87" customFormat="1" ht="12.75">
      <c r="F143" s="76"/>
    </row>
    <row r="144" spans="6:6" s="87" customFormat="1" ht="12.75">
      <c r="F144" s="76"/>
    </row>
    <row r="145" spans="6:6" s="87" customFormat="1" ht="12.75">
      <c r="F145" s="76"/>
    </row>
    <row r="146" spans="6:6" s="87" customFormat="1" ht="12.75">
      <c r="F146" s="76"/>
    </row>
    <row r="147" spans="6:6" s="87" customFormat="1" ht="12.75">
      <c r="F147" s="76"/>
    </row>
    <row r="148" spans="6:6" s="87" customFormat="1" ht="12.75">
      <c r="F148" s="76"/>
    </row>
    <row r="149" spans="6:6" s="87" customFormat="1" ht="12.75">
      <c r="F149" s="76"/>
    </row>
    <row r="150" spans="6:6" s="87" customFormat="1" ht="12.75">
      <c r="F150" s="76"/>
    </row>
    <row r="151" spans="6:6" s="87" customFormat="1" ht="12.75">
      <c r="F151" s="76"/>
    </row>
    <row r="152" spans="6:6" s="87" customFormat="1" ht="12.75">
      <c r="F152" s="76"/>
    </row>
    <row r="153" spans="6:6" s="87" customFormat="1" ht="12.75">
      <c r="F153" s="76"/>
    </row>
    <row r="154" spans="6:6" s="87" customFormat="1" ht="12.75">
      <c r="F154" s="76"/>
    </row>
    <row r="155" spans="6:6" s="87" customFormat="1" ht="12.75">
      <c r="F155" s="76"/>
    </row>
    <row r="156" spans="6:6" s="87" customFormat="1" ht="12.75">
      <c r="F156" s="76"/>
    </row>
    <row r="157" spans="6:6" s="87" customFormat="1" ht="12.75">
      <c r="F157" s="76"/>
    </row>
    <row r="158" spans="6:6" s="87" customFormat="1" ht="12.75">
      <c r="F158" s="76"/>
    </row>
    <row r="159" spans="6:6" s="87" customFormat="1" ht="12.75">
      <c r="F159" s="76"/>
    </row>
    <row r="160" spans="6:6" s="87" customFormat="1" ht="12.75">
      <c r="F160" s="76"/>
    </row>
    <row r="161" spans="6:6" s="87" customFormat="1" ht="12.75">
      <c r="F161" s="76"/>
    </row>
    <row r="162" spans="6:6" s="87" customFormat="1" ht="12.75">
      <c r="F162" s="76"/>
    </row>
    <row r="163" spans="6:6" s="87" customFormat="1" ht="12.75">
      <c r="F163" s="76"/>
    </row>
  </sheetData>
  <mergeCells count="22">
    <mergeCell ref="C74:D74"/>
    <mergeCell ref="C75:D75"/>
    <mergeCell ref="C76:D76"/>
    <mergeCell ref="C73:D73"/>
    <mergeCell ref="A72:G72"/>
    <mergeCell ref="A55:K55"/>
    <mergeCell ref="A57:K57"/>
    <mergeCell ref="A63:K63"/>
    <mergeCell ref="A70:K70"/>
    <mergeCell ref="A59:K59"/>
    <mergeCell ref="A56:K56"/>
    <mergeCell ref="A60:K60"/>
    <mergeCell ref="A62:K62"/>
    <mergeCell ref="A64:K64"/>
    <mergeCell ref="A66:K66"/>
    <mergeCell ref="A67:K67"/>
    <mergeCell ref="A68:K68"/>
    <mergeCell ref="A1:I1"/>
    <mergeCell ref="A2:I2"/>
    <mergeCell ref="D7:E7"/>
    <mergeCell ref="A51:K51"/>
    <mergeCell ref="A53:K53"/>
  </mergeCells>
  <phoneticPr fontId="3" type="noConversion"/>
  <dataValidations count="1">
    <dataValidation type="list" allowBlank="1" showInputMessage="1" showErrorMessage="1" sqref="G9:G23">
      <formula1>$A$125:$A$128</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8"/>
  <sheetViews>
    <sheetView view="pageBreakPreview" topLeftCell="A43" zoomScaleNormal="120" zoomScaleSheetLayoutView="100" workbookViewId="0">
      <selection activeCell="G10" sqref="G10"/>
    </sheetView>
  </sheetViews>
  <sheetFormatPr defaultRowHeight="15.75"/>
  <cols>
    <col min="1" max="1" width="4.875" style="86" customWidth="1"/>
    <col min="2" max="2" width="53.625" style="86" customWidth="1"/>
    <col min="3" max="3" width="12.375" style="86" customWidth="1"/>
    <col min="4" max="4" width="4.375" style="86" customWidth="1"/>
    <col min="5" max="5" width="32.375" style="86" customWidth="1"/>
    <col min="6" max="6" width="11.375" style="73" customWidth="1"/>
    <col min="7" max="7" width="14" style="86" customWidth="1"/>
    <col min="8" max="8" width="9" style="86" customWidth="1"/>
    <col min="9" max="9" width="13.25" style="86" customWidth="1"/>
    <col min="10" max="16384" width="9" style="86"/>
  </cols>
  <sheetData>
    <row r="1" spans="1:9" ht="21.75" customHeight="1">
      <c r="A1" s="160" t="s">
        <v>21</v>
      </c>
      <c r="B1" s="160"/>
      <c r="C1" s="160"/>
      <c r="D1" s="160"/>
      <c r="E1" s="160"/>
      <c r="F1" s="160"/>
      <c r="G1" s="160"/>
      <c r="H1" s="160"/>
      <c r="I1" s="160"/>
    </row>
    <row r="2" spans="1:9" ht="27.95" customHeight="1">
      <c r="A2" s="161" t="s">
        <v>171</v>
      </c>
      <c r="B2" s="162"/>
      <c r="C2" s="162"/>
      <c r="D2" s="162"/>
      <c r="E2" s="162"/>
      <c r="F2" s="162"/>
      <c r="G2" s="162"/>
      <c r="H2" s="162"/>
      <c r="I2" s="162"/>
    </row>
    <row r="3" spans="1:9" ht="20.100000000000001" customHeight="1">
      <c r="A3" s="87" t="str">
        <f>'B23-9了解职工薪酬循环流程和内部控制记录表'!A3</f>
        <v>客户名称：</v>
      </c>
      <c r="C3" s="87" t="str">
        <f>'B23-9了解职工薪酬循环流程和内部控制记录表'!C3</f>
        <v>编制人：</v>
      </c>
      <c r="E3" s="87" t="str">
        <f>'B23-9了解职工薪酬循环流程和内部控制记录表'!D3</f>
        <v>日 期：</v>
      </c>
      <c r="I3" s="87" t="s">
        <v>208</v>
      </c>
    </row>
    <row r="4" spans="1:9" ht="20.100000000000001" customHeight="1">
      <c r="A4" s="87" t="str">
        <f>'B23-9了解职工薪酬循环流程和内部控制记录表'!A4</f>
        <v>会计期间：2013年度</v>
      </c>
      <c r="C4" s="87" t="s">
        <v>5</v>
      </c>
      <c r="E4" s="87" t="s">
        <v>26</v>
      </c>
      <c r="I4" s="87" t="s">
        <v>27</v>
      </c>
    </row>
    <row r="5" spans="1:9" ht="6" customHeight="1">
      <c r="A5" s="87"/>
      <c r="C5" s="87"/>
      <c r="E5" s="87"/>
      <c r="I5" s="87"/>
    </row>
    <row r="6" spans="1:9" ht="20.100000000000001" customHeight="1">
      <c r="A6" s="107" t="s">
        <v>145</v>
      </c>
      <c r="C6" s="87"/>
      <c r="E6" s="87"/>
      <c r="I6" s="87"/>
    </row>
    <row r="7" spans="1:9" s="88" customFormat="1" ht="56.25" customHeight="1">
      <c r="A7" s="127" t="s">
        <v>121</v>
      </c>
      <c r="B7" s="127" t="s">
        <v>80</v>
      </c>
      <c r="C7" s="127" t="s">
        <v>122</v>
      </c>
      <c r="D7" s="165" t="s">
        <v>87</v>
      </c>
      <c r="E7" s="165"/>
      <c r="F7" s="66" t="s">
        <v>106</v>
      </c>
      <c r="G7" s="66" t="s">
        <v>107</v>
      </c>
      <c r="H7" s="66" t="s">
        <v>108</v>
      </c>
      <c r="I7" s="66" t="s">
        <v>109</v>
      </c>
    </row>
    <row r="8" spans="1:9" s="88" customFormat="1">
      <c r="A8" s="89" t="s">
        <v>123</v>
      </c>
      <c r="B8" s="65"/>
      <c r="C8" s="65"/>
      <c r="D8" s="90"/>
      <c r="E8" s="59"/>
      <c r="F8" s="70"/>
      <c r="G8" s="65"/>
      <c r="H8" s="65"/>
      <c r="I8" s="65"/>
    </row>
    <row r="9" spans="1:9" s="88" customFormat="1" ht="18" customHeight="1">
      <c r="A9" s="91" t="s">
        <v>180</v>
      </c>
      <c r="B9" s="39"/>
      <c r="C9" s="92"/>
      <c r="D9" s="92"/>
      <c r="E9" s="92"/>
      <c r="F9" s="71"/>
      <c r="G9" s="92"/>
      <c r="H9" s="92"/>
      <c r="I9" s="92"/>
    </row>
    <row r="10" spans="1:9" s="88" customFormat="1" ht="18" customHeight="1">
      <c r="A10" s="91"/>
      <c r="B10" s="85" t="s">
        <v>181</v>
      </c>
      <c r="C10" s="92"/>
      <c r="D10" s="92">
        <v>1</v>
      </c>
      <c r="E10" s="92"/>
      <c r="F10" s="72">
        <f>IF(OR(G10&lt;&gt;0,H10&lt;&gt;0,I10&lt;&gt;0),1,0)</f>
        <v>0</v>
      </c>
      <c r="G10" s="92"/>
      <c r="H10" s="92"/>
      <c r="I10" s="92"/>
    </row>
    <row r="11" spans="1:9" s="88" customFormat="1" ht="18" customHeight="1">
      <c r="A11" s="91"/>
      <c r="B11" s="39"/>
      <c r="C11" s="92"/>
      <c r="D11" s="92">
        <v>2</v>
      </c>
      <c r="E11" s="92"/>
      <c r="F11" s="72">
        <f t="shared" ref="F11:F24" si="0">IF(OR(G11&lt;&gt;0,H11&lt;&gt;0,I11&lt;&gt;0),1,0)</f>
        <v>0</v>
      </c>
      <c r="G11" s="92"/>
      <c r="H11" s="92"/>
      <c r="I11" s="92"/>
    </row>
    <row r="12" spans="1:9" s="88" customFormat="1" ht="18" customHeight="1">
      <c r="A12" s="91"/>
      <c r="B12" s="39"/>
      <c r="C12" s="92"/>
      <c r="D12" s="92" t="s">
        <v>14</v>
      </c>
      <c r="E12" s="92"/>
      <c r="F12" s="72">
        <f t="shared" si="0"/>
        <v>0</v>
      </c>
      <c r="G12" s="92"/>
      <c r="H12" s="92"/>
      <c r="I12" s="92"/>
    </row>
    <row r="13" spans="1:9" ht="18" customHeight="1">
      <c r="A13" s="91"/>
      <c r="B13" s="85" t="s">
        <v>182</v>
      </c>
      <c r="C13" s="93"/>
      <c r="D13" s="93"/>
      <c r="E13" s="93"/>
      <c r="F13" s="72">
        <f t="shared" si="0"/>
        <v>0</v>
      </c>
      <c r="G13" s="92"/>
      <c r="H13" s="93"/>
      <c r="I13" s="92"/>
    </row>
    <row r="14" spans="1:9" ht="18" customHeight="1">
      <c r="A14" s="91"/>
      <c r="B14" s="85" t="s">
        <v>183</v>
      </c>
      <c r="C14" s="93"/>
      <c r="D14" s="93"/>
      <c r="E14" s="93"/>
      <c r="F14" s="72">
        <f t="shared" si="0"/>
        <v>0</v>
      </c>
      <c r="G14" s="92"/>
      <c r="H14" s="93"/>
      <c r="I14" s="92"/>
    </row>
    <row r="15" spans="1:9" ht="18" customHeight="1">
      <c r="A15" s="91"/>
      <c r="B15" s="85" t="s">
        <v>184</v>
      </c>
      <c r="C15" s="93"/>
      <c r="D15" s="93"/>
      <c r="E15" s="93"/>
      <c r="F15" s="72">
        <f t="shared" si="0"/>
        <v>0</v>
      </c>
      <c r="G15" s="92"/>
      <c r="H15" s="93"/>
      <c r="I15" s="92"/>
    </row>
    <row r="16" spans="1:9" ht="18" customHeight="1">
      <c r="A16" s="91"/>
      <c r="B16" s="85" t="s">
        <v>185</v>
      </c>
      <c r="C16" s="93"/>
      <c r="D16" s="93"/>
      <c r="E16" s="93"/>
      <c r="F16" s="72">
        <f t="shared" si="0"/>
        <v>0</v>
      </c>
      <c r="G16" s="92"/>
      <c r="H16" s="93"/>
      <c r="I16" s="92"/>
    </row>
    <row r="17" spans="1:9" ht="18" customHeight="1">
      <c r="A17" s="91"/>
      <c r="B17" s="85"/>
      <c r="C17" s="93"/>
      <c r="D17" s="93"/>
      <c r="E17" s="93"/>
      <c r="F17" s="72">
        <f t="shared" si="0"/>
        <v>0</v>
      </c>
      <c r="G17" s="92"/>
      <c r="H17" s="93"/>
      <c r="I17" s="92"/>
    </row>
    <row r="18" spans="1:9" ht="18" customHeight="1">
      <c r="A18" s="91" t="s">
        <v>186</v>
      </c>
      <c r="B18" s="39"/>
      <c r="C18" s="93"/>
      <c r="D18" s="93"/>
      <c r="E18" s="93"/>
      <c r="F18" s="72">
        <f t="shared" si="0"/>
        <v>0</v>
      </c>
      <c r="G18" s="92"/>
      <c r="H18" s="93"/>
      <c r="I18" s="92"/>
    </row>
    <row r="19" spans="1:9" ht="18" customHeight="1">
      <c r="A19" s="91"/>
      <c r="B19" s="85" t="s">
        <v>187</v>
      </c>
      <c r="C19" s="93"/>
      <c r="D19" s="93"/>
      <c r="E19" s="93"/>
      <c r="F19" s="72">
        <f t="shared" si="0"/>
        <v>0</v>
      </c>
      <c r="G19" s="92"/>
      <c r="H19" s="93"/>
      <c r="I19" s="92"/>
    </row>
    <row r="20" spans="1:9" ht="18" customHeight="1">
      <c r="A20" s="91"/>
      <c r="B20" s="39"/>
      <c r="C20" s="93"/>
      <c r="D20" s="93"/>
      <c r="E20" s="93"/>
      <c r="F20" s="72">
        <f t="shared" si="0"/>
        <v>0</v>
      </c>
      <c r="G20" s="92"/>
      <c r="H20" s="93"/>
      <c r="I20" s="92"/>
    </row>
    <row r="21" spans="1:9" ht="18" customHeight="1">
      <c r="A21" s="91" t="s">
        <v>34</v>
      </c>
      <c r="B21" s="39"/>
      <c r="C21" s="93"/>
      <c r="D21" s="93"/>
      <c r="E21" s="93"/>
      <c r="F21" s="72">
        <f t="shared" si="0"/>
        <v>0</v>
      </c>
      <c r="G21" s="92"/>
      <c r="H21" s="93"/>
      <c r="I21" s="92"/>
    </row>
    <row r="22" spans="1:9" ht="18" customHeight="1">
      <c r="A22" s="91"/>
      <c r="B22" s="85" t="s">
        <v>188</v>
      </c>
      <c r="C22" s="93"/>
      <c r="D22" s="93"/>
      <c r="E22" s="93"/>
      <c r="F22" s="72">
        <f t="shared" si="0"/>
        <v>0</v>
      </c>
      <c r="G22" s="92"/>
      <c r="H22" s="93"/>
      <c r="I22" s="92"/>
    </row>
    <row r="23" spans="1:9" ht="18" customHeight="1">
      <c r="A23" s="91"/>
      <c r="B23" s="39"/>
      <c r="C23" s="93"/>
      <c r="D23" s="93"/>
      <c r="E23" s="93"/>
      <c r="F23" s="72">
        <f t="shared" si="0"/>
        <v>0</v>
      </c>
      <c r="G23" s="92"/>
      <c r="H23" s="93"/>
      <c r="I23" s="92"/>
    </row>
    <row r="24" spans="1:9" ht="18" customHeight="1">
      <c r="A24" s="91"/>
      <c r="B24" s="39"/>
      <c r="C24" s="93"/>
      <c r="D24" s="93"/>
      <c r="E24" s="93"/>
      <c r="F24" s="72">
        <f t="shared" si="0"/>
        <v>0</v>
      </c>
      <c r="G24" s="92"/>
      <c r="H24" s="93"/>
      <c r="I24" s="92"/>
    </row>
    <row r="25" spans="1:9" ht="18" customHeight="1">
      <c r="A25" s="110"/>
      <c r="B25" s="109"/>
      <c r="C25" s="108" t="s">
        <v>189</v>
      </c>
      <c r="D25" s="111"/>
      <c r="E25" s="111"/>
      <c r="F25" s="112">
        <f>SUM(F10:F24)</f>
        <v>0</v>
      </c>
      <c r="G25" s="113">
        <f>COUNTA(G10:G24)</f>
        <v>0</v>
      </c>
      <c r="H25" s="113">
        <f>COUNTA(H10:H24)</f>
        <v>0</v>
      </c>
      <c r="I25" s="113">
        <f t="shared" ref="I25" si="1">COUNTA(I10:I24)</f>
        <v>0</v>
      </c>
    </row>
    <row r="26" spans="1:9" ht="18" customHeight="1">
      <c r="A26" s="91"/>
      <c r="B26" s="39"/>
      <c r="C26" s="93"/>
      <c r="D26" s="93"/>
      <c r="E26" s="93"/>
      <c r="F26" s="94"/>
      <c r="G26" s="95" t="e">
        <f>G25/F25</f>
        <v>#DIV/0!</v>
      </c>
      <c r="H26" s="95" t="e">
        <f>H25/F25</f>
        <v>#DIV/0!</v>
      </c>
      <c r="I26" s="95" t="e">
        <f>I25/F25</f>
        <v>#DIV/0!</v>
      </c>
    </row>
    <row r="27" spans="1:9" ht="18" customHeight="1">
      <c r="A27" s="91"/>
      <c r="B27" s="39"/>
      <c r="C27" s="93"/>
      <c r="D27" s="93"/>
      <c r="E27" s="93"/>
      <c r="F27" s="115" t="s">
        <v>143</v>
      </c>
      <c r="G27" s="96" t="s">
        <v>110</v>
      </c>
      <c r="H27" s="96" t="s">
        <v>111</v>
      </c>
      <c r="I27" s="96" t="s">
        <v>112</v>
      </c>
    </row>
    <row r="28" spans="1:9" ht="18" customHeight="1">
      <c r="A28" s="97" t="s">
        <v>190</v>
      </c>
      <c r="B28" s="39"/>
      <c r="C28" s="93"/>
      <c r="D28" s="93"/>
      <c r="E28" s="93"/>
      <c r="F28" s="72"/>
      <c r="G28" s="93"/>
      <c r="H28" s="93"/>
      <c r="I28" s="92"/>
    </row>
    <row r="29" spans="1:9" s="88" customFormat="1" ht="18" customHeight="1">
      <c r="A29" s="91" t="s">
        <v>180</v>
      </c>
      <c r="B29" s="39"/>
      <c r="C29" s="92"/>
      <c r="D29" s="92"/>
      <c r="E29" s="92"/>
      <c r="F29" s="71"/>
      <c r="G29" s="92"/>
      <c r="H29" s="92"/>
      <c r="I29" s="92"/>
    </row>
    <row r="30" spans="1:9" s="88" customFormat="1" ht="18" customHeight="1">
      <c r="A30" s="91"/>
      <c r="B30" s="85" t="s">
        <v>181</v>
      </c>
      <c r="C30" s="92"/>
      <c r="D30" s="92">
        <v>1</v>
      </c>
      <c r="E30" s="92"/>
      <c r="F30" s="72">
        <f>IF(OR(G30&lt;&gt;0,H30&lt;&gt;0,I30&lt;&gt;0),1,0)</f>
        <v>0</v>
      </c>
      <c r="G30" s="92"/>
      <c r="H30" s="92"/>
      <c r="I30" s="92"/>
    </row>
    <row r="31" spans="1:9" s="88" customFormat="1" ht="18" customHeight="1">
      <c r="A31" s="91"/>
      <c r="B31" s="39"/>
      <c r="C31" s="92"/>
      <c r="D31" s="92">
        <v>2</v>
      </c>
      <c r="E31" s="92"/>
      <c r="F31" s="72">
        <f t="shared" ref="F31:F44" si="2">IF(OR(G31&lt;&gt;0,H31&lt;&gt;0,I31&lt;&gt;0),1,0)</f>
        <v>0</v>
      </c>
      <c r="G31" s="92"/>
      <c r="H31" s="92"/>
      <c r="I31" s="92"/>
    </row>
    <row r="32" spans="1:9" s="88" customFormat="1" ht="18" customHeight="1">
      <c r="A32" s="91"/>
      <c r="B32" s="39"/>
      <c r="C32" s="92"/>
      <c r="D32" s="92" t="s">
        <v>14</v>
      </c>
      <c r="E32" s="92"/>
      <c r="F32" s="72">
        <f t="shared" si="2"/>
        <v>0</v>
      </c>
      <c r="G32" s="92"/>
      <c r="H32" s="92"/>
      <c r="I32" s="92"/>
    </row>
    <row r="33" spans="1:9" ht="18" customHeight="1">
      <c r="A33" s="91"/>
      <c r="B33" s="85" t="s">
        <v>182</v>
      </c>
      <c r="C33" s="93"/>
      <c r="D33" s="93"/>
      <c r="E33" s="93"/>
      <c r="F33" s="72">
        <f t="shared" si="2"/>
        <v>0</v>
      </c>
      <c r="G33" s="92"/>
      <c r="H33" s="93"/>
      <c r="I33" s="92"/>
    </row>
    <row r="34" spans="1:9" ht="18" customHeight="1">
      <c r="A34" s="91"/>
      <c r="B34" s="85" t="s">
        <v>183</v>
      </c>
      <c r="C34" s="93"/>
      <c r="D34" s="93"/>
      <c r="E34" s="93"/>
      <c r="F34" s="72">
        <f t="shared" si="2"/>
        <v>0</v>
      </c>
      <c r="G34" s="92"/>
      <c r="H34" s="93"/>
      <c r="I34" s="92"/>
    </row>
    <row r="35" spans="1:9" ht="18" customHeight="1">
      <c r="A35" s="91"/>
      <c r="B35" s="85" t="s">
        <v>184</v>
      </c>
      <c r="C35" s="93"/>
      <c r="D35" s="93"/>
      <c r="E35" s="93"/>
      <c r="F35" s="72">
        <f t="shared" si="2"/>
        <v>0</v>
      </c>
      <c r="G35" s="92"/>
      <c r="H35" s="93"/>
      <c r="I35" s="92"/>
    </row>
    <row r="36" spans="1:9" ht="18" customHeight="1">
      <c r="A36" s="91"/>
      <c r="B36" s="85" t="s">
        <v>185</v>
      </c>
      <c r="C36" s="93"/>
      <c r="D36" s="93"/>
      <c r="E36" s="93"/>
      <c r="F36" s="72">
        <f t="shared" si="2"/>
        <v>0</v>
      </c>
      <c r="G36" s="92"/>
      <c r="H36" s="93"/>
      <c r="I36" s="92"/>
    </row>
    <row r="37" spans="1:9" ht="18" customHeight="1">
      <c r="A37" s="91"/>
      <c r="B37" s="85"/>
      <c r="C37" s="93"/>
      <c r="D37" s="93"/>
      <c r="E37" s="93"/>
      <c r="F37" s="72">
        <f t="shared" si="2"/>
        <v>0</v>
      </c>
      <c r="G37" s="92"/>
      <c r="H37" s="93"/>
      <c r="I37" s="92"/>
    </row>
    <row r="38" spans="1:9" ht="18" customHeight="1">
      <c r="A38" s="91" t="s">
        <v>186</v>
      </c>
      <c r="B38" s="39"/>
      <c r="C38" s="93"/>
      <c r="D38" s="93"/>
      <c r="E38" s="93"/>
      <c r="F38" s="72">
        <f t="shared" si="2"/>
        <v>0</v>
      </c>
      <c r="G38" s="92"/>
      <c r="H38" s="93"/>
      <c r="I38" s="92"/>
    </row>
    <row r="39" spans="1:9" ht="18" customHeight="1">
      <c r="A39" s="91"/>
      <c r="B39" s="85" t="s">
        <v>191</v>
      </c>
      <c r="C39" s="93"/>
      <c r="D39" s="93"/>
      <c r="E39" s="93"/>
      <c r="F39" s="72">
        <f t="shared" si="2"/>
        <v>0</v>
      </c>
      <c r="G39" s="92"/>
      <c r="H39" s="93"/>
      <c r="I39" s="92"/>
    </row>
    <row r="40" spans="1:9" ht="18" customHeight="1">
      <c r="A40" s="91"/>
      <c r="B40" s="39"/>
      <c r="C40" s="93"/>
      <c r="D40" s="93"/>
      <c r="E40" s="93"/>
      <c r="F40" s="72">
        <f t="shared" si="2"/>
        <v>0</v>
      </c>
      <c r="G40" s="92"/>
      <c r="H40" s="93"/>
      <c r="I40" s="92"/>
    </row>
    <row r="41" spans="1:9" ht="18" customHeight="1">
      <c r="A41" s="91" t="s">
        <v>34</v>
      </c>
      <c r="B41" s="39"/>
      <c r="C41" s="93"/>
      <c r="D41" s="93"/>
      <c r="E41" s="93"/>
      <c r="F41" s="72">
        <f>IF(OR(G41&lt;&gt;0,H41&lt;&gt;0,I41&lt;&gt;0),1,0)</f>
        <v>0</v>
      </c>
      <c r="G41" s="92"/>
      <c r="H41" s="93"/>
      <c r="I41" s="92"/>
    </row>
    <row r="42" spans="1:9" ht="18" customHeight="1">
      <c r="A42" s="91"/>
      <c r="B42" s="85" t="s">
        <v>188</v>
      </c>
      <c r="C42" s="93"/>
      <c r="D42" s="93"/>
      <c r="E42" s="93"/>
      <c r="F42" s="72">
        <f t="shared" si="2"/>
        <v>0</v>
      </c>
      <c r="G42" s="92"/>
      <c r="H42" s="93"/>
      <c r="I42" s="92"/>
    </row>
    <row r="43" spans="1:9" ht="18" customHeight="1">
      <c r="A43" s="91"/>
      <c r="B43" s="39"/>
      <c r="C43" s="93"/>
      <c r="D43" s="93"/>
      <c r="E43" s="93"/>
      <c r="F43" s="72">
        <f t="shared" si="2"/>
        <v>0</v>
      </c>
      <c r="G43" s="92"/>
      <c r="H43" s="93"/>
      <c r="I43" s="92"/>
    </row>
    <row r="44" spans="1:9" ht="18" customHeight="1">
      <c r="A44" s="91"/>
      <c r="B44" s="39"/>
      <c r="C44" s="93"/>
      <c r="D44" s="93"/>
      <c r="E44" s="93"/>
      <c r="F44" s="72">
        <f t="shared" si="2"/>
        <v>0</v>
      </c>
      <c r="G44" s="92"/>
      <c r="H44" s="93"/>
      <c r="I44" s="92"/>
    </row>
    <row r="45" spans="1:9" ht="18" customHeight="1">
      <c r="A45" s="110"/>
      <c r="B45" s="114"/>
      <c r="C45" s="108" t="s">
        <v>142</v>
      </c>
      <c r="D45" s="111"/>
      <c r="E45" s="111"/>
      <c r="F45" s="112">
        <f>SUM(F30:F44)</f>
        <v>0</v>
      </c>
      <c r="G45" s="113">
        <f>COUNTA(G30:G44)</f>
        <v>0</v>
      </c>
      <c r="H45" s="113">
        <f>COUNTA(H30:H44)</f>
        <v>0</v>
      </c>
      <c r="I45" s="113">
        <f t="shared" ref="I45" si="3">COUNTA(I30:I44)</f>
        <v>0</v>
      </c>
    </row>
    <row r="46" spans="1:9" ht="18" customHeight="1">
      <c r="A46" s="91"/>
      <c r="B46" s="39"/>
      <c r="C46" s="93"/>
      <c r="D46" s="93"/>
      <c r="E46" s="93"/>
      <c r="F46" s="94"/>
      <c r="G46" s="95" t="e">
        <f>G45/F45</f>
        <v>#DIV/0!</v>
      </c>
      <c r="H46" s="95" t="e">
        <f>H45/F45</f>
        <v>#DIV/0!</v>
      </c>
      <c r="I46" s="95" t="e">
        <f>I45/F45</f>
        <v>#DIV/0!</v>
      </c>
    </row>
    <row r="47" spans="1:9">
      <c r="A47" s="98"/>
      <c r="B47" s="98"/>
      <c r="C47" s="98"/>
      <c r="D47" s="98"/>
      <c r="E47" s="98"/>
      <c r="F47" s="115" t="s">
        <v>144</v>
      </c>
      <c r="G47" s="96" t="s">
        <v>113</v>
      </c>
      <c r="H47" s="96" t="s">
        <v>113</v>
      </c>
      <c r="I47" s="96" t="s">
        <v>113</v>
      </c>
    </row>
    <row r="48" spans="1:9">
      <c r="A48" s="99" t="s">
        <v>25</v>
      </c>
    </row>
    <row r="49" spans="1:11">
      <c r="A49" s="100" t="s">
        <v>35</v>
      </c>
    </row>
    <row r="50" spans="1:11">
      <c r="A50" s="100" t="s">
        <v>36</v>
      </c>
    </row>
    <row r="51" spans="1:11">
      <c r="A51" s="100" t="s">
        <v>37</v>
      </c>
    </row>
    <row r="52" spans="1:11">
      <c r="A52" s="100" t="s">
        <v>38</v>
      </c>
    </row>
    <row r="53" spans="1:11">
      <c r="A53" s="100" t="s">
        <v>39</v>
      </c>
    </row>
    <row r="54" spans="1:11">
      <c r="A54" s="100" t="s">
        <v>40</v>
      </c>
    </row>
    <row r="55" spans="1:11">
      <c r="A55" s="100" t="s">
        <v>41</v>
      </c>
    </row>
    <row r="56" spans="1:11">
      <c r="A56" s="100" t="s">
        <v>42</v>
      </c>
    </row>
    <row r="57" spans="1:11">
      <c r="A57" s="100" t="s">
        <v>43</v>
      </c>
    </row>
    <row r="58" spans="1:11">
      <c r="A58" s="100" t="s">
        <v>44</v>
      </c>
    </row>
    <row r="59" spans="1:11">
      <c r="A59" s="100" t="s">
        <v>45</v>
      </c>
    </row>
    <row r="60" spans="1:11">
      <c r="A60" s="100" t="s">
        <v>46</v>
      </c>
    </row>
    <row r="61" spans="1:11">
      <c r="A61" s="100" t="s">
        <v>47</v>
      </c>
    </row>
    <row r="62" spans="1:11">
      <c r="A62" s="100" t="s">
        <v>48</v>
      </c>
    </row>
    <row r="63" spans="1:11">
      <c r="A63" s="121" t="s">
        <v>161</v>
      </c>
      <c r="B63" s="101"/>
      <c r="C63" s="101"/>
      <c r="D63" s="101"/>
      <c r="E63" s="101"/>
      <c r="F63" s="74"/>
      <c r="G63" s="101"/>
      <c r="H63" s="101"/>
      <c r="I63" s="101"/>
      <c r="J63" s="101"/>
      <c r="K63" s="101"/>
    </row>
    <row r="64" spans="1:11">
      <c r="A64" s="102" t="s">
        <v>49</v>
      </c>
      <c r="B64" s="102"/>
    </row>
    <row r="65" spans="1:11">
      <c r="A65" s="102" t="s">
        <v>50</v>
      </c>
      <c r="B65" s="102"/>
    </row>
    <row r="66" spans="1:11">
      <c r="A66" s="102" t="s">
        <v>51</v>
      </c>
      <c r="B66" s="102"/>
    </row>
    <row r="67" spans="1:11">
      <c r="A67" s="103" t="s">
        <v>52</v>
      </c>
      <c r="B67" s="103" t="s">
        <v>53</v>
      </c>
    </row>
    <row r="68" spans="1:11">
      <c r="A68" s="104">
        <v>1</v>
      </c>
      <c r="B68" s="104" t="s">
        <v>54</v>
      </c>
    </row>
    <row r="69" spans="1:11">
      <c r="A69" s="104">
        <v>2</v>
      </c>
      <c r="B69" s="104" t="s">
        <v>55</v>
      </c>
    </row>
    <row r="70" spans="1:11">
      <c r="A70" s="104">
        <v>3</v>
      </c>
      <c r="B70" s="104" t="s">
        <v>56</v>
      </c>
    </row>
    <row r="71" spans="1:11">
      <c r="A71" s="104">
        <v>4</v>
      </c>
      <c r="B71" s="104" t="s">
        <v>57</v>
      </c>
    </row>
    <row r="72" spans="1:11" ht="106.5" customHeight="1">
      <c r="A72" s="166" t="s">
        <v>149</v>
      </c>
      <c r="B72" s="166"/>
      <c r="C72" s="166"/>
      <c r="D72" s="166"/>
      <c r="E72" s="166"/>
      <c r="F72" s="166"/>
      <c r="G72" s="166"/>
      <c r="H72" s="166"/>
      <c r="I72" s="166"/>
      <c r="J72" s="166"/>
      <c r="K72" s="166"/>
    </row>
    <row r="73" spans="1:11" ht="21.75" customHeight="1">
      <c r="A73" s="105" t="s">
        <v>61</v>
      </c>
      <c r="B73" s="105"/>
      <c r="C73" s="105"/>
      <c r="D73" s="105"/>
      <c r="E73" s="105"/>
      <c r="F73" s="75"/>
      <c r="G73" s="105"/>
      <c r="H73" s="105"/>
      <c r="I73" s="105"/>
      <c r="J73" s="105"/>
      <c r="K73" s="105"/>
    </row>
    <row r="74" spans="1:11" ht="25.5" customHeight="1">
      <c r="A74" s="166" t="s">
        <v>62</v>
      </c>
      <c r="B74" s="166"/>
      <c r="C74" s="166"/>
      <c r="D74" s="166"/>
      <c r="E74" s="166"/>
      <c r="F74" s="166"/>
      <c r="G74" s="166"/>
      <c r="H74" s="166"/>
      <c r="I74" s="166"/>
      <c r="J74" s="166"/>
      <c r="K74" s="166"/>
    </row>
    <row r="75" spans="1:11" ht="25.5" customHeight="1">
      <c r="A75" s="105" t="s">
        <v>63</v>
      </c>
      <c r="B75" s="105"/>
      <c r="C75" s="105"/>
      <c r="D75" s="105"/>
      <c r="E75" s="105"/>
      <c r="F75" s="75"/>
      <c r="G75" s="105"/>
      <c r="H75" s="105"/>
      <c r="I75" s="105"/>
      <c r="J75" s="105"/>
      <c r="K75" s="105"/>
    </row>
    <row r="76" spans="1:11" ht="25.5" customHeight="1">
      <c r="A76" s="166" t="s">
        <v>64</v>
      </c>
      <c r="B76" s="166"/>
      <c r="C76" s="166"/>
      <c r="D76" s="166"/>
      <c r="E76" s="166"/>
      <c r="F76" s="166"/>
      <c r="G76" s="166"/>
      <c r="H76" s="166"/>
      <c r="I76" s="166"/>
      <c r="J76" s="166"/>
      <c r="K76" s="166"/>
    </row>
    <row r="77" spans="1:11" ht="34.5" customHeight="1">
      <c r="A77" s="166" t="s">
        <v>65</v>
      </c>
      <c r="B77" s="166"/>
      <c r="C77" s="166"/>
      <c r="D77" s="166"/>
      <c r="E77" s="166"/>
      <c r="F77" s="166"/>
      <c r="G77" s="166"/>
      <c r="H77" s="166"/>
      <c r="I77" s="166"/>
      <c r="J77" s="166"/>
      <c r="K77" s="166"/>
    </row>
    <row r="78" spans="1:11" ht="25.5" customHeight="1">
      <c r="A78" s="166" t="s">
        <v>66</v>
      </c>
      <c r="B78" s="166"/>
      <c r="C78" s="166"/>
      <c r="D78" s="166"/>
      <c r="E78" s="166"/>
      <c r="F78" s="166"/>
      <c r="G78" s="166"/>
      <c r="H78" s="166"/>
      <c r="I78" s="166"/>
      <c r="J78" s="166"/>
      <c r="K78" s="166"/>
    </row>
    <row r="79" spans="1:11" ht="25.5" customHeight="1">
      <c r="A79" s="105" t="s">
        <v>67</v>
      </c>
      <c r="B79" s="105"/>
      <c r="C79" s="105"/>
      <c r="D79" s="105"/>
      <c r="E79" s="105"/>
      <c r="F79" s="75"/>
      <c r="G79" s="105"/>
      <c r="H79" s="105"/>
      <c r="I79" s="105"/>
      <c r="J79" s="105"/>
      <c r="K79" s="105"/>
    </row>
    <row r="80" spans="1:11" ht="113.25" customHeight="1">
      <c r="A80" s="166" t="s">
        <v>68</v>
      </c>
      <c r="B80" s="166"/>
      <c r="C80" s="166"/>
      <c r="D80" s="166"/>
      <c r="E80" s="166"/>
      <c r="F80" s="166"/>
      <c r="G80" s="166"/>
      <c r="H80" s="166"/>
      <c r="I80" s="166"/>
      <c r="J80" s="166"/>
      <c r="K80" s="166"/>
    </row>
    <row r="81" spans="1:11" ht="25.5" customHeight="1">
      <c r="A81" s="166" t="s">
        <v>69</v>
      </c>
      <c r="B81" s="166"/>
      <c r="C81" s="166"/>
      <c r="D81" s="166"/>
      <c r="E81" s="166"/>
      <c r="F81" s="166"/>
      <c r="G81" s="166"/>
      <c r="H81" s="166"/>
      <c r="I81" s="166"/>
      <c r="J81" s="166"/>
      <c r="K81" s="166"/>
    </row>
    <row r="82" spans="1:11" ht="25.5" customHeight="1">
      <c r="A82" s="105" t="s">
        <v>70</v>
      </c>
      <c r="B82" s="105"/>
      <c r="C82" s="105"/>
      <c r="D82" s="105"/>
      <c r="E82" s="105"/>
      <c r="F82" s="75"/>
      <c r="G82" s="105"/>
      <c r="H82" s="105"/>
      <c r="I82" s="105"/>
      <c r="J82" s="105"/>
      <c r="K82" s="105"/>
    </row>
    <row r="83" spans="1:11" ht="25.5" customHeight="1">
      <c r="A83" s="166" t="s">
        <v>71</v>
      </c>
      <c r="B83" s="166"/>
      <c r="C83" s="166"/>
      <c r="D83" s="166"/>
      <c r="E83" s="166"/>
      <c r="F83" s="166"/>
      <c r="G83" s="166"/>
      <c r="H83" s="166"/>
      <c r="I83" s="166"/>
      <c r="J83" s="166"/>
      <c r="K83" s="166"/>
    </row>
    <row r="84" spans="1:11" ht="25.5" customHeight="1">
      <c r="A84" s="166" t="s">
        <v>72</v>
      </c>
      <c r="B84" s="166"/>
      <c r="C84" s="166"/>
      <c r="D84" s="166"/>
      <c r="E84" s="166"/>
      <c r="F84" s="166"/>
      <c r="G84" s="166"/>
      <c r="H84" s="166"/>
      <c r="I84" s="166"/>
      <c r="J84" s="166"/>
      <c r="K84" s="166"/>
    </row>
    <row r="85" spans="1:11" ht="25.5" customHeight="1">
      <c r="A85" s="166" t="s">
        <v>74</v>
      </c>
      <c r="B85" s="166"/>
      <c r="C85" s="166"/>
      <c r="D85" s="166"/>
      <c r="E85" s="166"/>
      <c r="F85" s="166"/>
      <c r="G85" s="166"/>
      <c r="H85" s="166"/>
      <c r="I85" s="166"/>
      <c r="J85" s="166"/>
      <c r="K85" s="166"/>
    </row>
    <row r="86" spans="1:11" ht="25.5" customHeight="1">
      <c r="A86" s="105" t="s">
        <v>73</v>
      </c>
      <c r="B86" s="105"/>
      <c r="C86" s="105"/>
      <c r="D86" s="105"/>
      <c r="E86" s="105"/>
      <c r="F86" s="75"/>
      <c r="G86" s="105"/>
      <c r="H86" s="105"/>
      <c r="I86" s="105"/>
      <c r="J86" s="105"/>
      <c r="K86" s="105"/>
    </row>
    <row r="87" spans="1:11" ht="104.25" customHeight="1">
      <c r="A87" s="166" t="s">
        <v>75</v>
      </c>
      <c r="B87" s="166"/>
      <c r="C87" s="166"/>
      <c r="D87" s="166"/>
      <c r="E87" s="166"/>
      <c r="F87" s="166"/>
      <c r="G87" s="166"/>
      <c r="H87" s="166"/>
      <c r="I87" s="166"/>
      <c r="J87" s="166"/>
      <c r="K87" s="166"/>
    </row>
    <row r="88" spans="1:11" ht="25.5" customHeight="1">
      <c r="A88" s="166" t="s">
        <v>76</v>
      </c>
      <c r="B88" s="166"/>
      <c r="C88" s="166"/>
      <c r="D88" s="166"/>
      <c r="E88" s="166"/>
      <c r="F88" s="166"/>
      <c r="G88" s="166"/>
      <c r="H88" s="166"/>
      <c r="I88" s="166"/>
      <c r="J88" s="166"/>
      <c r="K88" s="166"/>
    </row>
    <row r="89" spans="1:11" ht="25.5" customHeight="1">
      <c r="A89" s="166" t="s">
        <v>77</v>
      </c>
      <c r="B89" s="166"/>
      <c r="C89" s="166"/>
      <c r="D89" s="166"/>
      <c r="E89" s="166"/>
      <c r="F89" s="166"/>
      <c r="G89" s="166"/>
      <c r="H89" s="166"/>
      <c r="I89" s="166"/>
      <c r="J89" s="166"/>
      <c r="K89" s="166"/>
    </row>
    <row r="90" spans="1:11" ht="25.5" customHeight="1">
      <c r="A90" s="105" t="s">
        <v>78</v>
      </c>
      <c r="B90" s="105"/>
      <c r="C90" s="105"/>
      <c r="D90" s="105"/>
      <c r="E90" s="105"/>
      <c r="F90" s="75"/>
      <c r="G90" s="105"/>
      <c r="H90" s="105"/>
      <c r="I90" s="105"/>
      <c r="J90" s="105"/>
      <c r="K90" s="105"/>
    </row>
    <row r="91" spans="1:11" ht="25.5" customHeight="1">
      <c r="A91" s="166" t="s">
        <v>79</v>
      </c>
      <c r="B91" s="166"/>
      <c r="C91" s="166"/>
      <c r="D91" s="166"/>
      <c r="E91" s="166"/>
      <c r="F91" s="166"/>
      <c r="G91" s="166"/>
      <c r="H91" s="166"/>
      <c r="I91" s="166"/>
      <c r="J91" s="166"/>
      <c r="K91" s="166"/>
    </row>
    <row r="92" spans="1:11" ht="19.5" customHeight="1">
      <c r="A92" s="121" t="s">
        <v>162</v>
      </c>
      <c r="B92" s="128"/>
      <c r="C92" s="128"/>
      <c r="D92" s="128"/>
      <c r="E92" s="128"/>
      <c r="F92" s="128"/>
      <c r="G92" s="128"/>
      <c r="H92" s="128"/>
      <c r="I92" s="128"/>
      <c r="J92" s="128"/>
      <c r="K92" s="128"/>
    </row>
    <row r="93" spans="1:11" ht="18.75" customHeight="1" thickBot="1">
      <c r="A93" s="173" t="s">
        <v>163</v>
      </c>
      <c r="B93" s="174"/>
      <c r="C93" s="174"/>
      <c r="D93" s="174"/>
      <c r="E93" s="174"/>
      <c r="F93" s="174"/>
      <c r="G93" s="174"/>
    </row>
    <row r="94" spans="1:11" s="87" customFormat="1" ht="33" customHeight="1" thickBot="1">
      <c r="B94" s="171" t="s">
        <v>159</v>
      </c>
      <c r="C94" s="171" t="s">
        <v>164</v>
      </c>
      <c r="D94" s="171"/>
      <c r="E94" s="171"/>
      <c r="F94" s="76"/>
    </row>
    <row r="95" spans="1:11" s="87" customFormat="1" ht="37.5" customHeight="1" thickBot="1">
      <c r="B95" s="171"/>
      <c r="C95" s="171" t="s">
        <v>165</v>
      </c>
      <c r="D95" s="171"/>
      <c r="E95" s="130" t="s">
        <v>160</v>
      </c>
      <c r="F95" s="76"/>
    </row>
    <row r="96" spans="1:11" s="87" customFormat="1" ht="18.75" customHeight="1" thickBot="1">
      <c r="B96" s="120" t="s">
        <v>150</v>
      </c>
      <c r="C96" s="172" t="s">
        <v>151</v>
      </c>
      <c r="D96" s="172"/>
      <c r="E96" s="129" t="s">
        <v>152</v>
      </c>
      <c r="F96" s="76"/>
    </row>
    <row r="97" spans="2:6" s="87" customFormat="1" ht="18.75" customHeight="1" thickBot="1">
      <c r="B97" s="120" t="s">
        <v>153</v>
      </c>
      <c r="C97" s="172" t="s">
        <v>154</v>
      </c>
      <c r="D97" s="172"/>
      <c r="E97" s="129" t="s">
        <v>152</v>
      </c>
      <c r="F97" s="76"/>
    </row>
    <row r="98" spans="2:6" s="87" customFormat="1" ht="18.75" customHeight="1" thickBot="1">
      <c r="B98" s="120" t="s">
        <v>155</v>
      </c>
      <c r="C98" s="172" t="s">
        <v>156</v>
      </c>
      <c r="D98" s="172"/>
      <c r="E98" s="129" t="s">
        <v>152</v>
      </c>
      <c r="F98" s="76"/>
    </row>
    <row r="99" spans="2:6" s="87" customFormat="1" ht="30.75" customHeight="1" thickBot="1">
      <c r="B99" s="170" t="s">
        <v>157</v>
      </c>
      <c r="C99" s="170"/>
      <c r="D99" s="170"/>
      <c r="E99" s="170"/>
      <c r="F99" s="76"/>
    </row>
    <row r="100" spans="2:6" s="87" customFormat="1" ht="33" customHeight="1" thickBot="1">
      <c r="B100" s="170" t="s">
        <v>158</v>
      </c>
      <c r="C100" s="170"/>
      <c r="D100" s="170"/>
      <c r="E100" s="170"/>
      <c r="F100" s="76"/>
    </row>
    <row r="101" spans="2:6" s="87" customFormat="1" ht="18.75" customHeight="1">
      <c r="F101" s="76"/>
    </row>
    <row r="102" spans="2:6" s="87" customFormat="1" ht="18.75" customHeight="1">
      <c r="F102" s="76"/>
    </row>
    <row r="103" spans="2:6" s="87" customFormat="1" ht="18.75" customHeight="1">
      <c r="F103" s="76"/>
    </row>
    <row r="104" spans="2:6" s="87" customFormat="1" ht="18.75" customHeight="1">
      <c r="F104" s="76"/>
    </row>
    <row r="105" spans="2:6" s="87" customFormat="1" ht="18.75" customHeight="1">
      <c r="F105" s="76"/>
    </row>
    <row r="106" spans="2:6" s="87" customFormat="1" ht="18.75" customHeight="1">
      <c r="F106" s="76"/>
    </row>
    <row r="107" spans="2:6" s="87" customFormat="1" ht="18.75" customHeight="1">
      <c r="F107" s="76"/>
    </row>
    <row r="108" spans="2:6" s="87" customFormat="1" ht="18.75" customHeight="1">
      <c r="F108" s="76"/>
    </row>
    <row r="109" spans="2:6" s="87" customFormat="1" ht="18.75" customHeight="1">
      <c r="F109" s="76"/>
    </row>
    <row r="110" spans="2:6" s="87" customFormat="1" ht="18.75" customHeight="1">
      <c r="F110" s="76"/>
    </row>
    <row r="111" spans="2:6" s="87" customFormat="1" ht="18.75" customHeight="1">
      <c r="F111" s="76"/>
    </row>
    <row r="112" spans="2:6" s="87" customFormat="1" ht="18.75" customHeight="1">
      <c r="F112" s="76"/>
    </row>
    <row r="113" spans="6:6" s="87" customFormat="1" ht="18.75" customHeight="1">
      <c r="F113" s="76"/>
    </row>
    <row r="114" spans="6:6" s="87" customFormat="1" ht="18.75" customHeight="1">
      <c r="F114" s="76"/>
    </row>
    <row r="115" spans="6:6" s="87" customFormat="1" ht="18.75" customHeight="1">
      <c r="F115" s="76"/>
    </row>
    <row r="116" spans="6:6" s="87" customFormat="1" ht="18.75" customHeight="1">
      <c r="F116" s="76"/>
    </row>
    <row r="117" spans="6:6" s="87" customFormat="1" ht="18.75" customHeight="1">
      <c r="F117" s="76"/>
    </row>
    <row r="118" spans="6:6" s="87" customFormat="1" ht="18.75" customHeight="1">
      <c r="F118" s="76"/>
    </row>
    <row r="119" spans="6:6" s="87" customFormat="1" ht="18.75" customHeight="1">
      <c r="F119" s="76"/>
    </row>
    <row r="120" spans="6:6" s="87" customFormat="1" ht="18.75" customHeight="1">
      <c r="F120" s="76"/>
    </row>
    <row r="121" spans="6:6" s="87" customFormat="1" ht="18.75" customHeight="1">
      <c r="F121" s="76"/>
    </row>
    <row r="122" spans="6:6" s="87" customFormat="1" ht="18.75" customHeight="1">
      <c r="F122" s="76"/>
    </row>
    <row r="123" spans="6:6" s="87" customFormat="1" ht="18.75" customHeight="1">
      <c r="F123" s="76"/>
    </row>
    <row r="124" spans="6:6" s="87" customFormat="1" ht="18.75" customHeight="1">
      <c r="F124" s="76"/>
    </row>
    <row r="125" spans="6:6" s="87" customFormat="1" ht="18.75" customHeight="1">
      <c r="F125" s="76"/>
    </row>
    <row r="126" spans="6:6" s="87" customFormat="1" ht="18.75" customHeight="1">
      <c r="F126" s="76"/>
    </row>
    <row r="127" spans="6:6" s="87" customFormat="1" ht="18.75" customHeight="1">
      <c r="F127" s="76"/>
    </row>
    <row r="128" spans="6:6" s="87" customFormat="1" ht="18.75" customHeight="1">
      <c r="F128" s="76"/>
    </row>
    <row r="129" spans="1:6" s="87" customFormat="1" ht="18.75" customHeight="1">
      <c r="F129" s="76"/>
    </row>
    <row r="130" spans="1:6" s="87" customFormat="1" ht="18.75" customHeight="1">
      <c r="F130" s="76"/>
    </row>
    <row r="131" spans="1:6" s="87" customFormat="1" ht="18.75" customHeight="1">
      <c r="F131" s="76"/>
    </row>
    <row r="132" spans="1:6" s="87" customFormat="1" ht="18.75" customHeight="1">
      <c r="F132" s="76"/>
    </row>
    <row r="133" spans="1:6" s="87" customFormat="1" ht="18.75" customHeight="1">
      <c r="F133" s="76"/>
    </row>
    <row r="134" spans="1:6" s="87" customFormat="1" ht="18.75" customHeight="1">
      <c r="F134" s="76"/>
    </row>
    <row r="135" spans="1:6" s="87" customFormat="1" ht="18.75" customHeight="1">
      <c r="F135" s="76"/>
    </row>
    <row r="136" spans="1:6" s="87" customFormat="1" ht="12.75">
      <c r="F136" s="76"/>
    </row>
    <row r="137" spans="1:6" s="87" customFormat="1" ht="12.75">
      <c r="F137" s="76"/>
    </row>
    <row r="138" spans="1:6" s="87" customFormat="1" ht="12.75">
      <c r="F138" s="76"/>
    </row>
    <row r="139" spans="1:6" s="87" customFormat="1" ht="12.75">
      <c r="F139" s="76"/>
    </row>
    <row r="140" spans="1:6" s="87" customFormat="1" ht="12.75">
      <c r="F140" s="76"/>
    </row>
    <row r="141" spans="1:6" s="87" customFormat="1" ht="12.75">
      <c r="F141" s="76"/>
    </row>
    <row r="142" spans="1:6" s="87" customFormat="1" ht="12.75">
      <c r="F142" s="76"/>
    </row>
    <row r="143" spans="1:6" s="87" customFormat="1" ht="12.75">
      <c r="A143" s="106" t="s">
        <v>81</v>
      </c>
      <c r="F143" s="76"/>
    </row>
    <row r="144" spans="1:6" s="87" customFormat="1" ht="12.75">
      <c r="A144" s="87" t="s">
        <v>82</v>
      </c>
      <c r="F144" s="76"/>
    </row>
    <row r="145" spans="1:6" s="87" customFormat="1" ht="12.75">
      <c r="F145" s="76"/>
    </row>
    <row r="146" spans="1:6" s="87" customFormat="1" ht="12.75">
      <c r="F146" s="76"/>
    </row>
    <row r="147" spans="1:6" s="87" customFormat="1" ht="12.75">
      <c r="F147" s="76"/>
    </row>
    <row r="148" spans="1:6" s="87" customFormat="1" ht="12.75">
      <c r="F148" s="76"/>
    </row>
    <row r="149" spans="1:6" s="87" customFormat="1" ht="12.75">
      <c r="F149" s="76"/>
    </row>
    <row r="150" spans="1:6" s="87" customFormat="1" ht="12.75">
      <c r="A150" s="87" t="s">
        <v>83</v>
      </c>
      <c r="F150" s="76"/>
    </row>
    <row r="151" spans="1:6" s="87" customFormat="1" ht="12.75">
      <c r="A151" s="106" t="s">
        <v>84</v>
      </c>
      <c r="F151" s="76"/>
    </row>
    <row r="152" spans="1:6" s="87" customFormat="1" ht="12.75">
      <c r="A152" s="106" t="s">
        <v>85</v>
      </c>
      <c r="F152" s="76"/>
    </row>
    <row r="153" spans="1:6" s="87" customFormat="1" ht="12.75">
      <c r="A153" s="87" t="s">
        <v>86</v>
      </c>
      <c r="F153" s="76"/>
    </row>
    <row r="154" spans="1:6" s="87" customFormat="1" ht="12.75">
      <c r="F154" s="76"/>
    </row>
    <row r="155" spans="1:6" s="87" customFormat="1" ht="12.75">
      <c r="F155" s="76"/>
    </row>
    <row r="156" spans="1:6" s="87" customFormat="1" ht="12.75">
      <c r="F156" s="76"/>
    </row>
    <row r="157" spans="1:6" s="87" customFormat="1" ht="12.75">
      <c r="F157" s="76"/>
    </row>
    <row r="158" spans="1:6" s="87" customFormat="1" ht="12.75">
      <c r="F158" s="76"/>
    </row>
    <row r="159" spans="1:6" s="87" customFormat="1" ht="12.75">
      <c r="F159" s="76"/>
    </row>
    <row r="160" spans="1:6" s="87" customFormat="1" ht="12.75">
      <c r="F160" s="76"/>
    </row>
    <row r="161" spans="6:6" s="87" customFormat="1" ht="12.75">
      <c r="F161" s="76"/>
    </row>
    <row r="162" spans="6:6" s="87" customFormat="1" ht="12.75">
      <c r="F162" s="76"/>
    </row>
    <row r="163" spans="6:6" s="87" customFormat="1" ht="12.75">
      <c r="F163" s="76"/>
    </row>
    <row r="164" spans="6:6" s="87" customFormat="1" ht="12.75">
      <c r="F164" s="76"/>
    </row>
    <row r="165" spans="6:6" s="87" customFormat="1" ht="12.75">
      <c r="F165" s="76"/>
    </row>
    <row r="166" spans="6:6" s="87" customFormat="1" ht="12.75">
      <c r="F166" s="76"/>
    </row>
    <row r="167" spans="6:6" s="87" customFormat="1" ht="12.75">
      <c r="F167" s="76"/>
    </row>
    <row r="168" spans="6:6" s="87" customFormat="1" ht="12.75">
      <c r="F168" s="76"/>
    </row>
    <row r="169" spans="6:6" s="87" customFormat="1" ht="12.75">
      <c r="F169" s="76"/>
    </row>
    <row r="170" spans="6:6" s="87" customFormat="1" ht="12.75">
      <c r="F170" s="76"/>
    </row>
    <row r="171" spans="6:6" s="87" customFormat="1" ht="12.75">
      <c r="F171" s="76"/>
    </row>
    <row r="172" spans="6:6" s="87" customFormat="1" ht="12.75">
      <c r="F172" s="76"/>
    </row>
    <row r="173" spans="6:6" s="87" customFormat="1" ht="12.75">
      <c r="F173" s="76"/>
    </row>
    <row r="174" spans="6:6" s="87" customFormat="1" ht="12.75">
      <c r="F174" s="76"/>
    </row>
    <row r="175" spans="6:6" s="87" customFormat="1" ht="12.75">
      <c r="F175" s="76"/>
    </row>
    <row r="176" spans="6:6" s="87" customFormat="1" ht="12.75">
      <c r="F176" s="76"/>
    </row>
    <row r="177" spans="6:6" s="87" customFormat="1" ht="12.75">
      <c r="F177" s="76"/>
    </row>
    <row r="178" spans="6:6" s="87" customFormat="1" ht="12.75">
      <c r="F178" s="76"/>
    </row>
    <row r="179" spans="6:6" s="87" customFormat="1" ht="12.75">
      <c r="F179" s="76"/>
    </row>
    <row r="180" spans="6:6" s="87" customFormat="1" ht="12.75">
      <c r="F180" s="76"/>
    </row>
    <row r="181" spans="6:6" s="87" customFormat="1" ht="12.75">
      <c r="F181" s="76"/>
    </row>
    <row r="182" spans="6:6" s="87" customFormat="1" ht="12.75">
      <c r="F182" s="76"/>
    </row>
    <row r="183" spans="6:6" s="87" customFormat="1" ht="12.75">
      <c r="F183" s="76"/>
    </row>
    <row r="184" spans="6:6" s="87" customFormat="1" ht="12.75">
      <c r="F184" s="76"/>
    </row>
    <row r="185" spans="6:6" s="87" customFormat="1" ht="12.75">
      <c r="F185" s="76"/>
    </row>
    <row r="186" spans="6:6" s="87" customFormat="1" ht="12.75">
      <c r="F186" s="76"/>
    </row>
    <row r="187" spans="6:6" s="87" customFormat="1" ht="12.75">
      <c r="F187" s="76"/>
    </row>
    <row r="188" spans="6:6" s="87" customFormat="1" ht="12.75">
      <c r="F188" s="76"/>
    </row>
  </sheetData>
  <mergeCells count="26">
    <mergeCell ref="A76:K76"/>
    <mergeCell ref="A1:I1"/>
    <mergeCell ref="A2:I2"/>
    <mergeCell ref="D7:E7"/>
    <mergeCell ref="A72:K72"/>
    <mergeCell ref="A74:K74"/>
    <mergeCell ref="A93:G93"/>
    <mergeCell ref="A77:K77"/>
    <mergeCell ref="A78:K78"/>
    <mergeCell ref="A80:K80"/>
    <mergeCell ref="A81:K81"/>
    <mergeCell ref="A83:K83"/>
    <mergeCell ref="A84:K84"/>
    <mergeCell ref="A85:K85"/>
    <mergeCell ref="A87:K87"/>
    <mergeCell ref="A88:K88"/>
    <mergeCell ref="A89:K89"/>
    <mergeCell ref="A91:K91"/>
    <mergeCell ref="B99:E99"/>
    <mergeCell ref="B100:E100"/>
    <mergeCell ref="B94:B95"/>
    <mergeCell ref="C94:E94"/>
    <mergeCell ref="C95:D95"/>
    <mergeCell ref="C96:D96"/>
    <mergeCell ref="C97:D97"/>
    <mergeCell ref="C98:D98"/>
  </mergeCells>
  <phoneticPr fontId="2" type="noConversion"/>
  <dataValidations count="2">
    <dataValidation type="list" allowBlank="1" showInputMessage="1" showErrorMessage="1" sqref="G10:G24 G30:G44">
      <formula1>$A$150:$A$153</formula1>
    </dataValidation>
    <dataValidation type="list" allowBlank="1" showInputMessage="1" showErrorMessage="1" sqref="I43:I44 I28">
      <formula1>$A$150:$A$155</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B23-9了解职工薪酬循环流程和内部控制记录表</vt:lpstr>
      <vt:lpstr>B23-9-1链接-企业对财务报表风险的应对</vt:lpstr>
      <vt:lpstr>B23-9-2穿行测试</vt:lpstr>
      <vt:lpstr>B23-9-3关键控制点选择表（财报审计适用）</vt:lpstr>
      <vt:lpstr>B23-9-4关键控制点选择表（整合审计适用） </vt:lpstr>
      <vt:lpstr>'B23-9-1链接-企业对财务报表风险的应对'!Print_Area</vt:lpstr>
      <vt:lpstr>'B23-9-2穿行测试'!Print_Area</vt:lpstr>
      <vt:lpstr>'B23-9-3关键控制点选择表（财报审计适用）'!Print_Area</vt:lpstr>
      <vt:lpstr>'B23-9-4关键控制点选择表（整合审计适用） '!Print_Area</vt:lpstr>
      <vt:lpstr>'B23-9了解职工薪酬循环流程和内部控制记录表'!Print_Area</vt:lpstr>
      <vt:lpstr>'B23-9-2穿行测试'!Print_Titles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2013-12-16T08:43:11Z</cp:lastPrinted>
  <dcterms:created xsi:type="dcterms:W3CDTF">2013-12-10T07:47:08Z</dcterms:created>
  <dcterms:modified xsi:type="dcterms:W3CDTF">2014-09-21T12:44:30Z</dcterms:modified>
</cp:coreProperties>
</file>