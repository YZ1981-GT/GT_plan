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1"/>
  </bookViews>
  <sheets>
    <sheet name="表头（请先填写）" sheetId="7" r:id="rId1"/>
    <sheet name="B23-10了解管理循环流程和内部控制记录表" sheetId="1" r:id="rId2"/>
    <sheet name="B23-10-1链接-企业对财务报表风险的应对" sheetId="4" r:id="rId3"/>
    <sheet name="B23-10-2穿行测试" sheetId="3" r:id="rId4"/>
    <sheet name="B23-10-3关键控制点选择表（财报审计适用）" sheetId="9" r:id="rId5"/>
    <sheet name="B23-10-4关键控制点选择表 (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'B23-10-1链接-企业对财务报表风险的应对'!$A$1:$E$10</definedName>
    <definedName name="_xlnm.Print_Area" localSheetId="3">'B23-10-2穿行测试'!$A$1:$J$38</definedName>
    <definedName name="_xlnm.Print_Area" localSheetId="4">'B23-10-3关键控制点选择表（财报审计适用）'!$A$1:$I$21</definedName>
    <definedName name="_xlnm.Print_Area" localSheetId="5">'B23-10-4关键控制点选择表 (整合审计适用)'!$A$1:$I$37</definedName>
    <definedName name="_xlnm.Print_Area" localSheetId="1">'B23-10了解管理循环流程和内部控制记录表'!$A$1:$E$54</definedName>
    <definedName name="_xlnm.Print_Titles" localSheetId="3">'B23-10-2穿行测试'!$5:$5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35" i="10" l="1"/>
  <c r="H35" i="10"/>
  <c r="G35" i="10"/>
  <c r="F34" i="10"/>
  <c r="F33" i="10"/>
  <c r="F32" i="10"/>
  <c r="F31" i="10"/>
  <c r="F30" i="10"/>
  <c r="F29" i="10"/>
  <c r="F28" i="10"/>
  <c r="F27" i="10"/>
  <c r="F26" i="10"/>
  <c r="F25" i="10"/>
  <c r="I20" i="10"/>
  <c r="H20" i="10"/>
  <c r="G20" i="10"/>
  <c r="F19" i="10"/>
  <c r="F18" i="10"/>
  <c r="F17" i="10"/>
  <c r="F16" i="10"/>
  <c r="F15" i="10"/>
  <c r="F14" i="10"/>
  <c r="F13" i="10"/>
  <c r="F12" i="10"/>
  <c r="F11" i="10"/>
  <c r="F10" i="10"/>
  <c r="A4" i="10"/>
  <c r="E3" i="10"/>
  <c r="C3" i="10"/>
  <c r="A3" i="10"/>
  <c r="G19" i="9"/>
  <c r="F14" i="9"/>
  <c r="F13" i="9"/>
  <c r="F35" i="10" l="1"/>
  <c r="G36" i="10" s="1"/>
  <c r="F20" i="10"/>
  <c r="H21" i="10" s="1"/>
  <c r="H19" i="9"/>
  <c r="I19" i="9"/>
  <c r="H36" i="10" l="1"/>
  <c r="I36" i="10"/>
  <c r="I21" i="10"/>
  <c r="G21" i="10"/>
  <c r="F17" i="9"/>
  <c r="F18" i="9"/>
  <c r="F10" i="9"/>
  <c r="F11" i="9"/>
  <c r="F12" i="9"/>
  <c r="F15" i="9"/>
  <c r="F16" i="9"/>
  <c r="F9" i="9"/>
  <c r="F19" i="9" l="1"/>
  <c r="H20" i="9" s="1"/>
  <c r="I20" i="9" l="1"/>
  <c r="G20"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<sst xmlns="http://schemas.openxmlformats.org/spreadsheetml/2006/main" count="328" uniqueCount="208">
  <si>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</si>
  <si>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</si>
  <si>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</si>
  <si>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</si>
  <si>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</si>
  <si>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</si>
  <si>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</si>
  <si>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</si>
  <si>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</si>
  <si>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</si>
  <si>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</si>
  <si>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</si>
  <si>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</si>
  <si>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</si>
  <si>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</si>
  <si>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</si>
  <si>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</si>
  <si>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</si>
  <si>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</si>
  <si>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</si>
  <si>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</si>
  <si>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t>完整性 Completeness</t>
  </si>
  <si>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</si>
  <si>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</si>
  <si>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</si>
  <si>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</si>
  <si>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</si>
  <si>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</si>
  <si>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</si>
  <si>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</si>
  <si>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</si>
  <si>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</si>
  <si>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</si>
  <si>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</si>
  <si>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</si>
  <si>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</si>
  <si>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</si>
  <si>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</si>
  <si>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</si>
  <si>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</si>
  <si>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</si>
  <si>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</si>
  <si>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</si>
  <si>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</si>
  <si>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</si>
  <si>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</si>
  <si>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</si>
  <si>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</si>
  <si>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</si>
  <si>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</si>
  <si>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</si>
  <si>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</si>
  <si>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</si>
  <si>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</si>
  <si>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</si>
  <si>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</si>
  <si>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</si>
  <si>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</si>
  <si>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</si>
  <si>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</si>
  <si>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</si>
  <si>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</si>
  <si>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</si>
  <si>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</si>
  <si>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</si>
  <si>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</si>
  <si>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</si>
  <si>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</si>
  <si>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</si>
  <si>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</si>
  <si>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</si>
  <si>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</si>
  <si>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</si>
  <si>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</si>
  <si>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</si>
  <si>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</si>
  <si>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</si>
  <si>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</si>
  <si>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</si>
  <si>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</si>
  <si>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</si>
  <si>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</si>
  <si>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</si>
  <si>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</si>
  <si>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</si>
  <si>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</si>
  <si>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</si>
  <si>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</si>
  <si>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</si>
  <si>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</si>
  <si>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</si>
  <si>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</si>
  <si>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</si>
  <si>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</si>
  <si>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</si>
  <si>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</si>
  <si>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</si>
  <si>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</si>
  <si>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</si>
  <si>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</si>
  <si>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</si>
  <si>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</si>
  <si>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</si>
  <si>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</si>
  <si>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</si>
  <si>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</si>
  <si>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</si>
  <si>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</si>
  <si>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</si>
  <si>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</si>
  <si>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</si>
  <si>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</si>
  <si>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</si>
  <si>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</si>
  <si>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</si>
  <si>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</si>
  <si>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</si>
  <si>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</si>
  <si>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</si>
  <si>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</si>
  <si>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</si>
  <si>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</si>
  <si>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</si>
  <si>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</si>
  <si>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</si>
  <si>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</si>
  <si>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</si>
  <si>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</si>
  <si>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</si>
  <si>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</si>
  <si>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</si>
  <si>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</si>
  <si>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</si>
  <si>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</si>
  <si>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</si>
  <si>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</si>
  <si>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</si>
  <si>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</si>
  <si>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</si>
  <si>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</si>
  <si>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</si>
  <si>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</si>
  <si>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</si>
  <si>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</si>
  <si>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</si>
  <si>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</si>
  <si>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</si>
  <si>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</si>
  <si>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</si>
  <si>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</si>
  <si>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</si>
  <si>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</si>
  <si>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</si>
  <si>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</si>
  <si>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</si>
  <si>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</si>
  <si>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</si>
  <si>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</si>
  <si>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</si>
  <si>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</si>
  <si>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</si>
  <si>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</si>
  <si>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</si>
  <si>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</si>
  <si>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</si>
  <si>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r>
      <t>1</t>
    </r>
    <r>
      <rPr>
        <sz val="10"/>
        <rFont val="宋体"/>
        <family val="3"/>
        <charset val="134"/>
      </rPr>
      <t>、其他资产与费用</t>
    </r>
    <r>
      <rPr>
        <sz val="10"/>
        <rFont val="Arial Narrow"/>
        <family val="2"/>
      </rPr>
      <t>Prepaid expenses, accrued liabilities, other assets and operating expenses</t>
    </r>
    <phoneticPr fontId="2" type="noConversion"/>
  </si>
  <si>
    <r>
      <t>3</t>
    </r>
    <r>
      <rPr>
        <sz val="10"/>
        <rFont val="宋体"/>
        <family val="3"/>
        <charset val="134"/>
      </rPr>
      <t>、担保的调整</t>
    </r>
    <r>
      <rPr>
        <sz val="10"/>
        <rFont val="Arial Narrow"/>
        <family val="2"/>
      </rPr>
      <t>Warranty adjustments</t>
    </r>
    <phoneticPr fontId="2" type="noConversion"/>
  </si>
  <si>
    <r>
      <t>4</t>
    </r>
    <r>
      <rPr>
        <sz val="10"/>
        <rFont val="宋体"/>
        <family val="3"/>
        <charset val="134"/>
      </rPr>
      <t>、人寿保险的退保解约金值</t>
    </r>
    <r>
      <rPr>
        <sz val="10"/>
        <rFont val="Arial Narrow"/>
        <family val="2"/>
      </rPr>
      <t>Cash surrender value of life insurance</t>
    </r>
    <phoneticPr fontId="2" type="noConversion"/>
  </si>
  <si>
    <r>
      <t>5</t>
    </r>
    <r>
      <rPr>
        <sz val="10"/>
        <rFont val="宋体"/>
        <family val="3"/>
        <charset val="134"/>
      </rPr>
      <t>、已发生但未支付的损失</t>
    </r>
    <r>
      <rPr>
        <sz val="10"/>
        <rFont val="Arial Narrow"/>
        <family val="2"/>
      </rPr>
      <t>Losses incurred, but not paid</t>
    </r>
    <phoneticPr fontId="2" type="noConversion"/>
  </si>
  <si>
    <r>
      <t>二、主要业务活动介绍/管理循环流程图</t>
    </r>
    <r>
      <rPr>
        <b/>
        <i/>
        <sz val="10"/>
        <color rgb="FF0000FF"/>
        <rFont val="宋体"/>
        <family val="3"/>
        <charset val="134"/>
      </rPr>
      <t>（需标注容易出错的领域）</t>
    </r>
    <phoneticPr fontId="3" type="noConversion"/>
  </si>
  <si>
    <t>了解管理环流程和内部控制记录表</t>
    <phoneticPr fontId="3" type="noConversion"/>
  </si>
  <si>
    <r>
      <rPr>
        <sz val="10"/>
        <rFont val="宋体"/>
        <family val="3"/>
        <charset val="134"/>
      </rPr>
      <t>索引号：</t>
    </r>
    <r>
      <rPr>
        <sz val="10"/>
        <rFont val="Arial Narrow"/>
        <family val="2"/>
      </rPr>
      <t>B23-10</t>
    </r>
    <phoneticPr fontId="3" type="noConversion"/>
  </si>
  <si>
    <r>
      <t>其他资产与费用</t>
    </r>
    <r>
      <rPr>
        <sz val="10"/>
        <rFont val="Arial Narrow"/>
        <family val="2"/>
      </rPr>
      <t>Prepaid expenses, accrued liabilities, other assets and operating expenses</t>
    </r>
  </si>
  <si>
    <r>
      <t>2</t>
    </r>
    <r>
      <rPr>
        <sz val="10"/>
        <rFont val="宋体"/>
        <family val="3"/>
        <charset val="134"/>
      </rPr>
      <t>、付款</t>
    </r>
    <r>
      <rPr>
        <sz val="10"/>
        <rFont val="Arial Narrow"/>
        <family val="2"/>
      </rPr>
      <t>Payments</t>
    </r>
    <phoneticPr fontId="2" type="noConversion"/>
  </si>
  <si>
    <r>
      <t>付款</t>
    </r>
    <r>
      <rPr>
        <sz val="10"/>
        <rFont val="Arial Narrow"/>
        <family val="2"/>
      </rPr>
      <t>Payments</t>
    </r>
  </si>
  <si>
    <r>
      <t>担保的调整</t>
    </r>
    <r>
      <rPr>
        <sz val="10"/>
        <rFont val="Arial Narrow"/>
        <family val="2"/>
      </rPr>
      <t>Warranty adjustments</t>
    </r>
  </si>
  <si>
    <r>
      <t>人寿保险的退保解约金值</t>
    </r>
    <r>
      <rPr>
        <sz val="10"/>
        <rFont val="Arial Narrow"/>
        <family val="2"/>
      </rPr>
      <t>Cash surrender value of life insurance</t>
    </r>
  </si>
  <si>
    <r>
      <t>已发生但未支付的损失</t>
    </r>
    <r>
      <rPr>
        <sz val="10"/>
        <rFont val="Arial Narrow"/>
        <family val="2"/>
      </rPr>
      <t>Losses incurred, but not paid</t>
    </r>
  </si>
  <si>
    <r>
      <rPr>
        <sz val="10"/>
        <rFont val="宋体"/>
        <family val="3"/>
        <charset val="134"/>
      </rPr>
      <t>索引号：</t>
    </r>
    <r>
      <rPr>
        <sz val="10"/>
        <rFont val="Arial Narrow"/>
        <family val="2"/>
      </rPr>
      <t>B23-10-1</t>
    </r>
    <phoneticPr fontId="3" type="noConversion"/>
  </si>
  <si>
    <r>
      <rPr>
        <sz val="10"/>
        <rFont val="宋体"/>
        <family val="3"/>
        <charset val="134"/>
      </rPr>
      <t>索引号：</t>
    </r>
    <r>
      <rPr>
        <sz val="10"/>
        <rFont val="Arial Narrow"/>
        <family val="2"/>
      </rPr>
      <t>B23-10-2</t>
    </r>
    <phoneticPr fontId="3" type="noConversion"/>
  </si>
  <si>
    <r>
      <t>完整性</t>
    </r>
    <r>
      <rPr>
        <sz val="10"/>
        <color rgb="FFFF0000"/>
        <rFont val="Arial Narrow"/>
        <family val="2"/>
      </rPr>
      <t xml:space="preserve"> Completeness</t>
    </r>
  </si>
  <si>
    <r>
      <t>跌价</t>
    </r>
    <r>
      <rPr>
        <sz val="10"/>
        <color rgb="FFFF0000"/>
        <rFont val="Arial Narrow"/>
        <family val="2"/>
      </rPr>
      <t>/</t>
    </r>
    <r>
      <rPr>
        <sz val="10"/>
        <color rgb="FFFF0000"/>
        <rFont val="宋体"/>
        <family val="3"/>
        <charset val="134"/>
      </rPr>
      <t>损失准备发生，但计提不充分</t>
    </r>
    <r>
      <rPr>
        <sz val="10"/>
        <color rgb="FFFF0000"/>
        <rFont val="Arial Narrow"/>
        <family val="2"/>
      </rPr>
      <t xml:space="preserve"> Provisions for losses incurred, but unpaid not adequate</t>
    </r>
  </si>
  <si>
    <r>
      <t>低估或者未计入正确期间的应计债务</t>
    </r>
    <r>
      <rPr>
        <sz val="10"/>
        <color rgb="FFFF0000"/>
        <rFont val="Arial Narrow"/>
        <family val="2"/>
      </rPr>
      <t xml:space="preserve"> Operating expenses understated or not recorded in correct period (e.g., accruals, prepaids)</t>
    </r>
    <r>
      <rPr>
        <sz val="10"/>
        <color rgb="FFFF0000"/>
        <rFont val="宋体"/>
        <family val="3"/>
        <charset val="134"/>
      </rPr>
      <t>（</t>
    </r>
    <r>
      <rPr>
        <sz val="10"/>
        <color rgb="FFFF0000"/>
        <rFont val="Arial Narrow"/>
        <family val="2"/>
      </rPr>
      <t>V4Accrued liabilities understated or not recorded in correct period</t>
    </r>
    <r>
      <rPr>
        <sz val="10"/>
        <color rgb="FFFF0000"/>
        <rFont val="宋体"/>
        <family val="3"/>
        <charset val="134"/>
      </rPr>
      <t>）</t>
    </r>
  </si>
  <si>
    <r>
      <t>保修义务被低估</t>
    </r>
    <r>
      <rPr>
        <sz val="10"/>
        <color rgb="FFFF0000"/>
        <rFont val="Arial Narrow"/>
        <family val="2"/>
      </rPr>
      <t xml:space="preserve"> Warranty liabilities understated</t>
    </r>
  </si>
  <si>
    <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</si>
  <si>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t>关于保险退保解约金政策的错报</t>
    </r>
    <r>
      <rPr>
        <sz val="10"/>
        <color rgb="FFFF0000"/>
        <rFont val="Arial Narrow"/>
        <family val="2"/>
      </rPr>
      <t xml:space="preserve"> Cash surrender value policies misstated</t>
    </r>
  </si>
  <si>
    <t>穿行测试（管理循环循环）</t>
    <phoneticPr fontId="3" type="noConversion"/>
  </si>
  <si>
    <r>
      <t>其他资产与费用</t>
    </r>
    <r>
      <rPr>
        <sz val="10"/>
        <rFont val="Arial Narrow"/>
        <family val="2"/>
      </rPr>
      <t>Prepaid expenses, accrued liabilities, other assets and operating expenses</t>
    </r>
    <phoneticPr fontId="3" type="noConversion"/>
  </si>
  <si>
    <r>
      <t>付款</t>
    </r>
    <r>
      <rPr>
        <sz val="10"/>
        <rFont val="Arial Narrow"/>
        <family val="2"/>
      </rPr>
      <t>Payments</t>
    </r>
    <phoneticPr fontId="3" type="noConversion"/>
  </si>
  <si>
    <r>
      <t>担保的调整</t>
    </r>
    <r>
      <rPr>
        <sz val="10"/>
        <rFont val="Arial Narrow"/>
        <family val="2"/>
      </rPr>
      <t>Warranty adjustments</t>
    </r>
    <phoneticPr fontId="3" type="noConversion"/>
  </si>
  <si>
    <r>
      <t>人寿保险的退保解约金值</t>
    </r>
    <r>
      <rPr>
        <sz val="10"/>
        <rFont val="Arial Narrow"/>
        <family val="2"/>
      </rPr>
      <t>Cash surrender value of life insurance</t>
    </r>
    <phoneticPr fontId="3" type="noConversion"/>
  </si>
  <si>
    <r>
      <t>已发生但未支付的损失</t>
    </r>
    <r>
      <rPr>
        <sz val="10"/>
        <rFont val="Arial Narrow"/>
        <family val="2"/>
      </rPr>
      <t>Losses incurred, but not paid</t>
    </r>
    <phoneticPr fontId="3" type="noConversion"/>
  </si>
  <si>
    <r>
      <t>完整性</t>
    </r>
    <r>
      <rPr>
        <b/>
        <sz val="10"/>
        <rFont val="Arial Narrow"/>
        <family val="2"/>
      </rPr>
      <t xml:space="preserve"> Completeness</t>
    </r>
  </si>
  <si>
    <r>
      <t>价值</t>
    </r>
    <r>
      <rPr>
        <b/>
        <sz val="10"/>
        <rFont val="Arial Narrow"/>
        <family val="2"/>
      </rPr>
      <t>-</t>
    </r>
    <r>
      <rPr>
        <b/>
        <sz val="10"/>
        <rFont val="宋体"/>
        <family val="3"/>
        <charset val="134"/>
      </rPr>
      <t>毛值</t>
    </r>
    <r>
      <rPr>
        <b/>
        <sz val="10"/>
        <rFont val="Arial Narrow"/>
        <family val="2"/>
      </rPr>
      <t xml:space="preserve"> Valuation - Gross</t>
    </r>
  </si>
  <si>
    <r>
      <rPr>
        <sz val="10"/>
        <color rgb="FFFF0000"/>
        <rFont val="宋体"/>
        <family val="3"/>
        <charset val="134"/>
      </rPr>
      <t>保修义务被低估</t>
    </r>
    <r>
      <rPr>
        <sz val="10"/>
        <color rgb="FFFF0000"/>
        <rFont val="Arial Narrow"/>
        <family val="2"/>
      </rPr>
      <t xml:space="preserve"> Warranty liabilities understated</t>
    </r>
  </si>
  <si>
    <t>关键控制点选择（管理循环）</t>
    <phoneticPr fontId="3" type="noConversion"/>
  </si>
  <si>
    <r>
      <rPr>
        <sz val="10"/>
        <rFont val="宋体"/>
        <family val="3"/>
        <charset val="134"/>
      </rPr>
      <t>索引号：</t>
    </r>
    <r>
      <rPr>
        <sz val="10"/>
        <rFont val="Arial Narrow"/>
        <family val="2"/>
      </rPr>
      <t>B23-10-3</t>
    </r>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</si>
  <si>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</si>
  <si>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sz val="10"/>
        <rFont val="宋体"/>
        <family val="3"/>
        <charset val="134"/>
      </rPr>
      <t>索引号：</t>
    </r>
    <r>
      <rPr>
        <sz val="10"/>
        <rFont val="Arial Narrow"/>
        <family val="2"/>
      </rPr>
      <t>B23-10-4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</si>
  <si>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</si>
  <si>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</si>
  <si>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</si>
  <si>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t>B23-10</t>
    </r>
    <r>
      <rPr>
        <u/>
        <sz val="10"/>
        <color indexed="12"/>
        <rFont val="宋体"/>
        <family val="3"/>
        <charset val="134"/>
      </rPr>
      <t>了解销售业务循环流程和内部控制记录表</t>
    </r>
    <phoneticPr fontId="3" type="noConversion"/>
  </si>
  <si>
    <r>
      <t>B23-10-1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</si>
  <si>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B23-10-2</t>
    </r>
    <r>
      <rPr>
        <u/>
        <sz val="10"/>
        <color indexed="12"/>
        <rFont val="宋体"/>
        <family val="3"/>
        <charset val="134"/>
      </rPr>
      <t>穿行测试</t>
    </r>
    <phoneticPr fontId="3" type="noConversion"/>
  </si>
  <si>
    <r>
      <t>B23-10-3</t>
    </r>
    <r>
      <rPr>
        <u/>
        <sz val="10"/>
        <color indexed="12"/>
        <rFont val="宋体"/>
        <family val="3"/>
        <charset val="134"/>
      </rPr>
      <t>关键控制点选择表（财报审计适用）</t>
    </r>
    <phoneticPr fontId="3" type="noConversion"/>
  </si>
  <si>
    <r>
      <t>B23-10-4</t>
    </r>
    <r>
      <rPr>
        <u/>
        <sz val="10"/>
        <color indexed="12"/>
        <rFont val="宋体"/>
        <family val="3"/>
        <charset val="134"/>
      </rPr>
      <t>关键控制点选择表</t>
    </r>
    <r>
      <rPr>
        <u/>
        <sz val="10"/>
        <color indexed="12"/>
        <rFont val="Arial"/>
        <family val="2"/>
      </rPr>
      <t xml:space="preserve"> (</t>
    </r>
    <r>
      <rPr>
        <u/>
        <sz val="10"/>
        <color indexed="12"/>
        <rFont val="宋体"/>
        <family val="3"/>
        <charset val="134"/>
      </rPr>
      <t>整合审计适用</t>
    </r>
    <r>
      <rPr>
        <u/>
        <sz val="10"/>
        <color indexed="12"/>
        <rFont val="Arial"/>
        <family val="2"/>
      </rPr>
      <t>)</t>
    </r>
    <phoneticPr fontId="2" type="noConversion"/>
  </si>
  <si>
    <t>其他应收款、划分为持有待售的资产、一年内到期的非流动资产、其他流动资产、其他应付款、一年内到期的非流动负债、  划分为持有待售的负债、其他流动负债、预计负债、销售费用、管理费用、财务费用、资产减值损失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</si>
</sst>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0">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b/>
      <sz val="10"/>
      <color rgb="FFFF0000"/>
      <name val="宋体"/>
      <family val="3"/>
      <charset val="134"/>
    </font>
    <font>
      <b/>
      <sz val="10"/>
      <color rgb="FFFF0000"/>
      <name val="Arial Narrow"/>
      <family val="2"/>
    </font>
    <font>
      <sz val="9"/>
      <color rgb="FF000000"/>
      <name val="Times New Roman"/>
      <family val="1"/>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89">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93" fillId="0" borderId="24" xfId="0" applyFont="1" applyBorder="1">
      <alignment vertical="center"/>
    </xf>
    <xf numFmtId="0" fontId="93" fillId="0" borderId="24" xfId="0" applyFont="1" applyBorder="1" applyAlignment="1">
      <alignment vertical="center"/>
    </xf>
    <xf numFmtId="176" fontId="68" fillId="0" borderId="4" xfId="1" applyFont="1" applyBorder="1" applyAlignment="1">
      <protection locked="0"/>
    </xf>
    <xf numFmtId="0" fontId="55" fillId="0" borderId="24" xfId="154" applyFont="1" applyBorder="1" applyAlignment="1">
      <alignment vertical="center" wrapText="1"/>
      <protection locked="0"/>
    </xf>
    <xf numFmtId="0" fontId="94" fillId="0" borderId="24" xfId="0" applyFont="1" applyBorder="1">
      <alignment vertical="center"/>
    </xf>
    <xf numFmtId="0" fontId="94" fillId="0" borderId="24" xfId="0" applyFont="1" applyBorder="1" applyAlignment="1">
      <alignment vertical="center"/>
    </xf>
    <xf numFmtId="0" fontId="94" fillId="0" borderId="24" xfId="154" applyFont="1" applyBorder="1">
      <alignment vertical="center"/>
      <protection locked="0"/>
    </xf>
    <xf numFmtId="0" fontId="71" fillId="0" borderId="24" xfId="0" applyFont="1" applyBorder="1" applyAlignment="1">
      <alignment vertical="center" wrapText="1"/>
    </xf>
    <xf numFmtId="0" fontId="94" fillId="0" borderId="24" xfId="0" applyFont="1" applyBorder="1" applyAlignment="1">
      <alignment vertical="center" wrapText="1"/>
    </xf>
    <xf numFmtId="0" fontId="55" fillId="0" borderId="24" xfId="154" applyFont="1" applyFill="1" applyBorder="1">
      <alignment vertical="center"/>
      <protection locked="0"/>
    </xf>
    <xf numFmtId="0" fontId="55" fillId="0" borderId="24" xfId="154" applyFont="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9" fillId="35" borderId="32" xfId="154" applyFont="1" applyFill="1" applyBorder="1" applyAlignment="1">
      <alignment vertical="center" wrapText="1"/>
      <protection locked="0"/>
    </xf>
    <xf numFmtId="0" fontId="77" fillId="0" borderId="30" xfId="188" applyBorder="1" applyAlignmen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5"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9"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55" fillId="0" borderId="0" xfId="187" applyFont="1" applyBorder="1" applyAlignment="1">
      <alignment horizontal="left" vertical="center" wrapText="1"/>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1" sqref="C11"/>
    </sheetView>
  </sheetViews>
  <sheetFormatPr defaultRowHeight="15.75"/>
  <cols>
    <col min="1" max="1" width="73.25" style="46" customWidth="1"/>
    <col min="2" max="2" width="5.375" style="46" customWidth="1"/>
    <col min="3" max="3" width="36.75" style="46" customWidth="1"/>
    <col min="4" max="16384" width="9" style="46"/>
  </cols>
  <sheetData>
    <row r="1" spans="1:8" s="42" customFormat="1" ht="20.100000000000001" customHeight="1">
      <c r="A1" s="40" t="s">
        <v>86</v>
      </c>
      <c r="B1" s="41" t="s">
        <v>87</v>
      </c>
      <c r="C1" s="41" t="s">
        <v>88</v>
      </c>
    </row>
    <row r="2" spans="1:8" ht="20.100000000000001" customHeight="1">
      <c r="A2" s="43" t="s">
        <v>89</v>
      </c>
      <c r="B2" s="44">
        <v>1</v>
      </c>
      <c r="C2" s="118" t="s">
        <v>202</v>
      </c>
      <c r="D2" s="45"/>
      <c r="E2" s="45"/>
      <c r="F2" s="45"/>
      <c r="G2" s="45"/>
      <c r="H2" s="45"/>
    </row>
    <row r="3" spans="1:8" ht="20.100000000000001" customHeight="1">
      <c r="A3" s="43" t="s">
        <v>90</v>
      </c>
      <c r="B3" s="44">
        <v>2</v>
      </c>
      <c r="C3" s="118" t="s">
        <v>203</v>
      </c>
      <c r="D3" s="45"/>
      <c r="E3" s="45"/>
      <c r="F3" s="45"/>
      <c r="G3" s="45"/>
      <c r="H3" s="47"/>
    </row>
    <row r="4" spans="1:8" ht="20.100000000000001" customHeight="1">
      <c r="A4" s="43" t="s">
        <v>91</v>
      </c>
      <c r="B4" s="44">
        <v>3</v>
      </c>
      <c r="C4" s="118" t="s">
        <v>204</v>
      </c>
      <c r="E4" s="48"/>
      <c r="F4" s="48"/>
      <c r="G4" s="48"/>
      <c r="H4" s="48"/>
    </row>
    <row r="5" spans="1:8" ht="20.100000000000001" customHeight="1">
      <c r="A5" s="43" t="s">
        <v>92</v>
      </c>
      <c r="B5" s="44">
        <v>4</v>
      </c>
      <c r="C5" s="118" t="s">
        <v>205</v>
      </c>
    </row>
    <row r="6" spans="1:8" ht="20.100000000000001" customHeight="1">
      <c r="B6" s="52">
        <v>5</v>
      </c>
      <c r="C6" s="142" t="s">
        <v>206</v>
      </c>
    </row>
    <row r="7" spans="1:8" ht="20.100000000000001" customHeight="1"/>
    <row r="8" spans="1:8" ht="20.100000000000001" customHeight="1">
      <c r="A8" s="49" t="s">
        <v>93</v>
      </c>
    </row>
    <row r="9" spans="1:8" ht="20.100000000000001" customHeight="1">
      <c r="A9" s="50" t="s">
        <v>94</v>
      </c>
    </row>
    <row r="10" spans="1:8" ht="45.75" customHeight="1">
      <c r="A10" s="51" t="s">
        <v>95</v>
      </c>
    </row>
    <row r="11" spans="1:8" ht="22.5" customHeight="1">
      <c r="A11" s="50" t="s">
        <v>96</v>
      </c>
    </row>
    <row r="12" spans="1:8" ht="36.75" customHeight="1">
      <c r="A12" s="51" t="s">
        <v>97</v>
      </c>
    </row>
    <row r="13" spans="1:8" ht="21.75" customHeight="1">
      <c r="A13" s="51" t="s">
        <v>98</v>
      </c>
    </row>
    <row r="14" spans="1:8">
      <c r="A14" s="51"/>
    </row>
  </sheetData>
  <phoneticPr fontId="2" type="noConversion"/>
  <hyperlinks>
    <hyperlink ref="C2" location="'B23-10了解管理循环流程和内部控制记录表'!A1" display="B23-10了解销售业务循环流程和内部控制记录表"/>
    <hyperlink ref="C3" location="'B23-10-1链接-企业对财务报表风险的应对'!A1" display="B23-10-1链接-企业对财务报表风险的应对"/>
    <hyperlink ref="C4" location="'B23-10-2穿行测试'!A1" display="B23-10-2穿行测试"/>
    <hyperlink ref="C5" location="'B23-10-3关键控制点选择表（财报审计适用）'!A1" display="B23-10-3关键控制点选择表（财报审计适用）"/>
    <hyperlink ref="C6" location="'B23-10-4关键控制点选择表 (整合审计适用)'!A1" display="B23-10-4关键控制点选择表 (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1"/>
  <sheetViews>
    <sheetView tabSelected="1" view="pageBreakPreview" zoomScale="120" zoomScaleNormal="145" zoomScaleSheetLayoutView="120" workbookViewId="0">
      <selection activeCell="G8" sqref="G8"/>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47" t="s">
        <v>4</v>
      </c>
      <c r="B1" s="147"/>
      <c r="C1" s="147"/>
      <c r="D1" s="147"/>
      <c r="E1" s="147"/>
    </row>
    <row r="2" spans="1:5" ht="33" customHeight="1">
      <c r="A2" s="148" t="s">
        <v>170</v>
      </c>
      <c r="B2" s="149"/>
      <c r="C2" s="149"/>
      <c r="D2" s="149"/>
      <c r="E2" s="149"/>
    </row>
    <row r="3" spans="1:5" ht="20.25" customHeight="1">
      <c r="A3" s="2" t="str">
        <f>'表头（请先填写）'!A2</f>
        <v>客户名称：</v>
      </c>
      <c r="C3" s="3" t="str">
        <f>'表头（请先填写）'!A4</f>
        <v>编制人：</v>
      </c>
      <c r="D3" s="4" t="str">
        <f>'表头（请先填写）'!A5</f>
        <v>日 期：</v>
      </c>
      <c r="E3" s="4" t="s">
        <v>171</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20" t="s">
        <v>8</v>
      </c>
      <c r="B7" s="21"/>
      <c r="D7" s="4"/>
      <c r="E7" s="4"/>
    </row>
    <row r="8" spans="1:5" ht="36.75" customHeight="1">
      <c r="A8" s="188" t="s">
        <v>207</v>
      </c>
      <c r="B8" s="188"/>
      <c r="C8" s="188"/>
      <c r="D8" s="188"/>
      <c r="E8" s="188"/>
    </row>
    <row r="9" spans="1:5" ht="20.25" customHeight="1">
      <c r="A9" s="20" t="s">
        <v>9</v>
      </c>
      <c r="B9" s="21"/>
      <c r="C9" s="21"/>
      <c r="D9" s="21"/>
      <c r="E9" s="4"/>
    </row>
    <row r="10" spans="1:5" ht="27" customHeight="1">
      <c r="A10" s="78" t="s">
        <v>10</v>
      </c>
      <c r="B10" s="22" t="s">
        <v>11</v>
      </c>
      <c r="C10" s="23" t="s">
        <v>12</v>
      </c>
      <c r="D10" s="150" t="s">
        <v>13</v>
      </c>
      <c r="E10" s="151"/>
    </row>
    <row r="11" spans="1:5" s="19" customFormat="1" ht="39" customHeight="1">
      <c r="A11" s="77">
        <v>1</v>
      </c>
      <c r="B11" s="124" t="s">
        <v>187</v>
      </c>
      <c r="C11" s="115" t="s">
        <v>144</v>
      </c>
      <c r="D11" s="143" t="s">
        <v>3</v>
      </c>
      <c r="E11" s="144"/>
    </row>
    <row r="12" spans="1:5" s="19" customFormat="1" ht="27" customHeight="1">
      <c r="A12" s="77">
        <v>2</v>
      </c>
      <c r="B12" s="124" t="s">
        <v>188</v>
      </c>
      <c r="C12" s="115" t="s">
        <v>145</v>
      </c>
      <c r="D12" s="143" t="s">
        <v>3</v>
      </c>
      <c r="E12" s="144"/>
    </row>
    <row r="13" spans="1:5" s="19" customFormat="1" ht="27" customHeight="1">
      <c r="A13" s="77">
        <v>3</v>
      </c>
      <c r="B13" s="124" t="s">
        <v>189</v>
      </c>
      <c r="C13" s="115" t="s">
        <v>145</v>
      </c>
      <c r="D13" s="143" t="s">
        <v>3</v>
      </c>
      <c r="E13" s="144"/>
    </row>
    <row r="14" spans="1:5" s="19" customFormat="1" ht="27" customHeight="1">
      <c r="A14" s="77">
        <v>4</v>
      </c>
      <c r="B14" s="124" t="s">
        <v>190</v>
      </c>
      <c r="C14" s="115" t="s">
        <v>145</v>
      </c>
      <c r="D14" s="143" t="s">
        <v>3</v>
      </c>
      <c r="E14" s="144"/>
    </row>
    <row r="15" spans="1:5" s="19" customFormat="1" ht="27" customHeight="1">
      <c r="A15" s="77">
        <v>5</v>
      </c>
      <c r="B15" s="124" t="s">
        <v>191</v>
      </c>
      <c r="C15" s="115" t="s">
        <v>145</v>
      </c>
      <c r="D15" s="143" t="s">
        <v>3</v>
      </c>
      <c r="E15" s="144"/>
    </row>
    <row r="16" spans="1:5" s="19" customFormat="1" ht="27" customHeight="1">
      <c r="A16" s="24"/>
      <c r="B16" s="24" t="s">
        <v>14</v>
      </c>
      <c r="C16" s="25"/>
      <c r="D16" s="145"/>
      <c r="E16" s="146"/>
    </row>
    <row r="17" spans="1:5" ht="20.25" customHeight="1">
      <c r="A17" s="2"/>
      <c r="B17" s="3"/>
      <c r="D17" s="4"/>
      <c r="E17" s="4"/>
    </row>
    <row r="18" spans="1:5">
      <c r="A18" s="79" t="s">
        <v>123</v>
      </c>
    </row>
    <row r="19" spans="1:5">
      <c r="A19" s="116" t="s">
        <v>146</v>
      </c>
      <c r="B19" s="5" t="s">
        <v>15</v>
      </c>
      <c r="C19" s="5" t="s">
        <v>1</v>
      </c>
      <c r="D19" s="5" t="s">
        <v>16</v>
      </c>
      <c r="E19" s="5" t="s">
        <v>17</v>
      </c>
    </row>
    <row r="20" spans="1:5">
      <c r="A20" s="6" t="s">
        <v>18</v>
      </c>
      <c r="B20" s="7"/>
      <c r="C20" s="7"/>
      <c r="D20" s="7"/>
      <c r="E20" s="7"/>
    </row>
    <row r="21" spans="1:5">
      <c r="A21" s="6"/>
      <c r="B21" s="7"/>
      <c r="C21" s="7"/>
      <c r="D21" s="7"/>
      <c r="E21" s="7"/>
    </row>
    <row r="22" spans="1:5">
      <c r="A22" s="6"/>
      <c r="B22" s="7"/>
      <c r="C22" s="7"/>
      <c r="D22" s="7"/>
      <c r="E22" s="7"/>
    </row>
    <row r="23" spans="1:5">
      <c r="A23" s="6"/>
      <c r="B23" s="7"/>
      <c r="C23" s="7"/>
      <c r="D23" s="7"/>
      <c r="E23" s="7"/>
    </row>
    <row r="24" spans="1:5">
      <c r="A24" s="6" t="s">
        <v>2</v>
      </c>
      <c r="B24" s="7"/>
      <c r="C24" s="7"/>
      <c r="D24" s="7"/>
      <c r="E24" s="7"/>
    </row>
    <row r="25" spans="1:5">
      <c r="A25" s="6"/>
      <c r="B25" s="7"/>
      <c r="C25" s="7"/>
      <c r="D25" s="7"/>
      <c r="E25" s="7"/>
    </row>
    <row r="26" spans="1:5">
      <c r="A26" s="6"/>
      <c r="B26" s="7"/>
      <c r="C26" s="7"/>
      <c r="D26" s="7"/>
      <c r="E26" s="7"/>
    </row>
    <row r="27" spans="1:5">
      <c r="A27" s="6"/>
      <c r="B27" s="7"/>
      <c r="C27" s="7"/>
      <c r="D27" s="7"/>
      <c r="E27" s="7"/>
    </row>
    <row r="28" spans="1:5">
      <c r="A28" s="6" t="s">
        <v>19</v>
      </c>
      <c r="B28" s="7"/>
      <c r="C28" s="7"/>
      <c r="D28" s="7"/>
      <c r="E28" s="7"/>
    </row>
    <row r="29" spans="1:5">
      <c r="A29" s="6"/>
      <c r="B29" s="7"/>
      <c r="C29" s="7"/>
      <c r="D29" s="7"/>
      <c r="E29" s="7"/>
    </row>
    <row r="30" spans="1:5">
      <c r="A30" s="6"/>
      <c r="B30" s="7"/>
      <c r="C30" s="7"/>
      <c r="D30" s="7"/>
      <c r="E30" s="7"/>
    </row>
    <row r="31" spans="1:5">
      <c r="A31" s="6"/>
      <c r="B31" s="7"/>
      <c r="C31" s="7"/>
      <c r="D31" s="7"/>
      <c r="E31" s="7"/>
    </row>
    <row r="32" spans="1:5">
      <c r="A32" s="6" t="s">
        <v>20</v>
      </c>
      <c r="B32" s="7"/>
      <c r="C32" s="7"/>
      <c r="D32" s="7"/>
      <c r="E32" s="7"/>
    </row>
    <row r="33" spans="1:5">
      <c r="A33" s="6"/>
      <c r="B33" s="7"/>
      <c r="C33" s="7"/>
      <c r="D33" s="7"/>
      <c r="E33" s="7"/>
    </row>
    <row r="34" spans="1:5">
      <c r="A34" s="8"/>
      <c r="B34" s="8"/>
      <c r="C34" s="8"/>
      <c r="D34" s="8"/>
      <c r="E34" s="8"/>
    </row>
    <row r="35" spans="1:5">
      <c r="A35" s="8"/>
      <c r="B35" s="8"/>
      <c r="C35" s="8"/>
      <c r="D35" s="8"/>
      <c r="E35" s="8"/>
    </row>
    <row r="37" spans="1:5" s="10" customFormat="1" ht="25.5" customHeight="1">
      <c r="A37" s="61" t="s">
        <v>169</v>
      </c>
    </row>
    <row r="38" spans="1:5" s="10" customFormat="1" ht="19.5" customHeight="1">
      <c r="A38" s="11" t="s">
        <v>165</v>
      </c>
      <c r="B38" s="12"/>
      <c r="C38" s="12"/>
      <c r="D38" s="12"/>
      <c r="E38" s="12"/>
    </row>
    <row r="39" spans="1:5" s="10" customFormat="1" ht="25.5" customHeight="1">
      <c r="A39" s="152"/>
      <c r="B39" s="153"/>
      <c r="C39" s="153"/>
      <c r="D39" s="153"/>
      <c r="E39" s="154"/>
    </row>
    <row r="40" spans="1:5" s="10" customFormat="1" ht="25.5" customHeight="1">
      <c r="A40" s="155"/>
      <c r="B40" s="156"/>
      <c r="C40" s="156"/>
      <c r="D40" s="156"/>
      <c r="E40" s="157"/>
    </row>
    <row r="41" spans="1:5" s="10" customFormat="1" ht="19.5" customHeight="1">
      <c r="A41" s="16" t="s">
        <v>173</v>
      </c>
      <c r="B41" s="13"/>
      <c r="C41" s="13"/>
      <c r="D41" s="13"/>
      <c r="E41" s="13"/>
    </row>
    <row r="42" spans="1:5" s="10" customFormat="1" ht="25.5" customHeight="1">
      <c r="A42" s="152"/>
      <c r="B42" s="153"/>
      <c r="C42" s="153"/>
      <c r="D42" s="153"/>
      <c r="E42" s="154"/>
    </row>
    <row r="43" spans="1:5" s="10" customFormat="1" ht="30.75" customHeight="1">
      <c r="A43" s="155"/>
      <c r="B43" s="156"/>
      <c r="C43" s="156"/>
      <c r="D43" s="156"/>
      <c r="E43" s="157"/>
    </row>
    <row r="44" spans="1:5" s="10" customFormat="1" ht="18.75" customHeight="1">
      <c r="A44" s="123" t="s">
        <v>166</v>
      </c>
      <c r="B44" s="13"/>
      <c r="C44" s="13"/>
      <c r="D44" s="13"/>
      <c r="E44" s="13"/>
    </row>
    <row r="45" spans="1:5" s="10" customFormat="1" ht="25.5" customHeight="1">
      <c r="A45" s="152"/>
      <c r="B45" s="153"/>
      <c r="C45" s="153"/>
      <c r="D45" s="153"/>
      <c r="E45" s="154"/>
    </row>
    <row r="46" spans="1:5" s="10" customFormat="1" ht="24.75" customHeight="1">
      <c r="A46" s="158"/>
      <c r="B46" s="159"/>
      <c r="C46" s="159"/>
      <c r="D46" s="159"/>
      <c r="E46" s="160"/>
    </row>
    <row r="47" spans="1:5" s="10" customFormat="1" ht="24.75" customHeight="1">
      <c r="A47" s="155"/>
      <c r="B47" s="156"/>
      <c r="C47" s="156"/>
      <c r="D47" s="156"/>
      <c r="E47" s="157"/>
    </row>
    <row r="48" spans="1:5" s="10" customFormat="1" ht="18.75" customHeight="1">
      <c r="A48" s="123" t="s">
        <v>167</v>
      </c>
      <c r="B48" s="13"/>
      <c r="C48" s="13"/>
      <c r="D48" s="13"/>
      <c r="E48" s="13"/>
    </row>
    <row r="49" spans="1:5" s="10" customFormat="1" ht="34.5" customHeight="1">
      <c r="A49" s="161"/>
      <c r="B49" s="162"/>
      <c r="C49" s="162"/>
      <c r="D49" s="162"/>
      <c r="E49" s="163"/>
    </row>
    <row r="50" spans="1:5" s="10" customFormat="1" ht="34.5" customHeight="1">
      <c r="A50" s="164"/>
      <c r="B50" s="165"/>
      <c r="C50" s="165"/>
      <c r="D50" s="165"/>
      <c r="E50" s="166"/>
    </row>
    <row r="51" spans="1:5" s="10" customFormat="1" ht="17.25" customHeight="1">
      <c r="A51" s="123" t="s">
        <v>168</v>
      </c>
      <c r="B51" s="13"/>
      <c r="C51" s="13"/>
      <c r="D51" s="13"/>
      <c r="E51" s="13"/>
    </row>
    <row r="52" spans="1:5" s="10" customFormat="1" ht="25.5" customHeight="1">
      <c r="A52" s="167"/>
      <c r="B52" s="168"/>
      <c r="C52" s="168"/>
      <c r="D52" s="168"/>
      <c r="E52" s="169"/>
    </row>
    <row r="53" spans="1:5" s="10" customFormat="1" ht="25.5" customHeight="1">
      <c r="A53" s="170"/>
      <c r="B53" s="171"/>
      <c r="C53" s="171"/>
      <c r="D53" s="171"/>
      <c r="E53" s="172"/>
    </row>
    <row r="54" spans="1:5" s="10" customFormat="1" ht="3.75" customHeight="1">
      <c r="A54" s="62"/>
      <c r="B54" s="62"/>
      <c r="C54" s="62"/>
      <c r="D54" s="62"/>
      <c r="E54" s="62"/>
    </row>
    <row r="55" spans="1:5" s="10" customFormat="1" ht="12.75">
      <c r="A55" s="14"/>
    </row>
    <row r="56" spans="1:5" s="10" customFormat="1" ht="12.75">
      <c r="A56" s="14"/>
    </row>
    <row r="57" spans="1:5" s="10" customFormat="1" ht="12.75">
      <c r="A57" s="14"/>
    </row>
    <row r="58" spans="1:5" s="10" customFormat="1" ht="12.75">
      <c r="A58" s="14"/>
    </row>
    <row r="59" spans="1:5" s="10" customFormat="1" ht="12.75">
      <c r="A59" s="14"/>
    </row>
    <row r="60" spans="1:5" s="10" customFormat="1" ht="12.75">
      <c r="A60" s="14"/>
    </row>
    <row r="61" spans="1:5" s="10" customFormat="1" ht="12.75">
      <c r="A61" s="14"/>
    </row>
    <row r="62" spans="1:5" s="10" customFormat="1" ht="12.75">
      <c r="A62" s="14"/>
    </row>
    <row r="63" spans="1:5" s="10" customFormat="1" ht="12.75">
      <c r="A63" s="14"/>
    </row>
    <row r="64" spans="1:5" s="10" customFormat="1" ht="12.75">
      <c r="A64" s="14"/>
    </row>
    <row r="65" spans="1:1" s="10" customFormat="1" ht="12.75">
      <c r="A65" s="14"/>
    </row>
    <row r="66" spans="1:1" s="10" customFormat="1" ht="12.75">
      <c r="A66" s="14"/>
    </row>
    <row r="67" spans="1:1" s="10" customFormat="1" ht="12.75">
      <c r="A67" s="14"/>
    </row>
    <row r="68" spans="1:1" s="10" customFormat="1" ht="12.75">
      <c r="A68" s="14"/>
    </row>
    <row r="69" spans="1:1" s="10" customFormat="1" ht="12.75">
      <c r="A69" s="14"/>
    </row>
    <row r="70" spans="1:1" s="10" customFormat="1" ht="12.75">
      <c r="A70" s="14"/>
    </row>
    <row r="71" spans="1:1" s="10" customFormat="1" ht="12.75">
      <c r="A71" s="14"/>
    </row>
  </sheetData>
  <mergeCells count="15">
    <mergeCell ref="A39:E40"/>
    <mergeCell ref="A42:E43"/>
    <mergeCell ref="A45:E47"/>
    <mergeCell ref="A49:E50"/>
    <mergeCell ref="A52:E53"/>
    <mergeCell ref="D13:E13"/>
    <mergeCell ref="D14:E14"/>
    <mergeCell ref="D15:E15"/>
    <mergeCell ref="D16:E16"/>
    <mergeCell ref="A1:E1"/>
    <mergeCell ref="A2:E2"/>
    <mergeCell ref="D10:E10"/>
    <mergeCell ref="D11:E11"/>
    <mergeCell ref="D12:E12"/>
    <mergeCell ref="A8:E8"/>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view="pageBreakPreview" zoomScale="115" zoomScaleNormal="130" zoomScaleSheetLayoutView="115" workbookViewId="0">
      <selection activeCell="B5" sqref="B5"/>
    </sheetView>
  </sheetViews>
  <sheetFormatPr defaultRowHeight="16.5"/>
  <cols>
    <col min="1" max="1" width="25.75" style="26" customWidth="1"/>
    <col min="2" max="2" width="64.75" style="26" customWidth="1"/>
    <col min="3" max="3" width="8.375" style="26" customWidth="1"/>
    <col min="4" max="4" width="14.75" style="26" customWidth="1"/>
    <col min="5" max="5" width="35.25" style="26" customWidth="1"/>
    <col min="6" max="16384" width="9" style="26"/>
  </cols>
  <sheetData>
    <row r="1" spans="1:5" ht="18.75" customHeight="1">
      <c r="A1" s="147" t="s">
        <v>4</v>
      </c>
      <c r="B1" s="147"/>
      <c r="C1" s="147"/>
      <c r="D1" s="147"/>
      <c r="E1" s="147"/>
    </row>
    <row r="2" spans="1:5" ht="33" customHeight="1">
      <c r="A2" s="149" t="s">
        <v>23</v>
      </c>
      <c r="B2" s="149"/>
      <c r="C2" s="149"/>
      <c r="D2" s="149"/>
      <c r="E2" s="149"/>
    </row>
    <row r="3" spans="1:5" ht="24.75" customHeight="1">
      <c r="A3" s="2" t="str">
        <f>'表头（请先填写）'!A2</f>
        <v>客户名称：</v>
      </c>
      <c r="B3" s="4" t="str">
        <f>'表头（请先填写）'!A4</f>
        <v>编制人：</v>
      </c>
      <c r="C3" s="4" t="str">
        <f>'表头（请先填写）'!A5</f>
        <v>日 期：</v>
      </c>
      <c r="D3" s="4"/>
      <c r="E3" s="54" t="s">
        <v>178</v>
      </c>
    </row>
    <row r="4" spans="1:5" ht="24.75" customHeight="1">
      <c r="A4" s="2" t="str">
        <f>'表头（请先填写）'!A3</f>
        <v>会计期间：2013年度</v>
      </c>
      <c r="B4" s="4" t="s">
        <v>5</v>
      </c>
      <c r="C4" s="4" t="s">
        <v>0</v>
      </c>
      <c r="D4" s="4"/>
      <c r="E4" s="57" t="s">
        <v>125</v>
      </c>
    </row>
    <row r="5" spans="1:5" s="28" customFormat="1" ht="18" customHeight="1">
      <c r="A5" s="27" t="s">
        <v>124</v>
      </c>
      <c r="B5" s="27" t="s">
        <v>197</v>
      </c>
      <c r="C5" s="53" t="s">
        <v>99</v>
      </c>
      <c r="D5" s="56" t="s">
        <v>114</v>
      </c>
      <c r="E5" s="53" t="s">
        <v>100</v>
      </c>
    </row>
    <row r="6" spans="1:5" s="29" customFormat="1" ht="27.75" customHeight="1">
      <c r="A6" s="125" t="s">
        <v>180</v>
      </c>
      <c r="B6" s="126" t="s">
        <v>181</v>
      </c>
      <c r="C6" s="35"/>
      <c r="D6" s="35" t="s">
        <v>115</v>
      </c>
      <c r="E6" s="63" t="s">
        <v>117</v>
      </c>
    </row>
    <row r="7" spans="1:5" s="29" customFormat="1" ht="18" customHeight="1">
      <c r="A7" s="121"/>
      <c r="B7" s="122"/>
      <c r="C7" s="35"/>
      <c r="D7" s="35" t="s">
        <v>116</v>
      </c>
      <c r="E7" s="63"/>
    </row>
    <row r="8" spans="1:5" s="29" customFormat="1" ht="35.25" customHeight="1">
      <c r="A8" s="121" t="s">
        <v>164</v>
      </c>
      <c r="B8" s="129" t="s">
        <v>182</v>
      </c>
      <c r="C8" s="35"/>
      <c r="D8" s="128"/>
      <c r="E8" s="34"/>
    </row>
    <row r="9" spans="1:5" s="29" customFormat="1" ht="18" customHeight="1">
      <c r="A9" s="121" t="s">
        <v>21</v>
      </c>
      <c r="B9" s="125" t="s">
        <v>183</v>
      </c>
      <c r="C9" s="35"/>
      <c r="D9" s="35"/>
      <c r="E9" s="34"/>
    </row>
    <row r="10" spans="1:5" s="29" customFormat="1" ht="18" customHeight="1">
      <c r="A10" s="127" t="s">
        <v>184</v>
      </c>
      <c r="B10" s="127" t="s">
        <v>185</v>
      </c>
      <c r="C10" s="35"/>
      <c r="D10" s="35"/>
      <c r="E10" s="34"/>
    </row>
    <row r="11" spans="1:5" s="29" customFormat="1" ht="16.5" customHeight="1">
      <c r="A11" s="59"/>
      <c r="B11" s="59"/>
      <c r="C11" s="60"/>
      <c r="D11" s="60"/>
      <c r="E11" s="59"/>
    </row>
    <row r="12" spans="1:5" s="29" customFormat="1" ht="16.5" customHeight="1">
      <c r="A12" s="59"/>
      <c r="B12" s="59"/>
      <c r="C12" s="60"/>
      <c r="D12" s="60"/>
      <c r="E12" s="59"/>
    </row>
    <row r="13" spans="1:5" s="29" customFormat="1" ht="12.75">
      <c r="A13" s="80" t="s">
        <v>126</v>
      </c>
    </row>
    <row r="14" spans="1:5" s="29" customFormat="1" ht="12.75">
      <c r="A14" s="81" t="s">
        <v>127</v>
      </c>
    </row>
    <row r="15" spans="1:5" s="29" customFormat="1" ht="12.75">
      <c r="A15" s="81" t="s">
        <v>128</v>
      </c>
    </row>
    <row r="16" spans="1:5" s="29" customFormat="1" ht="12.75">
      <c r="A16" s="81" t="s">
        <v>129</v>
      </c>
    </row>
    <row r="17" spans="1:1" s="29" customFormat="1" ht="12.75">
      <c r="A17" s="81" t="s">
        <v>130</v>
      </c>
    </row>
    <row r="18" spans="1:1" s="29" customFormat="1" ht="12.75"/>
    <row r="27" spans="1:1">
      <c r="A27" s="39" t="s">
        <v>57</v>
      </c>
    </row>
    <row r="28" spans="1:1">
      <c r="A28" s="26" t="s">
        <v>58</v>
      </c>
    </row>
    <row r="29" spans="1:1">
      <c r="A29" s="18"/>
    </row>
    <row r="30" spans="1:1">
      <c r="A30" s="30"/>
    </row>
  </sheetData>
  <mergeCells count="2">
    <mergeCell ref="A1:E1"/>
    <mergeCell ref="A2:E2"/>
  </mergeCells>
  <phoneticPr fontId="2" type="noConversion"/>
  <dataValidations count="1">
    <dataValidation type="list" allowBlank="1" showInputMessage="1" showErrorMessage="1" sqref="C6:C12">
      <formula1>$A$27:$A$28</formula1>
    </dataValidation>
  </dataValidations>
  <pageMargins left="0.70866141732283472" right="0.39370078740157483" top="0.6692913385826772" bottom="0.43307086614173229" header="0.31496062992125984" footer="0.31496062992125984"/>
  <pageSetup paperSize="9" scale="92"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1"/>
  <sheetViews>
    <sheetView view="pageBreakPreview" zoomScale="115" zoomScaleSheetLayoutView="115" workbookViewId="0">
      <selection activeCell="E10" sqref="E10"/>
    </sheetView>
  </sheetViews>
  <sheetFormatPr defaultRowHeight="15.75"/>
  <cols>
    <col min="1" max="1" width="8.625" style="30" customWidth="1"/>
    <col min="2" max="2" width="4.375" style="30" customWidth="1"/>
    <col min="3" max="3" width="23.875" style="30" customWidth="1"/>
    <col min="4" max="4" width="11.875" style="30" customWidth="1"/>
    <col min="5" max="5" width="13.75" style="30" customWidth="1"/>
    <col min="6" max="6" width="14" style="30" customWidth="1"/>
    <col min="7" max="7" width="29.625" style="30" customWidth="1"/>
    <col min="8" max="8" width="9.5" style="30" customWidth="1"/>
    <col min="9" max="9" width="11.125" style="30" customWidth="1"/>
    <col min="10" max="10" width="14.25" style="30" customWidth="1"/>
    <col min="11" max="16384" width="9" style="30"/>
  </cols>
  <sheetData>
    <row r="1" spans="1:10" ht="30" customHeight="1">
      <c r="A1" s="173" t="s">
        <v>22</v>
      </c>
      <c r="B1" s="173"/>
      <c r="C1" s="173"/>
      <c r="D1" s="173"/>
      <c r="E1" s="173"/>
      <c r="F1" s="173"/>
      <c r="G1" s="173"/>
      <c r="H1" s="173"/>
      <c r="I1" s="173"/>
      <c r="J1" s="173"/>
    </row>
    <row r="2" spans="1:10" ht="27.95" customHeight="1">
      <c r="A2" s="174" t="s">
        <v>186</v>
      </c>
      <c r="B2" s="175"/>
      <c r="C2" s="175"/>
      <c r="D2" s="175"/>
      <c r="E2" s="175"/>
      <c r="F2" s="175"/>
      <c r="G2" s="175"/>
      <c r="H2" s="175"/>
      <c r="I2" s="175"/>
      <c r="J2" s="175"/>
    </row>
    <row r="3" spans="1:10" ht="18" customHeight="1">
      <c r="A3" s="21" t="str">
        <f>'表头（请先填写）'!A2</f>
        <v>客户名称：</v>
      </c>
      <c r="B3" s="21"/>
      <c r="C3" s="21"/>
      <c r="E3" s="21" t="str">
        <f>'表头（请先填写）'!A4</f>
        <v>编制人：</v>
      </c>
      <c r="G3" s="21" t="str">
        <f>'表头（请先填写）'!A5</f>
        <v>日 期：</v>
      </c>
      <c r="J3" s="21" t="s">
        <v>179</v>
      </c>
    </row>
    <row r="4" spans="1:10" ht="18" customHeight="1">
      <c r="A4" s="21" t="str">
        <f>'表头（请先填写）'!A3</f>
        <v>会计期间：2013年度</v>
      </c>
      <c r="B4" s="21"/>
      <c r="C4" s="21"/>
      <c r="E4" s="21" t="s">
        <v>5</v>
      </c>
      <c r="G4" s="21" t="s">
        <v>25</v>
      </c>
      <c r="J4" s="21" t="s">
        <v>26</v>
      </c>
    </row>
    <row r="5" spans="1:10" s="31" customFormat="1" ht="41.25" customHeight="1">
      <c r="A5" s="67" t="s">
        <v>102</v>
      </c>
      <c r="B5" s="176" t="s">
        <v>101</v>
      </c>
      <c r="C5" s="177"/>
      <c r="D5" s="66" t="s">
        <v>27</v>
      </c>
      <c r="E5" s="66" t="s">
        <v>28</v>
      </c>
      <c r="F5" s="68" t="s">
        <v>118</v>
      </c>
      <c r="G5" s="66" t="s">
        <v>29</v>
      </c>
      <c r="H5" s="66" t="s">
        <v>30</v>
      </c>
      <c r="I5" s="66" t="s">
        <v>56</v>
      </c>
      <c r="J5" s="66" t="s">
        <v>31</v>
      </c>
    </row>
    <row r="6" spans="1:10" s="31" customFormat="1" ht="20.100000000000001" customHeight="1">
      <c r="A6" s="130" t="s">
        <v>172</v>
      </c>
      <c r="B6" s="32"/>
      <c r="C6" s="32"/>
      <c r="D6" s="32"/>
      <c r="E6" s="32"/>
      <c r="F6" s="32"/>
      <c r="G6" s="32"/>
      <c r="H6" s="32"/>
      <c r="I6" s="32"/>
      <c r="J6" s="32"/>
    </row>
    <row r="7" spans="1:10" s="31" customFormat="1" ht="20.100000000000001" customHeight="1">
      <c r="A7" s="32"/>
      <c r="B7" s="32">
        <v>1</v>
      </c>
      <c r="C7" s="32"/>
      <c r="D7" s="32"/>
      <c r="E7" s="32"/>
      <c r="F7" s="32"/>
      <c r="G7" s="32"/>
      <c r="H7" s="32"/>
      <c r="I7" s="32"/>
      <c r="J7" s="32"/>
    </row>
    <row r="8" spans="1:10" s="31" customFormat="1" ht="20.100000000000001" customHeight="1">
      <c r="A8" s="32"/>
      <c r="B8" s="32">
        <v>2</v>
      </c>
      <c r="C8" s="32"/>
      <c r="D8" s="32"/>
      <c r="E8" s="32"/>
      <c r="F8" s="32"/>
      <c r="G8" s="32"/>
      <c r="H8" s="32"/>
      <c r="I8" s="32"/>
      <c r="J8" s="32"/>
    </row>
    <row r="9" spans="1:10" s="31" customFormat="1" ht="20.100000000000001" customHeight="1">
      <c r="A9" s="32"/>
      <c r="B9" s="32">
        <v>3</v>
      </c>
      <c r="C9" s="32"/>
      <c r="D9" s="32"/>
      <c r="E9" s="32"/>
      <c r="F9" s="32"/>
      <c r="G9" s="32"/>
      <c r="H9" s="32"/>
      <c r="I9" s="32"/>
      <c r="J9" s="32"/>
    </row>
    <row r="10" spans="1:10" s="21" customFormat="1" ht="20.100000000000001" customHeight="1">
      <c r="A10" s="33"/>
      <c r="B10" s="33" t="s">
        <v>103</v>
      </c>
      <c r="C10" s="33"/>
      <c r="D10" s="32"/>
      <c r="E10" s="33"/>
      <c r="F10" s="33"/>
      <c r="G10" s="33"/>
      <c r="H10" s="33"/>
      <c r="I10" s="33"/>
      <c r="J10" s="33"/>
    </row>
    <row r="11" spans="1:10" s="21" customFormat="1" ht="20.100000000000001" customHeight="1">
      <c r="A11" s="33"/>
      <c r="B11" s="33"/>
      <c r="C11" s="33"/>
      <c r="D11" s="32"/>
      <c r="E11" s="33"/>
      <c r="F11" s="33"/>
      <c r="G11" s="33"/>
      <c r="H11" s="33"/>
      <c r="I11" s="33"/>
      <c r="J11" s="33"/>
    </row>
    <row r="12" spans="1:10" s="21" customFormat="1" ht="20.100000000000001" customHeight="1">
      <c r="A12" s="131" t="s">
        <v>174</v>
      </c>
      <c r="B12" s="33"/>
      <c r="C12" s="33"/>
      <c r="D12" s="32"/>
      <c r="E12" s="33"/>
      <c r="F12" s="33"/>
      <c r="G12" s="33"/>
      <c r="H12" s="33"/>
      <c r="I12" s="33"/>
      <c r="J12" s="33"/>
    </row>
    <row r="13" spans="1:10" s="21" customFormat="1" ht="20.100000000000001" customHeight="1">
      <c r="A13" s="33"/>
      <c r="B13" s="33">
        <v>1</v>
      </c>
      <c r="C13" s="33"/>
      <c r="D13" s="32"/>
      <c r="E13" s="33"/>
      <c r="F13" s="33"/>
      <c r="G13" s="33"/>
      <c r="H13" s="33"/>
      <c r="I13" s="33"/>
      <c r="J13" s="33"/>
    </row>
    <row r="14" spans="1:10" s="21" customFormat="1" ht="20.100000000000001" customHeight="1">
      <c r="A14" s="32"/>
      <c r="B14" s="32">
        <v>2</v>
      </c>
      <c r="C14" s="32"/>
      <c r="D14" s="32"/>
      <c r="E14" s="33"/>
      <c r="F14" s="33"/>
      <c r="G14" s="33"/>
      <c r="H14" s="33"/>
      <c r="I14" s="33"/>
      <c r="J14" s="33"/>
    </row>
    <row r="15" spans="1:10" s="21" customFormat="1" ht="20.100000000000001" customHeight="1">
      <c r="A15" s="32"/>
      <c r="B15" s="32">
        <v>3</v>
      </c>
      <c r="C15" s="32"/>
      <c r="D15" s="32"/>
      <c r="E15" s="33"/>
      <c r="F15" s="33"/>
      <c r="G15" s="33"/>
      <c r="H15" s="33"/>
      <c r="I15" s="33"/>
      <c r="J15" s="33"/>
    </row>
    <row r="16" spans="1:10" s="21" customFormat="1" ht="20.100000000000001" customHeight="1">
      <c r="A16" s="32"/>
      <c r="B16" s="32" t="s">
        <v>103</v>
      </c>
      <c r="C16" s="32"/>
      <c r="D16" s="32"/>
      <c r="E16" s="33"/>
      <c r="F16" s="33"/>
      <c r="G16" s="33"/>
      <c r="H16" s="33"/>
      <c r="I16" s="33"/>
      <c r="J16" s="33"/>
    </row>
    <row r="17" spans="1:10" s="21" customFormat="1" ht="20.100000000000001" customHeight="1">
      <c r="A17" s="33"/>
      <c r="B17" s="33"/>
      <c r="C17" s="33"/>
      <c r="D17" s="32"/>
      <c r="E17" s="33"/>
      <c r="F17" s="33"/>
      <c r="G17" s="33"/>
      <c r="H17" s="33"/>
      <c r="I17" s="33"/>
      <c r="J17" s="33"/>
    </row>
    <row r="18" spans="1:10" s="21" customFormat="1" ht="20.100000000000001" customHeight="1">
      <c r="A18" s="131" t="s">
        <v>175</v>
      </c>
      <c r="B18" s="33"/>
      <c r="C18" s="33"/>
      <c r="D18" s="32"/>
      <c r="E18" s="33"/>
      <c r="F18" s="33"/>
      <c r="G18" s="33"/>
      <c r="H18" s="33"/>
      <c r="I18" s="33"/>
      <c r="J18" s="33"/>
    </row>
    <row r="19" spans="1:10" s="21" customFormat="1" ht="20.100000000000001" customHeight="1">
      <c r="A19" s="33"/>
      <c r="B19" s="33">
        <v>1</v>
      </c>
      <c r="C19" s="33"/>
      <c r="D19" s="32"/>
      <c r="E19" s="33"/>
      <c r="F19" s="33"/>
      <c r="G19" s="33"/>
      <c r="H19" s="33"/>
      <c r="I19" s="33"/>
      <c r="J19" s="33"/>
    </row>
    <row r="20" spans="1:10" s="21" customFormat="1" ht="20.100000000000001" customHeight="1">
      <c r="A20" s="33"/>
      <c r="B20" s="33">
        <v>2</v>
      </c>
      <c r="C20" s="33"/>
      <c r="D20" s="32"/>
      <c r="E20" s="33"/>
      <c r="F20" s="33"/>
      <c r="G20" s="33"/>
      <c r="H20" s="33"/>
      <c r="I20" s="33"/>
      <c r="J20" s="33"/>
    </row>
    <row r="21" spans="1:10" s="21" customFormat="1" ht="20.100000000000001" customHeight="1">
      <c r="A21" s="33"/>
      <c r="B21" s="33">
        <v>3</v>
      </c>
      <c r="C21" s="33"/>
      <c r="D21" s="32"/>
      <c r="E21" s="33"/>
      <c r="F21" s="33"/>
      <c r="G21" s="33"/>
      <c r="H21" s="33"/>
      <c r="I21" s="33"/>
      <c r="J21" s="33"/>
    </row>
    <row r="22" spans="1:10" s="21" customFormat="1" ht="20.100000000000001" customHeight="1">
      <c r="A22" s="33"/>
      <c r="B22" s="33" t="s">
        <v>103</v>
      </c>
      <c r="C22" s="33"/>
      <c r="D22" s="32"/>
      <c r="E22" s="33"/>
      <c r="F22" s="33"/>
      <c r="G22" s="33"/>
      <c r="H22" s="33"/>
      <c r="I22" s="33"/>
      <c r="J22" s="33"/>
    </row>
    <row r="23" spans="1:10" s="21" customFormat="1" ht="20.100000000000001" customHeight="1">
      <c r="A23" s="33"/>
      <c r="B23" s="33"/>
      <c r="C23" s="33"/>
      <c r="D23" s="32"/>
      <c r="E23" s="33"/>
      <c r="F23" s="33"/>
      <c r="G23" s="33"/>
      <c r="H23" s="33"/>
      <c r="I23" s="33"/>
      <c r="J23" s="33"/>
    </row>
    <row r="24" spans="1:10" s="21" customFormat="1" ht="20.100000000000001" customHeight="1">
      <c r="A24" s="131" t="s">
        <v>176</v>
      </c>
      <c r="B24" s="33"/>
      <c r="C24" s="33"/>
      <c r="D24" s="32"/>
      <c r="E24" s="33"/>
      <c r="F24" s="33"/>
      <c r="G24" s="33"/>
      <c r="H24" s="33"/>
      <c r="I24" s="33"/>
      <c r="J24" s="33"/>
    </row>
    <row r="25" spans="1:10" s="21" customFormat="1" ht="20.100000000000001" customHeight="1">
      <c r="A25" s="33"/>
      <c r="B25" s="33">
        <v>1</v>
      </c>
      <c r="C25" s="33"/>
      <c r="D25" s="32"/>
      <c r="E25" s="33"/>
      <c r="F25" s="33"/>
      <c r="G25" s="33"/>
      <c r="H25" s="33"/>
      <c r="I25" s="33"/>
      <c r="J25" s="33"/>
    </row>
    <row r="26" spans="1:10" s="21" customFormat="1" ht="20.100000000000001" customHeight="1">
      <c r="A26" s="33"/>
      <c r="B26" s="33">
        <v>2</v>
      </c>
      <c r="C26" s="33"/>
      <c r="D26" s="32"/>
      <c r="E26" s="33"/>
      <c r="F26" s="33"/>
      <c r="G26" s="33"/>
      <c r="H26" s="33"/>
      <c r="I26" s="33"/>
      <c r="J26" s="33"/>
    </row>
    <row r="27" spans="1:10" s="21" customFormat="1" ht="20.100000000000001" customHeight="1">
      <c r="A27" s="32"/>
      <c r="B27" s="32">
        <v>3</v>
      </c>
      <c r="C27" s="32"/>
      <c r="D27" s="32"/>
      <c r="E27" s="33"/>
      <c r="F27" s="33"/>
      <c r="G27" s="33"/>
      <c r="H27" s="33"/>
      <c r="I27" s="33"/>
      <c r="J27" s="33"/>
    </row>
    <row r="28" spans="1:10" s="21" customFormat="1" ht="20.100000000000001" customHeight="1">
      <c r="A28" s="32"/>
      <c r="B28" s="32" t="s">
        <v>103</v>
      </c>
      <c r="C28" s="32"/>
      <c r="D28" s="32"/>
      <c r="E28" s="33"/>
      <c r="F28" s="33"/>
      <c r="G28" s="33"/>
      <c r="H28" s="33"/>
      <c r="I28" s="33"/>
      <c r="J28" s="33"/>
    </row>
    <row r="29" spans="1:10" s="21" customFormat="1" ht="20.100000000000001" customHeight="1">
      <c r="A29" s="32"/>
      <c r="B29" s="32"/>
      <c r="C29" s="32"/>
      <c r="D29" s="32"/>
      <c r="E29" s="33"/>
      <c r="F29" s="33"/>
      <c r="G29" s="33"/>
      <c r="H29" s="33"/>
      <c r="I29" s="33"/>
      <c r="J29" s="33"/>
    </row>
    <row r="30" spans="1:10" s="21" customFormat="1" ht="20.100000000000001" customHeight="1">
      <c r="A30" s="130" t="s">
        <v>177</v>
      </c>
      <c r="B30" s="32"/>
      <c r="C30" s="32"/>
      <c r="D30" s="32"/>
      <c r="E30" s="33"/>
      <c r="F30" s="33"/>
      <c r="G30" s="33"/>
      <c r="H30" s="33"/>
      <c r="I30" s="33"/>
      <c r="J30" s="33"/>
    </row>
    <row r="31" spans="1:10" s="21" customFormat="1" ht="20.100000000000001" customHeight="1">
      <c r="A31" s="32"/>
      <c r="B31" s="33">
        <v>1</v>
      </c>
      <c r="C31" s="32"/>
      <c r="D31" s="32"/>
      <c r="E31" s="33"/>
      <c r="F31" s="33"/>
      <c r="G31" s="33"/>
      <c r="H31" s="33"/>
      <c r="I31" s="33"/>
      <c r="J31" s="33"/>
    </row>
    <row r="32" spans="1:10" s="21" customFormat="1" ht="20.100000000000001" customHeight="1">
      <c r="A32" s="32"/>
      <c r="B32" s="33">
        <v>2</v>
      </c>
      <c r="C32" s="32"/>
      <c r="D32" s="32"/>
      <c r="E32" s="33"/>
      <c r="F32" s="33"/>
      <c r="G32" s="33"/>
      <c r="H32" s="33"/>
      <c r="I32" s="33"/>
      <c r="J32" s="33"/>
    </row>
    <row r="33" spans="1:10" s="21" customFormat="1" ht="20.100000000000001" customHeight="1">
      <c r="A33" s="32"/>
      <c r="B33" s="32">
        <v>3</v>
      </c>
      <c r="C33" s="32"/>
      <c r="D33" s="32"/>
      <c r="E33" s="33"/>
      <c r="F33" s="33"/>
      <c r="G33" s="33"/>
      <c r="H33" s="33"/>
      <c r="I33" s="33"/>
      <c r="J33" s="33"/>
    </row>
    <row r="34" spans="1:10" s="21" customFormat="1" ht="20.100000000000001" customHeight="1">
      <c r="A34" s="32"/>
      <c r="B34" s="32" t="s">
        <v>103</v>
      </c>
      <c r="C34" s="32"/>
      <c r="D34" s="32"/>
      <c r="E34" s="33"/>
      <c r="F34" s="33"/>
      <c r="G34" s="33"/>
      <c r="H34" s="33"/>
      <c r="I34" s="33"/>
      <c r="J34" s="33"/>
    </row>
    <row r="35" spans="1:10" s="21" customFormat="1" ht="20.100000000000001" customHeight="1">
      <c r="A35" s="32"/>
      <c r="B35" s="32"/>
      <c r="C35" s="32"/>
      <c r="D35" s="32"/>
      <c r="E35" s="33"/>
      <c r="F35" s="33"/>
      <c r="G35" s="33"/>
      <c r="H35" s="33"/>
      <c r="I35" s="33"/>
      <c r="J35" s="33"/>
    </row>
    <row r="36" spans="1:10" s="21" customFormat="1" ht="20.100000000000001" customHeight="1">
      <c r="A36" s="32"/>
      <c r="B36" s="32"/>
      <c r="C36" s="32"/>
      <c r="D36" s="32"/>
      <c r="E36" s="33"/>
      <c r="F36" s="33"/>
      <c r="G36" s="33"/>
      <c r="H36" s="33"/>
      <c r="I36" s="33"/>
      <c r="J36" s="33"/>
    </row>
    <row r="37" spans="1:10" s="21" customFormat="1" ht="20.100000000000001" customHeight="1">
      <c r="A37" s="32"/>
      <c r="B37" s="32"/>
      <c r="C37" s="32"/>
      <c r="D37" s="32"/>
      <c r="E37" s="33"/>
      <c r="F37" s="33"/>
      <c r="G37" s="33"/>
      <c r="H37" s="33"/>
      <c r="I37" s="33"/>
      <c r="J37" s="33"/>
    </row>
    <row r="38" spans="1:10" s="21" customFormat="1" ht="20.100000000000001" customHeight="1">
      <c r="A38" s="33"/>
      <c r="B38" s="33"/>
      <c r="C38" s="33"/>
      <c r="D38" s="32"/>
      <c r="E38" s="33"/>
      <c r="F38" s="33"/>
      <c r="G38" s="33"/>
      <c r="H38" s="33"/>
      <c r="I38" s="33"/>
      <c r="J38" s="33"/>
    </row>
    <row r="39" spans="1:10" s="21" customFormat="1" ht="20.100000000000001" customHeight="1"/>
    <row r="40" spans="1:10" s="21" customFormat="1" ht="20.100000000000001" customHeight="1">
      <c r="A40" s="82" t="s">
        <v>131</v>
      </c>
      <c r="B40" s="36"/>
      <c r="C40" s="36"/>
    </row>
    <row r="41" spans="1:10" s="21" customFormat="1" ht="12.75">
      <c r="A41" s="83" t="s">
        <v>132</v>
      </c>
      <c r="B41" s="37"/>
      <c r="C41" s="37"/>
    </row>
    <row r="42" spans="1:10" s="21" customFormat="1" ht="12.75">
      <c r="A42" s="83" t="s">
        <v>133</v>
      </c>
      <c r="B42" s="37"/>
      <c r="C42" s="37"/>
    </row>
    <row r="43" spans="1:10" s="21" customFormat="1" ht="12.75">
      <c r="A43" s="83" t="s">
        <v>134</v>
      </c>
      <c r="B43" s="37"/>
      <c r="C43" s="37"/>
    </row>
    <row r="44" spans="1:10" s="21" customFormat="1" ht="12.75">
      <c r="A44" s="83" t="s">
        <v>135</v>
      </c>
      <c r="B44" s="37"/>
      <c r="C44" s="37"/>
    </row>
    <row r="45" spans="1:10" s="21" customFormat="1" ht="12.75">
      <c r="A45" s="83" t="s">
        <v>136</v>
      </c>
      <c r="B45" s="37"/>
      <c r="C45" s="37"/>
    </row>
    <row r="46" spans="1:10" s="21" customFormat="1" ht="12.75">
      <c r="A46" s="83" t="s">
        <v>137</v>
      </c>
      <c r="B46" s="37"/>
      <c r="C46" s="37"/>
    </row>
    <row r="47" spans="1:10" s="21" customFormat="1" ht="12.75">
      <c r="A47" s="83" t="s">
        <v>32</v>
      </c>
      <c r="B47" s="55"/>
      <c r="C47" s="55"/>
    </row>
    <row r="48" spans="1:10" s="21" customFormat="1" ht="12.75">
      <c r="A48" s="83" t="s">
        <v>138</v>
      </c>
      <c r="B48" s="55"/>
      <c r="C48" s="55"/>
    </row>
    <row r="49" spans="1:3" s="21" customFormat="1" ht="12.75">
      <c r="A49" s="83" t="s">
        <v>139</v>
      </c>
      <c r="B49" s="55"/>
      <c r="C49" s="55"/>
    </row>
    <row r="50" spans="1:3" s="21" customFormat="1" ht="12.75">
      <c r="A50" s="83" t="s">
        <v>140</v>
      </c>
      <c r="B50" s="55"/>
      <c r="C50" s="55"/>
    </row>
    <row r="51" spans="1:3" s="21" customFormat="1" ht="12.75"/>
    <row r="52" spans="1:3" s="21" customFormat="1" ht="12.75"/>
    <row r="53" spans="1:3" s="21" customFormat="1" ht="12.75"/>
    <row r="54" spans="1:3" s="21" customFormat="1" ht="12.75"/>
    <row r="55" spans="1:3" s="21" customFormat="1" ht="12.75"/>
    <row r="56" spans="1:3" s="21" customFormat="1" ht="12.75"/>
    <row r="57" spans="1:3" s="21" customFormat="1" ht="12.75"/>
    <row r="58" spans="1:3" s="21" customFormat="1" ht="12.75"/>
    <row r="59" spans="1:3" s="21" customFormat="1" ht="12.75"/>
    <row r="60" spans="1:3" s="21" customFormat="1" ht="12.75"/>
    <row r="61" spans="1:3" s="21" customFormat="1" ht="12.75"/>
    <row r="62" spans="1:3" s="21" customFormat="1" ht="12.75"/>
    <row r="63" spans="1:3" s="21" customFormat="1" ht="12.75"/>
    <row r="64" spans="1:3" s="21" customFormat="1" ht="12.75">
      <c r="A64" s="17" t="s">
        <v>112</v>
      </c>
    </row>
    <row r="65" spans="1:1" s="21" customFormat="1" ht="12.75">
      <c r="A65" s="17" t="s">
        <v>113</v>
      </c>
    </row>
    <row r="66" spans="1:1" s="21" customFormat="1" ht="12.75"/>
    <row r="67" spans="1:1" s="21" customFormat="1" ht="12.75"/>
    <row r="68" spans="1:1" s="21" customFormat="1" ht="12.75"/>
    <row r="69" spans="1:1" s="21" customFormat="1" ht="12.75"/>
    <row r="70" spans="1:1" s="21" customFormat="1" ht="12.75"/>
    <row r="71" spans="1:1" s="21" customFormat="1" ht="12.75"/>
    <row r="72" spans="1:1" s="21" customFormat="1" ht="12.75"/>
    <row r="73" spans="1:1" s="21" customFormat="1" ht="12.75"/>
    <row r="74" spans="1:1" s="21" customFormat="1" ht="12.75"/>
    <row r="75" spans="1:1" s="21" customFormat="1" ht="12.75"/>
    <row r="76" spans="1:1" s="21" customFormat="1" ht="12.75"/>
    <row r="77" spans="1:1" s="21" customFormat="1" ht="12.75"/>
    <row r="78" spans="1:1" s="21" customFormat="1" ht="12.75"/>
    <row r="79" spans="1:1" s="21" customFormat="1" ht="12.75"/>
    <row r="80" spans="1:1" s="21" customFormat="1" ht="12.75"/>
    <row r="81" s="21" customFormat="1" ht="12.75"/>
  </sheetData>
  <mergeCells count="3">
    <mergeCell ref="A1:J1"/>
    <mergeCell ref="A2:J2"/>
    <mergeCell ref="B5:C5"/>
  </mergeCells>
  <phoneticPr fontId="3" type="noConversion"/>
  <dataValidations count="1">
    <dataValidation type="list" allowBlank="1" showInputMessage="1" showErrorMessage="1" sqref="D7:D38">
      <formula1>$A$64:$A$65</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8"/>
  <sheetViews>
    <sheetView view="pageBreakPreview" topLeftCell="A14" zoomScale="120" zoomScaleNormal="120" zoomScaleSheetLayoutView="120" workbookViewId="0">
      <selection activeCell="A24" sqref="A24"/>
    </sheetView>
  </sheetViews>
  <sheetFormatPr defaultRowHeight="15.75"/>
  <cols>
    <col min="1" max="1" width="4.875" style="85" customWidth="1"/>
    <col min="2" max="2" width="53.625" style="85" customWidth="1"/>
    <col min="3" max="3" width="12.375" style="85" customWidth="1"/>
    <col min="4" max="4" width="4.375" style="85" customWidth="1"/>
    <col min="5" max="5" width="32.375" style="85" customWidth="1"/>
    <col min="6" max="6" width="11.375" style="72" customWidth="1"/>
    <col min="7" max="7" width="14" style="85" customWidth="1"/>
    <col min="8" max="8" width="9" style="85" customWidth="1"/>
    <col min="9" max="9" width="13.25" style="85" customWidth="1"/>
    <col min="10" max="16384" width="9" style="85"/>
  </cols>
  <sheetData>
    <row r="1" spans="1:9" ht="21.75" customHeight="1">
      <c r="A1" s="173" t="s">
        <v>22</v>
      </c>
      <c r="B1" s="173"/>
      <c r="C1" s="173"/>
      <c r="D1" s="173"/>
      <c r="E1" s="173"/>
      <c r="F1" s="173"/>
      <c r="G1" s="173"/>
      <c r="H1" s="173"/>
      <c r="I1" s="173"/>
    </row>
    <row r="2" spans="1:9" ht="27.95" customHeight="1">
      <c r="A2" s="174" t="s">
        <v>195</v>
      </c>
      <c r="B2" s="175"/>
      <c r="C2" s="175"/>
      <c r="D2" s="175"/>
      <c r="E2" s="175"/>
      <c r="F2" s="175"/>
      <c r="G2" s="175"/>
      <c r="H2" s="175"/>
      <c r="I2" s="175"/>
    </row>
    <row r="3" spans="1:9" ht="20.100000000000001" customHeight="1">
      <c r="A3" s="86" t="str">
        <f>'B23-10了解管理循环流程和内部控制记录表'!A3</f>
        <v>客户名称：</v>
      </c>
      <c r="C3" s="86" t="str">
        <f>'B23-10了解管理循环流程和内部控制记录表'!C3</f>
        <v>编制人：</v>
      </c>
      <c r="E3" s="86" t="str">
        <f>'B23-10了解管理循环流程和内部控制记录表'!D3</f>
        <v>日 期：</v>
      </c>
      <c r="I3" s="86" t="s">
        <v>196</v>
      </c>
    </row>
    <row r="4" spans="1:9" ht="20.100000000000001" customHeight="1">
      <c r="A4" s="86" t="str">
        <f>'B23-10了解管理循环流程和内部控制记录表'!A4</f>
        <v>会计期间：2013年度</v>
      </c>
      <c r="C4" s="86" t="s">
        <v>5</v>
      </c>
      <c r="E4" s="86" t="s">
        <v>25</v>
      </c>
      <c r="I4" s="86" t="s">
        <v>26</v>
      </c>
    </row>
    <row r="5" spans="1:9" ht="6" customHeight="1">
      <c r="A5" s="86"/>
      <c r="C5" s="86"/>
      <c r="E5" s="86"/>
      <c r="I5" s="86"/>
    </row>
    <row r="6" spans="1:9" ht="20.100000000000001" customHeight="1">
      <c r="A6" s="106" t="s">
        <v>143</v>
      </c>
      <c r="C6" s="86"/>
      <c r="E6" s="86"/>
      <c r="I6" s="86"/>
    </row>
    <row r="7" spans="1:9" s="87" customFormat="1" ht="56.25" customHeight="1">
      <c r="A7" s="76" t="s">
        <v>119</v>
      </c>
      <c r="B7" s="76" t="s">
        <v>78</v>
      </c>
      <c r="C7" s="76" t="s">
        <v>120</v>
      </c>
      <c r="D7" s="178" t="s">
        <v>85</v>
      </c>
      <c r="E7" s="178"/>
      <c r="F7" s="65" t="s">
        <v>104</v>
      </c>
      <c r="G7" s="65" t="s">
        <v>105</v>
      </c>
      <c r="H7" s="65" t="s">
        <v>106</v>
      </c>
      <c r="I7" s="65" t="s">
        <v>107</v>
      </c>
    </row>
    <row r="8" spans="1:9" s="87" customFormat="1" ht="18" customHeight="1">
      <c r="A8" s="132" t="s">
        <v>192</v>
      </c>
      <c r="B8" s="38"/>
      <c r="C8" s="91"/>
      <c r="D8" s="91"/>
      <c r="E8" s="91"/>
      <c r="F8" s="70"/>
      <c r="G8" s="91"/>
      <c r="H8" s="91"/>
      <c r="I8" s="91"/>
    </row>
    <row r="9" spans="1:9" s="87" customFormat="1" ht="18" customHeight="1">
      <c r="A9" s="90"/>
      <c r="B9" s="133" t="s">
        <v>181</v>
      </c>
      <c r="C9" s="91"/>
      <c r="D9" s="91">
        <v>1</v>
      </c>
      <c r="E9" s="91"/>
      <c r="F9" s="71">
        <f>IF(OR(G9&lt;&gt;0,H9&lt;&gt;0,I9&lt;&gt;0),1,0)</f>
        <v>0</v>
      </c>
      <c r="G9" s="91"/>
      <c r="H9" s="91"/>
      <c r="I9" s="91"/>
    </row>
    <row r="10" spans="1:9" s="87" customFormat="1" ht="18" customHeight="1">
      <c r="A10" s="90"/>
      <c r="B10" s="38"/>
      <c r="C10" s="91"/>
      <c r="D10" s="91">
        <v>2</v>
      </c>
      <c r="E10" s="91"/>
      <c r="F10" s="71">
        <f t="shared" ref="F10:F18" si="0">IF(OR(G10&lt;&gt;0,H10&lt;&gt;0,I10&lt;&gt;0),1,0)</f>
        <v>0</v>
      </c>
      <c r="G10" s="91"/>
      <c r="H10" s="91"/>
      <c r="I10" s="91"/>
    </row>
    <row r="11" spans="1:9" s="87" customFormat="1" ht="18" customHeight="1">
      <c r="A11" s="90"/>
      <c r="B11" s="38"/>
      <c r="C11" s="91"/>
      <c r="D11" s="91" t="s">
        <v>14</v>
      </c>
      <c r="E11" s="91"/>
      <c r="F11" s="71">
        <f t="shared" si="0"/>
        <v>0</v>
      </c>
      <c r="G11" s="91"/>
      <c r="H11" s="91"/>
      <c r="I11" s="91"/>
    </row>
    <row r="12" spans="1:9" ht="18" customHeight="1">
      <c r="A12" s="90"/>
      <c r="B12" s="133" t="s">
        <v>182</v>
      </c>
      <c r="C12" s="92"/>
      <c r="D12" s="92"/>
      <c r="E12" s="92"/>
      <c r="F12" s="71">
        <f t="shared" si="0"/>
        <v>0</v>
      </c>
      <c r="G12" s="91"/>
      <c r="H12" s="92"/>
      <c r="I12" s="91"/>
    </row>
    <row r="13" spans="1:9" ht="18" customHeight="1">
      <c r="A13" s="90"/>
      <c r="B13" s="84" t="s">
        <v>194</v>
      </c>
      <c r="C13" s="92"/>
      <c r="D13" s="92"/>
      <c r="E13" s="92"/>
      <c r="F13" s="71">
        <f t="shared" ref="F13:F14" si="1">IF(OR(G13&lt;&gt;0,H13&lt;&gt;0,I13&lt;&gt;0),1,0)</f>
        <v>0</v>
      </c>
      <c r="G13" s="91"/>
      <c r="H13" s="92"/>
      <c r="I13" s="91"/>
    </row>
    <row r="14" spans="1:9" ht="18" customHeight="1">
      <c r="A14" s="90"/>
      <c r="B14" s="133"/>
      <c r="C14" s="92"/>
      <c r="D14" s="92"/>
      <c r="E14" s="92"/>
      <c r="F14" s="71">
        <f t="shared" si="1"/>
        <v>0</v>
      </c>
      <c r="G14" s="91"/>
      <c r="H14" s="92"/>
      <c r="I14" s="91"/>
    </row>
    <row r="15" spans="1:9" ht="18" customHeight="1">
      <c r="A15" s="132" t="s">
        <v>193</v>
      </c>
      <c r="B15" s="38"/>
      <c r="C15" s="92"/>
      <c r="D15" s="92"/>
      <c r="E15" s="92"/>
      <c r="F15" s="71">
        <f t="shared" si="0"/>
        <v>0</v>
      </c>
      <c r="G15" s="91"/>
      <c r="H15" s="92"/>
      <c r="I15" s="91"/>
    </row>
    <row r="16" spans="1:9" ht="18" customHeight="1">
      <c r="A16" s="90"/>
      <c r="B16" s="133" t="s">
        <v>185</v>
      </c>
      <c r="C16" s="92"/>
      <c r="D16" s="92"/>
      <c r="E16" s="92"/>
      <c r="F16" s="71">
        <f t="shared" si="0"/>
        <v>0</v>
      </c>
      <c r="G16" s="91"/>
      <c r="H16" s="92"/>
      <c r="I16" s="91"/>
    </row>
    <row r="17" spans="1:9" ht="18" customHeight="1">
      <c r="A17" s="90"/>
      <c r="B17" s="38"/>
      <c r="C17" s="92"/>
      <c r="D17" s="92"/>
      <c r="E17" s="92"/>
      <c r="F17" s="71">
        <f t="shared" si="0"/>
        <v>0</v>
      </c>
      <c r="G17" s="91"/>
      <c r="H17" s="92"/>
      <c r="I17" s="91"/>
    </row>
    <row r="18" spans="1:9" ht="18" customHeight="1">
      <c r="A18" s="90"/>
      <c r="B18" s="38"/>
      <c r="C18" s="92"/>
      <c r="D18" s="92"/>
      <c r="E18" s="92"/>
      <c r="F18" s="71">
        <f t="shared" si="0"/>
        <v>0</v>
      </c>
      <c r="G18" s="91"/>
      <c r="H18" s="92"/>
      <c r="I18" s="91"/>
    </row>
    <row r="19" spans="1:9" ht="18" customHeight="1">
      <c r="A19" s="109"/>
      <c r="B19" s="108"/>
      <c r="C19" s="107" t="s">
        <v>141</v>
      </c>
      <c r="D19" s="110"/>
      <c r="E19" s="110"/>
      <c r="F19" s="111">
        <f>SUM(F9:F18)</f>
        <v>0</v>
      </c>
      <c r="G19" s="112">
        <f>COUNTA(G9:G18)</f>
        <v>0</v>
      </c>
      <c r="H19" s="112">
        <f t="shared" ref="H19:I19" si="2">COUNTA(H9:H18)</f>
        <v>0</v>
      </c>
      <c r="I19" s="112">
        <f t="shared" si="2"/>
        <v>0</v>
      </c>
    </row>
    <row r="20" spans="1:9" ht="18" customHeight="1">
      <c r="A20" s="90"/>
      <c r="B20" s="38"/>
      <c r="C20" s="92"/>
      <c r="D20" s="92"/>
      <c r="E20" s="92"/>
      <c r="F20" s="93"/>
      <c r="G20" s="94" t="e">
        <f>G19/F19</f>
        <v>#DIV/0!</v>
      </c>
      <c r="H20" s="94" t="e">
        <f>H19/F19</f>
        <v>#DIV/0!</v>
      </c>
      <c r="I20" s="94" t="e">
        <f>I19/F19</f>
        <v>#DIV/0!</v>
      </c>
    </row>
    <row r="21" spans="1:9" ht="18" customHeight="1">
      <c r="A21" s="90"/>
      <c r="B21" s="38"/>
      <c r="C21" s="92"/>
      <c r="D21" s="92"/>
      <c r="E21" s="92"/>
      <c r="F21" s="114" t="s">
        <v>142</v>
      </c>
      <c r="G21" s="95" t="s">
        <v>108</v>
      </c>
      <c r="H21" s="95" t="s">
        <v>109</v>
      </c>
      <c r="I21" s="95" t="s">
        <v>110</v>
      </c>
    </row>
    <row r="22" spans="1:9">
      <c r="A22" s="98" t="s">
        <v>24</v>
      </c>
    </row>
    <row r="23" spans="1:9">
      <c r="A23" s="99" t="s">
        <v>201</v>
      </c>
    </row>
    <row r="24" spans="1:9">
      <c r="A24" s="99" t="s">
        <v>34</v>
      </c>
    </row>
    <row r="25" spans="1:9">
      <c r="A25" s="99" t="s">
        <v>35</v>
      </c>
    </row>
    <row r="26" spans="1:9">
      <c r="A26" s="99" t="s">
        <v>36</v>
      </c>
    </row>
    <row r="27" spans="1:9">
      <c r="A27" s="99" t="s">
        <v>37</v>
      </c>
    </row>
    <row r="28" spans="1:9">
      <c r="A28" s="99" t="s">
        <v>38</v>
      </c>
    </row>
    <row r="29" spans="1:9">
      <c r="A29" s="99" t="s">
        <v>39</v>
      </c>
    </row>
    <row r="30" spans="1:9">
      <c r="A30" s="99" t="s">
        <v>40</v>
      </c>
    </row>
    <row r="31" spans="1:9">
      <c r="A31" s="99" t="s">
        <v>41</v>
      </c>
    </row>
    <row r="32" spans="1:9">
      <c r="A32" s="99" t="s">
        <v>42</v>
      </c>
    </row>
    <row r="33" spans="1:11">
      <c r="A33" s="99" t="s">
        <v>43</v>
      </c>
    </row>
    <row r="34" spans="1:11">
      <c r="A34" s="99" t="s">
        <v>44</v>
      </c>
    </row>
    <row r="35" spans="1:11">
      <c r="A35" s="99" t="s">
        <v>45</v>
      </c>
    </row>
    <row r="36" spans="1:11">
      <c r="A36" s="99" t="s">
        <v>46</v>
      </c>
    </row>
    <row r="37" spans="1:11">
      <c r="A37" s="120" t="s">
        <v>159</v>
      </c>
      <c r="B37" s="100"/>
      <c r="C37" s="100"/>
      <c r="D37" s="100"/>
      <c r="E37" s="100"/>
      <c r="F37" s="73"/>
      <c r="G37" s="100"/>
      <c r="H37" s="100"/>
      <c r="I37" s="100"/>
      <c r="J37" s="100"/>
      <c r="K37" s="100"/>
    </row>
    <row r="38" spans="1:11">
      <c r="A38" s="101" t="s">
        <v>47</v>
      </c>
      <c r="B38" s="101"/>
    </row>
    <row r="39" spans="1:11">
      <c r="A39" s="101" t="s">
        <v>48</v>
      </c>
      <c r="B39" s="101"/>
    </row>
    <row r="40" spans="1:11">
      <c r="A40" s="101" t="s">
        <v>49</v>
      </c>
      <c r="B40" s="101"/>
    </row>
    <row r="41" spans="1:11">
      <c r="A41" s="102" t="s">
        <v>50</v>
      </c>
      <c r="B41" s="102" t="s">
        <v>51</v>
      </c>
    </row>
    <row r="42" spans="1:11">
      <c r="A42" s="103">
        <v>1</v>
      </c>
      <c r="B42" s="103" t="s">
        <v>52</v>
      </c>
    </row>
    <row r="43" spans="1:11">
      <c r="A43" s="103">
        <v>2</v>
      </c>
      <c r="B43" s="103" t="s">
        <v>53</v>
      </c>
    </row>
    <row r="44" spans="1:11">
      <c r="A44" s="103">
        <v>3</v>
      </c>
      <c r="B44" s="103" t="s">
        <v>54</v>
      </c>
    </row>
    <row r="45" spans="1:11">
      <c r="A45" s="103">
        <v>4</v>
      </c>
      <c r="B45" s="103" t="s">
        <v>55</v>
      </c>
    </row>
    <row r="46" spans="1:11" ht="106.5" customHeight="1">
      <c r="A46" s="179" t="s">
        <v>147</v>
      </c>
      <c r="B46" s="179"/>
      <c r="C46" s="179"/>
      <c r="D46" s="179"/>
      <c r="E46" s="179"/>
      <c r="F46" s="179"/>
      <c r="G46" s="179"/>
      <c r="H46" s="179"/>
      <c r="I46" s="179"/>
      <c r="J46" s="179"/>
      <c r="K46" s="179"/>
    </row>
    <row r="47" spans="1:11" ht="21.75" customHeight="1">
      <c r="A47" s="104" t="s">
        <v>59</v>
      </c>
      <c r="B47" s="104"/>
      <c r="C47" s="104"/>
      <c r="D47" s="104"/>
      <c r="E47" s="104"/>
      <c r="F47" s="74"/>
      <c r="G47" s="104"/>
      <c r="H47" s="104"/>
      <c r="I47" s="104"/>
      <c r="J47" s="104"/>
      <c r="K47" s="104"/>
    </row>
    <row r="48" spans="1:11" ht="25.5" customHeight="1">
      <c r="A48" s="179" t="s">
        <v>60</v>
      </c>
      <c r="B48" s="179"/>
      <c r="C48" s="179"/>
      <c r="D48" s="179"/>
      <c r="E48" s="179"/>
      <c r="F48" s="179"/>
      <c r="G48" s="179"/>
      <c r="H48" s="179"/>
      <c r="I48" s="179"/>
      <c r="J48" s="179"/>
      <c r="K48" s="179"/>
    </row>
    <row r="49" spans="1:11" ht="25.5" customHeight="1">
      <c r="A49" s="104" t="s">
        <v>61</v>
      </c>
      <c r="B49" s="104"/>
      <c r="C49" s="104"/>
      <c r="D49" s="104"/>
      <c r="E49" s="104"/>
      <c r="F49" s="74"/>
      <c r="G49" s="104"/>
      <c r="H49" s="104"/>
      <c r="I49" s="104"/>
      <c r="J49" s="104"/>
      <c r="K49" s="104"/>
    </row>
    <row r="50" spans="1:11" ht="25.5" customHeight="1">
      <c r="A50" s="179" t="s">
        <v>62</v>
      </c>
      <c r="B50" s="179"/>
      <c r="C50" s="179"/>
      <c r="D50" s="179"/>
      <c r="E50" s="179"/>
      <c r="F50" s="179"/>
      <c r="G50" s="179"/>
      <c r="H50" s="179"/>
      <c r="I50" s="179"/>
      <c r="J50" s="179"/>
      <c r="K50" s="179"/>
    </row>
    <row r="51" spans="1:11" ht="34.5" customHeight="1">
      <c r="A51" s="179" t="s">
        <v>63</v>
      </c>
      <c r="B51" s="179"/>
      <c r="C51" s="179"/>
      <c r="D51" s="179"/>
      <c r="E51" s="179"/>
      <c r="F51" s="179"/>
      <c r="G51" s="179"/>
      <c r="H51" s="179"/>
      <c r="I51" s="179"/>
      <c r="J51" s="179"/>
      <c r="K51" s="179"/>
    </row>
    <row r="52" spans="1:11" ht="25.5" customHeight="1">
      <c r="A52" s="179" t="s">
        <v>64</v>
      </c>
      <c r="B52" s="179"/>
      <c r="C52" s="179"/>
      <c r="D52" s="179"/>
      <c r="E52" s="179"/>
      <c r="F52" s="179"/>
      <c r="G52" s="179"/>
      <c r="H52" s="179"/>
      <c r="I52" s="179"/>
      <c r="J52" s="179"/>
      <c r="K52" s="179"/>
    </row>
    <row r="53" spans="1:11" ht="25.5" customHeight="1">
      <c r="A53" s="104" t="s">
        <v>65</v>
      </c>
      <c r="B53" s="104"/>
      <c r="C53" s="104"/>
      <c r="D53" s="104"/>
      <c r="E53" s="104"/>
      <c r="F53" s="74"/>
      <c r="G53" s="104"/>
      <c r="H53" s="104"/>
      <c r="I53" s="104"/>
      <c r="J53" s="104"/>
      <c r="K53" s="104"/>
    </row>
    <row r="54" spans="1:11" ht="113.25" customHeight="1">
      <c r="A54" s="179" t="s">
        <v>66</v>
      </c>
      <c r="B54" s="179"/>
      <c r="C54" s="179"/>
      <c r="D54" s="179"/>
      <c r="E54" s="179"/>
      <c r="F54" s="179"/>
      <c r="G54" s="179"/>
      <c r="H54" s="179"/>
      <c r="I54" s="179"/>
      <c r="J54" s="179"/>
      <c r="K54" s="179"/>
    </row>
    <row r="55" spans="1:11" ht="25.5" customHeight="1">
      <c r="A55" s="179" t="s">
        <v>67</v>
      </c>
      <c r="B55" s="179"/>
      <c r="C55" s="179"/>
      <c r="D55" s="179"/>
      <c r="E55" s="179"/>
      <c r="F55" s="179"/>
      <c r="G55" s="179"/>
      <c r="H55" s="179"/>
      <c r="I55" s="179"/>
      <c r="J55" s="179"/>
      <c r="K55" s="179"/>
    </row>
    <row r="56" spans="1:11" ht="25.5" customHeight="1">
      <c r="A56" s="104" t="s">
        <v>68</v>
      </c>
      <c r="B56" s="104"/>
      <c r="C56" s="104"/>
      <c r="D56" s="104"/>
      <c r="E56" s="104"/>
      <c r="F56" s="74"/>
      <c r="G56" s="104"/>
      <c r="H56" s="104"/>
      <c r="I56" s="104"/>
      <c r="J56" s="104"/>
      <c r="K56" s="104"/>
    </row>
    <row r="57" spans="1:11" ht="25.5" customHeight="1">
      <c r="A57" s="179" t="s">
        <v>69</v>
      </c>
      <c r="B57" s="179"/>
      <c r="C57" s="179"/>
      <c r="D57" s="179"/>
      <c r="E57" s="179"/>
      <c r="F57" s="179"/>
      <c r="G57" s="179"/>
      <c r="H57" s="179"/>
      <c r="I57" s="179"/>
      <c r="J57" s="179"/>
      <c r="K57" s="179"/>
    </row>
    <row r="58" spans="1:11" ht="25.5" customHeight="1">
      <c r="A58" s="179" t="s">
        <v>70</v>
      </c>
      <c r="B58" s="179"/>
      <c r="C58" s="179"/>
      <c r="D58" s="179"/>
      <c r="E58" s="179"/>
      <c r="F58" s="179"/>
      <c r="G58" s="179"/>
      <c r="H58" s="179"/>
      <c r="I58" s="179"/>
      <c r="J58" s="179"/>
      <c r="K58" s="179"/>
    </row>
    <row r="59" spans="1:11" ht="25.5" customHeight="1">
      <c r="A59" s="179" t="s">
        <v>72</v>
      </c>
      <c r="B59" s="179"/>
      <c r="C59" s="179"/>
      <c r="D59" s="179"/>
      <c r="E59" s="179"/>
      <c r="F59" s="179"/>
      <c r="G59" s="179"/>
      <c r="H59" s="179"/>
      <c r="I59" s="179"/>
      <c r="J59" s="179"/>
      <c r="K59" s="179"/>
    </row>
    <row r="60" spans="1:11" ht="25.5" customHeight="1">
      <c r="A60" s="104" t="s">
        <v>71</v>
      </c>
      <c r="B60" s="104"/>
      <c r="C60" s="104"/>
      <c r="D60" s="104"/>
      <c r="E60" s="104"/>
      <c r="F60" s="74"/>
      <c r="G60" s="104"/>
      <c r="H60" s="104"/>
      <c r="I60" s="104"/>
      <c r="J60" s="104"/>
      <c r="K60" s="104"/>
    </row>
    <row r="61" spans="1:11" ht="104.25" customHeight="1">
      <c r="A61" s="179" t="s">
        <v>73</v>
      </c>
      <c r="B61" s="179"/>
      <c r="C61" s="179"/>
      <c r="D61" s="179"/>
      <c r="E61" s="179"/>
      <c r="F61" s="179"/>
      <c r="G61" s="179"/>
      <c r="H61" s="179"/>
      <c r="I61" s="179"/>
      <c r="J61" s="179"/>
      <c r="K61" s="179"/>
    </row>
    <row r="62" spans="1:11" ht="25.5" customHeight="1">
      <c r="A62" s="179" t="s">
        <v>74</v>
      </c>
      <c r="B62" s="179"/>
      <c r="C62" s="179"/>
      <c r="D62" s="179"/>
      <c r="E62" s="179"/>
      <c r="F62" s="179"/>
      <c r="G62" s="179"/>
      <c r="H62" s="179"/>
      <c r="I62" s="179"/>
      <c r="J62" s="179"/>
      <c r="K62" s="179"/>
    </row>
    <row r="63" spans="1:11" ht="25.5" customHeight="1">
      <c r="A63" s="179" t="s">
        <v>75</v>
      </c>
      <c r="B63" s="179"/>
      <c r="C63" s="179"/>
      <c r="D63" s="179"/>
      <c r="E63" s="179"/>
      <c r="F63" s="179"/>
      <c r="G63" s="179"/>
      <c r="H63" s="179"/>
      <c r="I63" s="179"/>
      <c r="J63" s="179"/>
      <c r="K63" s="179"/>
    </row>
    <row r="64" spans="1:11" ht="25.5" customHeight="1">
      <c r="A64" s="104" t="s">
        <v>76</v>
      </c>
      <c r="B64" s="104"/>
      <c r="C64" s="104"/>
      <c r="D64" s="104"/>
      <c r="E64" s="104"/>
      <c r="F64" s="74"/>
      <c r="G64" s="104"/>
      <c r="H64" s="104"/>
      <c r="I64" s="104"/>
      <c r="J64" s="104"/>
      <c r="K64" s="104"/>
    </row>
    <row r="65" spans="1:11" ht="25.5" customHeight="1">
      <c r="A65" s="179" t="s">
        <v>77</v>
      </c>
      <c r="B65" s="179"/>
      <c r="C65" s="179"/>
      <c r="D65" s="179"/>
      <c r="E65" s="179"/>
      <c r="F65" s="179"/>
      <c r="G65" s="179"/>
      <c r="H65" s="179"/>
      <c r="I65" s="179"/>
      <c r="J65" s="179"/>
      <c r="K65" s="179"/>
    </row>
    <row r="66" spans="1:11" ht="19.5" customHeight="1">
      <c r="A66" s="120" t="s">
        <v>160</v>
      </c>
      <c r="B66" s="117"/>
      <c r="C66" s="117"/>
      <c r="D66" s="117"/>
      <c r="E66" s="117"/>
      <c r="F66" s="117"/>
      <c r="G66" s="117"/>
      <c r="H66" s="117"/>
      <c r="I66" s="117"/>
      <c r="J66" s="117"/>
      <c r="K66" s="117"/>
    </row>
    <row r="67" spans="1:11" ht="18.75" customHeight="1" thickBot="1">
      <c r="A67" s="182" t="s">
        <v>199</v>
      </c>
      <c r="B67" s="182"/>
      <c r="C67" s="182"/>
      <c r="D67" s="182"/>
      <c r="E67" s="182"/>
      <c r="F67" s="182"/>
      <c r="G67" s="182"/>
    </row>
    <row r="68" spans="1:11" s="86" customFormat="1" ht="33" customHeight="1" thickBot="1">
      <c r="A68" s="138"/>
      <c r="B68" s="139" t="s">
        <v>157</v>
      </c>
      <c r="C68" s="181" t="s">
        <v>200</v>
      </c>
      <c r="D68" s="181"/>
      <c r="E68" s="140"/>
      <c r="F68" s="138"/>
      <c r="G68" s="138"/>
    </row>
    <row r="69" spans="1:11" s="86" customFormat="1" ht="37.5" customHeight="1" thickBot="1">
      <c r="A69" s="138"/>
      <c r="B69" s="141" t="s">
        <v>148</v>
      </c>
      <c r="C69" s="180" t="s">
        <v>149</v>
      </c>
      <c r="D69" s="180"/>
      <c r="E69" s="140"/>
      <c r="F69" s="138"/>
      <c r="G69" s="138"/>
    </row>
    <row r="70" spans="1:11" s="86" customFormat="1" ht="18.75" customHeight="1" thickBot="1">
      <c r="A70" s="138"/>
      <c r="B70" s="141" t="s">
        <v>151</v>
      </c>
      <c r="C70" s="180" t="s">
        <v>152</v>
      </c>
      <c r="D70" s="180"/>
      <c r="E70" s="140"/>
      <c r="F70" s="138"/>
      <c r="G70" s="138"/>
    </row>
    <row r="71" spans="1:11" s="86" customFormat="1" ht="18.75" customHeight="1" thickBot="1">
      <c r="A71" s="138"/>
      <c r="B71" s="141" t="s">
        <v>153</v>
      </c>
      <c r="C71" s="180" t="s">
        <v>154</v>
      </c>
      <c r="D71" s="180"/>
      <c r="E71" s="140"/>
      <c r="F71" s="138"/>
      <c r="G71" s="138"/>
    </row>
    <row r="72" spans="1:11" s="86" customFormat="1" ht="18.75" customHeight="1">
      <c r="F72" s="75"/>
    </row>
    <row r="73" spans="1:11" s="86" customFormat="1" ht="18.75" customHeight="1">
      <c r="F73" s="75"/>
    </row>
    <row r="74" spans="1:11" s="86" customFormat="1" ht="18.75" customHeight="1">
      <c r="F74" s="75"/>
    </row>
    <row r="75" spans="1:11" s="86" customFormat="1" ht="18.75" customHeight="1">
      <c r="F75" s="75"/>
    </row>
    <row r="76" spans="1:11" s="86" customFormat="1" ht="18.75" customHeight="1">
      <c r="F76" s="75"/>
    </row>
    <row r="77" spans="1:11" s="86" customFormat="1" ht="18.75" customHeight="1">
      <c r="F77" s="75"/>
    </row>
    <row r="78" spans="1:11" s="86" customFormat="1" ht="18.75" customHeight="1">
      <c r="F78" s="75"/>
    </row>
    <row r="79" spans="1:11" s="86" customFormat="1" ht="18.75" customHeight="1">
      <c r="F79" s="75"/>
    </row>
    <row r="80" spans="1:11" s="86" customFormat="1" ht="18.75" customHeight="1">
      <c r="F80" s="75"/>
    </row>
    <row r="81" spans="6:6" s="86" customFormat="1" ht="18.75" customHeight="1">
      <c r="F81" s="75"/>
    </row>
    <row r="82" spans="6:6" s="86" customFormat="1" ht="18.75" customHeight="1">
      <c r="F82" s="75"/>
    </row>
    <row r="83" spans="6:6" s="86" customFormat="1" ht="18.75" customHeight="1">
      <c r="F83" s="75"/>
    </row>
    <row r="84" spans="6:6" s="86" customFormat="1" ht="18.75" customHeight="1">
      <c r="F84" s="75"/>
    </row>
    <row r="85" spans="6:6" s="86" customFormat="1" ht="18.75" customHeight="1">
      <c r="F85" s="75"/>
    </row>
    <row r="86" spans="6:6" s="86" customFormat="1" ht="18.75" customHeight="1">
      <c r="F86" s="75"/>
    </row>
    <row r="87" spans="6:6" s="86" customFormat="1" ht="18.75" customHeight="1">
      <c r="F87" s="75"/>
    </row>
    <row r="88" spans="6:6" s="86" customFormat="1" ht="18.75" customHeight="1">
      <c r="F88" s="75"/>
    </row>
    <row r="89" spans="6:6" s="86" customFormat="1" ht="18.75" customHeight="1">
      <c r="F89" s="75"/>
    </row>
    <row r="90" spans="6:6" s="86" customFormat="1" ht="18.75" customHeight="1">
      <c r="F90" s="75"/>
    </row>
    <row r="91" spans="6:6" s="86" customFormat="1" ht="18.75" customHeight="1">
      <c r="F91" s="75"/>
    </row>
    <row r="92" spans="6:6" s="86" customFormat="1" ht="18.75" customHeight="1">
      <c r="F92" s="75"/>
    </row>
    <row r="93" spans="6:6" s="86" customFormat="1" ht="18.75" customHeight="1">
      <c r="F93" s="75"/>
    </row>
    <row r="94" spans="6:6" s="86" customFormat="1" ht="18.75" customHeight="1">
      <c r="F94" s="75"/>
    </row>
    <row r="95" spans="6:6" s="86" customFormat="1" ht="18.75" customHeight="1">
      <c r="F95" s="75"/>
    </row>
    <row r="96" spans="6:6" s="86" customFormat="1" ht="18.75" customHeight="1">
      <c r="F96" s="75"/>
    </row>
    <row r="97" spans="6:6" s="86" customFormat="1" ht="18.75" customHeight="1">
      <c r="F97" s="75"/>
    </row>
    <row r="98" spans="6:6" s="86" customFormat="1" ht="18.75" customHeight="1">
      <c r="F98" s="75"/>
    </row>
    <row r="99" spans="6:6" s="86" customFormat="1" ht="18.75" customHeight="1">
      <c r="F99" s="75"/>
    </row>
    <row r="100" spans="6:6" s="86" customFormat="1" ht="18.75" customHeight="1">
      <c r="F100" s="75"/>
    </row>
    <row r="101" spans="6:6" s="86" customFormat="1" ht="18.75" customHeight="1">
      <c r="F101" s="75"/>
    </row>
    <row r="102" spans="6:6" s="86" customFormat="1" ht="18.75" customHeight="1">
      <c r="F102" s="75"/>
    </row>
    <row r="103" spans="6:6" s="86" customFormat="1" ht="18.75" customHeight="1">
      <c r="F103" s="75"/>
    </row>
    <row r="104" spans="6:6" s="86" customFormat="1" ht="18.75" customHeight="1">
      <c r="F104" s="75"/>
    </row>
    <row r="105" spans="6:6" s="86" customFormat="1" ht="18.75" customHeight="1">
      <c r="F105" s="75"/>
    </row>
    <row r="106" spans="6:6" s="86" customFormat="1" ht="12.75">
      <c r="F106" s="75"/>
    </row>
    <row r="107" spans="6:6" s="86" customFormat="1" ht="12.75">
      <c r="F107" s="75"/>
    </row>
    <row r="108" spans="6:6" s="86" customFormat="1" ht="12.75">
      <c r="F108" s="75"/>
    </row>
    <row r="109" spans="6:6" s="86" customFormat="1" ht="12.75">
      <c r="F109" s="75"/>
    </row>
    <row r="110" spans="6:6" s="86" customFormat="1" ht="12.75">
      <c r="F110" s="75"/>
    </row>
    <row r="111" spans="6:6" s="86" customFormat="1" ht="12.75">
      <c r="F111" s="75"/>
    </row>
    <row r="112" spans="6:6" s="86" customFormat="1" ht="12.75">
      <c r="F112" s="75"/>
    </row>
    <row r="113" spans="1:6" s="86" customFormat="1" ht="12.75">
      <c r="A113" s="105" t="s">
        <v>79</v>
      </c>
      <c r="F113" s="75"/>
    </row>
    <row r="114" spans="1:6" s="86" customFormat="1" ht="12.75">
      <c r="A114" s="86" t="s">
        <v>80</v>
      </c>
      <c r="F114" s="75"/>
    </row>
    <row r="115" spans="1:6" s="86" customFormat="1" ht="12.75">
      <c r="F115" s="75"/>
    </row>
    <row r="116" spans="1:6" s="86" customFormat="1" ht="12.75">
      <c r="F116" s="75"/>
    </row>
    <row r="117" spans="1:6" s="86" customFormat="1" ht="12.75">
      <c r="F117" s="75"/>
    </row>
    <row r="118" spans="1:6" s="86" customFormat="1" ht="12.75">
      <c r="F118" s="75"/>
    </row>
    <row r="119" spans="1:6" s="86" customFormat="1" ht="12.75">
      <c r="F119" s="75"/>
    </row>
    <row r="120" spans="1:6" s="86" customFormat="1" ht="12.75">
      <c r="A120" s="86" t="s">
        <v>81</v>
      </c>
      <c r="F120" s="75"/>
    </row>
    <row r="121" spans="1:6" s="86" customFormat="1" ht="12.75">
      <c r="A121" s="105" t="s">
        <v>82</v>
      </c>
      <c r="F121" s="75"/>
    </row>
    <row r="122" spans="1:6" s="86" customFormat="1" ht="12.75">
      <c r="A122" s="105" t="s">
        <v>83</v>
      </c>
      <c r="F122" s="75"/>
    </row>
    <row r="123" spans="1:6" s="86" customFormat="1" ht="12.75">
      <c r="A123" s="86" t="s">
        <v>84</v>
      </c>
      <c r="F123" s="75"/>
    </row>
    <row r="124" spans="1:6" s="86" customFormat="1" ht="12.75">
      <c r="F124" s="75"/>
    </row>
    <row r="125" spans="1:6" s="86" customFormat="1" ht="12.75">
      <c r="F125" s="75"/>
    </row>
    <row r="126" spans="1:6" s="86" customFormat="1" ht="12.75">
      <c r="F126" s="75"/>
    </row>
    <row r="127" spans="1:6" s="86" customFormat="1" ht="12.75">
      <c r="F127" s="75"/>
    </row>
    <row r="128" spans="1:6" s="86" customFormat="1" ht="12.75">
      <c r="F128" s="75"/>
    </row>
    <row r="129" spans="6:6" s="86" customFormat="1" ht="12.75">
      <c r="F129" s="75"/>
    </row>
    <row r="130" spans="6:6" s="86" customFormat="1" ht="12.75">
      <c r="F130" s="75"/>
    </row>
    <row r="131" spans="6:6" s="86" customFormat="1" ht="12.75">
      <c r="F131" s="75"/>
    </row>
    <row r="132" spans="6:6" s="86" customFormat="1" ht="12.75">
      <c r="F132" s="75"/>
    </row>
    <row r="133" spans="6:6" s="86" customFormat="1" ht="12.75">
      <c r="F133" s="75"/>
    </row>
    <row r="134" spans="6:6" s="86" customFormat="1" ht="12.75">
      <c r="F134" s="75"/>
    </row>
    <row r="135" spans="6:6" s="86" customFormat="1" ht="12.75">
      <c r="F135" s="75"/>
    </row>
    <row r="136" spans="6:6" s="86" customFormat="1" ht="12.75">
      <c r="F136" s="75"/>
    </row>
    <row r="137" spans="6:6" s="86" customFormat="1" ht="12.75">
      <c r="F137" s="75"/>
    </row>
    <row r="138" spans="6:6" s="86" customFormat="1" ht="12.75">
      <c r="F138" s="75"/>
    </row>
    <row r="139" spans="6:6" s="86" customFormat="1" ht="12.75">
      <c r="F139" s="75"/>
    </row>
    <row r="140" spans="6:6" s="86" customFormat="1" ht="12.75">
      <c r="F140" s="75"/>
    </row>
    <row r="141" spans="6:6" s="86" customFormat="1" ht="12.75">
      <c r="F141" s="75"/>
    </row>
    <row r="142" spans="6:6" s="86" customFormat="1" ht="12.75">
      <c r="F142" s="75"/>
    </row>
    <row r="143" spans="6:6" s="86" customFormat="1" ht="12.75">
      <c r="F143" s="75"/>
    </row>
    <row r="144" spans="6:6" s="86" customFormat="1" ht="12.75">
      <c r="F144" s="75"/>
    </row>
    <row r="145" spans="6:6" s="86" customFormat="1" ht="12.75">
      <c r="F145" s="75"/>
    </row>
    <row r="146" spans="6:6" s="86" customFormat="1" ht="12.75">
      <c r="F146" s="75"/>
    </row>
    <row r="147" spans="6:6" s="86" customFormat="1" ht="12.75">
      <c r="F147" s="75"/>
    </row>
    <row r="148" spans="6:6" s="86" customFormat="1" ht="12.75">
      <c r="F148" s="75"/>
    </row>
    <row r="149" spans="6:6" s="86" customFormat="1" ht="12.75">
      <c r="F149" s="75"/>
    </row>
    <row r="150" spans="6:6" s="86" customFormat="1" ht="12.75">
      <c r="F150" s="75"/>
    </row>
    <row r="151" spans="6:6" s="86" customFormat="1" ht="12.75">
      <c r="F151" s="75"/>
    </row>
    <row r="152" spans="6:6" s="86" customFormat="1" ht="12.75">
      <c r="F152" s="75"/>
    </row>
    <row r="153" spans="6:6" s="86" customFormat="1" ht="12.75">
      <c r="F153" s="75"/>
    </row>
    <row r="154" spans="6:6" s="86" customFormat="1" ht="12.75">
      <c r="F154" s="75"/>
    </row>
    <row r="155" spans="6:6" s="86" customFormat="1" ht="12.75">
      <c r="F155" s="75"/>
    </row>
    <row r="156" spans="6:6" s="86" customFormat="1" ht="12.75">
      <c r="F156" s="75"/>
    </row>
    <row r="157" spans="6:6" s="86" customFormat="1" ht="12.75">
      <c r="F157" s="75"/>
    </row>
    <row r="158" spans="6:6" s="86" customFormat="1" ht="12.75">
      <c r="F158" s="75"/>
    </row>
  </sheetData>
  <mergeCells count="22">
    <mergeCell ref="C69:D69"/>
    <mergeCell ref="C70:D70"/>
    <mergeCell ref="C71:D71"/>
    <mergeCell ref="C68:D68"/>
    <mergeCell ref="A67:G67"/>
    <mergeCell ref="A50:K50"/>
    <mergeCell ref="A52:K52"/>
    <mergeCell ref="A58:K58"/>
    <mergeCell ref="A65:K65"/>
    <mergeCell ref="A54:K54"/>
    <mergeCell ref="A51:K51"/>
    <mergeCell ref="A55:K55"/>
    <mergeCell ref="A57:K57"/>
    <mergeCell ref="A59:K59"/>
    <mergeCell ref="A61:K61"/>
    <mergeCell ref="A62:K62"/>
    <mergeCell ref="A63:K63"/>
    <mergeCell ref="A1:I1"/>
    <mergeCell ref="A2:I2"/>
    <mergeCell ref="D7:E7"/>
    <mergeCell ref="A46:K46"/>
    <mergeCell ref="A48:K48"/>
  </mergeCells>
  <phoneticPr fontId="3" type="noConversion"/>
  <dataValidations count="1">
    <dataValidation type="list" allowBlank="1" showInputMessage="1" showErrorMessage="1" sqref="G9:G18">
      <formula1>$A$120:$A$123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8"/>
  <sheetViews>
    <sheetView view="pageBreakPreview" topLeftCell="A26" zoomScale="120" zoomScaleNormal="120" zoomScaleSheetLayoutView="120" workbookViewId="0">
      <selection activeCell="B39" sqref="B39"/>
    </sheetView>
  </sheetViews>
  <sheetFormatPr defaultRowHeight="15.75"/>
  <cols>
    <col min="1" max="1" width="4.875" style="85" customWidth="1"/>
    <col min="2" max="2" width="53.625" style="85" customWidth="1"/>
    <col min="3" max="3" width="12.375" style="85" customWidth="1"/>
    <col min="4" max="4" width="4.375" style="85" customWidth="1"/>
    <col min="5" max="5" width="32.375" style="85" customWidth="1"/>
    <col min="6" max="6" width="11.375" style="72" customWidth="1"/>
    <col min="7" max="7" width="14" style="85" customWidth="1"/>
    <col min="8" max="8" width="9" style="85" customWidth="1"/>
    <col min="9" max="9" width="13.25" style="85" customWidth="1"/>
    <col min="10" max="16384" width="9" style="85"/>
  </cols>
  <sheetData>
    <row r="1" spans="1:9" ht="21.75" customHeight="1">
      <c r="A1" s="173" t="s">
        <v>22</v>
      </c>
      <c r="B1" s="173"/>
      <c r="C1" s="173"/>
      <c r="D1" s="173"/>
      <c r="E1" s="173"/>
      <c r="F1" s="173"/>
      <c r="G1" s="173"/>
      <c r="H1" s="173"/>
      <c r="I1" s="173"/>
    </row>
    <row r="2" spans="1:9" ht="27.95" customHeight="1">
      <c r="A2" s="174" t="s">
        <v>195</v>
      </c>
      <c r="B2" s="175"/>
      <c r="C2" s="175"/>
      <c r="D2" s="175"/>
      <c r="E2" s="175"/>
      <c r="F2" s="175"/>
      <c r="G2" s="175"/>
      <c r="H2" s="175"/>
      <c r="I2" s="175"/>
    </row>
    <row r="3" spans="1:9" ht="20.100000000000001" customHeight="1">
      <c r="A3" s="86" t="str">
        <f>'B23-10了解管理循环流程和内部控制记录表'!A3</f>
        <v>客户名称：</v>
      </c>
      <c r="C3" s="86" t="str">
        <f>'B23-10了解管理循环流程和内部控制记录表'!C3</f>
        <v>编制人：</v>
      </c>
      <c r="E3" s="86" t="str">
        <f>'B23-10了解管理循环流程和内部控制记录表'!D3</f>
        <v>日 期：</v>
      </c>
      <c r="I3" s="86" t="s">
        <v>198</v>
      </c>
    </row>
    <row r="4" spans="1:9" ht="20.100000000000001" customHeight="1">
      <c r="A4" s="86" t="str">
        <f>'B23-10了解管理循环流程和内部控制记录表'!A4</f>
        <v>会计期间：2013年度</v>
      </c>
      <c r="C4" s="86" t="s">
        <v>5</v>
      </c>
      <c r="E4" s="86" t="s">
        <v>25</v>
      </c>
      <c r="I4" s="86" t="s">
        <v>26</v>
      </c>
    </row>
    <row r="5" spans="1:9" ht="6" customHeight="1">
      <c r="A5" s="86"/>
      <c r="C5" s="86"/>
      <c r="E5" s="86"/>
      <c r="I5" s="86"/>
    </row>
    <row r="6" spans="1:9" ht="20.100000000000001" customHeight="1">
      <c r="A6" s="106" t="s">
        <v>143</v>
      </c>
      <c r="C6" s="86"/>
      <c r="E6" s="86"/>
      <c r="I6" s="86"/>
    </row>
    <row r="7" spans="1:9" s="87" customFormat="1" ht="56.25" customHeight="1">
      <c r="A7" s="137" t="s">
        <v>119</v>
      </c>
      <c r="B7" s="137" t="s">
        <v>78</v>
      </c>
      <c r="C7" s="137" t="s">
        <v>120</v>
      </c>
      <c r="D7" s="178" t="s">
        <v>85</v>
      </c>
      <c r="E7" s="178"/>
      <c r="F7" s="65" t="s">
        <v>104</v>
      </c>
      <c r="G7" s="65" t="s">
        <v>105</v>
      </c>
      <c r="H7" s="65" t="s">
        <v>106</v>
      </c>
      <c r="I7" s="65" t="s">
        <v>107</v>
      </c>
    </row>
    <row r="8" spans="1:9" s="87" customFormat="1">
      <c r="A8" s="88" t="s">
        <v>121</v>
      </c>
      <c r="B8" s="64"/>
      <c r="C8" s="64"/>
      <c r="D8" s="89"/>
      <c r="E8" s="58"/>
      <c r="F8" s="69"/>
      <c r="G8" s="64"/>
      <c r="H8" s="64"/>
      <c r="I8" s="64"/>
    </row>
    <row r="9" spans="1:9" s="87" customFormat="1" ht="18" customHeight="1">
      <c r="A9" s="132" t="s">
        <v>192</v>
      </c>
      <c r="B9" s="38"/>
      <c r="C9" s="91"/>
      <c r="D9" s="91"/>
      <c r="E9" s="91"/>
      <c r="F9" s="70"/>
      <c r="G9" s="91"/>
      <c r="H9" s="91"/>
      <c r="I9" s="91"/>
    </row>
    <row r="10" spans="1:9" s="87" customFormat="1" ht="18" customHeight="1">
      <c r="A10" s="90"/>
      <c r="B10" s="133" t="s">
        <v>181</v>
      </c>
      <c r="C10" s="91"/>
      <c r="D10" s="91">
        <v>1</v>
      </c>
      <c r="E10" s="91"/>
      <c r="F10" s="71">
        <f>IF(OR(G10&lt;&gt;0,H10&lt;&gt;0,I10&lt;&gt;0),1,0)</f>
        <v>0</v>
      </c>
      <c r="G10" s="91"/>
      <c r="H10" s="91"/>
      <c r="I10" s="91"/>
    </row>
    <row r="11" spans="1:9" s="87" customFormat="1" ht="18" customHeight="1">
      <c r="A11" s="90"/>
      <c r="B11" s="38"/>
      <c r="C11" s="91"/>
      <c r="D11" s="91">
        <v>2</v>
      </c>
      <c r="E11" s="91"/>
      <c r="F11" s="71">
        <f t="shared" ref="F11:F19" si="0">IF(OR(G11&lt;&gt;0,H11&lt;&gt;0,I11&lt;&gt;0),1,0)</f>
        <v>0</v>
      </c>
      <c r="G11" s="91"/>
      <c r="H11" s="91"/>
      <c r="I11" s="91"/>
    </row>
    <row r="12" spans="1:9" s="87" customFormat="1" ht="18" customHeight="1">
      <c r="A12" s="90"/>
      <c r="B12" s="38"/>
      <c r="C12" s="91"/>
      <c r="D12" s="91" t="s">
        <v>14</v>
      </c>
      <c r="E12" s="91"/>
      <c r="F12" s="71">
        <f t="shared" si="0"/>
        <v>0</v>
      </c>
      <c r="G12" s="91"/>
      <c r="H12" s="91"/>
      <c r="I12" s="91"/>
    </row>
    <row r="13" spans="1:9" ht="18" customHeight="1">
      <c r="A13" s="90"/>
      <c r="B13" s="133" t="s">
        <v>182</v>
      </c>
      <c r="C13" s="92"/>
      <c r="D13" s="92"/>
      <c r="E13" s="92"/>
      <c r="F13" s="71">
        <f t="shared" si="0"/>
        <v>0</v>
      </c>
      <c r="G13" s="91"/>
      <c r="H13" s="92"/>
      <c r="I13" s="91"/>
    </row>
    <row r="14" spans="1:9" ht="18" customHeight="1">
      <c r="A14" s="90"/>
      <c r="B14" s="84" t="s">
        <v>194</v>
      </c>
      <c r="C14" s="92"/>
      <c r="D14" s="92"/>
      <c r="E14" s="92"/>
      <c r="F14" s="71">
        <f t="shared" si="0"/>
        <v>0</v>
      </c>
      <c r="G14" s="91"/>
      <c r="H14" s="92"/>
      <c r="I14" s="91"/>
    </row>
    <row r="15" spans="1:9" ht="18" customHeight="1">
      <c r="A15" s="90"/>
      <c r="B15" s="133"/>
      <c r="C15" s="92"/>
      <c r="D15" s="92"/>
      <c r="E15" s="92"/>
      <c r="F15" s="71">
        <f t="shared" si="0"/>
        <v>0</v>
      </c>
      <c r="G15" s="91"/>
      <c r="H15" s="92"/>
      <c r="I15" s="91"/>
    </row>
    <row r="16" spans="1:9" ht="18" customHeight="1">
      <c r="A16" s="132" t="s">
        <v>193</v>
      </c>
      <c r="B16" s="38"/>
      <c r="C16" s="92"/>
      <c r="D16" s="92"/>
      <c r="E16" s="92"/>
      <c r="F16" s="71">
        <f t="shared" si="0"/>
        <v>0</v>
      </c>
      <c r="G16" s="91"/>
      <c r="H16" s="92"/>
      <c r="I16" s="91"/>
    </row>
    <row r="17" spans="1:9" ht="18" customHeight="1">
      <c r="A17" s="90"/>
      <c r="B17" s="133" t="s">
        <v>185</v>
      </c>
      <c r="C17" s="92"/>
      <c r="D17" s="92"/>
      <c r="E17" s="92"/>
      <c r="F17" s="71">
        <f t="shared" si="0"/>
        <v>0</v>
      </c>
      <c r="G17" s="91"/>
      <c r="H17" s="92"/>
      <c r="I17" s="91"/>
    </row>
    <row r="18" spans="1:9" ht="18" customHeight="1">
      <c r="A18" s="90"/>
      <c r="B18" s="38"/>
      <c r="C18" s="92"/>
      <c r="D18" s="92"/>
      <c r="E18" s="92"/>
      <c r="F18" s="71">
        <f t="shared" si="0"/>
        <v>0</v>
      </c>
      <c r="G18" s="91"/>
      <c r="H18" s="92"/>
      <c r="I18" s="91"/>
    </row>
    <row r="19" spans="1:9" ht="18" customHeight="1">
      <c r="A19" s="90"/>
      <c r="B19" s="38"/>
      <c r="C19" s="92"/>
      <c r="D19" s="92"/>
      <c r="E19" s="92"/>
      <c r="F19" s="71">
        <f t="shared" si="0"/>
        <v>0</v>
      </c>
      <c r="G19" s="91"/>
      <c r="H19" s="92"/>
      <c r="I19" s="91"/>
    </row>
    <row r="20" spans="1:9" ht="18" customHeight="1">
      <c r="A20" s="109"/>
      <c r="B20" s="108"/>
      <c r="C20" s="107" t="s">
        <v>141</v>
      </c>
      <c r="D20" s="110"/>
      <c r="E20" s="110"/>
      <c r="F20" s="111">
        <f>SUM(F10:F19)</f>
        <v>0</v>
      </c>
      <c r="G20" s="112">
        <f>COUNTA(G10:G19)</f>
        <v>0</v>
      </c>
      <c r="H20" s="112">
        <f t="shared" ref="H20:I20" si="1">COUNTA(H10:H19)</f>
        <v>0</v>
      </c>
      <c r="I20" s="112">
        <f t="shared" si="1"/>
        <v>0</v>
      </c>
    </row>
    <row r="21" spans="1:9" ht="18" customHeight="1">
      <c r="A21" s="90"/>
      <c r="B21" s="38"/>
      <c r="C21" s="92"/>
      <c r="D21" s="92"/>
      <c r="E21" s="92"/>
      <c r="F21" s="93"/>
      <c r="G21" s="94" t="e">
        <f>G20/F20</f>
        <v>#DIV/0!</v>
      </c>
      <c r="H21" s="94" t="e">
        <f>H20/F20</f>
        <v>#DIV/0!</v>
      </c>
      <c r="I21" s="94" t="e">
        <f>I20/F20</f>
        <v>#DIV/0!</v>
      </c>
    </row>
    <row r="22" spans="1:9" ht="18" customHeight="1">
      <c r="A22" s="90"/>
      <c r="B22" s="38"/>
      <c r="C22" s="92"/>
      <c r="D22" s="92"/>
      <c r="E22" s="92"/>
      <c r="F22" s="114" t="s">
        <v>142</v>
      </c>
      <c r="G22" s="95" t="s">
        <v>108</v>
      </c>
      <c r="H22" s="95" t="s">
        <v>109</v>
      </c>
      <c r="I22" s="95" t="s">
        <v>110</v>
      </c>
    </row>
    <row r="23" spans="1:9" ht="18" customHeight="1">
      <c r="A23" s="96" t="s">
        <v>122</v>
      </c>
      <c r="B23" s="38"/>
      <c r="C23" s="92"/>
      <c r="D23" s="92"/>
      <c r="E23" s="92"/>
      <c r="F23" s="71"/>
      <c r="G23" s="92"/>
      <c r="H23" s="92"/>
      <c r="I23" s="91"/>
    </row>
    <row r="24" spans="1:9" s="87" customFormat="1" ht="18" customHeight="1">
      <c r="A24" s="132" t="s">
        <v>192</v>
      </c>
      <c r="B24" s="38"/>
      <c r="C24" s="91"/>
      <c r="D24" s="91"/>
      <c r="E24" s="91"/>
      <c r="F24" s="70"/>
      <c r="G24" s="91"/>
      <c r="H24" s="91"/>
      <c r="I24" s="91"/>
    </row>
    <row r="25" spans="1:9" s="87" customFormat="1" ht="18" customHeight="1">
      <c r="A25" s="90"/>
      <c r="B25" s="133" t="s">
        <v>181</v>
      </c>
      <c r="C25" s="91"/>
      <c r="D25" s="91">
        <v>1</v>
      </c>
      <c r="E25" s="91"/>
      <c r="F25" s="71">
        <f>IF(OR(G25&lt;&gt;0,H25&lt;&gt;0,I25&lt;&gt;0),1,0)</f>
        <v>0</v>
      </c>
      <c r="G25" s="91"/>
      <c r="H25" s="91"/>
      <c r="I25" s="91"/>
    </row>
    <row r="26" spans="1:9" s="87" customFormat="1" ht="18" customHeight="1">
      <c r="A26" s="90"/>
      <c r="B26" s="38"/>
      <c r="C26" s="91"/>
      <c r="D26" s="91">
        <v>2</v>
      </c>
      <c r="E26" s="91"/>
      <c r="F26" s="71">
        <f t="shared" ref="F26:F34" si="2">IF(OR(G26&lt;&gt;0,H26&lt;&gt;0,I26&lt;&gt;0),1,0)</f>
        <v>0</v>
      </c>
      <c r="G26" s="91"/>
      <c r="H26" s="91"/>
      <c r="I26" s="91"/>
    </row>
    <row r="27" spans="1:9" s="87" customFormat="1" ht="18" customHeight="1">
      <c r="A27" s="90"/>
      <c r="B27" s="38"/>
      <c r="C27" s="91"/>
      <c r="D27" s="91" t="s">
        <v>14</v>
      </c>
      <c r="E27" s="91"/>
      <c r="F27" s="71">
        <f t="shared" si="2"/>
        <v>0</v>
      </c>
      <c r="G27" s="91"/>
      <c r="H27" s="91"/>
      <c r="I27" s="91"/>
    </row>
    <row r="28" spans="1:9" ht="18" customHeight="1">
      <c r="A28" s="90"/>
      <c r="B28" s="133" t="s">
        <v>182</v>
      </c>
      <c r="C28" s="92"/>
      <c r="D28" s="92"/>
      <c r="E28" s="92"/>
      <c r="F28" s="71">
        <f t="shared" si="2"/>
        <v>0</v>
      </c>
      <c r="G28" s="91"/>
      <c r="H28" s="92"/>
      <c r="I28" s="91"/>
    </row>
    <row r="29" spans="1:9" ht="18" customHeight="1">
      <c r="A29" s="90"/>
      <c r="B29" s="84" t="s">
        <v>194</v>
      </c>
      <c r="C29" s="92"/>
      <c r="D29" s="92"/>
      <c r="E29" s="92"/>
      <c r="F29" s="71">
        <f t="shared" si="2"/>
        <v>0</v>
      </c>
      <c r="G29" s="91"/>
      <c r="H29" s="92"/>
      <c r="I29" s="91"/>
    </row>
    <row r="30" spans="1:9" ht="18" customHeight="1">
      <c r="A30" s="90"/>
      <c r="B30" s="133"/>
      <c r="C30" s="92"/>
      <c r="D30" s="92"/>
      <c r="E30" s="92"/>
      <c r="F30" s="71">
        <f t="shared" si="2"/>
        <v>0</v>
      </c>
      <c r="G30" s="91"/>
      <c r="H30" s="92"/>
      <c r="I30" s="91"/>
    </row>
    <row r="31" spans="1:9" ht="18" customHeight="1">
      <c r="A31" s="132" t="s">
        <v>193</v>
      </c>
      <c r="B31" s="38"/>
      <c r="C31" s="92"/>
      <c r="D31" s="92"/>
      <c r="E31" s="92"/>
      <c r="F31" s="71">
        <f t="shared" si="2"/>
        <v>0</v>
      </c>
      <c r="G31" s="91"/>
      <c r="H31" s="92"/>
      <c r="I31" s="91"/>
    </row>
    <row r="32" spans="1:9" ht="18" customHeight="1">
      <c r="A32" s="90"/>
      <c r="B32" s="133" t="s">
        <v>185</v>
      </c>
      <c r="C32" s="92"/>
      <c r="D32" s="92"/>
      <c r="E32" s="92"/>
      <c r="F32" s="71">
        <f t="shared" si="2"/>
        <v>0</v>
      </c>
      <c r="G32" s="91"/>
      <c r="H32" s="92"/>
      <c r="I32" s="91"/>
    </row>
    <row r="33" spans="1:9" ht="18" customHeight="1">
      <c r="A33" s="90"/>
      <c r="B33" s="38"/>
      <c r="C33" s="92"/>
      <c r="D33" s="92"/>
      <c r="E33" s="92"/>
      <c r="F33" s="71">
        <f t="shared" si="2"/>
        <v>0</v>
      </c>
      <c r="G33" s="91"/>
      <c r="H33" s="92"/>
      <c r="I33" s="91"/>
    </row>
    <row r="34" spans="1:9" ht="18" customHeight="1">
      <c r="A34" s="90"/>
      <c r="B34" s="38"/>
      <c r="C34" s="92"/>
      <c r="D34" s="92"/>
      <c r="E34" s="92"/>
      <c r="F34" s="71">
        <f t="shared" si="2"/>
        <v>0</v>
      </c>
      <c r="G34" s="91"/>
      <c r="H34" s="92"/>
      <c r="I34" s="91"/>
    </row>
    <row r="35" spans="1:9" ht="18" customHeight="1">
      <c r="A35" s="109"/>
      <c r="B35" s="113"/>
      <c r="C35" s="107" t="s">
        <v>141</v>
      </c>
      <c r="D35" s="110"/>
      <c r="E35" s="110"/>
      <c r="F35" s="111">
        <f>SUM(F25:F34)</f>
        <v>0</v>
      </c>
      <c r="G35" s="112">
        <f>COUNTA(G25:G34)</f>
        <v>0</v>
      </c>
      <c r="H35" s="112">
        <f>COUNTA(H25:H34)</f>
        <v>0</v>
      </c>
      <c r="I35" s="112">
        <f>COUNTA(I25:I34)</f>
        <v>0</v>
      </c>
    </row>
    <row r="36" spans="1:9" ht="18" customHeight="1">
      <c r="A36" s="90"/>
      <c r="B36" s="38"/>
      <c r="C36" s="92"/>
      <c r="D36" s="92"/>
      <c r="E36" s="92"/>
      <c r="F36" s="93"/>
      <c r="G36" s="94" t="e">
        <f>G35/F35</f>
        <v>#DIV/0!</v>
      </c>
      <c r="H36" s="94" t="e">
        <f>H35/F35</f>
        <v>#DIV/0!</v>
      </c>
      <c r="I36" s="94" t="e">
        <f>I35/F35</f>
        <v>#DIV/0!</v>
      </c>
    </row>
    <row r="37" spans="1:9">
      <c r="A37" s="97"/>
      <c r="B37" s="97"/>
      <c r="C37" s="97"/>
      <c r="D37" s="97"/>
      <c r="E37" s="97"/>
      <c r="F37" s="114" t="s">
        <v>142</v>
      </c>
      <c r="G37" s="95" t="s">
        <v>111</v>
      </c>
      <c r="H37" s="95" t="s">
        <v>111</v>
      </c>
      <c r="I37" s="95" t="s">
        <v>111</v>
      </c>
    </row>
    <row r="38" spans="1:9">
      <c r="A38" s="98" t="s">
        <v>24</v>
      </c>
    </row>
    <row r="39" spans="1:9">
      <c r="A39" s="99" t="s">
        <v>33</v>
      </c>
    </row>
    <row r="40" spans="1:9">
      <c r="A40" s="99" t="s">
        <v>34</v>
      </c>
    </row>
    <row r="41" spans="1:9">
      <c r="A41" s="99" t="s">
        <v>35</v>
      </c>
    </row>
    <row r="42" spans="1:9">
      <c r="A42" s="99" t="s">
        <v>36</v>
      </c>
    </row>
    <row r="43" spans="1:9">
      <c r="A43" s="99" t="s">
        <v>37</v>
      </c>
    </row>
    <row r="44" spans="1:9">
      <c r="A44" s="99" t="s">
        <v>38</v>
      </c>
    </row>
    <row r="45" spans="1:9">
      <c r="A45" s="99" t="s">
        <v>39</v>
      </c>
    </row>
    <row r="46" spans="1:9">
      <c r="A46" s="99" t="s">
        <v>40</v>
      </c>
    </row>
    <row r="47" spans="1:9">
      <c r="A47" s="99" t="s">
        <v>41</v>
      </c>
    </row>
    <row r="48" spans="1:9">
      <c r="A48" s="99" t="s">
        <v>42</v>
      </c>
    </row>
    <row r="49" spans="1:11">
      <c r="A49" s="99" t="s">
        <v>43</v>
      </c>
    </row>
    <row r="50" spans="1:11">
      <c r="A50" s="99" t="s">
        <v>44</v>
      </c>
    </row>
    <row r="51" spans="1:11">
      <c r="A51" s="99" t="s">
        <v>45</v>
      </c>
    </row>
    <row r="52" spans="1:11">
      <c r="A52" s="99" t="s">
        <v>46</v>
      </c>
    </row>
    <row r="53" spans="1:11">
      <c r="A53" s="120" t="s">
        <v>159</v>
      </c>
      <c r="B53" s="100"/>
      <c r="C53" s="100"/>
      <c r="D53" s="100"/>
      <c r="E53" s="100"/>
      <c r="F53" s="73"/>
      <c r="G53" s="100"/>
      <c r="H53" s="100"/>
      <c r="I53" s="100"/>
      <c r="J53" s="100"/>
      <c r="K53" s="100"/>
    </row>
    <row r="54" spans="1:11">
      <c r="A54" s="101" t="s">
        <v>47</v>
      </c>
      <c r="B54" s="101"/>
    </row>
    <row r="55" spans="1:11">
      <c r="A55" s="101" t="s">
        <v>48</v>
      </c>
      <c r="B55" s="101"/>
    </row>
    <row r="56" spans="1:11">
      <c r="A56" s="101" t="s">
        <v>49</v>
      </c>
      <c r="B56" s="101"/>
    </row>
    <row r="57" spans="1:11">
      <c r="A57" s="102" t="s">
        <v>50</v>
      </c>
      <c r="B57" s="102" t="s">
        <v>51</v>
      </c>
    </row>
    <row r="58" spans="1:11">
      <c r="A58" s="103">
        <v>1</v>
      </c>
      <c r="B58" s="103" t="s">
        <v>52</v>
      </c>
    </row>
    <row r="59" spans="1:11">
      <c r="A59" s="103">
        <v>2</v>
      </c>
      <c r="B59" s="103" t="s">
        <v>53</v>
      </c>
    </row>
    <row r="60" spans="1:11">
      <c r="A60" s="103">
        <v>3</v>
      </c>
      <c r="B60" s="103" t="s">
        <v>54</v>
      </c>
    </row>
    <row r="61" spans="1:11">
      <c r="A61" s="103">
        <v>4</v>
      </c>
      <c r="B61" s="103" t="s">
        <v>55</v>
      </c>
    </row>
    <row r="62" spans="1:11" ht="106.5" customHeight="1">
      <c r="A62" s="179" t="s">
        <v>147</v>
      </c>
      <c r="B62" s="179"/>
      <c r="C62" s="179"/>
      <c r="D62" s="179"/>
      <c r="E62" s="179"/>
      <c r="F62" s="179"/>
      <c r="G62" s="179"/>
      <c r="H62" s="179"/>
      <c r="I62" s="179"/>
      <c r="J62" s="179"/>
      <c r="K62" s="179"/>
    </row>
    <row r="63" spans="1:11" ht="21.75" customHeight="1">
      <c r="A63" s="104" t="s">
        <v>59</v>
      </c>
      <c r="B63" s="104"/>
      <c r="C63" s="104"/>
      <c r="D63" s="104"/>
      <c r="E63" s="104"/>
      <c r="F63" s="74"/>
      <c r="G63" s="104"/>
      <c r="H63" s="104"/>
      <c r="I63" s="104"/>
      <c r="J63" s="104"/>
      <c r="K63" s="104"/>
    </row>
    <row r="64" spans="1:11" ht="25.5" customHeight="1">
      <c r="A64" s="179" t="s">
        <v>60</v>
      </c>
      <c r="B64" s="179"/>
      <c r="C64" s="179"/>
      <c r="D64" s="179"/>
      <c r="E64" s="179"/>
      <c r="F64" s="179"/>
      <c r="G64" s="179"/>
      <c r="H64" s="179"/>
      <c r="I64" s="179"/>
      <c r="J64" s="179"/>
      <c r="K64" s="179"/>
    </row>
    <row r="65" spans="1:11" ht="25.5" customHeight="1">
      <c r="A65" s="104" t="s">
        <v>61</v>
      </c>
      <c r="B65" s="104"/>
      <c r="C65" s="104"/>
      <c r="D65" s="104"/>
      <c r="E65" s="104"/>
      <c r="F65" s="74"/>
      <c r="G65" s="104"/>
      <c r="H65" s="104"/>
      <c r="I65" s="104"/>
      <c r="J65" s="104"/>
      <c r="K65" s="104"/>
    </row>
    <row r="66" spans="1:11" ht="25.5" customHeight="1">
      <c r="A66" s="179" t="s">
        <v>62</v>
      </c>
      <c r="B66" s="179"/>
      <c r="C66" s="179"/>
      <c r="D66" s="179"/>
      <c r="E66" s="179"/>
      <c r="F66" s="179"/>
      <c r="G66" s="179"/>
      <c r="H66" s="179"/>
      <c r="I66" s="179"/>
      <c r="J66" s="179"/>
      <c r="K66" s="179"/>
    </row>
    <row r="67" spans="1:11" ht="34.5" customHeight="1">
      <c r="A67" s="179" t="s">
        <v>63</v>
      </c>
      <c r="B67" s="179"/>
      <c r="C67" s="179"/>
      <c r="D67" s="179"/>
      <c r="E67" s="179"/>
      <c r="F67" s="179"/>
      <c r="G67" s="179"/>
      <c r="H67" s="179"/>
      <c r="I67" s="179"/>
      <c r="J67" s="179"/>
      <c r="K67" s="179"/>
    </row>
    <row r="68" spans="1:11" ht="25.5" customHeight="1">
      <c r="A68" s="179" t="s">
        <v>64</v>
      </c>
      <c r="B68" s="179"/>
      <c r="C68" s="179"/>
      <c r="D68" s="179"/>
      <c r="E68" s="179"/>
      <c r="F68" s="179"/>
      <c r="G68" s="179"/>
      <c r="H68" s="179"/>
      <c r="I68" s="179"/>
      <c r="J68" s="179"/>
      <c r="K68" s="179"/>
    </row>
    <row r="69" spans="1:11" ht="25.5" customHeight="1">
      <c r="A69" s="104" t="s">
        <v>65</v>
      </c>
      <c r="B69" s="104"/>
      <c r="C69" s="104"/>
      <c r="D69" s="104"/>
      <c r="E69" s="104"/>
      <c r="F69" s="74"/>
      <c r="G69" s="104"/>
      <c r="H69" s="104"/>
      <c r="I69" s="104"/>
      <c r="J69" s="104"/>
      <c r="K69" s="104"/>
    </row>
    <row r="70" spans="1:11" ht="113.25" customHeight="1">
      <c r="A70" s="179" t="s">
        <v>66</v>
      </c>
      <c r="B70" s="179"/>
      <c r="C70" s="179"/>
      <c r="D70" s="179"/>
      <c r="E70" s="179"/>
      <c r="F70" s="179"/>
      <c r="G70" s="179"/>
      <c r="H70" s="179"/>
      <c r="I70" s="179"/>
      <c r="J70" s="179"/>
      <c r="K70" s="179"/>
    </row>
    <row r="71" spans="1:11" ht="25.5" customHeight="1">
      <c r="A71" s="179" t="s">
        <v>67</v>
      </c>
      <c r="B71" s="179"/>
      <c r="C71" s="179"/>
      <c r="D71" s="179"/>
      <c r="E71" s="179"/>
      <c r="F71" s="179"/>
      <c r="G71" s="179"/>
      <c r="H71" s="179"/>
      <c r="I71" s="179"/>
      <c r="J71" s="179"/>
      <c r="K71" s="179"/>
    </row>
    <row r="72" spans="1:11" ht="25.5" customHeight="1">
      <c r="A72" s="104" t="s">
        <v>68</v>
      </c>
      <c r="B72" s="104"/>
      <c r="C72" s="104"/>
      <c r="D72" s="104"/>
      <c r="E72" s="104"/>
      <c r="F72" s="74"/>
      <c r="G72" s="104"/>
      <c r="H72" s="104"/>
      <c r="I72" s="104"/>
      <c r="J72" s="104"/>
      <c r="K72" s="104"/>
    </row>
    <row r="73" spans="1:11" ht="25.5" customHeight="1">
      <c r="A73" s="179" t="s">
        <v>69</v>
      </c>
      <c r="B73" s="179"/>
      <c r="C73" s="179"/>
      <c r="D73" s="179"/>
      <c r="E73" s="179"/>
      <c r="F73" s="179"/>
      <c r="G73" s="179"/>
      <c r="H73" s="179"/>
      <c r="I73" s="179"/>
      <c r="J73" s="179"/>
      <c r="K73" s="179"/>
    </row>
    <row r="74" spans="1:11" ht="25.5" customHeight="1">
      <c r="A74" s="179" t="s">
        <v>70</v>
      </c>
      <c r="B74" s="179"/>
      <c r="C74" s="179"/>
      <c r="D74" s="179"/>
      <c r="E74" s="179"/>
      <c r="F74" s="179"/>
      <c r="G74" s="179"/>
      <c r="H74" s="179"/>
      <c r="I74" s="179"/>
      <c r="J74" s="179"/>
      <c r="K74" s="179"/>
    </row>
    <row r="75" spans="1:11" ht="25.5" customHeight="1">
      <c r="A75" s="179" t="s">
        <v>72</v>
      </c>
      <c r="B75" s="179"/>
      <c r="C75" s="179"/>
      <c r="D75" s="179"/>
      <c r="E75" s="179"/>
      <c r="F75" s="179"/>
      <c r="G75" s="179"/>
      <c r="H75" s="179"/>
      <c r="I75" s="179"/>
      <c r="J75" s="179"/>
      <c r="K75" s="179"/>
    </row>
    <row r="76" spans="1:11" ht="25.5" customHeight="1">
      <c r="A76" s="104" t="s">
        <v>71</v>
      </c>
      <c r="B76" s="104"/>
      <c r="C76" s="104"/>
      <c r="D76" s="104"/>
      <c r="E76" s="104"/>
      <c r="F76" s="74"/>
      <c r="G76" s="104"/>
      <c r="H76" s="104"/>
      <c r="I76" s="104"/>
      <c r="J76" s="104"/>
      <c r="K76" s="104"/>
    </row>
    <row r="77" spans="1:11" ht="104.25" customHeight="1">
      <c r="A77" s="179" t="s">
        <v>73</v>
      </c>
      <c r="B77" s="179"/>
      <c r="C77" s="179"/>
      <c r="D77" s="179"/>
      <c r="E77" s="179"/>
      <c r="F77" s="179"/>
      <c r="G77" s="179"/>
      <c r="H77" s="179"/>
      <c r="I77" s="179"/>
      <c r="J77" s="179"/>
      <c r="K77" s="179"/>
    </row>
    <row r="78" spans="1:11" ht="25.5" customHeight="1">
      <c r="A78" s="179" t="s">
        <v>74</v>
      </c>
      <c r="B78" s="179"/>
      <c r="C78" s="179"/>
      <c r="D78" s="179"/>
      <c r="E78" s="179"/>
      <c r="F78" s="179"/>
      <c r="G78" s="179"/>
      <c r="H78" s="179"/>
      <c r="I78" s="179"/>
      <c r="J78" s="179"/>
      <c r="K78" s="179"/>
    </row>
    <row r="79" spans="1:11" ht="25.5" customHeight="1">
      <c r="A79" s="179" t="s">
        <v>75</v>
      </c>
      <c r="B79" s="179"/>
      <c r="C79" s="179"/>
      <c r="D79" s="179"/>
      <c r="E79" s="179"/>
      <c r="F79" s="179"/>
      <c r="G79" s="179"/>
      <c r="H79" s="179"/>
      <c r="I79" s="179"/>
      <c r="J79" s="179"/>
      <c r="K79" s="179"/>
    </row>
    <row r="80" spans="1:11" ht="25.5" customHeight="1">
      <c r="A80" s="104" t="s">
        <v>76</v>
      </c>
      <c r="B80" s="104"/>
      <c r="C80" s="104"/>
      <c r="D80" s="104"/>
      <c r="E80" s="104"/>
      <c r="F80" s="74"/>
      <c r="G80" s="104"/>
      <c r="H80" s="104"/>
      <c r="I80" s="104"/>
      <c r="J80" s="104"/>
      <c r="K80" s="104"/>
    </row>
    <row r="81" spans="1:11" ht="25.5" customHeight="1">
      <c r="A81" s="179" t="s">
        <v>77</v>
      </c>
      <c r="B81" s="179"/>
      <c r="C81" s="179"/>
      <c r="D81" s="179"/>
      <c r="E81" s="179"/>
      <c r="F81" s="179"/>
      <c r="G81" s="179"/>
      <c r="H81" s="179"/>
      <c r="I81" s="179"/>
      <c r="J81" s="179"/>
      <c r="K81" s="179"/>
    </row>
    <row r="82" spans="1:11" ht="19.5" customHeight="1">
      <c r="A82" s="120" t="s">
        <v>160</v>
      </c>
      <c r="B82" s="136"/>
      <c r="C82" s="136"/>
      <c r="D82" s="136"/>
      <c r="E82" s="136"/>
      <c r="F82" s="136"/>
      <c r="G82" s="136"/>
      <c r="H82" s="136"/>
      <c r="I82" s="136"/>
      <c r="J82" s="136"/>
      <c r="K82" s="136"/>
    </row>
    <row r="83" spans="1:11" ht="18.75" customHeight="1" thickBot="1">
      <c r="A83" s="183" t="s">
        <v>161</v>
      </c>
      <c r="B83" s="184"/>
      <c r="C83" s="184"/>
      <c r="D83" s="184"/>
      <c r="E83" s="184"/>
      <c r="F83" s="184"/>
      <c r="G83" s="184"/>
    </row>
    <row r="84" spans="1:11" s="86" customFormat="1" ht="33" customHeight="1" thickBot="1">
      <c r="B84" s="186" t="s">
        <v>157</v>
      </c>
      <c r="C84" s="186" t="s">
        <v>162</v>
      </c>
      <c r="D84" s="186"/>
      <c r="E84" s="186"/>
      <c r="F84" s="75"/>
    </row>
    <row r="85" spans="1:11" s="86" customFormat="1" ht="37.5" customHeight="1" thickBot="1">
      <c r="B85" s="186"/>
      <c r="C85" s="186" t="s">
        <v>163</v>
      </c>
      <c r="D85" s="186"/>
      <c r="E85" s="134" t="s">
        <v>158</v>
      </c>
      <c r="F85" s="75"/>
    </row>
    <row r="86" spans="1:11" s="86" customFormat="1" ht="18.75" customHeight="1" thickBot="1">
      <c r="B86" s="119" t="s">
        <v>148</v>
      </c>
      <c r="C86" s="187" t="s">
        <v>149</v>
      </c>
      <c r="D86" s="187"/>
      <c r="E86" s="135" t="s">
        <v>150</v>
      </c>
      <c r="F86" s="75"/>
    </row>
    <row r="87" spans="1:11" s="86" customFormat="1" ht="18.75" customHeight="1" thickBot="1">
      <c r="B87" s="119" t="s">
        <v>151</v>
      </c>
      <c r="C87" s="187" t="s">
        <v>152</v>
      </c>
      <c r="D87" s="187"/>
      <c r="E87" s="135" t="s">
        <v>150</v>
      </c>
      <c r="F87" s="75"/>
    </row>
    <row r="88" spans="1:11" s="86" customFormat="1" ht="18.75" customHeight="1" thickBot="1">
      <c r="B88" s="119" t="s">
        <v>153</v>
      </c>
      <c r="C88" s="187" t="s">
        <v>154</v>
      </c>
      <c r="D88" s="187"/>
      <c r="E88" s="135" t="s">
        <v>150</v>
      </c>
      <c r="F88" s="75"/>
    </row>
    <row r="89" spans="1:11" s="86" customFormat="1" ht="30.75" customHeight="1" thickBot="1">
      <c r="B89" s="185" t="s">
        <v>155</v>
      </c>
      <c r="C89" s="185"/>
      <c r="D89" s="185"/>
      <c r="E89" s="185"/>
      <c r="F89" s="75"/>
    </row>
    <row r="90" spans="1:11" s="86" customFormat="1" ht="33" customHeight="1" thickBot="1">
      <c r="B90" s="185" t="s">
        <v>156</v>
      </c>
      <c r="C90" s="185"/>
      <c r="D90" s="185"/>
      <c r="E90" s="185"/>
      <c r="F90" s="75"/>
    </row>
    <row r="91" spans="1:11" s="86" customFormat="1" ht="18.75" customHeight="1">
      <c r="F91" s="75"/>
    </row>
    <row r="92" spans="1:11" s="86" customFormat="1" ht="18.75" customHeight="1">
      <c r="F92" s="75"/>
    </row>
    <row r="93" spans="1:11" s="86" customFormat="1" ht="18.75" customHeight="1">
      <c r="F93" s="75"/>
    </row>
    <row r="94" spans="1:11" s="86" customFormat="1" ht="18.75" customHeight="1">
      <c r="F94" s="75"/>
    </row>
    <row r="95" spans="1:11" s="86" customFormat="1" ht="18.75" customHeight="1">
      <c r="F95" s="75"/>
    </row>
    <row r="96" spans="1:11" s="86" customFormat="1" ht="18.75" customHeight="1">
      <c r="F96" s="75"/>
    </row>
    <row r="97" spans="6:6" s="86" customFormat="1" ht="18.75" customHeight="1">
      <c r="F97" s="75"/>
    </row>
    <row r="98" spans="6:6" s="86" customFormat="1" ht="18.75" customHeight="1">
      <c r="F98" s="75"/>
    </row>
    <row r="99" spans="6:6" s="86" customFormat="1" ht="18.75" customHeight="1">
      <c r="F99" s="75"/>
    </row>
    <row r="100" spans="6:6" s="86" customFormat="1" ht="18.75" customHeight="1">
      <c r="F100" s="75"/>
    </row>
    <row r="101" spans="6:6" s="86" customFormat="1" ht="18.75" customHeight="1">
      <c r="F101" s="75"/>
    </row>
    <row r="102" spans="6:6" s="86" customFormat="1" ht="18.75" customHeight="1">
      <c r="F102" s="75"/>
    </row>
    <row r="103" spans="6:6" s="86" customFormat="1" ht="18.75" customHeight="1">
      <c r="F103" s="75"/>
    </row>
    <row r="104" spans="6:6" s="86" customFormat="1" ht="18.75" customHeight="1">
      <c r="F104" s="75"/>
    </row>
    <row r="105" spans="6:6" s="86" customFormat="1" ht="18.75" customHeight="1">
      <c r="F105" s="75"/>
    </row>
    <row r="106" spans="6:6" s="86" customFormat="1" ht="18.75" customHeight="1">
      <c r="F106" s="75"/>
    </row>
    <row r="107" spans="6:6" s="86" customFormat="1" ht="18.75" customHeight="1">
      <c r="F107" s="75"/>
    </row>
    <row r="108" spans="6:6" s="86" customFormat="1" ht="18.75" customHeight="1">
      <c r="F108" s="75"/>
    </row>
    <row r="109" spans="6:6" s="86" customFormat="1" ht="18.75" customHeight="1">
      <c r="F109" s="75"/>
    </row>
    <row r="110" spans="6:6" s="86" customFormat="1" ht="18.75" customHeight="1">
      <c r="F110" s="75"/>
    </row>
    <row r="111" spans="6:6" s="86" customFormat="1" ht="18.75" customHeight="1">
      <c r="F111" s="75"/>
    </row>
    <row r="112" spans="6:6" s="86" customFormat="1" ht="18.75" customHeight="1">
      <c r="F112" s="75"/>
    </row>
    <row r="113" spans="6:6" s="86" customFormat="1" ht="18.75" customHeight="1">
      <c r="F113" s="75"/>
    </row>
    <row r="114" spans="6:6" s="86" customFormat="1" ht="18.75" customHeight="1">
      <c r="F114" s="75"/>
    </row>
    <row r="115" spans="6:6" s="86" customFormat="1" ht="18.75" customHeight="1">
      <c r="F115" s="75"/>
    </row>
    <row r="116" spans="6:6" s="86" customFormat="1" ht="18.75" customHeight="1">
      <c r="F116" s="75"/>
    </row>
    <row r="117" spans="6:6" s="86" customFormat="1" ht="18.75" customHeight="1">
      <c r="F117" s="75"/>
    </row>
    <row r="118" spans="6:6" s="86" customFormat="1" ht="18.75" customHeight="1">
      <c r="F118" s="75"/>
    </row>
    <row r="119" spans="6:6" s="86" customFormat="1" ht="18.75" customHeight="1">
      <c r="F119" s="75"/>
    </row>
    <row r="120" spans="6:6" s="86" customFormat="1" ht="18.75" customHeight="1">
      <c r="F120" s="75"/>
    </row>
    <row r="121" spans="6:6" s="86" customFormat="1" ht="18.75" customHeight="1">
      <c r="F121" s="75"/>
    </row>
    <row r="122" spans="6:6" s="86" customFormat="1" ht="18.75" customHeight="1">
      <c r="F122" s="75"/>
    </row>
    <row r="123" spans="6:6" s="86" customFormat="1" ht="18.75" customHeight="1">
      <c r="F123" s="75"/>
    </row>
    <row r="124" spans="6:6" s="86" customFormat="1" ht="18.75" customHeight="1">
      <c r="F124" s="75"/>
    </row>
    <row r="125" spans="6:6" s="86" customFormat="1" ht="18.75" customHeight="1">
      <c r="F125" s="75"/>
    </row>
    <row r="126" spans="6:6" s="86" customFormat="1" ht="12.75">
      <c r="F126" s="75"/>
    </row>
    <row r="127" spans="6:6" s="86" customFormat="1" ht="12.75">
      <c r="F127" s="75"/>
    </row>
    <row r="128" spans="6:6" s="86" customFormat="1" ht="12.75">
      <c r="F128" s="75"/>
    </row>
    <row r="129" spans="1:6" s="86" customFormat="1" ht="12.75">
      <c r="F129" s="75"/>
    </row>
    <row r="130" spans="1:6" s="86" customFormat="1" ht="12.75">
      <c r="F130" s="75"/>
    </row>
    <row r="131" spans="1:6" s="86" customFormat="1" ht="12.75">
      <c r="F131" s="75"/>
    </row>
    <row r="132" spans="1:6" s="86" customFormat="1" ht="12.75">
      <c r="F132" s="75"/>
    </row>
    <row r="133" spans="1:6" s="86" customFormat="1" ht="12.75">
      <c r="A133" s="105" t="s">
        <v>57</v>
      </c>
      <c r="F133" s="75"/>
    </row>
    <row r="134" spans="1:6" s="86" customFormat="1" ht="12.75">
      <c r="A134" s="86" t="s">
        <v>58</v>
      </c>
      <c r="F134" s="75"/>
    </row>
    <row r="135" spans="1:6" s="86" customFormat="1" ht="12.75">
      <c r="F135" s="75"/>
    </row>
    <row r="136" spans="1:6" s="86" customFormat="1" ht="12.75">
      <c r="F136" s="75"/>
    </row>
    <row r="137" spans="1:6" s="86" customFormat="1" ht="12.75">
      <c r="F137" s="75"/>
    </row>
    <row r="138" spans="1:6" s="86" customFormat="1" ht="12.75">
      <c r="F138" s="75"/>
    </row>
    <row r="139" spans="1:6" s="86" customFormat="1" ht="12.75">
      <c r="F139" s="75"/>
    </row>
    <row r="140" spans="1:6" s="86" customFormat="1" ht="12.75">
      <c r="A140" s="86" t="s">
        <v>81</v>
      </c>
      <c r="F140" s="75"/>
    </row>
    <row r="141" spans="1:6" s="86" customFormat="1" ht="12.75">
      <c r="A141" s="105" t="s">
        <v>82</v>
      </c>
      <c r="F141" s="75"/>
    </row>
    <row r="142" spans="1:6" s="86" customFormat="1" ht="12.75">
      <c r="A142" s="105" t="s">
        <v>83</v>
      </c>
      <c r="F142" s="75"/>
    </row>
    <row r="143" spans="1:6" s="86" customFormat="1" ht="12.75">
      <c r="A143" s="86" t="s">
        <v>84</v>
      </c>
      <c r="F143" s="75"/>
    </row>
    <row r="144" spans="1:6" s="86" customFormat="1" ht="12.75">
      <c r="F144" s="75"/>
    </row>
    <row r="145" spans="6:6" s="86" customFormat="1" ht="12.75">
      <c r="F145" s="75"/>
    </row>
    <row r="146" spans="6:6" s="86" customFormat="1" ht="12.75">
      <c r="F146" s="75"/>
    </row>
    <row r="147" spans="6:6" s="86" customFormat="1" ht="12.75">
      <c r="F147" s="75"/>
    </row>
    <row r="148" spans="6:6" s="86" customFormat="1" ht="12.75">
      <c r="F148" s="75"/>
    </row>
    <row r="149" spans="6:6" s="86" customFormat="1" ht="12.75">
      <c r="F149" s="75"/>
    </row>
    <row r="150" spans="6:6" s="86" customFormat="1" ht="12.75">
      <c r="F150" s="75"/>
    </row>
    <row r="151" spans="6:6" s="86" customFormat="1" ht="12.75">
      <c r="F151" s="75"/>
    </row>
    <row r="152" spans="6:6" s="86" customFormat="1" ht="12.75">
      <c r="F152" s="75"/>
    </row>
    <row r="153" spans="6:6" s="86" customFormat="1" ht="12.75">
      <c r="F153" s="75"/>
    </row>
    <row r="154" spans="6:6" s="86" customFormat="1" ht="12.75">
      <c r="F154" s="75"/>
    </row>
    <row r="155" spans="6:6" s="86" customFormat="1" ht="12.75">
      <c r="F155" s="75"/>
    </row>
    <row r="156" spans="6:6" s="86" customFormat="1" ht="12.75">
      <c r="F156" s="75"/>
    </row>
    <row r="157" spans="6:6" s="86" customFormat="1" ht="12.75">
      <c r="F157" s="75"/>
    </row>
    <row r="158" spans="6:6" s="86" customFormat="1" ht="12.75">
      <c r="F158" s="75"/>
    </row>
    <row r="159" spans="6:6" s="86" customFormat="1" ht="12.75">
      <c r="F159" s="75"/>
    </row>
    <row r="160" spans="6:6" s="86" customFormat="1" ht="12.75">
      <c r="F160" s="75"/>
    </row>
    <row r="161" spans="6:6" s="86" customFormat="1" ht="12.75">
      <c r="F161" s="75"/>
    </row>
    <row r="162" spans="6:6" s="86" customFormat="1" ht="12.75">
      <c r="F162" s="75"/>
    </row>
    <row r="163" spans="6:6" s="86" customFormat="1" ht="12.75">
      <c r="F163" s="75"/>
    </row>
    <row r="164" spans="6:6" s="86" customFormat="1" ht="12.75">
      <c r="F164" s="75"/>
    </row>
    <row r="165" spans="6:6" s="86" customFormat="1" ht="12.75">
      <c r="F165" s="75"/>
    </row>
    <row r="166" spans="6:6" s="86" customFormat="1" ht="12.75">
      <c r="F166" s="75"/>
    </row>
    <row r="167" spans="6:6" s="86" customFormat="1" ht="12.75">
      <c r="F167" s="75"/>
    </row>
    <row r="168" spans="6:6" s="86" customFormat="1" ht="12.75">
      <c r="F168" s="75"/>
    </row>
    <row r="169" spans="6:6" s="86" customFormat="1" ht="12.75">
      <c r="F169" s="75"/>
    </row>
    <row r="170" spans="6:6" s="86" customFormat="1" ht="12.75">
      <c r="F170" s="75"/>
    </row>
    <row r="171" spans="6:6" s="86" customFormat="1" ht="12.75">
      <c r="F171" s="75"/>
    </row>
    <row r="172" spans="6:6" s="86" customFormat="1" ht="12.75">
      <c r="F172" s="75"/>
    </row>
    <row r="173" spans="6:6" s="86" customFormat="1" ht="12.75">
      <c r="F173" s="75"/>
    </row>
    <row r="174" spans="6:6" s="86" customFormat="1" ht="12.75">
      <c r="F174" s="75"/>
    </row>
    <row r="175" spans="6:6" s="86" customFormat="1" ht="12.75">
      <c r="F175" s="75"/>
    </row>
    <row r="176" spans="6:6" s="86" customFormat="1" ht="12.75">
      <c r="F176" s="75"/>
    </row>
    <row r="177" spans="6:6" s="86" customFormat="1" ht="12.75">
      <c r="F177" s="75"/>
    </row>
    <row r="178" spans="6:6" s="86" customFormat="1" ht="12.75">
      <c r="F178" s="75"/>
    </row>
  </sheetData>
  <mergeCells count="26">
    <mergeCell ref="B89:E89"/>
    <mergeCell ref="B90:E90"/>
    <mergeCell ref="B84:B85"/>
    <mergeCell ref="C84:E84"/>
    <mergeCell ref="C85:D85"/>
    <mergeCell ref="C86:D86"/>
    <mergeCell ref="C87:D87"/>
    <mergeCell ref="C88:D88"/>
    <mergeCell ref="A83:G83"/>
    <mergeCell ref="A67:K67"/>
    <mergeCell ref="A68:K68"/>
    <mergeCell ref="A70:K70"/>
    <mergeCell ref="A71:K71"/>
    <mergeCell ref="A73:K73"/>
    <mergeCell ref="A74:K74"/>
    <mergeCell ref="A75:K75"/>
    <mergeCell ref="A77:K77"/>
    <mergeCell ref="A78:K78"/>
    <mergeCell ref="A79:K79"/>
    <mergeCell ref="A81:K81"/>
    <mergeCell ref="A66:K66"/>
    <mergeCell ref="A1:I1"/>
    <mergeCell ref="A2:I2"/>
    <mergeCell ref="D7:E7"/>
    <mergeCell ref="A62:K62"/>
    <mergeCell ref="A64:K64"/>
  </mergeCells>
  <phoneticPr fontId="2" type="noConversion"/>
  <dataValidations count="2">
    <dataValidation type="list" allowBlank="1" showInputMessage="1" showErrorMessage="1" sqref="G10:G19 G25:G34">
      <formula1>$A$140:$A$143</formula1>
    </dataValidation>
    <dataValidation type="list" allowBlank="1" showInputMessage="1" showErrorMessage="1" sqref="I33:I34 I23">
      <formula1>$A$140:$A$145</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B23-10了解管理循环流程和内部控制记录表</vt:lpstr>
      <vt:lpstr>B23-10-1链接-企业对财务报表风险的应对</vt:lpstr>
      <vt:lpstr>B23-10-2穿行测试</vt:lpstr>
      <vt:lpstr>B23-10-3关键控制点选择表（财报审计适用）</vt:lpstr>
      <vt:lpstr>B23-10-4关键控制点选择表 (整合审计适用)</vt:lpstr>
      <vt:lpstr>'B23-10-1链接-企业对财务报表风险的应对'!Print_Area</vt:lpstr>
      <vt:lpstr>'B23-10-2穿行测试'!Print_Area</vt:lpstr>
      <vt:lpstr>'B23-10-3关键控制点选择表（财报审计适用）'!Print_Area</vt:lpstr>
      <vt:lpstr>'B23-10-4关键控制点选择表 (整合审计适用)'!Print_Area</vt:lpstr>
      <vt:lpstr>'B23-10了解管理循环流程和内部控制记录表'!Print_Area</vt:lpstr>
      <vt:lpstr>'B23-10-2穿行测试'!Print_Titles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2014-09-21T12:44:00Z</dcterms:modified>
</cp:coreProperties>
</file>