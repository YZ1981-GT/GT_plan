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840" yWindow="405" windowWidth="14520" windowHeight="6450" tabRatio="715" firstSheet="3" activeTab="3"/>
  </bookViews>
  <sheets>
    <sheet name="表头（请先填写）" sheetId="7" r:id="rId1"/>
    <sheet name="B23-13了解债务循环流程和内部控制记录表" sheetId="1" r:id="rId2"/>
    <sheet name="B23-13-1链接-企业对财务报表风险的应对" sheetId="4" r:id="rId3"/>
    <sheet name="B23-13-2穿行测试" sheetId="3" r:id="rId4"/>
    <sheet name="B23-13-3关键控制点选择表（财报审计适用）" sheetId="9" r:id="rId5"/>
    <sheet name="B23-13-4关键控制点选择表 (整合审计适用)" sheetId="10" r:id="rId6"/>
  </sheets>
  <externalReferences>
    <externalReference r:id="rId7"/>
    <externalReference r:id="rId8"/>
    <externalReference r:id="rId9"/>
    <externalReference r:id="rId10"/>
    <externalReference r:id="rId11"/>
    <externalReference r:id="rId12"/>
    <externalReference r:id="rId13"/>
  </externalReferences>
  <definedNames>
    <definedName name="_1、" localSheetId="5">#REF!</definedName>
    <definedName name="_1、">#REF!</definedName>
    <definedName name="_1、受本循环影响的相关交易和账户余额" localSheetId="5">#REF!</definedName>
    <definedName name="_1、受本循环影响的相关交易和账户余额">#REF!</definedName>
    <definedName name="_2、主要业务活动" localSheetId="5">#REF!</definedName>
    <definedName name="_2、主要业务活动">#REF!</definedName>
    <definedName name="_2、注册会计师通常应在本循环中了解与上述业务活动相关的内部控制_如果计划在其他业务循环中对上述" localSheetId="5">#REF!</definedName>
    <definedName name="_2、注册会计师通常应在本循环中了解与上述业务活动相关的内部控制_如果计划在其他业务循环中对上述">#REF!</definedName>
    <definedName name="AFV" localSheetId="4" hidden="1">#REF!</definedName>
    <definedName name="AFV" localSheetId="5" hidden="1">#REF!</definedName>
    <definedName name="AFV" localSheetId="0" hidden="1">#REF!</definedName>
    <definedName name="AFV" hidden="1">#REF!</definedName>
    <definedName name="AS2DocOpenMode" hidden="1">"AS2DocumentEdit"</definedName>
    <definedName name="a暗暗">[1]企业表一!$F$20</definedName>
    <definedName name="CarryKnown" localSheetId="4">#REF!</definedName>
    <definedName name="CarryKnown" localSheetId="5">#REF!</definedName>
    <definedName name="CarryKnown" localSheetId="0">#REF!</definedName>
    <definedName name="CarryKnown">#REF!</definedName>
    <definedName name="CarryKnownTable" localSheetId="4">#REF!</definedName>
    <definedName name="CarryKnownTable" localSheetId="5">#REF!</definedName>
    <definedName name="CarryKnownTable" localSheetId="0">#REF!</definedName>
    <definedName name="CarryKnownTable">#REF!</definedName>
    <definedName name="CarryLikely" localSheetId="4">#REF!</definedName>
    <definedName name="CarryLikely" localSheetId="5">#REF!</definedName>
    <definedName name="CarryLikely" localSheetId="0">#REF!</definedName>
    <definedName name="CarryLikely">#REF!</definedName>
    <definedName name="CarryLikelyTable" localSheetId="4">#REF!</definedName>
    <definedName name="CarryLikelyTable" localSheetId="5">#REF!</definedName>
    <definedName name="CarryLikelyTable" localSheetId="0">#REF!</definedName>
    <definedName name="CarryLikelyTable">#REF!</definedName>
    <definedName name="Carryover_Effect_of_Prior_Year" localSheetId="4">#REF!</definedName>
    <definedName name="Carryover_Effect_of_Prior_Year" localSheetId="5">#REF!</definedName>
    <definedName name="Carryover_Effect_of_Prior_Year" localSheetId="0">#REF!</definedName>
    <definedName name="Carryover_Effect_of_Prior_Year">#REF!</definedName>
    <definedName name="CarryoverTitle" localSheetId="4">#REF!</definedName>
    <definedName name="CarryoverTitle" localSheetId="5">#REF!</definedName>
    <definedName name="CarryoverTitle" localSheetId="0">#REF!</definedName>
    <definedName name="CarryoverTitle">#REF!</definedName>
    <definedName name="CC_Instruction" localSheetId="4">#REF!</definedName>
    <definedName name="CC_Instruction" localSheetId="5">#REF!</definedName>
    <definedName name="CC_Instruction" localSheetId="0">#REF!</definedName>
    <definedName name="CC_Instruction">#REF!</definedName>
    <definedName name="CCD" localSheetId="4" hidden="1">#REF!</definedName>
    <definedName name="CCD" localSheetId="5" hidden="1">#REF!</definedName>
    <definedName name="CCD" localSheetId="0" hidden="1">#REF!</definedName>
    <definedName name="CCD" hidden="1">#REF!</definedName>
    <definedName name="CDE" localSheetId="4" hidden="1">#REF!</definedName>
    <definedName name="CDE" localSheetId="5" hidden="1">#REF!</definedName>
    <definedName name="CDE" localSheetId="0" hidden="1">#REF!</definedName>
    <definedName name="CDE" hidden="1">#REF!</definedName>
    <definedName name="CE_CarryKnownProtection" localSheetId="4">#REF!</definedName>
    <definedName name="CE_CarryKnownProtection" localSheetId="5">#REF!</definedName>
    <definedName name="CE_CarryKnownProtection" localSheetId="0">#REF!</definedName>
    <definedName name="CE_CarryKnownProtection">#REF!</definedName>
    <definedName name="CE_CarryKnownTable" localSheetId="4">#REF!</definedName>
    <definedName name="CE_CarryKnownTable" localSheetId="5">#REF!</definedName>
    <definedName name="CE_CarryKnownTable" localSheetId="0">#REF!</definedName>
    <definedName name="CE_CarryKnownTable">#REF!</definedName>
    <definedName name="CE_CarryLikely1Protection" localSheetId="4">#REF!</definedName>
    <definedName name="CE_CarryLikely1Protection" localSheetId="5">#REF!</definedName>
    <definedName name="CE_CarryLikely1Protection" localSheetId="0">#REF!</definedName>
    <definedName name="CE_CarryLikely1Protection">#REF!</definedName>
    <definedName name="CE_CarryLikely1Table" localSheetId="4">#REF!</definedName>
    <definedName name="CE_CarryLikely1Table" localSheetId="5">#REF!</definedName>
    <definedName name="CE_CarryLikely1Table" localSheetId="0">#REF!</definedName>
    <definedName name="CE_CarryLikely1Table">#REF!</definedName>
    <definedName name="CE_CarryLikely2Protection" localSheetId="4">#REF!</definedName>
    <definedName name="CE_CarryLikely2Protection" localSheetId="5">#REF!</definedName>
    <definedName name="CE_CarryLikely2Protection" localSheetId="0">#REF!</definedName>
    <definedName name="CE_CarryLikely2Protection">#REF!</definedName>
    <definedName name="CE_CarryLikely2Table" localSheetId="4">#REF!</definedName>
    <definedName name="CE_CarryLikely2Table" localSheetId="5">#REF!</definedName>
    <definedName name="CE_CarryLikely2Table" localSheetId="0">#REF!</definedName>
    <definedName name="CE_CarryLikely2Table">#REF!</definedName>
    <definedName name="CE_CarryTaxable" localSheetId="4">#REF!</definedName>
    <definedName name="CE_CarryTaxable" localSheetId="5">#REF!</definedName>
    <definedName name="CE_CarryTaxable" localSheetId="0">#REF!</definedName>
    <definedName name="CE_CarryTaxable">#REF!</definedName>
    <definedName name="CE_Desc" localSheetId="4">#REF!</definedName>
    <definedName name="CE_Desc" localSheetId="5">#REF!</definedName>
    <definedName name="CE_Desc" localSheetId="0">#REF!</definedName>
    <definedName name="CE_Desc">#REF!</definedName>
    <definedName name="CE_Income" localSheetId="4">#REF!</definedName>
    <definedName name="CE_Income" localSheetId="5">#REF!</definedName>
    <definedName name="CE_Income" localSheetId="0">#REF!</definedName>
    <definedName name="CE_Income">#REF!</definedName>
    <definedName name="CE_KeepFormat" localSheetId="4">#REF!</definedName>
    <definedName name="CE_KeepFormat" localSheetId="5">#REF!</definedName>
    <definedName name="CE_KeepFormat" localSheetId="0">#REF!</definedName>
    <definedName name="CE_KeepFormat">#REF!</definedName>
    <definedName name="CE_KnownChange" localSheetId="4">#REF!</definedName>
    <definedName name="CE_KnownChange" localSheetId="5">#REF!</definedName>
    <definedName name="CE_KnownChange" localSheetId="0">#REF!</definedName>
    <definedName name="CE_KnownChange">#REF!</definedName>
    <definedName name="CE_KnownFormulaProtection" localSheetId="4">#REF!</definedName>
    <definedName name="CE_KnownFormulaProtection" localSheetId="5">#REF!</definedName>
    <definedName name="CE_KnownFormulaProtection" localSheetId="0">#REF!</definedName>
    <definedName name="CE_KnownFormulaProtection">#REF!</definedName>
    <definedName name="CE_KnownImpact" localSheetId="4">#REF!</definedName>
    <definedName name="CE_KnownImpact" localSheetId="5">#REF!</definedName>
    <definedName name="CE_KnownImpact" localSheetId="0">#REF!</definedName>
    <definedName name="CE_KnownImpact">#REF!</definedName>
    <definedName name="CE_Likely1Change" localSheetId="4">#REF!</definedName>
    <definedName name="CE_Likely1Change" localSheetId="5">#REF!</definedName>
    <definedName name="CE_Likely1Change" localSheetId="0">#REF!</definedName>
    <definedName name="CE_Likely1Change">#REF!</definedName>
    <definedName name="CE_Likely1FormulaProtection" localSheetId="4">#REF!</definedName>
    <definedName name="CE_Likely1FormulaProtection" localSheetId="5">#REF!</definedName>
    <definedName name="CE_Likely1FormulaProtection" localSheetId="0">#REF!</definedName>
    <definedName name="CE_Likely1FormulaProtection">#REF!</definedName>
    <definedName name="CE_Likely1Impact" localSheetId="4">#REF!</definedName>
    <definedName name="CE_Likely1Impact" localSheetId="5">#REF!</definedName>
    <definedName name="CE_Likely1Impact" localSheetId="0">#REF!</definedName>
    <definedName name="CE_Likely1Impact">#REF!</definedName>
    <definedName name="CE_Likely2Change" localSheetId="4">#REF!</definedName>
    <definedName name="CE_Likely2Change" localSheetId="5">#REF!</definedName>
    <definedName name="CE_Likely2Change" localSheetId="0">#REF!</definedName>
    <definedName name="CE_Likely2Change">#REF!</definedName>
    <definedName name="CE_Likely2FormulaProtection" localSheetId="4">#REF!</definedName>
    <definedName name="CE_Likely2FormulaProtection" localSheetId="5">#REF!</definedName>
    <definedName name="CE_Likely2FormulaProtection" localSheetId="0">#REF!</definedName>
    <definedName name="CE_Likely2FormulaProtection">#REF!</definedName>
    <definedName name="CE_Likely2Impact" localSheetId="4">#REF!</definedName>
    <definedName name="CE_Likely2Impact" localSheetId="5">#REF!</definedName>
    <definedName name="CE_Likely2Impact" localSheetId="0">#REF!</definedName>
    <definedName name="CE_Likely2Impact">#REF!</definedName>
    <definedName name="CE_SheetCorrect" localSheetId="4">#REF!</definedName>
    <definedName name="CE_SheetCorrect" localSheetId="5">#REF!</definedName>
    <definedName name="CE_SheetCorrect" localSheetId="0">#REF!</definedName>
    <definedName name="CE_SheetCorrect">#REF!</definedName>
    <definedName name="CE_StatementImpact" localSheetId="4">#REF!</definedName>
    <definedName name="CE_StatementImpact" localSheetId="5">#REF!</definedName>
    <definedName name="CE_StatementImpact" localSheetId="0">#REF!</definedName>
    <definedName name="CE_StatementImpact">#REF!</definedName>
    <definedName name="CE_TotalProtection" localSheetId="4">#REF!</definedName>
    <definedName name="CE_TotalProtection" localSheetId="5">#REF!</definedName>
    <definedName name="CE_TotalProtection" localSheetId="0">#REF!</definedName>
    <definedName name="CE_TotalProtection">#REF!</definedName>
    <definedName name="CE_WholeSheet" localSheetId="4">#REF!</definedName>
    <definedName name="CE_WholeSheet" localSheetId="5">#REF!</definedName>
    <definedName name="CE_WholeSheet" localSheetId="0">#REF!</definedName>
    <definedName name="CE_WholeSheet">#REF!</definedName>
    <definedName name="CE_XF1" localSheetId="4">#REF!</definedName>
    <definedName name="CE_XF1" localSheetId="5">#REF!</definedName>
    <definedName name="CE_XF1" localSheetId="0">#REF!</definedName>
    <definedName name="CE_XF1">#REF!</definedName>
    <definedName name="CE_XF1Rng1" localSheetId="4">#REF!</definedName>
    <definedName name="CE_XF1Rng1" localSheetId="5">#REF!</definedName>
    <definedName name="CE_XF1Rng1" localSheetId="0">#REF!</definedName>
    <definedName name="CE_XF1Rng1">#REF!</definedName>
    <definedName name="CE_XF1Rng2" localSheetId="4">#REF!</definedName>
    <definedName name="CE_XF1Rng2" localSheetId="5">#REF!</definedName>
    <definedName name="CE_XF1Rng2" localSheetId="0">#REF!</definedName>
    <definedName name="CE_XF1Rng2">#REF!</definedName>
    <definedName name="CE_XF2" localSheetId="4">#REF!</definedName>
    <definedName name="CE_XF2" localSheetId="5">#REF!</definedName>
    <definedName name="CE_XF2" localSheetId="0">#REF!</definedName>
    <definedName name="CE_XF2">#REF!</definedName>
    <definedName name="CE_XF2Rng1" localSheetId="4">#REF!</definedName>
    <definedName name="CE_XF2Rng1" localSheetId="5">#REF!</definedName>
    <definedName name="CE_XF2Rng1" localSheetId="0">#REF!</definedName>
    <definedName name="CE_XF2Rng1">#REF!</definedName>
    <definedName name="CE_XF2Rng2" localSheetId="4">#REF!</definedName>
    <definedName name="CE_XF2Rng2" localSheetId="5">#REF!</definedName>
    <definedName name="CE_XF2Rng2" localSheetId="0">#REF!</definedName>
    <definedName name="CE_XF2Rng2">#REF!</definedName>
    <definedName name="CE_XF3" localSheetId="4">#REF!</definedName>
    <definedName name="CE_XF3" localSheetId="5">#REF!</definedName>
    <definedName name="CE_XF3" localSheetId="0">#REF!</definedName>
    <definedName name="CE_XF3">#REF!</definedName>
    <definedName name="CE_XF3Rng1" localSheetId="4">#REF!</definedName>
    <definedName name="CE_XF3Rng1" localSheetId="5">#REF!</definedName>
    <definedName name="CE_XF3Rng1" localSheetId="0">#REF!</definedName>
    <definedName name="CE_XF3Rng1">#REF!</definedName>
    <definedName name="CE_XF3Rng2" localSheetId="4">#REF!</definedName>
    <definedName name="CE_XF3Rng2" localSheetId="5">#REF!</definedName>
    <definedName name="CE_XF3Rng2" localSheetId="0">#REF!</definedName>
    <definedName name="CE_XF3Rng2">#REF!</definedName>
    <definedName name="ChecklistQuestion1" localSheetId="4">#REF!</definedName>
    <definedName name="ChecklistQuestion1" localSheetId="5">#REF!</definedName>
    <definedName name="ChecklistQuestion1" localSheetId="0">#REF!</definedName>
    <definedName name="ChecklistQuestion1">#REF!</definedName>
    <definedName name="ChecklistQuestion2" localSheetId="4">#REF!</definedName>
    <definedName name="ChecklistQuestion2" localSheetId="5">#REF!</definedName>
    <definedName name="ChecklistQuestion2" localSheetId="0">#REF!</definedName>
    <definedName name="ChecklistQuestion2">#REF!</definedName>
    <definedName name="ChecklistQuestion3" localSheetId="4">#REF!</definedName>
    <definedName name="ChecklistQuestion3" localSheetId="5">#REF!</definedName>
    <definedName name="ChecklistQuestion3" localSheetId="0">#REF!</definedName>
    <definedName name="ChecklistQuestion3">#REF!</definedName>
    <definedName name="Conclusions1" localSheetId="4">#REF!</definedName>
    <definedName name="Conclusions1" localSheetId="5">#REF!</definedName>
    <definedName name="Conclusions1" localSheetId="0">#REF!</definedName>
    <definedName name="Conclusions1">#REF!</definedName>
    <definedName name="Conclusions2" localSheetId="4">#REF!</definedName>
    <definedName name="Conclusions2" localSheetId="5">#REF!</definedName>
    <definedName name="Conclusions2" localSheetId="0">#REF!</definedName>
    <definedName name="Conclusions2">#REF!</definedName>
    <definedName name="Conclusions3" localSheetId="4">#REF!</definedName>
    <definedName name="Conclusions3" localSheetId="5">#REF!</definedName>
    <definedName name="Conclusions3" localSheetId="0">#REF!</definedName>
    <definedName name="Conclusions3">#REF!</definedName>
    <definedName name="Conclusions4" localSheetId="4">#REF!</definedName>
    <definedName name="Conclusions4" localSheetId="5">#REF!</definedName>
    <definedName name="Conclusions4" localSheetId="0">#REF!</definedName>
    <definedName name="Conclusions4">#REF!</definedName>
    <definedName name="CorrectKey" localSheetId="4">#REF!</definedName>
    <definedName name="CorrectKey" localSheetId="5">#REF!</definedName>
    <definedName name="CorrectKey" localSheetId="0">#REF!</definedName>
    <definedName name="CorrectKey">#REF!</definedName>
    <definedName name="Current_Year_Known_and_Likely_Misstatements" localSheetId="4">#REF!</definedName>
    <definedName name="Current_Year_Known_and_Likely_Misstatements" localSheetId="5">#REF!</definedName>
    <definedName name="Current_Year_Known_and_Likely_Misstatements" localSheetId="0">#REF!</definedName>
    <definedName name="Current_Year_Known_and_Likely_Misstatements">#REF!</definedName>
    <definedName name="CY_all_Assets" localSheetId="4">#REF!</definedName>
    <definedName name="CY_all_Assets" localSheetId="5">#REF!</definedName>
    <definedName name="CY_all_Assets" localSheetId="0">#REF!</definedName>
    <definedName name="CY_all_Assets">#REF!</definedName>
    <definedName name="CY_all_Equity" localSheetId="4">#REF!</definedName>
    <definedName name="CY_all_Equity" localSheetId="5">#REF!</definedName>
    <definedName name="CY_all_Equity" localSheetId="0">#REF!</definedName>
    <definedName name="CY_all_Equity">#REF!</definedName>
    <definedName name="CY_all_Income" localSheetId="4">#REF!</definedName>
    <definedName name="CY_all_Income" localSheetId="5">#REF!</definedName>
    <definedName name="CY_all_Income" localSheetId="0">#REF!</definedName>
    <definedName name="CY_all_Income">#REF!</definedName>
    <definedName name="CY_all_Liabs" localSheetId="4">#REF!</definedName>
    <definedName name="CY_all_Liabs" localSheetId="5">#REF!</definedName>
    <definedName name="CY_all_Liabs" localSheetId="0">#REF!</definedName>
    <definedName name="CY_all_Liabs">#REF!</definedName>
    <definedName name="CY_all_RetEarn_bf" localSheetId="4">#REF!</definedName>
    <definedName name="CY_all_RetEarn_bf" localSheetId="5">#REF!</definedName>
    <definedName name="CY_all_RetEarn_bf" localSheetId="0">#REF!</definedName>
    <definedName name="CY_all_RetEarn_bf">#REF!</definedName>
    <definedName name="CY_knw_Assets" localSheetId="4">#REF!</definedName>
    <definedName name="CY_knw_Assets" localSheetId="5">#REF!</definedName>
    <definedName name="CY_knw_Assets" localSheetId="0">#REF!</definedName>
    <definedName name="CY_knw_Assets">#REF!</definedName>
    <definedName name="CY_knw_Equity" localSheetId="4">#REF!</definedName>
    <definedName name="CY_knw_Equity" localSheetId="5">#REF!</definedName>
    <definedName name="CY_knw_Equity" localSheetId="0">#REF!</definedName>
    <definedName name="CY_knw_Equity">#REF!</definedName>
    <definedName name="CY_knw_Income" localSheetId="4">#REF!</definedName>
    <definedName name="CY_knw_Income" localSheetId="5">#REF!</definedName>
    <definedName name="CY_knw_Income" localSheetId="0">#REF!</definedName>
    <definedName name="CY_knw_Income">#REF!</definedName>
    <definedName name="CY_knw_Liabs" localSheetId="4">#REF!</definedName>
    <definedName name="CY_knw_Liabs" localSheetId="5">#REF!</definedName>
    <definedName name="CY_knw_Liabs" localSheetId="0">#REF!</definedName>
    <definedName name="CY_knw_Liabs">#REF!</definedName>
    <definedName name="CY_knw_RetEarn_bf" localSheetId="4">#REF!</definedName>
    <definedName name="CY_knw_RetEarn_bf" localSheetId="5">#REF!</definedName>
    <definedName name="CY_knw_RetEarn_bf" localSheetId="0">#REF!</definedName>
    <definedName name="CY_knw_RetEarn_bf">#REF!</definedName>
    <definedName name="CY_lik_Assets" localSheetId="4">#REF!</definedName>
    <definedName name="CY_lik_Assets" localSheetId="5">#REF!</definedName>
    <definedName name="CY_lik_Assets" localSheetId="0">#REF!</definedName>
    <definedName name="CY_lik_Assets">#REF!</definedName>
    <definedName name="CY_lik_Assets_ex" localSheetId="4">#REF!</definedName>
    <definedName name="CY_lik_Assets_ex" localSheetId="5">#REF!</definedName>
    <definedName name="CY_lik_Assets_ex" localSheetId="0">#REF!</definedName>
    <definedName name="CY_lik_Assets_ex">#REF!</definedName>
    <definedName name="CY_lik_Assets_ext" localSheetId="4">#REF!</definedName>
    <definedName name="CY_lik_Assets_ext" localSheetId="5">#REF!</definedName>
    <definedName name="CY_lik_Assets_ext" localSheetId="0">#REF!</definedName>
    <definedName name="CY_lik_Assets_ext">#REF!</definedName>
    <definedName name="CY_lik_Equity" localSheetId="4">#REF!</definedName>
    <definedName name="CY_lik_Equity" localSheetId="5">#REF!</definedName>
    <definedName name="CY_lik_Equity" localSheetId="0">#REF!</definedName>
    <definedName name="CY_lik_Equity">#REF!</definedName>
    <definedName name="CY_lik_Equity_eX" localSheetId="4">#REF!</definedName>
    <definedName name="CY_lik_Equity_eX" localSheetId="5">#REF!</definedName>
    <definedName name="CY_lik_Equity_eX" localSheetId="0">#REF!</definedName>
    <definedName name="CY_lik_Equity_eX">#REF!</definedName>
    <definedName name="CY_lik_Equity_eXt" localSheetId="4">#REF!</definedName>
    <definedName name="CY_lik_Equity_eXt" localSheetId="5">#REF!</definedName>
    <definedName name="CY_lik_Equity_eXt" localSheetId="0">#REF!</definedName>
    <definedName name="CY_lik_Equity_eXt">#REF!</definedName>
    <definedName name="CY_lik_Income" localSheetId="4">#REF!</definedName>
    <definedName name="CY_lik_Income" localSheetId="5">#REF!</definedName>
    <definedName name="CY_lik_Income" localSheetId="0">#REF!</definedName>
    <definedName name="CY_lik_Income">#REF!</definedName>
    <definedName name="CY_lik_Income_Ex" localSheetId="4">#REF!</definedName>
    <definedName name="CY_lik_Income_Ex" localSheetId="5">#REF!</definedName>
    <definedName name="CY_lik_Income_Ex" localSheetId="0">#REF!</definedName>
    <definedName name="CY_lik_Income_Ex">#REF!</definedName>
    <definedName name="CY_lik_Income_Ext" localSheetId="4">#REF!</definedName>
    <definedName name="CY_lik_Income_Ext" localSheetId="5">#REF!</definedName>
    <definedName name="CY_lik_Income_Ext" localSheetId="0">#REF!</definedName>
    <definedName name="CY_lik_Income_Ext">#REF!</definedName>
    <definedName name="CY_lik_Liabs" localSheetId="4">#REF!</definedName>
    <definedName name="CY_lik_Liabs" localSheetId="5">#REF!</definedName>
    <definedName name="CY_lik_Liabs" localSheetId="0">#REF!</definedName>
    <definedName name="CY_lik_Liabs">#REF!</definedName>
    <definedName name="CY_lik_Liabs_EX" localSheetId="4">#REF!</definedName>
    <definedName name="CY_lik_Liabs_EX" localSheetId="5">#REF!</definedName>
    <definedName name="CY_lik_Liabs_EX" localSheetId="0">#REF!</definedName>
    <definedName name="CY_lik_Liabs_EX">#REF!</definedName>
    <definedName name="CY_lik_Liabs_EXt" localSheetId="4">#REF!</definedName>
    <definedName name="CY_lik_Liabs_EXt" localSheetId="5">#REF!</definedName>
    <definedName name="CY_lik_Liabs_EXt" localSheetId="0">#REF!</definedName>
    <definedName name="CY_lik_Liabs_EXt">#REF!</definedName>
    <definedName name="CY_lik_RetEarn_bf" localSheetId="4">#REF!</definedName>
    <definedName name="CY_lik_RetEarn_bf" localSheetId="5">#REF!</definedName>
    <definedName name="CY_lik_RetEarn_bf" localSheetId="0">#REF!</definedName>
    <definedName name="CY_lik_RetEarn_bf">#REF!</definedName>
    <definedName name="CY_tx_all_Equity" localSheetId="4">#REF!</definedName>
    <definedName name="CY_tx_all_Equity" localSheetId="5">#REF!</definedName>
    <definedName name="CY_tx_all_Equity" localSheetId="0">#REF!</definedName>
    <definedName name="CY_tx_all_Equity">#REF!</definedName>
    <definedName name="CY_tx_all_Income" localSheetId="4">#REF!</definedName>
    <definedName name="CY_tx_all_Income" localSheetId="5">#REF!</definedName>
    <definedName name="CY_tx_all_Income" localSheetId="0">#REF!</definedName>
    <definedName name="CY_tx_all_Income">#REF!</definedName>
    <definedName name="CY_tx_all_Liabs" localSheetId="4">#REF!</definedName>
    <definedName name="CY_tx_all_Liabs" localSheetId="5">#REF!</definedName>
    <definedName name="CY_tx_all_Liabs" localSheetId="0">#REF!</definedName>
    <definedName name="CY_tx_all_Liabs">#REF!</definedName>
    <definedName name="CY_tx_all_RetEarn_bf" localSheetId="4">#REF!</definedName>
    <definedName name="CY_tx_all_RetEarn_bf" localSheetId="5">#REF!</definedName>
    <definedName name="CY_tx_all_RetEarn_bf" localSheetId="0">#REF!</definedName>
    <definedName name="CY_tx_all_RetEarn_bf">#REF!</definedName>
    <definedName name="CY_tx_knw_Equity" localSheetId="4">#REF!</definedName>
    <definedName name="CY_tx_knw_Equity" localSheetId="5">#REF!</definedName>
    <definedName name="CY_tx_knw_Equity" localSheetId="0">#REF!</definedName>
    <definedName name="CY_tx_knw_Equity">#REF!</definedName>
    <definedName name="CY_tx_knw_Income" localSheetId="4">#REF!</definedName>
    <definedName name="CY_tx_knw_Income" localSheetId="5">#REF!</definedName>
    <definedName name="CY_tx_knw_Income" localSheetId="0">#REF!</definedName>
    <definedName name="CY_tx_knw_Income">#REF!</definedName>
    <definedName name="CY_tx_knw_Liabs" localSheetId="4">#REF!</definedName>
    <definedName name="CY_tx_knw_Liabs" localSheetId="5">#REF!</definedName>
    <definedName name="CY_tx_knw_Liabs" localSheetId="0">#REF!</definedName>
    <definedName name="CY_tx_knw_Liabs">#REF!</definedName>
    <definedName name="CY_tx_knw_RetEarn_bf" localSheetId="4">#REF!</definedName>
    <definedName name="CY_tx_knw_RetEarn_bf" localSheetId="5">#REF!</definedName>
    <definedName name="CY_tx_knw_RetEarn_bf" localSheetId="0">#REF!</definedName>
    <definedName name="CY_tx_knw_RetEarn_bf">#REF!</definedName>
    <definedName name="CY_tx_lik_Equity" localSheetId="4">#REF!</definedName>
    <definedName name="CY_tx_lik_Equity" localSheetId="5">#REF!</definedName>
    <definedName name="CY_tx_lik_Equity" localSheetId="0">#REF!</definedName>
    <definedName name="CY_tx_lik_Equity">#REF!</definedName>
    <definedName name="CY_tx_lik_Equity_ex" localSheetId="4">#REF!</definedName>
    <definedName name="CY_tx_lik_Equity_ex" localSheetId="5">#REF!</definedName>
    <definedName name="CY_tx_lik_Equity_ex" localSheetId="0">#REF!</definedName>
    <definedName name="CY_tx_lik_Equity_ex">#REF!</definedName>
    <definedName name="CY_tx_lik_Equity_ext" localSheetId="4">#REF!</definedName>
    <definedName name="CY_tx_lik_Equity_ext" localSheetId="5">#REF!</definedName>
    <definedName name="CY_tx_lik_Equity_ext" localSheetId="0">#REF!</definedName>
    <definedName name="CY_tx_lik_Equity_ext">#REF!</definedName>
    <definedName name="CY_tx_lik_Income" localSheetId="4">#REF!</definedName>
    <definedName name="CY_tx_lik_Income" localSheetId="5">#REF!</definedName>
    <definedName name="CY_tx_lik_Income" localSheetId="0">#REF!</definedName>
    <definedName name="CY_tx_lik_Income">#REF!</definedName>
    <definedName name="CY_tx_lik_Income_ex" localSheetId="4">#REF!</definedName>
    <definedName name="CY_tx_lik_Income_ex" localSheetId="5">#REF!</definedName>
    <definedName name="CY_tx_lik_Income_ex" localSheetId="0">#REF!</definedName>
    <definedName name="CY_tx_lik_Income_ex">#REF!</definedName>
    <definedName name="CY_tx_lik_Income_ext" localSheetId="4">#REF!</definedName>
    <definedName name="CY_tx_lik_Income_ext" localSheetId="5">#REF!</definedName>
    <definedName name="CY_tx_lik_Income_ext" localSheetId="0">#REF!</definedName>
    <definedName name="CY_tx_lik_Income_ext">#REF!</definedName>
    <definedName name="CY_tx_lik_Liabs" localSheetId="4">#REF!</definedName>
    <definedName name="CY_tx_lik_Liabs" localSheetId="5">#REF!</definedName>
    <definedName name="CY_tx_lik_Liabs" localSheetId="0">#REF!</definedName>
    <definedName name="CY_tx_lik_Liabs">#REF!</definedName>
    <definedName name="CY_tx_lik_Liabs_ex" localSheetId="4">#REF!</definedName>
    <definedName name="CY_tx_lik_Liabs_ex" localSheetId="5">#REF!</definedName>
    <definedName name="CY_tx_lik_Liabs_ex" localSheetId="0">#REF!</definedName>
    <definedName name="CY_tx_lik_Liabs_ex">#REF!</definedName>
    <definedName name="CY_tx_lik_Liabs_ext" localSheetId="4">#REF!</definedName>
    <definedName name="CY_tx_lik_Liabs_ext" localSheetId="5">#REF!</definedName>
    <definedName name="CY_tx_lik_Liabs_ext" localSheetId="0">#REF!</definedName>
    <definedName name="CY_tx_lik_Liabs_ext">#REF!</definedName>
    <definedName name="CY_tx_lik_RetEarn_bf" localSheetId="4">#REF!</definedName>
    <definedName name="CY_tx_lik_RetEarn_bf" localSheetId="5">#REF!</definedName>
    <definedName name="CY_tx_lik_RetEarn_bf" localSheetId="0">#REF!</definedName>
    <definedName name="CY_tx_lik_RetEarn_bf">#REF!</definedName>
    <definedName name="CY_tx_lik_RetEarn_bf_ex" localSheetId="4">#REF!</definedName>
    <definedName name="CY_tx_lik_RetEarn_bf_ex" localSheetId="5">#REF!</definedName>
    <definedName name="CY_tx_lik_RetEarn_bf_ex" localSheetId="0">#REF!</definedName>
    <definedName name="CY_tx_lik_RetEarn_bf_ex">#REF!</definedName>
    <definedName name="CY_tx_lik_RetEarn_bf_ext" localSheetId="4">#REF!</definedName>
    <definedName name="CY_tx_lik_RetEarn_bf_ext" localSheetId="5">#REF!</definedName>
    <definedName name="CY_tx_lik_RetEarn_bf_ext" localSheetId="0">#REF!</definedName>
    <definedName name="CY_tx_lik_RetEarn_bf_ext">#REF!</definedName>
    <definedName name="_xlnm.Database" localSheetId="4">[2]B!#REF!</definedName>
    <definedName name="_xlnm.Database" localSheetId="5">[2]B!#REF!</definedName>
    <definedName name="_xlnm.Database" localSheetId="0">[2]B!#REF!</definedName>
    <definedName name="_xlnm.Database">[2]B!#REF!</definedName>
    <definedName name="DEX" localSheetId="4" hidden="1">#REF!</definedName>
    <definedName name="DEX" localSheetId="5" hidden="1">#REF!</definedName>
    <definedName name="DEX" localSheetId="0" hidden="1">#REF!</definedName>
    <definedName name="DEX" hidden="1">#REF!</definedName>
    <definedName name="EDC" localSheetId="4" hidden="1">#REF!</definedName>
    <definedName name="EDC" localSheetId="5" hidden="1">#REF!</definedName>
    <definedName name="EDC" localSheetId="0" hidden="1">#REF!</definedName>
    <definedName name="EDC" hidden="1">#REF!</definedName>
    <definedName name="Effective_Tax_Rate" localSheetId="4">#REF!</definedName>
    <definedName name="Effective_Tax_Rate" localSheetId="5">#REF!</definedName>
    <definedName name="Effective_Tax_Rate" localSheetId="0">#REF!</definedName>
    <definedName name="Effective_Tax_Rate">#REF!</definedName>
    <definedName name="FAD" localSheetId="4" hidden="1">[3]Breakdown!#REF!</definedName>
    <definedName name="FAD" localSheetId="5" hidden="1">[3]Breakdown!#REF!</definedName>
    <definedName name="FAD" localSheetId="0" hidden="1">[3]Breakdown!#REF!</definedName>
    <definedName name="FAD" hidden="1">[3]Breakdown!#REF!</definedName>
    <definedName name="FASD" localSheetId="4" hidden="1">#REF!</definedName>
    <definedName name="FASD" localSheetId="5" hidden="1">#REF!</definedName>
    <definedName name="FASD" localSheetId="0" hidden="1">#REF!</definedName>
    <definedName name="FASD" hidden="1">#REF!</definedName>
    <definedName name="FEDC" localSheetId="4" hidden="1">'[4]2004'!#REF!</definedName>
    <definedName name="FEDC" localSheetId="5" hidden="1">'[4]2004'!#REF!</definedName>
    <definedName name="FEDC" localSheetId="0" hidden="1">'[4]2004'!#REF!</definedName>
    <definedName name="FEDC" hidden="1">'[4]2004'!#REF!</definedName>
    <definedName name="ffd">[1]企业表一!$E$20</definedName>
    <definedName name="Known" localSheetId="4">#REF!</definedName>
    <definedName name="Known" localSheetId="5">#REF!</definedName>
    <definedName name="Known" localSheetId="0">#REF!</definedName>
    <definedName name="Known">#REF!</definedName>
    <definedName name="KnownTable" localSheetId="4">#REF!</definedName>
    <definedName name="KnownTable" localSheetId="5">#REF!</definedName>
    <definedName name="KnownTable" localSheetId="0">#REF!</definedName>
    <definedName name="KnownTable">#REF!</definedName>
    <definedName name="KnownTitle" localSheetId="4">#REF!</definedName>
    <definedName name="KnownTitle" localSheetId="5">#REF!</definedName>
    <definedName name="KnownTitle" localSheetId="0">#REF!</definedName>
    <definedName name="KnownTitle">#REF!</definedName>
    <definedName name="Likely1" localSheetId="4">#REF!</definedName>
    <definedName name="Likely1" localSheetId="5">#REF!</definedName>
    <definedName name="Likely1" localSheetId="0">#REF!</definedName>
    <definedName name="Likely1">#REF!</definedName>
    <definedName name="Likely2" localSheetId="4">#REF!</definedName>
    <definedName name="Likely2" localSheetId="5">#REF!</definedName>
    <definedName name="Likely2" localSheetId="0">#REF!</definedName>
    <definedName name="Likely2">#REF!</definedName>
    <definedName name="LikelyTable1" localSheetId="4">#REF!</definedName>
    <definedName name="LikelyTable1" localSheetId="5">#REF!</definedName>
    <definedName name="LikelyTable1" localSheetId="0">#REF!</definedName>
    <definedName name="LikelyTable1">#REF!</definedName>
    <definedName name="LikelyTable2" localSheetId="4">#REF!</definedName>
    <definedName name="LikelyTable2" localSheetId="5">#REF!</definedName>
    <definedName name="LikelyTable2" localSheetId="0">#REF!</definedName>
    <definedName name="LikelyTable2">#REF!</definedName>
    <definedName name="LikelyTitle" localSheetId="4">#REF!</definedName>
    <definedName name="LikelyTitle" localSheetId="5">#REF!</definedName>
    <definedName name="LikelyTitle" localSheetId="0">#REF!</definedName>
    <definedName name="LikelyTitle">#REF!</definedName>
    <definedName name="Materiality" localSheetId="4">#REF!</definedName>
    <definedName name="Materiality" localSheetId="5">#REF!</definedName>
    <definedName name="Materiality" localSheetId="0">#REF!</definedName>
    <definedName name="Materiality">#REF!</definedName>
    <definedName name="Monetary_Precision" localSheetId="4">#REF!</definedName>
    <definedName name="Monetary_Precision" localSheetId="5">#REF!</definedName>
    <definedName name="Monetary_Precision" localSheetId="0">#REF!</definedName>
    <definedName name="Monetary_Precision">#REF!</definedName>
    <definedName name="OC_Instruction" localSheetId="4">#REF!</definedName>
    <definedName name="OC_Instruction" localSheetId="5">#REF!</definedName>
    <definedName name="OC_Instruction" localSheetId="0">#REF!</definedName>
    <definedName name="OC_Instruction">#REF!</definedName>
    <definedName name="OtherConditions" localSheetId="4">#REF!</definedName>
    <definedName name="OtherConditions" localSheetId="5">#REF!</definedName>
    <definedName name="OtherConditions" localSheetId="0">#REF!</definedName>
    <definedName name="OtherConditions">#REF!</definedName>
    <definedName name="Pre_tax_materiality" localSheetId="4">#REF!</definedName>
    <definedName name="Pre_tax_materiality" localSheetId="5">#REF!</definedName>
    <definedName name="Pre_tax_materiality" localSheetId="0">#REF!</definedName>
    <definedName name="Pre_tax_materiality">#REF!</definedName>
    <definedName name="Precision" localSheetId="4">#REF!</definedName>
    <definedName name="Precision" localSheetId="5">#REF!</definedName>
    <definedName name="Precision" localSheetId="0">#REF!</definedName>
    <definedName name="Precision">#REF!</definedName>
    <definedName name="_xlnm.Print_Area" localSheetId="2">'B23-13-1链接-企业对财务报表风险的应对'!$A$1:$E$11</definedName>
    <definedName name="_xlnm.Print_Area" localSheetId="3">'B23-13-2穿行测试'!$A$1:$J$32</definedName>
    <definedName name="_xlnm.Print_Area" localSheetId="4">'B23-13-3关键控制点选择表（财报审计适用）'!$A$1:$I$26</definedName>
    <definedName name="_xlnm.Print_Area" localSheetId="5">'B23-13-4关键控制点选择表 (整合审计适用)'!$A$1:$I$47</definedName>
    <definedName name="_xlnm.Print_Area" localSheetId="1">'B23-13了解债务循环流程和内部控制记录表'!$A$1:$E$50</definedName>
    <definedName name="_xlnm.Print_Titles" localSheetId="3">'B23-13-2穿行测试'!$5:$5</definedName>
    <definedName name="PY_all_Equity" localSheetId="4">#REF!</definedName>
    <definedName name="PY_all_Equity" localSheetId="5">#REF!</definedName>
    <definedName name="PY_all_Equity" localSheetId="0">#REF!</definedName>
    <definedName name="PY_all_Equity">#REF!</definedName>
    <definedName name="PY_all_Income" localSheetId="4">#REF!</definedName>
    <definedName name="PY_all_Income" localSheetId="5">#REF!</definedName>
    <definedName name="PY_all_Income" localSheetId="0">#REF!</definedName>
    <definedName name="PY_all_Income">#REF!</definedName>
    <definedName name="PY_all_RetEarn" localSheetId="4">#REF!</definedName>
    <definedName name="PY_all_RetEarn" localSheetId="5">#REF!</definedName>
    <definedName name="PY_all_RetEarn" localSheetId="0">#REF!</definedName>
    <definedName name="PY_all_RetEarn">#REF!</definedName>
    <definedName name="PY_knw_Income" localSheetId="4">#REF!</definedName>
    <definedName name="PY_knw_Income" localSheetId="5">#REF!</definedName>
    <definedName name="PY_knw_Income" localSheetId="0">#REF!</definedName>
    <definedName name="PY_knw_Income">#REF!</definedName>
    <definedName name="PY_knw_RetEarn" localSheetId="4">#REF!</definedName>
    <definedName name="PY_knw_RetEarn" localSheetId="5">#REF!</definedName>
    <definedName name="PY_knw_RetEarn" localSheetId="0">#REF!</definedName>
    <definedName name="PY_knw_RetEarn">#REF!</definedName>
    <definedName name="PY_lik_Income" localSheetId="4">#REF!</definedName>
    <definedName name="PY_lik_Income" localSheetId="5">#REF!</definedName>
    <definedName name="PY_lik_Income" localSheetId="0">#REF!</definedName>
    <definedName name="PY_lik_Income">#REF!</definedName>
    <definedName name="PY_lik_RetEarn" localSheetId="4">#REF!</definedName>
    <definedName name="PY_lik_RetEarn" localSheetId="5">#REF!</definedName>
    <definedName name="PY_lik_RetEarn" localSheetId="0">#REF!</definedName>
    <definedName name="PY_lik_RetEarn">#REF!</definedName>
    <definedName name="PY_tot_knw_Xfoot" localSheetId="4">#REF!</definedName>
    <definedName name="PY_tot_knw_Xfoot" localSheetId="5">#REF!</definedName>
    <definedName name="PY_tot_knw_Xfoot" localSheetId="0">#REF!</definedName>
    <definedName name="PY_tot_knw_Xfoot">#REF!</definedName>
    <definedName name="PY_tot_lik_Xfoot" localSheetId="4">#REF!</definedName>
    <definedName name="PY_tot_lik_Xfoot" localSheetId="5">#REF!</definedName>
    <definedName name="PY_tot_lik_Xfoot" localSheetId="0">#REF!</definedName>
    <definedName name="PY_tot_lik_Xfoot">#REF!</definedName>
    <definedName name="PY_tx_all_Income" localSheetId="4">#REF!</definedName>
    <definedName name="PY_tx_all_Income" localSheetId="5">#REF!</definedName>
    <definedName name="PY_tx_all_Income" localSheetId="0">#REF!</definedName>
    <definedName name="PY_tx_all_Income">#REF!</definedName>
    <definedName name="PY_tx_all_RetEarn" localSheetId="4">#REF!</definedName>
    <definedName name="PY_tx_all_RetEarn" localSheetId="5">#REF!</definedName>
    <definedName name="PY_tx_all_RetEarn" localSheetId="0">#REF!</definedName>
    <definedName name="PY_tx_all_RetEarn">#REF!</definedName>
    <definedName name="PY_tx_knw_Income" localSheetId="4">#REF!</definedName>
    <definedName name="PY_tx_knw_Income" localSheetId="5">#REF!</definedName>
    <definedName name="PY_tx_knw_Income" localSheetId="0">#REF!</definedName>
    <definedName name="PY_tx_knw_Income">#REF!</definedName>
    <definedName name="PY_tx_knw_RetEarn" localSheetId="4">#REF!</definedName>
    <definedName name="PY_tx_knw_RetEarn" localSheetId="5">#REF!</definedName>
    <definedName name="PY_tx_knw_RetEarn" localSheetId="0">#REF!</definedName>
    <definedName name="PY_tx_knw_RetEarn">#REF!</definedName>
    <definedName name="PY_tx_lik_Income" localSheetId="4">#REF!</definedName>
    <definedName name="PY_tx_lik_Income" localSheetId="5">#REF!</definedName>
    <definedName name="PY_tx_lik_Income" localSheetId="0">#REF!</definedName>
    <definedName name="PY_tx_lik_Income">#REF!</definedName>
    <definedName name="PY_tx_lik_RetEarn" localSheetId="4">#REF!</definedName>
    <definedName name="PY_tx_lik_RetEarn" localSheetId="5">#REF!</definedName>
    <definedName name="PY_tx_lik_RetEarn" localSheetId="0">#REF!</definedName>
    <definedName name="PY_tx_lik_RetEarn">#REF!</definedName>
    <definedName name="QC_Instruction" localSheetId="4">#REF!</definedName>
    <definedName name="QC_Instruction" localSheetId="5">#REF!</definedName>
    <definedName name="QC_Instruction" localSheetId="0">#REF!</definedName>
    <definedName name="QC_Instruction">#REF!</definedName>
    <definedName name="Qualitative1" localSheetId="4">#REF!</definedName>
    <definedName name="Qualitative1" localSheetId="5">#REF!</definedName>
    <definedName name="Qualitative1" localSheetId="0">#REF!</definedName>
    <definedName name="Qualitative1">#REF!</definedName>
    <definedName name="Qualitative2" localSheetId="4">#REF!</definedName>
    <definedName name="Qualitative2" localSheetId="5">#REF!</definedName>
    <definedName name="Qualitative2" localSheetId="0">#REF!</definedName>
    <definedName name="Qualitative2">#REF!</definedName>
    <definedName name="Qualitative3" localSheetId="4">#REF!</definedName>
    <definedName name="Qualitative3" localSheetId="5">#REF!</definedName>
    <definedName name="Qualitative3" localSheetId="0">#REF!</definedName>
    <definedName name="Qualitative3">#REF!</definedName>
    <definedName name="QualitativeTextBox" localSheetId="4">#REF!</definedName>
    <definedName name="QualitativeTextBox" localSheetId="5">#REF!</definedName>
    <definedName name="QualitativeTextBox" localSheetId="0">#REF!</definedName>
    <definedName name="QualitativeTextBox">#REF!</definedName>
    <definedName name="RDES" localSheetId="4" hidden="1">#REF!</definedName>
    <definedName name="RDES" localSheetId="5" hidden="1">#REF!</definedName>
    <definedName name="RDES" localSheetId="0" hidden="1">#REF!</definedName>
    <definedName name="RDES" hidden="1">#REF!</definedName>
    <definedName name="SM_CurrentYearHyplnk" localSheetId="4">#REF!</definedName>
    <definedName name="SM_CurrentYearHyplnk" localSheetId="5">#REF!</definedName>
    <definedName name="SM_CurrentYearHyplnk" localSheetId="0">#REF!</definedName>
    <definedName name="SM_CurrentYearHyplnk">#REF!</definedName>
    <definedName name="SM_PriorYearHyplnk" localSheetId="4">#REF!</definedName>
    <definedName name="SM_PriorYearHyplnk" localSheetId="5">#REF!</definedName>
    <definedName name="SM_PriorYearHyplnk" localSheetId="0">#REF!</definedName>
    <definedName name="SM_PriorYearHyplnk">#REF!</definedName>
    <definedName name="SM_WholeSheet" localSheetId="4">#REF!</definedName>
    <definedName name="SM_WholeSheet" localSheetId="5">#REF!</definedName>
    <definedName name="SM_WholeSheet" localSheetId="0">#REF!</definedName>
    <definedName name="SM_WholeSheet">#REF!</definedName>
    <definedName name="SummaryCOKnownProtection" localSheetId="4">#REF!</definedName>
    <definedName name="SummaryCOKnownProtection" localSheetId="5">#REF!</definedName>
    <definedName name="SummaryCOKnownProtection" localSheetId="0">#REF!</definedName>
    <definedName name="SummaryCOKnownProtection">#REF!</definedName>
    <definedName name="SummaryCOLikelyProtection" localSheetId="4">#REF!</definedName>
    <definedName name="SummaryCOLikelyProtection" localSheetId="5">#REF!</definedName>
    <definedName name="SummaryCOLikelyProtection" localSheetId="0">#REF!</definedName>
    <definedName name="SummaryCOLikelyProtection">#REF!</definedName>
    <definedName name="SummaryKnownProtection" localSheetId="4">#REF!</definedName>
    <definedName name="SummaryKnownProtection" localSheetId="5">#REF!</definedName>
    <definedName name="SummaryKnownProtection" localSheetId="0">#REF!</definedName>
    <definedName name="SummaryKnownProtection">#REF!</definedName>
    <definedName name="SummaryLikely1Protection" localSheetId="4">#REF!</definedName>
    <definedName name="SummaryLikely1Protection" localSheetId="5">#REF!</definedName>
    <definedName name="SummaryLikely1Protection" localSheetId="0">#REF!</definedName>
    <definedName name="SummaryLikely1Protection">#REF!</definedName>
    <definedName name="SummaryLikely2Protection" localSheetId="4">#REF!</definedName>
    <definedName name="SummaryLikely2Protection" localSheetId="5">#REF!</definedName>
    <definedName name="SummaryLikely2Protection" localSheetId="0">#REF!</definedName>
    <definedName name="SummaryLikely2Protection">#REF!</definedName>
    <definedName name="Tax_Effect_Income" localSheetId="4">#REF!</definedName>
    <definedName name="Tax_Effect_Income" localSheetId="5">#REF!</definedName>
    <definedName name="Tax_Effect_Income" localSheetId="0">#REF!</definedName>
    <definedName name="Tax_Effect_Income">#REF!</definedName>
    <definedName name="Tax_Effect_Liabs" localSheetId="4">#REF!</definedName>
    <definedName name="Tax_Effect_Liabs" localSheetId="5">#REF!</definedName>
    <definedName name="Tax_Effect_Liabs" localSheetId="0">#REF!</definedName>
    <definedName name="Tax_Effect_Liabs">#REF!</definedName>
    <definedName name="Tax_Effect_RetEarn" localSheetId="4">#REF!</definedName>
    <definedName name="Tax_Effect_RetEarn" localSheetId="5">#REF!</definedName>
    <definedName name="Tax_Effect_RetEarn" localSheetId="0">#REF!</definedName>
    <definedName name="Tax_Effect_RetEarn">#REF!</definedName>
    <definedName name="Tax_Rate" localSheetId="4">#REF!</definedName>
    <definedName name="Tax_Rate" localSheetId="5">#REF!</definedName>
    <definedName name="Tax_Rate" localSheetId="0">#REF!</definedName>
    <definedName name="Tax_Rate">#REF!</definedName>
    <definedName name="TextRefCopyRangeCount" hidden="1">136</definedName>
    <definedName name="Threshold" localSheetId="4">#REF!</definedName>
    <definedName name="Threshold" localSheetId="5">#REF!</definedName>
    <definedName name="Threshold" localSheetId="0">#REF!</definedName>
    <definedName name="Threshold">#REF!</definedName>
    <definedName name="Threshold_for_Accumulating" localSheetId="4">#REF!</definedName>
    <definedName name="Threshold_for_Accumulating" localSheetId="5">#REF!</definedName>
    <definedName name="Threshold_for_Accumulating" localSheetId="0">#REF!</definedName>
    <definedName name="Threshold_for_Accumulating">#REF!</definedName>
    <definedName name="Tot_knw_Xfoot" localSheetId="4">#REF!</definedName>
    <definedName name="Tot_knw_Xfoot" localSheetId="5">#REF!</definedName>
    <definedName name="Tot_knw_Xfoot" localSheetId="0">#REF!</definedName>
    <definedName name="Tot_knw_Xfoot">#REF!</definedName>
    <definedName name="Tot_lik_Xfoot" localSheetId="4">#REF!</definedName>
    <definedName name="Tot_lik_Xfoot" localSheetId="5">#REF!</definedName>
    <definedName name="Tot_lik_Xfoot" localSheetId="0">#REF!</definedName>
    <definedName name="Tot_lik_Xfoot">#REF!</definedName>
    <definedName name="Tot_lik_Xfoot_ex" localSheetId="4">#REF!</definedName>
    <definedName name="Tot_lik_Xfoot_ex" localSheetId="5">#REF!</definedName>
    <definedName name="Tot_lik_Xfoot_ex" localSheetId="0">#REF!</definedName>
    <definedName name="Tot_lik_Xfoot_ex">#REF!</definedName>
    <definedName name="Tot_lik_Xfoot_ext" localSheetId="4">#REF!</definedName>
    <definedName name="Tot_lik_Xfoot_ext" localSheetId="5">#REF!</definedName>
    <definedName name="Tot_lik_Xfoot_ext" localSheetId="0">#REF!</definedName>
    <definedName name="Tot_lik_Xfoot_ext">#REF!</definedName>
    <definedName name="TOTAL_KNOWN" localSheetId="4">#REF!</definedName>
    <definedName name="TOTAL_KNOWN" localSheetId="5">#REF!</definedName>
    <definedName name="TOTAL_KNOWN" localSheetId="0">#REF!</definedName>
    <definedName name="TOTAL_KNOWN">#REF!</definedName>
    <definedName name="TotalCarryOver" localSheetId="4">#REF!</definedName>
    <definedName name="TotalCarryOver" localSheetId="5">#REF!</definedName>
    <definedName name="TotalCarryOver" localSheetId="0">#REF!</definedName>
    <definedName name="TotalCarryOver">#REF!</definedName>
    <definedName name="TotalCurrentYear" localSheetId="4">#REF!</definedName>
    <definedName name="TotalCurrentYear" localSheetId="5">#REF!</definedName>
    <definedName name="TotalCurrentYear" localSheetId="0">#REF!</definedName>
    <definedName name="TotalCurrentYear">#REF!</definedName>
    <definedName name="TotalKnownCheck" localSheetId="4">#REF!</definedName>
    <definedName name="TotalKnownCheck" localSheetId="5">#REF!</definedName>
    <definedName name="TotalKnownCheck" localSheetId="0">#REF!</definedName>
    <definedName name="TotalKnownCheck">#REF!</definedName>
    <definedName name="VFE" localSheetId="4" hidden="1">#REF!</definedName>
    <definedName name="VFE" localSheetId="5" hidden="1">#REF!</definedName>
    <definedName name="VFE" localSheetId="0" hidden="1">#REF!</definedName>
    <definedName name="VFE" hidden="1">#REF!</definedName>
    <definedName name="XAP" localSheetId="4" hidden="1">#REF!</definedName>
    <definedName name="XAP" localSheetId="5" hidden="1">#REF!</definedName>
    <definedName name="XAP" localSheetId="0" hidden="1">#REF!</definedName>
    <definedName name="XAP" hidden="1">#REF!</definedName>
    <definedName name="XAQ" localSheetId="4" hidden="1">#REF!</definedName>
    <definedName name="XAQ" localSheetId="5" hidden="1">#REF!</definedName>
    <definedName name="XAQ" localSheetId="0" hidden="1">#REF!</definedName>
    <definedName name="XAQ" hidden="1">#REF!</definedName>
    <definedName name="XCD" localSheetId="4" hidden="1">#REF!</definedName>
    <definedName name="XCD" localSheetId="5" hidden="1">#REF!</definedName>
    <definedName name="XCD" localSheetId="0" hidden="1">#REF!</definedName>
    <definedName name="XCD" hidden="1">#REF!</definedName>
    <definedName name="XREF_COLUMN_1" localSheetId="4" hidden="1">#REF!</definedName>
    <definedName name="XREF_COLUMN_1" localSheetId="5" hidden="1">#REF!</definedName>
    <definedName name="XREF_COLUMN_1" localSheetId="0" hidden="1">#REF!</definedName>
    <definedName name="XREF_COLUMN_1" hidden="1">#REF!</definedName>
    <definedName name="XREF_COLUMN_2" localSheetId="4" hidden="1">[3]Breakdown!#REF!</definedName>
    <definedName name="XREF_COLUMN_2" localSheetId="5" hidden="1">[3]Breakdown!#REF!</definedName>
    <definedName name="XREF_COLUMN_2" localSheetId="0" hidden="1">[3]Breakdown!#REF!</definedName>
    <definedName name="XREF_COLUMN_2" hidden="1">[3]Breakdown!#REF!</definedName>
    <definedName name="XREF_COLUMN_3" localSheetId="4" hidden="1">#REF!</definedName>
    <definedName name="XREF_COLUMN_3" localSheetId="5" hidden="1">#REF!</definedName>
    <definedName name="XREF_COLUMN_3" localSheetId="0" hidden="1">#REF!</definedName>
    <definedName name="XREF_COLUMN_3" hidden="1">#REF!</definedName>
    <definedName name="XREF_COLUMN_5" localSheetId="4" hidden="1">'[4]2004'!#REF!</definedName>
    <definedName name="XREF_COLUMN_5" localSheetId="5" hidden="1">'[4]2004'!#REF!</definedName>
    <definedName name="XREF_COLUMN_5" localSheetId="0" hidden="1">'[4]2004'!#REF!</definedName>
    <definedName name="XREF_COLUMN_5" hidden="1">'[4]2004'!#REF!</definedName>
    <definedName name="XRefActiveRow" localSheetId="4" hidden="1">#REF!</definedName>
    <definedName name="XRefActiveRow" localSheetId="5" hidden="1">#REF!</definedName>
    <definedName name="XRefActiveRow" localSheetId="0" hidden="1">#REF!</definedName>
    <definedName name="XRefActiveRow" hidden="1">#REF!</definedName>
    <definedName name="XRefColumnsCount" hidden="1">2</definedName>
    <definedName name="XRefCopy1" localSheetId="4" hidden="1">#REF!</definedName>
    <definedName name="XRefCopy1" localSheetId="5" hidden="1">#REF!</definedName>
    <definedName name="XRefCopy1" localSheetId="0" hidden="1">#REF!</definedName>
    <definedName name="XRefCopy1" hidden="1">#REF!</definedName>
    <definedName name="XRefCopy1Row" localSheetId="4" hidden="1">#REF!</definedName>
    <definedName name="XRefCopy1Row" localSheetId="5" hidden="1">#REF!</definedName>
    <definedName name="XRefCopy1Row" localSheetId="0" hidden="1">#REF!</definedName>
    <definedName name="XRefCopy1Row" hidden="1">#REF!</definedName>
    <definedName name="XRefCopy2Row" localSheetId="4" hidden="1">#REF!</definedName>
    <definedName name="XRefCopy2Row" localSheetId="5" hidden="1">#REF!</definedName>
    <definedName name="XRefCopy2Row" localSheetId="0" hidden="1">#REF!</definedName>
    <definedName name="XRefCopy2Row" hidden="1">#REF!</definedName>
    <definedName name="XRefCopyRangeCount" hidden="1">2</definedName>
    <definedName name="XRefPaste1" localSheetId="4" hidden="1">#REF!</definedName>
    <definedName name="XRefPaste1" localSheetId="5" hidden="1">#REF!</definedName>
    <definedName name="XRefPaste1" localSheetId="0" hidden="1">#REF!</definedName>
    <definedName name="XRefPaste1" hidden="1">#REF!</definedName>
    <definedName name="XRefPaste1Row" localSheetId="4" hidden="1">#REF!</definedName>
    <definedName name="XRefPaste1Row" localSheetId="5" hidden="1">#REF!</definedName>
    <definedName name="XRefPaste1Row" localSheetId="0" hidden="1">#REF!</definedName>
    <definedName name="XRefPaste1Row" hidden="1">#REF!</definedName>
    <definedName name="XRefPaste2" localSheetId="4" hidden="1">#REF!</definedName>
    <definedName name="XRefPaste2" localSheetId="5" hidden="1">#REF!</definedName>
    <definedName name="XRefPaste2" localSheetId="0" hidden="1">#REF!</definedName>
    <definedName name="XRefPaste2" hidden="1">#REF!</definedName>
    <definedName name="XRefPaste2Row" localSheetId="4" hidden="1">#REF!</definedName>
    <definedName name="XRefPaste2Row" localSheetId="5" hidden="1">#REF!</definedName>
    <definedName name="XRefPaste2Row" localSheetId="0" hidden="1">#REF!</definedName>
    <definedName name="XRefPaste2Row" hidden="1">#REF!</definedName>
    <definedName name="XRefPaste3" localSheetId="4" hidden="1">#REF!</definedName>
    <definedName name="XRefPaste3" localSheetId="5" hidden="1">#REF!</definedName>
    <definedName name="XRefPaste3" localSheetId="0" hidden="1">#REF!</definedName>
    <definedName name="XRefPaste3" hidden="1">#REF!</definedName>
    <definedName name="XRefPaste3Row" localSheetId="4" hidden="1">#REF!</definedName>
    <definedName name="XRefPaste3Row" localSheetId="5" hidden="1">#REF!</definedName>
    <definedName name="XRefPaste3Row" localSheetId="0"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5">[7]B!#REF!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45621"/>
</workbook>
</file>

<file path=xl/calcChain.xml><?xml version="1.0" encoding="utf-8"?>
<calcChain xmlns="http://schemas.openxmlformats.org/spreadsheetml/2006/main">
  <c r="I45" i="10" l="1"/>
  <c r="H45" i="10"/>
  <c r="G45" i="10"/>
  <c r="F44" i="10"/>
  <c r="F43" i="10"/>
  <c r="F42" i="10"/>
  <c r="F41" i="10"/>
  <c r="F40" i="10"/>
  <c r="F39" i="10"/>
  <c r="F38" i="10"/>
  <c r="F37" i="10"/>
  <c r="F36" i="10"/>
  <c r="F35" i="10"/>
  <c r="F34" i="10"/>
  <c r="F33" i="10"/>
  <c r="F32" i="10"/>
  <c r="F45" i="10" s="1"/>
  <c r="G46" i="10" s="1"/>
  <c r="F31" i="10"/>
  <c r="F30" i="10"/>
  <c r="I25" i="10"/>
  <c r="H25" i="10"/>
  <c r="G25" i="10"/>
  <c r="F24" i="10"/>
  <c r="F23" i="10"/>
  <c r="F22" i="10"/>
  <c r="F21" i="10"/>
  <c r="F20" i="10"/>
  <c r="F19" i="10"/>
  <c r="F18" i="10"/>
  <c r="F17" i="10"/>
  <c r="F16" i="10"/>
  <c r="F15" i="10"/>
  <c r="F14" i="10"/>
  <c r="F13" i="10"/>
  <c r="F12" i="10"/>
  <c r="F11" i="10"/>
  <c r="F10" i="10"/>
  <c r="F25" i="10" s="1"/>
  <c r="A4" i="10"/>
  <c r="E3" i="10"/>
  <c r="C3" i="10"/>
  <c r="A3" i="10"/>
  <c r="I24" i="9"/>
  <c r="F15" i="9"/>
  <c r="F18" i="9"/>
  <c r="G24" i="9"/>
  <c r="F13" i="9"/>
  <c r="H24" i="9"/>
  <c r="G26" i="10" l="1"/>
  <c r="I46" i="10"/>
  <c r="I26" i="10"/>
  <c r="H26" i="10"/>
  <c r="H46" i="10"/>
  <c r="F22" i="9"/>
  <c r="F23" i="9"/>
  <c r="F10" i="9"/>
  <c r="F11" i="9"/>
  <c r="F12" i="9"/>
  <c r="F14" i="9"/>
  <c r="F16" i="9"/>
  <c r="F17" i="9"/>
  <c r="F19" i="9"/>
  <c r="F20" i="9"/>
  <c r="F21" i="9"/>
  <c r="F9" i="9"/>
  <c r="F24" i="9" l="1"/>
  <c r="H25" i="9" s="1"/>
  <c r="I25" i="9" l="1"/>
  <c r="G25" i="9"/>
  <c r="C3" i="4"/>
  <c r="B3" i="4"/>
  <c r="A4" i="4"/>
  <c r="A3" i="4"/>
  <c r="G3" i="3"/>
  <c r="E3" i="3"/>
  <c r="A4" i="3"/>
  <c r="A3" i="3"/>
  <c r="D3" i="1"/>
  <c r="E3" i="9" s="1"/>
  <c r="C3" i="1"/>
  <c r="C3" i="9" s="1"/>
  <c r="A4" i="1"/>
  <c r="A4" i="9" s="1"/>
  <c r="A3" i="1"/>
  <c r="A3" i="9" s="1"/>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t>
        </r>
        <r>
          <rPr>
            <sz val="9"/>
            <color indexed="81"/>
            <rFont val="宋体"/>
            <family val="3"/>
            <charset val="134"/>
          </rPr>
          <t>12</t>
        </r>
        <r>
          <rPr>
            <sz val="9"/>
            <color indexed="81"/>
            <rFont val="宋体"/>
            <family val="3"/>
            <charset val="134"/>
          </rPr>
          <t>-12-31”</t>
        </r>
      </text>
    </comment>
  </commentList>
</comments>
</file>

<file path=xl/sharedStrings.xml><?xml version="1.0" encoding="utf-8"?>
<sst xmlns="http://schemas.openxmlformats.org/spreadsheetml/2006/main" count="333" uniqueCount="211">
  <si>
    <r>
      <rPr>
        <sz val="10"/>
        <rFont val="宋体"/>
        <family val="3"/>
        <charset val="134"/>
      </rPr>
      <t>日期：</t>
    </r>
    <phoneticPr fontId="3" type="noConversion"/>
  </si>
  <si>
    <r>
      <rPr>
        <b/>
        <sz val="10"/>
        <rFont val="宋体"/>
        <family val="3"/>
        <charset val="134"/>
      </rPr>
      <t>职务</t>
    </r>
    <phoneticPr fontId="3" type="noConversion"/>
  </si>
  <si>
    <r>
      <rPr>
        <b/>
        <sz val="10"/>
        <color theme="1"/>
        <rFont val="Garamond"/>
        <family val="1"/>
      </rPr>
      <t>高级管理层</t>
    </r>
    <phoneticPr fontId="3" type="noConversion"/>
  </si>
  <si>
    <t>N/A</t>
    <phoneticPr fontId="3" type="noConversion"/>
  </si>
  <si>
    <r>
      <rPr>
        <b/>
        <sz val="12"/>
        <rFont val="宋体"/>
        <family val="3"/>
        <charset val="134"/>
      </rPr>
      <t>致同会计师事务所</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</si>
  <si>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</si>
  <si>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</si>
  <si>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宋体"/>
        <family val="3"/>
        <charset val="134"/>
      </rPr>
      <t>一、本循环涉及的交易、账户及相关业务活动</t>
    </r>
    <phoneticPr fontId="2" type="noConversion"/>
  </si>
  <si>
    <r>
      <t>1</t>
    </r>
    <r>
      <rPr>
        <b/>
        <sz val="10"/>
        <rFont val="宋体"/>
        <family val="3"/>
        <charset val="134"/>
      </rPr>
      <t>、受本循环影响的相关交易和账户余额</t>
    </r>
    <phoneticPr fontId="3" type="noConversion"/>
  </si>
  <si>
    <r>
      <t>2</t>
    </r>
    <r>
      <rPr>
        <b/>
        <sz val="10"/>
        <rFont val="宋体"/>
        <family val="3"/>
        <charset val="134"/>
      </rPr>
      <t>、本循环涉及的主要业务活动</t>
    </r>
    <phoneticPr fontId="3" type="noConversion"/>
  </si>
  <si>
    <r>
      <rPr>
        <u/>
        <sz val="10"/>
        <rFont val="宋体"/>
        <family val="3"/>
        <charset val="134"/>
      </rPr>
      <t>序号</t>
    </r>
    <phoneticPr fontId="3" type="noConversion"/>
  </si>
  <si>
    <r>
      <rPr>
        <u/>
        <sz val="10"/>
        <rFont val="宋体"/>
        <family val="3"/>
        <charset val="134"/>
      </rPr>
      <t>主要业务活动</t>
    </r>
    <phoneticPr fontId="3" type="noConversion"/>
  </si>
  <si>
    <r>
      <rPr>
        <u/>
        <sz val="10"/>
        <rFont val="宋体"/>
        <family val="3"/>
        <charset val="134"/>
      </rPr>
      <t>是否在本循环中进行了解</t>
    </r>
  </si>
  <si>
    <r>
      <rPr>
        <u/>
        <sz val="10"/>
        <rFont val="宋体"/>
        <family val="3"/>
        <charset val="134"/>
      </rPr>
      <t>未了解的原因</t>
    </r>
    <phoneticPr fontId="3" type="noConversion"/>
  </si>
  <si>
    <t>……</t>
    <phoneticPr fontId="3" type="noConversion"/>
  </si>
  <si>
    <r>
      <rPr>
        <b/>
        <sz val="10"/>
        <rFont val="Garamond"/>
        <family val="1"/>
      </rPr>
      <t>姓名</t>
    </r>
    <phoneticPr fontId="3" type="noConversion"/>
  </si>
  <si>
    <r>
      <rPr>
        <b/>
        <sz val="10"/>
        <rFont val="宋体"/>
        <family val="3"/>
        <charset val="134"/>
      </rPr>
      <t>职责及权限</t>
    </r>
    <phoneticPr fontId="3" type="noConversion"/>
  </si>
  <si>
    <r>
      <rPr>
        <b/>
        <sz val="10"/>
        <rFont val="宋体"/>
        <family val="3"/>
        <charset val="134"/>
      </rPr>
      <t>备注</t>
    </r>
    <phoneticPr fontId="3" type="noConversion"/>
  </si>
  <si>
    <r>
      <rPr>
        <b/>
        <sz val="10"/>
        <color theme="1"/>
        <rFont val="宋体"/>
        <family val="3"/>
        <charset val="134"/>
      </rPr>
      <t>治理层</t>
    </r>
    <phoneticPr fontId="3" type="noConversion"/>
  </si>
  <si>
    <r>
      <rPr>
        <b/>
        <sz val="10"/>
        <color theme="1"/>
        <rFont val="Garamond"/>
        <family val="1"/>
      </rPr>
      <t>财务人员</t>
    </r>
    <phoneticPr fontId="3" type="noConversion"/>
  </si>
  <si>
    <r>
      <rPr>
        <b/>
        <sz val="10"/>
        <color theme="1"/>
        <rFont val="宋体"/>
        <family val="3"/>
        <charset val="134"/>
      </rPr>
      <t>相关职能部门人员</t>
    </r>
    <phoneticPr fontId="3" type="noConversion"/>
  </si>
  <si>
    <r>
      <rPr>
        <b/>
        <sz val="12"/>
        <rFont val="宋体"/>
        <family val="3"/>
        <charset val="134"/>
      </rPr>
      <t>致同会计师事务所</t>
    </r>
  </si>
  <si>
    <r>
      <rPr>
        <b/>
        <sz val="14"/>
        <rFont val="宋体"/>
        <family val="3"/>
        <charset val="134"/>
      </rPr>
      <t>链接</t>
    </r>
    <r>
      <rPr>
        <b/>
        <sz val="14"/>
        <rFont val="Arial Narrow"/>
        <family val="2"/>
      </rPr>
      <t>-</t>
    </r>
    <r>
      <rPr>
        <b/>
        <sz val="14"/>
        <rFont val="宋体"/>
        <family val="3"/>
        <charset val="134"/>
      </rPr>
      <t>企业对财务报表风险的应对</t>
    </r>
    <phoneticPr fontId="3" type="noConversion"/>
  </si>
  <si>
    <r>
      <rPr>
        <b/>
        <sz val="10"/>
        <rFont val="宋体"/>
        <family val="3"/>
        <charset val="134"/>
      </rPr>
      <t>编制说明：</t>
    </r>
    <phoneticPr fontId="2"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</si>
  <si>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</si>
  <si>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sz val="10"/>
        <rFont val="宋体"/>
        <family val="3"/>
        <charset val="134"/>
      </rPr>
      <t>页次：</t>
    </r>
    <phoneticPr fontId="3" type="noConversion"/>
  </si>
  <si>
    <r>
      <rPr>
        <b/>
        <sz val="10"/>
        <rFont val="宋体"/>
        <family val="3"/>
        <charset val="134"/>
      </rPr>
      <t>穿行测试方法
（检查</t>
    </r>
    <r>
      <rPr>
        <b/>
        <sz val="10"/>
        <rFont val="Arial Narrow"/>
        <family val="2"/>
      </rPr>
      <t>/</t>
    </r>
    <r>
      <rPr>
        <b/>
        <sz val="10"/>
        <rFont val="宋体"/>
        <family val="3"/>
        <charset val="134"/>
      </rPr>
      <t>观察）</t>
    </r>
    <phoneticPr fontId="3" type="noConversion"/>
  </si>
  <si>
    <r>
      <rPr>
        <b/>
        <sz val="10"/>
        <rFont val="Garamond"/>
        <family val="1"/>
      </rPr>
      <t>所检查（取得）文件名称</t>
    </r>
    <phoneticPr fontId="3" type="noConversion"/>
  </si>
  <si>
    <r>
      <rPr>
        <b/>
        <sz val="10"/>
        <rFont val="Garamond"/>
        <family val="1"/>
      </rPr>
      <t>简述如何执行</t>
    </r>
    <phoneticPr fontId="3" type="noConversion"/>
  </si>
  <si>
    <r>
      <rPr>
        <b/>
        <sz val="10"/>
        <rFont val="宋体"/>
        <family val="3"/>
        <charset val="134"/>
      </rPr>
      <t>是否得到执行，未得到执行请解释</t>
    </r>
    <phoneticPr fontId="3" type="noConversion"/>
  </si>
  <si>
    <r>
      <rPr>
        <b/>
        <sz val="10"/>
        <rFont val="宋体"/>
        <family val="3"/>
        <charset val="134"/>
      </rPr>
      <t>缺陷评价
索引号</t>
    </r>
    <phoneticPr fontId="3" type="noConversion"/>
  </si>
  <si>
    <t>观察</t>
    <phoneticPr fontId="3" type="noConversion"/>
  </si>
  <si>
    <r>
      <t>1</t>
    </r>
    <r>
      <rPr>
        <sz val="10"/>
        <rFont val="宋体"/>
        <family val="3"/>
        <charset val="134"/>
      </rPr>
      <t>、审计人员应根据风险评估的结果（</t>
    </r>
    <r>
      <rPr>
        <sz val="10"/>
        <rFont val="Arial Narrow"/>
        <family val="2"/>
      </rPr>
      <t>B22-2</t>
    </r>
    <r>
      <rPr>
        <sz val="10"/>
        <rFont val="宋体"/>
        <family val="3"/>
        <charset val="134"/>
      </rPr>
      <t>）确定是否进行控制测试。</t>
    </r>
    <phoneticPr fontId="3" type="noConversion"/>
  </si>
  <si>
    <r>
      <t>2</t>
    </r>
    <r>
      <rPr>
        <sz val="10"/>
        <rFont val="宋体"/>
        <family val="3"/>
        <charset val="134"/>
      </rPr>
      <t>、选择关键控制点</t>
    </r>
    <phoneticPr fontId="3" type="noConversion"/>
  </si>
  <si>
    <r>
      <t>a.</t>
    </r>
    <r>
      <rPr>
        <sz val="10"/>
        <rFont val="宋体"/>
        <family val="3"/>
        <charset val="134"/>
      </rPr>
      <t>关键控制点的特点：</t>
    </r>
    <phoneticPr fontId="3" type="noConversion"/>
  </si>
  <si>
    <r>
      <rPr>
        <sz val="10"/>
        <rFont val="宋体"/>
        <family val="3"/>
        <charset val="134"/>
      </rPr>
      <t>（</t>
    </r>
    <r>
      <rPr>
        <sz val="10"/>
        <rFont val="Arial Narrow"/>
        <family val="2"/>
      </rPr>
      <t>1</t>
    </r>
    <r>
      <rPr>
        <sz val="10"/>
        <rFont val="宋体"/>
        <family val="3"/>
        <charset val="134"/>
      </rPr>
      <t>）和将减少测试范围的实质性审计程序强调的风险相同</t>
    </r>
    <r>
      <rPr>
        <sz val="10"/>
        <rFont val="Arial Narrow"/>
        <family val="2"/>
      </rPr>
      <t>―</t>
    </r>
    <r>
      <rPr>
        <sz val="10"/>
        <rFont val="宋体"/>
        <family val="3"/>
        <charset val="134"/>
      </rPr>
      <t>如果控制有效运行，将减少一些实质性审计程序的范围。如许多被审计单位针对定期存货盘点制定了有效的控制程序，这些控制程序可以直接减少该项目记录在存在性方面发生错误的可能性。相应地，通过控制测试可减少实质程序（存货实地观察）的使用；</t>
    </r>
    <phoneticPr fontId="3" type="noConversion"/>
  </si>
  <si>
    <r>
      <rPr>
        <sz val="10"/>
        <rFont val="宋体"/>
        <family val="3"/>
        <charset val="134"/>
      </rPr>
      <t>（</t>
    </r>
    <r>
      <rPr>
        <sz val="10"/>
        <rFont val="Arial Narrow"/>
        <family val="2"/>
      </rPr>
      <t>2</t>
    </r>
    <r>
      <rPr>
        <sz val="10"/>
        <rFont val="宋体"/>
        <family val="3"/>
        <charset val="134"/>
      </rPr>
      <t>）设计目的是防止或发现财务报表具体的重大错报风险（旨在实现该目标的控制会因业务性质的不同而不同）；</t>
    </r>
    <phoneticPr fontId="3" type="noConversion"/>
  </si>
  <si>
    <r>
      <rPr>
        <sz val="10"/>
        <rFont val="宋体"/>
        <family val="3"/>
        <charset val="134"/>
      </rPr>
      <t>（</t>
    </r>
    <r>
      <rPr>
        <sz val="10"/>
        <rFont val="Arial Narrow"/>
        <family val="2"/>
      </rPr>
      <t>3</t>
    </r>
    <r>
      <rPr>
        <sz val="10"/>
        <rFont val="宋体"/>
        <family val="3"/>
        <charset val="134"/>
      </rPr>
      <t>）证据有书面记录；可以通过询问、观察、抽样、重新执行或使用计算机辅助审计技术进行测试；</t>
    </r>
    <phoneticPr fontId="3" type="noConversion"/>
  </si>
  <si>
    <r>
      <rPr>
        <sz val="10"/>
        <rFont val="宋体"/>
        <family val="3"/>
        <charset val="134"/>
      </rPr>
      <t>（</t>
    </r>
    <r>
      <rPr>
        <sz val="10"/>
        <rFont val="Arial Narrow"/>
        <family val="2"/>
      </rPr>
      <t>4</t>
    </r>
    <r>
      <rPr>
        <sz val="10"/>
        <rFont val="宋体"/>
        <family val="3"/>
        <charset val="134"/>
      </rPr>
      <t>）</t>
    </r>
    <r>
      <rPr>
        <sz val="10"/>
        <rFont val="Arial Narrow"/>
        <family val="2"/>
      </rPr>
      <t xml:space="preserve"> </t>
    </r>
    <r>
      <rPr>
        <sz val="10"/>
        <rFont val="宋体"/>
        <family val="3"/>
        <charset val="134"/>
      </rPr>
      <t>包含适当的属性（自动或人工、预防性或检查性、操作性或基础性、有文件记录或无文件记录）以便进行最有效率和效果的测试。</t>
    </r>
    <phoneticPr fontId="3" type="noConversion"/>
  </si>
  <si>
    <r>
      <t>b.</t>
    </r>
    <r>
      <rPr>
        <sz val="10"/>
        <rFont val="宋体"/>
        <family val="3"/>
        <charset val="134"/>
      </rPr>
      <t>关键控制点主要选择原则如下：</t>
    </r>
    <phoneticPr fontId="3" type="noConversion"/>
  </si>
  <si>
    <r>
      <rPr>
        <sz val="10"/>
        <rFont val="宋体"/>
        <family val="3"/>
        <charset val="134"/>
      </rPr>
      <t>（</t>
    </r>
    <r>
      <rPr>
        <sz val="10"/>
        <rFont val="Arial Narrow"/>
        <family val="2"/>
      </rPr>
      <t>1</t>
    </r>
    <r>
      <rPr>
        <sz val="10"/>
        <rFont val="宋体"/>
        <family val="3"/>
        <charset val="134"/>
      </rPr>
      <t>）对于采用综合性方案以应对的风险，应确保每个风险都有效率并能达到效果的控制点进行测试；</t>
    </r>
    <phoneticPr fontId="3" type="noConversion"/>
  </si>
  <si>
    <r>
      <rPr>
        <sz val="10"/>
        <rFont val="宋体"/>
        <family val="3"/>
        <charset val="134"/>
      </rPr>
      <t>（</t>
    </r>
    <r>
      <rPr>
        <sz val="10"/>
        <rFont val="Arial Narrow"/>
        <family val="2"/>
      </rPr>
      <t>2</t>
    </r>
    <r>
      <rPr>
        <sz val="10"/>
        <rFont val="宋体"/>
        <family val="3"/>
        <charset val="134"/>
      </rPr>
      <t>）对于每个非常重要的流程，都应当选择关键控制点进行控制测试；</t>
    </r>
    <phoneticPr fontId="3" type="noConversion"/>
  </si>
  <si>
    <r>
      <rPr>
        <sz val="10"/>
        <rFont val="宋体"/>
        <family val="3"/>
        <charset val="134"/>
      </rPr>
      <t>（</t>
    </r>
    <r>
      <rPr>
        <sz val="10"/>
        <rFont val="Arial Narrow"/>
        <family val="2"/>
      </rPr>
      <t>3</t>
    </r>
    <r>
      <rPr>
        <sz val="10"/>
        <rFont val="宋体"/>
        <family val="3"/>
        <charset val="134"/>
      </rPr>
      <t>）并不一定必须对每一个</t>
    </r>
    <r>
      <rPr>
        <sz val="10"/>
        <rFont val="Arial Narrow"/>
        <family val="2"/>
      </rPr>
      <t>“</t>
    </r>
    <r>
      <rPr>
        <sz val="10"/>
        <rFont val="宋体"/>
        <family val="3"/>
        <charset val="134"/>
      </rPr>
      <t>比较重要</t>
    </r>
    <r>
      <rPr>
        <sz val="10"/>
        <rFont val="Arial Narrow"/>
        <family val="2"/>
      </rPr>
      <t>”</t>
    </r>
    <r>
      <rPr>
        <sz val="10"/>
        <rFont val="宋体"/>
        <family val="3"/>
        <charset val="134"/>
      </rPr>
      <t>的流程都进行控制测试，但对于</t>
    </r>
    <r>
      <rPr>
        <sz val="10"/>
        <rFont val="Arial Narrow"/>
        <family val="2"/>
      </rPr>
      <t>“</t>
    </r>
    <r>
      <rPr>
        <sz val="10"/>
        <rFont val="宋体"/>
        <family val="3"/>
        <charset val="134"/>
      </rPr>
      <t>比较重要</t>
    </r>
    <r>
      <rPr>
        <sz val="10"/>
        <rFont val="Arial Narrow"/>
        <family val="2"/>
      </rPr>
      <t>”</t>
    </r>
    <r>
      <rPr>
        <sz val="10"/>
        <rFont val="宋体"/>
        <family val="3"/>
        <charset val="134"/>
      </rPr>
      <t>的流程，都不选择关键控制点进行控制测试的情况也是比较罕见。</t>
    </r>
    <phoneticPr fontId="3" type="noConversion"/>
  </si>
  <si>
    <r>
      <rPr>
        <sz val="10"/>
        <rFont val="宋体"/>
        <family val="3"/>
        <charset val="134"/>
      </rPr>
      <t>（</t>
    </r>
    <r>
      <rPr>
        <sz val="10"/>
        <rFont val="Arial Narrow"/>
        <family val="2"/>
      </rPr>
      <t>4</t>
    </r>
    <r>
      <rPr>
        <sz val="10"/>
        <rFont val="宋体"/>
        <family val="3"/>
        <charset val="134"/>
      </rPr>
      <t>）如果有两种或以上相互重叠的控制，且任何一项都能单独实现控制目标，则只需对其中一种进行测试。一般说来，审计项目组应选择效率最高的控制进行测试。</t>
    </r>
    <phoneticPr fontId="3" type="noConversion"/>
  </si>
  <si>
    <r>
      <rPr>
        <sz val="10"/>
        <rFont val="宋体"/>
        <family val="3"/>
        <charset val="134"/>
      </rPr>
      <t>（</t>
    </r>
    <r>
      <rPr>
        <sz val="10"/>
        <rFont val="Arial Narrow"/>
        <family val="2"/>
      </rPr>
      <t>5</t>
    </r>
    <r>
      <rPr>
        <sz val="10"/>
        <rFont val="宋体"/>
        <family val="3"/>
        <charset val="134"/>
      </rPr>
      <t>）一项控制可能同时与多个风险相关。该控制程序应接受一系列的测试，以便为所有相关风险提供该控制运行有效的证据。</t>
    </r>
    <phoneticPr fontId="3" type="noConversion"/>
  </si>
  <si>
    <r>
      <rPr>
        <sz val="10"/>
        <rFont val="宋体"/>
        <family val="3"/>
        <charset val="134"/>
      </rPr>
      <t>（</t>
    </r>
    <r>
      <rPr>
        <sz val="10"/>
        <rFont val="Arial Narrow"/>
        <family val="2"/>
      </rPr>
      <t>6</t>
    </r>
    <r>
      <rPr>
        <sz val="10"/>
        <rFont val="宋体"/>
        <family val="3"/>
        <charset val="134"/>
      </rPr>
      <t>）对同一种风险无需进行重复的控制测试。</t>
    </r>
    <phoneticPr fontId="3" type="noConversion"/>
  </si>
  <si>
    <r>
      <t>PRC</t>
    </r>
    <r>
      <rPr>
        <sz val="10"/>
        <rFont val="宋体"/>
        <family val="3"/>
        <charset val="134"/>
      </rPr>
      <t>：询问、观察、检查和重新执行</t>
    </r>
    <phoneticPr fontId="3" type="noConversion"/>
  </si>
  <si>
    <r>
      <t>Voyager</t>
    </r>
    <r>
      <rPr>
        <sz val="10"/>
        <rFont val="宋体"/>
        <family val="3"/>
        <charset val="134"/>
      </rPr>
      <t>中控制测试的直接测试方法：询问观察、</t>
    </r>
    <r>
      <rPr>
        <sz val="10"/>
        <rFont val="Arial Narrow"/>
        <family val="2"/>
      </rPr>
      <t>CAAT</t>
    </r>
    <r>
      <rPr>
        <sz val="10"/>
        <rFont val="宋体"/>
        <family val="3"/>
        <charset val="134"/>
      </rPr>
      <t>、抽样、重新执行</t>
    </r>
    <phoneticPr fontId="3" type="noConversion"/>
  </si>
  <si>
    <r>
      <rPr>
        <sz val="10"/>
        <rFont val="Times New Roman"/>
        <family val="1"/>
      </rPr>
      <t>对应关系表如下：</t>
    </r>
    <phoneticPr fontId="3" type="noConversion"/>
  </si>
  <si>
    <r>
      <rPr>
        <b/>
        <sz val="10"/>
        <rFont val="Times New Roman"/>
        <family val="1"/>
      </rPr>
      <t>序号</t>
    </r>
    <phoneticPr fontId="3" type="noConversion"/>
  </si>
  <si>
    <t>PRC</t>
    <phoneticPr fontId="3" type="noConversion"/>
  </si>
  <si>
    <r>
      <rPr>
        <sz val="10"/>
        <rFont val="Times New Roman"/>
        <family val="1"/>
      </rPr>
      <t>询问</t>
    </r>
    <phoneticPr fontId="3" type="noConversion"/>
  </si>
  <si>
    <r>
      <rPr>
        <sz val="10"/>
        <rFont val="Times New Roman"/>
        <family val="1"/>
      </rPr>
      <t>观察</t>
    </r>
    <phoneticPr fontId="3" type="noConversion"/>
  </si>
  <si>
    <r>
      <rPr>
        <sz val="10"/>
        <rFont val="Times New Roman"/>
        <family val="1"/>
      </rPr>
      <t>检查</t>
    </r>
    <phoneticPr fontId="3" type="noConversion"/>
  </si>
  <si>
    <r>
      <rPr>
        <sz val="10"/>
        <rFont val="Times New Roman"/>
        <family val="1"/>
      </rPr>
      <t>重新执行</t>
    </r>
    <phoneticPr fontId="3" type="noConversion"/>
  </si>
  <si>
    <r>
      <rPr>
        <b/>
        <sz val="10"/>
        <rFont val="宋体"/>
        <family val="3"/>
        <charset val="134"/>
      </rPr>
      <t>是否为偏差
并解释原因
（是</t>
    </r>
    <r>
      <rPr>
        <b/>
        <sz val="10"/>
        <rFont val="Arial Narrow"/>
        <family val="2"/>
      </rPr>
      <t>/</t>
    </r>
    <r>
      <rPr>
        <b/>
        <sz val="10"/>
        <rFont val="宋体"/>
        <family val="3"/>
        <charset val="134"/>
      </rPr>
      <t>否</t>
    </r>
    <r>
      <rPr>
        <b/>
        <sz val="10"/>
        <rFont val="Arial Narrow"/>
        <family val="2"/>
      </rPr>
      <t>/N/A</t>
    </r>
    <r>
      <rPr>
        <b/>
        <sz val="10"/>
        <rFont val="宋体"/>
        <family val="3"/>
        <charset val="134"/>
      </rPr>
      <t>）</t>
    </r>
    <phoneticPr fontId="3" type="noConversion"/>
  </si>
  <si>
    <t>√</t>
    <phoneticPr fontId="2" type="noConversion"/>
  </si>
  <si>
    <t>×</t>
    <phoneticPr fontId="2" type="noConversion"/>
  </si>
  <si>
    <r>
      <rPr>
        <sz val="10"/>
        <rFont val="宋体"/>
        <family val="3"/>
        <charset val="134"/>
      </rPr>
      <t>（</t>
    </r>
    <r>
      <rPr>
        <sz val="10"/>
        <rFont val="Times New Roman"/>
        <family val="1"/>
      </rPr>
      <t>1</t>
    </r>
    <r>
      <rPr>
        <sz val="10"/>
        <rFont val="宋体"/>
        <family val="3"/>
        <charset val="134"/>
      </rPr>
      <t>）</t>
    </r>
    <r>
      <rPr>
        <sz val="10"/>
        <rFont val="宋体"/>
        <family val="3"/>
        <charset val="134"/>
      </rPr>
      <t>询问和观察</t>
    </r>
    <phoneticPr fontId="3" type="noConversion"/>
  </si>
  <si>
    <r>
      <t xml:space="preserve"> 10.55</t>
    </r>
    <r>
      <rPr>
        <sz val="10"/>
        <rFont val="宋体"/>
        <family val="3"/>
        <charset val="134"/>
      </rPr>
      <t>在执行询问和观察程序时，审计项目组会通过对被审计单位适当人员的询问和对控制应用情况的观察，以评估控制的执行效果。在</t>
    </r>
    <r>
      <rPr>
        <sz val="10"/>
        <rFont val="Times New Roman"/>
        <family val="1"/>
      </rPr>
      <t>Voyager</t>
    </r>
    <r>
      <rPr>
        <sz val="10"/>
        <rFont val="宋体"/>
        <family val="3"/>
        <charset val="134"/>
      </rPr>
      <t>中，使用询问和观察进行控制测试时，经常包括重新执行。因此，审计项目组可通过检查相关数据、文件、报告或电子文件，评价该项控制信息的正确性。</t>
    </r>
    <phoneticPr fontId="3" type="noConversion"/>
  </si>
  <si>
    <r>
      <rPr>
        <sz val="10"/>
        <rFont val="宋体"/>
        <family val="3"/>
        <charset val="134"/>
      </rPr>
      <t>（</t>
    </r>
    <r>
      <rPr>
        <sz val="10"/>
        <rFont val="Times New Roman"/>
        <family val="1"/>
      </rPr>
      <t>2</t>
    </r>
    <r>
      <rPr>
        <sz val="10"/>
        <rFont val="宋体"/>
        <family val="3"/>
        <charset val="134"/>
      </rPr>
      <t>）</t>
    </r>
    <r>
      <rPr>
        <sz val="10"/>
        <rFont val="宋体"/>
        <family val="3"/>
        <charset val="134"/>
      </rPr>
      <t>抽样</t>
    </r>
    <phoneticPr fontId="3" type="noConversion"/>
  </si>
  <si>
    <r>
      <t xml:space="preserve">10.59  </t>
    </r>
    <r>
      <rPr>
        <sz val="10"/>
        <rFont val="宋体"/>
        <family val="3"/>
        <charset val="134"/>
      </rPr>
      <t>抽样是一种用来测试有文件记录的人工控制运行有效性的测试方法。抽样通常不适于每月和定期执行的控制（例如，各类对账），因为在此期间控制执行的次数较少。此外，由于计算机处理流程固有的一贯性，抽样通常也不用于测试自动化控制。</t>
    </r>
    <phoneticPr fontId="2" type="noConversion"/>
  </si>
  <si>
    <r>
      <t xml:space="preserve">10.60 </t>
    </r>
    <r>
      <rPr>
        <sz val="10"/>
        <rFont val="宋体"/>
        <family val="3"/>
        <charset val="134"/>
      </rPr>
      <t>运用抽样测试方法时，针对每个样本所做的工作包括控制执行和此控制附带的信息的正确性两部分。控制执行测试通过复核文件记录，而信息正确性测试则通过重新执行控制程序实现。</t>
    </r>
    <r>
      <rPr>
        <sz val="10"/>
        <rFont val="Times New Roman"/>
        <family val="1"/>
      </rPr>
      <t>Voyager</t>
    </r>
    <r>
      <rPr>
        <sz val="10"/>
        <rFont val="宋体"/>
        <family val="3"/>
        <charset val="134"/>
      </rPr>
      <t>可根据预期的控制信赖程度以及实质性程序的计划执行的时间安排（如资产负债表日或接近资产负债表日，资产负债表日后两个月，资产负债表日前超过两个月），以帮助确认样本量。</t>
    </r>
    <phoneticPr fontId="3" type="noConversion"/>
  </si>
  <si>
    <r>
      <t>10.61</t>
    </r>
    <r>
      <rPr>
        <sz val="10"/>
        <rFont val="宋体"/>
        <family val="3"/>
        <charset val="134"/>
      </rPr>
      <t>在控制测试中采用抽样方法属于属性测试。审计项目组对具体属性进行测试，以确定控制是否得到有效执行。进行此类测试时，测试前，审计项目组应精确界定</t>
    </r>
    <r>
      <rPr>
        <sz val="10"/>
        <rFont val="Times New Roman"/>
        <family val="1"/>
      </rPr>
      <t>“</t>
    </r>
    <r>
      <rPr>
        <sz val="10"/>
        <rFont val="宋体"/>
        <family val="3"/>
        <charset val="134"/>
      </rPr>
      <t>错误</t>
    </r>
    <r>
      <rPr>
        <sz val="10"/>
        <rFont val="Times New Roman"/>
        <family val="1"/>
      </rPr>
      <t>”</t>
    </r>
    <r>
      <rPr>
        <sz val="10"/>
        <rFont val="宋体"/>
        <family val="3"/>
        <charset val="134"/>
      </rPr>
      <t>或</t>
    </r>
    <r>
      <rPr>
        <sz val="10"/>
        <rFont val="Times New Roman"/>
        <family val="1"/>
      </rPr>
      <t>“</t>
    </r>
    <r>
      <rPr>
        <sz val="10"/>
        <rFont val="宋体"/>
        <family val="3"/>
        <charset val="134"/>
      </rPr>
      <t>偏差</t>
    </r>
    <r>
      <rPr>
        <sz val="10"/>
        <rFont val="Times New Roman"/>
        <family val="1"/>
      </rPr>
      <t>”</t>
    </r>
    <r>
      <rPr>
        <sz val="10"/>
        <rFont val="宋体"/>
        <family val="3"/>
        <charset val="134"/>
      </rPr>
      <t>的含义。为将风险降至可接受的水平，样本应具有代表性，因此在样本选择上应不偏不倚。</t>
    </r>
    <phoneticPr fontId="3" type="noConversion"/>
  </si>
  <si>
    <r>
      <rPr>
        <sz val="10"/>
        <rFont val="宋体"/>
        <family val="3"/>
        <charset val="134"/>
      </rPr>
      <t>（</t>
    </r>
    <r>
      <rPr>
        <sz val="10"/>
        <rFont val="Times New Roman"/>
        <family val="1"/>
      </rPr>
      <t>3</t>
    </r>
    <r>
      <rPr>
        <sz val="10"/>
        <rFont val="宋体"/>
        <family val="3"/>
        <charset val="134"/>
      </rPr>
      <t>）</t>
    </r>
    <r>
      <rPr>
        <sz val="10"/>
        <rFont val="宋体"/>
        <family val="3"/>
        <charset val="134"/>
      </rPr>
      <t>重新执行</t>
    </r>
    <phoneticPr fontId="3" type="noConversion"/>
  </si>
  <si>
    <r>
      <t xml:space="preserve">10.63 </t>
    </r>
    <r>
      <rPr>
        <sz val="10"/>
        <rFont val="宋体"/>
        <family val="3"/>
        <charset val="134"/>
      </rPr>
      <t>在采用重新执行测试方法时，审计项目组应通过执行（或重新执行）该控制以测试控制的执行。换言之，审计项目组应选出该控制的运用对象，通过重新执行以确定该控制能否有效运行。在</t>
    </r>
    <r>
      <rPr>
        <sz val="10"/>
        <rFont val="Times New Roman"/>
        <family val="1"/>
      </rPr>
      <t>Voyager</t>
    </r>
    <r>
      <rPr>
        <sz val="10"/>
        <rFont val="宋体"/>
        <family val="3"/>
        <charset val="134"/>
      </rPr>
      <t xml:space="preserve">中，重新执行方法一般用于不经常运行的人工控制。如重新执行可用于测试每月银行存款余额调节的运行有效性。此类测试的主要目的是：
</t>
    </r>
    <r>
      <rPr>
        <sz val="10"/>
        <rFont val="Times New Roman"/>
        <family val="1"/>
      </rPr>
      <t xml:space="preserve">• ascertaining whether twelve timely reconciliations were performed 
     </t>
    </r>
    <r>
      <rPr>
        <sz val="10"/>
        <rFont val="宋体"/>
        <family val="3"/>
        <charset val="134"/>
      </rPr>
      <t xml:space="preserve">确定是否十二个月每个月都进行了余额调节
</t>
    </r>
    <r>
      <rPr>
        <sz val="10"/>
        <rFont val="Times New Roman"/>
        <family val="1"/>
      </rPr>
      <t xml:space="preserve">testing or reviewing certain of the reconciling items 
      </t>
    </r>
    <r>
      <rPr>
        <sz val="10"/>
        <rFont val="宋体"/>
        <family val="3"/>
        <charset val="134"/>
      </rPr>
      <t xml:space="preserve">测试或复核某些对账项目；
</t>
    </r>
    <r>
      <rPr>
        <sz val="10"/>
        <rFont val="Times New Roman"/>
        <family val="1"/>
      </rPr>
      <t xml:space="preserve">• testing at least one reconciliation to determine how the control was performed and the correctness of the information subject to the control, including appropriate follow-up of amounts in the reconciliation
      </t>
    </r>
    <r>
      <rPr>
        <sz val="10"/>
        <rFont val="宋体"/>
        <family val="3"/>
        <charset val="134"/>
      </rPr>
      <t xml:space="preserve">至少对一次余额调节进行测试，以确定控制如何执行和与控制相关信息的正确性，包括追踪余额调节中的项目。
</t>
    </r>
    <phoneticPr fontId="3" type="noConversion"/>
  </si>
  <si>
    <r>
      <t xml:space="preserve">10.64 </t>
    </r>
    <r>
      <rPr>
        <sz val="10"/>
        <rFont val="宋体"/>
        <family val="3"/>
        <charset val="134"/>
      </rPr>
      <t>询问和观察、抽样和计算机辅助审计技术程序中也包括重新执行。</t>
    </r>
    <phoneticPr fontId="3" type="noConversion"/>
  </si>
  <si>
    <r>
      <rPr>
        <sz val="10"/>
        <rFont val="宋体"/>
        <family val="3"/>
        <charset val="134"/>
      </rPr>
      <t>（</t>
    </r>
    <r>
      <rPr>
        <sz val="10"/>
        <rFont val="Times New Roman"/>
        <family val="1"/>
      </rPr>
      <t>4</t>
    </r>
    <r>
      <rPr>
        <sz val="10"/>
        <rFont val="宋体"/>
        <family val="3"/>
        <charset val="134"/>
      </rPr>
      <t>）</t>
    </r>
    <r>
      <rPr>
        <sz val="10"/>
        <rFont val="宋体"/>
        <family val="3"/>
        <charset val="134"/>
      </rPr>
      <t>计算机辅助审计技术（</t>
    </r>
    <r>
      <rPr>
        <sz val="10"/>
        <rFont val="Times New Roman"/>
        <family val="1"/>
      </rPr>
      <t>CAAT</t>
    </r>
    <r>
      <rPr>
        <sz val="10"/>
        <rFont val="宋体"/>
        <family val="3"/>
        <charset val="134"/>
      </rPr>
      <t>）</t>
    </r>
    <phoneticPr fontId="3" type="noConversion"/>
  </si>
  <si>
    <r>
      <t xml:space="preserve">10.65 </t>
    </r>
    <r>
      <rPr>
        <sz val="10"/>
        <rFont val="宋体"/>
        <family val="3"/>
        <charset val="134"/>
      </rPr>
      <t>在自动化环境中，计算机辅助审计技术可用于控制测试。计算机辅助审计技术程序可能各不相同，但均涉及使用</t>
    </r>
    <r>
      <rPr>
        <sz val="10"/>
        <rFont val="Times New Roman"/>
        <family val="1"/>
      </rPr>
      <t>IDEA</t>
    </r>
    <r>
      <rPr>
        <sz val="10"/>
        <rFont val="宋体"/>
        <family val="3"/>
        <charset val="134"/>
      </rPr>
      <t>等软件程序查询电子数据。在</t>
    </r>
    <r>
      <rPr>
        <sz val="10"/>
        <rFont val="Times New Roman"/>
        <family val="1"/>
      </rPr>
      <t>Voyager</t>
    </r>
    <r>
      <rPr>
        <sz val="10"/>
        <rFont val="宋体"/>
        <family val="3"/>
        <charset val="134"/>
      </rPr>
      <t>中，审计项目组可使用的计算机辅助审计技术程序有两类。</t>
    </r>
    <phoneticPr fontId="3" type="noConversion"/>
  </si>
  <si>
    <r>
      <t xml:space="preserve">10.66 </t>
    </r>
    <r>
      <rPr>
        <sz val="10"/>
        <rFont val="宋体"/>
        <family val="3"/>
        <charset val="134"/>
      </rPr>
      <t>一类是使用</t>
    </r>
    <r>
      <rPr>
        <sz val="10"/>
        <rFont val="Times New Roman"/>
        <family val="1"/>
      </rPr>
      <t>IDEA</t>
    </r>
    <r>
      <rPr>
        <sz val="10"/>
        <rFont val="宋体"/>
        <family val="3"/>
        <charset val="134"/>
      </rPr>
      <t>抽取与控制程序有关的总体。例如，被审计单位的一项控制是要求所有超过</t>
    </r>
    <r>
      <rPr>
        <sz val="10"/>
        <rFont val="Times New Roman"/>
        <family val="1"/>
      </rPr>
      <t>10</t>
    </r>
    <r>
      <rPr>
        <sz val="10"/>
        <rFont val="宋体"/>
        <family val="3"/>
        <charset val="134"/>
      </rPr>
      <t>万美元的交易均需首席执行官批准，则可使用</t>
    </r>
    <r>
      <rPr>
        <sz val="10"/>
        <rFont val="Times New Roman"/>
        <family val="1"/>
      </rPr>
      <t>IDEA</t>
    </r>
    <r>
      <rPr>
        <sz val="10"/>
        <rFont val="宋体"/>
        <family val="3"/>
        <charset val="134"/>
      </rPr>
      <t>从所有交易电子文档中抽取一组数额超过</t>
    </r>
    <r>
      <rPr>
        <sz val="10"/>
        <rFont val="Times New Roman"/>
        <family val="1"/>
      </rPr>
      <t>10</t>
    </r>
    <r>
      <rPr>
        <sz val="10"/>
        <rFont val="宋体"/>
        <family val="3"/>
        <charset val="134"/>
      </rPr>
      <t>万美元的交易。然后，审计项目组可从抽取出的交易中选择一部分进行控制测试。另一个例子是对薪酬软件中输入的员工的控制。审计项目组可使用</t>
    </r>
    <r>
      <rPr>
        <sz val="10"/>
        <rFont val="Times New Roman"/>
        <family val="1"/>
      </rPr>
      <t>IDEA</t>
    </r>
    <r>
      <rPr>
        <sz val="10"/>
        <rFont val="宋体"/>
        <family val="3"/>
        <charset val="134"/>
      </rPr>
      <t>，从某一期间期末的员工电子文档中，通过选择员工在被测试周期内的雇佣日期识别并抽取一组新员工名单。而后，审计项目组从抽取的名单中选择一些样本进行控制测试。</t>
    </r>
    <phoneticPr fontId="3" type="noConversion"/>
  </si>
  <si>
    <r>
      <rPr>
        <sz val="10"/>
        <rFont val="宋体"/>
        <family val="3"/>
        <charset val="134"/>
      </rPr>
      <t>（</t>
    </r>
    <r>
      <rPr>
        <sz val="10"/>
        <rFont val="Times New Roman"/>
        <family val="1"/>
      </rPr>
      <t>5</t>
    </r>
    <r>
      <rPr>
        <sz val="10"/>
        <rFont val="宋体"/>
        <family val="3"/>
        <charset val="134"/>
      </rPr>
      <t>）</t>
    </r>
    <r>
      <rPr>
        <sz val="10"/>
        <rFont val="宋体"/>
        <family val="3"/>
        <charset val="134"/>
      </rPr>
      <t>根据客户底稿重新执行与</t>
    </r>
    <r>
      <rPr>
        <sz val="10"/>
        <rFont val="宋体"/>
        <family val="3"/>
        <charset val="134"/>
      </rPr>
      <t>只复核客户底稿</t>
    </r>
    <phoneticPr fontId="3" type="noConversion"/>
  </si>
  <si>
    <r>
      <t xml:space="preserve">10.67 </t>
    </r>
    <r>
      <rPr>
        <sz val="10"/>
        <rFont val="宋体"/>
        <family val="3"/>
        <charset val="134"/>
      </rPr>
      <t>一类是使用</t>
    </r>
    <r>
      <rPr>
        <sz val="10"/>
        <rFont val="Times New Roman"/>
        <family val="1"/>
      </rPr>
      <t>IDEA</t>
    </r>
    <r>
      <rPr>
        <sz val="10"/>
        <rFont val="宋体"/>
        <family val="3"/>
        <charset val="134"/>
      </rPr>
      <t>获得运行有效性的间接证据。如编辑控制可防止交易在某些项目尚未完成的情况下即被处理。在这个例子中，所有与交易相关的电子文档都可使用</t>
    </r>
    <r>
      <rPr>
        <sz val="10"/>
        <rFont val="Times New Roman"/>
        <family val="1"/>
      </rPr>
      <t>IDEA</t>
    </r>
    <r>
      <rPr>
        <sz val="10"/>
        <rFont val="宋体"/>
        <family val="3"/>
        <charset val="134"/>
      </rPr>
      <t>进行评估。</t>
    </r>
    <r>
      <rPr>
        <sz val="10"/>
        <rFont val="Times New Roman"/>
        <family val="1"/>
      </rPr>
      <t>IDEA</t>
    </r>
    <r>
      <rPr>
        <sz val="10"/>
        <rFont val="宋体"/>
        <family val="3"/>
        <charset val="134"/>
      </rPr>
      <t>可判断是否有些必需的项目并不包含数据。如果所有必需的项目都包含数据，测试将可以提供间接证据，审计项目组则可推断该控制的运行是有效的。</t>
    </r>
    <phoneticPr fontId="3" type="noConversion"/>
  </si>
  <si>
    <r>
      <t xml:space="preserve">10.71 </t>
    </r>
    <r>
      <rPr>
        <sz val="10"/>
        <rFont val="宋体"/>
        <family val="3"/>
        <charset val="134"/>
      </rPr>
      <t xml:space="preserve">在整合审计中，当关键控制点测试由内部审计师或被审计单位受雇的顾问进行，有些情况下审计项目组可利用其工作成果。最重要的是，执行该项工作的人员要胜任并且客观。审计项目组在利用他人的工作成果之前，要进行判断和记录。在做出判断时，审计项目组应考虑如下因素：
</t>
    </r>
    <r>
      <rPr>
        <sz val="10"/>
        <rFont val="Times New Roman"/>
        <family val="1"/>
      </rPr>
      <t xml:space="preserve">• pervasiveness of the control      </t>
    </r>
    <r>
      <rPr>
        <sz val="10"/>
        <rFont val="宋体"/>
        <family val="3"/>
        <charset val="134"/>
      </rPr>
      <t xml:space="preserve">控制运用的普遍性；
</t>
    </r>
    <r>
      <rPr>
        <sz val="10"/>
        <rFont val="Times New Roman"/>
        <family val="1"/>
      </rPr>
      <t xml:space="preserve">• degree of judgment involved in evaluating operating effectiveness      </t>
    </r>
    <r>
      <rPr>
        <sz val="10"/>
        <rFont val="宋体"/>
        <family val="3"/>
        <charset val="134"/>
      </rPr>
      <t xml:space="preserve">评价运行有效性所涉及的判断的程度；
</t>
    </r>
    <r>
      <rPr>
        <sz val="10"/>
        <rFont val="Times New Roman"/>
        <family val="1"/>
      </rPr>
      <t xml:space="preserve">• potential for management override      </t>
    </r>
    <r>
      <rPr>
        <sz val="10"/>
        <rFont val="宋体"/>
        <family val="3"/>
        <charset val="134"/>
      </rPr>
      <t xml:space="preserve">管理层凌驾控制的可能性；
</t>
    </r>
    <r>
      <rPr>
        <sz val="10"/>
        <rFont val="Times New Roman"/>
        <family val="1"/>
      </rPr>
      <t xml:space="preserve">• the materiality of the account or disclosure, risk of material misstatement, and the level of judgment or estimation required in the account or disclosure
      </t>
    </r>
    <r>
      <rPr>
        <sz val="10"/>
        <rFont val="宋体"/>
        <family val="3"/>
        <charset val="134"/>
      </rPr>
      <t xml:space="preserve">账户或披露的重要性，重大错报风险，账户或披露中需要的判断或估计。
</t>
    </r>
    <phoneticPr fontId="3" type="noConversion"/>
  </si>
  <si>
    <r>
      <t xml:space="preserve"> 10.72 </t>
    </r>
    <r>
      <rPr>
        <sz val="10"/>
        <rFont val="宋体"/>
        <family val="3"/>
        <charset val="134"/>
      </rPr>
      <t>针对某项特定的关键控制点，通过选择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管理层－重新执行</t>
    </r>
    <r>
      <rPr>
        <sz val="10"/>
        <rFont val="Times New Roman"/>
        <family val="1"/>
      </rPr>
      <t>”</t>
    </r>
    <r>
      <rPr>
        <sz val="10"/>
        <rFont val="宋体"/>
        <family val="3"/>
        <charset val="134"/>
      </rPr>
      <t>测试选项，审计方案包含审计项目组通过测试他人工作来评价其成果的程序。这些程序包括评估测试的设计、取得的结果以及重新执行他人实施的测试（通常是两到三项）。</t>
    </r>
    <phoneticPr fontId="3" type="noConversion"/>
  </si>
  <si>
    <r>
      <t xml:space="preserve">10.73 </t>
    </r>
    <r>
      <rPr>
        <sz val="10"/>
        <rFont val="宋体"/>
        <family val="3"/>
        <charset val="134"/>
      </rPr>
      <t>针对某一关键控制点，通过选择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管理层－仅复核</t>
    </r>
    <r>
      <rPr>
        <sz val="10"/>
        <rFont val="Times New Roman"/>
        <family val="1"/>
      </rPr>
      <t>”</t>
    </r>
    <r>
      <rPr>
        <sz val="10"/>
        <rFont val="宋体"/>
        <family val="3"/>
        <charset val="134"/>
      </rPr>
      <t>测试选项，审计方案可包含审计项目组用于评估他人工作成果的程序，但程序里并不包括重新执行。审计项目组可获得他人工作的成果，并对设计测试和取得的成果进行评估。该选项最适于应对非存在合理可能性的风险。在这种情况下，审计项目组执行的测试次数可少于对合理可能性风险的测试，因为风险程度有所降低。</t>
    </r>
    <phoneticPr fontId="3" type="noConversion"/>
  </si>
  <si>
    <r>
      <rPr>
        <sz val="10"/>
        <rFont val="宋体"/>
        <family val="3"/>
        <charset val="134"/>
      </rPr>
      <t>（</t>
    </r>
    <r>
      <rPr>
        <sz val="10"/>
        <rFont val="Times New Roman"/>
        <family val="1"/>
      </rPr>
      <t>6</t>
    </r>
    <r>
      <rPr>
        <sz val="10"/>
        <rFont val="宋体"/>
        <family val="3"/>
        <charset val="134"/>
      </rPr>
      <t>）</t>
    </r>
    <r>
      <rPr>
        <sz val="10"/>
        <rFont val="宋体"/>
        <family val="3"/>
        <charset val="134"/>
      </rPr>
      <t>服务审计师</t>
    </r>
    <phoneticPr fontId="3" type="noConversion"/>
  </si>
  <si>
    <r>
      <t xml:space="preserve">10.74 </t>
    </r>
    <r>
      <rPr>
        <sz val="10"/>
        <rFont val="宋体"/>
        <family val="3"/>
        <charset val="134"/>
      </rPr>
      <t>与上面的讨论一样，如果某关键控制点测试由服务机构注册会计师进行，正如服务机构注册会计师的报告所显示的那样，审计项目组可适时利用其工作成果。为执行此项策略，审计项目组可选择</t>
    </r>
    <r>
      <rPr>
        <sz val="10"/>
        <rFont val="Times New Roman"/>
        <family val="1"/>
      </rPr>
      <t>Voyager</t>
    </r>
    <r>
      <rPr>
        <sz val="10"/>
        <rFont val="宋体"/>
        <family val="3"/>
        <charset val="134"/>
      </rPr>
      <t>中的</t>
    </r>
    <r>
      <rPr>
        <sz val="10"/>
        <rFont val="Times New Roman"/>
        <family val="1"/>
      </rPr>
      <t>“</t>
    </r>
    <r>
      <rPr>
        <sz val="10"/>
        <rFont val="宋体"/>
        <family val="3"/>
        <charset val="134"/>
      </rPr>
      <t>服务机构注册会计师</t>
    </r>
    <r>
      <rPr>
        <sz val="10"/>
        <rFont val="Times New Roman"/>
        <family val="1"/>
      </rPr>
      <t>”</t>
    </r>
    <r>
      <rPr>
        <sz val="10"/>
        <rFont val="宋体"/>
        <family val="3"/>
        <charset val="134"/>
      </rPr>
      <t>选项，用于评估服务机构注册会计师工作的程序将自动添加到控制测试程序之中。</t>
    </r>
    <phoneticPr fontId="3" type="noConversion"/>
  </si>
  <si>
    <t>风险</t>
    <phoneticPr fontId="3" type="noConversion"/>
  </si>
  <si>
    <t>√</t>
    <phoneticPr fontId="2" type="noConversion"/>
  </si>
  <si>
    <t>×</t>
    <phoneticPr fontId="2" type="noConversion"/>
  </si>
  <si>
    <r>
      <rPr>
        <sz val="10"/>
        <rFont val="宋体"/>
        <family val="3"/>
        <charset val="134"/>
      </rPr>
      <t>询问</t>
    </r>
    <r>
      <rPr>
        <sz val="10"/>
        <rFont val="Arial Narrow"/>
        <family val="2"/>
      </rPr>
      <t>&amp;</t>
    </r>
    <r>
      <rPr>
        <sz val="10"/>
        <rFont val="宋体"/>
        <family val="3"/>
        <charset val="134"/>
      </rPr>
      <t>观察</t>
    </r>
    <phoneticPr fontId="2" type="noConversion"/>
  </si>
  <si>
    <t>抽样</t>
    <phoneticPr fontId="2" type="noConversion"/>
  </si>
  <si>
    <t>重新执行</t>
    <phoneticPr fontId="2" type="noConversion"/>
  </si>
  <si>
    <t>CAAT</t>
    <phoneticPr fontId="2" type="noConversion"/>
  </si>
  <si>
    <t>拟测试的控制</t>
    <phoneticPr fontId="3" type="noConversion"/>
  </si>
  <si>
    <r>
      <rPr>
        <b/>
        <sz val="12"/>
        <rFont val="宋体"/>
        <family val="3"/>
        <charset val="134"/>
      </rPr>
      <t>底稿开列时，可先在以下单元格填写有关内容，以便其他底稿引用有关数据：</t>
    </r>
    <phoneticPr fontId="3" type="noConversion"/>
  </si>
  <si>
    <r>
      <rPr>
        <b/>
        <sz val="10"/>
        <rFont val="宋体"/>
        <family val="3"/>
        <charset val="134"/>
      </rPr>
      <t>序号</t>
    </r>
    <phoneticPr fontId="3" type="noConversion"/>
  </si>
  <si>
    <r>
      <rPr>
        <b/>
        <sz val="10"/>
        <rFont val="宋体"/>
        <family val="3"/>
        <charset val="134"/>
      </rPr>
      <t>目录</t>
    </r>
    <phoneticPr fontId="3" type="noConversion"/>
  </si>
  <si>
    <r>
      <rPr>
        <sz val="10"/>
        <rFont val="宋体"/>
        <family val="3"/>
        <charset val="134"/>
      </rPr>
      <t>客户名称：</t>
    </r>
    <phoneticPr fontId="3" type="noConversion"/>
  </si>
  <si>
    <r>
      <rPr>
        <sz val="10"/>
        <rFont val="宋体"/>
        <family val="3"/>
        <charset val="134"/>
      </rPr>
      <t>会计期间：</t>
    </r>
    <r>
      <rPr>
        <sz val="10"/>
        <rFont val="Arial Narrow"/>
        <family val="2"/>
      </rPr>
      <t>2013</t>
    </r>
    <r>
      <rPr>
        <sz val="10"/>
        <rFont val="宋体"/>
        <family val="3"/>
        <charset val="134"/>
      </rPr>
      <t>年度</t>
    </r>
    <phoneticPr fontId="3" type="noConversion"/>
  </si>
  <si>
    <r>
      <rPr>
        <sz val="10"/>
        <rFont val="宋体"/>
        <family val="3"/>
        <charset val="134"/>
      </rPr>
      <t>编制人：</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</si>
  <si>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</si>
  <si>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b/>
        <sz val="14"/>
        <rFont val="黑体"/>
        <family val="3"/>
        <charset val="134"/>
      </rPr>
      <t>附录、关于工作底稿索引号的编制方法</t>
    </r>
  </si>
  <si>
    <r>
      <t>1</t>
    </r>
    <r>
      <rPr>
        <b/>
        <sz val="12"/>
        <rFont val="宋体"/>
        <family val="3"/>
        <charset val="134"/>
      </rPr>
      <t>、</t>
    </r>
    <r>
      <rPr>
        <b/>
        <sz val="7"/>
        <rFont val="Arial Narrow"/>
        <family val="2"/>
      </rPr>
      <t xml:space="preserve">  </t>
    </r>
    <r>
      <rPr>
        <b/>
        <sz val="12"/>
        <rFont val="宋体"/>
        <family val="3"/>
        <charset val="134"/>
      </rPr>
      <t>工作底稿与审计程序的对应与索引</t>
    </r>
    <phoneticPr fontId="3" type="noConversion"/>
  </si>
  <si>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3" type="noConversion"/>
  </si>
  <si>
    <r>
      <t>2</t>
    </r>
    <r>
      <rPr>
        <b/>
        <sz val="12"/>
        <rFont val="宋体"/>
        <family val="3"/>
        <charset val="134"/>
      </rPr>
      <t>、</t>
    </r>
    <r>
      <rPr>
        <b/>
        <sz val="7"/>
        <rFont val="Arial Narrow"/>
        <family val="2"/>
      </rPr>
      <t xml:space="preserve">  </t>
    </r>
    <r>
      <rPr>
        <b/>
        <sz val="12"/>
        <rFont val="宋体"/>
        <family val="3"/>
        <charset val="134"/>
      </rPr>
      <t>工作底稿索引号的编码规则</t>
    </r>
    <phoneticPr fontId="3" type="noConversion"/>
  </si>
  <si>
    <r>
      <rPr>
        <sz val="12"/>
        <rFont val="宋体"/>
        <family val="3"/>
        <charset val="134"/>
      </rPr>
      <t>（</t>
    </r>
    <r>
      <rPr>
        <sz val="12"/>
        <rFont val="Arial Narrow"/>
        <family val="2"/>
      </rPr>
      <t>1</t>
    </r>
    <r>
      <rPr>
        <sz val="12"/>
        <rFont val="宋体"/>
        <family val="3"/>
        <charset val="134"/>
      </rPr>
      <t>）</t>
    </r>
    <r>
      <rPr>
        <b/>
        <sz val="12"/>
        <rFont val="宋体"/>
        <family val="3"/>
        <charset val="134"/>
      </rPr>
      <t>索引号的结构：</t>
    </r>
    <r>
      <rPr>
        <sz val="12"/>
        <rFont val="宋体"/>
        <family val="3"/>
        <charset val="134"/>
      </rPr>
      <t>包括三要素，即</t>
    </r>
    <r>
      <rPr>
        <sz val="12"/>
        <rFont val="Arial Narrow"/>
        <family val="2"/>
      </rPr>
      <t>“</t>
    </r>
    <r>
      <rPr>
        <sz val="12"/>
        <rFont val="宋体"/>
        <family val="3"/>
        <charset val="134"/>
      </rPr>
      <t>项目名称代码</t>
    </r>
    <r>
      <rPr>
        <sz val="12"/>
        <rFont val="Arial Narrow"/>
        <family val="2"/>
      </rPr>
      <t>”</t>
    </r>
    <r>
      <rPr>
        <sz val="12"/>
        <rFont val="宋体"/>
        <family val="3"/>
        <charset val="134"/>
      </rPr>
      <t>、</t>
    </r>
    <r>
      <rPr>
        <sz val="12"/>
        <rFont val="Arial Narrow"/>
        <family val="2"/>
      </rPr>
      <t>“—”</t>
    </r>
    <r>
      <rPr>
        <sz val="12"/>
        <rFont val="宋体"/>
        <family val="3"/>
        <charset val="134"/>
      </rPr>
      <t>和</t>
    </r>
    <r>
      <rPr>
        <sz val="12"/>
        <rFont val="Arial Narrow"/>
        <family val="2"/>
      </rPr>
      <t>“</t>
    </r>
    <r>
      <rPr>
        <sz val="12"/>
        <rFont val="宋体"/>
        <family val="3"/>
        <charset val="134"/>
      </rPr>
      <t>索引顺序号</t>
    </r>
    <r>
      <rPr>
        <sz val="12"/>
        <rFont val="Arial Narrow"/>
        <family val="2"/>
      </rPr>
      <t>”</t>
    </r>
    <r>
      <rPr>
        <sz val="12"/>
        <rFont val="宋体"/>
        <family val="3"/>
        <charset val="134"/>
      </rPr>
      <t>，如</t>
    </r>
    <r>
      <rPr>
        <sz val="12"/>
        <rFont val="Arial Narrow"/>
        <family val="2"/>
      </rPr>
      <t>“B23-1”</t>
    </r>
    <r>
      <rPr>
        <sz val="12"/>
        <rFont val="宋体"/>
        <family val="3"/>
        <charset val="134"/>
      </rPr>
      <t>、</t>
    </r>
    <r>
      <rPr>
        <sz val="12"/>
        <rFont val="Arial Narrow"/>
        <family val="2"/>
      </rPr>
      <t>“B23-2”</t>
    </r>
    <r>
      <rPr>
        <sz val="12"/>
        <rFont val="宋体"/>
        <family val="3"/>
        <charset val="134"/>
      </rPr>
      <t>、</t>
    </r>
    <r>
      <rPr>
        <sz val="12"/>
        <rFont val="Arial Narrow"/>
        <family val="2"/>
      </rPr>
      <t>........</t>
    </r>
    <phoneticPr fontId="3" type="noConversion"/>
  </si>
  <si>
    <r>
      <rPr>
        <sz val="12"/>
        <rFont val="宋体"/>
        <family val="3"/>
        <charset val="134"/>
      </rPr>
      <t>（</t>
    </r>
    <r>
      <rPr>
        <sz val="12"/>
        <rFont val="Arial Narrow"/>
        <family val="2"/>
      </rPr>
      <t>2</t>
    </r>
    <r>
      <rPr>
        <b/>
        <sz val="12"/>
        <rFont val="宋体"/>
        <family val="3"/>
        <charset val="134"/>
      </rPr>
      <t>）索引顺序号的分层：</t>
    </r>
    <r>
      <rPr>
        <sz val="12"/>
        <rFont val="宋体"/>
        <family val="3"/>
        <charset val="134"/>
      </rPr>
      <t>可分为多层，如</t>
    </r>
    <r>
      <rPr>
        <sz val="12"/>
        <rFont val="Arial Narrow"/>
        <family val="2"/>
      </rPr>
      <t>“B23-1-1”</t>
    </r>
    <r>
      <rPr>
        <sz val="12"/>
        <rFont val="宋体"/>
        <family val="3"/>
        <charset val="134"/>
      </rPr>
      <t>；</t>
    </r>
    <r>
      <rPr>
        <sz val="12"/>
        <rFont val="Arial Narrow"/>
        <family val="2"/>
      </rPr>
      <t>“B23-1-2”</t>
    </r>
    <r>
      <rPr>
        <sz val="12"/>
        <rFont val="宋体"/>
        <family val="3"/>
        <charset val="134"/>
      </rPr>
      <t>；</t>
    </r>
    <r>
      <rPr>
        <sz val="12"/>
        <rFont val="Arial Narrow"/>
        <family val="2"/>
      </rPr>
      <t>........</t>
    </r>
    <phoneticPr fontId="3" type="noConversion"/>
  </si>
  <si>
    <t>是否适用</t>
    <phoneticPr fontId="2" type="noConversion"/>
  </si>
  <si>
    <t>应对风险的控制</t>
    <phoneticPr fontId="2" type="noConversion"/>
  </si>
  <si>
    <t>控制</t>
    <phoneticPr fontId="3" type="noConversion"/>
  </si>
  <si>
    <t>活动</t>
    <phoneticPr fontId="3" type="noConversion"/>
  </si>
  <si>
    <t>……</t>
    <phoneticPr fontId="3" type="noConversion"/>
  </si>
  <si>
    <r>
      <rPr>
        <b/>
        <sz val="10"/>
        <rFont val="宋体"/>
        <family val="3"/>
        <charset val="134"/>
      </rPr>
      <t>关键控制点数量（</t>
    </r>
    <r>
      <rPr>
        <b/>
        <sz val="10"/>
        <rFont val="Arial Narrow"/>
        <family val="2"/>
      </rPr>
      <t>D=A+B+C</t>
    </r>
    <r>
      <rPr>
        <b/>
        <sz val="10"/>
        <rFont val="宋体"/>
        <family val="3"/>
        <charset val="134"/>
      </rPr>
      <t>）</t>
    </r>
    <phoneticPr fontId="3" type="noConversion"/>
  </si>
  <si>
    <r>
      <rPr>
        <b/>
        <sz val="10"/>
        <rFont val="宋体"/>
        <family val="3"/>
        <charset val="134"/>
      </rPr>
      <t>直接测试方法（询问观察</t>
    </r>
    <r>
      <rPr>
        <b/>
        <sz val="10"/>
        <rFont val="Arial Narrow"/>
        <family val="2"/>
      </rPr>
      <t>/CAAT/</t>
    </r>
    <r>
      <rPr>
        <b/>
        <sz val="10"/>
        <rFont val="宋体"/>
        <family val="3"/>
        <charset val="134"/>
      </rPr>
      <t>抽样（检查）</t>
    </r>
    <r>
      <rPr>
        <b/>
        <sz val="10"/>
        <rFont val="Arial Narrow"/>
        <family val="2"/>
      </rPr>
      <t>/</t>
    </r>
    <r>
      <rPr>
        <b/>
        <sz val="10"/>
        <rFont val="宋体"/>
        <family val="3"/>
        <charset val="134"/>
      </rPr>
      <t>重新执行</t>
    </r>
    <r>
      <rPr>
        <b/>
        <sz val="10"/>
        <rFont val="Arial Narrow"/>
        <family val="2"/>
      </rPr>
      <t>)-A</t>
    </r>
    <phoneticPr fontId="3" type="noConversion"/>
  </si>
  <si>
    <r>
      <rPr>
        <b/>
        <sz val="10"/>
        <rFont val="宋体"/>
        <family val="3"/>
        <charset val="134"/>
      </rPr>
      <t>管理层</t>
    </r>
    <r>
      <rPr>
        <b/>
        <sz val="10"/>
        <rFont val="Arial Narrow"/>
        <family val="2"/>
      </rPr>
      <t>-</t>
    </r>
    <r>
      <rPr>
        <b/>
        <sz val="10"/>
        <rFont val="宋体"/>
        <family val="3"/>
        <charset val="134"/>
      </rPr>
      <t>重新执行</t>
    </r>
    <r>
      <rPr>
        <b/>
        <sz val="10"/>
        <rFont val="Arial Narrow"/>
        <family val="2"/>
      </rPr>
      <t>-B</t>
    </r>
    <phoneticPr fontId="3" type="noConversion"/>
  </si>
  <si>
    <r>
      <rPr>
        <b/>
        <sz val="10"/>
        <rFont val="宋体"/>
        <family val="3"/>
        <charset val="134"/>
      </rPr>
      <t>管理层</t>
    </r>
    <r>
      <rPr>
        <b/>
        <sz val="10"/>
        <rFont val="Arial Narrow"/>
        <family val="2"/>
      </rPr>
      <t>-</t>
    </r>
    <r>
      <rPr>
        <b/>
        <sz val="10"/>
        <rFont val="宋体"/>
        <family val="3"/>
        <charset val="134"/>
      </rPr>
      <t>仅复核</t>
    </r>
    <r>
      <rPr>
        <b/>
        <sz val="10"/>
        <rFont val="Arial Narrow"/>
        <family val="2"/>
      </rPr>
      <t>-C</t>
    </r>
    <phoneticPr fontId="3" type="noConversion"/>
  </si>
  <si>
    <t>50-70</t>
  </si>
  <si>
    <t>20-50</t>
  </si>
  <si>
    <t>0-30</t>
  </si>
  <si>
    <t>0-50</t>
    <phoneticPr fontId="3" type="noConversion"/>
  </si>
  <si>
    <t>检查</t>
    <phoneticPr fontId="3" type="noConversion"/>
  </si>
  <si>
    <t>观察</t>
    <phoneticPr fontId="3" type="noConversion"/>
  </si>
  <si>
    <t>应对风险的活动</t>
    <phoneticPr fontId="2" type="noConversion"/>
  </si>
  <si>
    <t>1.****</t>
    <phoneticPr fontId="2" type="noConversion"/>
  </si>
  <si>
    <t>2.****</t>
    <phoneticPr fontId="2" type="noConversion"/>
  </si>
  <si>
    <t>1.****
2.****</t>
    <phoneticPr fontId="2" type="noConversion"/>
  </si>
  <si>
    <t>所检查（取得）文件索引号</t>
    <phoneticPr fontId="3" type="noConversion"/>
  </si>
  <si>
    <t>认定</t>
    <phoneticPr fontId="3" type="noConversion"/>
  </si>
  <si>
    <t>与风险相关的活动</t>
    <phoneticPr fontId="3" type="noConversion"/>
  </si>
  <si>
    <r>
      <rPr>
        <b/>
        <i/>
        <u/>
        <sz val="10"/>
        <color indexed="12"/>
        <rFont val="宋体"/>
        <family val="3"/>
        <charset val="134"/>
      </rPr>
      <t>存在合理可能的重大错报</t>
    </r>
    <r>
      <rPr>
        <b/>
        <i/>
        <u/>
        <sz val="10"/>
        <color indexed="12"/>
        <rFont val="Arial Narrow"/>
        <family val="2"/>
      </rPr>
      <t xml:space="preserve"> Reasonably Possisble</t>
    </r>
    <phoneticPr fontId="3" type="noConversion"/>
  </si>
  <si>
    <r>
      <rPr>
        <b/>
        <i/>
        <u/>
        <sz val="10"/>
        <color indexed="12"/>
        <rFont val="宋体"/>
        <family val="3"/>
        <charset val="134"/>
      </rPr>
      <t>不存在合理可能的重大错报</t>
    </r>
    <r>
      <rPr>
        <b/>
        <i/>
        <u/>
        <sz val="10"/>
        <color indexed="12"/>
        <rFont val="Arial Narrow"/>
        <family val="2"/>
      </rPr>
      <t xml:space="preserve"> Reasonably Possisble</t>
    </r>
    <phoneticPr fontId="3" type="noConversion"/>
  </si>
  <si>
    <t>二、本循环业务涉及的主要人员及其职责</t>
    <phoneticPr fontId="2" type="noConversion"/>
  </si>
  <si>
    <r>
      <rPr>
        <b/>
        <sz val="10"/>
        <color theme="1"/>
        <rFont val="宋体"/>
        <family val="3"/>
        <charset val="134"/>
      </rPr>
      <t>认定</t>
    </r>
    <phoneticPr fontId="2" type="noConversion"/>
  </si>
  <si>
    <t xml:space="preserve">                             页次： </t>
    <phoneticPr fontId="3" type="noConversion"/>
  </si>
  <si>
    <r>
      <rPr>
        <b/>
        <sz val="10"/>
        <color rgb="FF0000FF"/>
        <rFont val="宋体"/>
        <family val="3"/>
        <charset val="134"/>
      </rPr>
      <t>编制说明：</t>
    </r>
    <phoneticPr fontId="2" type="noConversion"/>
  </si>
  <si>
    <r>
      <t>1</t>
    </r>
    <r>
      <rPr>
        <sz val="10"/>
        <color rgb="FF0000FF"/>
        <rFont val="宋体"/>
        <family val="3"/>
        <charset val="134"/>
      </rPr>
      <t>、该底稿用于判断选取与风险相关的控制。</t>
    </r>
    <phoneticPr fontId="2" type="noConversion"/>
  </si>
  <si>
    <r>
      <t>2</t>
    </r>
    <r>
      <rPr>
        <sz val="10"/>
        <color rgb="FF0000FF"/>
        <rFont val="宋体"/>
        <family val="3"/>
        <charset val="134"/>
      </rPr>
      <t>、加黑的流程为特定风险下推荐的必选流程。如审计项目组认为还有其他的流程需要进一步选择，请打开组合</t>
    </r>
    <r>
      <rPr>
        <sz val="10"/>
        <color rgb="FF0000FF"/>
        <rFont val="Arial Narrow"/>
        <family val="2"/>
      </rPr>
      <t>“+”</t>
    </r>
    <r>
      <rPr>
        <sz val="10"/>
        <color rgb="FF0000FF"/>
        <rFont val="宋体"/>
        <family val="3"/>
        <charset val="134"/>
      </rPr>
      <t>进行选取。</t>
    </r>
    <phoneticPr fontId="2" type="noConversion"/>
  </si>
  <si>
    <r>
      <t>3</t>
    </r>
    <r>
      <rPr>
        <sz val="10"/>
        <color rgb="FF0000FF"/>
        <rFont val="宋体"/>
        <family val="3"/>
        <charset val="134"/>
      </rPr>
      <t>、底稿模板中列示的为全部建议风险及流程，如果某些风险被审计单位不适用，请删除该风险及相关控制。</t>
    </r>
    <phoneticPr fontId="2" type="noConversion"/>
  </si>
  <si>
    <r>
      <t>4</t>
    </r>
    <r>
      <rPr>
        <sz val="10"/>
        <color rgb="FF0000FF"/>
        <rFont val="宋体"/>
        <family val="3"/>
        <charset val="134"/>
      </rPr>
      <t>、对于适用的流程，请在</t>
    </r>
    <r>
      <rPr>
        <sz val="10"/>
        <color rgb="FF0000FF"/>
        <rFont val="Arial Narrow"/>
        <family val="2"/>
      </rPr>
      <t>G</t>
    </r>
    <r>
      <rPr>
        <sz val="10"/>
        <color rgb="FF0000FF"/>
        <rFont val="宋体"/>
        <family val="3"/>
        <charset val="134"/>
      </rPr>
      <t>列选择</t>
    </r>
    <r>
      <rPr>
        <sz val="10"/>
        <color rgb="FF0000FF"/>
        <rFont val="Arial Narrow"/>
        <family val="2"/>
      </rPr>
      <t>“</t>
    </r>
    <r>
      <rPr>
        <sz val="10"/>
        <color rgb="FF0000FF"/>
        <rFont val="宋体"/>
        <family val="3"/>
        <charset val="134"/>
      </rPr>
      <t>√</t>
    </r>
    <r>
      <rPr>
        <sz val="10"/>
        <color rgb="FF0000FF"/>
        <rFont val="Arial Narrow"/>
        <family val="2"/>
      </rPr>
      <t>”</t>
    </r>
    <r>
      <rPr>
        <sz val="10"/>
        <color rgb="FF0000FF"/>
        <rFont val="宋体"/>
        <family val="3"/>
        <charset val="134"/>
      </rPr>
      <t>。</t>
    </r>
    <phoneticPr fontId="2" type="noConversion"/>
  </si>
  <si>
    <r>
      <rPr>
        <b/>
        <sz val="10"/>
        <color rgb="FF0000FF"/>
        <rFont val="宋体"/>
        <family val="3"/>
        <charset val="134"/>
      </rPr>
      <t>编制说明：</t>
    </r>
    <phoneticPr fontId="2" type="noConversion"/>
  </si>
  <si>
    <r>
      <t>1</t>
    </r>
    <r>
      <rPr>
        <sz val="10"/>
        <color rgb="FF0000FF"/>
        <rFont val="宋体"/>
        <family val="3"/>
        <charset val="134"/>
      </rPr>
      <t>、根据对被审计单位的了解，选择检查或观察的方法，选取</t>
    </r>
    <r>
      <rPr>
        <sz val="10"/>
        <color rgb="FF0000FF"/>
        <rFont val="Arial Narrow"/>
        <family val="2"/>
      </rPr>
      <t>1</t>
    </r>
    <r>
      <rPr>
        <sz val="10"/>
        <color rgb="FF0000FF"/>
        <rFont val="宋体"/>
        <family val="3"/>
        <charset val="134"/>
      </rPr>
      <t>个样本，填写穿行测试获得的结果。审计人员应该对之前了解的相关内控中企业已有的控制点执行穿行测试。</t>
    </r>
    <phoneticPr fontId="3" type="noConversion"/>
  </si>
  <si>
    <r>
      <t>2</t>
    </r>
    <r>
      <rPr>
        <sz val="10"/>
        <color rgb="FF0000FF"/>
        <rFont val="宋体"/>
        <family val="3"/>
        <charset val="134"/>
      </rPr>
      <t>、根据穿行测试的结果判断是否得到执行，如果未得到执行，说明原因，并判断是否为偏差。如果确定为偏差，应对缺陷进行评价，并索引内控缺陷评价表。</t>
    </r>
    <phoneticPr fontId="3" type="noConversion"/>
  </si>
  <si>
    <r>
      <t>3</t>
    </r>
    <r>
      <rPr>
        <sz val="10"/>
        <color rgb="FF0000FF"/>
        <rFont val="宋体"/>
        <family val="3"/>
        <charset val="134"/>
      </rPr>
      <t>、穿行测试的方法分为观察和检查。</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</si>
  <si>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）观察：观察所执行的控制，并确定控制已得到执行。</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</si>
  <si>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）检查：检查原始文件、单据，提出探求性问题，并确定控制得到执行。</t>
    </r>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</si>
  <si>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）选择穿行测试方法时的考虑因素：</t>
    </r>
    <phoneticPr fontId="3" type="noConversion"/>
  </si>
  <si>
    <t xml:space="preserve">通常是无文件证明的控制； </t>
    <phoneticPr fontId="3" type="noConversion"/>
  </si>
  <si>
    <t xml:space="preserve">自动化控制； </t>
    <phoneticPr fontId="3" type="noConversion"/>
  </si>
  <si>
    <t xml:space="preserve">固有风险越低； </t>
    <phoneticPr fontId="3" type="noConversion"/>
  </si>
  <si>
    <r>
      <rPr>
        <b/>
        <sz val="10"/>
        <rFont val="宋体"/>
        <family val="3"/>
        <charset val="134"/>
      </rPr>
      <t>合计</t>
    </r>
    <phoneticPr fontId="3" type="noConversion"/>
  </si>
  <si>
    <t>各种测试方法所占比例</t>
    <phoneticPr fontId="2" type="noConversion"/>
  </si>
  <si>
    <t>各种测试方法所占比例</t>
    <phoneticPr fontId="2" type="noConversion"/>
  </si>
  <si>
    <t>风险、相关的“流程”和“活动”须根据具体情况分析填列，下表列示内容不适用须删除。</t>
    <phoneticPr fontId="2" type="noConversion"/>
  </si>
  <si>
    <r>
      <rPr>
        <i/>
        <sz val="10"/>
        <color rgb="FF0000FF"/>
        <rFont val="宋体"/>
        <family val="3"/>
        <charset val="134"/>
      </rPr>
      <t>是</t>
    </r>
    <phoneticPr fontId="3" type="noConversion"/>
  </si>
  <si>
    <r>
      <rPr>
        <i/>
        <sz val="10"/>
        <color rgb="FF0000FF"/>
        <rFont val="宋体"/>
        <family val="3"/>
        <charset val="134"/>
      </rPr>
      <t>是</t>
    </r>
    <phoneticPr fontId="3" type="noConversion"/>
  </si>
  <si>
    <t>层级或部门</t>
    <phoneticPr fontId="3" type="noConversion"/>
  </si>
  <si>
    <r>
      <t xml:space="preserve">10.47  </t>
    </r>
    <r>
      <rPr>
        <sz val="10"/>
        <rFont val="宋体"/>
        <family val="3"/>
        <charset val="134"/>
      </rPr>
      <t>测试方式因控制的性质（是否被记录）以及审计项目组的判断而不同。</t>
    </r>
    <r>
      <rPr>
        <sz val="10"/>
        <rFont val="Times New Roman"/>
        <family val="1"/>
      </rPr>
      <t>Voyager</t>
    </r>
    <r>
      <rPr>
        <sz val="10"/>
        <rFont val="宋体"/>
        <family val="3"/>
        <charset val="134"/>
      </rPr>
      <t xml:space="preserve">中有如下测试方法供审计项目组选择运行有效性评估：
</t>
    </r>
    <r>
      <rPr>
        <sz val="10"/>
        <rFont val="Times New Roman"/>
        <family val="1"/>
      </rPr>
      <t xml:space="preserve">• </t>
    </r>
    <r>
      <rPr>
        <sz val="10"/>
        <rFont val="宋体"/>
        <family val="3"/>
        <charset val="134"/>
      </rPr>
      <t xml:space="preserve">询问和观察；
</t>
    </r>
    <r>
      <rPr>
        <sz val="10"/>
        <rFont val="Times New Roman"/>
        <family val="1"/>
      </rPr>
      <t xml:space="preserve">• </t>
    </r>
    <r>
      <rPr>
        <sz val="10"/>
        <rFont val="宋体"/>
        <family val="3"/>
        <charset val="134"/>
      </rPr>
      <t xml:space="preserve">抽样；
</t>
    </r>
    <r>
      <rPr>
        <sz val="10"/>
        <rFont val="Times New Roman"/>
        <family val="1"/>
      </rPr>
      <t xml:space="preserve">• </t>
    </r>
    <r>
      <rPr>
        <sz val="10"/>
        <rFont val="宋体"/>
        <family val="3"/>
        <charset val="134"/>
      </rPr>
      <t xml:space="preserve">重新执行；
</t>
    </r>
    <r>
      <rPr>
        <sz val="10"/>
        <rFont val="Times New Roman"/>
        <family val="1"/>
      </rPr>
      <t xml:space="preserve">• </t>
    </r>
    <r>
      <rPr>
        <sz val="10"/>
        <rFont val="宋体"/>
        <family val="3"/>
        <charset val="134"/>
      </rPr>
      <t>计算机辅助审计技术（</t>
    </r>
    <r>
      <rPr>
        <sz val="10"/>
        <rFont val="Times New Roman"/>
        <family val="1"/>
      </rPr>
      <t>CAAT</t>
    </r>
    <r>
      <rPr>
        <sz val="10"/>
        <rFont val="宋体"/>
        <family val="3"/>
        <charset val="134"/>
      </rPr>
      <t xml:space="preserve">）；
</t>
    </r>
    <r>
      <rPr>
        <sz val="10"/>
        <rFont val="Times New Roman"/>
        <family val="1"/>
      </rPr>
      <t xml:space="preserve">• </t>
    </r>
    <r>
      <rPr>
        <sz val="10"/>
        <rFont val="宋体"/>
        <family val="3"/>
        <charset val="134"/>
      </rPr>
      <t>管理层</t>
    </r>
    <r>
      <rPr>
        <sz val="10"/>
        <rFont val="Times New Roman"/>
        <family val="1"/>
      </rPr>
      <t>―</t>
    </r>
    <r>
      <rPr>
        <sz val="10"/>
        <rFont val="宋体"/>
        <family val="3"/>
        <charset val="134"/>
      </rPr>
      <t xml:space="preserve">重新执行；
</t>
    </r>
    <r>
      <rPr>
        <sz val="10"/>
        <rFont val="Times New Roman"/>
        <family val="1"/>
      </rPr>
      <t>•</t>
    </r>
    <r>
      <rPr>
        <sz val="10"/>
        <rFont val="宋体"/>
        <family val="3"/>
        <charset val="134"/>
      </rPr>
      <t>管理层</t>
    </r>
    <r>
      <rPr>
        <sz val="10"/>
        <rFont val="Times New Roman"/>
        <family val="1"/>
      </rPr>
      <t>―</t>
    </r>
    <r>
      <rPr>
        <sz val="10"/>
        <rFont val="宋体"/>
        <family val="3"/>
        <charset val="134"/>
      </rPr>
      <t xml:space="preserve">仅复核；
</t>
    </r>
    <r>
      <rPr>
        <sz val="10"/>
        <rFont val="Times New Roman"/>
        <family val="1"/>
      </rPr>
      <t xml:space="preserve">• </t>
    </r>
    <r>
      <rPr>
        <sz val="10"/>
        <rFont val="宋体"/>
        <family val="3"/>
        <charset val="134"/>
      </rPr>
      <t>服务机构注册会计师。</t>
    </r>
    <phoneticPr fontId="3" type="noConversion"/>
  </si>
  <si>
    <r>
      <t xml:space="preserve">Direct testing  </t>
    </r>
    <r>
      <rPr>
        <sz val="9"/>
        <color indexed="8"/>
        <rFont val="宋体"/>
        <family val="3"/>
        <charset val="134"/>
      </rPr>
      <t>直接测试</t>
    </r>
  </si>
  <si>
    <t>50% to 70%</t>
  </si>
  <si>
    <t>0% to 50%</t>
  </si>
  <si>
    <r>
      <t>Reperform testing performed by others</t>
    </r>
    <r>
      <rPr>
        <sz val="9"/>
        <color indexed="8"/>
        <rFont val="宋体"/>
        <family val="3"/>
        <charset val="134"/>
      </rPr>
      <t>重新执行他人的测试</t>
    </r>
  </si>
  <si>
    <t>20% to 50%</t>
  </si>
  <si>
    <r>
      <t xml:space="preserve">Review testing performed by others  </t>
    </r>
    <r>
      <rPr>
        <sz val="9"/>
        <color indexed="8"/>
        <rFont val="宋体"/>
        <family val="3"/>
        <charset val="134"/>
      </rPr>
      <t>复核他人的测试</t>
    </r>
  </si>
  <si>
    <t>0% to 30%</t>
  </si>
  <si>
    <t xml:space="preserve">Note: For not reasonably possible risks, the audit team should ordinarily select 50% of the key controls for testing. The table above reflects this by showing that the maximum number of key controls tested by the audit team would be 50% of the total key controls. </t>
  </si>
  <si>
    <r>
      <rPr>
        <i/>
        <sz val="8"/>
        <color rgb="FF000000"/>
        <rFont val="宋体"/>
        <family val="3"/>
        <charset val="134"/>
      </rPr>
      <t>注：</t>
    </r>
    <r>
      <rPr>
        <i/>
        <sz val="8"/>
        <color indexed="8"/>
        <rFont val="Arial Narrow"/>
        <family val="2"/>
      </rPr>
      <t xml:space="preserve"> </t>
    </r>
    <r>
      <rPr>
        <i/>
        <sz val="8"/>
        <color indexed="8"/>
        <rFont val="宋体"/>
        <family val="3"/>
        <charset val="134"/>
      </rPr>
      <t>对于不存在合理可能性的风险，审计项目组通常应选择</t>
    </r>
    <r>
      <rPr>
        <i/>
        <sz val="8"/>
        <color indexed="8"/>
        <rFont val="Arial Narrow"/>
        <family val="2"/>
      </rPr>
      <t>50%</t>
    </r>
    <r>
      <rPr>
        <i/>
        <sz val="8"/>
        <color indexed="8"/>
        <rFont val="宋体"/>
        <family val="3"/>
        <charset val="134"/>
      </rPr>
      <t>的关键控制点进行测试。上表中，审计项目组测试的关键控制点的数量不超过总数的</t>
    </r>
    <r>
      <rPr>
        <i/>
        <sz val="8"/>
        <color indexed="8"/>
        <rFont val="Arial Narrow"/>
        <family val="2"/>
      </rPr>
      <t>50%</t>
    </r>
    <r>
      <rPr>
        <i/>
        <sz val="8"/>
        <color indexed="8"/>
        <rFont val="宋体"/>
        <family val="3"/>
        <charset val="134"/>
      </rPr>
      <t>，即为说明了这一点。</t>
    </r>
  </si>
  <si>
    <r>
      <t>How Audit Team Tests Key Controls</t>
    </r>
    <r>
      <rPr>
        <b/>
        <sz val="9"/>
        <rFont val="宋体"/>
        <family val="3"/>
        <charset val="134"/>
      </rPr>
      <t>审计项目组如何测试关键控制点</t>
    </r>
  </si>
  <si>
    <r>
      <t>Not reasonably possible</t>
    </r>
    <r>
      <rPr>
        <b/>
        <sz val="9"/>
        <rFont val="宋体"/>
        <family val="3"/>
        <charset val="134"/>
      </rPr>
      <t>存在合理可能性</t>
    </r>
  </si>
  <si>
    <r>
      <t>3</t>
    </r>
    <r>
      <rPr>
        <b/>
        <sz val="10"/>
        <rFont val="宋体"/>
        <family val="3"/>
        <charset val="134"/>
      </rPr>
      <t>、控制测试方法解读如下：</t>
    </r>
    <phoneticPr fontId="3" type="noConversion"/>
  </si>
  <si>
    <r>
      <t>4</t>
    </r>
    <r>
      <rPr>
        <b/>
        <sz val="10"/>
        <rFont val="宋体"/>
        <family val="3"/>
        <charset val="134"/>
      </rPr>
      <t>、控制测试方法分配比例：</t>
    </r>
    <phoneticPr fontId="3" type="noConversion"/>
  </si>
  <si>
    <t>在整合审计中，各测试方法的分配比例如下：</t>
    <phoneticPr fontId="3" type="noConversion"/>
  </si>
  <si>
    <r>
      <t xml:space="preserve">Risk of material misstatement
</t>
    </r>
    <r>
      <rPr>
        <b/>
        <sz val="9"/>
        <rFont val="宋体"/>
        <family val="3"/>
        <charset val="134"/>
      </rPr>
      <t>重大错报风险</t>
    </r>
    <phoneticPr fontId="3" type="noConversion"/>
  </si>
  <si>
    <r>
      <t xml:space="preserve">Reasonably possible
</t>
    </r>
    <r>
      <rPr>
        <b/>
        <sz val="9"/>
        <rFont val="宋体"/>
        <family val="3"/>
        <charset val="134"/>
      </rPr>
      <t>存在合理可能性</t>
    </r>
    <phoneticPr fontId="3" type="noConversion"/>
  </si>
  <si>
    <r>
      <rPr>
        <sz val="10"/>
        <color rgb="FFFF0000"/>
        <rFont val="宋体"/>
        <family val="2"/>
        <charset val="134"/>
      </rPr>
      <t>完整性</t>
    </r>
    <r>
      <rPr>
        <sz val="10"/>
        <color rgb="FFFF0000"/>
        <rFont val="Arial Narrow"/>
        <family val="2"/>
      </rPr>
      <t xml:space="preserve"> Completeness</t>
    </r>
  </si>
  <si>
    <r>
      <rPr>
        <sz val="10"/>
        <rFont val="宋体"/>
        <family val="3"/>
        <charset val="134"/>
      </rPr>
      <t>索引号：</t>
    </r>
    <r>
      <rPr>
        <sz val="10"/>
        <rFont val="Arial Narrow"/>
        <family val="2"/>
      </rPr>
      <t>B23-13</t>
    </r>
    <phoneticPr fontId="3" type="noConversion"/>
  </si>
  <si>
    <r>
      <t>短期借款、应付利息、长期借款、应付债券、长期应付款及未确认融资费用、专项应付款、</t>
    </r>
    <r>
      <rPr>
        <sz val="10"/>
        <rFont val="Arial Narrow"/>
        <family val="2"/>
      </rPr>
      <t xml:space="preserve"> </t>
    </r>
    <r>
      <rPr>
        <sz val="10"/>
        <rFont val="宋体"/>
        <family val="3"/>
        <charset val="134"/>
      </rPr>
      <t>其他非流动负债、应付股利</t>
    </r>
  </si>
  <si>
    <r>
      <t>利息</t>
    </r>
    <r>
      <rPr>
        <sz val="10"/>
        <rFont val="Arial Narrow"/>
        <family val="2"/>
      </rPr>
      <t>Interest and fees</t>
    </r>
  </si>
  <si>
    <r>
      <t>维护记录</t>
    </r>
    <r>
      <rPr>
        <sz val="10"/>
        <rFont val="Arial Narrow"/>
        <family val="2"/>
      </rPr>
      <t>Maintain records</t>
    </r>
  </si>
  <si>
    <r>
      <t>与债务相关的调整</t>
    </r>
    <r>
      <rPr>
        <sz val="10"/>
        <rFont val="Arial Narrow"/>
        <family val="2"/>
      </rPr>
      <t>Debt-Related Adjustments</t>
    </r>
  </si>
  <si>
    <r>
      <rPr>
        <sz val="10"/>
        <rFont val="宋体"/>
        <family val="3"/>
        <charset val="134"/>
      </rPr>
      <t>债务工具</t>
    </r>
    <r>
      <rPr>
        <sz val="10"/>
        <rFont val="Arial Narrow"/>
        <family val="2"/>
      </rPr>
      <t>Debt instruments</t>
    </r>
    <phoneticPr fontId="3" type="noConversion"/>
  </si>
  <si>
    <r>
      <t>二、主要业务活动介绍/债务流程图</t>
    </r>
    <r>
      <rPr>
        <b/>
        <i/>
        <sz val="10"/>
        <color rgb="FF0000FF"/>
        <rFont val="宋体"/>
        <family val="3"/>
        <charset val="134"/>
      </rPr>
      <t>（需标注容易出错的领域）</t>
    </r>
    <phoneticPr fontId="3" type="noConversion"/>
  </si>
  <si>
    <r>
      <rPr>
        <sz val="10"/>
        <rFont val="宋体"/>
        <family val="3"/>
        <charset val="134"/>
      </rPr>
      <t>债务工具</t>
    </r>
    <r>
      <rPr>
        <sz val="10"/>
        <rFont val="Arial Narrow"/>
        <family val="2"/>
      </rPr>
      <t>Debt instruments</t>
    </r>
    <phoneticPr fontId="3" type="noConversion"/>
  </si>
  <si>
    <r>
      <t>1</t>
    </r>
    <r>
      <rPr>
        <sz val="10"/>
        <rFont val="宋体"/>
        <family val="3"/>
        <charset val="134"/>
      </rPr>
      <t>、债务工具</t>
    </r>
    <r>
      <rPr>
        <sz val="10"/>
        <rFont val="Arial Narrow"/>
        <family val="2"/>
      </rPr>
      <t>Debt instruments</t>
    </r>
    <phoneticPr fontId="2" type="noConversion"/>
  </si>
  <si>
    <r>
      <t>利息</t>
    </r>
    <r>
      <rPr>
        <sz val="10"/>
        <rFont val="Arial Narrow"/>
        <family val="2"/>
      </rPr>
      <t>Interest and fees</t>
    </r>
    <phoneticPr fontId="3" type="noConversion"/>
  </si>
  <si>
    <r>
      <t>2</t>
    </r>
    <r>
      <rPr>
        <sz val="10"/>
        <rFont val="宋体"/>
        <family val="3"/>
        <charset val="134"/>
      </rPr>
      <t>、利息</t>
    </r>
    <r>
      <rPr>
        <sz val="10"/>
        <rFont val="Arial Narrow"/>
        <family val="2"/>
      </rPr>
      <t>Interest and fees</t>
    </r>
    <phoneticPr fontId="2" type="noConversion"/>
  </si>
  <si>
    <r>
      <t>维护记录</t>
    </r>
    <r>
      <rPr>
        <sz val="10"/>
        <rFont val="Arial Narrow"/>
        <family val="2"/>
      </rPr>
      <t>Maintain records</t>
    </r>
    <phoneticPr fontId="3" type="noConversion"/>
  </si>
  <si>
    <r>
      <t>3</t>
    </r>
    <r>
      <rPr>
        <sz val="10"/>
        <rFont val="宋体"/>
        <family val="3"/>
        <charset val="134"/>
      </rPr>
      <t>、维护记录</t>
    </r>
    <r>
      <rPr>
        <sz val="10"/>
        <rFont val="Arial Narrow"/>
        <family val="2"/>
      </rPr>
      <t>Maintain records</t>
    </r>
    <phoneticPr fontId="2" type="noConversion"/>
  </si>
  <si>
    <r>
      <t>与债务相关的调整</t>
    </r>
    <r>
      <rPr>
        <sz val="10"/>
        <rFont val="Arial Narrow"/>
        <family val="2"/>
      </rPr>
      <t>Debt-Related Adjustments</t>
    </r>
    <phoneticPr fontId="3" type="noConversion"/>
  </si>
  <si>
    <r>
      <t>4</t>
    </r>
    <r>
      <rPr>
        <sz val="10"/>
        <rFont val="宋体"/>
        <family val="3"/>
        <charset val="134"/>
      </rPr>
      <t>、与债务相关的调整</t>
    </r>
    <r>
      <rPr>
        <sz val="10"/>
        <rFont val="Arial Narrow"/>
        <family val="2"/>
      </rPr>
      <t>Debt-Related Adjustments</t>
    </r>
    <phoneticPr fontId="2" type="noConversion"/>
  </si>
  <si>
    <t>了解债务循环流程和内部控制记录表</t>
    <phoneticPr fontId="3" type="noConversion"/>
  </si>
  <si>
    <r>
      <rPr>
        <sz val="10"/>
        <rFont val="宋体"/>
        <family val="3"/>
        <charset val="134"/>
      </rPr>
      <t>索引号：</t>
    </r>
    <r>
      <rPr>
        <sz val="10"/>
        <rFont val="Arial Narrow"/>
        <family val="2"/>
      </rPr>
      <t>B23-13-1</t>
    </r>
    <phoneticPr fontId="3" type="noConversion"/>
  </si>
  <si>
    <r>
      <t>完整性</t>
    </r>
    <r>
      <rPr>
        <sz val="10"/>
        <color rgb="FFFF0000"/>
        <rFont val="Arial Narrow"/>
        <family val="2"/>
      </rPr>
      <t xml:space="preserve"> Completeness</t>
    </r>
  </si>
  <si>
    <r>
      <t>债务未恰当反映</t>
    </r>
    <r>
      <rPr>
        <sz val="10"/>
        <color rgb="FFFF0000"/>
        <rFont val="Arial Narrow"/>
        <family val="2"/>
      </rPr>
      <t xml:space="preserve"> Debt obligations not reflected properly</t>
    </r>
  </si>
  <si>
    <r>
      <t>价值</t>
    </r>
    <r>
      <rPr>
        <sz val="10"/>
        <color rgb="FFFF0000"/>
        <rFont val="Arial Narrow"/>
        <family val="2"/>
      </rPr>
      <t>-</t>
    </r>
    <r>
      <rPr>
        <sz val="10"/>
        <color rgb="FFFF0000"/>
        <rFont val="宋体"/>
        <family val="3"/>
        <charset val="134"/>
      </rPr>
      <t>毛值</t>
    </r>
    <r>
      <rPr>
        <sz val="10"/>
        <color rgb="FFFF0000"/>
        <rFont val="Arial Narrow"/>
        <family val="2"/>
      </rPr>
      <t xml:space="preserve"> Valuation - Gross</t>
    </r>
  </si>
  <si>
    <r>
      <t>未正确计算的外币折算</t>
    </r>
    <r>
      <rPr>
        <sz val="10"/>
        <color rgb="FFFF0000"/>
        <rFont val="Arial Narrow"/>
        <family val="2"/>
      </rPr>
      <t xml:space="preserve"> Foreign exchange conversions not calculated correctly</t>
    </r>
  </si>
  <si>
    <r>
      <t>价值</t>
    </r>
    <r>
      <rPr>
        <sz val="10"/>
        <color rgb="FFFF0000"/>
        <rFont val="Arial Narrow"/>
        <family val="2"/>
      </rPr>
      <t>-</t>
    </r>
    <r>
      <rPr>
        <sz val="10"/>
        <color rgb="FFFF0000"/>
        <rFont val="宋体"/>
        <family val="3"/>
        <charset val="134"/>
      </rPr>
      <t>净值</t>
    </r>
    <r>
      <rPr>
        <sz val="10"/>
        <color rgb="FFFF0000"/>
        <rFont val="Arial Narrow"/>
        <family val="2"/>
      </rPr>
      <t xml:space="preserve"> Valuation - Net</t>
    </r>
  </si>
  <si>
    <r>
      <t>权利</t>
    </r>
    <r>
      <rPr>
        <sz val="10"/>
        <color rgb="FFFF0000"/>
        <rFont val="Arial Narrow"/>
        <family val="2"/>
      </rPr>
      <t>/</t>
    </r>
    <r>
      <rPr>
        <sz val="10"/>
        <color rgb="FFFF0000"/>
        <rFont val="宋体"/>
        <family val="3"/>
        <charset val="134"/>
      </rPr>
      <t>义务</t>
    </r>
    <r>
      <rPr>
        <sz val="10"/>
        <color rgb="FFFF0000"/>
        <rFont val="Arial Narrow"/>
        <family val="2"/>
      </rPr>
      <t xml:space="preserve"> Rights/Obligations</t>
    </r>
  </si>
  <si>
    <r>
      <t>未履行的贷款合约</t>
    </r>
    <r>
      <rPr>
        <sz val="10"/>
        <color rgb="FFFF0000"/>
        <rFont val="Arial Narrow"/>
        <family val="2"/>
      </rPr>
      <t xml:space="preserve"> Loan covenants not met</t>
    </r>
  </si>
  <si>
    <r>
      <t>应付利息不充分</t>
    </r>
    <r>
      <rPr>
        <sz val="10"/>
        <color rgb="FFFF0000"/>
        <rFont val="Arial Narrow"/>
        <family val="2"/>
      </rPr>
      <t xml:space="preserve"> Interest payable not adequate</t>
    </r>
    <phoneticPr fontId="2" type="noConversion"/>
  </si>
  <si>
    <r>
      <t>债务发行成本、溢价和折认未正确的进行摊销</t>
    </r>
    <r>
      <rPr>
        <sz val="10"/>
        <color rgb="FFFF0000"/>
        <rFont val="Arial Narrow"/>
        <family val="2"/>
      </rPr>
      <t>Debt issuance costs, premiums and discounts not amortized properly</t>
    </r>
    <phoneticPr fontId="2" type="noConversion"/>
  </si>
  <si>
    <t>穿行测试（债务循环）</t>
    <phoneticPr fontId="3" type="noConversion"/>
  </si>
  <si>
    <r>
      <rPr>
        <sz val="10"/>
        <rFont val="宋体"/>
        <family val="3"/>
        <charset val="134"/>
      </rPr>
      <t>索引号：</t>
    </r>
    <r>
      <rPr>
        <sz val="10"/>
        <rFont val="Arial Narrow"/>
        <family val="2"/>
      </rPr>
      <t>B23-13-2</t>
    </r>
    <phoneticPr fontId="3" type="noConversion"/>
  </si>
  <si>
    <t>关键控制点选择（债务循环）</t>
    <phoneticPr fontId="3" type="noConversion"/>
  </si>
  <si>
    <r>
      <t>完整性</t>
    </r>
    <r>
      <rPr>
        <b/>
        <sz val="10"/>
        <rFont val="Arial Narrow"/>
        <family val="2"/>
      </rPr>
      <t xml:space="preserve"> Completeness</t>
    </r>
  </si>
  <si>
    <r>
      <t>应付利息不充分</t>
    </r>
    <r>
      <rPr>
        <sz val="10"/>
        <color rgb="FFFF0000"/>
        <rFont val="Arial Narrow"/>
        <family val="2"/>
      </rPr>
      <t xml:space="preserve"> Interest payable not adequate</t>
    </r>
  </si>
  <si>
    <t>价值-毛值 Valuation - Gross</t>
  </si>
  <si>
    <r>
      <t>价值</t>
    </r>
    <r>
      <rPr>
        <b/>
        <sz val="10"/>
        <rFont val="Arial Narrow"/>
        <family val="2"/>
      </rPr>
      <t>-</t>
    </r>
    <r>
      <rPr>
        <b/>
        <sz val="10"/>
        <rFont val="宋体"/>
        <family val="3"/>
        <charset val="134"/>
      </rPr>
      <t>净值</t>
    </r>
    <r>
      <rPr>
        <b/>
        <sz val="10"/>
        <rFont val="Arial Narrow"/>
        <family val="2"/>
      </rPr>
      <t xml:space="preserve"> Valuation - Net</t>
    </r>
  </si>
  <si>
    <r>
      <t>债务发行成本、溢价和折认未正确的进行摊销</t>
    </r>
    <r>
      <rPr>
        <sz val="10"/>
        <color rgb="FFFF0000"/>
        <rFont val="Arial Narrow"/>
        <family val="2"/>
      </rPr>
      <t>Debt issuance costs, premiums and discounts not amortized properly</t>
    </r>
  </si>
  <si>
    <r>
      <t>权利</t>
    </r>
    <r>
      <rPr>
        <b/>
        <sz val="10"/>
        <rFont val="Arial Narrow"/>
        <family val="2"/>
      </rPr>
      <t>/</t>
    </r>
    <r>
      <rPr>
        <b/>
        <sz val="10"/>
        <rFont val="宋体"/>
        <family val="3"/>
        <charset val="134"/>
      </rPr>
      <t>义务</t>
    </r>
    <r>
      <rPr>
        <b/>
        <sz val="10"/>
        <rFont val="Arial Narrow"/>
        <family val="2"/>
      </rPr>
      <t xml:space="preserve"> Rights/Obligations</t>
    </r>
  </si>
  <si>
    <r>
      <rPr>
        <sz val="10"/>
        <rFont val="宋体"/>
        <family val="3"/>
        <charset val="134"/>
      </rPr>
      <t>索引号：</t>
    </r>
    <r>
      <rPr>
        <sz val="10"/>
        <rFont val="Arial Narrow"/>
        <family val="2"/>
      </rPr>
      <t>B23-13-3</t>
    </r>
    <phoneticPr fontId="3" type="noConversion"/>
  </si>
  <si>
    <r>
      <rPr>
        <sz val="10"/>
        <rFont val="宋体"/>
        <family val="3"/>
        <charset val="134"/>
      </rPr>
      <t>索引号：</t>
    </r>
    <r>
      <rPr>
        <sz val="10"/>
        <rFont val="Arial Narrow"/>
        <family val="2"/>
      </rPr>
      <t>B23-13-4</t>
    </r>
    <phoneticPr fontId="3" type="noConversion"/>
  </si>
  <si>
    <r>
      <t>1</t>
    </r>
    <r>
      <rPr>
        <sz val="10"/>
        <rFont val="宋体"/>
        <family val="3"/>
        <charset val="134"/>
      </rPr>
      <t>、审计人员应根据风险评估的结果（</t>
    </r>
    <r>
      <rPr>
        <sz val="10"/>
        <rFont val="Arial Narrow"/>
        <family val="2"/>
      </rPr>
      <t>B22-1</t>
    </r>
    <r>
      <rPr>
        <sz val="10"/>
        <rFont val="宋体"/>
        <family val="3"/>
        <charset val="134"/>
      </rPr>
      <t>）确定是否进行控制测试。</t>
    </r>
    <phoneticPr fontId="3" type="noConversion"/>
  </si>
  <si>
    <r>
      <rPr>
        <sz val="10"/>
        <rFont val="宋体"/>
        <family val="3"/>
        <charset val="134"/>
      </rPr>
      <t>财报审计中，通常</t>
    </r>
    <r>
      <rPr>
        <sz val="10"/>
        <rFont val="Times New Roman"/>
        <family val="1"/>
      </rPr>
      <t>100%</t>
    </r>
    <r>
      <rPr>
        <sz val="10"/>
        <rFont val="宋体"/>
        <family val="3"/>
        <charset val="134"/>
      </rPr>
      <t>进行直接测试，如拟利用他人工作，各测试方法的分配比例如下：</t>
    </r>
    <phoneticPr fontId="3" type="noConversion"/>
  </si>
  <si>
    <r>
      <rPr>
        <b/>
        <sz val="9"/>
        <rFont val="宋体"/>
        <family val="3"/>
        <charset val="134"/>
      </rPr>
      <t>重大错报风险</t>
    </r>
    <phoneticPr fontId="3" type="noConversion"/>
  </si>
  <si>
    <r>
      <rPr>
        <b/>
        <sz val="10"/>
        <color theme="1"/>
        <rFont val="宋体"/>
        <family val="3"/>
        <charset val="134"/>
      </rPr>
      <t>风险</t>
    </r>
    <r>
      <rPr>
        <b/>
        <sz val="10"/>
        <color rgb="FFFF0000"/>
        <rFont val="宋体"/>
        <family val="3"/>
        <charset val="134"/>
      </rPr>
      <t>（来自于</t>
    </r>
    <r>
      <rPr>
        <b/>
        <sz val="10"/>
        <color rgb="FFFF0000"/>
        <rFont val="Arial Narrow"/>
        <family val="2"/>
      </rPr>
      <t>B22-1/B22-2</t>
    </r>
    <r>
      <rPr>
        <b/>
        <sz val="10"/>
        <color rgb="FFFF0000"/>
        <rFont val="宋体"/>
        <family val="3"/>
        <charset val="134"/>
      </rPr>
      <t>）</t>
    </r>
    <phoneticPr fontId="2" type="noConversion"/>
  </si>
  <si>
    <r>
      <t>B23-13</t>
    </r>
    <r>
      <rPr>
        <u/>
        <sz val="10"/>
        <color indexed="12"/>
        <rFont val="宋体"/>
        <family val="3"/>
        <charset val="134"/>
      </rPr>
      <t>了解债务循环流程和内部控制记录表</t>
    </r>
    <phoneticPr fontId="3" type="noConversion"/>
  </si>
  <si>
    <r>
      <t>B23-13-1</t>
    </r>
    <r>
      <rPr>
        <u/>
        <sz val="10"/>
        <color indexed="12"/>
        <rFont val="宋体"/>
        <family val="3"/>
        <charset val="134"/>
      </rPr>
      <t>链接</t>
    </r>
    <r>
      <rPr>
        <u/>
        <sz val="10"/>
        <color indexed="12"/>
        <rFont val="Arial"/>
        <family val="2"/>
      </rPr>
      <t>-</t>
    </r>
    <r>
      <rPr>
        <u/>
        <sz val="10"/>
        <color indexed="12"/>
        <rFont val="宋体"/>
        <family val="3"/>
        <charset val="134"/>
      </rPr>
      <t>企业对财务报表风险的应对</t>
    </r>
    <phoneticPr fontId="3" type="noConversion"/>
  </si>
  <si>
    <r>
      <t>B23-13-2</t>
    </r>
    <r>
      <rPr>
        <u/>
        <sz val="10"/>
        <color indexed="12"/>
        <rFont val="宋体"/>
        <family val="3"/>
        <charset val="134"/>
      </rPr>
      <t>穿行测试</t>
    </r>
    <phoneticPr fontId="3" type="noConversion"/>
  </si>
  <si>
    <r>
      <t>B23-13-3</t>
    </r>
    <r>
      <rPr>
        <u/>
        <sz val="10"/>
        <color indexed="12"/>
        <rFont val="宋体"/>
        <family val="3"/>
        <charset val="134"/>
      </rPr>
      <t>关键控制点选择表（财报审计适用）</t>
    </r>
    <phoneticPr fontId="3" type="noConversion"/>
  </si>
  <si>
    <r>
      <t>B23-13-4</t>
    </r>
    <r>
      <rPr>
        <u/>
        <sz val="10"/>
        <color indexed="12"/>
        <rFont val="宋体"/>
        <family val="3"/>
        <charset val="134"/>
      </rPr>
      <t>关键控制点选择表</t>
    </r>
    <r>
      <rPr>
        <u/>
        <sz val="10"/>
        <color indexed="12"/>
        <rFont val="Arial"/>
        <family val="2"/>
      </rPr>
      <t xml:space="preserve"> (</t>
    </r>
    <r>
      <rPr>
        <u/>
        <sz val="10"/>
        <color indexed="12"/>
        <rFont val="宋体"/>
        <family val="3"/>
        <charset val="134"/>
      </rPr>
      <t>整合审计适用</t>
    </r>
    <r>
      <rPr>
        <u/>
        <sz val="10"/>
        <color indexed="12"/>
        <rFont val="Arial"/>
        <family val="2"/>
      </rPr>
      <t>)</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</si>
</sst>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5">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0.00_)"/>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_ * #,##0_ ;_ * \-#,##0_ ;_ * &quot;-&quot;??_ ;_ @_ "/>
  </numFmts>
  <fonts count="110">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0"/>
      <name val="Times New Roman"/>
      <family val="1"/>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b/>
      <i/>
      <sz val="16"/>
      <name val="Helv"/>
      <family val="2"/>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3"/>
      <charset val="134"/>
      <scheme val="minor"/>
    </font>
    <font>
      <u/>
      <sz val="10"/>
      <color indexed="12"/>
      <name val="宋体"/>
      <family val="3"/>
      <charset val="134"/>
    </font>
    <font>
      <u/>
      <sz val="12"/>
      <color indexed="12"/>
      <name val="宋体"/>
      <family val="3"/>
      <charset val="134"/>
    </font>
    <font>
      <sz val="12"/>
      <name val="Times New Roman"/>
      <family val="1"/>
    </font>
    <font>
      <sz val="10"/>
      <name val="宋体"/>
      <family val="3"/>
      <charset val="134"/>
    </font>
    <font>
      <sz val="11"/>
      <name val="蹈框"/>
      <charset val="134"/>
    </font>
    <font>
      <sz val="11"/>
      <name val="ＭＳ Ｐゴシック"/>
      <family val="2"/>
    </font>
    <font>
      <sz val="12"/>
      <name val="바탕체"/>
      <family val="3"/>
    </font>
    <font>
      <b/>
      <sz val="10"/>
      <name val="宋体"/>
      <family val="3"/>
      <charset val="134"/>
    </font>
    <font>
      <b/>
      <sz val="10"/>
      <name val="Garamond"/>
      <family val="1"/>
    </font>
    <font>
      <b/>
      <sz val="10"/>
      <color theme="1"/>
      <name val="宋体"/>
      <family val="3"/>
      <charset val="134"/>
    </font>
    <font>
      <b/>
      <sz val="10"/>
      <color theme="1"/>
      <name val="Garamond"/>
      <family val="1"/>
    </font>
    <font>
      <b/>
      <sz val="12"/>
      <name val="Arial Narrow"/>
      <family val="2"/>
    </font>
    <font>
      <b/>
      <sz val="12"/>
      <name val="宋体"/>
      <family val="3"/>
      <charset val="134"/>
    </font>
    <font>
      <sz val="12"/>
      <name val="Arial Narrow"/>
      <family val="2"/>
    </font>
    <font>
      <b/>
      <sz val="14"/>
      <name val="Arial Narrow"/>
      <family val="2"/>
    </font>
    <font>
      <b/>
      <sz val="14"/>
      <name val="宋体"/>
      <family val="3"/>
      <charset val="134"/>
    </font>
    <font>
      <sz val="10"/>
      <name val="Arial Narrow"/>
      <family val="2"/>
    </font>
    <font>
      <b/>
      <sz val="10"/>
      <name val="Arial Narrow"/>
      <family val="2"/>
    </font>
    <font>
      <b/>
      <sz val="10"/>
      <color theme="1"/>
      <name val="Arial Narrow"/>
      <family val="2"/>
    </font>
    <font>
      <sz val="10"/>
      <color theme="1"/>
      <name val="Arial Narrow"/>
      <family val="2"/>
    </font>
    <font>
      <i/>
      <sz val="10"/>
      <color theme="4"/>
      <name val="Arial Narrow"/>
      <family val="2"/>
    </font>
    <font>
      <sz val="11"/>
      <color theme="1"/>
      <name val="宋体"/>
      <family val="2"/>
      <charset val="134"/>
      <scheme val="minor"/>
    </font>
    <font>
      <b/>
      <sz val="10"/>
      <name val="Times New Roman"/>
      <family val="1"/>
    </font>
    <font>
      <sz val="9"/>
      <color indexed="81"/>
      <name val="宋体"/>
      <family val="3"/>
      <charset val="134"/>
    </font>
    <font>
      <b/>
      <sz val="16"/>
      <name val="宋体"/>
      <family val="3"/>
      <charset val="134"/>
    </font>
    <font>
      <u/>
      <sz val="10"/>
      <color indexed="12"/>
      <name val="Arial"/>
      <family val="2"/>
    </font>
    <font>
      <u/>
      <sz val="10"/>
      <name val="宋体"/>
      <family val="3"/>
      <charset val="134"/>
    </font>
    <font>
      <b/>
      <sz val="14"/>
      <name val="黑体"/>
      <family val="3"/>
      <charset val="134"/>
    </font>
    <font>
      <b/>
      <sz val="9"/>
      <color indexed="81"/>
      <name val="宋体"/>
      <family val="3"/>
      <charset val="134"/>
    </font>
    <font>
      <u/>
      <sz val="10"/>
      <name val="Arial Narrow"/>
      <family val="2"/>
    </font>
    <font>
      <sz val="11"/>
      <color theme="1"/>
      <name val="Arial Narrow"/>
      <family val="2"/>
    </font>
    <font>
      <b/>
      <sz val="16"/>
      <name val="Arial Narrow"/>
      <family val="2"/>
    </font>
    <font>
      <sz val="11"/>
      <color theme="1"/>
      <name val="宋体"/>
      <family val="3"/>
      <charset val="134"/>
    </font>
    <font>
      <sz val="10.5"/>
      <name val="Arial Narrow"/>
      <family val="2"/>
    </font>
    <font>
      <b/>
      <sz val="7"/>
      <name val="Arial Narrow"/>
      <family val="2"/>
    </font>
    <font>
      <b/>
      <i/>
      <u/>
      <sz val="10"/>
      <color indexed="12"/>
      <name val="Arial Narrow"/>
      <family val="2"/>
    </font>
    <font>
      <b/>
      <i/>
      <u/>
      <sz val="10"/>
      <color indexed="12"/>
      <name val="宋体"/>
      <family val="3"/>
      <charset val="134"/>
    </font>
    <font>
      <b/>
      <sz val="10"/>
      <color rgb="FF0000FF"/>
      <name val="Arial Narrow"/>
      <family val="2"/>
    </font>
    <font>
      <b/>
      <sz val="10"/>
      <color rgb="FF0000FF"/>
      <name val="宋体"/>
      <family val="3"/>
      <charset val="134"/>
    </font>
    <font>
      <sz val="10"/>
      <color rgb="FF0000FF"/>
      <name val="Arial Narrow"/>
      <family val="2"/>
    </font>
    <font>
      <sz val="10"/>
      <color rgb="FF0000FF"/>
      <name val="宋体"/>
      <family val="3"/>
      <charset val="134"/>
    </font>
    <font>
      <sz val="10"/>
      <color rgb="FFFF0000"/>
      <name val="Arial Narrow"/>
      <family val="2"/>
    </font>
    <font>
      <sz val="10"/>
      <color rgb="FFFF0000"/>
      <name val="宋体"/>
      <family val="3"/>
      <charset val="134"/>
    </font>
    <font>
      <i/>
      <sz val="10"/>
      <color rgb="FF0000FF"/>
      <name val="Arial Narrow"/>
      <family val="2"/>
    </font>
    <font>
      <i/>
      <sz val="10"/>
      <color rgb="FF0000FF"/>
      <name val="宋体"/>
      <family val="3"/>
      <charset val="134"/>
    </font>
    <font>
      <b/>
      <i/>
      <sz val="10"/>
      <color rgb="FF0000FF"/>
      <name val="宋体"/>
      <family val="3"/>
      <charset val="134"/>
    </font>
    <font>
      <sz val="9"/>
      <color rgb="FF000000"/>
      <name val="Arial Narrow"/>
      <family val="2"/>
    </font>
    <font>
      <sz val="9"/>
      <color indexed="8"/>
      <name val="宋体"/>
      <family val="3"/>
      <charset val="134"/>
    </font>
    <font>
      <i/>
      <sz val="8"/>
      <color rgb="FF000000"/>
      <name val="Arial Narrow"/>
      <family val="2"/>
    </font>
    <font>
      <i/>
      <sz val="8"/>
      <color rgb="FF000000"/>
      <name val="宋体"/>
      <family val="3"/>
      <charset val="134"/>
    </font>
    <font>
      <i/>
      <sz val="8"/>
      <color indexed="8"/>
      <name val="Arial Narrow"/>
      <family val="2"/>
    </font>
    <font>
      <i/>
      <sz val="8"/>
      <color indexed="8"/>
      <name val="宋体"/>
      <family val="3"/>
      <charset val="134"/>
    </font>
    <font>
      <b/>
      <sz val="9"/>
      <name val="Arial Narrow"/>
      <family val="2"/>
    </font>
    <font>
      <b/>
      <sz val="9"/>
      <name val="宋体"/>
      <family val="3"/>
      <charset val="134"/>
    </font>
    <font>
      <sz val="10"/>
      <color rgb="FFFF0000"/>
      <name val="宋体"/>
      <family val="2"/>
      <charset val="134"/>
    </font>
    <font>
      <sz val="9"/>
      <color rgb="FF000000"/>
      <name val="Times New Roman"/>
      <family val="1"/>
    </font>
    <font>
      <b/>
      <sz val="10"/>
      <color rgb="FFFF0000"/>
      <name val="宋体"/>
      <family val="3"/>
      <charset val="134"/>
    </font>
    <font>
      <b/>
      <sz val="10"/>
      <color rgb="FFFF0000"/>
      <name val="Arial Narrow"/>
      <family val="2"/>
    </font>
  </fonts>
  <fills count="3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14"/>
        <bgColor indexed="64"/>
      </patternFill>
    </fill>
    <fill>
      <patternFill patternType="solid">
        <fgColor indexed="9"/>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D9D9D9"/>
        <bgColor indexed="64"/>
      </patternFill>
    </fill>
    <fill>
      <patternFill patternType="solid">
        <fgColor rgb="FFF2F2F2"/>
        <bgColor indexed="64"/>
      </patternFill>
    </fill>
  </fills>
  <borders count="34">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hair">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194">
    <xf numFmtId="0" fontId="0" fillId="0" borderId="0">
      <alignment vertical="center"/>
    </xf>
    <xf numFmtId="176" fontId="1" fillId="0" borderId="0">
      <protection locked="0"/>
    </xf>
    <xf numFmtId="176" fontId="5" fillId="0" borderId="0"/>
    <xf numFmtId="176" fontId="5" fillId="0" borderId="0"/>
    <xf numFmtId="176" fontId="5" fillId="0" borderId="0"/>
    <xf numFmtId="176" fontId="5" fillId="0" borderId="0"/>
    <xf numFmtId="49" fontId="4" fillId="0" borderId="0" applyProtection="0">
      <alignment horizontal="left"/>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protection locked="0"/>
    </xf>
    <xf numFmtId="177" fontId="4" fillId="0" borderId="0" applyFill="0" applyBorder="0" applyProtection="0">
      <alignment horizontal="right"/>
    </xf>
    <xf numFmtId="178" fontId="4" fillId="0" borderId="0" applyFill="0" applyBorder="0" applyProtection="0">
      <alignment horizontal="right"/>
    </xf>
    <xf numFmtId="179" fontId="7" fillId="0" borderId="0" applyFill="0" applyBorder="0" applyProtection="0">
      <alignment horizontal="center"/>
    </xf>
    <xf numFmtId="180" fontId="7" fillId="0" borderId="0" applyFill="0" applyBorder="0" applyProtection="0">
      <alignment horizontal="center"/>
    </xf>
    <xf numFmtId="181" fontId="8"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185" fontId="4" fillId="0" borderId="0" applyFill="0" applyBorder="0" applyProtection="0">
      <alignment horizontal="right"/>
    </xf>
    <xf numFmtId="186" fontId="9" fillId="0" borderId="0" applyFont="0" applyFill="0" applyBorder="0" applyAlignment="0" applyProtection="0"/>
    <xf numFmtId="187" fontId="9" fillId="0" borderId="0" applyFont="0" applyFill="0" applyBorder="0" applyAlignment="0" applyProtection="0"/>
    <xf numFmtId="10" fontId="9" fillId="0" borderId="0" applyFont="0" applyFill="0" applyBorder="0" applyAlignment="0" applyProtection="0"/>
    <xf numFmtId="176" fontId="10" fillId="2" borderId="0" applyNumberFormat="0" applyBorder="0" applyAlignment="0" applyProtection="0"/>
    <xf numFmtId="176" fontId="10" fillId="3" borderId="0" applyNumberFormat="0" applyBorder="0" applyAlignment="0" applyProtection="0"/>
    <xf numFmtId="176" fontId="10" fillId="4" borderId="0" applyNumberFormat="0" applyBorder="0" applyAlignment="0" applyProtection="0"/>
    <xf numFmtId="176" fontId="10" fillId="5" borderId="0" applyNumberFormat="0" applyBorder="0" applyAlignment="0" applyProtection="0"/>
    <xf numFmtId="176" fontId="10" fillId="6" borderId="0" applyNumberFormat="0" applyBorder="0" applyAlignment="0" applyProtection="0"/>
    <xf numFmtId="176" fontId="10" fillId="7" borderId="0" applyNumberFormat="0" applyBorder="0" applyAlignment="0" applyProtection="0"/>
    <xf numFmtId="176" fontId="10" fillId="8" borderId="0" applyNumberFormat="0" applyBorder="0" applyAlignment="0" applyProtection="0"/>
    <xf numFmtId="176" fontId="10" fillId="9" borderId="0" applyNumberFormat="0" applyBorder="0" applyAlignment="0" applyProtection="0"/>
    <xf numFmtId="176" fontId="10" fillId="10" borderId="0" applyNumberFormat="0" applyBorder="0" applyAlignment="0" applyProtection="0"/>
    <xf numFmtId="176" fontId="10" fillId="5" borderId="0" applyNumberFormat="0" applyBorder="0" applyAlignment="0" applyProtection="0"/>
    <xf numFmtId="176" fontId="10" fillId="8" borderId="0" applyNumberFormat="0" applyBorder="0" applyAlignment="0" applyProtection="0"/>
    <xf numFmtId="176" fontId="10" fillId="11" borderId="0" applyNumberFormat="0" applyBorder="0" applyAlignment="0" applyProtection="0"/>
    <xf numFmtId="176" fontId="11" fillId="12" borderId="0" applyNumberFormat="0" applyBorder="0" applyAlignment="0" applyProtection="0"/>
    <xf numFmtId="176" fontId="11" fillId="9" borderId="0" applyNumberFormat="0" applyBorder="0" applyAlignment="0" applyProtection="0"/>
    <xf numFmtId="176" fontId="11" fillId="10"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5" borderId="0" applyNumberFormat="0" applyBorder="0" applyAlignment="0" applyProtection="0"/>
    <xf numFmtId="176" fontId="11" fillId="16" borderId="0" applyNumberFormat="0" applyBorder="0" applyAlignment="0" applyProtection="0"/>
    <xf numFmtId="176" fontId="11" fillId="17" borderId="0" applyNumberFormat="0" applyBorder="0" applyAlignment="0" applyProtection="0"/>
    <xf numFmtId="176" fontId="11" fillId="18"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9" borderId="0" applyNumberFormat="0" applyBorder="0" applyAlignment="0" applyProtection="0"/>
    <xf numFmtId="176" fontId="12" fillId="3" borderId="0" applyNumberFormat="0" applyBorder="0" applyAlignment="0" applyProtection="0"/>
    <xf numFmtId="3" fontId="13" fillId="0" borderId="0"/>
    <xf numFmtId="188" fontId="14" fillId="0" borderId="8" applyAlignment="0" applyProtection="0"/>
    <xf numFmtId="189" fontId="6" fillId="0" borderId="0" applyFill="0" applyBorder="0" applyAlignment="0"/>
    <xf numFmtId="176" fontId="15" fillId="20" borderId="9" applyNumberFormat="0" applyAlignment="0" applyProtection="0"/>
    <xf numFmtId="176" fontId="16" fillId="21" borderId="10" applyNumberFormat="0" applyAlignment="0" applyProtection="0"/>
    <xf numFmtId="0" fontId="17" fillId="0" borderId="11" applyNumberFormat="0" applyFill="0" applyProtection="0">
      <alignment horizontal="center"/>
    </xf>
    <xf numFmtId="176" fontId="18" fillId="0" borderId="12">
      <alignment horizontal="center"/>
    </xf>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38" fontId="19" fillId="0" borderId="0" applyFont="0" applyFill="0" applyBorder="0" applyAlignment="0" applyProtection="0"/>
    <xf numFmtId="37" fontId="9" fillId="0" borderId="0" applyFont="0" applyFill="0" applyBorder="0" applyAlignment="0" applyProtection="0"/>
    <xf numFmtId="191" fontId="9" fillId="0" borderId="0" applyFont="0" applyFill="0" applyBorder="0" applyAlignment="0" applyProtection="0"/>
    <xf numFmtId="39" fontId="9" fillId="0" borderId="0" applyFont="0" applyFill="0" applyBorder="0" applyAlignment="0" applyProtection="0"/>
    <xf numFmtId="40" fontId="19" fillId="0" borderId="0" applyFont="0" applyFill="0" applyBorder="0" applyAlignment="0" applyProtection="0"/>
    <xf numFmtId="192" fontId="1" fillId="0" borderId="0" applyFont="0" applyFill="0" applyBorder="0" applyAlignment="0" applyProtection="0"/>
    <xf numFmtId="188" fontId="9" fillId="0" borderId="0" applyFont="0" applyFill="0" applyBorder="0" applyAlignment="0" applyProtection="0"/>
    <xf numFmtId="193" fontId="9" fillId="0" borderId="0" applyFont="0" applyFill="0" applyBorder="0" applyAlignment="0" applyProtection="0"/>
    <xf numFmtId="194"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176" fontId="20" fillId="0" borderId="0">
      <alignment horizontal="left"/>
    </xf>
    <xf numFmtId="176" fontId="21" fillId="22" borderId="13"/>
    <xf numFmtId="176" fontId="4" fillId="0" borderId="0" applyFont="0" applyFill="0" applyBorder="0" applyAlignment="0" applyProtection="0"/>
    <xf numFmtId="176" fontId="22" fillId="0" borderId="0" applyNumberFormat="0" applyFill="0" applyBorder="0" applyAlignment="0" applyProtection="0"/>
    <xf numFmtId="0" fontId="23" fillId="0" borderId="0" applyNumberFormat="0" applyFill="0" applyBorder="0" applyAlignment="0" applyProtection="0">
      <alignment vertical="top"/>
      <protection locked="0"/>
    </xf>
    <xf numFmtId="176" fontId="24" fillId="4" borderId="0" applyNumberFormat="0" applyBorder="0" applyAlignment="0" applyProtection="0"/>
    <xf numFmtId="38" fontId="21" fillId="23" borderId="0" applyNumberFormat="0" applyBorder="0" applyAlignment="0" applyProtection="0"/>
    <xf numFmtId="176" fontId="25" fillId="0" borderId="14" applyNumberFormat="0" applyAlignment="0" applyProtection="0">
      <alignment horizontal="left" vertical="center"/>
    </xf>
    <xf numFmtId="176" fontId="25" fillId="0" borderId="15">
      <alignment horizontal="left" vertical="center"/>
    </xf>
    <xf numFmtId="14" fontId="26" fillId="24" borderId="16">
      <alignment horizontal="center" vertical="center" wrapText="1"/>
    </xf>
    <xf numFmtId="176" fontId="27" fillId="0" borderId="17" applyNumberFormat="0" applyFill="0" applyAlignment="0" applyProtection="0"/>
    <xf numFmtId="176" fontId="28" fillId="0" borderId="18" applyNumberFormat="0" applyFill="0" applyAlignment="0" applyProtection="0"/>
    <xf numFmtId="176" fontId="29" fillId="0" borderId="19" applyNumberFormat="0" applyFill="0" applyAlignment="0" applyProtection="0"/>
    <xf numFmtId="176" fontId="29" fillId="0" borderId="0" applyNumberFormat="0" applyFill="0" applyBorder="0" applyAlignment="0" applyProtection="0"/>
    <xf numFmtId="0" fontId="30" fillId="0" borderId="0" applyNumberFormat="0" applyFill="0" applyBorder="0" applyAlignment="0" applyProtection="0">
      <alignment vertical="top"/>
      <protection locked="0"/>
    </xf>
    <xf numFmtId="176" fontId="31" fillId="7" borderId="9" applyNumberFormat="0" applyAlignment="0" applyProtection="0"/>
    <xf numFmtId="10" fontId="21" fillId="25" borderId="13" applyNumberFormat="0" applyBorder="0" applyAlignment="0" applyProtection="0"/>
    <xf numFmtId="176" fontId="4" fillId="0" borderId="0" applyNumberFormat="0" applyFont="0" applyFill="0" applyBorder="0" applyProtection="0">
      <alignment horizontal="left" vertical="center"/>
    </xf>
    <xf numFmtId="176" fontId="32" fillId="0" borderId="20"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200" fontId="1" fillId="0" borderId="0" applyFont="0" applyFill="0" applyBorder="0" applyAlignment="0" applyProtection="0"/>
    <xf numFmtId="176" fontId="33" fillId="26" borderId="0" applyNumberFormat="0" applyBorder="0" applyAlignment="0" applyProtection="0"/>
    <xf numFmtId="37" fontId="34" fillId="0" borderId="0"/>
    <xf numFmtId="0" fontId="35" fillId="0" borderId="0"/>
    <xf numFmtId="201" fontId="36" fillId="0" borderId="0"/>
    <xf numFmtId="0" fontId="5" fillId="0" borderId="0"/>
    <xf numFmtId="176" fontId="19" fillId="0" borderId="0"/>
    <xf numFmtId="176" fontId="37" fillId="0" borderId="0"/>
    <xf numFmtId="176" fontId="5" fillId="27" borderId="21" applyNumberFormat="0" applyFont="0" applyAlignment="0" applyProtection="0"/>
    <xf numFmtId="176" fontId="38" fillId="20" borderId="22" applyNumberFormat="0" applyAlignment="0" applyProtection="0"/>
    <xf numFmtId="202" fontId="5" fillId="0" borderId="0" applyFont="0" applyFill="0" applyBorder="0" applyAlignment="0" applyProtection="0"/>
    <xf numFmtId="10" fontId="5" fillId="0" borderId="0" applyFont="0" applyFill="0" applyBorder="0" applyAlignment="0" applyProtection="0"/>
    <xf numFmtId="176" fontId="21" fillId="23" borderId="13"/>
    <xf numFmtId="4" fontId="20" fillId="0" borderId="0">
      <alignment horizontal="right"/>
    </xf>
    <xf numFmtId="3" fontId="39" fillId="0" borderId="0"/>
    <xf numFmtId="4" fontId="40" fillId="0" borderId="0">
      <alignment horizontal="right"/>
    </xf>
    <xf numFmtId="176" fontId="41" fillId="0" borderId="0">
      <alignment horizontal="left"/>
    </xf>
    <xf numFmtId="176" fontId="42" fillId="0" borderId="13">
      <alignment horizontal="center"/>
    </xf>
    <xf numFmtId="176" fontId="42" fillId="0" borderId="0">
      <alignment horizontal="center" vertical="center"/>
    </xf>
    <xf numFmtId="176" fontId="43" fillId="28" borderId="0" applyNumberFormat="0" applyFill="0">
      <alignment horizontal="left" vertical="center"/>
    </xf>
    <xf numFmtId="176" fontId="44" fillId="0" borderId="0" applyFill="0" applyBorder="0" applyProtection="0">
      <alignment horizontal="left" vertical="top"/>
    </xf>
    <xf numFmtId="176" fontId="45" fillId="0" borderId="0">
      <alignment horizontal="center"/>
    </xf>
    <xf numFmtId="176" fontId="46" fillId="0" borderId="23" applyNumberFormat="0" applyFill="0" applyAlignment="0" applyProtection="0"/>
    <xf numFmtId="176" fontId="47" fillId="0" borderId="0" applyNumberFormat="0" applyFill="0" applyBorder="0" applyAlignment="0" applyProtection="0"/>
    <xf numFmtId="176" fontId="48" fillId="0" borderId="0" applyNumberFormat="0" applyFont="0" applyFill="0" applyBorder="0" applyProtection="0">
      <alignment horizontal="center" vertical="center" wrapText="1"/>
    </xf>
    <xf numFmtId="9" fontId="49" fillId="0" borderId="0" applyFont="0" applyFill="0" applyBorder="0" applyAlignment="0" applyProtection="0"/>
    <xf numFmtId="9" fontId="5" fillId="0" borderId="0" applyFont="0" applyFill="0" applyBorder="0" applyAlignment="0" applyProtection="0"/>
    <xf numFmtId="4" fontId="50" fillId="0" borderId="0">
      <alignment horizontal="right"/>
    </xf>
    <xf numFmtId="0" fontId="1" fillId="0" borderId="0">
      <alignment vertical="center"/>
      <protection locked="0"/>
    </xf>
    <xf numFmtId="0" fontId="5" fillId="0" borderId="0"/>
    <xf numFmtId="0" fontId="5" fillId="0" borderId="0"/>
    <xf numFmtId="0" fontId="1" fillId="0" borderId="0">
      <alignment vertical="center"/>
      <protection locked="0"/>
    </xf>
    <xf numFmtId="0" fontId="51" fillId="0" borderId="0">
      <alignment vertical="center"/>
    </xf>
    <xf numFmtId="176" fontId="52"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14" fillId="0" borderId="0" applyNumberFormat="0" applyFill="0" applyBorder="0" applyAlignment="0" applyProtection="0"/>
    <xf numFmtId="4" fontId="48" fillId="0" borderId="0" applyFont="0" applyFill="0" applyBorder="0" applyAlignment="0" applyProtection="0"/>
    <xf numFmtId="41" fontId="5" fillId="0" borderId="0" applyFont="0" applyFill="0" applyBorder="0" applyAlignment="0" applyProtection="0"/>
    <xf numFmtId="203" fontId="54" fillId="0" borderId="0" applyFont="0" applyFill="0" applyBorder="0" applyAlignment="0" applyProtection="0"/>
    <xf numFmtId="8" fontId="1" fillId="0" borderId="0" applyFont="0" applyFill="0" applyBorder="0" applyAlignment="0" applyProtection="0"/>
    <xf numFmtId="204" fontId="54" fillId="0" borderId="0" applyFont="0" applyFill="0" applyBorder="0" applyAlignment="0" applyProtection="0"/>
    <xf numFmtId="205" fontId="54" fillId="0" borderId="0" applyFont="0" applyFill="0" applyBorder="0" applyAlignment="0" applyProtection="0"/>
    <xf numFmtId="176" fontId="4" fillId="0" borderId="0"/>
    <xf numFmtId="41" fontId="4" fillId="0" borderId="0" applyFont="0" applyFill="0" applyBorder="0" applyAlignment="0" applyProtection="0"/>
    <xf numFmtId="43" fontId="4"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6" fontId="56" fillId="0" borderId="0"/>
    <xf numFmtId="198" fontId="5" fillId="0" borderId="0" applyFont="0" applyFill="0" applyBorder="0" applyAlignment="0" applyProtection="0"/>
    <xf numFmtId="206" fontId="48" fillId="0" borderId="0" applyFont="0" applyFill="0" applyBorder="0" applyAlignment="0" applyProtection="0"/>
    <xf numFmtId="176" fontId="6" fillId="0" borderId="0">
      <alignment vertical="top"/>
    </xf>
    <xf numFmtId="38" fontId="57" fillId="0" borderId="0" applyFont="0" applyFill="0" applyBorder="0" applyAlignment="0" applyProtection="0"/>
    <xf numFmtId="40"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8" fillId="0" borderId="0"/>
    <xf numFmtId="43" fontId="73" fillId="0" borderId="0" applyFont="0" applyFill="0" applyBorder="0" applyAlignment="0" applyProtection="0">
      <alignment vertical="center"/>
    </xf>
    <xf numFmtId="0" fontId="1" fillId="0" borderId="0">
      <protection locked="0"/>
    </xf>
    <xf numFmtId="0" fontId="5" fillId="0" borderId="0"/>
    <xf numFmtId="0" fontId="77" fillId="0" borderId="0" applyNumberFormat="0" applyFill="0" applyBorder="0" applyAlignment="0" applyProtection="0">
      <alignment vertical="top"/>
      <protection locked="0"/>
    </xf>
    <xf numFmtId="0" fontId="5" fillId="0" borderId="0"/>
    <xf numFmtId="0" fontId="4" fillId="0" borderId="0">
      <protection locked="0"/>
    </xf>
    <xf numFmtId="0" fontId="51" fillId="0" borderId="0">
      <alignment vertical="center"/>
    </xf>
    <xf numFmtId="43" fontId="1" fillId="0" borderId="0" applyFont="0" applyFill="0" applyBorder="0" applyAlignment="0" applyProtection="0">
      <alignment vertical="center"/>
    </xf>
    <xf numFmtId="0" fontId="5" fillId="0" borderId="0"/>
  </cellStyleXfs>
  <cellXfs count="179">
    <xf numFmtId="0" fontId="0" fillId="0" borderId="0" xfId="0">
      <alignment vertical="center"/>
    </xf>
    <xf numFmtId="176" fontId="65" fillId="0" borderId="0" xfId="1" applyFont="1">
      <protection locked="0"/>
    </xf>
    <xf numFmtId="0" fontId="68" fillId="0" borderId="0" xfId="1" applyNumberFormat="1" applyFont="1" applyFill="1" applyBorder="1" applyAlignment="1">
      <alignment horizontal="left" vertical="center"/>
      <protection locked="0"/>
    </xf>
    <xf numFmtId="176" fontId="68" fillId="0" borderId="0" xfId="1" applyFont="1" applyFill="1" applyBorder="1" applyAlignment="1">
      <alignment horizontal="left" vertical="center" wrapText="1"/>
      <protection locked="0"/>
    </xf>
    <xf numFmtId="176" fontId="68" fillId="0" borderId="0" xfId="1" applyFont="1" applyFill="1" applyBorder="1" applyAlignment="1">
      <alignment horizontal="left" vertical="center"/>
      <protection locked="0"/>
    </xf>
    <xf numFmtId="0" fontId="69" fillId="0" borderId="24" xfId="0" applyFont="1" applyFill="1" applyBorder="1" applyAlignment="1" applyProtection="1">
      <alignment horizontal="center" vertical="center"/>
    </xf>
    <xf numFmtId="0" fontId="70" fillId="0" borderId="24" xfId="0" applyFont="1" applyBorder="1" applyProtection="1">
      <alignment vertical="center"/>
    </xf>
    <xf numFmtId="0" fontId="71" fillId="0" borderId="24" xfId="0" applyFont="1" applyBorder="1" applyProtection="1">
      <alignment vertical="center"/>
    </xf>
    <xf numFmtId="0" fontId="68" fillId="0" borderId="24" xfId="0" applyFont="1" applyBorder="1" applyProtection="1">
      <alignment vertical="center"/>
      <protection locked="0"/>
    </xf>
    <xf numFmtId="0" fontId="69" fillId="0" borderId="0" xfId="1" applyNumberFormat="1" applyFont="1" applyFill="1" applyBorder="1" applyAlignment="1">
      <alignment horizontal="left" vertical="center"/>
      <protection locked="0"/>
    </xf>
    <xf numFmtId="176" fontId="68" fillId="0" borderId="0" xfId="1" applyFont="1">
      <protection locked="0"/>
    </xf>
    <xf numFmtId="176" fontId="68" fillId="0" borderId="1" xfId="1" applyFont="1" applyFill="1" applyBorder="1" applyAlignment="1">
      <alignment vertical="center"/>
      <protection locked="0"/>
    </xf>
    <xf numFmtId="176" fontId="68" fillId="0" borderId="2" xfId="1" applyFont="1" applyBorder="1" applyAlignment="1">
      <alignment wrapText="1"/>
      <protection locked="0"/>
    </xf>
    <xf numFmtId="176" fontId="68" fillId="0" borderId="0" xfId="1" applyFont="1" applyBorder="1" applyAlignment="1">
      <alignment wrapText="1"/>
      <protection locked="0"/>
    </xf>
    <xf numFmtId="0" fontId="68" fillId="0" borderId="0" xfId="1" applyNumberFormat="1" applyFont="1">
      <protection locked="0"/>
    </xf>
    <xf numFmtId="0" fontId="65" fillId="0" borderId="0" xfId="1" applyNumberFormat="1" applyFont="1">
      <protection locked="0"/>
    </xf>
    <xf numFmtId="176" fontId="68" fillId="0" borderId="4" xfId="1" applyFont="1" applyFill="1" applyBorder="1" applyAlignment="1">
      <alignment vertical="center"/>
      <protection locked="0"/>
    </xf>
    <xf numFmtId="0" fontId="55" fillId="0" borderId="0" xfId="154" applyFont="1">
      <alignment vertical="center"/>
      <protection locked="0"/>
    </xf>
    <xf numFmtId="0" fontId="1" fillId="0" borderId="0" xfId="154" applyFont="1">
      <alignment vertical="center"/>
      <protection locked="0"/>
    </xf>
    <xf numFmtId="176" fontId="65" fillId="0" borderId="0" xfId="1" applyFont="1" applyAlignment="1">
      <alignment wrapText="1"/>
      <protection locked="0"/>
    </xf>
    <xf numFmtId="0" fontId="69" fillId="0" borderId="0" xfId="187" applyFont="1" applyBorder="1" applyAlignment="1">
      <alignment vertical="center"/>
    </xf>
    <xf numFmtId="0" fontId="68" fillId="0" borderId="0" xfId="154" applyFont="1">
      <alignment vertical="center"/>
      <protection locked="0"/>
    </xf>
    <xf numFmtId="0" fontId="81" fillId="0" borderId="24" xfId="154" applyFont="1" applyBorder="1">
      <alignment vertical="center"/>
      <protection locked="0"/>
    </xf>
    <xf numFmtId="0" fontId="81" fillId="0" borderId="24" xfId="154" applyFont="1" applyBorder="1" applyAlignment="1">
      <alignment horizontal="center" vertical="center" wrapText="1"/>
      <protection locked="0"/>
    </xf>
    <xf numFmtId="0" fontId="68" fillId="0" borderId="24" xfId="154" applyFont="1" applyBorder="1" applyAlignment="1">
      <alignment vertical="center" wrapText="1"/>
      <protection locked="0"/>
    </xf>
    <xf numFmtId="0" fontId="72" fillId="0" borderId="24" xfId="154" applyFont="1" applyBorder="1" applyAlignment="1">
      <alignment horizontal="center" vertical="center" wrapText="1"/>
      <protection locked="0"/>
    </xf>
    <xf numFmtId="0" fontId="82" fillId="0" borderId="0" xfId="0" applyFont="1">
      <alignment vertical="center"/>
    </xf>
    <xf numFmtId="0" fontId="70" fillId="0" borderId="24" xfId="0" applyFont="1" applyBorder="1" applyAlignment="1">
      <alignment horizontal="center" vertical="center"/>
    </xf>
    <xf numFmtId="0" fontId="71" fillId="0" borderId="0" xfId="0" applyFont="1" applyAlignment="1">
      <alignment horizontal="center" vertical="center"/>
    </xf>
    <xf numFmtId="0" fontId="71" fillId="0" borderId="0" xfId="0" applyFont="1">
      <alignment vertical="center"/>
    </xf>
    <xf numFmtId="0" fontId="65" fillId="0" borderId="0" xfId="154" applyFont="1">
      <alignment vertical="center"/>
      <protection locked="0"/>
    </xf>
    <xf numFmtId="0" fontId="68" fillId="0" borderId="0" xfId="154" applyFont="1" applyFill="1">
      <alignment vertical="center"/>
      <protection locked="0"/>
    </xf>
    <xf numFmtId="0" fontId="68" fillId="0" borderId="24" xfId="154" applyFont="1" applyFill="1" applyBorder="1">
      <alignment vertical="center"/>
      <protection locked="0"/>
    </xf>
    <xf numFmtId="0" fontId="68" fillId="0" borderId="24" xfId="154" applyFont="1" applyBorder="1">
      <alignment vertical="center"/>
      <protection locked="0"/>
    </xf>
    <xf numFmtId="0" fontId="71" fillId="0" borderId="24" xfId="0" applyFont="1" applyBorder="1">
      <alignment vertical="center"/>
    </xf>
    <xf numFmtId="0" fontId="71" fillId="0" borderId="24" xfId="0" applyFont="1" applyBorder="1" applyAlignment="1">
      <alignment vertical="center"/>
    </xf>
    <xf numFmtId="0" fontId="69" fillId="0" borderId="0" xfId="154" applyFont="1">
      <alignment vertical="center"/>
      <protection locked="0"/>
    </xf>
    <xf numFmtId="43" fontId="68" fillId="0" borderId="0" xfId="185" applyFont="1" applyProtection="1">
      <alignment vertical="center"/>
      <protection locked="0"/>
    </xf>
    <xf numFmtId="0" fontId="68" fillId="30" borderId="24" xfId="189" applyFont="1" applyFill="1" applyBorder="1" applyAlignment="1">
      <alignment vertical="center"/>
    </xf>
    <xf numFmtId="0" fontId="84" fillId="0" borderId="0" xfId="0" applyFont="1">
      <alignment vertical="center"/>
    </xf>
    <xf numFmtId="0" fontId="63" fillId="0" borderId="0" xfId="186" applyFont="1" applyAlignment="1">
      <alignment vertical="center"/>
      <protection locked="0"/>
    </xf>
    <xf numFmtId="0" fontId="69" fillId="0" borderId="13" xfId="186" applyFont="1" applyBorder="1" applyAlignment="1">
      <alignment horizontal="center" vertical="center"/>
      <protection locked="0"/>
    </xf>
    <xf numFmtId="0" fontId="65" fillId="0" borderId="0" xfId="186" applyFont="1" applyAlignment="1">
      <alignment vertical="center"/>
      <protection locked="0"/>
    </xf>
    <xf numFmtId="0" fontId="68" fillId="29" borderId="0" xfId="186" applyFont="1" applyFill="1" applyBorder="1" applyAlignment="1">
      <alignment horizontal="justify" vertical="center" wrapText="1"/>
      <protection locked="0"/>
    </xf>
    <xf numFmtId="0" fontId="85" fillId="0" borderId="29" xfId="186" applyFont="1" applyBorder="1" applyAlignment="1">
      <alignment horizontal="center" wrapText="1"/>
      <protection locked="0"/>
    </xf>
    <xf numFmtId="0" fontId="85" fillId="0" borderId="0" xfId="186" applyFont="1" applyBorder="1" applyAlignment="1">
      <alignment horizontal="justify" wrapText="1"/>
      <protection locked="0"/>
    </xf>
    <xf numFmtId="0" fontId="65" fillId="0" borderId="0" xfId="186" applyFont="1">
      <protection locked="0"/>
    </xf>
    <xf numFmtId="0" fontId="85" fillId="0" borderId="0" xfId="186" applyFont="1" applyBorder="1" applyAlignment="1">
      <alignment horizontal="justify" vertical="top" wrapText="1"/>
      <protection locked="0"/>
    </xf>
    <xf numFmtId="0" fontId="65" fillId="0" borderId="0" xfId="186" applyFont="1" applyBorder="1">
      <protection locked="0"/>
    </xf>
    <xf numFmtId="0" fontId="66" fillId="0" borderId="0" xfId="186" applyFont="1" applyAlignment="1">
      <alignment horizontal="center"/>
      <protection locked="0"/>
    </xf>
    <xf numFmtId="0" fontId="63" fillId="0" borderId="0" xfId="186" applyFont="1" applyAlignment="1">
      <alignment horizontal="justify"/>
      <protection locked="0"/>
    </xf>
    <xf numFmtId="0" fontId="65" fillId="0" borderId="0" xfId="186" applyFont="1" applyAlignment="1">
      <alignment horizontal="justify"/>
      <protection locked="0"/>
    </xf>
    <xf numFmtId="0" fontId="85" fillId="0" borderId="30" xfId="186" applyFont="1" applyBorder="1" applyAlignment="1">
      <alignment horizontal="center" wrapText="1"/>
      <protection locked="0"/>
    </xf>
    <xf numFmtId="0" fontId="61" fillId="0" borderId="24" xfId="0" applyFont="1" applyBorder="1" applyAlignment="1">
      <alignment horizontal="center" vertical="center"/>
    </xf>
    <xf numFmtId="176" fontId="68" fillId="0" borderId="0" xfId="1" applyFont="1" applyFill="1" applyBorder="1" applyAlignment="1">
      <alignment horizontal="right" vertical="center"/>
      <protection locked="0"/>
    </xf>
    <xf numFmtId="43" fontId="68" fillId="0" borderId="0" xfId="185" applyFont="1" applyBorder="1" applyProtection="1">
      <alignment vertical="center"/>
      <protection locked="0"/>
    </xf>
    <xf numFmtId="0" fontId="61" fillId="0" borderId="25" xfId="0" applyFont="1" applyBorder="1" applyAlignment="1">
      <alignment horizontal="center" vertical="center"/>
    </xf>
    <xf numFmtId="176" fontId="55" fillId="0" borderId="0" xfId="1" applyFont="1" applyFill="1" applyBorder="1" applyAlignment="1">
      <alignment horizontal="left" vertical="center"/>
      <protection locked="0"/>
    </xf>
    <xf numFmtId="0" fontId="59" fillId="0" borderId="7" xfId="154" applyFont="1" applyFill="1" applyBorder="1" applyAlignment="1" applyProtection="1">
      <alignment horizontal="center" vertical="center" wrapText="1"/>
      <protection locked="0"/>
    </xf>
    <xf numFmtId="0" fontId="71" fillId="0" borderId="0" xfId="0" applyFont="1" applyBorder="1">
      <alignment vertical="center"/>
    </xf>
    <xf numFmtId="0" fontId="71" fillId="0" borderId="0" xfId="0" applyFont="1" applyBorder="1" applyAlignment="1">
      <alignment vertical="center"/>
    </xf>
    <xf numFmtId="0" fontId="59" fillId="0" borderId="0" xfId="1" applyNumberFormat="1" applyFont="1" applyFill="1" applyBorder="1" applyAlignment="1">
      <alignment horizontal="left" vertical="center"/>
      <protection locked="0"/>
    </xf>
    <xf numFmtId="176" fontId="72" fillId="0" borderId="0" xfId="1" applyFont="1" applyBorder="1" applyAlignment="1">
      <alignment horizontal="left" vertical="center" wrapText="1"/>
      <protection locked="0"/>
    </xf>
    <xf numFmtId="0" fontId="71" fillId="0" borderId="24" xfId="0" applyFont="1" applyBorder="1" applyAlignment="1">
      <alignment horizontal="left" vertical="center" wrapText="1"/>
    </xf>
    <xf numFmtId="0" fontId="69" fillId="0" borderId="28" xfId="154" applyFont="1" applyFill="1" applyBorder="1" applyAlignment="1" applyProtection="1">
      <alignment horizontal="center" vertical="center" wrapText="1"/>
      <protection locked="0"/>
    </xf>
    <xf numFmtId="0" fontId="69" fillId="0" borderId="24" xfId="154" applyFont="1" applyFill="1" applyBorder="1" applyAlignment="1" applyProtection="1">
      <alignment horizontal="center" vertical="center" wrapText="1"/>
      <protection locked="0"/>
    </xf>
    <xf numFmtId="0" fontId="69" fillId="0" borderId="27" xfId="154" applyFont="1" applyFill="1" applyBorder="1" applyAlignment="1" applyProtection="1">
      <alignment horizontal="center" vertical="center" wrapText="1"/>
      <protection locked="0"/>
    </xf>
    <xf numFmtId="0" fontId="59" fillId="0" borderId="1" xfId="154" applyFont="1" applyFill="1" applyBorder="1" applyAlignment="1" applyProtection="1">
      <alignment horizontal="center" vertical="center" wrapText="1"/>
      <protection locked="0"/>
    </xf>
    <xf numFmtId="0" fontId="59" fillId="0" borderId="27" xfId="154" applyFont="1" applyFill="1" applyBorder="1" applyAlignment="1" applyProtection="1">
      <alignment horizontal="center" vertical="center" wrapText="1"/>
      <protection locked="0"/>
    </xf>
    <xf numFmtId="207" fontId="69" fillId="0" borderId="28" xfId="185" applyNumberFormat="1" applyFont="1" applyFill="1" applyBorder="1" applyAlignment="1" applyProtection="1">
      <alignment horizontal="center" vertical="center" wrapText="1"/>
      <protection locked="0"/>
    </xf>
    <xf numFmtId="207" fontId="68" fillId="0" borderId="24" xfId="185" applyNumberFormat="1" applyFont="1" applyFill="1" applyBorder="1" applyAlignment="1" applyProtection="1">
      <alignment horizontal="center" vertical="center"/>
      <protection locked="0"/>
    </xf>
    <xf numFmtId="207" fontId="68" fillId="0" borderId="24" xfId="185" applyNumberFormat="1" applyFont="1" applyFill="1" applyBorder="1" applyAlignment="1" applyProtection="1">
      <alignment horizontal="center" vertical="center" shrinkToFit="1"/>
      <protection locked="0"/>
    </xf>
    <xf numFmtId="0" fontId="65" fillId="0" borderId="0" xfId="154" applyFont="1" applyAlignment="1">
      <alignment horizontal="center" vertical="center"/>
      <protection locked="0"/>
    </xf>
    <xf numFmtId="0" fontId="68" fillId="0" borderId="0" xfId="0" applyFont="1" applyAlignment="1" applyProtection="1">
      <alignment horizontal="center" vertical="center"/>
      <protection locked="0"/>
    </xf>
    <xf numFmtId="0" fontId="4" fillId="0" borderId="0" xfId="0" applyFont="1" applyAlignment="1" applyProtection="1">
      <alignment horizontal="center" vertical="center"/>
      <protection locked="0"/>
    </xf>
    <xf numFmtId="0" fontId="68" fillId="0" borderId="0" xfId="154" applyFont="1" applyAlignment="1">
      <alignment horizontal="center" vertical="center"/>
      <protection locked="0"/>
    </xf>
    <xf numFmtId="0" fontId="59" fillId="0" borderId="24" xfId="154" applyFont="1" applyFill="1" applyBorder="1" applyAlignment="1" applyProtection="1">
      <alignment horizontal="center" vertical="center" wrapText="1"/>
      <protection locked="0"/>
    </xf>
    <xf numFmtId="0" fontId="68" fillId="0" borderId="24" xfId="154" applyFont="1" applyBorder="1" applyAlignment="1">
      <alignment horizontal="center" vertical="center" wrapText="1"/>
      <protection locked="0"/>
    </xf>
    <xf numFmtId="0" fontId="81" fillId="0" borderId="24" xfId="154" applyFont="1" applyBorder="1" applyAlignment="1">
      <alignment horizontal="center" vertical="center"/>
      <protection locked="0"/>
    </xf>
    <xf numFmtId="0" fontId="59" fillId="0" borderId="0" xfId="1" applyNumberFormat="1" applyFont="1">
      <protection locked="0"/>
    </xf>
    <xf numFmtId="0" fontId="89" fillId="0" borderId="0" xfId="154" applyFont="1">
      <alignment vertical="center"/>
      <protection locked="0"/>
    </xf>
    <xf numFmtId="0" fontId="91" fillId="0" borderId="0" xfId="154" applyFont="1">
      <alignment vertical="center"/>
      <protection locked="0"/>
    </xf>
    <xf numFmtId="0" fontId="89" fillId="0" borderId="0" xfId="154" applyFont="1" applyBorder="1">
      <alignment vertical="center"/>
      <protection locked="0"/>
    </xf>
    <xf numFmtId="43" fontId="91" fillId="0" borderId="0" xfId="185" applyFont="1" applyBorder="1" applyProtection="1">
      <alignment vertical="center"/>
      <protection locked="0"/>
    </xf>
    <xf numFmtId="0" fontId="65" fillId="0" borderId="0" xfId="154" applyFont="1" applyAlignment="1">
      <alignment vertical="center"/>
      <protection locked="0"/>
    </xf>
    <xf numFmtId="0" fontId="68" fillId="0" borderId="0" xfId="154" applyFont="1" applyAlignment="1">
      <alignment vertical="center"/>
      <protection locked="0"/>
    </xf>
    <xf numFmtId="0" fontId="65" fillId="0" borderId="0" xfId="154" applyFont="1" applyFill="1" applyAlignment="1">
      <alignment vertical="center"/>
      <protection locked="0"/>
    </xf>
    <xf numFmtId="0" fontId="87" fillId="30" borderId="28" xfId="189" applyFont="1" applyFill="1" applyBorder="1" applyAlignment="1">
      <alignment vertical="center"/>
    </xf>
    <xf numFmtId="0" fontId="68" fillId="0" borderId="28" xfId="154" applyFont="1" applyFill="1" applyBorder="1" applyAlignment="1">
      <alignment vertical="center"/>
      <protection locked="0"/>
    </xf>
    <xf numFmtId="0" fontId="69" fillId="30" borderId="24" xfId="189" applyFont="1" applyFill="1" applyBorder="1" applyAlignment="1">
      <alignment vertical="center"/>
    </xf>
    <xf numFmtId="0" fontId="68" fillId="0" borderId="24" xfId="154" applyFont="1" applyFill="1" applyBorder="1" applyAlignment="1">
      <alignment vertical="center"/>
      <protection locked="0"/>
    </xf>
    <xf numFmtId="0" fontId="68" fillId="0" borderId="24" xfId="154" applyFont="1" applyBorder="1" applyAlignment="1">
      <alignment vertical="center"/>
      <protection locked="0"/>
    </xf>
    <xf numFmtId="207" fontId="68" fillId="31" borderId="24" xfId="185" applyNumberFormat="1" applyFont="1" applyFill="1" applyBorder="1" applyAlignment="1">
      <alignment horizontal="center" vertical="center" shrinkToFit="1"/>
    </xf>
    <xf numFmtId="9" fontId="68" fillId="31" borderId="24" xfId="152" applyFont="1" applyFill="1" applyBorder="1" applyAlignment="1">
      <alignment horizontal="center" vertical="center"/>
    </xf>
    <xf numFmtId="0" fontId="69" fillId="32" borderId="24" xfId="155" applyFont="1" applyFill="1" applyBorder="1" applyAlignment="1" applyProtection="1">
      <alignment horizontal="center" vertical="center"/>
    </xf>
    <xf numFmtId="0" fontId="87" fillId="30" borderId="24" xfId="189" applyFont="1" applyFill="1" applyBorder="1" applyAlignment="1">
      <alignment vertical="center"/>
    </xf>
    <xf numFmtId="0" fontId="65" fillId="0" borderId="24" xfId="154" applyFont="1" applyBorder="1" applyAlignment="1">
      <alignment vertical="center"/>
      <protection locked="0"/>
    </xf>
    <xf numFmtId="0" fontId="69" fillId="0" borderId="0" xfId="154" applyFont="1" applyAlignment="1">
      <alignment vertical="center"/>
      <protection locked="0"/>
    </xf>
    <xf numFmtId="0" fontId="68" fillId="0" borderId="0" xfId="0" applyFont="1" applyFill="1" applyAlignment="1" applyProtection="1">
      <alignment vertical="center"/>
      <protection locked="0"/>
    </xf>
    <xf numFmtId="0" fontId="68" fillId="0" borderId="0" xfId="0" applyFont="1" applyAlignment="1" applyProtection="1">
      <alignment vertical="center"/>
      <protection locked="0"/>
    </xf>
    <xf numFmtId="0" fontId="68" fillId="0" borderId="0" xfId="190" applyFont="1" applyAlignment="1">
      <alignment vertical="center"/>
      <protection locked="0"/>
    </xf>
    <xf numFmtId="0" fontId="69" fillId="0" borderId="24" xfId="190" applyFont="1" applyBorder="1" applyAlignment="1">
      <alignment horizontal="center" vertical="center"/>
      <protection locked="0"/>
    </xf>
    <xf numFmtId="0" fontId="68" fillId="0" borderId="24" xfId="190" applyFont="1" applyBorder="1" applyAlignment="1">
      <alignment vertical="center"/>
      <protection locked="0"/>
    </xf>
    <xf numFmtId="0" fontId="4" fillId="0" borderId="0" xfId="0" applyFont="1" applyAlignment="1" applyProtection="1">
      <alignment vertical="center"/>
      <protection locked="0"/>
    </xf>
    <xf numFmtId="0" fontId="55" fillId="0" borderId="0" xfId="154" applyFont="1" applyAlignment="1">
      <alignment vertical="center"/>
      <protection locked="0"/>
    </xf>
    <xf numFmtId="0" fontId="90" fillId="0" borderId="0" xfId="189" applyFont="1" applyAlignment="1" applyProtection="1">
      <alignment vertical="center"/>
      <protection locked="0"/>
    </xf>
    <xf numFmtId="43" fontId="69" fillId="33" borderId="24" xfId="192" applyFont="1" applyFill="1" applyBorder="1" applyAlignment="1" applyProtection="1">
      <alignment horizontal="center" vertical="center"/>
    </xf>
    <xf numFmtId="0" fontId="68" fillId="33" borderId="24" xfId="193" applyFont="1" applyFill="1" applyBorder="1" applyAlignment="1">
      <alignment vertical="center"/>
    </xf>
    <xf numFmtId="0" fontId="69" fillId="33" borderId="24" xfId="189" applyFont="1" applyFill="1" applyBorder="1" applyAlignment="1">
      <alignment vertical="center"/>
    </xf>
    <xf numFmtId="0" fontId="68" fillId="33" borderId="24" xfId="154" applyFont="1" applyFill="1" applyBorder="1" applyAlignment="1">
      <alignment vertical="center"/>
      <protection locked="0"/>
    </xf>
    <xf numFmtId="207" fontId="69" fillId="33" borderId="24" xfId="185" applyNumberFormat="1" applyFont="1" applyFill="1" applyBorder="1" applyAlignment="1" applyProtection="1">
      <alignment horizontal="center" vertical="center" shrinkToFit="1"/>
      <protection locked="0"/>
    </xf>
    <xf numFmtId="207" fontId="69" fillId="33" borderId="24" xfId="185" applyNumberFormat="1" applyFont="1" applyFill="1" applyBorder="1" applyAlignment="1" applyProtection="1">
      <alignment vertical="center" shrinkToFit="1"/>
      <protection locked="0"/>
    </xf>
    <xf numFmtId="0" fontId="68" fillId="33" borderId="24" xfId="189" applyFont="1" applyFill="1" applyBorder="1" applyAlignment="1">
      <alignment vertical="center"/>
    </xf>
    <xf numFmtId="43" fontId="55" fillId="32" borderId="24" xfId="192" applyFont="1" applyFill="1" applyBorder="1" applyAlignment="1">
      <alignment horizontal="center" vertical="center" shrinkToFit="1"/>
    </xf>
    <xf numFmtId="0" fontId="95" fillId="0" borderId="24" xfId="154" applyFont="1" applyBorder="1" applyAlignment="1">
      <alignment horizontal="center" vertical="center" wrapText="1"/>
      <protection locked="0"/>
    </xf>
    <xf numFmtId="0" fontId="59" fillId="0" borderId="24" xfId="0" applyFont="1" applyFill="1" applyBorder="1" applyAlignment="1" applyProtection="1">
      <alignment horizontal="center" vertical="center"/>
    </xf>
    <xf numFmtId="0" fontId="4" fillId="0" borderId="0" xfId="0" applyFont="1" applyAlignment="1" applyProtection="1">
      <alignment vertical="center" wrapText="1"/>
      <protection locked="0"/>
    </xf>
    <xf numFmtId="0" fontId="77" fillId="0" borderId="29" xfId="188" applyBorder="1" applyAlignment="1">
      <protection locked="0"/>
    </xf>
    <xf numFmtId="0" fontId="98" fillId="35" borderId="32" xfId="154" applyFont="1" applyFill="1" applyBorder="1" applyAlignment="1">
      <alignment vertical="center" wrapText="1"/>
      <protection locked="0"/>
    </xf>
    <xf numFmtId="0" fontId="69" fillId="0" borderId="0" xfId="0" applyFont="1" applyAlignment="1" applyProtection="1">
      <alignment vertical="center"/>
      <protection locked="0"/>
    </xf>
    <xf numFmtId="0" fontId="93" fillId="0" borderId="24" xfId="0" applyFont="1" applyBorder="1">
      <alignment vertical="center"/>
    </xf>
    <xf numFmtId="0" fontId="93" fillId="0" borderId="24" xfId="0" applyFont="1" applyBorder="1" applyAlignment="1">
      <alignment vertical="center"/>
    </xf>
    <xf numFmtId="0" fontId="55" fillId="0" borderId="0" xfId="187" applyFont="1" applyBorder="1" applyAlignment="1">
      <alignment horizontal="left" vertical="center"/>
    </xf>
    <xf numFmtId="0" fontId="55" fillId="0" borderId="24" xfId="154" applyFont="1" applyBorder="1" applyAlignment="1">
      <alignment vertical="center" wrapText="1"/>
      <protection locked="0"/>
    </xf>
    <xf numFmtId="0" fontId="94" fillId="0" borderId="24" xfId="0" applyFont="1" applyBorder="1">
      <alignment vertical="center"/>
    </xf>
    <xf numFmtId="0" fontId="94" fillId="0" borderId="24" xfId="0" applyFont="1" applyBorder="1" applyAlignment="1">
      <alignment vertical="center"/>
    </xf>
    <xf numFmtId="0" fontId="94" fillId="0" borderId="24" xfId="154" applyFont="1" applyBorder="1">
      <alignment vertical="center"/>
      <protection locked="0"/>
    </xf>
    <xf numFmtId="0" fontId="94" fillId="0" borderId="24" xfId="154" applyFont="1" applyFill="1" applyBorder="1">
      <alignment vertical="center"/>
      <protection locked="0"/>
    </xf>
    <xf numFmtId="0" fontId="55" fillId="0" borderId="24" xfId="154" applyFont="1" applyBorder="1">
      <alignment vertical="center"/>
      <protection locked="0"/>
    </xf>
    <xf numFmtId="0" fontId="59" fillId="30" borderId="24" xfId="189" applyFont="1" applyFill="1" applyBorder="1" applyAlignment="1">
      <alignment vertical="center"/>
    </xf>
    <xf numFmtId="0" fontId="94" fillId="30" borderId="24" xfId="189" applyFont="1" applyFill="1" applyBorder="1" applyAlignment="1">
      <alignment vertical="center"/>
    </xf>
    <xf numFmtId="0" fontId="59" fillId="0" borderId="24" xfId="154" applyFont="1" applyFill="1" applyBorder="1" applyAlignment="1" applyProtection="1">
      <alignment horizontal="center" vertical="center" wrapText="1"/>
      <protection locked="0"/>
    </xf>
    <xf numFmtId="0" fontId="4" fillId="0" borderId="0" xfId="0" applyFont="1" applyAlignment="1" applyProtection="1">
      <alignment vertical="center" wrapText="1"/>
      <protection locked="0"/>
    </xf>
    <xf numFmtId="0" fontId="98" fillId="35" borderId="32" xfId="154" applyFont="1" applyFill="1" applyBorder="1" applyAlignment="1">
      <alignment horizontal="center" vertical="center" wrapText="1"/>
      <protection locked="0"/>
    </xf>
    <xf numFmtId="0" fontId="104" fillId="34" borderId="32" xfId="154" applyFont="1" applyFill="1" applyBorder="1" applyAlignment="1">
      <alignment horizontal="center" vertical="center" wrapText="1"/>
      <protection locked="0"/>
    </xf>
    <xf numFmtId="0" fontId="4" fillId="0" borderId="0" xfId="154" applyFont="1" applyAlignment="1">
      <alignment vertical="center"/>
      <protection locked="0"/>
    </xf>
    <xf numFmtId="0" fontId="45" fillId="34" borderId="33" xfId="154" applyFont="1" applyFill="1" applyBorder="1" applyAlignment="1">
      <alignment vertical="center" wrapText="1"/>
      <protection locked="0"/>
    </xf>
    <xf numFmtId="0" fontId="4" fillId="0" borderId="0" xfId="154" applyFont="1" applyAlignment="1">
      <alignment horizontal="center" vertical="center"/>
      <protection locked="0"/>
    </xf>
    <xf numFmtId="0" fontId="107" fillId="35" borderId="32" xfId="154" applyFont="1" applyFill="1" applyBorder="1" applyAlignment="1">
      <alignment vertical="center" wrapText="1"/>
      <protection locked="0"/>
    </xf>
    <xf numFmtId="0" fontId="77" fillId="0" borderId="30" xfId="188" applyBorder="1" applyAlignment="1">
      <protection locked="0"/>
    </xf>
    <xf numFmtId="176" fontId="72" fillId="0" borderId="1" xfId="1" applyFont="1" applyBorder="1" applyAlignment="1">
      <alignment horizontal="left" vertical="center" wrapText="1"/>
      <protection locked="0"/>
    </xf>
    <xf numFmtId="176" fontId="72" fillId="0" borderId="2" xfId="1" applyFont="1" applyBorder="1" applyAlignment="1">
      <alignment horizontal="left" vertical="center" wrapText="1"/>
      <protection locked="0"/>
    </xf>
    <xf numFmtId="176" fontId="72" fillId="0" borderId="3" xfId="1" applyFont="1" applyBorder="1" applyAlignment="1">
      <alignment horizontal="left" vertical="center" wrapText="1"/>
      <protection locked="0"/>
    </xf>
    <xf numFmtId="176" fontId="72" fillId="0" borderId="5" xfId="1" applyFont="1" applyBorder="1" applyAlignment="1">
      <alignment horizontal="left" vertical="center" wrapText="1"/>
      <protection locked="0"/>
    </xf>
    <xf numFmtId="176" fontId="72" fillId="0" borderId="6" xfId="1" applyFont="1" applyBorder="1" applyAlignment="1">
      <alignment horizontal="left" vertical="center" wrapText="1"/>
      <protection locked="0"/>
    </xf>
    <xf numFmtId="176" fontId="72" fillId="0" borderId="7" xfId="1" applyFont="1" applyBorder="1" applyAlignment="1">
      <alignment horizontal="left" vertical="center" wrapText="1"/>
      <protection locked="0"/>
    </xf>
    <xf numFmtId="176" fontId="72" fillId="0" borderId="4" xfId="1" applyFont="1" applyBorder="1" applyAlignment="1">
      <alignment horizontal="left" vertical="center" wrapText="1"/>
      <protection locked="0"/>
    </xf>
    <xf numFmtId="176" fontId="72" fillId="0" borderId="0" xfId="1" applyFont="1" applyBorder="1" applyAlignment="1">
      <alignment horizontal="left" vertical="center" wrapText="1"/>
      <protection locked="0"/>
    </xf>
    <xf numFmtId="176" fontId="72" fillId="0" borderId="31" xfId="1" applyFont="1" applyBorder="1" applyAlignment="1">
      <alignment horizontal="left" vertical="center" wrapText="1"/>
      <protection locked="0"/>
    </xf>
    <xf numFmtId="176" fontId="72" fillId="0" borderId="1" xfId="1" applyFont="1" applyBorder="1" applyAlignment="1">
      <alignment horizontal="left" wrapText="1"/>
      <protection locked="0"/>
    </xf>
    <xf numFmtId="176" fontId="72" fillId="0" borderId="2" xfId="1" applyFont="1" applyBorder="1" applyAlignment="1">
      <alignment horizontal="left" wrapText="1"/>
      <protection locked="0"/>
    </xf>
    <xf numFmtId="176" fontId="72" fillId="0" borderId="3" xfId="1" applyFont="1" applyBorder="1" applyAlignment="1">
      <alignment horizontal="left" wrapText="1"/>
      <protection locked="0"/>
    </xf>
    <xf numFmtId="176" fontId="72" fillId="0" borderId="5" xfId="1" applyFont="1" applyBorder="1" applyAlignment="1">
      <alignment horizontal="left" wrapText="1"/>
      <protection locked="0"/>
    </xf>
    <xf numFmtId="176" fontId="72" fillId="0" borderId="6" xfId="1" applyFont="1" applyBorder="1" applyAlignment="1">
      <alignment horizontal="left" wrapText="1"/>
      <protection locked="0"/>
    </xf>
    <xf numFmtId="176" fontId="72" fillId="0" borderId="7" xfId="1" applyFont="1" applyBorder="1" applyAlignment="1">
      <alignment horizontal="left" wrapText="1"/>
      <protection locked="0"/>
    </xf>
    <xf numFmtId="176" fontId="63" fillId="0" borderId="0" xfId="1" applyFont="1" applyFill="1" applyBorder="1" applyAlignment="1">
      <alignment horizontal="center" vertical="center"/>
      <protection locked="0"/>
    </xf>
    <xf numFmtId="176" fontId="67" fillId="0" borderId="0" xfId="1" applyFont="1" applyFill="1" applyBorder="1" applyAlignment="1">
      <alignment horizontal="center" vertical="center" wrapText="1"/>
      <protection locked="0"/>
    </xf>
    <xf numFmtId="176" fontId="66" fillId="0" borderId="0" xfId="1" applyFont="1" applyFill="1" applyBorder="1" applyAlignment="1">
      <alignment horizontal="center" vertical="center" wrapText="1"/>
      <protection locked="0"/>
    </xf>
    <xf numFmtId="0" fontId="81" fillId="0" borderId="25" xfId="154" applyFont="1" applyBorder="1" applyAlignment="1">
      <alignment horizontal="center" vertical="center" wrapText="1"/>
      <protection locked="0"/>
    </xf>
    <xf numFmtId="0" fontId="81" fillId="0" borderId="26" xfId="154" applyFont="1" applyBorder="1" applyAlignment="1">
      <alignment horizontal="center" vertical="center" wrapText="1"/>
      <protection locked="0"/>
    </xf>
    <xf numFmtId="0" fontId="95" fillId="0" borderId="25" xfId="154" applyFont="1" applyBorder="1" applyAlignment="1">
      <alignment horizontal="center" vertical="center" wrapText="1"/>
      <protection locked="0"/>
    </xf>
    <xf numFmtId="0" fontId="95" fillId="0" borderId="26" xfId="154" applyFont="1" applyBorder="1" applyAlignment="1">
      <alignment horizontal="center" vertical="center" wrapText="1"/>
      <protection locked="0"/>
    </xf>
    <xf numFmtId="0" fontId="72" fillId="0" borderId="25" xfId="154" applyFont="1" applyBorder="1" applyAlignment="1">
      <alignment horizontal="center" vertical="center" wrapText="1"/>
      <protection locked="0"/>
    </xf>
    <xf numFmtId="0" fontId="72" fillId="0" borderId="26" xfId="154" applyFont="1" applyBorder="1" applyAlignment="1">
      <alignment horizontal="center" vertical="center" wrapText="1"/>
      <protection locked="0"/>
    </xf>
    <xf numFmtId="0" fontId="63" fillId="0" borderId="0" xfId="154" applyFont="1" applyAlignment="1">
      <alignment horizontal="center" vertical="center"/>
      <protection locked="0"/>
    </xf>
    <xf numFmtId="0" fontId="76" fillId="0" borderId="0" xfId="154" applyFont="1" applyAlignment="1">
      <alignment horizontal="center" vertical="center"/>
      <protection locked="0"/>
    </xf>
    <xf numFmtId="0" fontId="83" fillId="0" borderId="0" xfId="154" applyFont="1" applyAlignment="1">
      <alignment horizontal="center" vertical="center"/>
      <protection locked="0"/>
    </xf>
    <xf numFmtId="0" fontId="59" fillId="0" borderId="1" xfId="154" applyFont="1" applyFill="1" applyBorder="1" applyAlignment="1" applyProtection="1">
      <alignment horizontal="center" vertical="center" wrapText="1"/>
      <protection locked="0"/>
    </xf>
    <xf numFmtId="0" fontId="59" fillId="0" borderId="3" xfId="154" applyFont="1" applyFill="1" applyBorder="1" applyAlignment="1" applyProtection="1">
      <alignment horizontal="center" vertical="center" wrapText="1"/>
      <protection locked="0"/>
    </xf>
    <xf numFmtId="0" fontId="107" fillId="35" borderId="32" xfId="154" applyFont="1" applyFill="1" applyBorder="1" applyAlignment="1">
      <alignment horizontal="center" vertical="center" wrapText="1"/>
      <protection locked="0"/>
    </xf>
    <xf numFmtId="0" fontId="45" fillId="34" borderId="32" xfId="154" applyFont="1" applyFill="1" applyBorder="1" applyAlignment="1">
      <alignment horizontal="center" vertical="center" wrapText="1"/>
      <protection locked="0"/>
    </xf>
    <xf numFmtId="0" fontId="4" fillId="0" borderId="0" xfId="190" applyFont="1" applyAlignment="1">
      <alignment horizontal="left" vertical="center" wrapText="1"/>
      <protection locked="0"/>
    </xf>
    <xf numFmtId="0" fontId="4" fillId="0" borderId="0" xfId="0" applyFont="1" applyAlignment="1" applyProtection="1">
      <alignment vertical="center" wrapText="1"/>
      <protection locked="0"/>
    </xf>
    <xf numFmtId="0" fontId="59" fillId="0" borderId="24" xfId="154" applyFont="1" applyFill="1" applyBorder="1" applyAlignment="1" applyProtection="1">
      <alignment horizontal="center" vertical="center" wrapText="1"/>
      <protection locked="0"/>
    </xf>
    <xf numFmtId="0" fontId="55" fillId="0" borderId="0" xfId="190" applyFont="1" applyAlignment="1">
      <alignment horizontal="left" vertical="center" wrapText="1"/>
      <protection locked="0"/>
    </xf>
    <xf numFmtId="0" fontId="68" fillId="0" borderId="0" xfId="190" applyFont="1" applyAlignment="1">
      <alignment horizontal="left" vertical="center" wrapText="1"/>
      <protection locked="0"/>
    </xf>
    <xf numFmtId="0" fontId="100" fillId="35" borderId="32" xfId="154" applyFont="1" applyFill="1" applyBorder="1" applyAlignment="1">
      <alignment horizontal="left" vertical="center" wrapText="1"/>
      <protection locked="0"/>
    </xf>
    <xf numFmtId="0" fontId="104" fillId="34" borderId="32" xfId="154" applyFont="1" applyFill="1" applyBorder="1" applyAlignment="1">
      <alignment horizontal="center" vertical="center" wrapText="1"/>
      <protection locked="0"/>
    </xf>
    <xf numFmtId="0" fontId="98" fillId="35" borderId="32" xfId="154" applyFont="1" applyFill="1" applyBorder="1" applyAlignment="1">
      <alignment horizontal="center" vertical="center" wrapText="1"/>
      <protection locked="0"/>
    </xf>
  </cellXfs>
  <cellStyles count="194">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 2 2" xfId="131"/>
    <cellStyle name="Normal_ rislugp" xfId="132"/>
    <cellStyle name="Normalny_Arkusz1" xfId="133"/>
    <cellStyle name="Note" xfId="134"/>
    <cellStyle name="Output" xfId="135"/>
    <cellStyle name="Percent (0)" xfId="136"/>
    <cellStyle name="Percent [2]" xfId="137"/>
    <cellStyle name="Prefilled" xfId="138"/>
    <cellStyle name="price" xfId="139"/>
    <cellStyle name="Red" xfId="140"/>
    <cellStyle name="revised" xfId="141"/>
    <cellStyle name="section" xfId="142"/>
    <cellStyle name="style" xfId="143"/>
    <cellStyle name="style1" xfId="144"/>
    <cellStyle name="style2" xfId="145"/>
    <cellStyle name="Tickmark" xfId="146"/>
    <cellStyle name="title" xfId="147"/>
    <cellStyle name="Total" xfId="148"/>
    <cellStyle name="Warning Text" xfId="149"/>
    <cellStyle name="wrap" xfId="150"/>
    <cellStyle name="パーセント_laroux" xfId="151"/>
    <cellStyle name="百分比 2" xfId="152"/>
    <cellStyle name="標準_１１月価格表" xfId="153"/>
    <cellStyle name="常规" xfId="0" builtinId="0"/>
    <cellStyle name="常规 2" xfId="154"/>
    <cellStyle name="常规 2 2" xfId="155"/>
    <cellStyle name="常规 2 2 2" xfId="189"/>
    <cellStyle name="常规 2 2 2 2" xfId="193"/>
    <cellStyle name="常规 3" xfId="156"/>
    <cellStyle name="常规 4" xfId="157"/>
    <cellStyle name="常规 5" xfId="158"/>
    <cellStyle name="常规 5 2" xfId="191"/>
    <cellStyle name="常规 6" xfId="1"/>
    <cellStyle name="常规_D1货币资金" xfId="186"/>
    <cellStyle name="常规_sheet" xfId="190"/>
    <cellStyle name="常规_Sheet1" xfId="187"/>
    <cellStyle name="超级链接_B4-1审计项目工时预算与控制表(集团)" xfId="159"/>
    <cellStyle name="超链接" xfId="188" builtinId="8"/>
    <cellStyle name="超链接 2" xfId="160"/>
    <cellStyle name="超链接 2 2" xfId="161"/>
    <cellStyle name="分级显示行_1_4附件二凯旋评估表" xfId="162"/>
    <cellStyle name="桁区切り [0.00]_１１月価格表" xfId="163"/>
    <cellStyle name="桁区切り_１１月価格表" xfId="164"/>
    <cellStyle name="霓付 [0]_97MBO" xfId="165"/>
    <cellStyle name="霓付_97MBO" xfId="166"/>
    <cellStyle name="烹拳 [0]_97MBO" xfId="167"/>
    <cellStyle name="烹拳_97MBO" xfId="168"/>
    <cellStyle name="普通_ 白土" xfId="169"/>
    <cellStyle name="千分位[0]_ 白土" xfId="170"/>
    <cellStyle name="千分位_ 白土" xfId="171"/>
    <cellStyle name="千位[0]_97汇总" xfId="172"/>
    <cellStyle name="千位_97汇总" xfId="173"/>
    <cellStyle name="千位分隔" xfId="185" builtinId="3"/>
    <cellStyle name="千位分隔 2" xfId="174"/>
    <cellStyle name="千位分隔 3" xfId="175"/>
    <cellStyle name="千位分隔 4" xfId="192"/>
    <cellStyle name="钎霖_laroux" xfId="176"/>
    <cellStyle name="通貨 [0.00]_１１月価格表" xfId="177"/>
    <cellStyle name="通貨_１１月価格表" xfId="178"/>
    <cellStyle name="样式 1" xfId="179"/>
    <cellStyle name="콤마 [0]_BOILER-CO1" xfId="180"/>
    <cellStyle name="콤마_BOILER-CO1" xfId="181"/>
    <cellStyle name="통화 [0]_BOILER-CO1" xfId="182"/>
    <cellStyle name="통화_BOILER-CO1" xfId="183"/>
    <cellStyle name="표준_0N-HANDLING " xfId="184"/>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4"/>
  <sheetViews>
    <sheetView zoomScale="115" zoomScaleNormal="115" workbookViewId="0">
      <selection activeCell="D11" sqref="D11"/>
    </sheetView>
  </sheetViews>
  <sheetFormatPr defaultRowHeight="15.75"/>
  <cols>
    <col min="1" max="1" width="73.25" style="46" customWidth="1"/>
    <col min="2" max="2" width="5.375" style="46" customWidth="1"/>
    <col min="3" max="3" width="36.75" style="46" customWidth="1"/>
    <col min="4" max="16384" width="9" style="46"/>
  </cols>
  <sheetData>
    <row r="1" spans="1:8" s="42" customFormat="1" ht="20.100000000000001" customHeight="1">
      <c r="A1" s="40" t="s">
        <v>85</v>
      </c>
      <c r="B1" s="41" t="s">
        <v>86</v>
      </c>
      <c r="C1" s="41" t="s">
        <v>87</v>
      </c>
    </row>
    <row r="2" spans="1:8" ht="20.100000000000001" customHeight="1">
      <c r="A2" s="43" t="s">
        <v>88</v>
      </c>
      <c r="B2" s="44">
        <v>1</v>
      </c>
      <c r="C2" s="117" t="s">
        <v>206</v>
      </c>
      <c r="D2" s="45"/>
      <c r="E2" s="45"/>
      <c r="F2" s="45"/>
      <c r="G2" s="45"/>
      <c r="H2" s="45"/>
    </row>
    <row r="3" spans="1:8" ht="20.100000000000001" customHeight="1">
      <c r="A3" s="43" t="s">
        <v>89</v>
      </c>
      <c r="B3" s="44">
        <v>2</v>
      </c>
      <c r="C3" s="117" t="s">
        <v>207</v>
      </c>
      <c r="D3" s="45"/>
      <c r="E3" s="45"/>
      <c r="F3" s="45"/>
      <c r="G3" s="45"/>
      <c r="H3" s="47"/>
    </row>
    <row r="4" spans="1:8" ht="20.100000000000001" customHeight="1">
      <c r="A4" s="43" t="s">
        <v>90</v>
      </c>
      <c r="B4" s="44">
        <v>3</v>
      </c>
      <c r="C4" s="117" t="s">
        <v>208</v>
      </c>
      <c r="E4" s="48"/>
      <c r="F4" s="48"/>
      <c r="G4" s="48"/>
      <c r="H4" s="48"/>
    </row>
    <row r="5" spans="1:8" ht="20.100000000000001" customHeight="1">
      <c r="A5" s="43" t="s">
        <v>91</v>
      </c>
      <c r="B5" s="44">
        <v>4</v>
      </c>
      <c r="C5" s="117" t="s">
        <v>209</v>
      </c>
    </row>
    <row r="6" spans="1:8" ht="20.100000000000001" customHeight="1">
      <c r="B6" s="52">
        <v>5</v>
      </c>
      <c r="C6" s="139" t="s">
        <v>210</v>
      </c>
    </row>
    <row r="7" spans="1:8" ht="20.100000000000001" customHeight="1"/>
    <row r="8" spans="1:8" ht="20.100000000000001" customHeight="1">
      <c r="A8" s="49" t="s">
        <v>92</v>
      </c>
    </row>
    <row r="9" spans="1:8" ht="20.100000000000001" customHeight="1">
      <c r="A9" s="50" t="s">
        <v>93</v>
      </c>
    </row>
    <row r="10" spans="1:8" ht="45.75" customHeight="1">
      <c r="A10" s="51" t="s">
        <v>94</v>
      </c>
    </row>
    <row r="11" spans="1:8" ht="22.5" customHeight="1">
      <c r="A11" s="50" t="s">
        <v>95</v>
      </c>
    </row>
    <row r="12" spans="1:8" ht="36.75" customHeight="1">
      <c r="A12" s="51" t="s">
        <v>96</v>
      </c>
    </row>
    <row r="13" spans="1:8" ht="21.75" customHeight="1">
      <c r="A13" s="51" t="s">
        <v>97</v>
      </c>
    </row>
    <row r="14" spans="1:8">
      <c r="A14" s="51"/>
    </row>
  </sheetData>
  <phoneticPr fontId="2" type="noConversion"/>
  <hyperlinks>
    <hyperlink ref="C2" location="'B23-13了解债务循环流程和内部控制记录表'!A1" display="B23-13了解债务循环流程和内部控制记录表"/>
    <hyperlink ref="C3" location="'B23-13-1链接-企业对财务报表风险的应对'!A1" display="B23-13-1链接-企业对财务报表风险的应对"/>
    <hyperlink ref="C4" location="'B23-13-2穿行测试'!A1" display="B23-13-2穿行测试"/>
    <hyperlink ref="C5" location="'B23-13-3关键控制点选择表（财报审计适用）'!A1" display="B23-13-3关键控制点选择表（财报审计适用）"/>
    <hyperlink ref="C6" location="'B23-13-4关键控制点选择表 (整合审计适用)'!A1" display="B23-13-4关键控制点选择表 (整合审计适用)"/>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67"/>
  <sheetViews>
    <sheetView view="pageBreakPreview" zoomScale="120" zoomScaleNormal="145" zoomScaleSheetLayoutView="120" workbookViewId="0">
      <selection activeCell="D55" sqref="D55"/>
    </sheetView>
  </sheetViews>
  <sheetFormatPr defaultRowHeight="15.75"/>
  <cols>
    <col min="1" max="1" width="11" style="15" customWidth="1"/>
    <col min="2" max="2" width="26.25" style="1" customWidth="1"/>
    <col min="3" max="3" width="15.125" style="1" customWidth="1"/>
    <col min="4" max="4" width="23.375" style="1" customWidth="1"/>
    <col min="5" max="5" width="15.5" style="1" customWidth="1"/>
    <col min="6" max="16384" width="9" style="1"/>
  </cols>
  <sheetData>
    <row r="1" spans="1:5">
      <c r="A1" s="155" t="s">
        <v>4</v>
      </c>
      <c r="B1" s="155"/>
      <c r="C1" s="155"/>
      <c r="D1" s="155"/>
      <c r="E1" s="155"/>
    </row>
    <row r="2" spans="1:5" ht="33" customHeight="1">
      <c r="A2" s="156" t="s">
        <v>180</v>
      </c>
      <c r="B2" s="157"/>
      <c r="C2" s="157"/>
      <c r="D2" s="157"/>
      <c r="E2" s="157"/>
    </row>
    <row r="3" spans="1:5" ht="20.25" customHeight="1">
      <c r="A3" s="2" t="str">
        <f>'表头（请先填写）'!A2</f>
        <v>客户名称：</v>
      </c>
      <c r="C3" s="3" t="str">
        <f>'表头（请先填写）'!A4</f>
        <v>编制人：</v>
      </c>
      <c r="D3" s="4" t="str">
        <f>'表头（请先填写）'!A5</f>
        <v>日 期：</v>
      </c>
      <c r="E3" s="4" t="s">
        <v>165</v>
      </c>
    </row>
    <row r="4" spans="1:5" ht="20.25" customHeight="1">
      <c r="A4" s="2" t="str">
        <f>'表头（请先填写）'!A3</f>
        <v>会计期间：2013年度</v>
      </c>
      <c r="C4" s="3" t="s">
        <v>5</v>
      </c>
      <c r="D4" s="4" t="s">
        <v>0</v>
      </c>
      <c r="E4" s="4" t="s">
        <v>6</v>
      </c>
    </row>
    <row r="5" spans="1:5" ht="4.5" customHeight="1">
      <c r="A5" s="2"/>
      <c r="C5" s="3"/>
      <c r="D5" s="4"/>
      <c r="E5" s="4"/>
    </row>
    <row r="6" spans="1:5" ht="20.25" customHeight="1">
      <c r="A6" s="9" t="s">
        <v>7</v>
      </c>
      <c r="B6" s="3"/>
      <c r="D6" s="4"/>
      <c r="E6" s="4"/>
    </row>
    <row r="7" spans="1:5" ht="20.25" customHeight="1">
      <c r="A7" s="20" t="s">
        <v>8</v>
      </c>
      <c r="B7" s="21"/>
      <c r="D7" s="4"/>
      <c r="E7" s="4"/>
    </row>
    <row r="8" spans="1:5" ht="20.25" customHeight="1">
      <c r="A8" s="122" t="s">
        <v>166</v>
      </c>
      <c r="D8" s="4"/>
      <c r="E8" s="4"/>
    </row>
    <row r="9" spans="1:5" ht="20.25" customHeight="1">
      <c r="A9" s="20" t="s">
        <v>9</v>
      </c>
      <c r="B9" s="21"/>
      <c r="C9" s="21"/>
      <c r="D9" s="21"/>
      <c r="E9" s="4"/>
    </row>
    <row r="10" spans="1:5" ht="27" customHeight="1">
      <c r="A10" s="78" t="s">
        <v>10</v>
      </c>
      <c r="B10" s="22" t="s">
        <v>11</v>
      </c>
      <c r="C10" s="23" t="s">
        <v>12</v>
      </c>
      <c r="D10" s="158" t="s">
        <v>13</v>
      </c>
      <c r="E10" s="159"/>
    </row>
    <row r="11" spans="1:5" s="19" customFormat="1" ht="30" customHeight="1">
      <c r="A11" s="77">
        <v>1</v>
      </c>
      <c r="B11" s="24" t="s">
        <v>172</v>
      </c>
      <c r="C11" s="114" t="s">
        <v>144</v>
      </c>
      <c r="D11" s="160" t="s">
        <v>3</v>
      </c>
      <c r="E11" s="161"/>
    </row>
    <row r="12" spans="1:5" s="19" customFormat="1" ht="27" customHeight="1">
      <c r="A12" s="77">
        <v>2</v>
      </c>
      <c r="B12" s="123" t="s">
        <v>174</v>
      </c>
      <c r="C12" s="114" t="s">
        <v>145</v>
      </c>
      <c r="D12" s="160" t="s">
        <v>3</v>
      </c>
      <c r="E12" s="161"/>
    </row>
    <row r="13" spans="1:5" s="19" customFormat="1" ht="27" customHeight="1">
      <c r="A13" s="77">
        <v>3</v>
      </c>
      <c r="B13" s="123" t="s">
        <v>176</v>
      </c>
      <c r="C13" s="114" t="s">
        <v>145</v>
      </c>
      <c r="D13" s="160" t="s">
        <v>3</v>
      </c>
      <c r="E13" s="161"/>
    </row>
    <row r="14" spans="1:5" s="19" customFormat="1" ht="27" customHeight="1">
      <c r="A14" s="77">
        <v>4</v>
      </c>
      <c r="B14" s="123" t="s">
        <v>178</v>
      </c>
      <c r="C14" s="114" t="s">
        <v>145</v>
      </c>
      <c r="D14" s="160" t="s">
        <v>3</v>
      </c>
      <c r="E14" s="161"/>
    </row>
    <row r="15" spans="1:5" s="19" customFormat="1" ht="27" customHeight="1">
      <c r="A15" s="24"/>
      <c r="B15" s="24" t="s">
        <v>14</v>
      </c>
      <c r="C15" s="25"/>
      <c r="D15" s="162"/>
      <c r="E15" s="163"/>
    </row>
    <row r="16" spans="1:5" ht="20.25" customHeight="1">
      <c r="A16" s="2"/>
      <c r="B16" s="3"/>
      <c r="D16" s="4"/>
      <c r="E16" s="4"/>
    </row>
    <row r="17" spans="1:5">
      <c r="A17" s="79" t="s">
        <v>122</v>
      </c>
    </row>
    <row r="18" spans="1:5">
      <c r="A18" s="115" t="s">
        <v>146</v>
      </c>
      <c r="B18" s="5" t="s">
        <v>15</v>
      </c>
      <c r="C18" s="5" t="s">
        <v>1</v>
      </c>
      <c r="D18" s="5" t="s">
        <v>16</v>
      </c>
      <c r="E18" s="5" t="s">
        <v>17</v>
      </c>
    </row>
    <row r="19" spans="1:5">
      <c r="A19" s="6" t="s">
        <v>18</v>
      </c>
      <c r="B19" s="7"/>
      <c r="C19" s="7"/>
      <c r="D19" s="7"/>
      <c r="E19" s="7"/>
    </row>
    <row r="20" spans="1:5">
      <c r="A20" s="6"/>
      <c r="B20" s="7"/>
      <c r="C20" s="7"/>
      <c r="D20" s="7"/>
      <c r="E20" s="7"/>
    </row>
    <row r="21" spans="1:5">
      <c r="A21" s="6"/>
      <c r="B21" s="7"/>
      <c r="C21" s="7"/>
      <c r="D21" s="7"/>
      <c r="E21" s="7"/>
    </row>
    <row r="22" spans="1:5">
      <c r="A22" s="6"/>
      <c r="B22" s="7"/>
      <c r="C22" s="7"/>
      <c r="D22" s="7"/>
      <c r="E22" s="7"/>
    </row>
    <row r="23" spans="1:5">
      <c r="A23" s="6" t="s">
        <v>2</v>
      </c>
      <c r="B23" s="7"/>
      <c r="C23" s="7"/>
      <c r="D23" s="7"/>
      <c r="E23" s="7"/>
    </row>
    <row r="24" spans="1:5">
      <c r="A24" s="6"/>
      <c r="B24" s="7"/>
      <c r="C24" s="7"/>
      <c r="D24" s="7"/>
      <c r="E24" s="7"/>
    </row>
    <row r="25" spans="1:5">
      <c r="A25" s="6"/>
      <c r="B25" s="7"/>
      <c r="C25" s="7"/>
      <c r="D25" s="7"/>
      <c r="E25" s="7"/>
    </row>
    <row r="26" spans="1:5">
      <c r="A26" s="6"/>
      <c r="B26" s="7"/>
      <c r="C26" s="7"/>
      <c r="D26" s="7"/>
      <c r="E26" s="7"/>
    </row>
    <row r="27" spans="1:5">
      <c r="A27" s="6" t="s">
        <v>19</v>
      </c>
      <c r="B27" s="7"/>
      <c r="C27" s="7"/>
      <c r="D27" s="7"/>
      <c r="E27" s="7"/>
    </row>
    <row r="28" spans="1:5">
      <c r="A28" s="6"/>
      <c r="B28" s="7"/>
      <c r="C28" s="7"/>
      <c r="D28" s="7"/>
      <c r="E28" s="7"/>
    </row>
    <row r="29" spans="1:5">
      <c r="A29" s="6"/>
      <c r="B29" s="7"/>
      <c r="C29" s="7"/>
      <c r="D29" s="7"/>
      <c r="E29" s="7"/>
    </row>
    <row r="30" spans="1:5">
      <c r="A30" s="6"/>
      <c r="B30" s="7"/>
      <c r="C30" s="7"/>
      <c r="D30" s="7"/>
      <c r="E30" s="7"/>
    </row>
    <row r="31" spans="1:5">
      <c r="A31" s="6" t="s">
        <v>20</v>
      </c>
      <c r="B31" s="7"/>
      <c r="C31" s="7"/>
      <c r="D31" s="7"/>
      <c r="E31" s="7"/>
    </row>
    <row r="32" spans="1:5">
      <c r="A32" s="6"/>
      <c r="B32" s="7"/>
      <c r="C32" s="7"/>
      <c r="D32" s="7"/>
      <c r="E32" s="7"/>
    </row>
    <row r="33" spans="1:5">
      <c r="A33" s="8"/>
      <c r="B33" s="8"/>
      <c r="C33" s="8"/>
      <c r="D33" s="8"/>
      <c r="E33" s="8"/>
    </row>
    <row r="34" spans="1:5">
      <c r="A34" s="8"/>
      <c r="B34" s="8"/>
      <c r="C34" s="8"/>
      <c r="D34" s="8"/>
      <c r="E34" s="8"/>
    </row>
    <row r="36" spans="1:5" s="10" customFormat="1" ht="25.5" customHeight="1">
      <c r="A36" s="61" t="s">
        <v>171</v>
      </c>
    </row>
    <row r="37" spans="1:5" s="10" customFormat="1" ht="19.5" customHeight="1">
      <c r="A37" s="11" t="s">
        <v>173</v>
      </c>
      <c r="B37" s="12"/>
      <c r="C37" s="12"/>
      <c r="D37" s="12"/>
      <c r="E37" s="12"/>
    </row>
    <row r="38" spans="1:5" s="10" customFormat="1" ht="25.5" customHeight="1">
      <c r="A38" s="140"/>
      <c r="B38" s="141"/>
      <c r="C38" s="141"/>
      <c r="D38" s="141"/>
      <c r="E38" s="142"/>
    </row>
    <row r="39" spans="1:5" s="10" customFormat="1" ht="25.5" customHeight="1">
      <c r="A39" s="143"/>
      <c r="B39" s="144"/>
      <c r="C39" s="144"/>
      <c r="D39" s="144"/>
      <c r="E39" s="145"/>
    </row>
    <row r="40" spans="1:5" s="10" customFormat="1" ht="19.5" customHeight="1">
      <c r="A40" s="16" t="s">
        <v>175</v>
      </c>
      <c r="B40" s="13"/>
      <c r="C40" s="13"/>
      <c r="D40" s="13"/>
      <c r="E40" s="13"/>
    </row>
    <row r="41" spans="1:5" s="10" customFormat="1" ht="25.5" customHeight="1">
      <c r="A41" s="140"/>
      <c r="B41" s="141"/>
      <c r="C41" s="141"/>
      <c r="D41" s="141"/>
      <c r="E41" s="142"/>
    </row>
    <row r="42" spans="1:5" s="10" customFormat="1" ht="30.75" customHeight="1">
      <c r="A42" s="143"/>
      <c r="B42" s="144"/>
      <c r="C42" s="144"/>
      <c r="D42" s="144"/>
      <c r="E42" s="145"/>
    </row>
    <row r="43" spans="1:5" s="10" customFormat="1" ht="18.75" customHeight="1">
      <c r="A43" s="16" t="s">
        <v>177</v>
      </c>
      <c r="B43" s="13"/>
      <c r="C43" s="13"/>
      <c r="D43" s="13"/>
      <c r="E43" s="13"/>
    </row>
    <row r="44" spans="1:5" s="10" customFormat="1" ht="25.5" customHeight="1">
      <c r="A44" s="140"/>
      <c r="B44" s="141"/>
      <c r="C44" s="141"/>
      <c r="D44" s="141"/>
      <c r="E44" s="142"/>
    </row>
    <row r="45" spans="1:5" s="10" customFormat="1" ht="24.75" customHeight="1">
      <c r="A45" s="146"/>
      <c r="B45" s="147"/>
      <c r="C45" s="147"/>
      <c r="D45" s="147"/>
      <c r="E45" s="148"/>
    </row>
    <row r="46" spans="1:5" s="10" customFormat="1" ht="24.75" customHeight="1">
      <c r="A46" s="143"/>
      <c r="B46" s="144"/>
      <c r="C46" s="144"/>
      <c r="D46" s="144"/>
      <c r="E46" s="145"/>
    </row>
    <row r="47" spans="1:5" s="10" customFormat="1" ht="18.75" customHeight="1">
      <c r="A47" s="16" t="s">
        <v>179</v>
      </c>
      <c r="B47" s="13"/>
      <c r="C47" s="13"/>
      <c r="D47" s="13"/>
      <c r="E47" s="13"/>
    </row>
    <row r="48" spans="1:5" s="10" customFormat="1" ht="34.5" customHeight="1">
      <c r="A48" s="149"/>
      <c r="B48" s="150"/>
      <c r="C48" s="150"/>
      <c r="D48" s="150"/>
      <c r="E48" s="151"/>
    </row>
    <row r="49" spans="1:5" s="10" customFormat="1" ht="34.5" customHeight="1">
      <c r="A49" s="152"/>
      <c r="B49" s="153"/>
      <c r="C49" s="153"/>
      <c r="D49" s="153"/>
      <c r="E49" s="154"/>
    </row>
    <row r="50" spans="1:5" s="10" customFormat="1" ht="3.75" customHeight="1">
      <c r="A50" s="62"/>
      <c r="B50" s="62"/>
      <c r="C50" s="62"/>
      <c r="D50" s="62"/>
      <c r="E50" s="62"/>
    </row>
    <row r="51" spans="1:5" s="10" customFormat="1" ht="12.75">
      <c r="A51" s="14"/>
    </row>
    <row r="52" spans="1:5" s="10" customFormat="1" ht="12.75">
      <c r="A52" s="14"/>
    </row>
    <row r="53" spans="1:5" s="10" customFormat="1" ht="12.75">
      <c r="A53" s="14"/>
    </row>
    <row r="54" spans="1:5" s="10" customFormat="1" ht="12.75">
      <c r="A54" s="14"/>
    </row>
    <row r="55" spans="1:5" s="10" customFormat="1" ht="12.75">
      <c r="A55" s="14"/>
    </row>
    <row r="56" spans="1:5" s="10" customFormat="1" ht="12.75">
      <c r="A56" s="14"/>
    </row>
    <row r="57" spans="1:5" s="10" customFormat="1" ht="12.75">
      <c r="A57" s="14"/>
    </row>
    <row r="58" spans="1:5" s="10" customFormat="1" ht="12.75">
      <c r="A58" s="14"/>
    </row>
    <row r="59" spans="1:5" s="10" customFormat="1" ht="12.75">
      <c r="A59" s="14"/>
    </row>
    <row r="60" spans="1:5" s="10" customFormat="1" ht="12.75">
      <c r="A60" s="14"/>
    </row>
    <row r="61" spans="1:5" s="10" customFormat="1" ht="12.75">
      <c r="A61" s="14"/>
    </row>
    <row r="62" spans="1:5" s="10" customFormat="1" ht="12.75">
      <c r="A62" s="14"/>
    </row>
    <row r="63" spans="1:5" s="10" customFormat="1" ht="12.75">
      <c r="A63" s="14"/>
    </row>
    <row r="64" spans="1:5" s="10" customFormat="1" ht="12.75">
      <c r="A64" s="14"/>
    </row>
    <row r="65" spans="1:1" s="10" customFormat="1" ht="12.75">
      <c r="A65" s="14"/>
    </row>
    <row r="66" spans="1:1" s="10" customFormat="1" ht="12.75">
      <c r="A66" s="14"/>
    </row>
    <row r="67" spans="1:1" s="10" customFormat="1" ht="12.75">
      <c r="A67" s="14"/>
    </row>
  </sheetData>
  <mergeCells count="12">
    <mergeCell ref="A38:E39"/>
    <mergeCell ref="A41:E42"/>
    <mergeCell ref="A44:E46"/>
    <mergeCell ref="A48:E49"/>
    <mergeCell ref="A1:E1"/>
    <mergeCell ref="A2:E2"/>
    <mergeCell ref="D10:E10"/>
    <mergeCell ref="D11:E11"/>
    <mergeCell ref="D12:E12"/>
    <mergeCell ref="D13:E13"/>
    <mergeCell ref="D14:E14"/>
    <mergeCell ref="D15:E15"/>
  </mergeCells>
  <phoneticPr fontId="3" type="noConversion"/>
  <pageMargins left="0.70866141732283472" right="0.51181102362204722" top="0.74803149606299213" bottom="0.55118110236220474" header="0.31496062992125984" footer="0.31496062992125984"/>
  <pageSetup paperSize="9" fitToHeight="5" orientation="portrait"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1"/>
  <sheetViews>
    <sheetView view="pageBreakPreview" zoomScale="115" zoomScaleNormal="130" zoomScaleSheetLayoutView="115" workbookViewId="0">
      <selection activeCell="B5" sqref="B5"/>
    </sheetView>
  </sheetViews>
  <sheetFormatPr defaultRowHeight="16.5"/>
  <cols>
    <col min="1" max="1" width="25.75" style="26" customWidth="1"/>
    <col min="2" max="2" width="53.25" style="26" customWidth="1"/>
    <col min="3" max="3" width="8.375" style="26" customWidth="1"/>
    <col min="4" max="4" width="14.75" style="26" customWidth="1"/>
    <col min="5" max="5" width="35.25" style="26" customWidth="1"/>
    <col min="6" max="16384" width="9" style="26"/>
  </cols>
  <sheetData>
    <row r="1" spans="1:5" ht="18.75" customHeight="1">
      <c r="A1" s="155" t="s">
        <v>4</v>
      </c>
      <c r="B1" s="155"/>
      <c r="C1" s="155"/>
      <c r="D1" s="155"/>
      <c r="E1" s="155"/>
    </row>
    <row r="2" spans="1:5" ht="33" customHeight="1">
      <c r="A2" s="157" t="s">
        <v>22</v>
      </c>
      <c r="B2" s="157"/>
      <c r="C2" s="157"/>
      <c r="D2" s="157"/>
      <c r="E2" s="157"/>
    </row>
    <row r="3" spans="1:5" ht="24.75" customHeight="1">
      <c r="A3" s="2" t="str">
        <f>'表头（请先填写）'!A2</f>
        <v>客户名称：</v>
      </c>
      <c r="B3" s="4" t="str">
        <f>'表头（请先填写）'!A4</f>
        <v>编制人：</v>
      </c>
      <c r="C3" s="4" t="str">
        <f>'表头（请先填写）'!A5</f>
        <v>日 期：</v>
      </c>
      <c r="D3" s="4"/>
      <c r="E3" s="54" t="s">
        <v>181</v>
      </c>
    </row>
    <row r="4" spans="1:5" ht="24.75" customHeight="1">
      <c r="A4" s="2" t="str">
        <f>'表头（请先填写）'!A3</f>
        <v>会计期间：2013年度</v>
      </c>
      <c r="B4" s="4" t="s">
        <v>5</v>
      </c>
      <c r="C4" s="4" t="s">
        <v>0</v>
      </c>
      <c r="D4" s="4"/>
      <c r="E4" s="57" t="s">
        <v>124</v>
      </c>
    </row>
    <row r="5" spans="1:5" s="28" customFormat="1" ht="18" customHeight="1">
      <c r="A5" s="27" t="s">
        <v>123</v>
      </c>
      <c r="B5" s="27" t="s">
        <v>205</v>
      </c>
      <c r="C5" s="53" t="s">
        <v>98</v>
      </c>
      <c r="D5" s="56" t="s">
        <v>113</v>
      </c>
      <c r="E5" s="53" t="s">
        <v>99</v>
      </c>
    </row>
    <row r="6" spans="1:5" s="29" customFormat="1" ht="27.75" customHeight="1">
      <c r="A6" s="124" t="s">
        <v>182</v>
      </c>
      <c r="B6" s="125" t="s">
        <v>183</v>
      </c>
      <c r="C6" s="35"/>
      <c r="D6" s="35" t="s">
        <v>114</v>
      </c>
      <c r="E6" s="63" t="s">
        <v>116</v>
      </c>
    </row>
    <row r="7" spans="1:5" s="29" customFormat="1" ht="18" customHeight="1">
      <c r="A7" s="120"/>
      <c r="B7" s="121"/>
      <c r="C7" s="35"/>
      <c r="D7" s="35" t="s">
        <v>115</v>
      </c>
      <c r="E7" s="63"/>
    </row>
    <row r="8" spans="1:5" s="29" customFormat="1" ht="18" customHeight="1">
      <c r="A8" s="120" t="s">
        <v>164</v>
      </c>
      <c r="B8" s="124" t="s">
        <v>189</v>
      </c>
      <c r="C8" s="35"/>
      <c r="D8" s="35"/>
      <c r="E8" s="34"/>
    </row>
    <row r="9" spans="1:5" s="29" customFormat="1" ht="18" customHeight="1">
      <c r="A9" s="124" t="s">
        <v>184</v>
      </c>
      <c r="B9" s="124" t="s">
        <v>185</v>
      </c>
      <c r="C9" s="35"/>
      <c r="D9" s="35"/>
      <c r="E9" s="34"/>
    </row>
    <row r="10" spans="1:5" s="29" customFormat="1" ht="18" customHeight="1">
      <c r="A10" s="126" t="s">
        <v>186</v>
      </c>
      <c r="B10" s="126" t="s">
        <v>190</v>
      </c>
      <c r="C10" s="35"/>
      <c r="D10" s="35"/>
      <c r="E10" s="34"/>
    </row>
    <row r="11" spans="1:5" s="29" customFormat="1" ht="18" customHeight="1">
      <c r="A11" s="126" t="s">
        <v>187</v>
      </c>
      <c r="B11" s="127" t="s">
        <v>188</v>
      </c>
      <c r="C11" s="35"/>
      <c r="D11" s="35"/>
      <c r="E11" s="34"/>
    </row>
    <row r="12" spans="1:5" s="29" customFormat="1" ht="16.5" customHeight="1">
      <c r="A12" s="59"/>
      <c r="B12" s="59"/>
      <c r="C12" s="60"/>
      <c r="D12" s="60"/>
      <c r="E12" s="59"/>
    </row>
    <row r="13" spans="1:5" s="29" customFormat="1" ht="16.5" customHeight="1">
      <c r="A13" s="59"/>
      <c r="B13" s="59"/>
      <c r="C13" s="60"/>
      <c r="D13" s="60"/>
      <c r="E13" s="59"/>
    </row>
    <row r="14" spans="1:5" s="29" customFormat="1" ht="12.75">
      <c r="A14" s="80" t="s">
        <v>125</v>
      </c>
    </row>
    <row r="15" spans="1:5" s="29" customFormat="1" ht="12.75">
      <c r="A15" s="81" t="s">
        <v>126</v>
      </c>
    </row>
    <row r="16" spans="1:5" s="29" customFormat="1" ht="12.75">
      <c r="A16" s="81" t="s">
        <v>127</v>
      </c>
    </row>
    <row r="17" spans="1:1" s="29" customFormat="1" ht="12.75">
      <c r="A17" s="81" t="s">
        <v>128</v>
      </c>
    </row>
    <row r="18" spans="1:1" s="29" customFormat="1" ht="12.75">
      <c r="A18" s="81" t="s">
        <v>129</v>
      </c>
    </row>
    <row r="19" spans="1:1" s="29" customFormat="1" ht="12.75"/>
    <row r="28" spans="1:1">
      <c r="A28" s="39" t="s">
        <v>56</v>
      </c>
    </row>
    <row r="29" spans="1:1">
      <c r="A29" s="26" t="s">
        <v>57</v>
      </c>
    </row>
    <row r="30" spans="1:1">
      <c r="A30" s="18"/>
    </row>
    <row r="31" spans="1:1">
      <c r="A31" s="30"/>
    </row>
  </sheetData>
  <mergeCells count="2">
    <mergeCell ref="A1:E1"/>
    <mergeCell ref="A2:E2"/>
  </mergeCells>
  <phoneticPr fontId="2" type="noConversion"/>
  <dataValidations count="1">
    <dataValidation type="list" allowBlank="1" showInputMessage="1" showErrorMessage="1" sqref="C6:C13">
      <formula1>$A$28:$A$29</formula1>
    </dataValidation>
  </dataValidations>
  <pageMargins left="0.70866141732283472" right="0.39370078740157483" top="0.6692913385826772" bottom="0.43307086614173229" header="0.31496062992125984" footer="0.31496062992125984"/>
  <pageSetup paperSize="9" fitToHeight="5" orientation="landscape" blackAndWhite="1" r:id="rId1"/>
  <headerFooter>
    <oddHeader>&amp;R&amp;"Arial Narrow,常规"&amp;10&amp;P/&amp;N</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5"/>
  <sheetViews>
    <sheetView tabSelected="1" view="pageBreakPreview" zoomScale="115" zoomScaleSheetLayoutView="115" workbookViewId="0">
      <selection activeCell="E10" sqref="E10"/>
    </sheetView>
  </sheetViews>
  <sheetFormatPr defaultRowHeight="15.75"/>
  <cols>
    <col min="1" max="1" width="8.625" style="30" customWidth="1"/>
    <col min="2" max="2" width="4.375" style="30" customWidth="1"/>
    <col min="3" max="3" width="23.875" style="30" customWidth="1"/>
    <col min="4" max="4" width="11.875" style="30" customWidth="1"/>
    <col min="5" max="5" width="13.75" style="30" customWidth="1"/>
    <col min="6" max="6" width="14" style="30" customWidth="1"/>
    <col min="7" max="7" width="29.625" style="30" customWidth="1"/>
    <col min="8" max="8" width="9.5" style="30" customWidth="1"/>
    <col min="9" max="9" width="11.125" style="30" customWidth="1"/>
    <col min="10" max="10" width="14.25" style="30" customWidth="1"/>
    <col min="11" max="16384" width="9" style="30"/>
  </cols>
  <sheetData>
    <row r="1" spans="1:10" ht="30" customHeight="1">
      <c r="A1" s="164" t="s">
        <v>21</v>
      </c>
      <c r="B1" s="164"/>
      <c r="C1" s="164"/>
      <c r="D1" s="164"/>
      <c r="E1" s="164"/>
      <c r="F1" s="164"/>
      <c r="G1" s="164"/>
      <c r="H1" s="164"/>
      <c r="I1" s="164"/>
      <c r="J1" s="164"/>
    </row>
    <row r="2" spans="1:10" ht="27.95" customHeight="1">
      <c r="A2" s="165" t="s">
        <v>191</v>
      </c>
      <c r="B2" s="166"/>
      <c r="C2" s="166"/>
      <c r="D2" s="166"/>
      <c r="E2" s="166"/>
      <c r="F2" s="166"/>
      <c r="G2" s="166"/>
      <c r="H2" s="166"/>
      <c r="I2" s="166"/>
      <c r="J2" s="166"/>
    </row>
    <row r="3" spans="1:10" ht="18" customHeight="1">
      <c r="A3" s="21" t="str">
        <f>'表头（请先填写）'!A2</f>
        <v>客户名称：</v>
      </c>
      <c r="B3" s="21"/>
      <c r="C3" s="21"/>
      <c r="E3" s="21" t="str">
        <f>'表头（请先填写）'!A4</f>
        <v>编制人：</v>
      </c>
      <c r="G3" s="21" t="str">
        <f>'表头（请先填写）'!A5</f>
        <v>日 期：</v>
      </c>
      <c r="J3" s="21" t="s">
        <v>192</v>
      </c>
    </row>
    <row r="4" spans="1:10" ht="18" customHeight="1">
      <c r="A4" s="21" t="str">
        <f>'表头（请先填写）'!A3</f>
        <v>会计期间：2013年度</v>
      </c>
      <c r="B4" s="21"/>
      <c r="C4" s="21"/>
      <c r="E4" s="21" t="s">
        <v>5</v>
      </c>
      <c r="G4" s="21" t="s">
        <v>24</v>
      </c>
      <c r="J4" s="21" t="s">
        <v>25</v>
      </c>
    </row>
    <row r="5" spans="1:10" s="31" customFormat="1" ht="41.25" customHeight="1">
      <c r="A5" s="67" t="s">
        <v>101</v>
      </c>
      <c r="B5" s="167" t="s">
        <v>100</v>
      </c>
      <c r="C5" s="168"/>
      <c r="D5" s="66" t="s">
        <v>26</v>
      </c>
      <c r="E5" s="66" t="s">
        <v>27</v>
      </c>
      <c r="F5" s="68" t="s">
        <v>117</v>
      </c>
      <c r="G5" s="66" t="s">
        <v>28</v>
      </c>
      <c r="H5" s="66" t="s">
        <v>29</v>
      </c>
      <c r="I5" s="66" t="s">
        <v>55</v>
      </c>
      <c r="J5" s="66" t="s">
        <v>30</v>
      </c>
    </row>
    <row r="6" spans="1:10" s="31" customFormat="1" ht="20.100000000000001" customHeight="1">
      <c r="A6" s="32" t="s">
        <v>170</v>
      </c>
      <c r="B6" s="32"/>
      <c r="C6" s="32"/>
      <c r="D6" s="32"/>
      <c r="E6" s="32"/>
      <c r="F6" s="32"/>
      <c r="G6" s="32"/>
      <c r="H6" s="32"/>
      <c r="I6" s="32"/>
      <c r="J6" s="32"/>
    </row>
    <row r="7" spans="1:10" s="31" customFormat="1" ht="20.100000000000001" customHeight="1">
      <c r="A7" s="32"/>
      <c r="B7" s="32">
        <v>1</v>
      </c>
      <c r="C7" s="32"/>
      <c r="D7" s="32"/>
      <c r="E7" s="32"/>
      <c r="F7" s="32"/>
      <c r="G7" s="32"/>
      <c r="H7" s="32"/>
      <c r="I7" s="32"/>
      <c r="J7" s="32"/>
    </row>
    <row r="8" spans="1:10" s="31" customFormat="1" ht="20.100000000000001" customHeight="1">
      <c r="A8" s="32"/>
      <c r="B8" s="32">
        <v>2</v>
      </c>
      <c r="C8" s="32"/>
      <c r="D8" s="32"/>
      <c r="E8" s="32"/>
      <c r="F8" s="32"/>
      <c r="G8" s="32"/>
      <c r="H8" s="32"/>
      <c r="I8" s="32"/>
      <c r="J8" s="32"/>
    </row>
    <row r="9" spans="1:10" s="31" customFormat="1" ht="20.100000000000001" customHeight="1">
      <c r="A9" s="32"/>
      <c r="B9" s="32">
        <v>3</v>
      </c>
      <c r="C9" s="32"/>
      <c r="D9" s="32"/>
      <c r="E9" s="32"/>
      <c r="F9" s="32"/>
      <c r="G9" s="32"/>
      <c r="H9" s="32"/>
      <c r="I9" s="32"/>
      <c r="J9" s="32"/>
    </row>
    <row r="10" spans="1:10" s="21" customFormat="1" ht="20.100000000000001" customHeight="1">
      <c r="A10" s="33"/>
      <c r="B10" s="33" t="s">
        <v>102</v>
      </c>
      <c r="C10" s="33"/>
      <c r="D10" s="32"/>
      <c r="E10" s="33"/>
      <c r="F10" s="33"/>
      <c r="G10" s="33"/>
      <c r="H10" s="33"/>
      <c r="I10" s="33"/>
      <c r="J10" s="33"/>
    </row>
    <row r="11" spans="1:10" s="21" customFormat="1" ht="20.100000000000001" customHeight="1">
      <c r="A11" s="33"/>
      <c r="B11" s="33"/>
      <c r="C11" s="33"/>
      <c r="D11" s="32"/>
      <c r="E11" s="33"/>
      <c r="F11" s="33"/>
      <c r="G11" s="33"/>
      <c r="H11" s="33"/>
      <c r="I11" s="33"/>
      <c r="J11" s="33"/>
    </row>
    <row r="12" spans="1:10" s="21" customFormat="1" ht="20.100000000000001" customHeight="1">
      <c r="A12" s="128" t="s">
        <v>167</v>
      </c>
      <c r="B12" s="33"/>
      <c r="C12" s="33"/>
      <c r="D12" s="32"/>
      <c r="E12" s="33"/>
      <c r="F12" s="33"/>
      <c r="G12" s="33"/>
      <c r="H12" s="33"/>
      <c r="I12" s="33"/>
      <c r="J12" s="33"/>
    </row>
    <row r="13" spans="1:10" s="21" customFormat="1" ht="20.100000000000001" customHeight="1">
      <c r="A13" s="33"/>
      <c r="B13" s="33">
        <v>1</v>
      </c>
      <c r="C13" s="33"/>
      <c r="D13" s="32"/>
      <c r="E13" s="33"/>
      <c r="F13" s="33"/>
      <c r="G13" s="33"/>
      <c r="H13" s="33"/>
      <c r="I13" s="33"/>
      <c r="J13" s="33"/>
    </row>
    <row r="14" spans="1:10" s="21" customFormat="1" ht="20.100000000000001" customHeight="1">
      <c r="A14" s="32"/>
      <c r="B14" s="32">
        <v>2</v>
      </c>
      <c r="C14" s="32"/>
      <c r="D14" s="32"/>
      <c r="E14" s="33"/>
      <c r="F14" s="33"/>
      <c r="G14" s="33"/>
      <c r="H14" s="33"/>
      <c r="I14" s="33"/>
      <c r="J14" s="33"/>
    </row>
    <row r="15" spans="1:10" s="21" customFormat="1" ht="20.100000000000001" customHeight="1">
      <c r="A15" s="32"/>
      <c r="B15" s="32">
        <v>3</v>
      </c>
      <c r="C15" s="32"/>
      <c r="D15" s="32"/>
      <c r="E15" s="33"/>
      <c r="F15" s="33"/>
      <c r="G15" s="33"/>
      <c r="H15" s="33"/>
      <c r="I15" s="33"/>
      <c r="J15" s="33"/>
    </row>
    <row r="16" spans="1:10" s="21" customFormat="1" ht="20.100000000000001" customHeight="1">
      <c r="A16" s="32"/>
      <c r="B16" s="32" t="s">
        <v>102</v>
      </c>
      <c r="C16" s="32"/>
      <c r="D16" s="32"/>
      <c r="E16" s="33"/>
      <c r="F16" s="33"/>
      <c r="G16" s="33"/>
      <c r="H16" s="33"/>
      <c r="I16" s="33"/>
      <c r="J16" s="33"/>
    </row>
    <row r="17" spans="1:10" s="21" customFormat="1" ht="20.100000000000001" customHeight="1">
      <c r="A17" s="33"/>
      <c r="B17" s="33"/>
      <c r="C17" s="33"/>
      <c r="D17" s="32"/>
      <c r="E17" s="33"/>
      <c r="F17" s="33"/>
      <c r="G17" s="33"/>
      <c r="H17" s="33"/>
      <c r="I17" s="33"/>
      <c r="J17" s="33"/>
    </row>
    <row r="18" spans="1:10" s="21" customFormat="1" ht="20.100000000000001" customHeight="1">
      <c r="A18" s="128" t="s">
        <v>168</v>
      </c>
      <c r="B18" s="33"/>
      <c r="C18" s="33"/>
      <c r="D18" s="32"/>
      <c r="E18" s="33"/>
      <c r="F18" s="33"/>
      <c r="G18" s="33"/>
      <c r="H18" s="33"/>
      <c r="I18" s="33"/>
      <c r="J18" s="33"/>
    </row>
    <row r="19" spans="1:10" s="21" customFormat="1" ht="20.100000000000001" customHeight="1">
      <c r="A19" s="33"/>
      <c r="B19" s="33">
        <v>1</v>
      </c>
      <c r="C19" s="33"/>
      <c r="D19" s="32"/>
      <c r="E19" s="33"/>
      <c r="F19" s="33"/>
      <c r="G19" s="33"/>
      <c r="H19" s="33"/>
      <c r="I19" s="33"/>
      <c r="J19" s="33"/>
    </row>
    <row r="20" spans="1:10" s="21" customFormat="1" ht="20.100000000000001" customHeight="1">
      <c r="A20" s="33"/>
      <c r="B20" s="33">
        <v>2</v>
      </c>
      <c r="C20" s="33"/>
      <c r="D20" s="32"/>
      <c r="E20" s="33"/>
      <c r="F20" s="33"/>
      <c r="G20" s="33"/>
      <c r="H20" s="33"/>
      <c r="I20" s="33"/>
      <c r="J20" s="33"/>
    </row>
    <row r="21" spans="1:10" s="21" customFormat="1" ht="20.100000000000001" customHeight="1">
      <c r="A21" s="33"/>
      <c r="B21" s="33">
        <v>3</v>
      </c>
      <c r="C21" s="33"/>
      <c r="D21" s="32"/>
      <c r="E21" s="33"/>
      <c r="F21" s="33"/>
      <c r="G21" s="33"/>
      <c r="H21" s="33"/>
      <c r="I21" s="33"/>
      <c r="J21" s="33"/>
    </row>
    <row r="22" spans="1:10" s="21" customFormat="1" ht="20.100000000000001" customHeight="1">
      <c r="A22" s="33"/>
      <c r="B22" s="33" t="s">
        <v>102</v>
      </c>
      <c r="C22" s="33"/>
      <c r="D22" s="32"/>
      <c r="E22" s="33"/>
      <c r="F22" s="33"/>
      <c r="G22" s="33"/>
      <c r="H22" s="33"/>
      <c r="I22" s="33"/>
      <c r="J22" s="33"/>
    </row>
    <row r="23" spans="1:10" s="21" customFormat="1" ht="20.100000000000001" customHeight="1">
      <c r="A23" s="33"/>
      <c r="B23" s="33"/>
      <c r="C23" s="33"/>
      <c r="D23" s="32"/>
      <c r="E23" s="33"/>
      <c r="F23" s="33"/>
      <c r="G23" s="33"/>
      <c r="H23" s="33"/>
      <c r="I23" s="33"/>
      <c r="J23" s="33"/>
    </row>
    <row r="24" spans="1:10" s="21" customFormat="1" ht="20.100000000000001" customHeight="1">
      <c r="A24" s="128" t="s">
        <v>169</v>
      </c>
      <c r="B24" s="33"/>
      <c r="C24" s="33"/>
      <c r="D24" s="32"/>
      <c r="E24" s="33"/>
      <c r="F24" s="33"/>
      <c r="G24" s="33"/>
      <c r="H24" s="33"/>
      <c r="I24" s="33"/>
      <c r="J24" s="33"/>
    </row>
    <row r="25" spans="1:10" s="21" customFormat="1" ht="20.100000000000001" customHeight="1">
      <c r="A25" s="33"/>
      <c r="B25" s="33">
        <v>1</v>
      </c>
      <c r="C25" s="33"/>
      <c r="D25" s="32"/>
      <c r="E25" s="33"/>
      <c r="F25" s="33"/>
      <c r="G25" s="33"/>
      <c r="H25" s="33"/>
      <c r="I25" s="33"/>
      <c r="J25" s="33"/>
    </row>
    <row r="26" spans="1:10" s="21" customFormat="1" ht="20.100000000000001" customHeight="1">
      <c r="A26" s="33"/>
      <c r="B26" s="33">
        <v>2</v>
      </c>
      <c r="C26" s="33"/>
      <c r="D26" s="32"/>
      <c r="E26" s="33"/>
      <c r="F26" s="33"/>
      <c r="G26" s="33"/>
      <c r="H26" s="33"/>
      <c r="I26" s="33"/>
      <c r="J26" s="33"/>
    </row>
    <row r="27" spans="1:10" s="21" customFormat="1" ht="20.100000000000001" customHeight="1">
      <c r="A27" s="32"/>
      <c r="B27" s="32">
        <v>3</v>
      </c>
      <c r="C27" s="32"/>
      <c r="D27" s="32"/>
      <c r="E27" s="33"/>
      <c r="F27" s="33"/>
      <c r="G27" s="33"/>
      <c r="H27" s="33"/>
      <c r="I27" s="33"/>
      <c r="J27" s="33"/>
    </row>
    <row r="28" spans="1:10" s="21" customFormat="1" ht="20.100000000000001" customHeight="1">
      <c r="A28" s="32"/>
      <c r="B28" s="32" t="s">
        <v>102</v>
      </c>
      <c r="C28" s="32"/>
      <c r="D28" s="32"/>
      <c r="E28" s="33"/>
      <c r="F28" s="33"/>
      <c r="G28" s="33"/>
      <c r="H28" s="33"/>
      <c r="I28" s="33"/>
      <c r="J28" s="33"/>
    </row>
    <row r="29" spans="1:10" s="21" customFormat="1" ht="20.100000000000001" customHeight="1">
      <c r="A29" s="32"/>
      <c r="B29" s="32"/>
      <c r="C29" s="32"/>
      <c r="D29" s="32"/>
      <c r="E29" s="33"/>
      <c r="F29" s="33"/>
      <c r="G29" s="33"/>
      <c r="H29" s="33"/>
      <c r="I29" s="33"/>
      <c r="J29" s="33"/>
    </row>
    <row r="30" spans="1:10" s="21" customFormat="1" ht="20.100000000000001" customHeight="1">
      <c r="A30" s="32"/>
      <c r="B30" s="32"/>
      <c r="C30" s="32"/>
      <c r="D30" s="32"/>
      <c r="E30" s="33"/>
      <c r="F30" s="33"/>
      <c r="G30" s="33"/>
      <c r="H30" s="33"/>
      <c r="I30" s="33"/>
      <c r="J30" s="33"/>
    </row>
    <row r="31" spans="1:10" s="21" customFormat="1" ht="20.100000000000001" customHeight="1">
      <c r="A31" s="32"/>
      <c r="B31" s="32"/>
      <c r="C31" s="32"/>
      <c r="D31" s="32"/>
      <c r="E31" s="33"/>
      <c r="F31" s="33"/>
      <c r="G31" s="33"/>
      <c r="H31" s="33"/>
      <c r="I31" s="33"/>
      <c r="J31" s="33"/>
    </row>
    <row r="32" spans="1:10" s="21" customFormat="1" ht="20.100000000000001" customHeight="1">
      <c r="A32" s="33"/>
      <c r="B32" s="33"/>
      <c r="C32" s="33"/>
      <c r="D32" s="32"/>
      <c r="E32" s="33"/>
      <c r="F32" s="33"/>
      <c r="G32" s="33"/>
      <c r="H32" s="33"/>
      <c r="I32" s="33"/>
      <c r="J32" s="33"/>
    </row>
    <row r="33" spans="1:3" s="21" customFormat="1" ht="20.100000000000001" customHeight="1"/>
    <row r="34" spans="1:3" s="21" customFormat="1" ht="20.100000000000001" customHeight="1">
      <c r="A34" s="82" t="s">
        <v>130</v>
      </c>
      <c r="B34" s="36"/>
      <c r="C34" s="36"/>
    </row>
    <row r="35" spans="1:3" s="21" customFormat="1" ht="12.75">
      <c r="A35" s="83" t="s">
        <v>131</v>
      </c>
      <c r="B35" s="37"/>
      <c r="C35" s="37"/>
    </row>
    <row r="36" spans="1:3" s="21" customFormat="1" ht="12.75">
      <c r="A36" s="83" t="s">
        <v>132</v>
      </c>
      <c r="B36" s="37"/>
      <c r="C36" s="37"/>
    </row>
    <row r="37" spans="1:3" s="21" customFormat="1" ht="12.75">
      <c r="A37" s="83" t="s">
        <v>133</v>
      </c>
      <c r="B37" s="37"/>
      <c r="C37" s="37"/>
    </row>
    <row r="38" spans="1:3" s="21" customFormat="1" ht="12.75">
      <c r="A38" s="83" t="s">
        <v>134</v>
      </c>
      <c r="B38" s="37"/>
      <c r="C38" s="37"/>
    </row>
    <row r="39" spans="1:3" s="21" customFormat="1" ht="12.75">
      <c r="A39" s="83" t="s">
        <v>135</v>
      </c>
      <c r="B39" s="37"/>
      <c r="C39" s="37"/>
    </row>
    <row r="40" spans="1:3" s="21" customFormat="1" ht="12.75">
      <c r="A40" s="83" t="s">
        <v>136</v>
      </c>
      <c r="B40" s="37"/>
      <c r="C40" s="37"/>
    </row>
    <row r="41" spans="1:3" s="21" customFormat="1" ht="12.75">
      <c r="A41" s="83" t="s">
        <v>31</v>
      </c>
      <c r="B41" s="55"/>
      <c r="C41" s="55"/>
    </row>
    <row r="42" spans="1:3" s="21" customFormat="1" ht="12.75">
      <c r="A42" s="83" t="s">
        <v>137</v>
      </c>
      <c r="B42" s="55"/>
      <c r="C42" s="55"/>
    </row>
    <row r="43" spans="1:3" s="21" customFormat="1" ht="12.75">
      <c r="A43" s="83" t="s">
        <v>138</v>
      </c>
      <c r="B43" s="55"/>
      <c r="C43" s="55"/>
    </row>
    <row r="44" spans="1:3" s="21" customFormat="1" ht="12.75">
      <c r="A44" s="83" t="s">
        <v>139</v>
      </c>
      <c r="B44" s="55"/>
      <c r="C44" s="55"/>
    </row>
    <row r="45" spans="1:3" s="21" customFormat="1" ht="12.75"/>
    <row r="46" spans="1:3" s="21" customFormat="1" ht="12.75"/>
    <row r="47" spans="1:3" s="21" customFormat="1" ht="12.75"/>
    <row r="48" spans="1:3" s="21" customFormat="1" ht="12.75"/>
    <row r="49" spans="1:1" s="21" customFormat="1" ht="12.75"/>
    <row r="50" spans="1:1" s="21" customFormat="1" ht="12.75"/>
    <row r="51" spans="1:1" s="21" customFormat="1" ht="12.75"/>
    <row r="52" spans="1:1" s="21" customFormat="1" ht="12.75"/>
    <row r="53" spans="1:1" s="21" customFormat="1" ht="12.75"/>
    <row r="54" spans="1:1" s="21" customFormat="1" ht="12.75"/>
    <row r="55" spans="1:1" s="21" customFormat="1" ht="12.75"/>
    <row r="56" spans="1:1" s="21" customFormat="1" ht="12.75"/>
    <row r="57" spans="1:1" s="21" customFormat="1" ht="12.75"/>
    <row r="58" spans="1:1" s="21" customFormat="1" ht="12.75">
      <c r="A58" s="17" t="s">
        <v>111</v>
      </c>
    </row>
    <row r="59" spans="1:1" s="21" customFormat="1" ht="12.75">
      <c r="A59" s="17" t="s">
        <v>112</v>
      </c>
    </row>
    <row r="60" spans="1:1" s="21" customFormat="1" ht="12.75"/>
    <row r="61" spans="1:1" s="21" customFormat="1" ht="12.75"/>
    <row r="62" spans="1:1" s="21" customFormat="1" ht="12.75"/>
    <row r="63" spans="1:1" s="21" customFormat="1" ht="12.75"/>
    <row r="64" spans="1:1" s="21" customFormat="1" ht="12.75"/>
    <row r="65" s="21" customFormat="1" ht="12.75"/>
    <row r="66" s="21" customFormat="1" ht="12.75"/>
    <row r="67" s="21" customFormat="1" ht="12.75"/>
    <row r="68" s="21" customFormat="1" ht="12.75"/>
    <row r="69" s="21" customFormat="1" ht="12.75"/>
    <row r="70" s="21" customFormat="1" ht="12.75"/>
    <row r="71" s="21" customFormat="1" ht="12.75"/>
    <row r="72" s="21" customFormat="1" ht="12.75"/>
    <row r="73" s="21" customFormat="1" ht="12.75"/>
    <row r="74" s="21" customFormat="1" ht="12.75"/>
    <row r="75" s="21" customFormat="1" ht="12.75"/>
  </sheetData>
  <mergeCells count="3">
    <mergeCell ref="A1:J1"/>
    <mergeCell ref="A2:J2"/>
    <mergeCell ref="B5:C5"/>
  </mergeCells>
  <phoneticPr fontId="3" type="noConversion"/>
  <dataValidations count="1">
    <dataValidation type="list" allowBlank="1" showInputMessage="1" showErrorMessage="1" sqref="D7:D32">
      <formula1>$A$58:$A$59</formula1>
    </dataValidation>
  </dataValidations>
  <pageMargins left="0.51181102362204722" right="0.31496062992125984" top="0.6692913385826772" bottom="0.55118110236220474" header="0.31496062992125984" footer="0.31496062992125984"/>
  <pageSetup paperSize="9" fitToHeight="5" orientation="landscape" blackAndWhite="1" r:id="rId1"/>
  <headerFooter>
    <oddHeader>&amp;R&amp;"Arial Narrow,常规"&amp;10&amp;P/&amp;N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64"/>
  <sheetViews>
    <sheetView view="pageBreakPreview" zoomScale="120" zoomScaleNormal="120" zoomScaleSheetLayoutView="120" workbookViewId="0">
      <selection activeCell="B10" sqref="B10"/>
    </sheetView>
  </sheetViews>
  <sheetFormatPr defaultRowHeight="15.75"/>
  <cols>
    <col min="1" max="1" width="4.875" style="84" customWidth="1"/>
    <col min="2" max="2" width="53.625" style="84" customWidth="1"/>
    <col min="3" max="3" width="12.375" style="84" customWidth="1"/>
    <col min="4" max="4" width="4.375" style="84" customWidth="1"/>
    <col min="5" max="5" width="32.375" style="84" customWidth="1"/>
    <col min="6" max="6" width="11.375" style="72" customWidth="1"/>
    <col min="7" max="7" width="14" style="84" customWidth="1"/>
    <col min="8" max="8" width="9" style="84" customWidth="1"/>
    <col min="9" max="9" width="13.25" style="84" customWidth="1"/>
    <col min="10" max="16384" width="9" style="84"/>
  </cols>
  <sheetData>
    <row r="1" spans="1:9" ht="21.75" customHeight="1">
      <c r="A1" s="164" t="s">
        <v>21</v>
      </c>
      <c r="B1" s="164"/>
      <c r="C1" s="164"/>
      <c r="D1" s="164"/>
      <c r="E1" s="164"/>
      <c r="F1" s="164"/>
      <c r="G1" s="164"/>
      <c r="H1" s="164"/>
      <c r="I1" s="164"/>
    </row>
    <row r="2" spans="1:9" ht="27.95" customHeight="1">
      <c r="A2" s="165" t="s">
        <v>193</v>
      </c>
      <c r="B2" s="166"/>
      <c r="C2" s="166"/>
      <c r="D2" s="166"/>
      <c r="E2" s="166"/>
      <c r="F2" s="166"/>
      <c r="G2" s="166"/>
      <c r="H2" s="166"/>
      <c r="I2" s="166"/>
    </row>
    <row r="3" spans="1:9" ht="20.100000000000001" customHeight="1">
      <c r="A3" s="85" t="str">
        <f>'B23-13了解债务循环流程和内部控制记录表'!A3</f>
        <v>客户名称：</v>
      </c>
      <c r="C3" s="85" t="str">
        <f>'B23-13了解债务循环流程和内部控制记录表'!C3</f>
        <v>编制人：</v>
      </c>
      <c r="E3" s="85" t="str">
        <f>'B23-13了解债务循环流程和内部控制记录表'!D3</f>
        <v>日 期：</v>
      </c>
      <c r="I3" s="85" t="s">
        <v>200</v>
      </c>
    </row>
    <row r="4" spans="1:9" ht="20.100000000000001" customHeight="1">
      <c r="A4" s="85" t="str">
        <f>'B23-13了解债务循环流程和内部控制记录表'!A4</f>
        <v>会计期间：2013年度</v>
      </c>
      <c r="C4" s="85" t="s">
        <v>5</v>
      </c>
      <c r="E4" s="85" t="s">
        <v>24</v>
      </c>
      <c r="I4" s="85" t="s">
        <v>25</v>
      </c>
    </row>
    <row r="5" spans="1:9" ht="6" customHeight="1">
      <c r="A5" s="85"/>
      <c r="C5" s="85"/>
      <c r="E5" s="85"/>
      <c r="I5" s="85"/>
    </row>
    <row r="6" spans="1:9" ht="20.100000000000001" customHeight="1">
      <c r="A6" s="105" t="s">
        <v>143</v>
      </c>
      <c r="C6" s="85"/>
      <c r="E6" s="85"/>
      <c r="I6" s="85"/>
    </row>
    <row r="7" spans="1:9" s="86" customFormat="1" ht="56.25" customHeight="1">
      <c r="A7" s="76" t="s">
        <v>118</v>
      </c>
      <c r="B7" s="76" t="s">
        <v>77</v>
      </c>
      <c r="C7" s="76" t="s">
        <v>119</v>
      </c>
      <c r="D7" s="173" t="s">
        <v>84</v>
      </c>
      <c r="E7" s="173"/>
      <c r="F7" s="65" t="s">
        <v>103</v>
      </c>
      <c r="G7" s="65" t="s">
        <v>104</v>
      </c>
      <c r="H7" s="65" t="s">
        <v>105</v>
      </c>
      <c r="I7" s="65" t="s">
        <v>106</v>
      </c>
    </row>
    <row r="8" spans="1:9" s="86" customFormat="1" ht="18" customHeight="1">
      <c r="A8" s="129" t="s">
        <v>194</v>
      </c>
      <c r="B8" s="38"/>
      <c r="C8" s="90"/>
      <c r="D8" s="90"/>
      <c r="E8" s="90"/>
      <c r="F8" s="70"/>
      <c r="G8" s="90"/>
      <c r="H8" s="90"/>
      <c r="I8" s="90"/>
    </row>
    <row r="9" spans="1:9" s="86" customFormat="1" ht="18" customHeight="1">
      <c r="A9" s="89"/>
      <c r="B9" s="130" t="s">
        <v>183</v>
      </c>
      <c r="C9" s="90"/>
      <c r="D9" s="90">
        <v>1</v>
      </c>
      <c r="E9" s="90"/>
      <c r="F9" s="71">
        <f>IF(OR(G9&lt;&gt;0,H9&lt;&gt;0,I9&lt;&gt;0),1,0)</f>
        <v>0</v>
      </c>
      <c r="G9" s="90"/>
      <c r="H9" s="90"/>
      <c r="I9" s="90"/>
    </row>
    <row r="10" spans="1:9" s="86" customFormat="1" ht="18" customHeight="1">
      <c r="A10" s="89"/>
      <c r="B10" s="38"/>
      <c r="C10" s="90"/>
      <c r="D10" s="90">
        <v>2</v>
      </c>
      <c r="E10" s="90"/>
      <c r="F10" s="71">
        <f t="shared" ref="F10:F23" si="0">IF(OR(G10&lt;&gt;0,H10&lt;&gt;0,I10&lt;&gt;0),1,0)</f>
        <v>0</v>
      </c>
      <c r="G10" s="90"/>
      <c r="H10" s="90"/>
      <c r="I10" s="90"/>
    </row>
    <row r="11" spans="1:9" s="86" customFormat="1" ht="18" customHeight="1">
      <c r="A11" s="89"/>
      <c r="B11" s="38"/>
      <c r="C11" s="90"/>
      <c r="D11" s="90" t="s">
        <v>14</v>
      </c>
      <c r="E11" s="90"/>
      <c r="F11" s="71">
        <f t="shared" si="0"/>
        <v>0</v>
      </c>
      <c r="G11" s="90"/>
      <c r="H11" s="90"/>
      <c r="I11" s="90"/>
    </row>
    <row r="12" spans="1:9" ht="18" customHeight="1">
      <c r="A12" s="89"/>
      <c r="B12" s="130" t="s">
        <v>195</v>
      </c>
      <c r="C12" s="91"/>
      <c r="D12" s="91"/>
      <c r="E12" s="91"/>
      <c r="F12" s="71">
        <f t="shared" si="0"/>
        <v>0</v>
      </c>
      <c r="G12" s="90"/>
      <c r="H12" s="91"/>
      <c r="I12" s="90"/>
    </row>
    <row r="13" spans="1:9" ht="18" customHeight="1">
      <c r="A13" s="89"/>
      <c r="B13" s="130"/>
      <c r="C13" s="91"/>
      <c r="D13" s="91"/>
      <c r="E13" s="91"/>
      <c r="F13" s="71">
        <f t="shared" si="0"/>
        <v>0</v>
      </c>
      <c r="G13" s="90"/>
      <c r="H13" s="91"/>
      <c r="I13" s="90"/>
    </row>
    <row r="14" spans="1:9" ht="18" customHeight="1">
      <c r="A14" s="129" t="s">
        <v>196</v>
      </c>
      <c r="B14" s="38"/>
      <c r="C14" s="91"/>
      <c r="D14" s="91"/>
      <c r="E14" s="91"/>
      <c r="F14" s="71">
        <f t="shared" si="0"/>
        <v>0</v>
      </c>
      <c r="G14" s="90"/>
      <c r="H14" s="91"/>
      <c r="I14" s="90"/>
    </row>
    <row r="15" spans="1:9" ht="18" customHeight="1">
      <c r="A15" s="89"/>
      <c r="B15" s="130" t="s">
        <v>185</v>
      </c>
      <c r="C15" s="91"/>
      <c r="D15" s="91"/>
      <c r="E15" s="91"/>
      <c r="F15" s="71">
        <f>IF(OR(G15&lt;&gt;0,H15&lt;&gt;0,I15&lt;&gt;0),1,0)</f>
        <v>0</v>
      </c>
      <c r="G15" s="90"/>
      <c r="H15" s="91"/>
      <c r="I15" s="90"/>
    </row>
    <row r="16" spans="1:9" ht="18" customHeight="1">
      <c r="A16" s="89"/>
      <c r="B16" s="38"/>
      <c r="C16" s="91"/>
      <c r="D16" s="91"/>
      <c r="E16" s="91"/>
      <c r="F16" s="71">
        <f t="shared" si="0"/>
        <v>0</v>
      </c>
      <c r="G16" s="90"/>
      <c r="H16" s="91"/>
      <c r="I16" s="90"/>
    </row>
    <row r="17" spans="1:9" ht="18" customHeight="1">
      <c r="A17" s="129" t="s">
        <v>197</v>
      </c>
      <c r="B17" s="38"/>
      <c r="C17" s="91"/>
      <c r="D17" s="91"/>
      <c r="E17" s="91"/>
      <c r="F17" s="71">
        <f t="shared" si="0"/>
        <v>0</v>
      </c>
      <c r="G17" s="90"/>
      <c r="H17" s="91"/>
      <c r="I17" s="90"/>
    </row>
    <row r="18" spans="1:9" ht="18" customHeight="1">
      <c r="A18" s="38"/>
      <c r="B18" s="130" t="s">
        <v>198</v>
      </c>
      <c r="C18" s="91"/>
      <c r="D18" s="91"/>
      <c r="E18" s="91"/>
      <c r="F18" s="71">
        <f>IF(OR(G18&lt;&gt;0,H18&lt;&gt;0,I18&lt;&gt;0),1,0)</f>
        <v>0</v>
      </c>
      <c r="G18" s="90"/>
      <c r="H18" s="91"/>
      <c r="I18" s="90"/>
    </row>
    <row r="19" spans="1:9" ht="18" customHeight="1">
      <c r="A19" s="89"/>
      <c r="B19" s="38"/>
      <c r="C19" s="91"/>
      <c r="D19" s="91"/>
      <c r="E19" s="91"/>
      <c r="F19" s="71">
        <f t="shared" si="0"/>
        <v>0</v>
      </c>
      <c r="G19" s="90"/>
      <c r="H19" s="91"/>
      <c r="I19" s="90"/>
    </row>
    <row r="20" spans="1:9" ht="18" customHeight="1">
      <c r="A20" s="129" t="s">
        <v>199</v>
      </c>
      <c r="B20" s="38"/>
      <c r="C20" s="91"/>
      <c r="D20" s="91"/>
      <c r="E20" s="91"/>
      <c r="F20" s="71">
        <f t="shared" si="0"/>
        <v>0</v>
      </c>
      <c r="G20" s="90"/>
      <c r="H20" s="91"/>
      <c r="I20" s="90"/>
    </row>
    <row r="21" spans="1:9" ht="18" customHeight="1">
      <c r="A21" s="89"/>
      <c r="B21" s="130" t="s">
        <v>188</v>
      </c>
      <c r="C21" s="91"/>
      <c r="D21" s="91"/>
      <c r="E21" s="91"/>
      <c r="F21" s="71">
        <f t="shared" si="0"/>
        <v>0</v>
      </c>
      <c r="G21" s="90"/>
      <c r="H21" s="91"/>
      <c r="I21" s="90"/>
    </row>
    <row r="22" spans="1:9" ht="18" customHeight="1">
      <c r="A22" s="89"/>
      <c r="B22" s="38"/>
      <c r="C22" s="91"/>
      <c r="D22" s="91"/>
      <c r="E22" s="91"/>
      <c r="F22" s="71">
        <f t="shared" si="0"/>
        <v>0</v>
      </c>
      <c r="G22" s="90"/>
      <c r="H22" s="91"/>
      <c r="I22" s="90"/>
    </row>
    <row r="23" spans="1:9" ht="18" customHeight="1">
      <c r="A23" s="89"/>
      <c r="B23" s="38"/>
      <c r="C23" s="91"/>
      <c r="D23" s="91"/>
      <c r="E23" s="91"/>
      <c r="F23" s="71">
        <f t="shared" si="0"/>
        <v>0</v>
      </c>
      <c r="G23" s="90"/>
      <c r="H23" s="91"/>
      <c r="I23" s="90"/>
    </row>
    <row r="24" spans="1:9" ht="18" customHeight="1">
      <c r="A24" s="108"/>
      <c r="B24" s="107"/>
      <c r="C24" s="106" t="s">
        <v>140</v>
      </c>
      <c r="D24" s="109"/>
      <c r="E24" s="109"/>
      <c r="F24" s="110">
        <f>SUM(F9:F23)</f>
        <v>0</v>
      </c>
      <c r="G24" s="111">
        <f>COUNTA(G9:G23)</f>
        <v>0</v>
      </c>
      <c r="H24" s="111">
        <f t="shared" ref="H24" si="1">COUNTA(H9:H23)</f>
        <v>0</v>
      </c>
      <c r="I24" s="111">
        <f>COUNTA(I9:I23)</f>
        <v>0</v>
      </c>
    </row>
    <row r="25" spans="1:9" ht="18" customHeight="1">
      <c r="A25" s="89"/>
      <c r="B25" s="38"/>
      <c r="C25" s="91"/>
      <c r="D25" s="91"/>
      <c r="E25" s="91"/>
      <c r="F25" s="92"/>
      <c r="G25" s="93" t="e">
        <f>G24/F24</f>
        <v>#DIV/0!</v>
      </c>
      <c r="H25" s="93" t="e">
        <f>H24/F24</f>
        <v>#DIV/0!</v>
      </c>
      <c r="I25" s="93" t="e">
        <f>I24/F24</f>
        <v>#DIV/0!</v>
      </c>
    </row>
    <row r="26" spans="1:9" ht="18" customHeight="1">
      <c r="A26" s="89"/>
      <c r="B26" s="38"/>
      <c r="C26" s="91"/>
      <c r="D26" s="91"/>
      <c r="E26" s="91"/>
      <c r="F26" s="113" t="s">
        <v>141</v>
      </c>
      <c r="G26" s="94" t="s">
        <v>107</v>
      </c>
      <c r="H26" s="94" t="s">
        <v>108</v>
      </c>
      <c r="I26" s="94" t="s">
        <v>109</v>
      </c>
    </row>
    <row r="27" spans="1:9">
      <c r="A27" s="97" t="s">
        <v>23</v>
      </c>
    </row>
    <row r="28" spans="1:9">
      <c r="A28" s="98" t="s">
        <v>202</v>
      </c>
    </row>
    <row r="29" spans="1:9">
      <c r="A29" s="98" t="s">
        <v>33</v>
      </c>
    </row>
    <row r="30" spans="1:9">
      <c r="A30" s="98" t="s">
        <v>34</v>
      </c>
    </row>
    <row r="31" spans="1:9">
      <c r="A31" s="98" t="s">
        <v>35</v>
      </c>
    </row>
    <row r="32" spans="1:9">
      <c r="A32" s="98" t="s">
        <v>36</v>
      </c>
    </row>
    <row r="33" spans="1:11">
      <c r="A33" s="98" t="s">
        <v>37</v>
      </c>
    </row>
    <row r="34" spans="1:11">
      <c r="A34" s="98" t="s">
        <v>38</v>
      </c>
    </row>
    <row r="35" spans="1:11">
      <c r="A35" s="98" t="s">
        <v>39</v>
      </c>
    </row>
    <row r="36" spans="1:11">
      <c r="A36" s="98" t="s">
        <v>40</v>
      </c>
    </row>
    <row r="37" spans="1:11">
      <c r="A37" s="98" t="s">
        <v>41</v>
      </c>
    </row>
    <row r="38" spans="1:11">
      <c r="A38" s="98" t="s">
        <v>42</v>
      </c>
    </row>
    <row r="39" spans="1:11">
      <c r="A39" s="98" t="s">
        <v>43</v>
      </c>
    </row>
    <row r="40" spans="1:11">
      <c r="A40" s="98" t="s">
        <v>44</v>
      </c>
    </row>
    <row r="41" spans="1:11">
      <c r="A41" s="98" t="s">
        <v>45</v>
      </c>
    </row>
    <row r="42" spans="1:11">
      <c r="A42" s="119" t="s">
        <v>159</v>
      </c>
      <c r="B42" s="99"/>
      <c r="C42" s="99"/>
      <c r="D42" s="99"/>
      <c r="E42" s="99"/>
      <c r="F42" s="73"/>
      <c r="G42" s="99"/>
      <c r="H42" s="99"/>
      <c r="I42" s="99"/>
      <c r="J42" s="99"/>
      <c r="K42" s="99"/>
    </row>
    <row r="43" spans="1:11">
      <c r="A43" s="100" t="s">
        <v>46</v>
      </c>
      <c r="B43" s="100"/>
    </row>
    <row r="44" spans="1:11">
      <c r="A44" s="100" t="s">
        <v>47</v>
      </c>
      <c r="B44" s="100"/>
    </row>
    <row r="45" spans="1:11">
      <c r="A45" s="100" t="s">
        <v>48</v>
      </c>
      <c r="B45" s="100"/>
    </row>
    <row r="46" spans="1:11">
      <c r="A46" s="101" t="s">
        <v>49</v>
      </c>
      <c r="B46" s="101" t="s">
        <v>50</v>
      </c>
    </row>
    <row r="47" spans="1:11">
      <c r="A47" s="102">
        <v>1</v>
      </c>
      <c r="B47" s="102" t="s">
        <v>51</v>
      </c>
    </row>
    <row r="48" spans="1:11">
      <c r="A48" s="102">
        <v>2</v>
      </c>
      <c r="B48" s="102" t="s">
        <v>52</v>
      </c>
    </row>
    <row r="49" spans="1:11">
      <c r="A49" s="102">
        <v>3</v>
      </c>
      <c r="B49" s="102" t="s">
        <v>53</v>
      </c>
    </row>
    <row r="50" spans="1:11">
      <c r="A50" s="102">
        <v>4</v>
      </c>
      <c r="B50" s="102" t="s">
        <v>54</v>
      </c>
    </row>
    <row r="51" spans="1:11" ht="106.5" customHeight="1">
      <c r="A51" s="172" t="s">
        <v>147</v>
      </c>
      <c r="B51" s="172"/>
      <c r="C51" s="172"/>
      <c r="D51" s="172"/>
      <c r="E51" s="172"/>
      <c r="F51" s="172"/>
      <c r="G51" s="172"/>
      <c r="H51" s="172"/>
      <c r="I51" s="172"/>
      <c r="J51" s="172"/>
      <c r="K51" s="172"/>
    </row>
    <row r="52" spans="1:11" ht="21.75" customHeight="1">
      <c r="A52" s="103" t="s">
        <v>58</v>
      </c>
      <c r="B52" s="103"/>
      <c r="C52" s="103"/>
      <c r="D52" s="103"/>
      <c r="E52" s="103"/>
      <c r="F52" s="74"/>
      <c r="G52" s="103"/>
      <c r="H52" s="103"/>
      <c r="I52" s="103"/>
      <c r="J52" s="103"/>
      <c r="K52" s="103"/>
    </row>
    <row r="53" spans="1:11" ht="25.5" customHeight="1">
      <c r="A53" s="172" t="s">
        <v>59</v>
      </c>
      <c r="B53" s="172"/>
      <c r="C53" s="172"/>
      <c r="D53" s="172"/>
      <c r="E53" s="172"/>
      <c r="F53" s="172"/>
      <c r="G53" s="172"/>
      <c r="H53" s="172"/>
      <c r="I53" s="172"/>
      <c r="J53" s="172"/>
      <c r="K53" s="172"/>
    </row>
    <row r="54" spans="1:11" ht="25.5" customHeight="1">
      <c r="A54" s="103" t="s">
        <v>60</v>
      </c>
      <c r="B54" s="103"/>
      <c r="C54" s="103"/>
      <c r="D54" s="103"/>
      <c r="E54" s="103"/>
      <c r="F54" s="74"/>
      <c r="G54" s="103"/>
      <c r="H54" s="103"/>
      <c r="I54" s="103"/>
      <c r="J54" s="103"/>
      <c r="K54" s="103"/>
    </row>
    <row r="55" spans="1:11" ht="25.5" customHeight="1">
      <c r="A55" s="172" t="s">
        <v>61</v>
      </c>
      <c r="B55" s="172"/>
      <c r="C55" s="172"/>
      <c r="D55" s="172"/>
      <c r="E55" s="172"/>
      <c r="F55" s="172"/>
      <c r="G55" s="172"/>
      <c r="H55" s="172"/>
      <c r="I55" s="172"/>
      <c r="J55" s="172"/>
      <c r="K55" s="172"/>
    </row>
    <row r="56" spans="1:11" ht="34.5" customHeight="1">
      <c r="A56" s="172" t="s">
        <v>62</v>
      </c>
      <c r="B56" s="172"/>
      <c r="C56" s="172"/>
      <c r="D56" s="172"/>
      <c r="E56" s="172"/>
      <c r="F56" s="172"/>
      <c r="G56" s="172"/>
      <c r="H56" s="172"/>
      <c r="I56" s="172"/>
      <c r="J56" s="172"/>
      <c r="K56" s="172"/>
    </row>
    <row r="57" spans="1:11" ht="25.5" customHeight="1">
      <c r="A57" s="172" t="s">
        <v>63</v>
      </c>
      <c r="B57" s="172"/>
      <c r="C57" s="172"/>
      <c r="D57" s="172"/>
      <c r="E57" s="172"/>
      <c r="F57" s="172"/>
      <c r="G57" s="172"/>
      <c r="H57" s="172"/>
      <c r="I57" s="172"/>
      <c r="J57" s="172"/>
      <c r="K57" s="172"/>
    </row>
    <row r="58" spans="1:11" ht="25.5" customHeight="1">
      <c r="A58" s="103" t="s">
        <v>64</v>
      </c>
      <c r="B58" s="103"/>
      <c r="C58" s="103"/>
      <c r="D58" s="103"/>
      <c r="E58" s="103"/>
      <c r="F58" s="74"/>
      <c r="G58" s="103"/>
      <c r="H58" s="103"/>
      <c r="I58" s="103"/>
      <c r="J58" s="103"/>
      <c r="K58" s="103"/>
    </row>
    <row r="59" spans="1:11" ht="113.25" customHeight="1">
      <c r="A59" s="172" t="s">
        <v>65</v>
      </c>
      <c r="B59" s="172"/>
      <c r="C59" s="172"/>
      <c r="D59" s="172"/>
      <c r="E59" s="172"/>
      <c r="F59" s="172"/>
      <c r="G59" s="172"/>
      <c r="H59" s="172"/>
      <c r="I59" s="172"/>
      <c r="J59" s="172"/>
      <c r="K59" s="172"/>
    </row>
    <row r="60" spans="1:11" ht="25.5" customHeight="1">
      <c r="A60" s="172" t="s">
        <v>66</v>
      </c>
      <c r="B60" s="172"/>
      <c r="C60" s="172"/>
      <c r="D60" s="172"/>
      <c r="E60" s="172"/>
      <c r="F60" s="172"/>
      <c r="G60" s="172"/>
      <c r="H60" s="172"/>
      <c r="I60" s="172"/>
      <c r="J60" s="172"/>
      <c r="K60" s="172"/>
    </row>
    <row r="61" spans="1:11" ht="25.5" customHeight="1">
      <c r="A61" s="103" t="s">
        <v>67</v>
      </c>
      <c r="B61" s="103"/>
      <c r="C61" s="103"/>
      <c r="D61" s="103"/>
      <c r="E61" s="103"/>
      <c r="F61" s="74"/>
      <c r="G61" s="103"/>
      <c r="H61" s="103"/>
      <c r="I61" s="103"/>
      <c r="J61" s="103"/>
      <c r="K61" s="103"/>
    </row>
    <row r="62" spans="1:11" ht="25.5" customHeight="1">
      <c r="A62" s="172" t="s">
        <v>68</v>
      </c>
      <c r="B62" s="172"/>
      <c r="C62" s="172"/>
      <c r="D62" s="172"/>
      <c r="E62" s="172"/>
      <c r="F62" s="172"/>
      <c r="G62" s="172"/>
      <c r="H62" s="172"/>
      <c r="I62" s="172"/>
      <c r="J62" s="172"/>
      <c r="K62" s="172"/>
    </row>
    <row r="63" spans="1:11" ht="25.5" customHeight="1">
      <c r="A63" s="172" t="s">
        <v>69</v>
      </c>
      <c r="B63" s="172"/>
      <c r="C63" s="172"/>
      <c r="D63" s="172"/>
      <c r="E63" s="172"/>
      <c r="F63" s="172"/>
      <c r="G63" s="172"/>
      <c r="H63" s="172"/>
      <c r="I63" s="172"/>
      <c r="J63" s="172"/>
      <c r="K63" s="172"/>
    </row>
    <row r="64" spans="1:11" ht="25.5" customHeight="1">
      <c r="A64" s="172" t="s">
        <v>71</v>
      </c>
      <c r="B64" s="172"/>
      <c r="C64" s="172"/>
      <c r="D64" s="172"/>
      <c r="E64" s="172"/>
      <c r="F64" s="172"/>
      <c r="G64" s="172"/>
      <c r="H64" s="172"/>
      <c r="I64" s="172"/>
      <c r="J64" s="172"/>
      <c r="K64" s="172"/>
    </row>
    <row r="65" spans="1:11" ht="25.5" customHeight="1">
      <c r="A65" s="103" t="s">
        <v>70</v>
      </c>
      <c r="B65" s="103"/>
      <c r="C65" s="103"/>
      <c r="D65" s="103"/>
      <c r="E65" s="103"/>
      <c r="F65" s="74"/>
      <c r="G65" s="103"/>
      <c r="H65" s="103"/>
      <c r="I65" s="103"/>
      <c r="J65" s="103"/>
      <c r="K65" s="103"/>
    </row>
    <row r="66" spans="1:11" ht="104.25" customHeight="1">
      <c r="A66" s="172" t="s">
        <v>72</v>
      </c>
      <c r="B66" s="172"/>
      <c r="C66" s="172"/>
      <c r="D66" s="172"/>
      <c r="E66" s="172"/>
      <c r="F66" s="172"/>
      <c r="G66" s="172"/>
      <c r="H66" s="172"/>
      <c r="I66" s="172"/>
      <c r="J66" s="172"/>
      <c r="K66" s="172"/>
    </row>
    <row r="67" spans="1:11" ht="25.5" customHeight="1">
      <c r="A67" s="172" t="s">
        <v>73</v>
      </c>
      <c r="B67" s="172"/>
      <c r="C67" s="172"/>
      <c r="D67" s="172"/>
      <c r="E67" s="172"/>
      <c r="F67" s="172"/>
      <c r="G67" s="172"/>
      <c r="H67" s="172"/>
      <c r="I67" s="172"/>
      <c r="J67" s="172"/>
      <c r="K67" s="172"/>
    </row>
    <row r="68" spans="1:11" ht="25.5" customHeight="1">
      <c r="A68" s="172" t="s">
        <v>74</v>
      </c>
      <c r="B68" s="172"/>
      <c r="C68" s="172"/>
      <c r="D68" s="172"/>
      <c r="E68" s="172"/>
      <c r="F68" s="172"/>
      <c r="G68" s="172"/>
      <c r="H68" s="172"/>
      <c r="I68" s="172"/>
      <c r="J68" s="172"/>
      <c r="K68" s="172"/>
    </row>
    <row r="69" spans="1:11" ht="25.5" customHeight="1">
      <c r="A69" s="103" t="s">
        <v>75</v>
      </c>
      <c r="B69" s="103"/>
      <c r="C69" s="103"/>
      <c r="D69" s="103"/>
      <c r="E69" s="103"/>
      <c r="F69" s="74"/>
      <c r="G69" s="103"/>
      <c r="H69" s="103"/>
      <c r="I69" s="103"/>
      <c r="J69" s="103"/>
      <c r="K69" s="103"/>
    </row>
    <row r="70" spans="1:11" ht="25.5" customHeight="1">
      <c r="A70" s="172" t="s">
        <v>76</v>
      </c>
      <c r="B70" s="172"/>
      <c r="C70" s="172"/>
      <c r="D70" s="172"/>
      <c r="E70" s="172"/>
      <c r="F70" s="172"/>
      <c r="G70" s="172"/>
      <c r="H70" s="172"/>
      <c r="I70" s="172"/>
      <c r="J70" s="172"/>
      <c r="K70" s="172"/>
    </row>
    <row r="71" spans="1:11" ht="19.5" customHeight="1">
      <c r="A71" s="119" t="s">
        <v>160</v>
      </c>
      <c r="B71" s="116"/>
      <c r="C71" s="116"/>
      <c r="D71" s="116"/>
      <c r="E71" s="116"/>
      <c r="F71" s="116"/>
      <c r="G71" s="116"/>
      <c r="H71" s="116"/>
      <c r="I71" s="116"/>
      <c r="J71" s="116"/>
      <c r="K71" s="116"/>
    </row>
    <row r="72" spans="1:11" ht="18.75" customHeight="1" thickBot="1">
      <c r="A72" s="171" t="s">
        <v>203</v>
      </c>
      <c r="B72" s="171"/>
      <c r="C72" s="171"/>
      <c r="D72" s="171"/>
      <c r="E72" s="171"/>
      <c r="F72" s="171"/>
      <c r="G72" s="171"/>
    </row>
    <row r="73" spans="1:11" s="85" customFormat="1" ht="33" customHeight="1" thickBot="1">
      <c r="A73" s="135"/>
      <c r="B73" s="136" t="s">
        <v>157</v>
      </c>
      <c r="C73" s="170" t="s">
        <v>204</v>
      </c>
      <c r="D73" s="170"/>
      <c r="E73" s="137"/>
      <c r="F73" s="135"/>
      <c r="G73" s="135"/>
    </row>
    <row r="74" spans="1:11" s="85" customFormat="1" ht="37.5" customHeight="1" thickBot="1">
      <c r="A74" s="135"/>
      <c r="B74" s="138" t="s">
        <v>148</v>
      </c>
      <c r="C74" s="169" t="s">
        <v>149</v>
      </c>
      <c r="D74" s="169"/>
      <c r="E74" s="137"/>
      <c r="F74" s="135"/>
      <c r="G74" s="135"/>
    </row>
    <row r="75" spans="1:11" s="85" customFormat="1" ht="18.75" customHeight="1" thickBot="1">
      <c r="A75" s="135"/>
      <c r="B75" s="138" t="s">
        <v>151</v>
      </c>
      <c r="C75" s="169" t="s">
        <v>152</v>
      </c>
      <c r="D75" s="169"/>
      <c r="E75" s="137"/>
      <c r="F75" s="135"/>
      <c r="G75" s="135"/>
    </row>
    <row r="76" spans="1:11" s="85" customFormat="1" ht="18.75" customHeight="1" thickBot="1">
      <c r="A76" s="135"/>
      <c r="B76" s="138" t="s">
        <v>153</v>
      </c>
      <c r="C76" s="169" t="s">
        <v>154</v>
      </c>
      <c r="D76" s="169"/>
      <c r="E76" s="137"/>
      <c r="F76" s="135"/>
      <c r="G76" s="135"/>
    </row>
    <row r="77" spans="1:11" s="85" customFormat="1" ht="18.75" customHeight="1">
      <c r="F77" s="75"/>
    </row>
    <row r="78" spans="1:11" s="85" customFormat="1" ht="18.75" customHeight="1">
      <c r="F78" s="75"/>
    </row>
    <row r="79" spans="1:11" s="85" customFormat="1" ht="18.75" customHeight="1">
      <c r="F79" s="75"/>
    </row>
    <row r="80" spans="1:11" s="85" customFormat="1" ht="18.75" customHeight="1">
      <c r="F80" s="75"/>
    </row>
    <row r="81" spans="6:6" s="85" customFormat="1" ht="18.75" customHeight="1">
      <c r="F81" s="75"/>
    </row>
    <row r="82" spans="6:6" s="85" customFormat="1" ht="18.75" customHeight="1">
      <c r="F82" s="75"/>
    </row>
    <row r="83" spans="6:6" s="85" customFormat="1" ht="18.75" customHeight="1">
      <c r="F83" s="75"/>
    </row>
    <row r="84" spans="6:6" s="85" customFormat="1" ht="18.75" customHeight="1">
      <c r="F84" s="75"/>
    </row>
    <row r="85" spans="6:6" s="85" customFormat="1" ht="18.75" customHeight="1">
      <c r="F85" s="75"/>
    </row>
    <row r="86" spans="6:6" s="85" customFormat="1" ht="18.75" customHeight="1">
      <c r="F86" s="75"/>
    </row>
    <row r="87" spans="6:6" s="85" customFormat="1" ht="18.75" customHeight="1">
      <c r="F87" s="75"/>
    </row>
    <row r="88" spans="6:6" s="85" customFormat="1" ht="18.75" customHeight="1">
      <c r="F88" s="75"/>
    </row>
    <row r="89" spans="6:6" s="85" customFormat="1" ht="18.75" customHeight="1">
      <c r="F89" s="75"/>
    </row>
    <row r="90" spans="6:6" s="85" customFormat="1" ht="18.75" customHeight="1">
      <c r="F90" s="75"/>
    </row>
    <row r="91" spans="6:6" s="85" customFormat="1" ht="18.75" customHeight="1">
      <c r="F91" s="75"/>
    </row>
    <row r="92" spans="6:6" s="85" customFormat="1" ht="18.75" customHeight="1">
      <c r="F92" s="75"/>
    </row>
    <row r="93" spans="6:6" s="85" customFormat="1" ht="18.75" customHeight="1">
      <c r="F93" s="75"/>
    </row>
    <row r="94" spans="6:6" s="85" customFormat="1" ht="18.75" customHeight="1">
      <c r="F94" s="75"/>
    </row>
    <row r="95" spans="6:6" s="85" customFormat="1" ht="18.75" customHeight="1">
      <c r="F95" s="75"/>
    </row>
    <row r="96" spans="6:6" s="85" customFormat="1" ht="18.75" customHeight="1">
      <c r="F96" s="75"/>
    </row>
    <row r="97" spans="6:6" s="85" customFormat="1" ht="18.75" customHeight="1">
      <c r="F97" s="75"/>
    </row>
    <row r="98" spans="6:6" s="85" customFormat="1" ht="18.75" customHeight="1">
      <c r="F98" s="75"/>
    </row>
    <row r="99" spans="6:6" s="85" customFormat="1" ht="18.75" customHeight="1">
      <c r="F99" s="75"/>
    </row>
    <row r="100" spans="6:6" s="85" customFormat="1" ht="18.75" customHeight="1">
      <c r="F100" s="75"/>
    </row>
    <row r="101" spans="6:6" s="85" customFormat="1" ht="18.75" customHeight="1">
      <c r="F101" s="75"/>
    </row>
    <row r="102" spans="6:6" s="85" customFormat="1" ht="18.75" customHeight="1">
      <c r="F102" s="75"/>
    </row>
    <row r="103" spans="6:6" s="85" customFormat="1" ht="18.75" customHeight="1">
      <c r="F103" s="75"/>
    </row>
    <row r="104" spans="6:6" s="85" customFormat="1" ht="18.75" customHeight="1">
      <c r="F104" s="75"/>
    </row>
    <row r="105" spans="6:6" s="85" customFormat="1" ht="18.75" customHeight="1">
      <c r="F105" s="75"/>
    </row>
    <row r="106" spans="6:6" s="85" customFormat="1" ht="18.75" customHeight="1">
      <c r="F106" s="75"/>
    </row>
    <row r="107" spans="6:6" s="85" customFormat="1" ht="18.75" customHeight="1">
      <c r="F107" s="75"/>
    </row>
    <row r="108" spans="6:6" s="85" customFormat="1" ht="18.75" customHeight="1">
      <c r="F108" s="75"/>
    </row>
    <row r="109" spans="6:6" s="85" customFormat="1" ht="18.75" customHeight="1">
      <c r="F109" s="75"/>
    </row>
    <row r="110" spans="6:6" s="85" customFormat="1" ht="18.75" customHeight="1">
      <c r="F110" s="75"/>
    </row>
    <row r="111" spans="6:6" s="85" customFormat="1" ht="18.75" customHeight="1">
      <c r="F111" s="75"/>
    </row>
    <row r="112" spans="6:6" s="85" customFormat="1" ht="12.75">
      <c r="F112" s="75"/>
    </row>
    <row r="113" spans="1:6" s="85" customFormat="1" ht="12.75">
      <c r="F113" s="75"/>
    </row>
    <row r="114" spans="1:6" s="85" customFormat="1" ht="12.75">
      <c r="F114" s="75"/>
    </row>
    <row r="115" spans="1:6" s="85" customFormat="1" ht="12.75">
      <c r="F115" s="75"/>
    </row>
    <row r="116" spans="1:6" s="85" customFormat="1" ht="12.75">
      <c r="F116" s="75"/>
    </row>
    <row r="117" spans="1:6" s="85" customFormat="1" ht="12.75">
      <c r="F117" s="75"/>
    </row>
    <row r="118" spans="1:6" s="85" customFormat="1" ht="12.75">
      <c r="F118" s="75"/>
    </row>
    <row r="119" spans="1:6" s="85" customFormat="1" ht="12.75">
      <c r="A119" s="104" t="s">
        <v>78</v>
      </c>
      <c r="F119" s="75"/>
    </row>
    <row r="120" spans="1:6" s="85" customFormat="1" ht="12.75">
      <c r="A120" s="85" t="s">
        <v>79</v>
      </c>
      <c r="F120" s="75"/>
    </row>
    <row r="121" spans="1:6" s="85" customFormat="1" ht="12.75">
      <c r="F121" s="75"/>
    </row>
    <row r="122" spans="1:6" s="85" customFormat="1" ht="12.75">
      <c r="F122" s="75"/>
    </row>
    <row r="123" spans="1:6" s="85" customFormat="1" ht="12.75">
      <c r="F123" s="75"/>
    </row>
    <row r="124" spans="1:6" s="85" customFormat="1" ht="12.75">
      <c r="F124" s="75"/>
    </row>
    <row r="125" spans="1:6" s="85" customFormat="1" ht="12.75">
      <c r="F125" s="75"/>
    </row>
    <row r="126" spans="1:6" s="85" customFormat="1" ht="12.75">
      <c r="A126" s="85" t="s">
        <v>80</v>
      </c>
      <c r="F126" s="75"/>
    </row>
    <row r="127" spans="1:6" s="85" customFormat="1" ht="12.75">
      <c r="A127" s="104" t="s">
        <v>81</v>
      </c>
      <c r="F127" s="75"/>
    </row>
    <row r="128" spans="1:6" s="85" customFormat="1" ht="12.75">
      <c r="A128" s="104" t="s">
        <v>82</v>
      </c>
      <c r="F128" s="75"/>
    </row>
    <row r="129" spans="1:6" s="85" customFormat="1" ht="12.75">
      <c r="A129" s="85" t="s">
        <v>83</v>
      </c>
      <c r="F129" s="75"/>
    </row>
    <row r="130" spans="1:6" s="85" customFormat="1" ht="12.75">
      <c r="F130" s="75"/>
    </row>
    <row r="131" spans="1:6" s="85" customFormat="1" ht="12.75">
      <c r="F131" s="75"/>
    </row>
    <row r="132" spans="1:6" s="85" customFormat="1" ht="12.75">
      <c r="F132" s="75"/>
    </row>
    <row r="133" spans="1:6" s="85" customFormat="1" ht="12.75">
      <c r="F133" s="75"/>
    </row>
    <row r="134" spans="1:6" s="85" customFormat="1" ht="12.75">
      <c r="F134" s="75"/>
    </row>
    <row r="135" spans="1:6" s="85" customFormat="1" ht="12.75">
      <c r="F135" s="75"/>
    </row>
    <row r="136" spans="1:6" s="85" customFormat="1" ht="12.75">
      <c r="F136" s="75"/>
    </row>
    <row r="137" spans="1:6" s="85" customFormat="1" ht="12.75">
      <c r="F137" s="75"/>
    </row>
    <row r="138" spans="1:6" s="85" customFormat="1" ht="12.75">
      <c r="F138" s="75"/>
    </row>
    <row r="139" spans="1:6" s="85" customFormat="1" ht="12.75">
      <c r="F139" s="75"/>
    </row>
    <row r="140" spans="1:6" s="85" customFormat="1" ht="12.75">
      <c r="F140" s="75"/>
    </row>
    <row r="141" spans="1:6" s="85" customFormat="1" ht="12.75">
      <c r="F141" s="75"/>
    </row>
    <row r="142" spans="1:6" s="85" customFormat="1" ht="12.75">
      <c r="F142" s="75"/>
    </row>
    <row r="143" spans="1:6" s="85" customFormat="1" ht="12.75">
      <c r="F143" s="75"/>
    </row>
    <row r="144" spans="1:6" s="85" customFormat="1" ht="12.75">
      <c r="F144" s="75"/>
    </row>
    <row r="145" spans="6:6" s="85" customFormat="1" ht="12.75">
      <c r="F145" s="75"/>
    </row>
    <row r="146" spans="6:6" s="85" customFormat="1" ht="12.75">
      <c r="F146" s="75"/>
    </row>
    <row r="147" spans="6:6" s="85" customFormat="1" ht="12.75">
      <c r="F147" s="75"/>
    </row>
    <row r="148" spans="6:6" s="85" customFormat="1" ht="12.75">
      <c r="F148" s="75"/>
    </row>
    <row r="149" spans="6:6" s="85" customFormat="1" ht="12.75">
      <c r="F149" s="75"/>
    </row>
    <row r="150" spans="6:6" s="85" customFormat="1" ht="12.75">
      <c r="F150" s="75"/>
    </row>
    <row r="151" spans="6:6" s="85" customFormat="1" ht="12.75">
      <c r="F151" s="75"/>
    </row>
    <row r="152" spans="6:6" s="85" customFormat="1" ht="12.75">
      <c r="F152" s="75"/>
    </row>
    <row r="153" spans="6:6" s="85" customFormat="1" ht="12.75">
      <c r="F153" s="75"/>
    </row>
    <row r="154" spans="6:6" s="85" customFormat="1" ht="12.75">
      <c r="F154" s="75"/>
    </row>
    <row r="155" spans="6:6" s="85" customFormat="1" ht="12.75">
      <c r="F155" s="75"/>
    </row>
    <row r="156" spans="6:6" s="85" customFormat="1" ht="12.75">
      <c r="F156" s="75"/>
    </row>
    <row r="157" spans="6:6" s="85" customFormat="1" ht="12.75">
      <c r="F157" s="75"/>
    </row>
    <row r="158" spans="6:6" s="85" customFormat="1" ht="12.75">
      <c r="F158" s="75"/>
    </row>
    <row r="159" spans="6:6" s="85" customFormat="1" ht="12.75">
      <c r="F159" s="75"/>
    </row>
    <row r="160" spans="6:6" s="85" customFormat="1" ht="12.75">
      <c r="F160" s="75"/>
    </row>
    <row r="161" spans="6:6" s="85" customFormat="1" ht="12.75">
      <c r="F161" s="75"/>
    </row>
    <row r="162" spans="6:6" s="85" customFormat="1" ht="12.75">
      <c r="F162" s="75"/>
    </row>
    <row r="163" spans="6:6" s="85" customFormat="1" ht="12.75">
      <c r="F163" s="75"/>
    </row>
    <row r="164" spans="6:6" s="85" customFormat="1" ht="12.75">
      <c r="F164" s="75"/>
    </row>
  </sheetData>
  <mergeCells count="22">
    <mergeCell ref="A1:I1"/>
    <mergeCell ref="A2:I2"/>
    <mergeCell ref="D7:E7"/>
    <mergeCell ref="A51:K51"/>
    <mergeCell ref="A53:K53"/>
    <mergeCell ref="A55:K55"/>
    <mergeCell ref="A57:K57"/>
    <mergeCell ref="A63:K63"/>
    <mergeCell ref="A70:K70"/>
    <mergeCell ref="A59:K59"/>
    <mergeCell ref="A56:K56"/>
    <mergeCell ref="A60:K60"/>
    <mergeCell ref="A62:K62"/>
    <mergeCell ref="A64:K64"/>
    <mergeCell ref="A66:K66"/>
    <mergeCell ref="A67:K67"/>
    <mergeCell ref="A68:K68"/>
    <mergeCell ref="C74:D74"/>
    <mergeCell ref="C75:D75"/>
    <mergeCell ref="C76:D76"/>
    <mergeCell ref="C73:D73"/>
    <mergeCell ref="A72:G72"/>
  </mergeCells>
  <phoneticPr fontId="3" type="noConversion"/>
  <dataValidations count="1">
    <dataValidation type="list" allowBlank="1" showInputMessage="1" showErrorMessage="1" sqref="G9:G23">
      <formula1>$A$126:$A$129</formula1>
    </dataValidation>
  </dataValidations>
  <printOptions horizontalCentered="1"/>
  <pageMargins left="0.51181102362204722" right="0.31496062992125984" top="0.6692913385826772" bottom="0.55118110236220474" header="0.31496062992125984" footer="0.31496062992125984"/>
  <pageSetup paperSize="9" scale="91" fitToHeight="5" orientation="landscape" blackAndWhite="1" r:id="rId1"/>
  <headerFooter>
    <oddHeader>&amp;R&amp;"Arial Narrow,常规"&amp;10&amp;P/&amp;N</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88"/>
  <sheetViews>
    <sheetView view="pageBreakPreview" topLeftCell="C1" zoomScale="120" zoomScaleNormal="120" zoomScaleSheetLayoutView="120" workbookViewId="0">
      <selection activeCell="L7" sqref="L7"/>
    </sheetView>
  </sheetViews>
  <sheetFormatPr defaultRowHeight="15.75"/>
  <cols>
    <col min="1" max="1" width="4.875" style="84" customWidth="1"/>
    <col min="2" max="2" width="53.625" style="84" customWidth="1"/>
    <col min="3" max="3" width="12.375" style="84" customWidth="1"/>
    <col min="4" max="4" width="4.375" style="84" customWidth="1"/>
    <col min="5" max="5" width="32.375" style="84" customWidth="1"/>
    <col min="6" max="6" width="11.375" style="72" customWidth="1"/>
    <col min="7" max="7" width="14" style="84" customWidth="1"/>
    <col min="8" max="8" width="9" style="84" customWidth="1"/>
    <col min="9" max="9" width="13.25" style="84" customWidth="1"/>
    <col min="10" max="16384" width="9" style="84"/>
  </cols>
  <sheetData>
    <row r="1" spans="1:9" ht="21.75" customHeight="1">
      <c r="A1" s="164" t="s">
        <v>21</v>
      </c>
      <c r="B1" s="164"/>
      <c r="C1" s="164"/>
      <c r="D1" s="164"/>
      <c r="E1" s="164"/>
      <c r="F1" s="164"/>
      <c r="G1" s="164"/>
      <c r="H1" s="164"/>
      <c r="I1" s="164"/>
    </row>
    <row r="2" spans="1:9" ht="27.95" customHeight="1">
      <c r="A2" s="165" t="s">
        <v>193</v>
      </c>
      <c r="B2" s="166"/>
      <c r="C2" s="166"/>
      <c r="D2" s="166"/>
      <c r="E2" s="166"/>
      <c r="F2" s="166"/>
      <c r="G2" s="166"/>
      <c r="H2" s="166"/>
      <c r="I2" s="166"/>
    </row>
    <row r="3" spans="1:9" ht="20.100000000000001" customHeight="1">
      <c r="A3" s="85" t="str">
        <f>'B23-13了解债务循环流程和内部控制记录表'!A3</f>
        <v>客户名称：</v>
      </c>
      <c r="C3" s="85" t="str">
        <f>'B23-13了解债务循环流程和内部控制记录表'!C3</f>
        <v>编制人：</v>
      </c>
      <c r="E3" s="85" t="str">
        <f>'B23-13了解债务循环流程和内部控制记录表'!D3</f>
        <v>日 期：</v>
      </c>
      <c r="I3" s="85" t="s">
        <v>201</v>
      </c>
    </row>
    <row r="4" spans="1:9" ht="20.100000000000001" customHeight="1">
      <c r="A4" s="85" t="str">
        <f>'B23-13了解债务循环流程和内部控制记录表'!A4</f>
        <v>会计期间：2013年度</v>
      </c>
      <c r="C4" s="85" t="s">
        <v>5</v>
      </c>
      <c r="E4" s="85" t="s">
        <v>24</v>
      </c>
      <c r="I4" s="85" t="s">
        <v>25</v>
      </c>
    </row>
    <row r="5" spans="1:9" ht="6" customHeight="1">
      <c r="A5" s="85"/>
      <c r="C5" s="85"/>
      <c r="E5" s="85"/>
      <c r="I5" s="85"/>
    </row>
    <row r="6" spans="1:9" ht="20.100000000000001" customHeight="1">
      <c r="A6" s="105" t="s">
        <v>143</v>
      </c>
      <c r="C6" s="85"/>
      <c r="E6" s="85"/>
      <c r="I6" s="85"/>
    </row>
    <row r="7" spans="1:9" s="86" customFormat="1" ht="56.25" customHeight="1">
      <c r="A7" s="131" t="s">
        <v>118</v>
      </c>
      <c r="B7" s="131" t="s">
        <v>77</v>
      </c>
      <c r="C7" s="131" t="s">
        <v>119</v>
      </c>
      <c r="D7" s="173" t="s">
        <v>84</v>
      </c>
      <c r="E7" s="173"/>
      <c r="F7" s="65" t="s">
        <v>103</v>
      </c>
      <c r="G7" s="65" t="s">
        <v>104</v>
      </c>
      <c r="H7" s="65" t="s">
        <v>105</v>
      </c>
      <c r="I7" s="65" t="s">
        <v>106</v>
      </c>
    </row>
    <row r="8" spans="1:9" s="86" customFormat="1">
      <c r="A8" s="87" t="s">
        <v>120</v>
      </c>
      <c r="B8" s="64"/>
      <c r="C8" s="64"/>
      <c r="D8" s="88"/>
      <c r="E8" s="58"/>
      <c r="F8" s="69"/>
      <c r="G8" s="64"/>
      <c r="H8" s="64"/>
      <c r="I8" s="64"/>
    </row>
    <row r="9" spans="1:9" s="86" customFormat="1" ht="18" customHeight="1">
      <c r="A9" s="129" t="s">
        <v>194</v>
      </c>
      <c r="B9" s="38"/>
      <c r="C9" s="90"/>
      <c r="D9" s="90"/>
      <c r="E9" s="90"/>
      <c r="F9" s="70"/>
      <c r="G9" s="90"/>
      <c r="H9" s="90"/>
      <c r="I9" s="90"/>
    </row>
    <row r="10" spans="1:9" s="86" customFormat="1" ht="18" customHeight="1">
      <c r="A10" s="89"/>
      <c r="B10" s="130" t="s">
        <v>183</v>
      </c>
      <c r="C10" s="90"/>
      <c r="D10" s="90">
        <v>1</v>
      </c>
      <c r="E10" s="90"/>
      <c r="F10" s="71">
        <f>IF(OR(G10&lt;&gt;0,H10&lt;&gt;0,I10&lt;&gt;0),1,0)</f>
        <v>0</v>
      </c>
      <c r="G10" s="90"/>
      <c r="H10" s="90"/>
      <c r="I10" s="90"/>
    </row>
    <row r="11" spans="1:9" s="86" customFormat="1" ht="18" customHeight="1">
      <c r="A11" s="89"/>
      <c r="B11" s="38"/>
      <c r="C11" s="90"/>
      <c r="D11" s="90">
        <v>2</v>
      </c>
      <c r="E11" s="90"/>
      <c r="F11" s="71">
        <f t="shared" ref="F11:F24" si="0">IF(OR(G11&lt;&gt;0,H11&lt;&gt;0,I11&lt;&gt;0),1,0)</f>
        <v>0</v>
      </c>
      <c r="G11" s="90"/>
      <c r="H11" s="90"/>
      <c r="I11" s="90"/>
    </row>
    <row r="12" spans="1:9" s="86" customFormat="1" ht="18" customHeight="1">
      <c r="A12" s="89"/>
      <c r="B12" s="38"/>
      <c r="C12" s="90"/>
      <c r="D12" s="90" t="s">
        <v>14</v>
      </c>
      <c r="E12" s="90"/>
      <c r="F12" s="71">
        <f t="shared" si="0"/>
        <v>0</v>
      </c>
      <c r="G12" s="90"/>
      <c r="H12" s="90"/>
      <c r="I12" s="90"/>
    </row>
    <row r="13" spans="1:9" ht="18" customHeight="1">
      <c r="A13" s="89"/>
      <c r="B13" s="130" t="s">
        <v>195</v>
      </c>
      <c r="C13" s="91"/>
      <c r="D13" s="91"/>
      <c r="E13" s="91"/>
      <c r="F13" s="71">
        <f t="shared" si="0"/>
        <v>0</v>
      </c>
      <c r="G13" s="90"/>
      <c r="H13" s="91"/>
      <c r="I13" s="90"/>
    </row>
    <row r="14" spans="1:9" ht="18" customHeight="1">
      <c r="A14" s="89"/>
      <c r="B14" s="130"/>
      <c r="C14" s="91"/>
      <c r="D14" s="91"/>
      <c r="E14" s="91"/>
      <c r="F14" s="71">
        <f t="shared" si="0"/>
        <v>0</v>
      </c>
      <c r="G14" s="90"/>
      <c r="H14" s="91"/>
      <c r="I14" s="90"/>
    </row>
    <row r="15" spans="1:9" ht="18" customHeight="1">
      <c r="A15" s="129" t="s">
        <v>196</v>
      </c>
      <c r="B15" s="38"/>
      <c r="C15" s="91"/>
      <c r="D15" s="91"/>
      <c r="E15" s="91"/>
      <c r="F15" s="71">
        <f t="shared" si="0"/>
        <v>0</v>
      </c>
      <c r="G15" s="90"/>
      <c r="H15" s="91"/>
      <c r="I15" s="90"/>
    </row>
    <row r="16" spans="1:9" ht="18" customHeight="1">
      <c r="A16" s="89"/>
      <c r="B16" s="130" t="s">
        <v>185</v>
      </c>
      <c r="C16" s="91"/>
      <c r="D16" s="91"/>
      <c r="E16" s="91"/>
      <c r="F16" s="71">
        <f>IF(OR(G16&lt;&gt;0,H16&lt;&gt;0,I16&lt;&gt;0),1,0)</f>
        <v>0</v>
      </c>
      <c r="G16" s="90"/>
      <c r="H16" s="91"/>
      <c r="I16" s="90"/>
    </row>
    <row r="17" spans="1:9" ht="18" customHeight="1">
      <c r="A17" s="89"/>
      <c r="B17" s="38"/>
      <c r="C17" s="91"/>
      <c r="D17" s="91"/>
      <c r="E17" s="91"/>
      <c r="F17" s="71">
        <f t="shared" si="0"/>
        <v>0</v>
      </c>
      <c r="G17" s="90"/>
      <c r="H17" s="91"/>
      <c r="I17" s="90"/>
    </row>
    <row r="18" spans="1:9" ht="18" customHeight="1">
      <c r="A18" s="129" t="s">
        <v>197</v>
      </c>
      <c r="B18" s="38"/>
      <c r="C18" s="91"/>
      <c r="D18" s="91"/>
      <c r="E18" s="91"/>
      <c r="F18" s="71">
        <f t="shared" si="0"/>
        <v>0</v>
      </c>
      <c r="G18" s="90"/>
      <c r="H18" s="91"/>
      <c r="I18" s="90"/>
    </row>
    <row r="19" spans="1:9" ht="18" customHeight="1">
      <c r="A19" s="38"/>
      <c r="B19" s="130" t="s">
        <v>198</v>
      </c>
      <c r="C19" s="91"/>
      <c r="D19" s="91"/>
      <c r="E19" s="91"/>
      <c r="F19" s="71">
        <f>IF(OR(G19&lt;&gt;0,H19&lt;&gt;0,I19&lt;&gt;0),1,0)</f>
        <v>0</v>
      </c>
      <c r="G19" s="90"/>
      <c r="H19" s="91"/>
      <c r="I19" s="90"/>
    </row>
    <row r="20" spans="1:9" ht="18" customHeight="1">
      <c r="A20" s="89"/>
      <c r="B20" s="38"/>
      <c r="C20" s="91"/>
      <c r="D20" s="91"/>
      <c r="E20" s="91"/>
      <c r="F20" s="71">
        <f t="shared" si="0"/>
        <v>0</v>
      </c>
      <c r="G20" s="90"/>
      <c r="H20" s="91"/>
      <c r="I20" s="90"/>
    </row>
    <row r="21" spans="1:9" ht="18" customHeight="1">
      <c r="A21" s="129" t="s">
        <v>199</v>
      </c>
      <c r="B21" s="38"/>
      <c r="C21" s="91"/>
      <c r="D21" s="91"/>
      <c r="E21" s="91"/>
      <c r="F21" s="71">
        <f t="shared" si="0"/>
        <v>0</v>
      </c>
      <c r="G21" s="90"/>
      <c r="H21" s="91"/>
      <c r="I21" s="90"/>
    </row>
    <row r="22" spans="1:9" ht="18" customHeight="1">
      <c r="A22" s="89"/>
      <c r="B22" s="130" t="s">
        <v>188</v>
      </c>
      <c r="C22" s="91"/>
      <c r="D22" s="91"/>
      <c r="E22" s="91"/>
      <c r="F22" s="71">
        <f t="shared" si="0"/>
        <v>0</v>
      </c>
      <c r="G22" s="90"/>
      <c r="H22" s="91"/>
      <c r="I22" s="90"/>
    </row>
    <row r="23" spans="1:9" ht="18" customHeight="1">
      <c r="A23" s="89"/>
      <c r="B23" s="38"/>
      <c r="C23" s="91"/>
      <c r="D23" s="91"/>
      <c r="E23" s="91"/>
      <c r="F23" s="71">
        <f t="shared" si="0"/>
        <v>0</v>
      </c>
      <c r="G23" s="90"/>
      <c r="H23" s="91"/>
      <c r="I23" s="90"/>
    </row>
    <row r="24" spans="1:9" ht="18" customHeight="1">
      <c r="A24" s="89"/>
      <c r="B24" s="38"/>
      <c r="C24" s="91"/>
      <c r="D24" s="91"/>
      <c r="E24" s="91"/>
      <c r="F24" s="71">
        <f t="shared" si="0"/>
        <v>0</v>
      </c>
      <c r="G24" s="90"/>
      <c r="H24" s="91"/>
      <c r="I24" s="90"/>
    </row>
    <row r="25" spans="1:9" ht="18" customHeight="1">
      <c r="A25" s="108"/>
      <c r="B25" s="107"/>
      <c r="C25" s="106" t="s">
        <v>140</v>
      </c>
      <c r="D25" s="109"/>
      <c r="E25" s="109"/>
      <c r="F25" s="110">
        <f>SUM(F10:F24)</f>
        <v>0</v>
      </c>
      <c r="G25" s="111">
        <f>COUNTA(G10:G24)</f>
        <v>0</v>
      </c>
      <c r="H25" s="111">
        <f t="shared" ref="H25" si="1">COUNTA(H10:H24)</f>
        <v>0</v>
      </c>
      <c r="I25" s="111">
        <f>COUNTA(I10:I24)</f>
        <v>0</v>
      </c>
    </row>
    <row r="26" spans="1:9" ht="18" customHeight="1">
      <c r="A26" s="89"/>
      <c r="B26" s="38"/>
      <c r="C26" s="91"/>
      <c r="D26" s="91"/>
      <c r="E26" s="91"/>
      <c r="F26" s="92"/>
      <c r="G26" s="93" t="e">
        <f>G25/F25</f>
        <v>#DIV/0!</v>
      </c>
      <c r="H26" s="93" t="e">
        <f>H25/F25</f>
        <v>#DIV/0!</v>
      </c>
      <c r="I26" s="93" t="e">
        <f>I25/F25</f>
        <v>#DIV/0!</v>
      </c>
    </row>
    <row r="27" spans="1:9" ht="18" customHeight="1">
      <c r="A27" s="89"/>
      <c r="B27" s="38"/>
      <c r="C27" s="91"/>
      <c r="D27" s="91"/>
      <c r="E27" s="91"/>
      <c r="F27" s="113" t="s">
        <v>141</v>
      </c>
      <c r="G27" s="94" t="s">
        <v>107</v>
      </c>
      <c r="H27" s="94" t="s">
        <v>108</v>
      </c>
      <c r="I27" s="94" t="s">
        <v>109</v>
      </c>
    </row>
    <row r="28" spans="1:9" ht="18" customHeight="1">
      <c r="A28" s="95" t="s">
        <v>121</v>
      </c>
      <c r="B28" s="38"/>
      <c r="C28" s="91"/>
      <c r="D28" s="91"/>
      <c r="E28" s="91"/>
      <c r="F28" s="71"/>
      <c r="G28" s="91"/>
      <c r="H28" s="91"/>
      <c r="I28" s="90"/>
    </row>
    <row r="29" spans="1:9" s="86" customFormat="1" ht="18" customHeight="1">
      <c r="A29" s="129" t="s">
        <v>194</v>
      </c>
      <c r="B29" s="38"/>
      <c r="C29" s="90"/>
      <c r="D29" s="90"/>
      <c r="E29" s="90"/>
      <c r="F29" s="70"/>
      <c r="G29" s="90"/>
      <c r="H29" s="90"/>
      <c r="I29" s="90"/>
    </row>
    <row r="30" spans="1:9" s="86" customFormat="1" ht="18" customHeight="1">
      <c r="A30" s="89"/>
      <c r="B30" s="130" t="s">
        <v>183</v>
      </c>
      <c r="C30" s="90"/>
      <c r="D30" s="90">
        <v>1</v>
      </c>
      <c r="E30" s="90"/>
      <c r="F30" s="71">
        <f>IF(OR(G30&lt;&gt;0,H30&lt;&gt;0,I30&lt;&gt;0),1,0)</f>
        <v>0</v>
      </c>
      <c r="G30" s="90"/>
      <c r="H30" s="90"/>
      <c r="I30" s="90"/>
    </row>
    <row r="31" spans="1:9" s="86" customFormat="1" ht="18" customHeight="1">
      <c r="A31" s="89"/>
      <c r="B31" s="38"/>
      <c r="C31" s="90"/>
      <c r="D31" s="90">
        <v>2</v>
      </c>
      <c r="E31" s="90"/>
      <c r="F31" s="71">
        <f t="shared" ref="F31:F35" si="2">IF(OR(G31&lt;&gt;0,H31&lt;&gt;0,I31&lt;&gt;0),1,0)</f>
        <v>0</v>
      </c>
      <c r="G31" s="90"/>
      <c r="H31" s="90"/>
      <c r="I31" s="90"/>
    </row>
    <row r="32" spans="1:9" s="86" customFormat="1" ht="18" customHeight="1">
      <c r="A32" s="89"/>
      <c r="B32" s="38"/>
      <c r="C32" s="90"/>
      <c r="D32" s="90" t="s">
        <v>14</v>
      </c>
      <c r="E32" s="90"/>
      <c r="F32" s="71">
        <f t="shared" si="2"/>
        <v>0</v>
      </c>
      <c r="G32" s="90"/>
      <c r="H32" s="90"/>
      <c r="I32" s="90"/>
    </row>
    <row r="33" spans="1:9" ht="18" customHeight="1">
      <c r="A33" s="89"/>
      <c r="B33" s="130" t="s">
        <v>195</v>
      </c>
      <c r="C33" s="91"/>
      <c r="D33" s="91"/>
      <c r="E33" s="91"/>
      <c r="F33" s="71">
        <f t="shared" si="2"/>
        <v>0</v>
      </c>
      <c r="G33" s="90"/>
      <c r="H33" s="91"/>
      <c r="I33" s="90"/>
    </row>
    <row r="34" spans="1:9" ht="18" customHeight="1">
      <c r="A34" s="89"/>
      <c r="B34" s="130"/>
      <c r="C34" s="91"/>
      <c r="D34" s="91"/>
      <c r="E34" s="91"/>
      <c r="F34" s="71">
        <f t="shared" si="2"/>
        <v>0</v>
      </c>
      <c r="G34" s="90"/>
      <c r="H34" s="91"/>
      <c r="I34" s="90"/>
    </row>
    <row r="35" spans="1:9" ht="18" customHeight="1">
      <c r="A35" s="129" t="s">
        <v>196</v>
      </c>
      <c r="B35" s="38"/>
      <c r="C35" s="91"/>
      <c r="D35" s="91"/>
      <c r="E35" s="91"/>
      <c r="F35" s="71">
        <f t="shared" si="2"/>
        <v>0</v>
      </c>
      <c r="G35" s="90"/>
      <c r="H35" s="91"/>
      <c r="I35" s="90"/>
    </row>
    <row r="36" spans="1:9" ht="18" customHeight="1">
      <c r="A36" s="89"/>
      <c r="B36" s="130" t="s">
        <v>185</v>
      </c>
      <c r="C36" s="91"/>
      <c r="D36" s="91"/>
      <c r="E36" s="91"/>
      <c r="F36" s="71">
        <f>IF(OR(G36&lt;&gt;0,H36&lt;&gt;0,I36&lt;&gt;0),1,0)</f>
        <v>0</v>
      </c>
      <c r="G36" s="90"/>
      <c r="H36" s="91"/>
      <c r="I36" s="90"/>
    </row>
    <row r="37" spans="1:9" ht="18" customHeight="1">
      <c r="A37" s="89"/>
      <c r="B37" s="38"/>
      <c r="C37" s="91"/>
      <c r="D37" s="91"/>
      <c r="E37" s="91"/>
      <c r="F37" s="71">
        <f t="shared" ref="F37:F38" si="3">IF(OR(G37&lt;&gt;0,H37&lt;&gt;0,I37&lt;&gt;0),1,0)</f>
        <v>0</v>
      </c>
      <c r="G37" s="90"/>
      <c r="H37" s="91"/>
      <c r="I37" s="90"/>
    </row>
    <row r="38" spans="1:9" ht="18" customHeight="1">
      <c r="A38" s="129" t="s">
        <v>197</v>
      </c>
      <c r="B38" s="38"/>
      <c r="C38" s="91"/>
      <c r="D38" s="91"/>
      <c r="E38" s="91"/>
      <c r="F38" s="71">
        <f t="shared" si="3"/>
        <v>0</v>
      </c>
      <c r="G38" s="90"/>
      <c r="H38" s="91"/>
      <c r="I38" s="90"/>
    </row>
    <row r="39" spans="1:9" ht="18" customHeight="1">
      <c r="A39" s="38"/>
      <c r="B39" s="130" t="s">
        <v>198</v>
      </c>
      <c r="C39" s="91"/>
      <c r="D39" s="91"/>
      <c r="E39" s="91"/>
      <c r="F39" s="71">
        <f>IF(OR(G39&lt;&gt;0,H39&lt;&gt;0,I39&lt;&gt;0),1,0)</f>
        <v>0</v>
      </c>
      <c r="G39" s="90"/>
      <c r="H39" s="91"/>
      <c r="I39" s="90"/>
    </row>
    <row r="40" spans="1:9" ht="18" customHeight="1">
      <c r="A40" s="89"/>
      <c r="B40" s="38"/>
      <c r="C40" s="91"/>
      <c r="D40" s="91"/>
      <c r="E40" s="91"/>
      <c r="F40" s="71">
        <f t="shared" ref="F40:F44" si="4">IF(OR(G40&lt;&gt;0,H40&lt;&gt;0,I40&lt;&gt;0),1,0)</f>
        <v>0</v>
      </c>
      <c r="G40" s="90"/>
      <c r="H40" s="91"/>
      <c r="I40" s="90"/>
    </row>
    <row r="41" spans="1:9" ht="18" customHeight="1">
      <c r="A41" s="129" t="s">
        <v>199</v>
      </c>
      <c r="B41" s="38"/>
      <c r="C41" s="91"/>
      <c r="D41" s="91"/>
      <c r="E41" s="91"/>
      <c r="F41" s="71">
        <f t="shared" si="4"/>
        <v>0</v>
      </c>
      <c r="G41" s="90"/>
      <c r="H41" s="91"/>
      <c r="I41" s="90"/>
    </row>
    <row r="42" spans="1:9" ht="18" customHeight="1">
      <c r="A42" s="89"/>
      <c r="B42" s="130" t="s">
        <v>188</v>
      </c>
      <c r="C42" s="91"/>
      <c r="D42" s="91"/>
      <c r="E42" s="91"/>
      <c r="F42" s="71">
        <f t="shared" si="4"/>
        <v>0</v>
      </c>
      <c r="G42" s="90"/>
      <c r="H42" s="91"/>
      <c r="I42" s="90"/>
    </row>
    <row r="43" spans="1:9" ht="18" customHeight="1">
      <c r="A43" s="89"/>
      <c r="B43" s="38"/>
      <c r="C43" s="91"/>
      <c r="D43" s="91"/>
      <c r="E43" s="91"/>
      <c r="F43" s="71">
        <f t="shared" si="4"/>
        <v>0</v>
      </c>
      <c r="G43" s="90"/>
      <c r="H43" s="91"/>
      <c r="I43" s="90"/>
    </row>
    <row r="44" spans="1:9" ht="18" customHeight="1">
      <c r="A44" s="89"/>
      <c r="B44" s="38"/>
      <c r="C44" s="91"/>
      <c r="D44" s="91"/>
      <c r="E44" s="91"/>
      <c r="F44" s="71">
        <f t="shared" si="4"/>
        <v>0</v>
      </c>
      <c r="G44" s="90"/>
      <c r="H44" s="91"/>
      <c r="I44" s="90"/>
    </row>
    <row r="45" spans="1:9" ht="18" customHeight="1">
      <c r="A45" s="108"/>
      <c r="B45" s="112"/>
      <c r="C45" s="106" t="s">
        <v>140</v>
      </c>
      <c r="D45" s="109"/>
      <c r="E45" s="109"/>
      <c r="F45" s="110">
        <f>SUM(F30:F44)</f>
        <v>0</v>
      </c>
      <c r="G45" s="111">
        <f>COUNTA(G30:G44)</f>
        <v>0</v>
      </c>
      <c r="H45" s="111">
        <f>COUNTA(H30:H44)</f>
        <v>0</v>
      </c>
      <c r="I45" s="111">
        <f>COUNTA(I30:I44)</f>
        <v>0</v>
      </c>
    </row>
    <row r="46" spans="1:9" ht="18" customHeight="1">
      <c r="A46" s="89"/>
      <c r="B46" s="38"/>
      <c r="C46" s="91"/>
      <c r="D46" s="91"/>
      <c r="E46" s="91"/>
      <c r="F46" s="92"/>
      <c r="G46" s="93" t="e">
        <f>G45/F45</f>
        <v>#DIV/0!</v>
      </c>
      <c r="H46" s="93" t="e">
        <f>H45/F45</f>
        <v>#DIV/0!</v>
      </c>
      <c r="I46" s="93" t="e">
        <f>I45/F45</f>
        <v>#DIV/0!</v>
      </c>
    </row>
    <row r="47" spans="1:9">
      <c r="A47" s="96"/>
      <c r="B47" s="96"/>
      <c r="C47" s="96"/>
      <c r="D47" s="96"/>
      <c r="E47" s="96"/>
      <c r="F47" s="113" t="s">
        <v>142</v>
      </c>
      <c r="G47" s="94" t="s">
        <v>110</v>
      </c>
      <c r="H47" s="94" t="s">
        <v>110</v>
      </c>
      <c r="I47" s="94" t="s">
        <v>110</v>
      </c>
    </row>
    <row r="48" spans="1:9">
      <c r="A48" s="97" t="s">
        <v>23</v>
      </c>
    </row>
    <row r="49" spans="1:11">
      <c r="A49" s="98" t="s">
        <v>32</v>
      </c>
    </row>
    <row r="50" spans="1:11">
      <c r="A50" s="98" t="s">
        <v>33</v>
      </c>
    </row>
    <row r="51" spans="1:11">
      <c r="A51" s="98" t="s">
        <v>34</v>
      </c>
    </row>
    <row r="52" spans="1:11">
      <c r="A52" s="98" t="s">
        <v>35</v>
      </c>
    </row>
    <row r="53" spans="1:11">
      <c r="A53" s="98" t="s">
        <v>36</v>
      </c>
    </row>
    <row r="54" spans="1:11">
      <c r="A54" s="98" t="s">
        <v>37</v>
      </c>
    </row>
    <row r="55" spans="1:11">
      <c r="A55" s="98" t="s">
        <v>38</v>
      </c>
    </row>
    <row r="56" spans="1:11">
      <c r="A56" s="98" t="s">
        <v>39</v>
      </c>
    </row>
    <row r="57" spans="1:11">
      <c r="A57" s="98" t="s">
        <v>40</v>
      </c>
    </row>
    <row r="58" spans="1:11">
      <c r="A58" s="98" t="s">
        <v>41</v>
      </c>
    </row>
    <row r="59" spans="1:11">
      <c r="A59" s="98" t="s">
        <v>42</v>
      </c>
    </row>
    <row r="60" spans="1:11">
      <c r="A60" s="98" t="s">
        <v>43</v>
      </c>
    </row>
    <row r="61" spans="1:11">
      <c r="A61" s="98" t="s">
        <v>44</v>
      </c>
    </row>
    <row r="62" spans="1:11">
      <c r="A62" s="98" t="s">
        <v>45</v>
      </c>
    </row>
    <row r="63" spans="1:11">
      <c r="A63" s="119" t="s">
        <v>159</v>
      </c>
      <c r="B63" s="99"/>
      <c r="C63" s="99"/>
      <c r="D63" s="99"/>
      <c r="E63" s="99"/>
      <c r="F63" s="73"/>
      <c r="G63" s="99"/>
      <c r="H63" s="99"/>
      <c r="I63" s="99"/>
      <c r="J63" s="99"/>
      <c r="K63" s="99"/>
    </row>
    <row r="64" spans="1:11">
      <c r="A64" s="100" t="s">
        <v>46</v>
      </c>
      <c r="B64" s="100"/>
    </row>
    <row r="65" spans="1:11">
      <c r="A65" s="100" t="s">
        <v>47</v>
      </c>
      <c r="B65" s="100"/>
    </row>
    <row r="66" spans="1:11">
      <c r="A66" s="100" t="s">
        <v>48</v>
      </c>
      <c r="B66" s="100"/>
    </row>
    <row r="67" spans="1:11">
      <c r="A67" s="101" t="s">
        <v>49</v>
      </c>
      <c r="B67" s="101" t="s">
        <v>50</v>
      </c>
    </row>
    <row r="68" spans="1:11">
      <c r="A68" s="102">
        <v>1</v>
      </c>
      <c r="B68" s="102" t="s">
        <v>51</v>
      </c>
    </row>
    <row r="69" spans="1:11">
      <c r="A69" s="102">
        <v>2</v>
      </c>
      <c r="B69" s="102" t="s">
        <v>52</v>
      </c>
    </row>
    <row r="70" spans="1:11">
      <c r="A70" s="102">
        <v>3</v>
      </c>
      <c r="B70" s="102" t="s">
        <v>53</v>
      </c>
    </row>
    <row r="71" spans="1:11">
      <c r="A71" s="102">
        <v>4</v>
      </c>
      <c r="B71" s="102" t="s">
        <v>54</v>
      </c>
    </row>
    <row r="72" spans="1:11" ht="106.5" customHeight="1">
      <c r="A72" s="172" t="s">
        <v>147</v>
      </c>
      <c r="B72" s="172"/>
      <c r="C72" s="172"/>
      <c r="D72" s="172"/>
      <c r="E72" s="172"/>
      <c r="F72" s="172"/>
      <c r="G72" s="172"/>
      <c r="H72" s="172"/>
      <c r="I72" s="172"/>
      <c r="J72" s="172"/>
      <c r="K72" s="172"/>
    </row>
    <row r="73" spans="1:11" ht="21.75" customHeight="1">
      <c r="A73" s="103" t="s">
        <v>58</v>
      </c>
      <c r="B73" s="103"/>
      <c r="C73" s="103"/>
      <c r="D73" s="103"/>
      <c r="E73" s="103"/>
      <c r="F73" s="74"/>
      <c r="G73" s="103"/>
      <c r="H73" s="103"/>
      <c r="I73" s="103"/>
      <c r="J73" s="103"/>
      <c r="K73" s="103"/>
    </row>
    <row r="74" spans="1:11" ht="25.5" customHeight="1">
      <c r="A74" s="172" t="s">
        <v>59</v>
      </c>
      <c r="B74" s="172"/>
      <c r="C74" s="172"/>
      <c r="D74" s="172"/>
      <c r="E74" s="172"/>
      <c r="F74" s="172"/>
      <c r="G74" s="172"/>
      <c r="H74" s="172"/>
      <c r="I74" s="172"/>
      <c r="J74" s="172"/>
      <c r="K74" s="172"/>
    </row>
    <row r="75" spans="1:11" ht="25.5" customHeight="1">
      <c r="A75" s="103" t="s">
        <v>60</v>
      </c>
      <c r="B75" s="103"/>
      <c r="C75" s="103"/>
      <c r="D75" s="103"/>
      <c r="E75" s="103"/>
      <c r="F75" s="74"/>
      <c r="G75" s="103"/>
      <c r="H75" s="103"/>
      <c r="I75" s="103"/>
      <c r="J75" s="103"/>
      <c r="K75" s="103"/>
    </row>
    <row r="76" spans="1:11" ht="25.5" customHeight="1">
      <c r="A76" s="172" t="s">
        <v>61</v>
      </c>
      <c r="B76" s="172"/>
      <c r="C76" s="172"/>
      <c r="D76" s="172"/>
      <c r="E76" s="172"/>
      <c r="F76" s="172"/>
      <c r="G76" s="172"/>
      <c r="H76" s="172"/>
      <c r="I76" s="172"/>
      <c r="J76" s="172"/>
      <c r="K76" s="172"/>
    </row>
    <row r="77" spans="1:11" ht="34.5" customHeight="1">
      <c r="A77" s="172" t="s">
        <v>62</v>
      </c>
      <c r="B77" s="172"/>
      <c r="C77" s="172"/>
      <c r="D77" s="172"/>
      <c r="E77" s="172"/>
      <c r="F77" s="172"/>
      <c r="G77" s="172"/>
      <c r="H77" s="172"/>
      <c r="I77" s="172"/>
      <c r="J77" s="172"/>
      <c r="K77" s="172"/>
    </row>
    <row r="78" spans="1:11" ht="25.5" customHeight="1">
      <c r="A78" s="172" t="s">
        <v>63</v>
      </c>
      <c r="B78" s="172"/>
      <c r="C78" s="172"/>
      <c r="D78" s="172"/>
      <c r="E78" s="172"/>
      <c r="F78" s="172"/>
      <c r="G78" s="172"/>
      <c r="H78" s="172"/>
      <c r="I78" s="172"/>
      <c r="J78" s="172"/>
      <c r="K78" s="172"/>
    </row>
    <row r="79" spans="1:11" ht="25.5" customHeight="1">
      <c r="A79" s="103" t="s">
        <v>64</v>
      </c>
      <c r="B79" s="103"/>
      <c r="C79" s="103"/>
      <c r="D79" s="103"/>
      <c r="E79" s="103"/>
      <c r="F79" s="74"/>
      <c r="G79" s="103"/>
      <c r="H79" s="103"/>
      <c r="I79" s="103"/>
      <c r="J79" s="103"/>
      <c r="K79" s="103"/>
    </row>
    <row r="80" spans="1:11" ht="113.25" customHeight="1">
      <c r="A80" s="172" t="s">
        <v>65</v>
      </c>
      <c r="B80" s="172"/>
      <c r="C80" s="172"/>
      <c r="D80" s="172"/>
      <c r="E80" s="172"/>
      <c r="F80" s="172"/>
      <c r="G80" s="172"/>
      <c r="H80" s="172"/>
      <c r="I80" s="172"/>
      <c r="J80" s="172"/>
      <c r="K80" s="172"/>
    </row>
    <row r="81" spans="1:11" ht="25.5" customHeight="1">
      <c r="A81" s="172" t="s">
        <v>66</v>
      </c>
      <c r="B81" s="172"/>
      <c r="C81" s="172"/>
      <c r="D81" s="172"/>
      <c r="E81" s="172"/>
      <c r="F81" s="172"/>
      <c r="G81" s="172"/>
      <c r="H81" s="172"/>
      <c r="I81" s="172"/>
      <c r="J81" s="172"/>
      <c r="K81" s="172"/>
    </row>
    <row r="82" spans="1:11" ht="25.5" customHeight="1">
      <c r="A82" s="103" t="s">
        <v>67</v>
      </c>
      <c r="B82" s="103"/>
      <c r="C82" s="103"/>
      <c r="D82" s="103"/>
      <c r="E82" s="103"/>
      <c r="F82" s="74"/>
      <c r="G82" s="103"/>
      <c r="H82" s="103"/>
      <c r="I82" s="103"/>
      <c r="J82" s="103"/>
      <c r="K82" s="103"/>
    </row>
    <row r="83" spans="1:11" ht="25.5" customHeight="1">
      <c r="A83" s="172" t="s">
        <v>68</v>
      </c>
      <c r="B83" s="172"/>
      <c r="C83" s="172"/>
      <c r="D83" s="172"/>
      <c r="E83" s="172"/>
      <c r="F83" s="172"/>
      <c r="G83" s="172"/>
      <c r="H83" s="172"/>
      <c r="I83" s="172"/>
      <c r="J83" s="172"/>
      <c r="K83" s="172"/>
    </row>
    <row r="84" spans="1:11" ht="25.5" customHeight="1">
      <c r="A84" s="172" t="s">
        <v>69</v>
      </c>
      <c r="B84" s="172"/>
      <c r="C84" s="172"/>
      <c r="D84" s="172"/>
      <c r="E84" s="172"/>
      <c r="F84" s="172"/>
      <c r="G84" s="172"/>
      <c r="H84" s="172"/>
      <c r="I84" s="172"/>
      <c r="J84" s="172"/>
      <c r="K84" s="172"/>
    </row>
    <row r="85" spans="1:11" ht="25.5" customHeight="1">
      <c r="A85" s="172" t="s">
        <v>71</v>
      </c>
      <c r="B85" s="172"/>
      <c r="C85" s="172"/>
      <c r="D85" s="172"/>
      <c r="E85" s="172"/>
      <c r="F85" s="172"/>
      <c r="G85" s="172"/>
      <c r="H85" s="172"/>
      <c r="I85" s="172"/>
      <c r="J85" s="172"/>
      <c r="K85" s="172"/>
    </row>
    <row r="86" spans="1:11" ht="25.5" customHeight="1">
      <c r="A86" s="103" t="s">
        <v>70</v>
      </c>
      <c r="B86" s="103"/>
      <c r="C86" s="103"/>
      <c r="D86" s="103"/>
      <c r="E86" s="103"/>
      <c r="F86" s="74"/>
      <c r="G86" s="103"/>
      <c r="H86" s="103"/>
      <c r="I86" s="103"/>
      <c r="J86" s="103"/>
      <c r="K86" s="103"/>
    </row>
    <row r="87" spans="1:11" ht="104.25" customHeight="1">
      <c r="A87" s="172" t="s">
        <v>72</v>
      </c>
      <c r="B87" s="172"/>
      <c r="C87" s="172"/>
      <c r="D87" s="172"/>
      <c r="E87" s="172"/>
      <c r="F87" s="172"/>
      <c r="G87" s="172"/>
      <c r="H87" s="172"/>
      <c r="I87" s="172"/>
      <c r="J87" s="172"/>
      <c r="K87" s="172"/>
    </row>
    <row r="88" spans="1:11" ht="25.5" customHeight="1">
      <c r="A88" s="172" t="s">
        <v>73</v>
      </c>
      <c r="B88" s="172"/>
      <c r="C88" s="172"/>
      <c r="D88" s="172"/>
      <c r="E88" s="172"/>
      <c r="F88" s="172"/>
      <c r="G88" s="172"/>
      <c r="H88" s="172"/>
      <c r="I88" s="172"/>
      <c r="J88" s="172"/>
      <c r="K88" s="172"/>
    </row>
    <row r="89" spans="1:11" ht="25.5" customHeight="1">
      <c r="A89" s="172" t="s">
        <v>74</v>
      </c>
      <c r="B89" s="172"/>
      <c r="C89" s="172"/>
      <c r="D89" s="172"/>
      <c r="E89" s="172"/>
      <c r="F89" s="172"/>
      <c r="G89" s="172"/>
      <c r="H89" s="172"/>
      <c r="I89" s="172"/>
      <c r="J89" s="172"/>
      <c r="K89" s="172"/>
    </row>
    <row r="90" spans="1:11" ht="25.5" customHeight="1">
      <c r="A90" s="103" t="s">
        <v>75</v>
      </c>
      <c r="B90" s="103"/>
      <c r="C90" s="103"/>
      <c r="D90" s="103"/>
      <c r="E90" s="103"/>
      <c r="F90" s="74"/>
      <c r="G90" s="103"/>
      <c r="H90" s="103"/>
      <c r="I90" s="103"/>
      <c r="J90" s="103"/>
      <c r="K90" s="103"/>
    </row>
    <row r="91" spans="1:11" ht="25.5" customHeight="1">
      <c r="A91" s="172" t="s">
        <v>76</v>
      </c>
      <c r="B91" s="172"/>
      <c r="C91" s="172"/>
      <c r="D91" s="172"/>
      <c r="E91" s="172"/>
      <c r="F91" s="172"/>
      <c r="G91" s="172"/>
      <c r="H91" s="172"/>
      <c r="I91" s="172"/>
      <c r="J91" s="172"/>
      <c r="K91" s="172"/>
    </row>
    <row r="92" spans="1:11" ht="19.5" customHeight="1">
      <c r="A92" s="119" t="s">
        <v>160</v>
      </c>
      <c r="B92" s="132"/>
      <c r="C92" s="132"/>
      <c r="D92" s="132"/>
      <c r="E92" s="132"/>
      <c r="F92" s="132"/>
      <c r="G92" s="132"/>
      <c r="H92" s="132"/>
      <c r="I92" s="132"/>
      <c r="J92" s="132"/>
      <c r="K92" s="132"/>
    </row>
    <row r="93" spans="1:11" ht="18.75" customHeight="1" thickBot="1">
      <c r="A93" s="174" t="s">
        <v>161</v>
      </c>
      <c r="B93" s="175"/>
      <c r="C93" s="175"/>
      <c r="D93" s="175"/>
      <c r="E93" s="175"/>
      <c r="F93" s="175"/>
      <c r="G93" s="175"/>
    </row>
    <row r="94" spans="1:11" s="85" customFormat="1" ht="33" customHeight="1" thickBot="1">
      <c r="B94" s="177" t="s">
        <v>157</v>
      </c>
      <c r="C94" s="177" t="s">
        <v>162</v>
      </c>
      <c r="D94" s="177"/>
      <c r="E94" s="177"/>
      <c r="F94" s="75"/>
    </row>
    <row r="95" spans="1:11" s="85" customFormat="1" ht="37.5" customHeight="1" thickBot="1">
      <c r="B95" s="177"/>
      <c r="C95" s="177" t="s">
        <v>163</v>
      </c>
      <c r="D95" s="177"/>
      <c r="E95" s="134" t="s">
        <v>158</v>
      </c>
      <c r="F95" s="75"/>
    </row>
    <row r="96" spans="1:11" s="85" customFormat="1" ht="18.75" customHeight="1" thickBot="1">
      <c r="B96" s="118" t="s">
        <v>148</v>
      </c>
      <c r="C96" s="178" t="s">
        <v>149</v>
      </c>
      <c r="D96" s="178"/>
      <c r="E96" s="133" t="s">
        <v>150</v>
      </c>
      <c r="F96" s="75"/>
    </row>
    <row r="97" spans="2:6" s="85" customFormat="1" ht="18.75" customHeight="1" thickBot="1">
      <c r="B97" s="118" t="s">
        <v>151</v>
      </c>
      <c r="C97" s="178" t="s">
        <v>152</v>
      </c>
      <c r="D97" s="178"/>
      <c r="E97" s="133" t="s">
        <v>150</v>
      </c>
      <c r="F97" s="75"/>
    </row>
    <row r="98" spans="2:6" s="85" customFormat="1" ht="18.75" customHeight="1" thickBot="1">
      <c r="B98" s="118" t="s">
        <v>153</v>
      </c>
      <c r="C98" s="178" t="s">
        <v>154</v>
      </c>
      <c r="D98" s="178"/>
      <c r="E98" s="133" t="s">
        <v>150</v>
      </c>
      <c r="F98" s="75"/>
    </row>
    <row r="99" spans="2:6" s="85" customFormat="1" ht="30.75" customHeight="1" thickBot="1">
      <c r="B99" s="176" t="s">
        <v>155</v>
      </c>
      <c r="C99" s="176"/>
      <c r="D99" s="176"/>
      <c r="E99" s="176"/>
      <c r="F99" s="75"/>
    </row>
    <row r="100" spans="2:6" s="85" customFormat="1" ht="33" customHeight="1" thickBot="1">
      <c r="B100" s="176" t="s">
        <v>156</v>
      </c>
      <c r="C100" s="176"/>
      <c r="D100" s="176"/>
      <c r="E100" s="176"/>
      <c r="F100" s="75"/>
    </row>
    <row r="101" spans="2:6" s="85" customFormat="1" ht="18.75" customHeight="1">
      <c r="F101" s="75"/>
    </row>
    <row r="102" spans="2:6" s="85" customFormat="1" ht="18.75" customHeight="1">
      <c r="F102" s="75"/>
    </row>
    <row r="103" spans="2:6" s="85" customFormat="1" ht="18.75" customHeight="1">
      <c r="F103" s="75"/>
    </row>
    <row r="104" spans="2:6" s="85" customFormat="1" ht="18.75" customHeight="1">
      <c r="F104" s="75"/>
    </row>
    <row r="105" spans="2:6" s="85" customFormat="1" ht="18.75" customHeight="1">
      <c r="F105" s="75"/>
    </row>
    <row r="106" spans="2:6" s="85" customFormat="1" ht="18.75" customHeight="1">
      <c r="F106" s="75"/>
    </row>
    <row r="107" spans="2:6" s="85" customFormat="1" ht="18.75" customHeight="1">
      <c r="F107" s="75"/>
    </row>
    <row r="108" spans="2:6" s="85" customFormat="1" ht="18.75" customHeight="1">
      <c r="F108" s="75"/>
    </row>
    <row r="109" spans="2:6" s="85" customFormat="1" ht="18.75" customHeight="1">
      <c r="F109" s="75"/>
    </row>
    <row r="110" spans="2:6" s="85" customFormat="1" ht="18.75" customHeight="1">
      <c r="F110" s="75"/>
    </row>
    <row r="111" spans="2:6" s="85" customFormat="1" ht="18.75" customHeight="1">
      <c r="F111" s="75"/>
    </row>
    <row r="112" spans="2:6" s="85" customFormat="1" ht="18.75" customHeight="1">
      <c r="F112" s="75"/>
    </row>
    <row r="113" spans="6:6" s="85" customFormat="1" ht="18.75" customHeight="1">
      <c r="F113" s="75"/>
    </row>
    <row r="114" spans="6:6" s="85" customFormat="1" ht="18.75" customHeight="1">
      <c r="F114" s="75"/>
    </row>
    <row r="115" spans="6:6" s="85" customFormat="1" ht="18.75" customHeight="1">
      <c r="F115" s="75"/>
    </row>
    <row r="116" spans="6:6" s="85" customFormat="1" ht="18.75" customHeight="1">
      <c r="F116" s="75"/>
    </row>
    <row r="117" spans="6:6" s="85" customFormat="1" ht="18.75" customHeight="1">
      <c r="F117" s="75"/>
    </row>
    <row r="118" spans="6:6" s="85" customFormat="1" ht="18.75" customHeight="1">
      <c r="F118" s="75"/>
    </row>
    <row r="119" spans="6:6" s="85" customFormat="1" ht="18.75" customHeight="1">
      <c r="F119" s="75"/>
    </row>
    <row r="120" spans="6:6" s="85" customFormat="1" ht="18.75" customHeight="1">
      <c r="F120" s="75"/>
    </row>
    <row r="121" spans="6:6" s="85" customFormat="1" ht="18.75" customHeight="1">
      <c r="F121" s="75"/>
    </row>
    <row r="122" spans="6:6" s="85" customFormat="1" ht="18.75" customHeight="1">
      <c r="F122" s="75"/>
    </row>
    <row r="123" spans="6:6" s="85" customFormat="1" ht="18.75" customHeight="1">
      <c r="F123" s="75"/>
    </row>
    <row r="124" spans="6:6" s="85" customFormat="1" ht="18.75" customHeight="1">
      <c r="F124" s="75"/>
    </row>
    <row r="125" spans="6:6" s="85" customFormat="1" ht="18.75" customHeight="1">
      <c r="F125" s="75"/>
    </row>
    <row r="126" spans="6:6" s="85" customFormat="1" ht="18.75" customHeight="1">
      <c r="F126" s="75"/>
    </row>
    <row r="127" spans="6:6" s="85" customFormat="1" ht="18.75" customHeight="1">
      <c r="F127" s="75"/>
    </row>
    <row r="128" spans="6:6" s="85" customFormat="1" ht="18.75" customHeight="1">
      <c r="F128" s="75"/>
    </row>
    <row r="129" spans="1:6" s="85" customFormat="1" ht="18.75" customHeight="1">
      <c r="F129" s="75"/>
    </row>
    <row r="130" spans="1:6" s="85" customFormat="1" ht="18.75" customHeight="1">
      <c r="F130" s="75"/>
    </row>
    <row r="131" spans="1:6" s="85" customFormat="1" ht="18.75" customHeight="1">
      <c r="F131" s="75"/>
    </row>
    <row r="132" spans="1:6" s="85" customFormat="1" ht="18.75" customHeight="1">
      <c r="F132" s="75"/>
    </row>
    <row r="133" spans="1:6" s="85" customFormat="1" ht="18.75" customHeight="1">
      <c r="F133" s="75"/>
    </row>
    <row r="134" spans="1:6" s="85" customFormat="1" ht="18.75" customHeight="1">
      <c r="F134" s="75"/>
    </row>
    <row r="135" spans="1:6" s="85" customFormat="1" ht="18.75" customHeight="1">
      <c r="F135" s="75"/>
    </row>
    <row r="136" spans="1:6" s="85" customFormat="1" ht="12.75">
      <c r="F136" s="75"/>
    </row>
    <row r="137" spans="1:6" s="85" customFormat="1" ht="12.75">
      <c r="F137" s="75"/>
    </row>
    <row r="138" spans="1:6" s="85" customFormat="1" ht="12.75">
      <c r="F138" s="75"/>
    </row>
    <row r="139" spans="1:6" s="85" customFormat="1" ht="12.75">
      <c r="F139" s="75"/>
    </row>
    <row r="140" spans="1:6" s="85" customFormat="1" ht="12.75">
      <c r="F140" s="75"/>
    </row>
    <row r="141" spans="1:6" s="85" customFormat="1" ht="12.75">
      <c r="F141" s="75"/>
    </row>
    <row r="142" spans="1:6" s="85" customFormat="1" ht="12.75">
      <c r="F142" s="75"/>
    </row>
    <row r="143" spans="1:6" s="85" customFormat="1" ht="12.75">
      <c r="A143" s="104" t="s">
        <v>78</v>
      </c>
      <c r="F143" s="75"/>
    </row>
    <row r="144" spans="1:6" s="85" customFormat="1" ht="12.75">
      <c r="A144" s="85" t="s">
        <v>79</v>
      </c>
      <c r="F144" s="75"/>
    </row>
    <row r="145" spans="1:6" s="85" customFormat="1" ht="12.75">
      <c r="F145" s="75"/>
    </row>
    <row r="146" spans="1:6" s="85" customFormat="1" ht="12.75">
      <c r="F146" s="75"/>
    </row>
    <row r="147" spans="1:6" s="85" customFormat="1" ht="12.75">
      <c r="F147" s="75"/>
    </row>
    <row r="148" spans="1:6" s="85" customFormat="1" ht="12.75">
      <c r="F148" s="75"/>
    </row>
    <row r="149" spans="1:6" s="85" customFormat="1" ht="12.75">
      <c r="F149" s="75"/>
    </row>
    <row r="150" spans="1:6" s="85" customFormat="1" ht="12.75">
      <c r="A150" s="85" t="s">
        <v>80</v>
      </c>
      <c r="F150" s="75"/>
    </row>
    <row r="151" spans="1:6" s="85" customFormat="1" ht="12.75">
      <c r="A151" s="104" t="s">
        <v>81</v>
      </c>
      <c r="F151" s="75"/>
    </row>
    <row r="152" spans="1:6" s="85" customFormat="1" ht="12.75">
      <c r="A152" s="104" t="s">
        <v>82</v>
      </c>
      <c r="F152" s="75"/>
    </row>
    <row r="153" spans="1:6" s="85" customFormat="1" ht="12.75">
      <c r="A153" s="85" t="s">
        <v>83</v>
      </c>
      <c r="F153" s="75"/>
    </row>
    <row r="154" spans="1:6" s="85" customFormat="1" ht="12.75">
      <c r="F154" s="75"/>
    </row>
    <row r="155" spans="1:6" s="85" customFormat="1" ht="12.75">
      <c r="F155" s="75"/>
    </row>
    <row r="156" spans="1:6" s="85" customFormat="1" ht="12.75">
      <c r="F156" s="75"/>
    </row>
    <row r="157" spans="1:6" s="85" customFormat="1" ht="12.75">
      <c r="F157" s="75"/>
    </row>
    <row r="158" spans="1:6" s="85" customFormat="1" ht="12.75">
      <c r="F158" s="75"/>
    </row>
    <row r="159" spans="1:6" s="85" customFormat="1" ht="12.75">
      <c r="F159" s="75"/>
    </row>
    <row r="160" spans="1:6" s="85" customFormat="1" ht="12.75">
      <c r="F160" s="75"/>
    </row>
    <row r="161" spans="6:6" s="85" customFormat="1" ht="12.75">
      <c r="F161" s="75"/>
    </row>
    <row r="162" spans="6:6" s="85" customFormat="1" ht="12.75">
      <c r="F162" s="75"/>
    </row>
    <row r="163" spans="6:6" s="85" customFormat="1" ht="12.75">
      <c r="F163" s="75"/>
    </row>
    <row r="164" spans="6:6" s="85" customFormat="1" ht="12.75">
      <c r="F164" s="75"/>
    </row>
    <row r="165" spans="6:6" s="85" customFormat="1" ht="12.75">
      <c r="F165" s="75"/>
    </row>
    <row r="166" spans="6:6" s="85" customFormat="1" ht="12.75">
      <c r="F166" s="75"/>
    </row>
    <row r="167" spans="6:6" s="85" customFormat="1" ht="12.75">
      <c r="F167" s="75"/>
    </row>
    <row r="168" spans="6:6" s="85" customFormat="1" ht="12.75">
      <c r="F168" s="75"/>
    </row>
    <row r="169" spans="6:6" s="85" customFormat="1" ht="12.75">
      <c r="F169" s="75"/>
    </row>
    <row r="170" spans="6:6" s="85" customFormat="1" ht="12.75">
      <c r="F170" s="75"/>
    </row>
    <row r="171" spans="6:6" s="85" customFormat="1" ht="12.75">
      <c r="F171" s="75"/>
    </row>
    <row r="172" spans="6:6" s="85" customFormat="1" ht="12.75">
      <c r="F172" s="75"/>
    </row>
    <row r="173" spans="6:6" s="85" customFormat="1" ht="12.75">
      <c r="F173" s="75"/>
    </row>
    <row r="174" spans="6:6" s="85" customFormat="1" ht="12.75">
      <c r="F174" s="75"/>
    </row>
    <row r="175" spans="6:6" s="85" customFormat="1" ht="12.75">
      <c r="F175" s="75"/>
    </row>
    <row r="176" spans="6:6" s="85" customFormat="1" ht="12.75">
      <c r="F176" s="75"/>
    </row>
    <row r="177" spans="6:6" s="85" customFormat="1" ht="12.75">
      <c r="F177" s="75"/>
    </row>
    <row r="178" spans="6:6" s="85" customFormat="1" ht="12.75">
      <c r="F178" s="75"/>
    </row>
    <row r="179" spans="6:6" s="85" customFormat="1" ht="12.75">
      <c r="F179" s="75"/>
    </row>
    <row r="180" spans="6:6" s="85" customFormat="1" ht="12.75">
      <c r="F180" s="75"/>
    </row>
    <row r="181" spans="6:6" s="85" customFormat="1" ht="12.75">
      <c r="F181" s="75"/>
    </row>
    <row r="182" spans="6:6" s="85" customFormat="1" ht="12.75">
      <c r="F182" s="75"/>
    </row>
    <row r="183" spans="6:6" s="85" customFormat="1" ht="12.75">
      <c r="F183" s="75"/>
    </row>
    <row r="184" spans="6:6" s="85" customFormat="1" ht="12.75">
      <c r="F184" s="75"/>
    </row>
    <row r="185" spans="6:6" s="85" customFormat="1" ht="12.75">
      <c r="F185" s="75"/>
    </row>
    <row r="186" spans="6:6" s="85" customFormat="1" ht="12.75">
      <c r="F186" s="75"/>
    </row>
    <row r="187" spans="6:6" s="85" customFormat="1" ht="12.75">
      <c r="F187" s="75"/>
    </row>
    <row r="188" spans="6:6" s="85" customFormat="1" ht="12.75">
      <c r="F188" s="75"/>
    </row>
  </sheetData>
  <mergeCells count="26">
    <mergeCell ref="B99:E99"/>
    <mergeCell ref="B100:E100"/>
    <mergeCell ref="B94:B95"/>
    <mergeCell ref="C94:E94"/>
    <mergeCell ref="C95:D95"/>
    <mergeCell ref="C96:D96"/>
    <mergeCell ref="C97:D97"/>
    <mergeCell ref="C98:D98"/>
    <mergeCell ref="A93:G93"/>
    <mergeCell ref="A77:K77"/>
    <mergeCell ref="A78:K78"/>
    <mergeCell ref="A80:K80"/>
    <mergeCell ref="A81:K81"/>
    <mergeCell ref="A83:K83"/>
    <mergeCell ref="A84:K84"/>
    <mergeCell ref="A85:K85"/>
    <mergeCell ref="A87:K87"/>
    <mergeCell ref="A88:K88"/>
    <mergeCell ref="A89:K89"/>
    <mergeCell ref="A91:K91"/>
    <mergeCell ref="A76:K76"/>
    <mergeCell ref="A1:I1"/>
    <mergeCell ref="A2:I2"/>
    <mergeCell ref="D7:E7"/>
    <mergeCell ref="A72:K72"/>
    <mergeCell ref="A74:K74"/>
  </mergeCells>
  <phoneticPr fontId="2" type="noConversion"/>
  <dataValidations count="2">
    <dataValidation type="list" allowBlank="1" showInputMessage="1" showErrorMessage="1" sqref="G10:G24 G30:G44">
      <formula1>$A$150:$A$153</formula1>
    </dataValidation>
    <dataValidation type="list" allowBlank="1" showInputMessage="1" showErrorMessage="1" sqref="I43:I44 I28">
      <formula1>$A$150:$A$155</formula1>
    </dataValidation>
  </dataValidations>
  <printOptions horizontalCentered="1"/>
  <pageMargins left="0.51181102362204722" right="0.31496062992125984" top="0.6692913385826772" bottom="0.55118110236220474" header="0.31496062992125984" footer="0.31496062992125984"/>
  <pageSetup paperSize="9" scale="91" fitToHeight="5" orientation="landscape" blackAndWhite="1" r:id="rId1"/>
  <headerFooter>
    <oddHeader>&amp;R&amp;"Arial Narrow,常规"&amp;10&amp;P/&amp;N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6</vt:i4>
      </vt:variant>
    </vt:vector>
  </HeadingPairs>
  <TitlesOfParts>
    <vt:vector size="12" baseType="lpstr">
      <vt:lpstr>表头（请先填写）</vt:lpstr>
      <vt:lpstr>B23-13了解债务循环流程和内部控制记录表</vt:lpstr>
      <vt:lpstr>B23-13-1链接-企业对财务报表风险的应对</vt:lpstr>
      <vt:lpstr>B23-13-2穿行测试</vt:lpstr>
      <vt:lpstr>B23-13-3关键控制点选择表（财报审计适用）</vt:lpstr>
      <vt:lpstr>B23-13-4关键控制点选择表 (整合审计适用)</vt:lpstr>
      <vt:lpstr>'B23-13-1链接-企业对财务报表风险的应对'!Print_Area</vt:lpstr>
      <vt:lpstr>'B23-13-2穿行测试'!Print_Area</vt:lpstr>
      <vt:lpstr>'B23-13-3关键控制点选择表（财报审计适用）'!Print_Area</vt:lpstr>
      <vt:lpstr>'B23-13-4关键控制点选择表 (整合审计适用)'!Print_Area</vt:lpstr>
      <vt:lpstr>'B23-13了解债务循环流程和内部控制记录表'!Print_Area</vt:lpstr>
      <vt:lpstr>'B23-13-2穿行测试'!Print_Titles</vt:lpstr>
    </vt:vector>
  </TitlesOfParts>
  <Company>Grant Thornton International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Nie Lin 聂琳</cp:lastModifiedBy>
  <cp:lastPrinted>2013-12-16T08:43:11Z</cp:lastPrinted>
  <dcterms:created xsi:type="dcterms:W3CDTF">2013-12-10T07:47:08Z</dcterms:created>
  <dcterms:modified xsi:type="dcterms:W3CDTF">2013-12-28T07:17:58Z</dcterms:modified>
</cp:coreProperties>
</file>